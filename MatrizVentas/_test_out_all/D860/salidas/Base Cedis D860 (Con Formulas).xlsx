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Cedis D860" sheetId="1" state="visible" r:id="rId1"/>
    <sheet name="MP" sheetId="2" state="visible" r:id="rId2"/>
    <sheet name="Flete" sheetId="3" state="visible" r:id="rId3"/>
    <sheet name="Materiales" sheetId="4" state="visible" r:id="rId4"/>
    <sheet name="TRAOP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10"/>
    </font>
  </fonts>
  <fills count="8">
    <fill>
      <patternFill/>
    </fill>
    <fill>
      <patternFill patternType="gray125"/>
    </fill>
    <fill>
      <patternFill patternType="solid">
        <fgColor rgb="001F5C85"/>
      </patternFill>
    </fill>
    <fill>
      <patternFill patternType="solid">
        <fgColor rgb="007B3F00"/>
      </patternFill>
    </fill>
    <fill>
      <patternFill patternType="solid">
        <fgColor rgb="00D9D9D9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6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8" customWidth="1" min="2" max="2"/>
    <col width="14" customWidth="1" min="3" max="3"/>
    <col width="28" customWidth="1" min="4" max="4"/>
    <col width="8" customWidth="1" min="5" max="5"/>
    <col width="10" customWidth="1" min="6" max="6"/>
    <col width="13" customWidth="1" min="7" max="7"/>
    <col width="30" customWidth="1" min="8" max="8"/>
    <col width="14" customWidth="1" min="9" max="9"/>
    <col width="40" customWidth="1" min="10" max="10"/>
    <col width="8" customWidth="1" min="11" max="11"/>
    <col width="14" customWidth="1" min="12" max="12"/>
    <col width="14" customWidth="1" min="13" max="13"/>
    <col width="14" customWidth="1" min="14" max="14"/>
    <col width="14" customWidth="1" min="15" max="15"/>
    <col width="10" customWidth="1" min="16" max="16"/>
    <col width="14" customWidth="1" min="17" max="17"/>
    <col width="10" customWidth="1" min="18" max="18"/>
    <col width="14" customWidth="1" min="19" max="19"/>
    <col width="14" customWidth="1" min="20" max="20"/>
  </cols>
  <sheetData>
    <row r="1" ht="20" customHeight="1">
      <c r="N1" s="1" t="inlineStr">
        <is>
          <t>VENTA</t>
        </is>
      </c>
      <c r="Q1" s="2" t="inlineStr">
        <is>
          <t>COSTO</t>
        </is>
      </c>
    </row>
    <row r="2" ht="32" customHeight="1">
      <c r="A2" s="3" t="inlineStr">
        <is>
          <t>CONCAT1</t>
        </is>
      </c>
      <c r="B2" s="3" t="inlineStr">
        <is>
          <t>CONCAT2</t>
        </is>
      </c>
      <c r="C2" s="3" t="inlineStr">
        <is>
          <t>No. SF</t>
        </is>
      </c>
      <c r="D2" s="3" t="inlineStr">
        <is>
          <t>Nombre SF</t>
        </is>
      </c>
      <c r="E2" s="3" t="inlineStr">
        <is>
          <t>Cedis</t>
        </is>
      </c>
      <c r="F2" s="3" t="inlineStr">
        <is>
          <t>Destino</t>
        </is>
      </c>
      <c r="G2" s="3" t="inlineStr">
        <is>
          <t>Condicion de Expedicion</t>
        </is>
      </c>
      <c r="H2" s="3" t="inlineStr">
        <is>
          <t>Nombre Destino</t>
        </is>
      </c>
      <c r="I2" s="3" t="inlineStr">
        <is>
          <t>No. de material</t>
        </is>
      </c>
      <c r="J2" s="3" t="inlineStr">
        <is>
          <t>Nombre de material</t>
        </is>
      </c>
      <c r="K2" s="3" t="inlineStr">
        <is>
          <t>PV</t>
        </is>
      </c>
      <c r="L2" s="3" t="inlineStr">
        <is>
          <t>Inicio de vigencia</t>
        </is>
      </c>
      <c r="M2" s="3" t="inlineStr">
        <is>
          <t>Fin de vigencia</t>
        </is>
      </c>
      <c r="N2" s="4" t="inlineStr">
        <is>
          <t>Importe MP</t>
        </is>
      </c>
      <c r="O2" s="4" t="inlineStr">
        <is>
          <t>Importe Flete</t>
        </is>
      </c>
      <c r="P2" s="4" t="inlineStr">
        <is>
          <t>UM Venta</t>
        </is>
      </c>
      <c r="Q2" s="5" t="inlineStr">
        <is>
          <t>Importe Costo</t>
        </is>
      </c>
      <c r="R2" s="5" t="inlineStr">
        <is>
          <t>UM Costo</t>
        </is>
      </c>
      <c r="S2" s="6" t="inlineStr">
        <is>
          <t>Validacion 1</t>
        </is>
      </c>
      <c r="T2" s="6" t="inlineStr">
        <is>
          <t>Validacion 2</t>
        </is>
      </c>
    </row>
    <row r="3">
      <c r="A3" s="7">
        <f>CONCATENATE(C3,E3,F3,I3)</f>
        <v/>
      </c>
      <c r="B3" s="7">
        <f>CONCATENATE(C3,E3,I3)</f>
        <v/>
      </c>
      <c r="C3" s="8" t="n">
        <v>900007612</v>
      </c>
      <c r="D3" s="7">
        <f>IFERROR(VLOOKUP(C3,TRAOPE!$G:$H,2,0),"")</f>
        <v/>
      </c>
      <c r="E3" s="8" t="inlineStr">
        <is>
          <t>D860</t>
        </is>
      </c>
      <c r="F3" s="8" t="inlineStr">
        <is>
          <t>66958065</t>
        </is>
      </c>
      <c r="G3" s="8">
        <f>IFERROR(VLOOKUP(A3,Flete!$A:$E,5,0),"")</f>
        <v/>
      </c>
      <c r="H3" s="7">
        <f>IFERROR(VLOOKUP(F3,TRAOPE!$AA:$AB,2,0),"")</f>
        <v/>
      </c>
      <c r="I3" s="7" t="n">
        <v>10052402</v>
      </c>
      <c r="J3" s="7">
        <f>IFERROR(VLOOKUP(I3,Materiales!$A:$H,8,0),"")</f>
        <v/>
      </c>
      <c r="K3" s="9">
        <f>IFERROR(VLOOKUP(I3,Materiales!$A:$G,7,0),"")</f>
        <v/>
      </c>
      <c r="L3" s="8" t="inlineStr">
        <is>
          <t>20240403</t>
        </is>
      </c>
      <c r="M3" s="8" t="inlineStr">
        <is>
          <t>20240529</t>
        </is>
      </c>
      <c r="N3" s="10" t="n">
        <v>141.9</v>
      </c>
      <c r="O3" s="10">
        <f>IFERROR(VLOOKUP(A3,Flete!$A:$J,10,0),"")</f>
        <v/>
      </c>
      <c r="P3" s="8" t="inlineStr">
        <is>
          <t>M3</t>
        </is>
      </c>
      <c r="Q3" s="10">
        <f>IFERROR(IFERROR(VLOOKUP(A3,TRAOPE!$A:$U,21,0),VLOOKUP(B3,TRAOPE!$A:$U,21,0)),"")</f>
        <v/>
      </c>
      <c r="R3" s="8">
        <f>IFERROR(IFERROR(VLOOKUP(A3,TRAOPE!$A:$W,23,0),VLOOKUP(B3,TRAOPE!$A:$W,23,0)),"")</f>
        <v/>
      </c>
      <c r="S3" s="10">
        <f>IF(AND(P3="TN",R3="TN"),N3+N(O3),IF(G3&amp;""="1",N(K3)*N3,(N3+N(O3))*N(K3)))</f>
        <v/>
      </c>
      <c r="T3" s="10">
        <f>IF(Q3="","",Q3-S3)</f>
        <v/>
      </c>
    </row>
    <row r="4">
      <c r="A4" s="7">
        <f>CONCATENATE(C4,E4,F4,I4)</f>
        <v/>
      </c>
      <c r="B4" s="7">
        <f>CONCATENATE(C4,E4,I4)</f>
        <v/>
      </c>
      <c r="C4" s="8" t="n">
        <v>900007612</v>
      </c>
      <c r="D4" s="7">
        <f>IFERROR(VLOOKUP(C4,TRAOPE!$G:$H,2,0),"")</f>
        <v/>
      </c>
      <c r="E4" s="8" t="inlineStr">
        <is>
          <t>D860</t>
        </is>
      </c>
      <c r="F4" s="8" t="inlineStr">
        <is>
          <t>66958065</t>
        </is>
      </c>
      <c r="G4" s="8">
        <f>IFERROR(VLOOKUP(A4,Flete!$A:$E,5,0),"")</f>
        <v/>
      </c>
      <c r="H4" s="7">
        <f>IFERROR(VLOOKUP(F4,TRAOPE!$AA:$AB,2,0),"")</f>
        <v/>
      </c>
      <c r="I4" s="7" t="n">
        <v>10052405</v>
      </c>
      <c r="J4" s="7">
        <f>IFERROR(VLOOKUP(I4,Materiales!$A:$H,8,0),"")</f>
        <v/>
      </c>
      <c r="K4" s="9">
        <f>IFERROR(VLOOKUP(I4,Materiales!$A:$G,7,0),"")</f>
        <v/>
      </c>
      <c r="L4" s="8" t="inlineStr">
        <is>
          <t>20240403</t>
        </is>
      </c>
      <c r="M4" s="8" t="inlineStr">
        <is>
          <t>20240529</t>
        </is>
      </c>
      <c r="N4" s="10" t="n">
        <v>141.9</v>
      </c>
      <c r="O4" s="10">
        <f>IFERROR(VLOOKUP(A4,Flete!$A:$J,10,0),"")</f>
        <v/>
      </c>
      <c r="P4" s="8" t="inlineStr">
        <is>
          <t>M3</t>
        </is>
      </c>
      <c r="Q4" s="10">
        <f>IFERROR(IFERROR(VLOOKUP(A4,TRAOPE!$A:$U,21,0),VLOOKUP(B4,TRAOPE!$A:$U,21,0)),"")</f>
        <v/>
      </c>
      <c r="R4" s="8">
        <f>IFERROR(IFERROR(VLOOKUP(A4,TRAOPE!$A:$W,23,0),VLOOKUP(B4,TRAOPE!$A:$W,23,0)),"")</f>
        <v/>
      </c>
      <c r="S4" s="10">
        <f>IF(AND(P4="TN",R4="TN"),N4+N(O4),IF(G4&amp;""="1",N(K4)*N4,(N4+N(O4))*N(K4)))</f>
        <v/>
      </c>
      <c r="T4" s="10">
        <f>IF(Q4="","",Q4-S4)</f>
        <v/>
      </c>
    </row>
    <row r="5">
      <c r="A5" s="7">
        <f>CONCATENATE(C5,E5,F5,I5)</f>
        <v/>
      </c>
      <c r="B5" s="7">
        <f>CONCATENATE(C5,E5,I5)</f>
        <v/>
      </c>
      <c r="C5" s="8" t="n">
        <v>900007611</v>
      </c>
      <c r="D5" s="7">
        <f>IFERROR(VLOOKUP(C5,TRAOPE!$G:$H,2,0),"")</f>
        <v/>
      </c>
      <c r="E5" s="8" t="inlineStr">
        <is>
          <t>D860</t>
        </is>
      </c>
      <c r="F5" s="8" t="inlineStr">
        <is>
          <t>67064029</t>
        </is>
      </c>
      <c r="G5" s="8">
        <f>IFERROR(VLOOKUP(A5,Flete!$A:$E,5,0),"")</f>
        <v/>
      </c>
      <c r="H5" s="7">
        <f>IFERROR(VLOOKUP(F5,TRAOPE!$AA:$AB,2,0),"")</f>
        <v/>
      </c>
      <c r="I5" s="7" t="n">
        <v>10052404</v>
      </c>
      <c r="J5" s="7">
        <f>IFERROR(VLOOKUP(I5,Materiales!$A:$H,8,0),"")</f>
        <v/>
      </c>
      <c r="K5" s="9">
        <f>IFERROR(VLOOKUP(I5,Materiales!$A:$G,7,0),"")</f>
        <v/>
      </c>
      <c r="L5" s="8" t="inlineStr">
        <is>
          <t>20240605</t>
        </is>
      </c>
      <c r="M5" s="8" t="inlineStr">
        <is>
          <t>20250825</t>
        </is>
      </c>
      <c r="N5" s="10" t="n">
        <v>144</v>
      </c>
      <c r="O5" s="10">
        <f>IFERROR(VLOOKUP(A5,Flete!$A:$J,10,0),"")</f>
        <v/>
      </c>
      <c r="P5" s="8" t="inlineStr">
        <is>
          <t>M3</t>
        </is>
      </c>
      <c r="Q5" s="10">
        <f>IFERROR(IFERROR(VLOOKUP(A5,TRAOPE!$A:$U,21,0),VLOOKUP(B5,TRAOPE!$A:$U,21,0)),"")</f>
        <v/>
      </c>
      <c r="R5" s="8">
        <f>IFERROR(IFERROR(VLOOKUP(A5,TRAOPE!$A:$W,23,0),VLOOKUP(B5,TRAOPE!$A:$W,23,0)),"")</f>
        <v/>
      </c>
      <c r="S5" s="10">
        <f>IF(AND(P5="TN",R5="TN"),N5+N(O5),IF(G5&amp;""="1",N(K5)*N5,(N5+N(O5))*N(K5)))</f>
        <v/>
      </c>
      <c r="T5" s="10">
        <f>IF(Q5="","",Q5-S5)</f>
        <v/>
      </c>
    </row>
    <row r="6">
      <c r="A6" s="7">
        <f>CONCATENATE(C6,E6,F6,I6)</f>
        <v/>
      </c>
      <c r="B6" s="7">
        <f>CONCATENATE(C6,E6,I6)</f>
        <v/>
      </c>
      <c r="C6" s="8" t="n">
        <v>900003456</v>
      </c>
      <c r="D6" s="7">
        <f>IFERROR(VLOOKUP(C6,TRAOPE!$G:$H,2,0),"")</f>
        <v/>
      </c>
      <c r="E6" s="8" t="inlineStr">
        <is>
          <t>D860</t>
        </is>
      </c>
      <c r="F6" s="8" t="inlineStr">
        <is>
          <t>66830361</t>
        </is>
      </c>
      <c r="G6" s="8">
        <f>IFERROR(VLOOKUP(A6,Flete!$A:$E,5,0),"")</f>
        <v/>
      </c>
      <c r="H6" s="7">
        <f>IFERROR(VLOOKUP(F6,TRAOPE!$AA:$AB,2,0),"")</f>
        <v/>
      </c>
      <c r="I6" s="7" t="n">
        <v>10052407</v>
      </c>
      <c r="J6" s="7">
        <f>IFERROR(VLOOKUP(I6,Materiales!$A:$H,8,0),"")</f>
        <v/>
      </c>
      <c r="K6" s="9">
        <f>IFERROR(VLOOKUP(I6,Materiales!$A:$G,7,0),"")</f>
        <v/>
      </c>
      <c r="L6" s="8" t="inlineStr">
        <is>
          <t>20221109</t>
        </is>
      </c>
      <c r="M6" s="8" t="inlineStr">
        <is>
          <t>20251031</t>
        </is>
      </c>
      <c r="N6" s="10" t="n">
        <v>90</v>
      </c>
      <c r="O6" s="10">
        <f>IFERROR(VLOOKUP(A6,Flete!$A:$J,10,0),"")</f>
        <v/>
      </c>
      <c r="P6" s="8" t="inlineStr">
        <is>
          <t>M3</t>
        </is>
      </c>
      <c r="Q6" s="10">
        <f>IFERROR(IFERROR(VLOOKUP(A6,TRAOPE!$A:$U,21,0),VLOOKUP(B6,TRAOPE!$A:$U,21,0)),"")</f>
        <v/>
      </c>
      <c r="R6" s="8">
        <f>IFERROR(IFERROR(VLOOKUP(A6,TRAOPE!$A:$W,23,0),VLOOKUP(B6,TRAOPE!$A:$W,23,0)),"")</f>
        <v/>
      </c>
      <c r="S6" s="10">
        <f>IF(AND(P6="TN",R6="TN"),N6+N(O6),IF(G6&amp;""="1",N(K6)*N6,(N6+N(O6))*N(K6)))</f>
        <v/>
      </c>
      <c r="T6" s="10">
        <f>IF(Q6="","",Q6-S6)</f>
        <v/>
      </c>
    </row>
    <row r="7">
      <c r="A7" s="7">
        <f>CONCATENATE(C7,E7,F7,I7)</f>
        <v/>
      </c>
      <c r="B7" s="7">
        <f>CONCATENATE(C7,E7,I7)</f>
        <v/>
      </c>
      <c r="C7" s="8" t="n">
        <v>900003456</v>
      </c>
      <c r="D7" s="7">
        <f>IFERROR(VLOOKUP(C7,TRAOPE!$G:$H,2,0),"")</f>
        <v/>
      </c>
      <c r="E7" s="8" t="inlineStr">
        <is>
          <t>D860</t>
        </is>
      </c>
      <c r="F7" s="8" t="inlineStr">
        <is>
          <t>66830361</t>
        </is>
      </c>
      <c r="G7" s="8">
        <f>IFERROR(VLOOKUP(A7,Flete!$A:$E,5,0),"")</f>
        <v/>
      </c>
      <c r="H7" s="7">
        <f>IFERROR(VLOOKUP(F7,TRAOPE!$AA:$AB,2,0),"")</f>
        <v/>
      </c>
      <c r="I7" s="7" t="n">
        <v>10190637</v>
      </c>
      <c r="J7" s="7">
        <f>IFERROR(VLOOKUP(I7,Materiales!$A:$H,8,0),"")</f>
        <v/>
      </c>
      <c r="K7" s="9">
        <f>IFERROR(VLOOKUP(I7,Materiales!$A:$G,7,0),"")</f>
        <v/>
      </c>
      <c r="L7" s="8" t="inlineStr">
        <is>
          <t>20221109</t>
        </is>
      </c>
      <c r="M7" s="8" t="inlineStr">
        <is>
          <t>20251031</t>
        </is>
      </c>
      <c r="N7" s="10" t="n">
        <v>100</v>
      </c>
      <c r="O7" s="10">
        <f>IFERROR(VLOOKUP(A7,Flete!$A:$J,10,0),"")</f>
        <v/>
      </c>
      <c r="P7" s="8" t="inlineStr">
        <is>
          <t>M3</t>
        </is>
      </c>
      <c r="Q7" s="10">
        <f>IFERROR(IFERROR(VLOOKUP(A7,TRAOPE!$A:$U,21,0),VLOOKUP(B7,TRAOPE!$A:$U,21,0)),"")</f>
        <v/>
      </c>
      <c r="R7" s="8">
        <f>IFERROR(IFERROR(VLOOKUP(A7,TRAOPE!$A:$W,23,0),VLOOKUP(B7,TRAOPE!$A:$W,23,0)),"")</f>
        <v/>
      </c>
      <c r="S7" s="10">
        <f>IF(AND(P7="TN",R7="TN"),N7+N(O7),IF(G7&amp;""="1",N(K7)*N7,(N7+N(O7))*N(K7)))</f>
        <v/>
      </c>
      <c r="T7" s="10">
        <f>IF(Q7="","",Q7-S7)</f>
        <v/>
      </c>
    </row>
    <row r="8">
      <c r="A8" s="7">
        <f>CONCATENATE(C8,E8,F8,I8)</f>
        <v/>
      </c>
      <c r="B8" s="7">
        <f>CONCATENATE(C8,E8,I8)</f>
        <v/>
      </c>
      <c r="C8" s="8" t="n">
        <v>900005375</v>
      </c>
      <c r="D8" s="7">
        <f>IFERROR(VLOOKUP(C8,TRAOPE!$G:$H,2,0),"")</f>
        <v/>
      </c>
      <c r="E8" s="8" t="inlineStr">
        <is>
          <t>D860</t>
        </is>
      </c>
      <c r="F8" s="8" t="inlineStr">
        <is>
          <t>65094171</t>
        </is>
      </c>
      <c r="G8" s="8">
        <f>IFERROR(VLOOKUP(A8,Flete!$A:$E,5,0),"")</f>
        <v/>
      </c>
      <c r="H8" s="7">
        <f>IFERROR(VLOOKUP(F8,TRAOPE!$AA:$AB,2,0),"")</f>
        <v/>
      </c>
      <c r="I8" s="7" t="n">
        <v>10000176</v>
      </c>
      <c r="J8" s="7">
        <f>IFERROR(VLOOKUP(I8,Materiales!$A:$H,8,0),"")</f>
        <v/>
      </c>
      <c r="K8" s="9">
        <f>IFERROR(VLOOKUP(I8,Materiales!$A:$G,7,0),"")</f>
        <v/>
      </c>
      <c r="L8" s="8" t="inlineStr">
        <is>
          <t>20221109</t>
        </is>
      </c>
      <c r="M8" s="8" t="inlineStr">
        <is>
          <t>20251031</t>
        </is>
      </c>
      <c r="N8" s="10" t="n">
        <v>131.2</v>
      </c>
      <c r="O8" s="10">
        <f>IFERROR(VLOOKUP(A8,Flete!$A:$J,10,0),"")</f>
        <v/>
      </c>
      <c r="P8" s="8" t="inlineStr">
        <is>
          <t>M3</t>
        </is>
      </c>
      <c r="Q8" s="10">
        <f>IFERROR(IFERROR(VLOOKUP(A8,TRAOPE!$A:$U,21,0),VLOOKUP(B8,TRAOPE!$A:$U,21,0)),"")</f>
        <v/>
      </c>
      <c r="R8" s="8">
        <f>IFERROR(IFERROR(VLOOKUP(A8,TRAOPE!$A:$W,23,0),VLOOKUP(B8,TRAOPE!$A:$W,23,0)),"")</f>
        <v/>
      </c>
      <c r="S8" s="10">
        <f>IF(AND(P8="TN",R8="TN"),N8+N(O8),IF(G8&amp;""="1",N(K8)*N8,(N8+N(O8))*N(K8)))</f>
        <v/>
      </c>
      <c r="T8" s="10">
        <f>IF(Q8="","",Q8-S8)</f>
        <v/>
      </c>
    </row>
    <row r="9">
      <c r="A9" s="7">
        <f>CONCATENATE(C9,E9,F9,I9)</f>
        <v/>
      </c>
      <c r="B9" s="7">
        <f>CONCATENATE(C9,E9,I9)</f>
        <v/>
      </c>
      <c r="C9" s="8" t="n">
        <v>900005375</v>
      </c>
      <c r="D9" s="7">
        <f>IFERROR(VLOOKUP(C9,TRAOPE!$G:$H,2,0),"")</f>
        <v/>
      </c>
      <c r="E9" s="8" t="inlineStr">
        <is>
          <t>D860</t>
        </is>
      </c>
      <c r="F9" s="8" t="inlineStr">
        <is>
          <t>65094171</t>
        </is>
      </c>
      <c r="G9" s="8">
        <f>IFERROR(VLOOKUP(A9,Flete!$A:$E,5,0),"")</f>
        <v/>
      </c>
      <c r="H9" s="7">
        <f>IFERROR(VLOOKUP(F9,TRAOPE!$AA:$AB,2,0),"")</f>
        <v/>
      </c>
      <c r="I9" s="7" t="n">
        <v>10052402</v>
      </c>
      <c r="J9" s="7">
        <f>IFERROR(VLOOKUP(I9,Materiales!$A:$H,8,0),"")</f>
        <v/>
      </c>
      <c r="K9" s="9">
        <f>IFERROR(VLOOKUP(I9,Materiales!$A:$G,7,0),"")</f>
        <v/>
      </c>
      <c r="L9" s="8" t="inlineStr">
        <is>
          <t>20221109</t>
        </is>
      </c>
      <c r="M9" s="8" t="inlineStr">
        <is>
          <t>20251031</t>
        </is>
      </c>
      <c r="N9" s="10" t="n">
        <v>199.51</v>
      </c>
      <c r="O9" s="10">
        <f>IFERROR(VLOOKUP(A9,Flete!$A:$J,10,0),"")</f>
        <v/>
      </c>
      <c r="P9" s="8" t="inlineStr">
        <is>
          <t>M3</t>
        </is>
      </c>
      <c r="Q9" s="10">
        <f>IFERROR(IFERROR(VLOOKUP(A9,TRAOPE!$A:$U,21,0),VLOOKUP(B9,TRAOPE!$A:$U,21,0)),"")</f>
        <v/>
      </c>
      <c r="R9" s="8">
        <f>IFERROR(IFERROR(VLOOKUP(A9,TRAOPE!$A:$W,23,0),VLOOKUP(B9,TRAOPE!$A:$W,23,0)),"")</f>
        <v/>
      </c>
      <c r="S9" s="10">
        <f>IF(AND(P9="TN",R9="TN"),N9+N(O9),IF(G9&amp;""="1",N(K9)*N9,(N9+N(O9))*N(K9)))</f>
        <v/>
      </c>
      <c r="T9" s="10">
        <f>IF(Q9="","",Q9-S9)</f>
        <v/>
      </c>
    </row>
    <row r="10">
      <c r="A10" s="7">
        <f>CONCATENATE(C10,E10,F10,I10)</f>
        <v/>
      </c>
      <c r="B10" s="7">
        <f>CONCATENATE(C10,E10,I10)</f>
        <v/>
      </c>
      <c r="C10" s="8" t="n">
        <v>900005375</v>
      </c>
      <c r="D10" s="7">
        <f>IFERROR(VLOOKUP(C10,TRAOPE!$G:$H,2,0),"")</f>
        <v/>
      </c>
      <c r="E10" s="8" t="inlineStr">
        <is>
          <t>D860</t>
        </is>
      </c>
      <c r="F10" s="8" t="inlineStr">
        <is>
          <t>65094171</t>
        </is>
      </c>
      <c r="G10" s="8">
        <f>IFERROR(VLOOKUP(A10,Flete!$A:$E,5,0),"")</f>
        <v/>
      </c>
      <c r="H10" s="7">
        <f>IFERROR(VLOOKUP(F10,TRAOPE!$AA:$AB,2,0),"")</f>
        <v/>
      </c>
      <c r="I10" s="7" t="n">
        <v>10052405</v>
      </c>
      <c r="J10" s="7">
        <f>IFERROR(VLOOKUP(I10,Materiales!$A:$H,8,0),"")</f>
        <v/>
      </c>
      <c r="K10" s="9">
        <f>IFERROR(VLOOKUP(I10,Materiales!$A:$G,7,0),"")</f>
        <v/>
      </c>
      <c r="L10" s="8" t="inlineStr">
        <is>
          <t>20221109</t>
        </is>
      </c>
      <c r="M10" s="8" t="inlineStr">
        <is>
          <t>20251031</t>
        </is>
      </c>
      <c r="N10" s="10" t="n">
        <v>131.2</v>
      </c>
      <c r="O10" s="10">
        <f>IFERROR(VLOOKUP(A10,Flete!$A:$J,10,0),"")</f>
        <v/>
      </c>
      <c r="P10" s="8" t="inlineStr">
        <is>
          <t>M3</t>
        </is>
      </c>
      <c r="Q10" s="10">
        <f>IFERROR(IFERROR(VLOOKUP(A10,TRAOPE!$A:$U,21,0),VLOOKUP(B10,TRAOPE!$A:$U,21,0)),"")</f>
        <v/>
      </c>
      <c r="R10" s="8">
        <f>IFERROR(IFERROR(VLOOKUP(A10,TRAOPE!$A:$W,23,0),VLOOKUP(B10,TRAOPE!$A:$W,23,0)),"")</f>
        <v/>
      </c>
      <c r="S10" s="10">
        <f>IF(AND(P10="TN",R10="TN"),N10+N(O10),IF(G10&amp;""="1",N(K10)*N10,(N10+N(O10))*N(K10)))</f>
        <v/>
      </c>
      <c r="T10" s="10">
        <f>IF(Q10="","",Q10-S10)</f>
        <v/>
      </c>
    </row>
    <row r="11">
      <c r="A11" s="7">
        <f>CONCATENATE(C11,E11,F11,I11)</f>
        <v/>
      </c>
      <c r="B11" s="7">
        <f>CONCATENATE(C11,E11,I11)</f>
        <v/>
      </c>
      <c r="C11" s="8" t="n">
        <v>900005375</v>
      </c>
      <c r="D11" s="7">
        <f>IFERROR(VLOOKUP(C11,TRAOPE!$G:$H,2,0),"")</f>
        <v/>
      </c>
      <c r="E11" s="8" t="inlineStr">
        <is>
          <t>D860</t>
        </is>
      </c>
      <c r="F11" s="8" t="inlineStr">
        <is>
          <t>65094171</t>
        </is>
      </c>
      <c r="G11" s="8">
        <f>IFERROR(VLOOKUP(A11,Flete!$A:$E,5,0),"")</f>
        <v/>
      </c>
      <c r="H11" s="7">
        <f>IFERROR(VLOOKUP(F11,TRAOPE!$AA:$AB,2,0),"")</f>
        <v/>
      </c>
      <c r="I11" s="7" t="n">
        <v>10052407</v>
      </c>
      <c r="J11" s="7">
        <f>IFERROR(VLOOKUP(I11,Materiales!$A:$H,8,0),"")</f>
        <v/>
      </c>
      <c r="K11" s="9">
        <f>IFERROR(VLOOKUP(I11,Materiales!$A:$G,7,0),"")</f>
        <v/>
      </c>
      <c r="L11" s="8" t="inlineStr">
        <is>
          <t>20221109</t>
        </is>
      </c>
      <c r="M11" s="8" t="inlineStr">
        <is>
          <t>20251031</t>
        </is>
      </c>
      <c r="N11" s="10" t="n">
        <v>118.78</v>
      </c>
      <c r="O11" s="10">
        <f>IFERROR(VLOOKUP(A11,Flete!$A:$J,10,0),"")</f>
        <v/>
      </c>
      <c r="P11" s="8" t="inlineStr">
        <is>
          <t>M3</t>
        </is>
      </c>
      <c r="Q11" s="10">
        <f>IFERROR(IFERROR(VLOOKUP(A11,TRAOPE!$A:$U,21,0),VLOOKUP(B11,TRAOPE!$A:$U,21,0)),"")</f>
        <v/>
      </c>
      <c r="R11" s="8">
        <f>IFERROR(IFERROR(VLOOKUP(A11,TRAOPE!$A:$W,23,0),VLOOKUP(B11,TRAOPE!$A:$W,23,0)),"")</f>
        <v/>
      </c>
      <c r="S11" s="10">
        <f>IF(AND(P11="TN",R11="TN"),N11+N(O11),IF(G11&amp;""="1",N(K11)*N11,(N11+N(O11))*N(K11)))</f>
        <v/>
      </c>
      <c r="T11" s="10">
        <f>IF(Q11="","",Q11-S11)</f>
        <v/>
      </c>
    </row>
    <row r="12">
      <c r="A12" s="7">
        <f>CONCATENATE(C12,E12,F12,I12)</f>
        <v/>
      </c>
      <c r="B12" s="7">
        <f>CONCATENATE(C12,E12,I12)</f>
        <v/>
      </c>
      <c r="C12" s="8" t="n">
        <v>900005375</v>
      </c>
      <c r="D12" s="7">
        <f>IFERROR(VLOOKUP(C12,TRAOPE!$G:$H,2,0),"")</f>
        <v/>
      </c>
      <c r="E12" s="8" t="inlineStr">
        <is>
          <t>D860</t>
        </is>
      </c>
      <c r="F12" s="8" t="inlineStr">
        <is>
          <t>65094171</t>
        </is>
      </c>
      <c r="G12" s="8">
        <f>IFERROR(VLOOKUP(A12,Flete!$A:$E,5,0),"")</f>
        <v/>
      </c>
      <c r="H12" s="7">
        <f>IFERROR(VLOOKUP(F12,TRAOPE!$AA:$AB,2,0),"")</f>
        <v/>
      </c>
      <c r="I12" s="7" t="n">
        <v>10190637</v>
      </c>
      <c r="J12" s="7">
        <f>IFERROR(VLOOKUP(I12,Materiales!$A:$H,8,0),"")</f>
        <v/>
      </c>
      <c r="K12" s="9">
        <f>IFERROR(VLOOKUP(I12,Materiales!$A:$G,7,0),"")</f>
        <v/>
      </c>
      <c r="L12" s="8" t="inlineStr">
        <is>
          <t>20221109</t>
        </is>
      </c>
      <c r="M12" s="8" t="inlineStr">
        <is>
          <t>20251031</t>
        </is>
      </c>
      <c r="N12" s="10" t="n">
        <v>131.2</v>
      </c>
      <c r="O12" s="10">
        <f>IFERROR(VLOOKUP(A12,Flete!$A:$J,10,0),"")</f>
        <v/>
      </c>
      <c r="P12" s="8" t="inlineStr">
        <is>
          <t>M3</t>
        </is>
      </c>
      <c r="Q12" s="10">
        <f>IFERROR(IFERROR(VLOOKUP(A12,TRAOPE!$A:$U,21,0),VLOOKUP(B12,TRAOPE!$A:$U,21,0)),"")</f>
        <v/>
      </c>
      <c r="R12" s="8">
        <f>IFERROR(IFERROR(VLOOKUP(A12,TRAOPE!$A:$W,23,0),VLOOKUP(B12,TRAOPE!$A:$W,23,0)),"")</f>
        <v/>
      </c>
      <c r="S12" s="10">
        <f>IF(AND(P12="TN",R12="TN"),N12+N(O12),IF(G12&amp;""="1",N(K12)*N12,(N12+N(O12))*N(K12)))</f>
        <v/>
      </c>
      <c r="T12" s="10">
        <f>IF(Q12="","",Q12-S12)</f>
        <v/>
      </c>
    </row>
    <row r="13">
      <c r="A13" s="7">
        <f>CONCATENATE(C13,E13,F13,I13)</f>
        <v/>
      </c>
      <c r="B13" s="7">
        <f>CONCATENATE(C13,E13,I13)</f>
        <v/>
      </c>
      <c r="C13" s="8" t="n">
        <v>900005375</v>
      </c>
      <c r="D13" s="7">
        <f>IFERROR(VLOOKUP(C13,TRAOPE!$G:$H,2,0),"")</f>
        <v/>
      </c>
      <c r="E13" s="8" t="inlineStr">
        <is>
          <t>D860</t>
        </is>
      </c>
      <c r="F13" s="8" t="inlineStr">
        <is>
          <t>65907412</t>
        </is>
      </c>
      <c r="G13" s="8">
        <f>IFERROR(VLOOKUP(A13,Flete!$A:$E,5,0),"")</f>
        <v/>
      </c>
      <c r="H13" s="7">
        <f>IFERROR(VLOOKUP(F13,TRAOPE!$AA:$AB,2,0),"")</f>
        <v/>
      </c>
      <c r="I13" s="7" t="n">
        <v>10052402</v>
      </c>
      <c r="J13" s="7">
        <f>IFERROR(VLOOKUP(I13,Materiales!$A:$H,8,0),"")</f>
        <v/>
      </c>
      <c r="K13" s="9">
        <f>IFERROR(VLOOKUP(I13,Materiales!$A:$G,7,0),"")</f>
        <v/>
      </c>
      <c r="L13" s="8" t="inlineStr">
        <is>
          <t>20221109</t>
        </is>
      </c>
      <c r="M13" s="8" t="inlineStr">
        <is>
          <t>20251031</t>
        </is>
      </c>
      <c r="N13" s="10" t="n">
        <v>192.51</v>
      </c>
      <c r="O13" s="10">
        <f>IFERROR(VLOOKUP(A13,Flete!$A:$J,10,0),"")</f>
        <v/>
      </c>
      <c r="P13" s="8" t="inlineStr">
        <is>
          <t>M3</t>
        </is>
      </c>
      <c r="Q13" s="10">
        <f>IFERROR(IFERROR(VLOOKUP(A13,TRAOPE!$A:$U,21,0),VLOOKUP(B13,TRAOPE!$A:$U,21,0)),"")</f>
        <v/>
      </c>
      <c r="R13" s="8">
        <f>IFERROR(IFERROR(VLOOKUP(A13,TRAOPE!$A:$W,23,0),VLOOKUP(B13,TRAOPE!$A:$W,23,0)),"")</f>
        <v/>
      </c>
      <c r="S13" s="10">
        <f>IF(AND(P13="TN",R13="TN"),N13+N(O13),IF(G13&amp;""="1",N(K13)*N13,(N13+N(O13))*N(K13)))</f>
        <v/>
      </c>
      <c r="T13" s="10">
        <f>IF(Q13="","",Q13-S13)</f>
        <v/>
      </c>
    </row>
    <row r="14">
      <c r="A14" s="7">
        <f>CONCATENATE(C14,E14,F14,I14)</f>
        <v/>
      </c>
      <c r="B14" s="7">
        <f>CONCATENATE(C14,E14,I14)</f>
        <v/>
      </c>
      <c r="C14" s="8" t="n">
        <v>900005375</v>
      </c>
      <c r="D14" s="7">
        <f>IFERROR(VLOOKUP(C14,TRAOPE!$G:$H,2,0),"")</f>
        <v/>
      </c>
      <c r="E14" s="8" t="inlineStr">
        <is>
          <t>D860</t>
        </is>
      </c>
      <c r="F14" s="8" t="inlineStr">
        <is>
          <t>65907412</t>
        </is>
      </c>
      <c r="G14" s="8">
        <f>IFERROR(VLOOKUP(A14,Flete!$A:$E,5,0),"")</f>
        <v/>
      </c>
      <c r="H14" s="7">
        <f>IFERROR(VLOOKUP(F14,TRAOPE!$AA:$AB,2,0),"")</f>
        <v/>
      </c>
      <c r="I14" s="7" t="n">
        <v>10052405</v>
      </c>
      <c r="J14" s="7">
        <f>IFERROR(VLOOKUP(I14,Materiales!$A:$H,8,0),"")</f>
        <v/>
      </c>
      <c r="K14" s="9">
        <f>IFERROR(VLOOKUP(I14,Materiales!$A:$G,7,0),"")</f>
        <v/>
      </c>
      <c r="L14" s="8" t="inlineStr">
        <is>
          <t>20221109</t>
        </is>
      </c>
      <c r="M14" s="8" t="inlineStr">
        <is>
          <t>20251031</t>
        </is>
      </c>
      <c r="N14" s="10" t="n">
        <v>124.2</v>
      </c>
      <c r="O14" s="10">
        <f>IFERROR(VLOOKUP(A14,Flete!$A:$J,10,0),"")</f>
        <v/>
      </c>
      <c r="P14" s="8" t="inlineStr">
        <is>
          <t>M3</t>
        </is>
      </c>
      <c r="Q14" s="10">
        <f>IFERROR(IFERROR(VLOOKUP(A14,TRAOPE!$A:$U,21,0),VLOOKUP(B14,TRAOPE!$A:$U,21,0)),"")</f>
        <v/>
      </c>
      <c r="R14" s="8">
        <f>IFERROR(IFERROR(VLOOKUP(A14,TRAOPE!$A:$W,23,0),VLOOKUP(B14,TRAOPE!$A:$W,23,0)),"")</f>
        <v/>
      </c>
      <c r="S14" s="10">
        <f>IF(AND(P14="TN",R14="TN"),N14+N(O14),IF(G14&amp;""="1",N(K14)*N14,(N14+N(O14))*N(K14)))</f>
        <v/>
      </c>
      <c r="T14" s="10">
        <f>IF(Q14="","",Q14-S14)</f>
        <v/>
      </c>
    </row>
    <row r="15">
      <c r="A15" s="7">
        <f>CONCATENATE(C15,E15,F15,I15)</f>
        <v/>
      </c>
      <c r="B15" s="7">
        <f>CONCATENATE(C15,E15,I15)</f>
        <v/>
      </c>
      <c r="C15" s="8" t="n">
        <v>900005375</v>
      </c>
      <c r="D15" s="7">
        <f>IFERROR(VLOOKUP(C15,TRAOPE!$G:$H,2,0),"")</f>
        <v/>
      </c>
      <c r="E15" s="8" t="inlineStr">
        <is>
          <t>D860</t>
        </is>
      </c>
      <c r="F15" s="8" t="inlineStr">
        <is>
          <t>65907412</t>
        </is>
      </c>
      <c r="G15" s="8">
        <f>IFERROR(VLOOKUP(A15,Flete!$A:$E,5,0),"")</f>
        <v/>
      </c>
      <c r="H15" s="7">
        <f>IFERROR(VLOOKUP(F15,TRAOPE!$AA:$AB,2,0),"")</f>
        <v/>
      </c>
      <c r="I15" s="7" t="n">
        <v>10052407</v>
      </c>
      <c r="J15" s="7">
        <f>IFERROR(VLOOKUP(I15,Materiales!$A:$H,8,0),"")</f>
        <v/>
      </c>
      <c r="K15" s="9">
        <f>IFERROR(VLOOKUP(I15,Materiales!$A:$G,7,0),"")</f>
        <v/>
      </c>
      <c r="L15" s="8" t="inlineStr">
        <is>
          <t>20221109</t>
        </is>
      </c>
      <c r="M15" s="8" t="inlineStr">
        <is>
          <t>20251031</t>
        </is>
      </c>
      <c r="N15" s="10" t="n">
        <v>111.78</v>
      </c>
      <c r="O15" s="10">
        <f>IFERROR(VLOOKUP(A15,Flete!$A:$J,10,0),"")</f>
        <v/>
      </c>
      <c r="P15" s="8" t="inlineStr">
        <is>
          <t>M3</t>
        </is>
      </c>
      <c r="Q15" s="10">
        <f>IFERROR(IFERROR(VLOOKUP(A15,TRAOPE!$A:$U,21,0),VLOOKUP(B15,TRAOPE!$A:$U,21,0)),"")</f>
        <v/>
      </c>
      <c r="R15" s="8">
        <f>IFERROR(IFERROR(VLOOKUP(A15,TRAOPE!$A:$W,23,0),VLOOKUP(B15,TRAOPE!$A:$W,23,0)),"")</f>
        <v/>
      </c>
      <c r="S15" s="10">
        <f>IF(AND(P15="TN",R15="TN"),N15+N(O15),IF(G15&amp;""="1",N(K15)*N15,(N15+N(O15))*N(K15)))</f>
        <v/>
      </c>
      <c r="T15" s="10">
        <f>IF(Q15="","",Q15-S15)</f>
        <v/>
      </c>
    </row>
    <row r="16">
      <c r="A16" s="7">
        <f>CONCATENATE(C16,E16,F16,I16)</f>
        <v/>
      </c>
      <c r="B16" s="7">
        <f>CONCATENATE(C16,E16,I16)</f>
        <v/>
      </c>
      <c r="C16" s="8" t="n">
        <v>900005375</v>
      </c>
      <c r="D16" s="7">
        <f>IFERROR(VLOOKUP(C16,TRAOPE!$G:$H,2,0),"")</f>
        <v/>
      </c>
      <c r="E16" s="8" t="inlineStr">
        <is>
          <t>D860</t>
        </is>
      </c>
      <c r="F16" s="8" t="inlineStr">
        <is>
          <t>65907412</t>
        </is>
      </c>
      <c r="G16" s="8">
        <f>IFERROR(VLOOKUP(A16,Flete!$A:$E,5,0),"")</f>
        <v/>
      </c>
      <c r="H16" s="7">
        <f>IFERROR(VLOOKUP(F16,TRAOPE!$AA:$AB,2,0),"")</f>
        <v/>
      </c>
      <c r="I16" s="7" t="n">
        <v>10190637</v>
      </c>
      <c r="J16" s="7">
        <f>IFERROR(VLOOKUP(I16,Materiales!$A:$H,8,0),"")</f>
        <v/>
      </c>
      <c r="K16" s="9">
        <f>IFERROR(VLOOKUP(I16,Materiales!$A:$G,7,0),"")</f>
        <v/>
      </c>
      <c r="L16" s="8" t="inlineStr">
        <is>
          <t>20221109</t>
        </is>
      </c>
      <c r="M16" s="8" t="inlineStr">
        <is>
          <t>20251031</t>
        </is>
      </c>
      <c r="N16" s="10" t="n">
        <v>124.2</v>
      </c>
      <c r="O16" s="10">
        <f>IFERROR(VLOOKUP(A16,Flete!$A:$J,10,0),"")</f>
        <v/>
      </c>
      <c r="P16" s="8" t="inlineStr">
        <is>
          <t>M3</t>
        </is>
      </c>
      <c r="Q16" s="10">
        <f>IFERROR(IFERROR(VLOOKUP(A16,TRAOPE!$A:$U,21,0),VLOOKUP(B16,TRAOPE!$A:$U,21,0)),"")</f>
        <v/>
      </c>
      <c r="R16" s="8">
        <f>IFERROR(IFERROR(VLOOKUP(A16,TRAOPE!$A:$W,23,0),VLOOKUP(B16,TRAOPE!$A:$W,23,0)),"")</f>
        <v/>
      </c>
      <c r="S16" s="10">
        <f>IF(AND(P16="TN",R16="TN"),N16+N(O16),IF(G16&amp;""="1",N(K16)*N16,(N16+N(O16))*N(K16)))</f>
        <v/>
      </c>
      <c r="T16" s="10">
        <f>IF(Q16="","",Q16-S16)</f>
        <v/>
      </c>
    </row>
    <row r="17">
      <c r="A17" s="7">
        <f>CONCATENATE(C17,E17,F17,I17)</f>
        <v/>
      </c>
      <c r="B17" s="7">
        <f>CONCATENATE(C17,E17,I17)</f>
        <v/>
      </c>
      <c r="C17" s="8" t="n">
        <v>900005375</v>
      </c>
      <c r="D17" s="7">
        <f>IFERROR(VLOOKUP(C17,TRAOPE!$G:$H,2,0),"")</f>
        <v/>
      </c>
      <c r="E17" s="8" t="inlineStr">
        <is>
          <t>D860</t>
        </is>
      </c>
      <c r="F17" s="8" t="inlineStr">
        <is>
          <t>66481109</t>
        </is>
      </c>
      <c r="G17" s="8">
        <f>IFERROR(VLOOKUP(A17,Flete!$A:$E,5,0),"")</f>
        <v/>
      </c>
      <c r="H17" s="7">
        <f>IFERROR(VLOOKUP(F17,TRAOPE!$AA:$AB,2,0),"")</f>
        <v/>
      </c>
      <c r="I17" s="7" t="n">
        <v>10190637</v>
      </c>
      <c r="J17" s="7">
        <f>IFERROR(VLOOKUP(I17,Materiales!$A:$H,8,0),"")</f>
        <v/>
      </c>
      <c r="K17" s="9">
        <f>IFERROR(VLOOKUP(I17,Materiales!$A:$G,7,0),"")</f>
        <v/>
      </c>
      <c r="L17" s="8" t="inlineStr">
        <is>
          <t>20221109</t>
        </is>
      </c>
      <c r="M17" s="8" t="inlineStr">
        <is>
          <t>20251031</t>
        </is>
      </c>
      <c r="N17" s="10" t="n">
        <v>124.2</v>
      </c>
      <c r="O17" s="10">
        <f>IFERROR(VLOOKUP(A17,Flete!$A:$J,10,0),"")</f>
        <v/>
      </c>
      <c r="P17" s="8" t="inlineStr">
        <is>
          <t>M3</t>
        </is>
      </c>
      <c r="Q17" s="10">
        <f>IFERROR(IFERROR(VLOOKUP(A17,TRAOPE!$A:$U,21,0),VLOOKUP(B17,TRAOPE!$A:$U,21,0)),"")</f>
        <v/>
      </c>
      <c r="R17" s="8">
        <f>IFERROR(IFERROR(VLOOKUP(A17,TRAOPE!$A:$W,23,0),VLOOKUP(B17,TRAOPE!$A:$W,23,0)),"")</f>
        <v/>
      </c>
      <c r="S17" s="10">
        <f>IF(AND(P17="TN",R17="TN"),N17+N(O17),IF(G17&amp;""="1",N(K17)*N17,(N17+N(O17))*N(K17)))</f>
        <v/>
      </c>
      <c r="T17" s="10">
        <f>IF(Q17="","",Q17-S17)</f>
        <v/>
      </c>
    </row>
    <row r="18">
      <c r="A18" s="7">
        <f>CONCATENATE(C18,E18,F18,I18)</f>
        <v/>
      </c>
      <c r="B18" s="7">
        <f>CONCATENATE(C18,E18,I18)</f>
        <v/>
      </c>
      <c r="C18" s="8" t="n">
        <v>900005375</v>
      </c>
      <c r="D18" s="7">
        <f>IFERROR(VLOOKUP(C18,TRAOPE!$G:$H,2,0),"")</f>
        <v/>
      </c>
      <c r="E18" s="8" t="inlineStr">
        <is>
          <t>D860</t>
        </is>
      </c>
      <c r="F18" s="8" t="inlineStr">
        <is>
          <t>66793731</t>
        </is>
      </c>
      <c r="G18" s="8">
        <f>IFERROR(VLOOKUP(A18,Flete!$A:$E,5,0),"")</f>
        <v/>
      </c>
      <c r="H18" s="7">
        <f>IFERROR(VLOOKUP(F18,TRAOPE!$AA:$AB,2,0),"")</f>
        <v/>
      </c>
      <c r="I18" s="7" t="n">
        <v>10052404</v>
      </c>
      <c r="J18" s="7">
        <f>IFERROR(VLOOKUP(I18,Materiales!$A:$H,8,0),"")</f>
        <v/>
      </c>
      <c r="K18" s="9">
        <f>IFERROR(VLOOKUP(I18,Materiales!$A:$G,7,0),"")</f>
        <v/>
      </c>
      <c r="L18" s="8" t="inlineStr">
        <is>
          <t>20221109</t>
        </is>
      </c>
      <c r="M18" s="8" t="inlineStr">
        <is>
          <t>20251031</t>
        </is>
      </c>
      <c r="N18" s="10" t="n">
        <v>125</v>
      </c>
      <c r="O18" s="10">
        <f>IFERROR(VLOOKUP(A18,Flete!$A:$J,10,0),"")</f>
        <v/>
      </c>
      <c r="P18" s="8" t="inlineStr">
        <is>
          <t>M3</t>
        </is>
      </c>
      <c r="Q18" s="10">
        <f>IFERROR(IFERROR(VLOOKUP(A18,TRAOPE!$A:$U,21,0),VLOOKUP(B18,TRAOPE!$A:$U,21,0)),"")</f>
        <v/>
      </c>
      <c r="R18" s="8">
        <f>IFERROR(IFERROR(VLOOKUP(A18,TRAOPE!$A:$W,23,0),VLOOKUP(B18,TRAOPE!$A:$W,23,0)),"")</f>
        <v/>
      </c>
      <c r="S18" s="10">
        <f>IF(AND(P18="TN",R18="TN"),N18+N(O18),IF(G18&amp;""="1",N(K18)*N18,(N18+N(O18))*N(K18)))</f>
        <v/>
      </c>
      <c r="T18" s="10">
        <f>IF(Q18="","",Q18-S18)</f>
        <v/>
      </c>
    </row>
    <row r="19">
      <c r="A19" s="7">
        <f>CONCATENATE(C19,E19,F19,I19)</f>
        <v/>
      </c>
      <c r="B19" s="7">
        <f>CONCATENATE(C19,E19,I19)</f>
        <v/>
      </c>
      <c r="C19" s="8" t="n">
        <v>900005375</v>
      </c>
      <c r="D19" s="7">
        <f>IFERROR(VLOOKUP(C19,TRAOPE!$G:$H,2,0),"")</f>
        <v/>
      </c>
      <c r="E19" s="8" t="inlineStr">
        <is>
          <t>D860</t>
        </is>
      </c>
      <c r="F19" s="8" t="inlineStr">
        <is>
          <t>66793731</t>
        </is>
      </c>
      <c r="G19" s="8">
        <f>IFERROR(VLOOKUP(A19,Flete!$A:$E,5,0),"")</f>
        <v/>
      </c>
      <c r="H19" s="7">
        <f>IFERROR(VLOOKUP(F19,TRAOPE!$AA:$AB,2,0),"")</f>
        <v/>
      </c>
      <c r="I19" s="7" t="n">
        <v>10052407</v>
      </c>
      <c r="J19" s="7">
        <f>IFERROR(VLOOKUP(I19,Materiales!$A:$H,8,0),"")</f>
        <v/>
      </c>
      <c r="K19" s="9">
        <f>IFERROR(VLOOKUP(I19,Materiales!$A:$G,7,0),"")</f>
        <v/>
      </c>
      <c r="L19" s="8" t="inlineStr">
        <is>
          <t>20221109</t>
        </is>
      </c>
      <c r="M19" s="8" t="inlineStr">
        <is>
          <t>20251031</t>
        </is>
      </c>
      <c r="N19" s="10" t="n">
        <v>112</v>
      </c>
      <c r="O19" s="10">
        <f>IFERROR(VLOOKUP(A19,Flete!$A:$J,10,0),"")</f>
        <v/>
      </c>
      <c r="P19" s="8" t="inlineStr">
        <is>
          <t>M3</t>
        </is>
      </c>
      <c r="Q19" s="10">
        <f>IFERROR(IFERROR(VLOOKUP(A19,TRAOPE!$A:$U,21,0),VLOOKUP(B19,TRAOPE!$A:$U,21,0)),"")</f>
        <v/>
      </c>
      <c r="R19" s="8">
        <f>IFERROR(IFERROR(VLOOKUP(A19,TRAOPE!$A:$W,23,0),VLOOKUP(B19,TRAOPE!$A:$W,23,0)),"")</f>
        <v/>
      </c>
      <c r="S19" s="10">
        <f>IF(AND(P19="TN",R19="TN"),N19+N(O19),IF(G19&amp;""="1",N(K19)*N19,(N19+N(O19))*N(K19)))</f>
        <v/>
      </c>
      <c r="T19" s="10">
        <f>IF(Q19="","",Q19-S19)</f>
        <v/>
      </c>
    </row>
    <row r="20">
      <c r="A20" s="7">
        <f>CONCATENATE(C20,E20,F20,I20)</f>
        <v/>
      </c>
      <c r="B20" s="7">
        <f>CONCATENATE(C20,E20,I20)</f>
        <v/>
      </c>
      <c r="C20" s="8" t="n">
        <v>900005375</v>
      </c>
      <c r="D20" s="7">
        <f>IFERROR(VLOOKUP(C20,TRAOPE!$G:$H,2,0),"")</f>
        <v/>
      </c>
      <c r="E20" s="8" t="inlineStr">
        <is>
          <t>D860</t>
        </is>
      </c>
      <c r="F20" s="8" t="inlineStr">
        <is>
          <t>66854763</t>
        </is>
      </c>
      <c r="G20" s="8">
        <f>IFERROR(VLOOKUP(A20,Flete!$A:$E,5,0),"")</f>
        <v/>
      </c>
      <c r="H20" s="7">
        <f>IFERROR(VLOOKUP(F20,TRAOPE!$AA:$AB,2,0),"")</f>
        <v/>
      </c>
      <c r="I20" s="7" t="n">
        <v>10052407</v>
      </c>
      <c r="J20" s="7">
        <f>IFERROR(VLOOKUP(I20,Materiales!$A:$H,8,0),"")</f>
        <v/>
      </c>
      <c r="K20" s="9">
        <f>IFERROR(VLOOKUP(I20,Materiales!$A:$G,7,0),"")</f>
        <v/>
      </c>
      <c r="L20" s="8" t="inlineStr">
        <is>
          <t>20221109</t>
        </is>
      </c>
      <c r="M20" s="8" t="inlineStr">
        <is>
          <t>20251031</t>
        </is>
      </c>
      <c r="N20" s="10" t="n">
        <v>112.3</v>
      </c>
      <c r="O20" s="10">
        <f>IFERROR(VLOOKUP(A20,Flete!$A:$J,10,0),"")</f>
        <v/>
      </c>
      <c r="P20" s="8" t="inlineStr">
        <is>
          <t>M3</t>
        </is>
      </c>
      <c r="Q20" s="10">
        <f>IFERROR(IFERROR(VLOOKUP(A20,TRAOPE!$A:$U,21,0),VLOOKUP(B20,TRAOPE!$A:$U,21,0)),"")</f>
        <v/>
      </c>
      <c r="R20" s="8">
        <f>IFERROR(IFERROR(VLOOKUP(A20,TRAOPE!$A:$W,23,0),VLOOKUP(B20,TRAOPE!$A:$W,23,0)),"")</f>
        <v/>
      </c>
      <c r="S20" s="10">
        <f>IF(AND(P20="TN",R20="TN"),N20+N(O20),IF(G20&amp;""="1",N(K20)*N20,(N20+N(O20))*N(K20)))</f>
        <v/>
      </c>
      <c r="T20" s="10">
        <f>IF(Q20="","",Q20-S20)</f>
        <v/>
      </c>
    </row>
    <row r="21">
      <c r="A21" s="7">
        <f>CONCATENATE(C21,E21,F21,I21)</f>
        <v/>
      </c>
      <c r="B21" s="7">
        <f>CONCATENATE(C21,E21,I21)</f>
        <v/>
      </c>
      <c r="C21" s="8" t="n">
        <v>900005375</v>
      </c>
      <c r="D21" s="7">
        <f>IFERROR(VLOOKUP(C21,TRAOPE!$G:$H,2,0),"")</f>
        <v/>
      </c>
      <c r="E21" s="8" t="inlineStr">
        <is>
          <t>D860</t>
        </is>
      </c>
      <c r="F21" s="8" t="inlineStr">
        <is>
          <t>66856562</t>
        </is>
      </c>
      <c r="G21" s="8">
        <f>IFERROR(VLOOKUP(A21,Flete!$A:$E,5,0),"")</f>
        <v/>
      </c>
      <c r="H21" s="7">
        <f>IFERROR(VLOOKUP(F21,TRAOPE!$AA:$AB,2,0),"")</f>
        <v/>
      </c>
      <c r="I21" s="7" t="n">
        <v>10000176</v>
      </c>
      <c r="J21" s="7">
        <f>IFERROR(VLOOKUP(I21,Materiales!$A:$H,8,0),"")</f>
        <v/>
      </c>
      <c r="K21" s="9">
        <f>IFERROR(VLOOKUP(I21,Materiales!$A:$G,7,0),"")</f>
        <v/>
      </c>
      <c r="L21" s="8" t="inlineStr">
        <is>
          <t>20221109</t>
        </is>
      </c>
      <c r="M21" s="8" t="inlineStr">
        <is>
          <t>20251031</t>
        </is>
      </c>
      <c r="N21" s="10" t="n">
        <v>124.2</v>
      </c>
      <c r="O21" s="10">
        <f>IFERROR(VLOOKUP(A21,Flete!$A:$J,10,0),"")</f>
        <v/>
      </c>
      <c r="P21" s="8" t="inlineStr">
        <is>
          <t>M3</t>
        </is>
      </c>
      <c r="Q21" s="10">
        <f>IFERROR(IFERROR(VLOOKUP(A21,TRAOPE!$A:$U,21,0),VLOOKUP(B21,TRAOPE!$A:$U,21,0)),"")</f>
        <v/>
      </c>
      <c r="R21" s="8">
        <f>IFERROR(IFERROR(VLOOKUP(A21,TRAOPE!$A:$W,23,0),VLOOKUP(B21,TRAOPE!$A:$W,23,0)),"")</f>
        <v/>
      </c>
      <c r="S21" s="10">
        <f>IF(AND(P21="TN",R21="TN"),N21+N(O21),IF(G21&amp;""="1",N(K21)*N21,(N21+N(O21))*N(K21)))</f>
        <v/>
      </c>
      <c r="T21" s="10">
        <f>IF(Q21="","",Q21-S21)</f>
        <v/>
      </c>
    </row>
    <row r="22">
      <c r="A22" s="7">
        <f>CONCATENATE(C22,E22,F22,I22)</f>
        <v/>
      </c>
      <c r="B22" s="7">
        <f>CONCATENATE(C22,E22,I22)</f>
        <v/>
      </c>
      <c r="C22" s="8" t="n">
        <v>900005375</v>
      </c>
      <c r="D22" s="7">
        <f>IFERROR(VLOOKUP(C22,TRAOPE!$G:$H,2,0),"")</f>
        <v/>
      </c>
      <c r="E22" s="8" t="inlineStr">
        <is>
          <t>D860</t>
        </is>
      </c>
      <c r="F22" s="8" t="inlineStr">
        <is>
          <t>66856562</t>
        </is>
      </c>
      <c r="G22" s="8">
        <f>IFERROR(VLOOKUP(A22,Flete!$A:$E,5,0),"")</f>
        <v/>
      </c>
      <c r="H22" s="7">
        <f>IFERROR(VLOOKUP(F22,TRAOPE!$AA:$AB,2,0),"")</f>
        <v/>
      </c>
      <c r="I22" s="7" t="n">
        <v>10052402</v>
      </c>
      <c r="J22" s="7">
        <f>IFERROR(VLOOKUP(I22,Materiales!$A:$H,8,0),"")</f>
        <v/>
      </c>
      <c r="K22" s="9">
        <f>IFERROR(VLOOKUP(I22,Materiales!$A:$G,7,0),"")</f>
        <v/>
      </c>
      <c r="L22" s="8" t="inlineStr">
        <is>
          <t>20221109</t>
        </is>
      </c>
      <c r="M22" s="8" t="inlineStr">
        <is>
          <t>20251031</t>
        </is>
      </c>
      <c r="N22" s="10" t="n">
        <v>215.61</v>
      </c>
      <c r="O22" s="10">
        <f>IFERROR(VLOOKUP(A22,Flete!$A:$J,10,0),"")</f>
        <v/>
      </c>
      <c r="P22" s="8" t="inlineStr">
        <is>
          <t>M3</t>
        </is>
      </c>
      <c r="Q22" s="10">
        <f>IFERROR(IFERROR(VLOOKUP(A22,TRAOPE!$A:$U,21,0),VLOOKUP(B22,TRAOPE!$A:$U,21,0)),"")</f>
        <v/>
      </c>
      <c r="R22" s="8">
        <f>IFERROR(IFERROR(VLOOKUP(A22,TRAOPE!$A:$W,23,0),VLOOKUP(B22,TRAOPE!$A:$W,23,0)),"")</f>
        <v/>
      </c>
      <c r="S22" s="10">
        <f>IF(AND(P22="TN",R22="TN"),N22+N(O22),IF(G22&amp;""="1",N(K22)*N22,(N22+N(O22))*N(K22)))</f>
        <v/>
      </c>
      <c r="T22" s="10">
        <f>IF(Q22="","",Q22-S22)</f>
        <v/>
      </c>
    </row>
    <row r="23">
      <c r="A23" s="7">
        <f>CONCATENATE(C23,E23,F23,I23)</f>
        <v/>
      </c>
      <c r="B23" s="7">
        <f>CONCATENATE(C23,E23,I23)</f>
        <v/>
      </c>
      <c r="C23" s="8" t="n">
        <v>900005375</v>
      </c>
      <c r="D23" s="7">
        <f>IFERROR(VLOOKUP(C23,TRAOPE!$G:$H,2,0),"")</f>
        <v/>
      </c>
      <c r="E23" s="8" t="inlineStr">
        <is>
          <t>D860</t>
        </is>
      </c>
      <c r="F23" s="8" t="inlineStr">
        <is>
          <t>66856562</t>
        </is>
      </c>
      <c r="G23" s="8">
        <f>IFERROR(VLOOKUP(A23,Flete!$A:$E,5,0),"")</f>
        <v/>
      </c>
      <c r="H23" s="7">
        <f>IFERROR(VLOOKUP(F23,TRAOPE!$AA:$AB,2,0),"")</f>
        <v/>
      </c>
      <c r="I23" s="7" t="n">
        <v>10052405</v>
      </c>
      <c r="J23" s="7">
        <f>IFERROR(VLOOKUP(I23,Materiales!$A:$H,8,0),"")</f>
        <v/>
      </c>
      <c r="K23" s="9">
        <f>IFERROR(VLOOKUP(I23,Materiales!$A:$G,7,0),"")</f>
        <v/>
      </c>
      <c r="L23" s="8" t="inlineStr">
        <is>
          <t>20221109</t>
        </is>
      </c>
      <c r="M23" s="8" t="inlineStr">
        <is>
          <t>20251031</t>
        </is>
      </c>
      <c r="N23" s="10" t="n">
        <v>124.2</v>
      </c>
      <c r="O23" s="10">
        <f>IFERROR(VLOOKUP(A23,Flete!$A:$J,10,0),"")</f>
        <v/>
      </c>
      <c r="P23" s="8" t="inlineStr">
        <is>
          <t>M3</t>
        </is>
      </c>
      <c r="Q23" s="10">
        <f>IFERROR(IFERROR(VLOOKUP(A23,TRAOPE!$A:$U,21,0),VLOOKUP(B23,TRAOPE!$A:$U,21,0)),"")</f>
        <v/>
      </c>
      <c r="R23" s="8">
        <f>IFERROR(IFERROR(VLOOKUP(A23,TRAOPE!$A:$W,23,0),VLOOKUP(B23,TRAOPE!$A:$W,23,0)),"")</f>
        <v/>
      </c>
      <c r="S23" s="10">
        <f>IF(AND(P23="TN",R23="TN"),N23+N(O23),IF(G23&amp;""="1",N(K23)*N23,(N23+N(O23))*N(K23)))</f>
        <v/>
      </c>
      <c r="T23" s="10">
        <f>IF(Q23="","",Q23-S23)</f>
        <v/>
      </c>
    </row>
    <row r="24">
      <c r="A24" s="7">
        <f>CONCATENATE(C24,E24,F24,I24)</f>
        <v/>
      </c>
      <c r="B24" s="7">
        <f>CONCATENATE(C24,E24,I24)</f>
        <v/>
      </c>
      <c r="C24" s="8" t="n">
        <v>900005375</v>
      </c>
      <c r="D24" s="7">
        <f>IFERROR(VLOOKUP(C24,TRAOPE!$G:$H,2,0),"")</f>
        <v/>
      </c>
      <c r="E24" s="8" t="inlineStr">
        <is>
          <t>D860</t>
        </is>
      </c>
      <c r="F24" s="8" t="inlineStr">
        <is>
          <t>66856562</t>
        </is>
      </c>
      <c r="G24" s="8">
        <f>IFERROR(VLOOKUP(A24,Flete!$A:$E,5,0),"")</f>
        <v/>
      </c>
      <c r="H24" s="7">
        <f>IFERROR(VLOOKUP(F24,TRAOPE!$AA:$AB,2,0),"")</f>
        <v/>
      </c>
      <c r="I24" s="7" t="n">
        <v>10052407</v>
      </c>
      <c r="J24" s="7">
        <f>IFERROR(VLOOKUP(I24,Materiales!$A:$H,8,0),"")</f>
        <v/>
      </c>
      <c r="K24" s="9">
        <f>IFERROR(VLOOKUP(I24,Materiales!$A:$G,7,0),"")</f>
        <v/>
      </c>
      <c r="L24" s="8" t="inlineStr">
        <is>
          <t>20221109</t>
        </is>
      </c>
      <c r="M24" s="8" t="inlineStr">
        <is>
          <t>20251031</t>
        </is>
      </c>
      <c r="N24" s="10" t="n">
        <v>125.19</v>
      </c>
      <c r="O24" s="10">
        <f>IFERROR(VLOOKUP(A24,Flete!$A:$J,10,0),"")</f>
        <v/>
      </c>
      <c r="P24" s="8" t="inlineStr">
        <is>
          <t>M3</t>
        </is>
      </c>
      <c r="Q24" s="10">
        <f>IFERROR(IFERROR(VLOOKUP(A24,TRAOPE!$A:$U,21,0),VLOOKUP(B24,TRAOPE!$A:$U,21,0)),"")</f>
        <v/>
      </c>
      <c r="R24" s="8">
        <f>IFERROR(IFERROR(VLOOKUP(A24,TRAOPE!$A:$W,23,0),VLOOKUP(B24,TRAOPE!$A:$W,23,0)),"")</f>
        <v/>
      </c>
      <c r="S24" s="10">
        <f>IF(AND(P24="TN",R24="TN"),N24+N(O24),IF(G24&amp;""="1",N(K24)*N24,(N24+N(O24))*N(K24)))</f>
        <v/>
      </c>
      <c r="T24" s="10">
        <f>IF(Q24="","",Q24-S24)</f>
        <v/>
      </c>
    </row>
    <row r="25">
      <c r="A25" s="7">
        <f>CONCATENATE(C25,E25,F25,I25)</f>
        <v/>
      </c>
      <c r="B25" s="7">
        <f>CONCATENATE(C25,E25,I25)</f>
        <v/>
      </c>
      <c r="C25" s="8" t="n">
        <v>900005375</v>
      </c>
      <c r="D25" s="7">
        <f>IFERROR(VLOOKUP(C25,TRAOPE!$G:$H,2,0),"")</f>
        <v/>
      </c>
      <c r="E25" s="8" t="inlineStr">
        <is>
          <t>D860</t>
        </is>
      </c>
      <c r="F25" s="8" t="inlineStr">
        <is>
          <t>66856562</t>
        </is>
      </c>
      <c r="G25" s="8">
        <f>IFERROR(VLOOKUP(A25,Flete!$A:$E,5,0),"")</f>
        <v/>
      </c>
      <c r="H25" s="7">
        <f>IFERROR(VLOOKUP(F25,TRAOPE!$AA:$AB,2,0),"")</f>
        <v/>
      </c>
      <c r="I25" s="7" t="n">
        <v>10190637</v>
      </c>
      <c r="J25" s="7">
        <f>IFERROR(VLOOKUP(I25,Materiales!$A:$H,8,0),"")</f>
        <v/>
      </c>
      <c r="K25" s="9">
        <f>IFERROR(VLOOKUP(I25,Materiales!$A:$G,7,0),"")</f>
        <v/>
      </c>
      <c r="L25" s="8" t="inlineStr">
        <is>
          <t>20221109</t>
        </is>
      </c>
      <c r="M25" s="8" t="inlineStr">
        <is>
          <t>20251031</t>
        </is>
      </c>
      <c r="N25" s="10" t="n">
        <v>139.1</v>
      </c>
      <c r="O25" s="10">
        <f>IFERROR(VLOOKUP(A25,Flete!$A:$J,10,0),"")</f>
        <v/>
      </c>
      <c r="P25" s="8" t="inlineStr">
        <is>
          <t>M3</t>
        </is>
      </c>
      <c r="Q25" s="10">
        <f>IFERROR(IFERROR(VLOOKUP(A25,TRAOPE!$A:$U,21,0),VLOOKUP(B25,TRAOPE!$A:$U,21,0)),"")</f>
        <v/>
      </c>
      <c r="R25" s="8">
        <f>IFERROR(IFERROR(VLOOKUP(A25,TRAOPE!$A:$W,23,0),VLOOKUP(B25,TRAOPE!$A:$W,23,0)),"")</f>
        <v/>
      </c>
      <c r="S25" s="10">
        <f>IF(AND(P25="TN",R25="TN"),N25+N(O25),IF(G25&amp;""="1",N(K25)*N25,(N25+N(O25))*N(K25)))</f>
        <v/>
      </c>
      <c r="T25" s="10">
        <f>IF(Q25="","",Q25-S25)</f>
        <v/>
      </c>
    </row>
    <row r="26">
      <c r="A26" s="7">
        <f>CONCATENATE(C26,E26,F26,I26)</f>
        <v/>
      </c>
      <c r="B26" s="7">
        <f>CONCATENATE(C26,E26,I26)</f>
        <v/>
      </c>
      <c r="C26" s="8" t="n">
        <v>900005375</v>
      </c>
      <c r="D26" s="7">
        <f>IFERROR(VLOOKUP(C26,TRAOPE!$G:$H,2,0),"")</f>
        <v/>
      </c>
      <c r="E26" s="8" t="inlineStr">
        <is>
          <t>D860</t>
        </is>
      </c>
      <c r="F26" s="8" t="inlineStr">
        <is>
          <t>66896136</t>
        </is>
      </c>
      <c r="G26" s="8">
        <f>IFERROR(VLOOKUP(A26,Flete!$A:$E,5,0),"")</f>
        <v/>
      </c>
      <c r="H26" s="7">
        <f>IFERROR(VLOOKUP(F26,TRAOPE!$AA:$AB,2,0),"")</f>
        <v/>
      </c>
      <c r="I26" s="7" t="n">
        <v>10000176</v>
      </c>
      <c r="J26" s="7">
        <f>IFERROR(VLOOKUP(I26,Materiales!$A:$H,8,0),"")</f>
        <v/>
      </c>
      <c r="K26" s="9">
        <f>IFERROR(VLOOKUP(I26,Materiales!$A:$G,7,0),"")</f>
        <v/>
      </c>
      <c r="L26" s="8" t="inlineStr">
        <is>
          <t>20221109</t>
        </is>
      </c>
      <c r="M26" s="8" t="inlineStr">
        <is>
          <t>20251031</t>
        </is>
      </c>
      <c r="N26" s="10" t="n">
        <v>124.2</v>
      </c>
      <c r="O26" s="10">
        <f>IFERROR(VLOOKUP(A26,Flete!$A:$J,10,0),"")</f>
        <v/>
      </c>
      <c r="P26" s="8" t="inlineStr">
        <is>
          <t>M3</t>
        </is>
      </c>
      <c r="Q26" s="10">
        <f>IFERROR(IFERROR(VLOOKUP(A26,TRAOPE!$A:$U,21,0),VLOOKUP(B26,TRAOPE!$A:$U,21,0)),"")</f>
        <v/>
      </c>
      <c r="R26" s="8">
        <f>IFERROR(IFERROR(VLOOKUP(A26,TRAOPE!$A:$W,23,0),VLOOKUP(B26,TRAOPE!$A:$W,23,0)),"")</f>
        <v/>
      </c>
      <c r="S26" s="10">
        <f>IF(AND(P26="TN",R26="TN"),N26+N(O26),IF(G26&amp;""="1",N(K26)*N26,(N26+N(O26))*N(K26)))</f>
        <v/>
      </c>
      <c r="T26" s="10">
        <f>IF(Q26="","",Q26-S26)</f>
        <v/>
      </c>
    </row>
    <row r="27">
      <c r="A27" s="7">
        <f>CONCATENATE(C27,E27,F27,I27)</f>
        <v/>
      </c>
      <c r="B27" s="7">
        <f>CONCATENATE(C27,E27,I27)</f>
        <v/>
      </c>
      <c r="C27" s="8" t="n">
        <v>900005375</v>
      </c>
      <c r="D27" s="7">
        <f>IFERROR(VLOOKUP(C27,TRAOPE!$G:$H,2,0),"")</f>
        <v/>
      </c>
      <c r="E27" s="8" t="inlineStr">
        <is>
          <t>D860</t>
        </is>
      </c>
      <c r="F27" s="8" t="inlineStr">
        <is>
          <t>67118819</t>
        </is>
      </c>
      <c r="G27" s="8">
        <f>IFERROR(VLOOKUP(A27,Flete!$A:$E,5,0),"")</f>
        <v/>
      </c>
      <c r="H27" s="7">
        <f>IFERROR(VLOOKUP(F27,TRAOPE!$AA:$AB,2,0),"")</f>
        <v/>
      </c>
      <c r="I27" s="7" t="n">
        <v>10000176</v>
      </c>
      <c r="J27" s="7">
        <f>IFERROR(VLOOKUP(I27,Materiales!$A:$H,8,0),"")</f>
        <v/>
      </c>
      <c r="K27" s="9">
        <f>IFERROR(VLOOKUP(I27,Materiales!$A:$G,7,0),"")</f>
        <v/>
      </c>
      <c r="L27" s="8" t="inlineStr">
        <is>
          <t>20221109</t>
        </is>
      </c>
      <c r="M27" s="8" t="inlineStr">
        <is>
          <t>20251031</t>
        </is>
      </c>
      <c r="N27" s="10" t="n">
        <v>124.2</v>
      </c>
      <c r="O27" s="10">
        <f>IFERROR(VLOOKUP(A27,Flete!$A:$J,10,0),"")</f>
        <v/>
      </c>
      <c r="P27" s="8" t="inlineStr">
        <is>
          <t>M3</t>
        </is>
      </c>
      <c r="Q27" s="10">
        <f>IFERROR(IFERROR(VLOOKUP(A27,TRAOPE!$A:$U,21,0),VLOOKUP(B27,TRAOPE!$A:$U,21,0)),"")</f>
        <v/>
      </c>
      <c r="R27" s="8">
        <f>IFERROR(IFERROR(VLOOKUP(A27,TRAOPE!$A:$W,23,0),VLOOKUP(B27,TRAOPE!$A:$W,23,0)),"")</f>
        <v/>
      </c>
      <c r="S27" s="10">
        <f>IF(AND(P27="TN",R27="TN"),N27+N(O27),IF(G27&amp;""="1",N(K27)*N27,(N27+N(O27))*N(K27)))</f>
        <v/>
      </c>
      <c r="T27" s="10">
        <f>IF(Q27="","",Q27-S27)</f>
        <v/>
      </c>
    </row>
    <row r="28">
      <c r="A28" s="7">
        <f>CONCATENATE(C28,E28,F28,I28)</f>
        <v/>
      </c>
      <c r="B28" s="7">
        <f>CONCATENATE(C28,E28,I28)</f>
        <v/>
      </c>
      <c r="C28" s="8" t="n">
        <v>900005375</v>
      </c>
      <c r="D28" s="7">
        <f>IFERROR(VLOOKUP(C28,TRAOPE!$G:$H,2,0),"")</f>
        <v/>
      </c>
      <c r="E28" s="8" t="inlineStr">
        <is>
          <t>D860</t>
        </is>
      </c>
      <c r="F28" s="8" t="inlineStr">
        <is>
          <t>67118819</t>
        </is>
      </c>
      <c r="G28" s="8">
        <f>IFERROR(VLOOKUP(A28,Flete!$A:$E,5,0),"")</f>
        <v/>
      </c>
      <c r="H28" s="7">
        <f>IFERROR(VLOOKUP(F28,TRAOPE!$AA:$AB,2,0),"")</f>
        <v/>
      </c>
      <c r="I28" s="7" t="n">
        <v>10052402</v>
      </c>
      <c r="J28" s="7">
        <f>IFERROR(VLOOKUP(I28,Materiales!$A:$H,8,0),"")</f>
        <v/>
      </c>
      <c r="K28" s="9">
        <f>IFERROR(VLOOKUP(I28,Materiales!$A:$G,7,0),"")</f>
        <v/>
      </c>
      <c r="L28" s="8" t="inlineStr">
        <is>
          <t>20221109</t>
        </is>
      </c>
      <c r="M28" s="8" t="inlineStr">
        <is>
          <t>20251031</t>
        </is>
      </c>
      <c r="N28" s="10" t="n">
        <v>215.61</v>
      </c>
      <c r="O28" s="10">
        <f>IFERROR(VLOOKUP(A28,Flete!$A:$J,10,0),"")</f>
        <v/>
      </c>
      <c r="P28" s="8" t="inlineStr">
        <is>
          <t>M3</t>
        </is>
      </c>
      <c r="Q28" s="10">
        <f>IFERROR(IFERROR(VLOOKUP(A28,TRAOPE!$A:$U,21,0),VLOOKUP(B28,TRAOPE!$A:$U,21,0)),"")</f>
        <v/>
      </c>
      <c r="R28" s="8">
        <f>IFERROR(IFERROR(VLOOKUP(A28,TRAOPE!$A:$W,23,0),VLOOKUP(B28,TRAOPE!$A:$W,23,0)),"")</f>
        <v/>
      </c>
      <c r="S28" s="10">
        <f>IF(AND(P28="TN",R28="TN"),N28+N(O28),IF(G28&amp;""="1",N(K28)*N28,(N28+N(O28))*N(K28)))</f>
        <v/>
      </c>
      <c r="T28" s="10">
        <f>IF(Q28="","",Q28-S28)</f>
        <v/>
      </c>
    </row>
    <row r="29">
      <c r="A29" s="7">
        <f>CONCATENATE(C29,E29,F29,I29)</f>
        <v/>
      </c>
      <c r="B29" s="7">
        <f>CONCATENATE(C29,E29,I29)</f>
        <v/>
      </c>
      <c r="C29" s="8" t="n">
        <v>900005375</v>
      </c>
      <c r="D29" s="7">
        <f>IFERROR(VLOOKUP(C29,TRAOPE!$G:$H,2,0),"")</f>
        <v/>
      </c>
      <c r="E29" s="8" t="inlineStr">
        <is>
          <t>D860</t>
        </is>
      </c>
      <c r="F29" s="8" t="inlineStr">
        <is>
          <t>67118819</t>
        </is>
      </c>
      <c r="G29" s="8">
        <f>IFERROR(VLOOKUP(A29,Flete!$A:$E,5,0),"")</f>
        <v/>
      </c>
      <c r="H29" s="7">
        <f>IFERROR(VLOOKUP(F29,TRAOPE!$AA:$AB,2,0),"")</f>
        <v/>
      </c>
      <c r="I29" s="7" t="n">
        <v>10052405</v>
      </c>
      <c r="J29" s="7">
        <f>IFERROR(VLOOKUP(I29,Materiales!$A:$H,8,0),"")</f>
        <v/>
      </c>
      <c r="K29" s="9">
        <f>IFERROR(VLOOKUP(I29,Materiales!$A:$G,7,0),"")</f>
        <v/>
      </c>
      <c r="L29" s="8" t="inlineStr">
        <is>
          <t>20221109</t>
        </is>
      </c>
      <c r="M29" s="8" t="inlineStr">
        <is>
          <t>20251031</t>
        </is>
      </c>
      <c r="N29" s="10" t="n">
        <v>139.1</v>
      </c>
      <c r="O29" s="10">
        <f>IFERROR(VLOOKUP(A29,Flete!$A:$J,10,0),"")</f>
        <v/>
      </c>
      <c r="P29" s="8" t="inlineStr">
        <is>
          <t>M3</t>
        </is>
      </c>
      <c r="Q29" s="10">
        <f>IFERROR(IFERROR(VLOOKUP(A29,TRAOPE!$A:$U,21,0),VLOOKUP(B29,TRAOPE!$A:$U,21,0)),"")</f>
        <v/>
      </c>
      <c r="R29" s="8">
        <f>IFERROR(IFERROR(VLOOKUP(A29,TRAOPE!$A:$W,23,0),VLOOKUP(B29,TRAOPE!$A:$W,23,0)),"")</f>
        <v/>
      </c>
      <c r="S29" s="10">
        <f>IF(AND(P29="TN",R29="TN"),N29+N(O29),IF(G29&amp;""="1",N(K29)*N29,(N29+N(O29))*N(K29)))</f>
        <v/>
      </c>
      <c r="T29" s="10">
        <f>IF(Q29="","",Q29-S29)</f>
        <v/>
      </c>
    </row>
    <row r="30">
      <c r="A30" s="7">
        <f>CONCATENATE(C30,E30,F30,I30)</f>
        <v/>
      </c>
      <c r="B30" s="7">
        <f>CONCATENATE(C30,E30,I30)</f>
        <v/>
      </c>
      <c r="C30" s="8" t="n">
        <v>900005375</v>
      </c>
      <c r="D30" s="7">
        <f>IFERROR(VLOOKUP(C30,TRAOPE!$G:$H,2,0),"")</f>
        <v/>
      </c>
      <c r="E30" s="8" t="inlineStr">
        <is>
          <t>D860</t>
        </is>
      </c>
      <c r="F30" s="8" t="inlineStr">
        <is>
          <t>67118819</t>
        </is>
      </c>
      <c r="G30" s="8">
        <f>IFERROR(VLOOKUP(A30,Flete!$A:$E,5,0),"")</f>
        <v/>
      </c>
      <c r="H30" s="7">
        <f>IFERROR(VLOOKUP(F30,TRAOPE!$AA:$AB,2,0),"")</f>
        <v/>
      </c>
      <c r="I30" s="7" t="n">
        <v>10052407</v>
      </c>
      <c r="J30" s="7">
        <f>IFERROR(VLOOKUP(I30,Materiales!$A:$H,8,0),"")</f>
        <v/>
      </c>
      <c r="K30" s="9">
        <f>IFERROR(VLOOKUP(I30,Materiales!$A:$G,7,0),"")</f>
        <v/>
      </c>
      <c r="L30" s="8" t="inlineStr">
        <is>
          <t>20221109</t>
        </is>
      </c>
      <c r="M30" s="8" t="inlineStr">
        <is>
          <t>20251031</t>
        </is>
      </c>
      <c r="N30" s="10" t="n">
        <v>125.19</v>
      </c>
      <c r="O30" s="10">
        <f>IFERROR(VLOOKUP(A30,Flete!$A:$J,10,0),"")</f>
        <v/>
      </c>
      <c r="P30" s="8" t="inlineStr">
        <is>
          <t>M3</t>
        </is>
      </c>
      <c r="Q30" s="10">
        <f>IFERROR(IFERROR(VLOOKUP(A30,TRAOPE!$A:$U,21,0),VLOOKUP(B30,TRAOPE!$A:$U,21,0)),"")</f>
        <v/>
      </c>
      <c r="R30" s="8">
        <f>IFERROR(IFERROR(VLOOKUP(A30,TRAOPE!$A:$W,23,0),VLOOKUP(B30,TRAOPE!$A:$W,23,0)),"")</f>
        <v/>
      </c>
      <c r="S30" s="10">
        <f>IF(AND(P30="TN",R30="TN"),N30+N(O30),IF(G30&amp;""="1",N(K30)*N30,(N30+N(O30))*N(K30)))</f>
        <v/>
      </c>
      <c r="T30" s="10">
        <f>IF(Q30="","",Q30-S30)</f>
        <v/>
      </c>
    </row>
    <row r="31">
      <c r="A31" s="7">
        <f>CONCATENATE(C31,E31,F31,I31)</f>
        <v/>
      </c>
      <c r="B31" s="7">
        <f>CONCATENATE(C31,E31,I31)</f>
        <v/>
      </c>
      <c r="C31" s="8" t="n">
        <v>900005375</v>
      </c>
      <c r="D31" s="7">
        <f>IFERROR(VLOOKUP(C31,TRAOPE!$G:$H,2,0),"")</f>
        <v/>
      </c>
      <c r="E31" s="8" t="inlineStr">
        <is>
          <t>D860</t>
        </is>
      </c>
      <c r="F31" s="8" t="inlineStr">
        <is>
          <t>67118819</t>
        </is>
      </c>
      <c r="G31" s="8">
        <f>IFERROR(VLOOKUP(A31,Flete!$A:$E,5,0),"")</f>
        <v/>
      </c>
      <c r="H31" s="7">
        <f>IFERROR(VLOOKUP(F31,TRAOPE!$AA:$AB,2,0),"")</f>
        <v/>
      </c>
      <c r="I31" s="7" t="n">
        <v>10190637</v>
      </c>
      <c r="J31" s="7">
        <f>IFERROR(VLOOKUP(I31,Materiales!$A:$H,8,0),"")</f>
        <v/>
      </c>
      <c r="K31" s="9">
        <f>IFERROR(VLOOKUP(I31,Materiales!$A:$G,7,0),"")</f>
        <v/>
      </c>
      <c r="L31" s="8" t="inlineStr">
        <is>
          <t>20221109</t>
        </is>
      </c>
      <c r="M31" s="8" t="inlineStr">
        <is>
          <t>20251031</t>
        </is>
      </c>
      <c r="N31" s="10" t="n">
        <v>139.1</v>
      </c>
      <c r="O31" s="10">
        <f>IFERROR(VLOOKUP(A31,Flete!$A:$J,10,0),"")</f>
        <v/>
      </c>
      <c r="P31" s="8" t="inlineStr">
        <is>
          <t>M3</t>
        </is>
      </c>
      <c r="Q31" s="10">
        <f>IFERROR(IFERROR(VLOOKUP(A31,TRAOPE!$A:$U,21,0),VLOOKUP(B31,TRAOPE!$A:$U,21,0)),"")</f>
        <v/>
      </c>
      <c r="R31" s="8">
        <f>IFERROR(IFERROR(VLOOKUP(A31,TRAOPE!$A:$W,23,0),VLOOKUP(B31,TRAOPE!$A:$W,23,0)),"")</f>
        <v/>
      </c>
      <c r="S31" s="10">
        <f>IF(AND(P31="TN",R31="TN"),N31+N(O31),IF(G31&amp;""="1",N(K31)*N31,(N31+N(O31))*N(K31)))</f>
        <v/>
      </c>
      <c r="T31" s="10">
        <f>IF(Q31="","",Q31-S31)</f>
        <v/>
      </c>
    </row>
    <row r="32">
      <c r="A32" s="7">
        <f>CONCATENATE(C32,E32,F32,I32)</f>
        <v/>
      </c>
      <c r="B32" s="7">
        <f>CONCATENATE(C32,E32,I32)</f>
        <v/>
      </c>
      <c r="C32" s="8" t="n">
        <v>900005375</v>
      </c>
      <c r="D32" s="7">
        <f>IFERROR(VLOOKUP(C32,TRAOPE!$G:$H,2,0),"")</f>
        <v/>
      </c>
      <c r="E32" s="8" t="inlineStr">
        <is>
          <t>D860</t>
        </is>
      </c>
      <c r="F32" s="8" t="inlineStr">
        <is>
          <t>67160086</t>
        </is>
      </c>
      <c r="G32" s="8">
        <f>IFERROR(VLOOKUP(A32,Flete!$A:$E,5,0),"")</f>
        <v/>
      </c>
      <c r="H32" s="7">
        <f>IFERROR(VLOOKUP(F32,TRAOPE!$AA:$AB,2,0),"")</f>
        <v/>
      </c>
      <c r="I32" s="7" t="n">
        <v>10052407</v>
      </c>
      <c r="J32" s="7">
        <f>IFERROR(VLOOKUP(I32,Materiales!$A:$H,8,0),"")</f>
        <v/>
      </c>
      <c r="K32" s="9">
        <f>IFERROR(VLOOKUP(I32,Materiales!$A:$G,7,0),"")</f>
        <v/>
      </c>
      <c r="L32" s="8" t="inlineStr">
        <is>
          <t>20221109</t>
        </is>
      </c>
      <c r="M32" s="8" t="inlineStr">
        <is>
          <t>20251031</t>
        </is>
      </c>
      <c r="N32" s="10" t="n">
        <v>123.05</v>
      </c>
      <c r="O32" s="10">
        <f>IFERROR(VLOOKUP(A32,Flete!$A:$J,10,0),"")</f>
        <v/>
      </c>
      <c r="P32" s="8" t="inlineStr">
        <is>
          <t>M3</t>
        </is>
      </c>
      <c r="Q32" s="10">
        <f>IFERROR(IFERROR(VLOOKUP(A32,TRAOPE!$A:$U,21,0),VLOOKUP(B32,TRAOPE!$A:$U,21,0)),"")</f>
        <v/>
      </c>
      <c r="R32" s="8">
        <f>IFERROR(IFERROR(VLOOKUP(A32,TRAOPE!$A:$W,23,0),VLOOKUP(B32,TRAOPE!$A:$W,23,0)),"")</f>
        <v/>
      </c>
      <c r="S32" s="10">
        <f>IF(AND(P32="TN",R32="TN"),N32+N(O32),IF(G32&amp;""="1",N(K32)*N32,(N32+N(O32))*N(K32)))</f>
        <v/>
      </c>
      <c r="T32" s="10">
        <f>IF(Q32="","",Q32-S32)</f>
        <v/>
      </c>
    </row>
    <row r="33">
      <c r="A33" s="7">
        <f>CONCATENATE(C33,E33,F33,I33)</f>
        <v/>
      </c>
      <c r="B33" s="7">
        <f>CONCATENATE(C33,E33,I33)</f>
        <v/>
      </c>
      <c r="C33" s="8" t="n">
        <v>900005375</v>
      </c>
      <c r="D33" s="7">
        <f>IFERROR(VLOOKUP(C33,TRAOPE!$G:$H,2,0),"")</f>
        <v/>
      </c>
      <c r="E33" s="8" t="inlineStr">
        <is>
          <t>D860</t>
        </is>
      </c>
      <c r="F33" s="8" t="inlineStr">
        <is>
          <t>67160086</t>
        </is>
      </c>
      <c r="G33" s="8">
        <f>IFERROR(VLOOKUP(A33,Flete!$A:$E,5,0),"")</f>
        <v/>
      </c>
      <c r="H33" s="7">
        <f>IFERROR(VLOOKUP(F33,TRAOPE!$AA:$AB,2,0),"")</f>
        <v/>
      </c>
      <c r="I33" s="7" t="n">
        <v>10190637</v>
      </c>
      <c r="J33" s="7">
        <f>IFERROR(VLOOKUP(I33,Materiales!$A:$H,8,0),"")</f>
        <v/>
      </c>
      <c r="K33" s="9">
        <f>IFERROR(VLOOKUP(I33,Materiales!$A:$G,7,0),"")</f>
        <v/>
      </c>
      <c r="L33" s="8" t="inlineStr">
        <is>
          <t>20221109</t>
        </is>
      </c>
      <c r="M33" s="8" t="inlineStr">
        <is>
          <t>20251031</t>
        </is>
      </c>
      <c r="N33" s="10" t="n">
        <v>133.2</v>
      </c>
      <c r="O33" s="10">
        <f>IFERROR(VLOOKUP(A33,Flete!$A:$J,10,0),"")</f>
        <v/>
      </c>
      <c r="P33" s="8" t="inlineStr">
        <is>
          <t>M3</t>
        </is>
      </c>
      <c r="Q33" s="10">
        <f>IFERROR(IFERROR(VLOOKUP(A33,TRAOPE!$A:$U,21,0),VLOOKUP(B33,TRAOPE!$A:$U,21,0)),"")</f>
        <v/>
      </c>
      <c r="R33" s="8">
        <f>IFERROR(IFERROR(VLOOKUP(A33,TRAOPE!$A:$W,23,0),VLOOKUP(B33,TRAOPE!$A:$W,23,0)),"")</f>
        <v/>
      </c>
      <c r="S33" s="10">
        <f>IF(AND(P33="TN",R33="TN"),N33+N(O33),IF(G33&amp;""="1",N(K33)*N33,(N33+N(O33))*N(K33)))</f>
        <v/>
      </c>
      <c r="T33" s="10">
        <f>IF(Q33="","",Q33-S33)</f>
        <v/>
      </c>
    </row>
    <row r="34">
      <c r="A34" s="7">
        <f>CONCATENATE(C34,E34,F34,I34)</f>
        <v/>
      </c>
      <c r="B34" s="7">
        <f>CONCATENATE(C34,E34,I34)</f>
        <v/>
      </c>
      <c r="C34" s="8" t="n">
        <v>900005572</v>
      </c>
      <c r="D34" s="7">
        <f>IFERROR(VLOOKUP(C34,TRAOPE!$G:$H,2,0),"")</f>
        <v/>
      </c>
      <c r="E34" s="8" t="inlineStr">
        <is>
          <t>D860</t>
        </is>
      </c>
      <c r="F34" s="8" t="inlineStr">
        <is>
          <t>65907412</t>
        </is>
      </c>
      <c r="G34" s="8">
        <f>IFERROR(VLOOKUP(A34,Flete!$A:$E,5,0),"")</f>
        <v/>
      </c>
      <c r="H34" s="7">
        <f>IFERROR(VLOOKUP(F34,TRAOPE!$AA:$AB,2,0),"")</f>
        <v/>
      </c>
      <c r="I34" s="7" t="n">
        <v>10052402</v>
      </c>
      <c r="J34" s="7">
        <f>IFERROR(VLOOKUP(I34,Materiales!$A:$H,8,0),"")</f>
        <v/>
      </c>
      <c r="K34" s="9">
        <f>IFERROR(VLOOKUP(I34,Materiales!$A:$G,7,0),"")</f>
        <v/>
      </c>
      <c r="L34" s="8" t="inlineStr">
        <is>
          <t>20221109</t>
        </is>
      </c>
      <c r="M34" s="8" t="inlineStr">
        <is>
          <t>20251031</t>
        </is>
      </c>
      <c r="N34" s="10" t="n">
        <v>192.51</v>
      </c>
      <c r="O34" s="10">
        <f>IFERROR(VLOOKUP(A34,Flete!$A:$J,10,0),"")</f>
        <v/>
      </c>
      <c r="P34" s="8" t="inlineStr">
        <is>
          <t>M3</t>
        </is>
      </c>
      <c r="Q34" s="10">
        <f>IFERROR(IFERROR(VLOOKUP(A34,TRAOPE!$A:$U,21,0),VLOOKUP(B34,TRAOPE!$A:$U,21,0)),"")</f>
        <v/>
      </c>
      <c r="R34" s="8">
        <f>IFERROR(IFERROR(VLOOKUP(A34,TRAOPE!$A:$W,23,0),VLOOKUP(B34,TRAOPE!$A:$W,23,0)),"")</f>
        <v/>
      </c>
      <c r="S34" s="10">
        <f>IF(AND(P34="TN",R34="TN"),N34+N(O34),IF(G34&amp;""="1",N(K34)*N34,(N34+N(O34))*N(K34)))</f>
        <v/>
      </c>
      <c r="T34" s="10">
        <f>IF(Q34="","",Q34-S34)</f>
        <v/>
      </c>
    </row>
    <row r="35">
      <c r="A35" s="7">
        <f>CONCATENATE(C35,E35,F35,I35)</f>
        <v/>
      </c>
      <c r="B35" s="7">
        <f>CONCATENATE(C35,E35,I35)</f>
        <v/>
      </c>
      <c r="C35" s="8" t="n">
        <v>900005572</v>
      </c>
      <c r="D35" s="7">
        <f>IFERROR(VLOOKUP(C35,TRAOPE!$G:$H,2,0),"")</f>
        <v/>
      </c>
      <c r="E35" s="8" t="inlineStr">
        <is>
          <t>D860</t>
        </is>
      </c>
      <c r="F35" s="8" t="inlineStr">
        <is>
          <t>65907412</t>
        </is>
      </c>
      <c r="G35" s="8">
        <f>IFERROR(VLOOKUP(A35,Flete!$A:$E,5,0),"")</f>
        <v/>
      </c>
      <c r="H35" s="7">
        <f>IFERROR(VLOOKUP(F35,TRAOPE!$AA:$AB,2,0),"")</f>
        <v/>
      </c>
      <c r="I35" s="7" t="n">
        <v>10052405</v>
      </c>
      <c r="J35" s="7">
        <f>IFERROR(VLOOKUP(I35,Materiales!$A:$H,8,0),"")</f>
        <v/>
      </c>
      <c r="K35" s="9">
        <f>IFERROR(VLOOKUP(I35,Materiales!$A:$G,7,0),"")</f>
        <v/>
      </c>
      <c r="L35" s="8" t="inlineStr">
        <is>
          <t>20221109</t>
        </is>
      </c>
      <c r="M35" s="8" t="inlineStr">
        <is>
          <t>20251031</t>
        </is>
      </c>
      <c r="N35" s="10" t="n">
        <v>124.2</v>
      </c>
      <c r="O35" s="10">
        <f>IFERROR(VLOOKUP(A35,Flete!$A:$J,10,0),"")</f>
        <v/>
      </c>
      <c r="P35" s="8" t="inlineStr">
        <is>
          <t>M3</t>
        </is>
      </c>
      <c r="Q35" s="10">
        <f>IFERROR(IFERROR(VLOOKUP(A35,TRAOPE!$A:$U,21,0),VLOOKUP(B35,TRAOPE!$A:$U,21,0)),"")</f>
        <v/>
      </c>
      <c r="R35" s="8">
        <f>IFERROR(IFERROR(VLOOKUP(A35,TRAOPE!$A:$W,23,0),VLOOKUP(B35,TRAOPE!$A:$W,23,0)),"")</f>
        <v/>
      </c>
      <c r="S35" s="10">
        <f>IF(AND(P35="TN",R35="TN"),N35+N(O35),IF(G35&amp;""="1",N(K35)*N35,(N35+N(O35))*N(K35)))</f>
        <v/>
      </c>
      <c r="T35" s="10">
        <f>IF(Q35="","",Q35-S35)</f>
        <v/>
      </c>
    </row>
    <row r="36">
      <c r="A36" s="7">
        <f>CONCATENATE(C36,E36,F36,I36)</f>
        <v/>
      </c>
      <c r="B36" s="7">
        <f>CONCATENATE(C36,E36,I36)</f>
        <v/>
      </c>
      <c r="C36" s="8" t="n">
        <v>900005572</v>
      </c>
      <c r="D36" s="7">
        <f>IFERROR(VLOOKUP(C36,TRAOPE!$G:$H,2,0),"")</f>
        <v/>
      </c>
      <c r="E36" s="8" t="inlineStr">
        <is>
          <t>D860</t>
        </is>
      </c>
      <c r="F36" s="8" t="inlineStr">
        <is>
          <t>65907412</t>
        </is>
      </c>
      <c r="G36" s="8">
        <f>IFERROR(VLOOKUP(A36,Flete!$A:$E,5,0),"")</f>
        <v/>
      </c>
      <c r="H36" s="7">
        <f>IFERROR(VLOOKUP(F36,TRAOPE!$AA:$AB,2,0),"")</f>
        <v/>
      </c>
      <c r="I36" s="7" t="n">
        <v>10052407</v>
      </c>
      <c r="J36" s="7">
        <f>IFERROR(VLOOKUP(I36,Materiales!$A:$H,8,0),"")</f>
        <v/>
      </c>
      <c r="K36" s="9">
        <f>IFERROR(VLOOKUP(I36,Materiales!$A:$G,7,0),"")</f>
        <v/>
      </c>
      <c r="L36" s="8" t="inlineStr">
        <is>
          <t>20221109</t>
        </is>
      </c>
      <c r="M36" s="8" t="inlineStr">
        <is>
          <t>20251031</t>
        </is>
      </c>
      <c r="N36" s="10" t="n">
        <v>111.78</v>
      </c>
      <c r="O36" s="10">
        <f>IFERROR(VLOOKUP(A36,Flete!$A:$J,10,0),"")</f>
        <v/>
      </c>
      <c r="P36" s="8" t="inlineStr">
        <is>
          <t>M3</t>
        </is>
      </c>
      <c r="Q36" s="10">
        <f>IFERROR(IFERROR(VLOOKUP(A36,TRAOPE!$A:$U,21,0),VLOOKUP(B36,TRAOPE!$A:$U,21,0)),"")</f>
        <v/>
      </c>
      <c r="R36" s="8">
        <f>IFERROR(IFERROR(VLOOKUP(A36,TRAOPE!$A:$W,23,0),VLOOKUP(B36,TRAOPE!$A:$W,23,0)),"")</f>
        <v/>
      </c>
      <c r="S36" s="10">
        <f>IF(AND(P36="TN",R36="TN"),N36+N(O36),IF(G36&amp;""="1",N(K36)*N36,(N36+N(O36))*N(K36)))</f>
        <v/>
      </c>
      <c r="T36" s="10">
        <f>IF(Q36="","",Q36-S36)</f>
        <v/>
      </c>
    </row>
    <row r="37">
      <c r="A37" s="7">
        <f>CONCATENATE(C37,E37,F37,I37)</f>
        <v/>
      </c>
      <c r="B37" s="7">
        <f>CONCATENATE(C37,E37,I37)</f>
        <v/>
      </c>
      <c r="C37" s="8" t="n">
        <v>900005572</v>
      </c>
      <c r="D37" s="7">
        <f>IFERROR(VLOOKUP(C37,TRAOPE!$G:$H,2,0),"")</f>
        <v/>
      </c>
      <c r="E37" s="8" t="inlineStr">
        <is>
          <t>D860</t>
        </is>
      </c>
      <c r="F37" s="8" t="inlineStr">
        <is>
          <t>65907412</t>
        </is>
      </c>
      <c r="G37" s="8">
        <f>IFERROR(VLOOKUP(A37,Flete!$A:$E,5,0),"")</f>
        <v/>
      </c>
      <c r="H37" s="7">
        <f>IFERROR(VLOOKUP(F37,TRAOPE!$AA:$AB,2,0),"")</f>
        <v/>
      </c>
      <c r="I37" s="7" t="n">
        <v>10190637</v>
      </c>
      <c r="J37" s="7">
        <f>IFERROR(VLOOKUP(I37,Materiales!$A:$H,8,0),"")</f>
        <v/>
      </c>
      <c r="K37" s="9">
        <f>IFERROR(VLOOKUP(I37,Materiales!$A:$G,7,0),"")</f>
        <v/>
      </c>
      <c r="L37" s="8" t="inlineStr">
        <is>
          <t>20221109</t>
        </is>
      </c>
      <c r="M37" s="8" t="inlineStr">
        <is>
          <t>20251031</t>
        </is>
      </c>
      <c r="N37" s="10" t="n">
        <v>124.2</v>
      </c>
      <c r="O37" s="10">
        <f>IFERROR(VLOOKUP(A37,Flete!$A:$J,10,0),"")</f>
        <v/>
      </c>
      <c r="P37" s="8" t="inlineStr">
        <is>
          <t>M3</t>
        </is>
      </c>
      <c r="Q37" s="10">
        <f>IFERROR(IFERROR(VLOOKUP(A37,TRAOPE!$A:$U,21,0),VLOOKUP(B37,TRAOPE!$A:$U,21,0)),"")</f>
        <v/>
      </c>
      <c r="R37" s="8">
        <f>IFERROR(IFERROR(VLOOKUP(A37,TRAOPE!$A:$W,23,0),VLOOKUP(B37,TRAOPE!$A:$W,23,0)),"")</f>
        <v/>
      </c>
      <c r="S37" s="10">
        <f>IF(AND(P37="TN",R37="TN"),N37+N(O37),IF(G37&amp;""="1",N(K37)*N37,(N37+N(O37))*N(K37)))</f>
        <v/>
      </c>
      <c r="T37" s="10">
        <f>IF(Q37="","",Q37-S37)</f>
        <v/>
      </c>
    </row>
    <row r="38">
      <c r="A38" s="7">
        <f>CONCATENATE(C38,E38,F38,I38)</f>
        <v/>
      </c>
      <c r="B38" s="7">
        <f>CONCATENATE(C38,E38,I38)</f>
        <v/>
      </c>
      <c r="C38" s="8" t="n">
        <v>900005572</v>
      </c>
      <c r="D38" s="7">
        <f>IFERROR(VLOOKUP(C38,TRAOPE!$G:$H,2,0),"")</f>
        <v/>
      </c>
      <c r="E38" s="8" t="inlineStr">
        <is>
          <t>D860</t>
        </is>
      </c>
      <c r="F38" s="8" t="inlineStr">
        <is>
          <t>66481109</t>
        </is>
      </c>
      <c r="G38" s="8">
        <f>IFERROR(VLOOKUP(A38,Flete!$A:$E,5,0),"")</f>
        <v/>
      </c>
      <c r="H38" s="7">
        <f>IFERROR(VLOOKUP(F38,TRAOPE!$AA:$AB,2,0),"")</f>
        <v/>
      </c>
      <c r="I38" s="7" t="n">
        <v>10190637</v>
      </c>
      <c r="J38" s="7">
        <f>IFERROR(VLOOKUP(I38,Materiales!$A:$H,8,0),"")</f>
        <v/>
      </c>
      <c r="K38" s="9">
        <f>IFERROR(VLOOKUP(I38,Materiales!$A:$G,7,0),"")</f>
        <v/>
      </c>
      <c r="L38" s="8" t="inlineStr">
        <is>
          <t>20221109</t>
        </is>
      </c>
      <c r="M38" s="8" t="inlineStr">
        <is>
          <t>20251031</t>
        </is>
      </c>
      <c r="N38" s="10" t="n">
        <v>124.2</v>
      </c>
      <c r="O38" s="10">
        <f>IFERROR(VLOOKUP(A38,Flete!$A:$J,10,0),"")</f>
        <v/>
      </c>
      <c r="P38" s="8" t="inlineStr">
        <is>
          <t>M3</t>
        </is>
      </c>
      <c r="Q38" s="10">
        <f>IFERROR(IFERROR(VLOOKUP(A38,TRAOPE!$A:$U,21,0),VLOOKUP(B38,TRAOPE!$A:$U,21,0)),"")</f>
        <v/>
      </c>
      <c r="R38" s="8">
        <f>IFERROR(IFERROR(VLOOKUP(A38,TRAOPE!$A:$W,23,0),VLOOKUP(B38,TRAOPE!$A:$W,23,0)),"")</f>
        <v/>
      </c>
      <c r="S38" s="10">
        <f>IF(AND(P38="TN",R38="TN"),N38+N(O38),IF(G38&amp;""="1",N(K38)*N38,(N38+N(O38))*N(K38)))</f>
        <v/>
      </c>
      <c r="T38" s="10">
        <f>IF(Q38="","",Q38-S38)</f>
        <v/>
      </c>
    </row>
    <row r="39">
      <c r="A39" s="7">
        <f>CONCATENATE(C39,E39,F39,I39)</f>
        <v/>
      </c>
      <c r="B39" s="7">
        <f>CONCATENATE(C39,E39,I39)</f>
        <v/>
      </c>
      <c r="C39" s="8" t="n">
        <v>900005572</v>
      </c>
      <c r="D39" s="7">
        <f>IFERROR(VLOOKUP(C39,TRAOPE!$G:$H,2,0),"")</f>
        <v/>
      </c>
      <c r="E39" s="8" t="inlineStr">
        <is>
          <t>D860</t>
        </is>
      </c>
      <c r="F39" s="8" t="inlineStr">
        <is>
          <t>66783548</t>
        </is>
      </c>
      <c r="G39" s="8">
        <f>IFERROR(VLOOKUP(A39,Flete!$A:$E,5,0),"")</f>
        <v/>
      </c>
      <c r="H39" s="7">
        <f>IFERROR(VLOOKUP(F39,TRAOPE!$AA:$AB,2,0),"")</f>
        <v/>
      </c>
      <c r="I39" s="7" t="n">
        <v>10052407</v>
      </c>
      <c r="J39" s="7">
        <f>IFERROR(VLOOKUP(I39,Materiales!$A:$H,8,0),"")</f>
        <v/>
      </c>
      <c r="K39" s="9">
        <f>IFERROR(VLOOKUP(I39,Materiales!$A:$G,7,0),"")</f>
        <v/>
      </c>
      <c r="L39" s="8" t="inlineStr">
        <is>
          <t>20221109</t>
        </is>
      </c>
      <c r="M39" s="8" t="inlineStr">
        <is>
          <t>20251031</t>
        </is>
      </c>
      <c r="N39" s="10" t="n">
        <v>106.92</v>
      </c>
      <c r="O39" s="10">
        <f>IFERROR(VLOOKUP(A39,Flete!$A:$J,10,0),"")</f>
        <v/>
      </c>
      <c r="P39" s="8" t="inlineStr">
        <is>
          <t>M3</t>
        </is>
      </c>
      <c r="Q39" s="10">
        <f>IFERROR(IFERROR(VLOOKUP(A39,TRAOPE!$A:$U,21,0),VLOOKUP(B39,TRAOPE!$A:$U,21,0)),"")</f>
        <v/>
      </c>
      <c r="R39" s="8">
        <f>IFERROR(IFERROR(VLOOKUP(A39,TRAOPE!$A:$W,23,0),VLOOKUP(B39,TRAOPE!$A:$W,23,0)),"")</f>
        <v/>
      </c>
      <c r="S39" s="10">
        <f>IF(AND(P39="TN",R39="TN"),N39+N(O39),IF(G39&amp;""="1",N(K39)*N39,(N39+N(O39))*N(K39)))</f>
        <v/>
      </c>
      <c r="T39" s="10">
        <f>IF(Q39="","",Q39-S39)</f>
        <v/>
      </c>
    </row>
    <row r="40">
      <c r="A40" s="7">
        <f>CONCATENATE(C40,E40,F40,I40)</f>
        <v/>
      </c>
      <c r="B40" s="7">
        <f>CONCATENATE(C40,E40,I40)</f>
        <v/>
      </c>
      <c r="C40" s="8" t="n">
        <v>900005572</v>
      </c>
      <c r="D40" s="7">
        <f>IFERROR(VLOOKUP(C40,TRAOPE!$G:$H,2,0),"")</f>
        <v/>
      </c>
      <c r="E40" s="8" t="inlineStr">
        <is>
          <t>D860</t>
        </is>
      </c>
      <c r="F40" s="8" t="inlineStr">
        <is>
          <t>66783548</t>
        </is>
      </c>
      <c r="G40" s="8">
        <f>IFERROR(VLOOKUP(A40,Flete!$A:$E,5,0),"")</f>
        <v/>
      </c>
      <c r="H40" s="7">
        <f>IFERROR(VLOOKUP(F40,TRAOPE!$AA:$AB,2,0),"")</f>
        <v/>
      </c>
      <c r="I40" s="7" t="n">
        <v>10190637</v>
      </c>
      <c r="J40" s="7">
        <f>IFERROR(VLOOKUP(I40,Materiales!$A:$H,8,0),"")</f>
        <v/>
      </c>
      <c r="K40" s="9">
        <f>IFERROR(VLOOKUP(I40,Materiales!$A:$G,7,0),"")</f>
        <v/>
      </c>
      <c r="L40" s="8" t="inlineStr">
        <is>
          <t>20221109</t>
        </is>
      </c>
      <c r="M40" s="8" t="inlineStr">
        <is>
          <t>20251031</t>
        </is>
      </c>
      <c r="N40" s="10" t="n">
        <v>119</v>
      </c>
      <c r="O40" s="10">
        <f>IFERROR(VLOOKUP(A40,Flete!$A:$J,10,0),"")</f>
        <v/>
      </c>
      <c r="P40" s="8" t="inlineStr">
        <is>
          <t>M3</t>
        </is>
      </c>
      <c r="Q40" s="10">
        <f>IFERROR(IFERROR(VLOOKUP(A40,TRAOPE!$A:$U,21,0),VLOOKUP(B40,TRAOPE!$A:$U,21,0)),"")</f>
        <v/>
      </c>
      <c r="R40" s="8">
        <f>IFERROR(IFERROR(VLOOKUP(A40,TRAOPE!$A:$W,23,0),VLOOKUP(B40,TRAOPE!$A:$W,23,0)),"")</f>
        <v/>
      </c>
      <c r="S40" s="10">
        <f>IF(AND(P40="TN",R40="TN"),N40+N(O40),IF(G40&amp;""="1",N(K40)*N40,(N40+N(O40))*N(K40)))</f>
        <v/>
      </c>
      <c r="T40" s="10">
        <f>IF(Q40="","",Q40-S40)</f>
        <v/>
      </c>
    </row>
    <row r="41">
      <c r="A41" s="7">
        <f>CONCATENATE(C41,E41,F41,I41)</f>
        <v/>
      </c>
      <c r="B41" s="7">
        <f>CONCATENATE(C41,E41,I41)</f>
        <v/>
      </c>
      <c r="C41" s="8" t="n">
        <v>900005572</v>
      </c>
      <c r="D41" s="7">
        <f>IFERROR(VLOOKUP(C41,TRAOPE!$G:$H,2,0),"")</f>
        <v/>
      </c>
      <c r="E41" s="8" t="inlineStr">
        <is>
          <t>D860</t>
        </is>
      </c>
      <c r="F41" s="8" t="inlineStr">
        <is>
          <t>66833513</t>
        </is>
      </c>
      <c r="G41" s="8">
        <f>IFERROR(VLOOKUP(A41,Flete!$A:$E,5,0),"")</f>
        <v/>
      </c>
      <c r="H41" s="7">
        <f>IFERROR(VLOOKUP(F41,TRAOPE!$AA:$AB,2,0),"")</f>
        <v/>
      </c>
      <c r="I41" s="7" t="n">
        <v>10000176</v>
      </c>
      <c r="J41" s="7">
        <f>IFERROR(VLOOKUP(I41,Materiales!$A:$H,8,0),"")</f>
        <v/>
      </c>
      <c r="K41" s="9">
        <f>IFERROR(VLOOKUP(I41,Materiales!$A:$G,7,0),"")</f>
        <v/>
      </c>
      <c r="L41" s="8" t="inlineStr">
        <is>
          <t>20221109</t>
        </is>
      </c>
      <c r="M41" s="8" t="inlineStr">
        <is>
          <t>20251031</t>
        </is>
      </c>
      <c r="N41" s="10" t="n">
        <v>115</v>
      </c>
      <c r="O41" s="10">
        <f>IFERROR(VLOOKUP(A41,Flete!$A:$J,10,0),"")</f>
        <v/>
      </c>
      <c r="P41" s="8" t="inlineStr">
        <is>
          <t>M3</t>
        </is>
      </c>
      <c r="Q41" s="10">
        <f>IFERROR(IFERROR(VLOOKUP(A41,TRAOPE!$A:$U,21,0),VLOOKUP(B41,TRAOPE!$A:$U,21,0)),"")</f>
        <v/>
      </c>
      <c r="R41" s="8">
        <f>IFERROR(IFERROR(VLOOKUP(A41,TRAOPE!$A:$W,23,0),VLOOKUP(B41,TRAOPE!$A:$W,23,0)),"")</f>
        <v/>
      </c>
      <c r="S41" s="10">
        <f>IF(AND(P41="TN",R41="TN"),N41+N(O41),IF(G41&amp;""="1",N(K41)*N41,(N41+N(O41))*N(K41)))</f>
        <v/>
      </c>
      <c r="T41" s="10">
        <f>IF(Q41="","",Q41-S41)</f>
        <v/>
      </c>
    </row>
    <row r="42">
      <c r="A42" s="7">
        <f>CONCATENATE(C42,E42,F42,I42)</f>
        <v/>
      </c>
      <c r="B42" s="7">
        <f>CONCATENATE(C42,E42,I42)</f>
        <v/>
      </c>
      <c r="C42" s="8" t="n">
        <v>900005572</v>
      </c>
      <c r="D42" s="7">
        <f>IFERROR(VLOOKUP(C42,TRAOPE!$G:$H,2,0),"")</f>
        <v/>
      </c>
      <c r="E42" s="8" t="inlineStr">
        <is>
          <t>D860</t>
        </is>
      </c>
      <c r="F42" s="8" t="inlineStr">
        <is>
          <t>66833513</t>
        </is>
      </c>
      <c r="G42" s="8">
        <f>IFERROR(VLOOKUP(A42,Flete!$A:$E,5,0),"")</f>
        <v/>
      </c>
      <c r="H42" s="7">
        <f>IFERROR(VLOOKUP(F42,TRAOPE!$AA:$AB,2,0),"")</f>
        <v/>
      </c>
      <c r="I42" s="7" t="n">
        <v>10052407</v>
      </c>
      <c r="J42" s="7">
        <f>IFERROR(VLOOKUP(I42,Materiales!$A:$H,8,0),"")</f>
        <v/>
      </c>
      <c r="K42" s="9">
        <f>IFERROR(VLOOKUP(I42,Materiales!$A:$G,7,0),"")</f>
        <v/>
      </c>
      <c r="L42" s="8" t="inlineStr">
        <is>
          <t>20221109</t>
        </is>
      </c>
      <c r="M42" s="8" t="inlineStr">
        <is>
          <t>20251031</t>
        </is>
      </c>
      <c r="N42" s="10" t="n">
        <v>113</v>
      </c>
      <c r="O42" s="10">
        <f>IFERROR(VLOOKUP(A42,Flete!$A:$J,10,0),"")</f>
        <v/>
      </c>
      <c r="P42" s="8" t="inlineStr">
        <is>
          <t>M3</t>
        </is>
      </c>
      <c r="Q42" s="10">
        <f>IFERROR(IFERROR(VLOOKUP(A42,TRAOPE!$A:$U,21,0),VLOOKUP(B42,TRAOPE!$A:$U,21,0)),"")</f>
        <v/>
      </c>
      <c r="R42" s="8">
        <f>IFERROR(IFERROR(VLOOKUP(A42,TRAOPE!$A:$W,23,0),VLOOKUP(B42,TRAOPE!$A:$W,23,0)),"")</f>
        <v/>
      </c>
      <c r="S42" s="10">
        <f>IF(AND(P42="TN",R42="TN"),N42+N(O42),IF(G42&amp;""="1",N(K42)*N42,(N42+N(O42))*N(K42)))</f>
        <v/>
      </c>
      <c r="T42" s="10">
        <f>IF(Q42="","",Q42-S42)</f>
        <v/>
      </c>
    </row>
    <row r="43">
      <c r="A43" s="7">
        <f>CONCATENATE(C43,E43,F43,I43)</f>
        <v/>
      </c>
      <c r="B43" s="7">
        <f>CONCATENATE(C43,E43,I43)</f>
        <v/>
      </c>
      <c r="C43" s="8" t="n">
        <v>900005572</v>
      </c>
      <c r="D43" s="7">
        <f>IFERROR(VLOOKUP(C43,TRAOPE!$G:$H,2,0),"")</f>
        <v/>
      </c>
      <c r="E43" s="8" t="inlineStr">
        <is>
          <t>D860</t>
        </is>
      </c>
      <c r="F43" s="8" t="inlineStr">
        <is>
          <t>66833513</t>
        </is>
      </c>
      <c r="G43" s="8">
        <f>IFERROR(VLOOKUP(A43,Flete!$A:$E,5,0),"")</f>
        <v/>
      </c>
      <c r="H43" s="7">
        <f>IFERROR(VLOOKUP(F43,TRAOPE!$AA:$AB,2,0),"")</f>
        <v/>
      </c>
      <c r="I43" s="7" t="n">
        <v>10190637</v>
      </c>
      <c r="J43" s="7">
        <f>IFERROR(VLOOKUP(I43,Materiales!$A:$H,8,0),"")</f>
        <v/>
      </c>
      <c r="K43" s="9">
        <f>IFERROR(VLOOKUP(I43,Materiales!$A:$G,7,0),"")</f>
        <v/>
      </c>
      <c r="L43" s="8" t="inlineStr">
        <is>
          <t>20221109</t>
        </is>
      </c>
      <c r="M43" s="8" t="inlineStr">
        <is>
          <t>20251031</t>
        </is>
      </c>
      <c r="N43" s="10" t="n">
        <v>123</v>
      </c>
      <c r="O43" s="10">
        <f>IFERROR(VLOOKUP(A43,Flete!$A:$J,10,0),"")</f>
        <v/>
      </c>
      <c r="P43" s="8" t="inlineStr">
        <is>
          <t>M3</t>
        </is>
      </c>
      <c r="Q43" s="10">
        <f>IFERROR(IFERROR(VLOOKUP(A43,TRAOPE!$A:$U,21,0),VLOOKUP(B43,TRAOPE!$A:$U,21,0)),"")</f>
        <v/>
      </c>
      <c r="R43" s="8">
        <f>IFERROR(IFERROR(VLOOKUP(A43,TRAOPE!$A:$W,23,0),VLOOKUP(B43,TRAOPE!$A:$W,23,0)),"")</f>
        <v/>
      </c>
      <c r="S43" s="10">
        <f>IF(AND(P43="TN",R43="TN"),N43+N(O43),IF(G43&amp;""="1",N(K43)*N43,(N43+N(O43))*N(K43)))</f>
        <v/>
      </c>
      <c r="T43" s="10">
        <f>IF(Q43="","",Q43-S43)</f>
        <v/>
      </c>
    </row>
    <row r="44">
      <c r="A44" s="7">
        <f>CONCATENATE(C44,E44,F44,I44)</f>
        <v/>
      </c>
      <c r="B44" s="7">
        <f>CONCATENATE(C44,E44,I44)</f>
        <v/>
      </c>
      <c r="C44" s="8" t="n">
        <v>900005572</v>
      </c>
      <c r="D44" s="7">
        <f>IFERROR(VLOOKUP(C44,TRAOPE!$G:$H,2,0),"")</f>
        <v/>
      </c>
      <c r="E44" s="8" t="inlineStr">
        <is>
          <t>D860</t>
        </is>
      </c>
      <c r="F44" s="8" t="inlineStr">
        <is>
          <t>66845876</t>
        </is>
      </c>
      <c r="G44" s="8">
        <f>IFERROR(VLOOKUP(A44,Flete!$A:$E,5,0),"")</f>
        <v/>
      </c>
      <c r="H44" s="7">
        <f>IFERROR(VLOOKUP(F44,TRAOPE!$AA:$AB,2,0),"")</f>
        <v/>
      </c>
      <c r="I44" s="7" t="n">
        <v>10052402</v>
      </c>
      <c r="J44" s="7">
        <f>IFERROR(VLOOKUP(I44,Materiales!$A:$H,8,0),"")</f>
        <v/>
      </c>
      <c r="K44" s="9">
        <f>IFERROR(VLOOKUP(I44,Materiales!$A:$G,7,0),"")</f>
        <v/>
      </c>
      <c r="L44" s="8" t="inlineStr">
        <is>
          <t>20221109</t>
        </is>
      </c>
      <c r="M44" s="8" t="inlineStr">
        <is>
          <t>20251031</t>
        </is>
      </c>
      <c r="N44" s="10" t="n">
        <v>213.26</v>
      </c>
      <c r="O44" s="10">
        <f>IFERROR(VLOOKUP(A44,Flete!$A:$J,10,0),"")</f>
        <v/>
      </c>
      <c r="P44" s="8" t="inlineStr">
        <is>
          <t>M3</t>
        </is>
      </c>
      <c r="Q44" s="10">
        <f>IFERROR(IFERROR(VLOOKUP(A44,TRAOPE!$A:$U,21,0),VLOOKUP(B44,TRAOPE!$A:$U,21,0)),"")</f>
        <v/>
      </c>
      <c r="R44" s="8">
        <f>IFERROR(IFERROR(VLOOKUP(A44,TRAOPE!$A:$W,23,0),VLOOKUP(B44,TRAOPE!$A:$W,23,0)),"")</f>
        <v/>
      </c>
      <c r="S44" s="10">
        <f>IF(AND(P44="TN",R44="TN"),N44+N(O44),IF(G44&amp;""="1",N(K44)*N44,(N44+N(O44))*N(K44)))</f>
        <v/>
      </c>
      <c r="T44" s="10">
        <f>IF(Q44="","",Q44-S44)</f>
        <v/>
      </c>
    </row>
    <row r="45">
      <c r="A45" s="7">
        <f>CONCATENATE(C45,E45,F45,I45)</f>
        <v/>
      </c>
      <c r="B45" s="7">
        <f>CONCATENATE(C45,E45,I45)</f>
        <v/>
      </c>
      <c r="C45" s="8" t="n">
        <v>900005572</v>
      </c>
      <c r="D45" s="7">
        <f>IFERROR(VLOOKUP(C45,TRAOPE!$G:$H,2,0),"")</f>
        <v/>
      </c>
      <c r="E45" s="8" t="inlineStr">
        <is>
          <t>D860</t>
        </is>
      </c>
      <c r="F45" s="8" t="inlineStr">
        <is>
          <t>66845876</t>
        </is>
      </c>
      <c r="G45" s="8">
        <f>IFERROR(VLOOKUP(A45,Flete!$A:$E,5,0),"")</f>
        <v/>
      </c>
      <c r="H45" s="7">
        <f>IFERROR(VLOOKUP(F45,TRAOPE!$AA:$AB,2,0),"")</f>
        <v/>
      </c>
      <c r="I45" s="7" t="n">
        <v>10052407</v>
      </c>
      <c r="J45" s="7">
        <f>IFERROR(VLOOKUP(I45,Materiales!$A:$H,8,0),"")</f>
        <v/>
      </c>
      <c r="K45" s="9">
        <f>IFERROR(VLOOKUP(I45,Materiales!$A:$G,7,0),"")</f>
        <v/>
      </c>
      <c r="L45" s="8" t="inlineStr">
        <is>
          <t>20221109</t>
        </is>
      </c>
      <c r="M45" s="8" t="inlineStr">
        <is>
          <t>20251031</t>
        </is>
      </c>
      <c r="N45" s="10" t="n">
        <v>118.22</v>
      </c>
      <c r="O45" s="10">
        <f>IFERROR(VLOOKUP(A45,Flete!$A:$J,10,0),"")</f>
        <v/>
      </c>
      <c r="P45" s="8" t="inlineStr">
        <is>
          <t>M3</t>
        </is>
      </c>
      <c r="Q45" s="10">
        <f>IFERROR(IFERROR(VLOOKUP(A45,TRAOPE!$A:$U,21,0),VLOOKUP(B45,TRAOPE!$A:$U,21,0)),"")</f>
        <v/>
      </c>
      <c r="R45" s="8">
        <f>IFERROR(IFERROR(VLOOKUP(A45,TRAOPE!$A:$W,23,0),VLOOKUP(B45,TRAOPE!$A:$W,23,0)),"")</f>
        <v/>
      </c>
      <c r="S45" s="10">
        <f>IF(AND(P45="TN",R45="TN"),N45+N(O45),IF(G45&amp;""="1",N(K45)*N45,(N45+N(O45))*N(K45)))</f>
        <v/>
      </c>
      <c r="T45" s="10">
        <f>IF(Q45="","",Q45-S45)</f>
        <v/>
      </c>
    </row>
    <row r="46">
      <c r="A46" s="7">
        <f>CONCATENATE(C46,E46,F46,I46)</f>
        <v/>
      </c>
      <c r="B46" s="7">
        <f>CONCATENATE(C46,E46,I46)</f>
        <v/>
      </c>
      <c r="C46" s="8" t="n">
        <v>900005572</v>
      </c>
      <c r="D46" s="7">
        <f>IFERROR(VLOOKUP(C46,TRAOPE!$G:$H,2,0),"")</f>
        <v/>
      </c>
      <c r="E46" s="8" t="inlineStr">
        <is>
          <t>D860</t>
        </is>
      </c>
      <c r="F46" s="8" t="inlineStr">
        <is>
          <t>66854722</t>
        </is>
      </c>
      <c r="G46" s="8">
        <f>IFERROR(VLOOKUP(A46,Flete!$A:$E,5,0),"")</f>
        <v/>
      </c>
      <c r="H46" s="7">
        <f>IFERROR(VLOOKUP(F46,TRAOPE!$AA:$AB,2,0),"")</f>
        <v/>
      </c>
      <c r="I46" s="7" t="n">
        <v>10052407</v>
      </c>
      <c r="J46" s="7">
        <f>IFERROR(VLOOKUP(I46,Materiales!$A:$H,8,0),"")</f>
        <v/>
      </c>
      <c r="K46" s="9">
        <f>IFERROR(VLOOKUP(I46,Materiales!$A:$G,7,0),"")</f>
        <v/>
      </c>
      <c r="L46" s="8" t="inlineStr">
        <is>
          <t>20221109</t>
        </is>
      </c>
      <c r="M46" s="8" t="inlineStr">
        <is>
          <t>20251031</t>
        </is>
      </c>
      <c r="N46" s="10" t="n">
        <v>121.3</v>
      </c>
      <c r="O46" s="10">
        <f>IFERROR(VLOOKUP(A46,Flete!$A:$J,10,0),"")</f>
        <v/>
      </c>
      <c r="P46" s="8" t="inlineStr">
        <is>
          <t>M3</t>
        </is>
      </c>
      <c r="Q46" s="10">
        <f>IFERROR(IFERROR(VLOOKUP(A46,TRAOPE!$A:$U,21,0),VLOOKUP(B46,TRAOPE!$A:$U,21,0)),"")</f>
        <v/>
      </c>
      <c r="R46" s="8">
        <f>IFERROR(IFERROR(VLOOKUP(A46,TRAOPE!$A:$W,23,0),VLOOKUP(B46,TRAOPE!$A:$W,23,0)),"")</f>
        <v/>
      </c>
      <c r="S46" s="10">
        <f>IF(AND(P46="TN",R46="TN"),N46+N(O46),IF(G46&amp;""="1",N(K46)*N46,(N46+N(O46))*N(K46)))</f>
        <v/>
      </c>
      <c r="T46" s="10">
        <f>IF(Q46="","",Q46-S46)</f>
        <v/>
      </c>
    </row>
    <row r="47">
      <c r="A47" s="7">
        <f>CONCATENATE(C47,E47,F47,I47)</f>
        <v/>
      </c>
      <c r="B47" s="7">
        <f>CONCATENATE(C47,E47,I47)</f>
        <v/>
      </c>
      <c r="C47" s="8" t="n">
        <v>900005572</v>
      </c>
      <c r="D47" s="7">
        <f>IFERROR(VLOOKUP(C47,TRAOPE!$G:$H,2,0),"")</f>
        <v/>
      </c>
      <c r="E47" s="8" t="inlineStr">
        <is>
          <t>D860</t>
        </is>
      </c>
      <c r="F47" s="8" t="inlineStr">
        <is>
          <t>66854722</t>
        </is>
      </c>
      <c r="G47" s="8">
        <f>IFERROR(VLOOKUP(A47,Flete!$A:$E,5,0),"")</f>
        <v/>
      </c>
      <c r="H47" s="7">
        <f>IFERROR(VLOOKUP(F47,TRAOPE!$AA:$AB,2,0),"")</f>
        <v/>
      </c>
      <c r="I47" s="7" t="n">
        <v>10190637</v>
      </c>
      <c r="J47" s="7">
        <f>IFERROR(VLOOKUP(I47,Materiales!$A:$H,8,0),"")</f>
        <v/>
      </c>
      <c r="K47" s="9">
        <f>IFERROR(VLOOKUP(I47,Materiales!$A:$G,7,0),"")</f>
        <v/>
      </c>
      <c r="L47" s="8" t="inlineStr">
        <is>
          <t>20221109</t>
        </is>
      </c>
      <c r="M47" s="8" t="inlineStr">
        <is>
          <t>20251031</t>
        </is>
      </c>
      <c r="N47" s="10" t="n">
        <v>132.35</v>
      </c>
      <c r="O47" s="10">
        <f>IFERROR(VLOOKUP(A47,Flete!$A:$J,10,0),"")</f>
        <v/>
      </c>
      <c r="P47" s="8" t="inlineStr">
        <is>
          <t>M3</t>
        </is>
      </c>
      <c r="Q47" s="10">
        <f>IFERROR(IFERROR(VLOOKUP(A47,TRAOPE!$A:$U,21,0),VLOOKUP(B47,TRAOPE!$A:$U,21,0)),"")</f>
        <v/>
      </c>
      <c r="R47" s="8">
        <f>IFERROR(IFERROR(VLOOKUP(A47,TRAOPE!$A:$W,23,0),VLOOKUP(B47,TRAOPE!$A:$W,23,0)),"")</f>
        <v/>
      </c>
      <c r="S47" s="10">
        <f>IF(AND(P47="TN",R47="TN"),N47+N(O47),IF(G47&amp;""="1",N(K47)*N47,(N47+N(O47))*N(K47)))</f>
        <v/>
      </c>
      <c r="T47" s="10">
        <f>IF(Q47="","",Q47-S47)</f>
        <v/>
      </c>
    </row>
    <row r="48">
      <c r="A48" s="7">
        <f>CONCATENATE(C48,E48,F48,I48)</f>
        <v/>
      </c>
      <c r="B48" s="7">
        <f>CONCATENATE(C48,E48,I48)</f>
        <v/>
      </c>
      <c r="C48" s="8" t="n">
        <v>900005572</v>
      </c>
      <c r="D48" s="7">
        <f>IFERROR(VLOOKUP(C48,TRAOPE!$G:$H,2,0),"")</f>
        <v/>
      </c>
      <c r="E48" s="8" t="inlineStr">
        <is>
          <t>D860</t>
        </is>
      </c>
      <c r="F48" s="8" t="inlineStr">
        <is>
          <t>66854763</t>
        </is>
      </c>
      <c r="G48" s="8">
        <f>IFERROR(VLOOKUP(A48,Flete!$A:$E,5,0),"")</f>
        <v/>
      </c>
      <c r="H48" s="7">
        <f>IFERROR(VLOOKUP(F48,TRAOPE!$AA:$AB,2,0),"")</f>
        <v/>
      </c>
      <c r="I48" s="7" t="n">
        <v>10052407</v>
      </c>
      <c r="J48" s="7">
        <f>IFERROR(VLOOKUP(I48,Materiales!$A:$H,8,0),"")</f>
        <v/>
      </c>
      <c r="K48" s="9">
        <f>IFERROR(VLOOKUP(I48,Materiales!$A:$G,7,0),"")</f>
        <v/>
      </c>
      <c r="L48" s="8" t="inlineStr">
        <is>
          <t>20221109</t>
        </is>
      </c>
      <c r="M48" s="8" t="inlineStr">
        <is>
          <t>20251031</t>
        </is>
      </c>
      <c r="N48" s="10" t="n">
        <v>112.3</v>
      </c>
      <c r="O48" s="10">
        <f>IFERROR(VLOOKUP(A48,Flete!$A:$J,10,0),"")</f>
        <v/>
      </c>
      <c r="P48" s="8" t="inlineStr">
        <is>
          <t>M3</t>
        </is>
      </c>
      <c r="Q48" s="10">
        <f>IFERROR(IFERROR(VLOOKUP(A48,TRAOPE!$A:$U,21,0),VLOOKUP(B48,TRAOPE!$A:$U,21,0)),"")</f>
        <v/>
      </c>
      <c r="R48" s="8">
        <f>IFERROR(IFERROR(VLOOKUP(A48,TRAOPE!$A:$W,23,0),VLOOKUP(B48,TRAOPE!$A:$W,23,0)),"")</f>
        <v/>
      </c>
      <c r="S48" s="10">
        <f>IF(AND(P48="TN",R48="TN"),N48+N(O48),IF(G48&amp;""="1",N(K48)*N48,(N48+N(O48))*N(K48)))</f>
        <v/>
      </c>
      <c r="T48" s="10">
        <f>IF(Q48="","",Q48-S48)</f>
        <v/>
      </c>
    </row>
    <row r="49">
      <c r="A49" s="7">
        <f>CONCATENATE(C49,E49,F49,I49)</f>
        <v/>
      </c>
      <c r="B49" s="7">
        <f>CONCATENATE(C49,E49,I49)</f>
        <v/>
      </c>
      <c r="C49" s="8" t="n">
        <v>900005572</v>
      </c>
      <c r="D49" s="7">
        <f>IFERROR(VLOOKUP(C49,TRAOPE!$G:$H,2,0),"")</f>
        <v/>
      </c>
      <c r="E49" s="8" t="inlineStr">
        <is>
          <t>D860</t>
        </is>
      </c>
      <c r="F49" s="8" t="inlineStr">
        <is>
          <t>66854763</t>
        </is>
      </c>
      <c r="G49" s="8">
        <f>IFERROR(VLOOKUP(A49,Flete!$A:$E,5,0),"")</f>
        <v/>
      </c>
      <c r="H49" s="7">
        <f>IFERROR(VLOOKUP(F49,TRAOPE!$AA:$AB,2,0),"")</f>
        <v/>
      </c>
      <c r="I49" s="7" t="n">
        <v>10190637</v>
      </c>
      <c r="J49" s="7">
        <f>IFERROR(VLOOKUP(I49,Materiales!$A:$H,8,0),"")</f>
        <v/>
      </c>
      <c r="K49" s="9">
        <f>IFERROR(VLOOKUP(I49,Materiales!$A:$G,7,0),"")</f>
        <v/>
      </c>
      <c r="L49" s="8" t="inlineStr">
        <is>
          <t>20221109</t>
        </is>
      </c>
      <c r="M49" s="8" t="inlineStr">
        <is>
          <t>20251031</t>
        </is>
      </c>
      <c r="N49" s="10" t="n">
        <v>118.8</v>
      </c>
      <c r="O49" s="10">
        <f>IFERROR(VLOOKUP(A49,Flete!$A:$J,10,0),"")</f>
        <v/>
      </c>
      <c r="P49" s="8" t="inlineStr">
        <is>
          <t>M3</t>
        </is>
      </c>
      <c r="Q49" s="10">
        <f>IFERROR(IFERROR(VLOOKUP(A49,TRAOPE!$A:$U,21,0),VLOOKUP(B49,TRAOPE!$A:$U,21,0)),"")</f>
        <v/>
      </c>
      <c r="R49" s="8">
        <f>IFERROR(IFERROR(VLOOKUP(A49,TRAOPE!$A:$W,23,0),VLOOKUP(B49,TRAOPE!$A:$W,23,0)),"")</f>
        <v/>
      </c>
      <c r="S49" s="10">
        <f>IF(AND(P49="TN",R49="TN"),N49+N(O49),IF(G49&amp;""="1",N(K49)*N49,(N49+N(O49))*N(K49)))</f>
        <v/>
      </c>
      <c r="T49" s="10">
        <f>IF(Q49="","",Q49-S49)</f>
        <v/>
      </c>
    </row>
    <row r="50">
      <c r="A50" s="7">
        <f>CONCATENATE(C50,E50,F50,I50)</f>
        <v/>
      </c>
      <c r="B50" s="7">
        <f>CONCATENATE(C50,E50,I50)</f>
        <v/>
      </c>
      <c r="C50" s="8" t="n">
        <v>900005572</v>
      </c>
      <c r="D50" s="7">
        <f>IFERROR(VLOOKUP(C50,TRAOPE!$G:$H,2,0),"")</f>
        <v/>
      </c>
      <c r="E50" s="8" t="inlineStr">
        <is>
          <t>D860</t>
        </is>
      </c>
      <c r="F50" s="8" t="inlineStr">
        <is>
          <t>66877590</t>
        </is>
      </c>
      <c r="G50" s="8">
        <f>IFERROR(VLOOKUP(A50,Flete!$A:$E,5,0),"")</f>
        <v/>
      </c>
      <c r="H50" s="7">
        <f>IFERROR(VLOOKUP(F50,TRAOPE!$AA:$AB,2,0),"")</f>
        <v/>
      </c>
      <c r="I50" s="7" t="n">
        <v>10052402</v>
      </c>
      <c r="J50" s="7">
        <f>IFERROR(VLOOKUP(I50,Materiales!$A:$H,8,0),"")</f>
        <v/>
      </c>
      <c r="K50" s="9">
        <f>IFERROR(VLOOKUP(I50,Materiales!$A:$G,7,0),"")</f>
        <v/>
      </c>
      <c r="L50" s="8" t="inlineStr">
        <is>
          <t>20221109</t>
        </is>
      </c>
      <c r="M50" s="8" t="inlineStr">
        <is>
          <t>20251031</t>
        </is>
      </c>
      <c r="N50" s="10" t="n">
        <v>213.26</v>
      </c>
      <c r="O50" s="10">
        <f>IFERROR(VLOOKUP(A50,Flete!$A:$J,10,0),"")</f>
        <v/>
      </c>
      <c r="P50" s="8" t="inlineStr">
        <is>
          <t>M3</t>
        </is>
      </c>
      <c r="Q50" s="10">
        <f>IFERROR(IFERROR(VLOOKUP(A50,TRAOPE!$A:$U,21,0),VLOOKUP(B50,TRAOPE!$A:$U,21,0)),"")</f>
        <v/>
      </c>
      <c r="R50" s="8">
        <f>IFERROR(IFERROR(VLOOKUP(A50,TRAOPE!$A:$W,23,0),VLOOKUP(B50,TRAOPE!$A:$W,23,0)),"")</f>
        <v/>
      </c>
      <c r="S50" s="10">
        <f>IF(AND(P50="TN",R50="TN"),N50+N(O50),IF(G50&amp;""="1",N(K50)*N50,(N50+N(O50))*N(K50)))</f>
        <v/>
      </c>
      <c r="T50" s="10">
        <f>IF(Q50="","",Q50-S50)</f>
        <v/>
      </c>
    </row>
    <row r="51">
      <c r="A51" s="7">
        <f>CONCATENATE(C51,E51,F51,I51)</f>
        <v/>
      </c>
      <c r="B51" s="7">
        <f>CONCATENATE(C51,E51,I51)</f>
        <v/>
      </c>
      <c r="C51" s="8" t="n">
        <v>900005572</v>
      </c>
      <c r="D51" s="7">
        <f>IFERROR(VLOOKUP(C51,TRAOPE!$G:$H,2,0),"")</f>
        <v/>
      </c>
      <c r="E51" s="8" t="inlineStr">
        <is>
          <t>D860</t>
        </is>
      </c>
      <c r="F51" s="8" t="inlineStr">
        <is>
          <t>66877590</t>
        </is>
      </c>
      <c r="G51" s="8">
        <f>IFERROR(VLOOKUP(A51,Flete!$A:$E,5,0),"")</f>
        <v/>
      </c>
      <c r="H51" s="7">
        <f>IFERROR(VLOOKUP(F51,TRAOPE!$AA:$AB,2,0),"")</f>
        <v/>
      </c>
      <c r="I51" s="7" t="n">
        <v>10052407</v>
      </c>
      <c r="J51" s="7">
        <f>IFERROR(VLOOKUP(I51,Materiales!$A:$H,8,0),"")</f>
        <v/>
      </c>
      <c r="K51" s="9">
        <f>IFERROR(VLOOKUP(I51,Materiales!$A:$G,7,0),"")</f>
        <v/>
      </c>
      <c r="L51" s="8" t="inlineStr">
        <is>
          <t>20221109</t>
        </is>
      </c>
      <c r="M51" s="8" t="inlineStr">
        <is>
          <t>20251031</t>
        </is>
      </c>
      <c r="N51" s="10" t="n">
        <v>118.22</v>
      </c>
      <c r="O51" s="10">
        <f>IFERROR(VLOOKUP(A51,Flete!$A:$J,10,0),"")</f>
        <v/>
      </c>
      <c r="P51" s="8" t="inlineStr">
        <is>
          <t>M3</t>
        </is>
      </c>
      <c r="Q51" s="10">
        <f>IFERROR(IFERROR(VLOOKUP(A51,TRAOPE!$A:$U,21,0),VLOOKUP(B51,TRAOPE!$A:$U,21,0)),"")</f>
        <v/>
      </c>
      <c r="R51" s="8">
        <f>IFERROR(IFERROR(VLOOKUP(A51,TRAOPE!$A:$W,23,0),VLOOKUP(B51,TRAOPE!$A:$W,23,0)),"")</f>
        <v/>
      </c>
      <c r="S51" s="10">
        <f>IF(AND(P51="TN",R51="TN"),N51+N(O51),IF(G51&amp;""="1",N(K51)*N51,(N51+N(O51))*N(K51)))</f>
        <v/>
      </c>
      <c r="T51" s="10">
        <f>IF(Q51="","",Q51-S51)</f>
        <v/>
      </c>
    </row>
    <row r="52">
      <c r="A52" s="7">
        <f>CONCATENATE(C52,E52,F52,I52)</f>
        <v/>
      </c>
      <c r="B52" s="7">
        <f>CONCATENATE(C52,E52,I52)</f>
        <v/>
      </c>
      <c r="C52" s="8" t="n">
        <v>900005572</v>
      </c>
      <c r="D52" s="7">
        <f>IFERROR(VLOOKUP(C52,TRAOPE!$G:$H,2,0),"")</f>
        <v/>
      </c>
      <c r="E52" s="8" t="inlineStr">
        <is>
          <t>D860</t>
        </is>
      </c>
      <c r="F52" s="8" t="inlineStr">
        <is>
          <t>66877590</t>
        </is>
      </c>
      <c r="G52" s="8">
        <f>IFERROR(VLOOKUP(A52,Flete!$A:$E,5,0),"")</f>
        <v/>
      </c>
      <c r="H52" s="7">
        <f>IFERROR(VLOOKUP(F52,TRAOPE!$AA:$AB,2,0),"")</f>
        <v/>
      </c>
      <c r="I52" s="7" t="n">
        <v>10190637</v>
      </c>
      <c r="J52" s="7">
        <f>IFERROR(VLOOKUP(I52,Materiales!$A:$H,8,0),"")</f>
        <v/>
      </c>
      <c r="K52" s="9">
        <f>IFERROR(VLOOKUP(I52,Materiales!$A:$G,7,0),"")</f>
        <v/>
      </c>
      <c r="L52" s="8" t="inlineStr">
        <is>
          <t>20221109</t>
        </is>
      </c>
      <c r="M52" s="8" t="inlineStr">
        <is>
          <t>20251031</t>
        </is>
      </c>
      <c r="N52" s="10" t="n">
        <v>130.1</v>
      </c>
      <c r="O52" s="10">
        <f>IFERROR(VLOOKUP(A52,Flete!$A:$J,10,0),"")</f>
        <v/>
      </c>
      <c r="P52" s="8" t="inlineStr">
        <is>
          <t>M3</t>
        </is>
      </c>
      <c r="Q52" s="10">
        <f>IFERROR(IFERROR(VLOOKUP(A52,TRAOPE!$A:$U,21,0),VLOOKUP(B52,TRAOPE!$A:$U,21,0)),"")</f>
        <v/>
      </c>
      <c r="R52" s="8">
        <f>IFERROR(IFERROR(VLOOKUP(A52,TRAOPE!$A:$W,23,0),VLOOKUP(B52,TRAOPE!$A:$W,23,0)),"")</f>
        <v/>
      </c>
      <c r="S52" s="10">
        <f>IF(AND(P52="TN",R52="TN"),N52+N(O52),IF(G52&amp;""="1",N(K52)*N52,(N52+N(O52))*N(K52)))</f>
        <v/>
      </c>
      <c r="T52" s="10">
        <f>IF(Q52="","",Q52-S52)</f>
        <v/>
      </c>
    </row>
    <row r="53">
      <c r="A53" s="7">
        <f>CONCATENATE(C53,E53,F53,I53)</f>
        <v/>
      </c>
      <c r="B53" s="7">
        <f>CONCATENATE(C53,E53,I53)</f>
        <v/>
      </c>
      <c r="C53" s="8" t="n">
        <v>900005572</v>
      </c>
      <c r="D53" s="7">
        <f>IFERROR(VLOOKUP(C53,TRAOPE!$G:$H,2,0),"")</f>
        <v/>
      </c>
      <c r="E53" s="8" t="inlineStr">
        <is>
          <t>D860</t>
        </is>
      </c>
      <c r="F53" s="8" t="inlineStr">
        <is>
          <t>66882820</t>
        </is>
      </c>
      <c r="G53" s="8">
        <f>IFERROR(VLOOKUP(A53,Flete!$A:$E,5,0),"")</f>
        <v/>
      </c>
      <c r="H53" s="7">
        <f>IFERROR(VLOOKUP(F53,TRAOPE!$AA:$AB,2,0),"")</f>
        <v/>
      </c>
      <c r="I53" s="7" t="n">
        <v>10000248</v>
      </c>
      <c r="J53" s="7">
        <f>IFERROR(VLOOKUP(I53,Materiales!$A:$H,8,0),"")</f>
        <v/>
      </c>
      <c r="K53" s="9">
        <f>IFERROR(VLOOKUP(I53,Materiales!$A:$G,7,0),"")</f>
        <v/>
      </c>
      <c r="L53" s="8" t="inlineStr">
        <is>
          <t>20221109</t>
        </is>
      </c>
      <c r="M53" s="8" t="inlineStr">
        <is>
          <t>20251031</t>
        </is>
      </c>
      <c r="N53" s="10" t="n">
        <v>145.62</v>
      </c>
      <c r="O53" s="10">
        <f>IFERROR(VLOOKUP(A53,Flete!$A:$J,10,0),"")</f>
        <v/>
      </c>
      <c r="P53" s="8" t="inlineStr">
        <is>
          <t>TN</t>
        </is>
      </c>
      <c r="Q53" s="10">
        <f>IFERROR(IFERROR(VLOOKUP(A53,TRAOPE!$A:$U,21,0),VLOOKUP(B53,TRAOPE!$A:$U,21,0)),"")</f>
        <v/>
      </c>
      <c r="R53" s="8">
        <f>IFERROR(IFERROR(VLOOKUP(A53,TRAOPE!$A:$W,23,0),VLOOKUP(B53,TRAOPE!$A:$W,23,0)),"")</f>
        <v/>
      </c>
      <c r="S53" s="10">
        <f>IF(AND(P53="TN",R53="TN"),N53+N(O53),IF(G53&amp;""="1",N(K53)*N53,(N53+N(O53))*N(K53)))</f>
        <v/>
      </c>
      <c r="T53" s="10">
        <f>IF(Q53="","",Q53-S53)</f>
        <v/>
      </c>
    </row>
    <row r="54">
      <c r="A54" s="7">
        <f>CONCATENATE(C54,E54,F54,I54)</f>
        <v/>
      </c>
      <c r="B54" s="7">
        <f>CONCATENATE(C54,E54,I54)</f>
        <v/>
      </c>
      <c r="C54" s="8" t="n">
        <v>900005572</v>
      </c>
      <c r="D54" s="7">
        <f>IFERROR(VLOOKUP(C54,TRAOPE!$G:$H,2,0),"")</f>
        <v/>
      </c>
      <c r="E54" s="8" t="inlineStr">
        <is>
          <t>D860</t>
        </is>
      </c>
      <c r="F54" s="8" t="inlineStr">
        <is>
          <t>66895057</t>
        </is>
      </c>
      <c r="G54" s="8">
        <f>IFERROR(VLOOKUP(A54,Flete!$A:$E,5,0),"")</f>
        <v/>
      </c>
      <c r="H54" s="7">
        <f>IFERROR(VLOOKUP(F54,TRAOPE!$AA:$AB,2,0),"")</f>
        <v/>
      </c>
      <c r="I54" s="7" t="n">
        <v>10052402</v>
      </c>
      <c r="J54" s="7">
        <f>IFERROR(VLOOKUP(I54,Materiales!$A:$H,8,0),"")</f>
        <v/>
      </c>
      <c r="K54" s="9">
        <f>IFERROR(VLOOKUP(I54,Materiales!$A:$G,7,0),"")</f>
        <v/>
      </c>
      <c r="L54" s="8" t="inlineStr">
        <is>
          <t>20221109</t>
        </is>
      </c>
      <c r="M54" s="8" t="inlineStr">
        <is>
          <t>20251031</t>
        </is>
      </c>
      <c r="N54" s="10" t="n">
        <v>213.26</v>
      </c>
      <c r="O54" s="10">
        <f>IFERROR(VLOOKUP(A54,Flete!$A:$J,10,0),"")</f>
        <v/>
      </c>
      <c r="P54" s="8" t="inlineStr">
        <is>
          <t>M3</t>
        </is>
      </c>
      <c r="Q54" s="10">
        <f>IFERROR(IFERROR(VLOOKUP(A54,TRAOPE!$A:$U,21,0),VLOOKUP(B54,TRAOPE!$A:$U,21,0)),"")</f>
        <v/>
      </c>
      <c r="R54" s="8">
        <f>IFERROR(IFERROR(VLOOKUP(A54,TRAOPE!$A:$W,23,0),VLOOKUP(B54,TRAOPE!$A:$W,23,0)),"")</f>
        <v/>
      </c>
      <c r="S54" s="10">
        <f>IF(AND(P54="TN",R54="TN"),N54+N(O54),IF(G54&amp;""="1",N(K54)*N54,(N54+N(O54))*N(K54)))</f>
        <v/>
      </c>
      <c r="T54" s="10">
        <f>IF(Q54="","",Q54-S54)</f>
        <v/>
      </c>
    </row>
    <row r="55">
      <c r="A55" s="7">
        <f>CONCATENATE(C55,E55,F55,I55)</f>
        <v/>
      </c>
      <c r="B55" s="7">
        <f>CONCATENATE(C55,E55,I55)</f>
        <v/>
      </c>
      <c r="C55" s="8" t="n">
        <v>900005572</v>
      </c>
      <c r="D55" s="7">
        <f>IFERROR(VLOOKUP(C55,TRAOPE!$G:$H,2,0),"")</f>
        <v/>
      </c>
      <c r="E55" s="8" t="inlineStr">
        <is>
          <t>D860</t>
        </is>
      </c>
      <c r="F55" s="8" t="inlineStr">
        <is>
          <t>66895057</t>
        </is>
      </c>
      <c r="G55" s="8">
        <f>IFERROR(VLOOKUP(A55,Flete!$A:$E,5,0),"")</f>
        <v/>
      </c>
      <c r="H55" s="7">
        <f>IFERROR(VLOOKUP(F55,TRAOPE!$AA:$AB,2,0),"")</f>
        <v/>
      </c>
      <c r="I55" s="7" t="n">
        <v>10052405</v>
      </c>
      <c r="J55" s="7">
        <f>IFERROR(VLOOKUP(I55,Materiales!$A:$H,8,0),"")</f>
        <v/>
      </c>
      <c r="K55" s="9">
        <f>IFERROR(VLOOKUP(I55,Materiales!$A:$G,7,0),"")</f>
        <v/>
      </c>
      <c r="L55" s="8" t="inlineStr">
        <is>
          <t>20221109</t>
        </is>
      </c>
      <c r="M55" s="8" t="inlineStr">
        <is>
          <t>20251031</t>
        </is>
      </c>
      <c r="N55" s="10" t="n">
        <v>121.3</v>
      </c>
      <c r="O55" s="10">
        <f>IFERROR(VLOOKUP(A55,Flete!$A:$J,10,0),"")</f>
        <v/>
      </c>
      <c r="P55" s="8" t="inlineStr">
        <is>
          <t>M3</t>
        </is>
      </c>
      <c r="Q55" s="10">
        <f>IFERROR(IFERROR(VLOOKUP(A55,TRAOPE!$A:$U,21,0),VLOOKUP(B55,TRAOPE!$A:$U,21,0)),"")</f>
        <v/>
      </c>
      <c r="R55" s="8">
        <f>IFERROR(IFERROR(VLOOKUP(A55,TRAOPE!$A:$W,23,0),VLOOKUP(B55,TRAOPE!$A:$W,23,0)),"")</f>
        <v/>
      </c>
      <c r="S55" s="10">
        <f>IF(AND(P55="TN",R55="TN"),N55+N(O55),IF(G55&amp;""="1",N(K55)*N55,(N55+N(O55))*N(K55)))</f>
        <v/>
      </c>
      <c r="T55" s="10">
        <f>IF(Q55="","",Q55-S55)</f>
        <v/>
      </c>
    </row>
    <row r="56">
      <c r="A56" s="7">
        <f>CONCATENATE(C56,E56,F56,I56)</f>
        <v/>
      </c>
      <c r="B56" s="7">
        <f>CONCATENATE(C56,E56,I56)</f>
        <v/>
      </c>
      <c r="C56" s="8" t="n">
        <v>900005572</v>
      </c>
      <c r="D56" s="7">
        <f>IFERROR(VLOOKUP(C56,TRAOPE!$G:$H,2,0),"")</f>
        <v/>
      </c>
      <c r="E56" s="8" t="inlineStr">
        <is>
          <t>D860</t>
        </is>
      </c>
      <c r="F56" s="8" t="inlineStr">
        <is>
          <t>66895057</t>
        </is>
      </c>
      <c r="G56" s="8">
        <f>IFERROR(VLOOKUP(A56,Flete!$A:$E,5,0),"")</f>
        <v/>
      </c>
      <c r="H56" s="7">
        <f>IFERROR(VLOOKUP(F56,TRAOPE!$AA:$AB,2,0),"")</f>
        <v/>
      </c>
      <c r="I56" s="7" t="n">
        <v>10052407</v>
      </c>
      <c r="J56" s="7">
        <f>IFERROR(VLOOKUP(I56,Materiales!$A:$H,8,0),"")</f>
        <v/>
      </c>
      <c r="K56" s="9">
        <f>IFERROR(VLOOKUP(I56,Materiales!$A:$G,7,0),"")</f>
        <v/>
      </c>
      <c r="L56" s="8" t="inlineStr">
        <is>
          <t>20221109</t>
        </is>
      </c>
      <c r="M56" s="8" t="inlineStr">
        <is>
          <t>20251031</t>
        </is>
      </c>
      <c r="N56" s="10" t="n">
        <v>118.22</v>
      </c>
      <c r="O56" s="10">
        <f>IFERROR(VLOOKUP(A56,Flete!$A:$J,10,0),"")</f>
        <v/>
      </c>
      <c r="P56" s="8" t="inlineStr">
        <is>
          <t>M3</t>
        </is>
      </c>
      <c r="Q56" s="10">
        <f>IFERROR(IFERROR(VLOOKUP(A56,TRAOPE!$A:$U,21,0),VLOOKUP(B56,TRAOPE!$A:$U,21,0)),"")</f>
        <v/>
      </c>
      <c r="R56" s="8">
        <f>IFERROR(IFERROR(VLOOKUP(A56,TRAOPE!$A:$W,23,0),VLOOKUP(B56,TRAOPE!$A:$W,23,0)),"")</f>
        <v/>
      </c>
      <c r="S56" s="10">
        <f>IF(AND(P56="TN",R56="TN"),N56+N(O56),IF(G56&amp;""="1",N(K56)*N56,(N56+N(O56))*N(K56)))</f>
        <v/>
      </c>
      <c r="T56" s="10">
        <f>IF(Q56="","",Q56-S56)</f>
        <v/>
      </c>
    </row>
    <row r="57">
      <c r="A57" s="7">
        <f>CONCATENATE(C57,E57,F57,I57)</f>
        <v/>
      </c>
      <c r="B57" s="7">
        <f>CONCATENATE(C57,E57,I57)</f>
        <v/>
      </c>
      <c r="C57" s="8" t="n">
        <v>900005572</v>
      </c>
      <c r="D57" s="7">
        <f>IFERROR(VLOOKUP(C57,TRAOPE!$G:$H,2,0),"")</f>
        <v/>
      </c>
      <c r="E57" s="8" t="inlineStr">
        <is>
          <t>D860</t>
        </is>
      </c>
      <c r="F57" s="8" t="inlineStr">
        <is>
          <t>66895057</t>
        </is>
      </c>
      <c r="G57" s="8">
        <f>IFERROR(VLOOKUP(A57,Flete!$A:$E,5,0),"")</f>
        <v/>
      </c>
      <c r="H57" s="7">
        <f>IFERROR(VLOOKUP(F57,TRAOPE!$AA:$AB,2,0),"")</f>
        <v/>
      </c>
      <c r="I57" s="7" t="n">
        <v>10190637</v>
      </c>
      <c r="J57" s="7">
        <f>IFERROR(VLOOKUP(I57,Materiales!$A:$H,8,0),"")</f>
        <v/>
      </c>
      <c r="K57" s="9">
        <f>IFERROR(VLOOKUP(I57,Materiales!$A:$G,7,0),"")</f>
        <v/>
      </c>
      <c r="L57" s="8" t="inlineStr">
        <is>
          <t>20221109</t>
        </is>
      </c>
      <c r="M57" s="8" t="inlineStr">
        <is>
          <t>20251031</t>
        </is>
      </c>
      <c r="N57" s="10" t="n">
        <v>130.1</v>
      </c>
      <c r="O57" s="10">
        <f>IFERROR(VLOOKUP(A57,Flete!$A:$J,10,0),"")</f>
        <v/>
      </c>
      <c r="P57" s="8" t="inlineStr">
        <is>
          <t>M3</t>
        </is>
      </c>
      <c r="Q57" s="10">
        <f>IFERROR(IFERROR(VLOOKUP(A57,TRAOPE!$A:$U,21,0),VLOOKUP(B57,TRAOPE!$A:$U,21,0)),"")</f>
        <v/>
      </c>
      <c r="R57" s="8">
        <f>IFERROR(IFERROR(VLOOKUP(A57,TRAOPE!$A:$W,23,0),VLOOKUP(B57,TRAOPE!$A:$W,23,0)),"")</f>
        <v/>
      </c>
      <c r="S57" s="10">
        <f>IF(AND(P57="TN",R57="TN"),N57+N(O57),IF(G57&amp;""="1",N(K57)*N57,(N57+N(O57))*N(K57)))</f>
        <v/>
      </c>
      <c r="T57" s="10">
        <f>IF(Q57="","",Q57-S57)</f>
        <v/>
      </c>
    </row>
    <row r="58">
      <c r="A58" s="7">
        <f>CONCATENATE(C58,E58,F58,I58)</f>
        <v/>
      </c>
      <c r="B58" s="7">
        <f>CONCATENATE(C58,E58,I58)</f>
        <v/>
      </c>
      <c r="C58" s="8" t="n">
        <v>900005572</v>
      </c>
      <c r="D58" s="7">
        <f>IFERROR(VLOOKUP(C58,TRAOPE!$G:$H,2,0),"")</f>
        <v/>
      </c>
      <c r="E58" s="8" t="inlineStr">
        <is>
          <t>D860</t>
        </is>
      </c>
      <c r="F58" s="8" t="inlineStr">
        <is>
          <t>66896136</t>
        </is>
      </c>
      <c r="G58" s="8">
        <f>IFERROR(VLOOKUP(A58,Flete!$A:$E,5,0),"")</f>
        <v/>
      </c>
      <c r="H58" s="7">
        <f>IFERROR(VLOOKUP(F58,TRAOPE!$AA:$AB,2,0),"")</f>
        <v/>
      </c>
      <c r="I58" s="7" t="n">
        <v>10052402</v>
      </c>
      <c r="J58" s="7">
        <f>IFERROR(VLOOKUP(I58,Materiales!$A:$H,8,0),"")</f>
        <v/>
      </c>
      <c r="K58" s="9">
        <f>IFERROR(VLOOKUP(I58,Materiales!$A:$G,7,0),"")</f>
        <v/>
      </c>
      <c r="L58" s="8" t="inlineStr">
        <is>
          <t>20221109</t>
        </is>
      </c>
      <c r="M58" s="8" t="inlineStr">
        <is>
          <t>20251031</t>
        </is>
      </c>
      <c r="N58" s="10" t="n">
        <v>192.51</v>
      </c>
      <c r="O58" s="10">
        <f>IFERROR(VLOOKUP(A58,Flete!$A:$J,10,0),"")</f>
        <v/>
      </c>
      <c r="P58" s="8" t="inlineStr">
        <is>
          <t>M3</t>
        </is>
      </c>
      <c r="Q58" s="10">
        <f>IFERROR(IFERROR(VLOOKUP(A58,TRAOPE!$A:$U,21,0),VLOOKUP(B58,TRAOPE!$A:$U,21,0)),"")</f>
        <v/>
      </c>
      <c r="R58" s="8">
        <f>IFERROR(IFERROR(VLOOKUP(A58,TRAOPE!$A:$W,23,0),VLOOKUP(B58,TRAOPE!$A:$W,23,0)),"")</f>
        <v/>
      </c>
      <c r="S58" s="10">
        <f>IF(AND(P58="TN",R58="TN"),N58+N(O58),IF(G58&amp;""="1",N(K58)*N58,(N58+N(O58))*N(K58)))</f>
        <v/>
      </c>
      <c r="T58" s="10">
        <f>IF(Q58="","",Q58-S58)</f>
        <v/>
      </c>
    </row>
    <row r="59">
      <c r="A59" s="7">
        <f>CONCATENATE(C59,E59,F59,I59)</f>
        <v/>
      </c>
      <c r="B59" s="7">
        <f>CONCATENATE(C59,E59,I59)</f>
        <v/>
      </c>
      <c r="C59" s="8" t="n">
        <v>900005572</v>
      </c>
      <c r="D59" s="7">
        <f>IFERROR(VLOOKUP(C59,TRAOPE!$G:$H,2,0),"")</f>
        <v/>
      </c>
      <c r="E59" s="8" t="inlineStr">
        <is>
          <t>D860</t>
        </is>
      </c>
      <c r="F59" s="8" t="inlineStr">
        <is>
          <t>66896136</t>
        </is>
      </c>
      <c r="G59" s="8">
        <f>IFERROR(VLOOKUP(A59,Flete!$A:$E,5,0),"")</f>
        <v/>
      </c>
      <c r="H59" s="7">
        <f>IFERROR(VLOOKUP(F59,TRAOPE!$AA:$AB,2,0),"")</f>
        <v/>
      </c>
      <c r="I59" s="7" t="n">
        <v>10052405</v>
      </c>
      <c r="J59" s="7">
        <f>IFERROR(VLOOKUP(I59,Materiales!$A:$H,8,0),"")</f>
        <v/>
      </c>
      <c r="K59" s="9">
        <f>IFERROR(VLOOKUP(I59,Materiales!$A:$G,7,0),"")</f>
        <v/>
      </c>
      <c r="L59" s="8" t="inlineStr">
        <is>
          <t>20221109</t>
        </is>
      </c>
      <c r="M59" s="8" t="inlineStr">
        <is>
          <t>20251031</t>
        </is>
      </c>
      <c r="N59" s="10" t="n">
        <v>124.2</v>
      </c>
      <c r="O59" s="10">
        <f>IFERROR(VLOOKUP(A59,Flete!$A:$J,10,0),"")</f>
        <v/>
      </c>
      <c r="P59" s="8" t="inlineStr">
        <is>
          <t>M3</t>
        </is>
      </c>
      <c r="Q59" s="10">
        <f>IFERROR(IFERROR(VLOOKUP(A59,TRAOPE!$A:$U,21,0),VLOOKUP(B59,TRAOPE!$A:$U,21,0)),"")</f>
        <v/>
      </c>
      <c r="R59" s="8">
        <f>IFERROR(IFERROR(VLOOKUP(A59,TRAOPE!$A:$W,23,0),VLOOKUP(B59,TRAOPE!$A:$W,23,0)),"")</f>
        <v/>
      </c>
      <c r="S59" s="10">
        <f>IF(AND(P59="TN",R59="TN"),N59+N(O59),IF(G59&amp;""="1",N(K59)*N59,(N59+N(O59))*N(K59)))</f>
        <v/>
      </c>
      <c r="T59" s="10">
        <f>IF(Q59="","",Q59-S59)</f>
        <v/>
      </c>
    </row>
    <row r="60">
      <c r="A60" s="7">
        <f>CONCATENATE(C60,E60,F60,I60)</f>
        <v/>
      </c>
      <c r="B60" s="7">
        <f>CONCATENATE(C60,E60,I60)</f>
        <v/>
      </c>
      <c r="C60" s="8" t="n">
        <v>900005572</v>
      </c>
      <c r="D60" s="7">
        <f>IFERROR(VLOOKUP(C60,TRAOPE!$G:$H,2,0),"")</f>
        <v/>
      </c>
      <c r="E60" s="8" t="inlineStr">
        <is>
          <t>D860</t>
        </is>
      </c>
      <c r="F60" s="8" t="inlineStr">
        <is>
          <t>66896136</t>
        </is>
      </c>
      <c r="G60" s="8">
        <f>IFERROR(VLOOKUP(A60,Flete!$A:$E,5,0),"")</f>
        <v/>
      </c>
      <c r="H60" s="7">
        <f>IFERROR(VLOOKUP(F60,TRAOPE!$AA:$AB,2,0),"")</f>
        <v/>
      </c>
      <c r="I60" s="7" t="n">
        <v>10052407</v>
      </c>
      <c r="J60" s="7">
        <f>IFERROR(VLOOKUP(I60,Materiales!$A:$H,8,0),"")</f>
        <v/>
      </c>
      <c r="K60" s="9">
        <f>IFERROR(VLOOKUP(I60,Materiales!$A:$G,7,0),"")</f>
        <v/>
      </c>
      <c r="L60" s="8" t="inlineStr">
        <is>
          <t>20221109</t>
        </is>
      </c>
      <c r="M60" s="8" t="inlineStr">
        <is>
          <t>20251031</t>
        </is>
      </c>
      <c r="N60" s="10" t="n">
        <v>111.78</v>
      </c>
      <c r="O60" s="10">
        <f>IFERROR(VLOOKUP(A60,Flete!$A:$J,10,0),"")</f>
        <v/>
      </c>
      <c r="P60" s="8" t="inlineStr">
        <is>
          <t>M3</t>
        </is>
      </c>
      <c r="Q60" s="10">
        <f>IFERROR(IFERROR(VLOOKUP(A60,TRAOPE!$A:$U,21,0),VLOOKUP(B60,TRAOPE!$A:$U,21,0)),"")</f>
        <v/>
      </c>
      <c r="R60" s="8">
        <f>IFERROR(IFERROR(VLOOKUP(A60,TRAOPE!$A:$W,23,0),VLOOKUP(B60,TRAOPE!$A:$W,23,0)),"")</f>
        <v/>
      </c>
      <c r="S60" s="10">
        <f>IF(AND(P60="TN",R60="TN"),N60+N(O60),IF(G60&amp;""="1",N(K60)*N60,(N60+N(O60))*N(K60)))</f>
        <v/>
      </c>
      <c r="T60" s="10">
        <f>IF(Q60="","",Q60-S60)</f>
        <v/>
      </c>
    </row>
    <row r="61">
      <c r="A61" s="7">
        <f>CONCATENATE(C61,E61,F61,I61)</f>
        <v/>
      </c>
      <c r="B61" s="7">
        <f>CONCATENATE(C61,E61,I61)</f>
        <v/>
      </c>
      <c r="C61" s="8" t="n">
        <v>900005572</v>
      </c>
      <c r="D61" s="7">
        <f>IFERROR(VLOOKUP(C61,TRAOPE!$G:$H,2,0),"")</f>
        <v/>
      </c>
      <c r="E61" s="8" t="inlineStr">
        <is>
          <t>D860</t>
        </is>
      </c>
      <c r="F61" s="8" t="inlineStr">
        <is>
          <t>66896136</t>
        </is>
      </c>
      <c r="G61" s="8">
        <f>IFERROR(VLOOKUP(A61,Flete!$A:$E,5,0),"")</f>
        <v/>
      </c>
      <c r="H61" s="7">
        <f>IFERROR(VLOOKUP(F61,TRAOPE!$AA:$AB,2,0),"")</f>
        <v/>
      </c>
      <c r="I61" s="7" t="n">
        <v>10190637</v>
      </c>
      <c r="J61" s="7">
        <f>IFERROR(VLOOKUP(I61,Materiales!$A:$H,8,0),"")</f>
        <v/>
      </c>
      <c r="K61" s="9">
        <f>IFERROR(VLOOKUP(I61,Materiales!$A:$G,7,0),"")</f>
        <v/>
      </c>
      <c r="L61" s="8" t="inlineStr">
        <is>
          <t>20221109</t>
        </is>
      </c>
      <c r="M61" s="8" t="inlineStr">
        <is>
          <t>20251031</t>
        </is>
      </c>
      <c r="N61" s="10" t="n">
        <v>124.2</v>
      </c>
      <c r="O61" s="10">
        <f>IFERROR(VLOOKUP(A61,Flete!$A:$J,10,0),"")</f>
        <v/>
      </c>
      <c r="P61" s="8" t="inlineStr">
        <is>
          <t>M3</t>
        </is>
      </c>
      <c r="Q61" s="10">
        <f>IFERROR(IFERROR(VLOOKUP(A61,TRAOPE!$A:$U,21,0),VLOOKUP(B61,TRAOPE!$A:$U,21,0)),"")</f>
        <v/>
      </c>
      <c r="R61" s="8">
        <f>IFERROR(IFERROR(VLOOKUP(A61,TRAOPE!$A:$W,23,0),VLOOKUP(B61,TRAOPE!$A:$W,23,0)),"")</f>
        <v/>
      </c>
      <c r="S61" s="10">
        <f>IF(AND(P61="TN",R61="TN"),N61+N(O61),IF(G61&amp;""="1",N(K61)*N61,(N61+N(O61))*N(K61)))</f>
        <v/>
      </c>
      <c r="T61" s="10">
        <f>IF(Q61="","",Q61-S61)</f>
        <v/>
      </c>
    </row>
    <row r="62">
      <c r="A62" s="7">
        <f>CONCATENATE(C62,E62,F62,I62)</f>
        <v/>
      </c>
      <c r="B62" s="7">
        <f>CONCATENATE(C62,E62,I62)</f>
        <v/>
      </c>
      <c r="C62" s="8" t="n">
        <v>900005628</v>
      </c>
      <c r="D62" s="7">
        <f>IFERROR(VLOOKUP(C62,TRAOPE!$G:$H,2,0),"")</f>
        <v/>
      </c>
      <c r="E62" s="8" t="inlineStr">
        <is>
          <t>D860</t>
        </is>
      </c>
      <c r="F62" s="8" t="inlineStr">
        <is>
          <t>66366647</t>
        </is>
      </c>
      <c r="G62" s="8">
        <f>IFERROR(VLOOKUP(A62,Flete!$A:$E,5,0),"")</f>
        <v/>
      </c>
      <c r="H62" s="7">
        <f>IFERROR(VLOOKUP(F62,TRAOPE!$AA:$AB,2,0),"")</f>
        <v/>
      </c>
      <c r="I62" s="7" t="n">
        <v>10052402</v>
      </c>
      <c r="J62" s="7">
        <f>IFERROR(VLOOKUP(I62,Materiales!$A:$H,8,0),"")</f>
        <v/>
      </c>
      <c r="K62" s="9">
        <f>IFERROR(VLOOKUP(I62,Materiales!$A:$G,7,0),"")</f>
        <v/>
      </c>
      <c r="L62" s="8" t="inlineStr">
        <is>
          <t>20221109</t>
        </is>
      </c>
      <c r="M62" s="8" t="inlineStr">
        <is>
          <t>20251031</t>
        </is>
      </c>
      <c r="N62" s="10" t="n">
        <v>89.56999999999999</v>
      </c>
      <c r="O62" s="10">
        <f>IFERROR(VLOOKUP(A62,Flete!$A:$J,10,0),"")</f>
        <v/>
      </c>
      <c r="P62" s="8" t="inlineStr">
        <is>
          <t>M3</t>
        </is>
      </c>
      <c r="Q62" s="10">
        <f>IFERROR(IFERROR(VLOOKUP(A62,TRAOPE!$A:$U,21,0),VLOOKUP(B62,TRAOPE!$A:$U,21,0)),"")</f>
        <v/>
      </c>
      <c r="R62" s="8">
        <f>IFERROR(IFERROR(VLOOKUP(A62,TRAOPE!$A:$W,23,0),VLOOKUP(B62,TRAOPE!$A:$W,23,0)),"")</f>
        <v/>
      </c>
      <c r="S62" s="10">
        <f>IF(AND(P62="TN",R62="TN"),N62+N(O62),IF(G62&amp;""="1",N(K62)*N62,(N62+N(O62))*N(K62)))</f>
        <v/>
      </c>
      <c r="T62" s="10">
        <f>IF(Q62="","",Q62-S62)</f>
        <v/>
      </c>
    </row>
    <row r="63">
      <c r="A63" s="7">
        <f>CONCATENATE(C63,E63,F63,I63)</f>
        <v/>
      </c>
      <c r="B63" s="7">
        <f>CONCATENATE(C63,E63,I63)</f>
        <v/>
      </c>
      <c r="C63" s="8" t="n">
        <v>900005628</v>
      </c>
      <c r="D63" s="7">
        <f>IFERROR(VLOOKUP(C63,TRAOPE!$G:$H,2,0),"")</f>
        <v/>
      </c>
      <c r="E63" s="8" t="inlineStr">
        <is>
          <t>D860</t>
        </is>
      </c>
      <c r="F63" s="8" t="inlineStr">
        <is>
          <t>66366647</t>
        </is>
      </c>
      <c r="G63" s="8">
        <f>IFERROR(VLOOKUP(A63,Flete!$A:$E,5,0),"")</f>
        <v/>
      </c>
      <c r="H63" s="7">
        <f>IFERROR(VLOOKUP(F63,TRAOPE!$AA:$AB,2,0),"")</f>
        <v/>
      </c>
      <c r="I63" s="7" t="n">
        <v>10052404</v>
      </c>
      <c r="J63" s="7">
        <f>IFERROR(VLOOKUP(I63,Materiales!$A:$H,8,0),"")</f>
        <v/>
      </c>
      <c r="K63" s="9">
        <f>IFERROR(VLOOKUP(I63,Materiales!$A:$G,7,0),"")</f>
        <v/>
      </c>
      <c r="L63" s="8" t="inlineStr">
        <is>
          <t>20221109</t>
        </is>
      </c>
      <c r="M63" s="8" t="inlineStr">
        <is>
          <t>20251031</t>
        </is>
      </c>
      <c r="N63" s="10" t="n">
        <v>103.78</v>
      </c>
      <c r="O63" s="10">
        <f>IFERROR(VLOOKUP(A63,Flete!$A:$J,10,0),"")</f>
        <v/>
      </c>
      <c r="P63" s="8" t="inlineStr">
        <is>
          <t>M3</t>
        </is>
      </c>
      <c r="Q63" s="10">
        <f>IFERROR(IFERROR(VLOOKUP(A63,TRAOPE!$A:$U,21,0),VLOOKUP(B63,TRAOPE!$A:$U,21,0)),"")</f>
        <v/>
      </c>
      <c r="R63" s="8">
        <f>IFERROR(IFERROR(VLOOKUP(A63,TRAOPE!$A:$W,23,0),VLOOKUP(B63,TRAOPE!$A:$W,23,0)),"")</f>
        <v/>
      </c>
      <c r="S63" s="10">
        <f>IF(AND(P63="TN",R63="TN"),N63+N(O63),IF(G63&amp;""="1",N(K63)*N63,(N63+N(O63))*N(K63)))</f>
        <v/>
      </c>
      <c r="T63" s="10">
        <f>IF(Q63="","",Q63-S63)</f>
        <v/>
      </c>
    </row>
    <row r="64">
      <c r="A64" s="7">
        <f>CONCATENATE(C64,E64,F64,I64)</f>
        <v/>
      </c>
      <c r="B64" s="7">
        <f>CONCATENATE(C64,E64,I64)</f>
        <v/>
      </c>
      <c r="C64" s="8" t="n">
        <v>900005628</v>
      </c>
      <c r="D64" s="7">
        <f>IFERROR(VLOOKUP(C64,TRAOPE!$G:$H,2,0),"")</f>
        <v/>
      </c>
      <c r="E64" s="8" t="inlineStr">
        <is>
          <t>D860</t>
        </is>
      </c>
      <c r="F64" s="8" t="inlineStr">
        <is>
          <t>66366647</t>
        </is>
      </c>
      <c r="G64" s="8">
        <f>IFERROR(VLOOKUP(A64,Flete!$A:$E,5,0),"")</f>
        <v/>
      </c>
      <c r="H64" s="7">
        <f>IFERROR(VLOOKUP(F64,TRAOPE!$AA:$AB,2,0),"")</f>
        <v/>
      </c>
      <c r="I64" s="7" t="n">
        <v>10052405</v>
      </c>
      <c r="J64" s="7">
        <f>IFERROR(VLOOKUP(I64,Materiales!$A:$H,8,0),"")</f>
        <v/>
      </c>
      <c r="K64" s="9">
        <f>IFERROR(VLOOKUP(I64,Materiales!$A:$G,7,0),"")</f>
        <v/>
      </c>
      <c r="L64" s="8" t="inlineStr">
        <is>
          <t>20221109</t>
        </is>
      </c>
      <c r="M64" s="8" t="inlineStr">
        <is>
          <t>20251031</t>
        </is>
      </c>
      <c r="N64" s="10" t="n">
        <v>101.96</v>
      </c>
      <c r="O64" s="10">
        <f>IFERROR(VLOOKUP(A64,Flete!$A:$J,10,0),"")</f>
        <v/>
      </c>
      <c r="P64" s="8" t="inlineStr">
        <is>
          <t>M3</t>
        </is>
      </c>
      <c r="Q64" s="10">
        <f>IFERROR(IFERROR(VLOOKUP(A64,TRAOPE!$A:$U,21,0),VLOOKUP(B64,TRAOPE!$A:$U,21,0)),"")</f>
        <v/>
      </c>
      <c r="R64" s="8">
        <f>IFERROR(IFERROR(VLOOKUP(A64,TRAOPE!$A:$W,23,0),VLOOKUP(B64,TRAOPE!$A:$W,23,0)),"")</f>
        <v/>
      </c>
      <c r="S64" s="10">
        <f>IF(AND(P64="TN",R64="TN"),N64+N(O64),IF(G64&amp;""="1",N(K64)*N64,(N64+N(O64))*N(K64)))</f>
        <v/>
      </c>
      <c r="T64" s="10">
        <f>IF(Q64="","",Q64-S64)</f>
        <v/>
      </c>
    </row>
    <row r="65">
      <c r="A65" s="7">
        <f>CONCATENATE(C65,E65,F65,I65)</f>
        <v/>
      </c>
      <c r="B65" s="7">
        <f>CONCATENATE(C65,E65,I65)</f>
        <v/>
      </c>
      <c r="C65" s="8" t="n">
        <v>900005628</v>
      </c>
      <c r="D65" s="7">
        <f>IFERROR(VLOOKUP(C65,TRAOPE!$G:$H,2,0),"")</f>
        <v/>
      </c>
      <c r="E65" s="8" t="inlineStr">
        <is>
          <t>D860</t>
        </is>
      </c>
      <c r="F65" s="8" t="inlineStr">
        <is>
          <t>66366647</t>
        </is>
      </c>
      <c r="G65" s="8">
        <f>IFERROR(VLOOKUP(A65,Flete!$A:$E,5,0),"")</f>
        <v/>
      </c>
      <c r="H65" s="7">
        <f>IFERROR(VLOOKUP(F65,TRAOPE!$AA:$AB,2,0),"")</f>
        <v/>
      </c>
      <c r="I65" s="7" t="n">
        <v>10052407</v>
      </c>
      <c r="J65" s="7">
        <f>IFERROR(VLOOKUP(I65,Materiales!$A:$H,8,0),"")</f>
        <v/>
      </c>
      <c r="K65" s="9">
        <f>IFERROR(VLOOKUP(I65,Materiales!$A:$G,7,0),"")</f>
        <v/>
      </c>
      <c r="L65" s="8" t="inlineStr">
        <is>
          <t>20221109</t>
        </is>
      </c>
      <c r="M65" s="8" t="inlineStr">
        <is>
          <t>20251031</t>
        </is>
      </c>
      <c r="N65" s="10" t="n">
        <v>94.89</v>
      </c>
      <c r="O65" s="10">
        <f>IFERROR(VLOOKUP(A65,Flete!$A:$J,10,0),"")</f>
        <v/>
      </c>
      <c r="P65" s="8" t="inlineStr">
        <is>
          <t>M3</t>
        </is>
      </c>
      <c r="Q65" s="10">
        <f>IFERROR(IFERROR(VLOOKUP(A65,TRAOPE!$A:$U,21,0),VLOOKUP(B65,TRAOPE!$A:$U,21,0)),"")</f>
        <v/>
      </c>
      <c r="R65" s="8">
        <f>IFERROR(IFERROR(VLOOKUP(A65,TRAOPE!$A:$W,23,0),VLOOKUP(B65,TRAOPE!$A:$W,23,0)),"")</f>
        <v/>
      </c>
      <c r="S65" s="10">
        <f>IF(AND(P65="TN",R65="TN"),N65+N(O65),IF(G65&amp;""="1",N(K65)*N65,(N65+N(O65))*N(K65)))</f>
        <v/>
      </c>
      <c r="T65" s="10">
        <f>IF(Q65="","",Q65-S65)</f>
        <v/>
      </c>
    </row>
    <row r="66">
      <c r="A66" s="7">
        <f>CONCATENATE(C66,E66,F66,I66)</f>
        <v/>
      </c>
      <c r="B66" s="7">
        <f>CONCATENATE(C66,E66,I66)</f>
        <v/>
      </c>
      <c r="C66" s="8" t="n">
        <v>900007611</v>
      </c>
      <c r="D66" s="7">
        <f>IFERROR(VLOOKUP(C66,TRAOPE!$G:$H,2,0),"")</f>
        <v/>
      </c>
      <c r="E66" s="8" t="inlineStr">
        <is>
          <t>D860</t>
        </is>
      </c>
      <c r="F66" s="8" t="inlineStr">
        <is>
          <t>65408109</t>
        </is>
      </c>
      <c r="G66" s="8">
        <f>IFERROR(VLOOKUP(A66,Flete!$A:$E,5,0),"")</f>
        <v/>
      </c>
      <c r="H66" s="7">
        <f>IFERROR(VLOOKUP(F66,TRAOPE!$AA:$AB,2,0),"")</f>
        <v/>
      </c>
      <c r="I66" s="7" t="n">
        <v>10052404</v>
      </c>
      <c r="J66" s="7">
        <f>IFERROR(VLOOKUP(I66,Materiales!$A:$H,8,0),"")</f>
        <v/>
      </c>
      <c r="K66" s="9">
        <f>IFERROR(VLOOKUP(I66,Materiales!$A:$G,7,0),"")</f>
        <v/>
      </c>
      <c r="L66" s="8" t="inlineStr">
        <is>
          <t>20221109</t>
        </is>
      </c>
      <c r="M66" s="8" t="inlineStr">
        <is>
          <t>20251031</t>
        </is>
      </c>
      <c r="N66" s="10" t="n">
        <v>120.08</v>
      </c>
      <c r="O66" s="10">
        <f>IFERROR(VLOOKUP(A66,Flete!$A:$J,10,0),"")</f>
        <v/>
      </c>
      <c r="P66" s="8" t="inlineStr">
        <is>
          <t>M3</t>
        </is>
      </c>
      <c r="Q66" s="10">
        <f>IFERROR(IFERROR(VLOOKUP(A66,TRAOPE!$A:$U,21,0),VLOOKUP(B66,TRAOPE!$A:$U,21,0)),"")</f>
        <v/>
      </c>
      <c r="R66" s="8">
        <f>IFERROR(IFERROR(VLOOKUP(A66,TRAOPE!$A:$W,23,0),VLOOKUP(B66,TRAOPE!$A:$W,23,0)),"")</f>
        <v/>
      </c>
      <c r="S66" s="10">
        <f>IF(AND(P66="TN",R66="TN"),N66+N(O66),IF(G66&amp;""="1",N(K66)*N66,(N66+N(O66))*N(K66)))</f>
        <v/>
      </c>
      <c r="T66" s="10">
        <f>IF(Q66="","",Q66-S66)</f>
        <v/>
      </c>
    </row>
    <row r="67">
      <c r="A67" s="7">
        <f>CONCATENATE(C67,E67,F67,I67)</f>
        <v/>
      </c>
      <c r="B67" s="7">
        <f>CONCATENATE(C67,E67,I67)</f>
        <v/>
      </c>
      <c r="C67" s="8" t="n">
        <v>900007611</v>
      </c>
      <c r="D67" s="7">
        <f>IFERROR(VLOOKUP(C67,TRAOPE!$G:$H,2,0),"")</f>
        <v/>
      </c>
      <c r="E67" s="8" t="inlineStr">
        <is>
          <t>D860</t>
        </is>
      </c>
      <c r="F67" s="8" t="inlineStr">
        <is>
          <t>65408109</t>
        </is>
      </c>
      <c r="G67" s="8">
        <f>IFERROR(VLOOKUP(A67,Flete!$A:$E,5,0),"")</f>
        <v/>
      </c>
      <c r="H67" s="7">
        <f>IFERROR(VLOOKUP(F67,TRAOPE!$AA:$AB,2,0),"")</f>
        <v/>
      </c>
      <c r="I67" s="7" t="n">
        <v>10052407</v>
      </c>
      <c r="J67" s="7">
        <f>IFERROR(VLOOKUP(I67,Materiales!$A:$H,8,0),"")</f>
        <v/>
      </c>
      <c r="K67" s="9">
        <f>IFERROR(VLOOKUP(I67,Materiales!$A:$G,7,0),"")</f>
        <v/>
      </c>
      <c r="L67" s="8" t="inlineStr">
        <is>
          <t>20221109</t>
        </is>
      </c>
      <c r="M67" s="8" t="inlineStr">
        <is>
          <t>20251031</t>
        </is>
      </c>
      <c r="N67" s="10" t="n">
        <v>111.03</v>
      </c>
      <c r="O67" s="10">
        <f>IFERROR(VLOOKUP(A67,Flete!$A:$J,10,0),"")</f>
        <v/>
      </c>
      <c r="P67" s="8" t="inlineStr">
        <is>
          <t>M3</t>
        </is>
      </c>
      <c r="Q67" s="10">
        <f>IFERROR(IFERROR(VLOOKUP(A67,TRAOPE!$A:$U,21,0),VLOOKUP(B67,TRAOPE!$A:$U,21,0)),"")</f>
        <v/>
      </c>
      <c r="R67" s="8">
        <f>IFERROR(IFERROR(VLOOKUP(A67,TRAOPE!$A:$W,23,0),VLOOKUP(B67,TRAOPE!$A:$W,23,0)),"")</f>
        <v/>
      </c>
      <c r="S67" s="10">
        <f>IF(AND(P67="TN",R67="TN"),N67+N(O67),IF(G67&amp;""="1",N(K67)*N67,(N67+N(O67))*N(K67)))</f>
        <v/>
      </c>
      <c r="T67" s="10">
        <f>IF(Q67="","",Q67-S67)</f>
        <v/>
      </c>
    </row>
    <row r="68">
      <c r="A68" s="7">
        <f>CONCATENATE(C68,E68,F68,I68)</f>
        <v/>
      </c>
      <c r="B68" s="7">
        <f>CONCATENATE(C68,E68,I68)</f>
        <v/>
      </c>
      <c r="C68" s="8" t="n">
        <v>900007611</v>
      </c>
      <c r="D68" s="7">
        <f>IFERROR(VLOOKUP(C68,TRAOPE!$G:$H,2,0),"")</f>
        <v/>
      </c>
      <c r="E68" s="8" t="inlineStr">
        <is>
          <t>D860</t>
        </is>
      </c>
      <c r="F68" s="8" t="inlineStr">
        <is>
          <t>66540822</t>
        </is>
      </c>
      <c r="G68" s="8">
        <f>IFERROR(VLOOKUP(A68,Flete!$A:$E,5,0),"")</f>
        <v/>
      </c>
      <c r="H68" s="7">
        <f>IFERROR(VLOOKUP(F68,TRAOPE!$AA:$AB,2,0),"")</f>
        <v/>
      </c>
      <c r="I68" s="7" t="n">
        <v>10052402</v>
      </c>
      <c r="J68" s="7">
        <f>IFERROR(VLOOKUP(I68,Materiales!$A:$H,8,0),"")</f>
        <v/>
      </c>
      <c r="K68" s="9">
        <f>IFERROR(VLOOKUP(I68,Materiales!$A:$G,7,0),"")</f>
        <v/>
      </c>
      <c r="L68" s="8" t="inlineStr">
        <is>
          <t>20221109</t>
        </is>
      </c>
      <c r="M68" s="8" t="inlineStr">
        <is>
          <t>20251031</t>
        </is>
      </c>
      <c r="N68" s="10" t="n">
        <v>173.25</v>
      </c>
      <c r="O68" s="10">
        <f>IFERROR(VLOOKUP(A68,Flete!$A:$J,10,0),"")</f>
        <v/>
      </c>
      <c r="P68" s="8" t="inlineStr">
        <is>
          <t>M3</t>
        </is>
      </c>
      <c r="Q68" s="10">
        <f>IFERROR(IFERROR(VLOOKUP(A68,TRAOPE!$A:$U,21,0),VLOOKUP(B68,TRAOPE!$A:$U,21,0)),"")</f>
        <v/>
      </c>
      <c r="R68" s="8">
        <f>IFERROR(IFERROR(VLOOKUP(A68,TRAOPE!$A:$W,23,0),VLOOKUP(B68,TRAOPE!$A:$W,23,0)),"")</f>
        <v/>
      </c>
      <c r="S68" s="10">
        <f>IF(AND(P68="TN",R68="TN"),N68+N(O68),IF(G68&amp;""="1",N(K68)*N68,(N68+N(O68))*N(K68)))</f>
        <v/>
      </c>
      <c r="T68" s="10">
        <f>IF(Q68="","",Q68-S68)</f>
        <v/>
      </c>
    </row>
    <row r="69">
      <c r="A69" s="7">
        <f>CONCATENATE(C69,E69,F69,I69)</f>
        <v/>
      </c>
      <c r="B69" s="7">
        <f>CONCATENATE(C69,E69,I69)</f>
        <v/>
      </c>
      <c r="C69" s="8" t="n">
        <v>900007611</v>
      </c>
      <c r="D69" s="7">
        <f>IFERROR(VLOOKUP(C69,TRAOPE!$G:$H,2,0),"")</f>
        <v/>
      </c>
      <c r="E69" s="8" t="inlineStr">
        <is>
          <t>D860</t>
        </is>
      </c>
      <c r="F69" s="8" t="inlineStr">
        <is>
          <t>66540822</t>
        </is>
      </c>
      <c r="G69" s="8">
        <f>IFERROR(VLOOKUP(A69,Flete!$A:$E,5,0),"")</f>
        <v/>
      </c>
      <c r="H69" s="7">
        <f>IFERROR(VLOOKUP(F69,TRAOPE!$AA:$AB,2,0),"")</f>
        <v/>
      </c>
      <c r="I69" s="7" t="n">
        <v>10052404</v>
      </c>
      <c r="J69" s="7">
        <f>IFERROR(VLOOKUP(I69,Materiales!$A:$H,8,0),"")</f>
        <v/>
      </c>
      <c r="K69" s="9">
        <f>IFERROR(VLOOKUP(I69,Materiales!$A:$G,7,0),"")</f>
        <v/>
      </c>
      <c r="L69" s="8" t="inlineStr">
        <is>
          <t>20221109</t>
        </is>
      </c>
      <c r="M69" s="8" t="inlineStr">
        <is>
          <t>20251031</t>
        </is>
      </c>
      <c r="N69" s="10" t="n">
        <v>126</v>
      </c>
      <c r="O69" s="10">
        <f>IFERROR(VLOOKUP(A69,Flete!$A:$J,10,0),"")</f>
        <v/>
      </c>
      <c r="P69" s="8" t="inlineStr">
        <is>
          <t>M3</t>
        </is>
      </c>
      <c r="Q69" s="10">
        <f>IFERROR(IFERROR(VLOOKUP(A69,TRAOPE!$A:$U,21,0),VLOOKUP(B69,TRAOPE!$A:$U,21,0)),"")</f>
        <v/>
      </c>
      <c r="R69" s="8">
        <f>IFERROR(IFERROR(VLOOKUP(A69,TRAOPE!$A:$W,23,0),VLOOKUP(B69,TRAOPE!$A:$W,23,0)),"")</f>
        <v/>
      </c>
      <c r="S69" s="10">
        <f>IF(AND(P69="TN",R69="TN"),N69+N(O69),IF(G69&amp;""="1",N(K69)*N69,(N69+N(O69))*N(K69)))</f>
        <v/>
      </c>
      <c r="T69" s="10">
        <f>IF(Q69="","",Q69-S69)</f>
        <v/>
      </c>
    </row>
    <row r="70">
      <c r="A70" s="7">
        <f>CONCATENATE(C70,E70,F70,I70)</f>
        <v/>
      </c>
      <c r="B70" s="7">
        <f>CONCATENATE(C70,E70,I70)</f>
        <v/>
      </c>
      <c r="C70" s="8" t="n">
        <v>900007611</v>
      </c>
      <c r="D70" s="7">
        <f>IFERROR(VLOOKUP(C70,TRAOPE!$G:$H,2,0),"")</f>
        <v/>
      </c>
      <c r="E70" s="8" t="inlineStr">
        <is>
          <t>D860</t>
        </is>
      </c>
      <c r="F70" s="8" t="inlineStr">
        <is>
          <t>66540822</t>
        </is>
      </c>
      <c r="G70" s="8">
        <f>IFERROR(VLOOKUP(A70,Flete!$A:$E,5,0),"")</f>
        <v/>
      </c>
      <c r="H70" s="7">
        <f>IFERROR(VLOOKUP(F70,TRAOPE!$AA:$AB,2,0),"")</f>
        <v/>
      </c>
      <c r="I70" s="7" t="n">
        <v>10052405</v>
      </c>
      <c r="J70" s="7">
        <f>IFERROR(VLOOKUP(I70,Materiales!$A:$H,8,0),"")</f>
        <v/>
      </c>
      <c r="K70" s="9">
        <f>IFERROR(VLOOKUP(I70,Materiales!$A:$G,7,0),"")</f>
        <v/>
      </c>
      <c r="L70" s="8" t="inlineStr">
        <is>
          <t>20221109</t>
        </is>
      </c>
      <c r="M70" s="8" t="inlineStr">
        <is>
          <t>20251031</t>
        </is>
      </c>
      <c r="N70" s="10" t="n">
        <v>126</v>
      </c>
      <c r="O70" s="10">
        <f>IFERROR(VLOOKUP(A70,Flete!$A:$J,10,0),"")</f>
        <v/>
      </c>
      <c r="P70" s="8" t="inlineStr">
        <is>
          <t>M3</t>
        </is>
      </c>
      <c r="Q70" s="10">
        <f>IFERROR(IFERROR(VLOOKUP(A70,TRAOPE!$A:$U,21,0),VLOOKUP(B70,TRAOPE!$A:$U,21,0)),"")</f>
        <v/>
      </c>
      <c r="R70" s="8">
        <f>IFERROR(IFERROR(VLOOKUP(A70,TRAOPE!$A:$W,23,0),VLOOKUP(B70,TRAOPE!$A:$W,23,0)),"")</f>
        <v/>
      </c>
      <c r="S70" s="10">
        <f>IF(AND(P70="TN",R70="TN"),N70+N(O70),IF(G70&amp;""="1",N(K70)*N70,(N70+N(O70))*N(K70)))</f>
        <v/>
      </c>
      <c r="T70" s="10">
        <f>IF(Q70="","",Q70-S70)</f>
        <v/>
      </c>
    </row>
    <row r="71">
      <c r="A71" s="7">
        <f>CONCATENATE(C71,E71,F71,I71)</f>
        <v/>
      </c>
      <c r="B71" s="7">
        <f>CONCATENATE(C71,E71,I71)</f>
        <v/>
      </c>
      <c r="C71" s="8" t="n">
        <v>900007611</v>
      </c>
      <c r="D71" s="7">
        <f>IFERROR(VLOOKUP(C71,TRAOPE!$G:$H,2,0),"")</f>
        <v/>
      </c>
      <c r="E71" s="8" t="inlineStr">
        <is>
          <t>D860</t>
        </is>
      </c>
      <c r="F71" s="8" t="inlineStr">
        <is>
          <t>66540822</t>
        </is>
      </c>
      <c r="G71" s="8">
        <f>IFERROR(VLOOKUP(A71,Flete!$A:$E,5,0),"")</f>
        <v/>
      </c>
      <c r="H71" s="7">
        <f>IFERROR(VLOOKUP(F71,TRAOPE!$AA:$AB,2,0),"")</f>
        <v/>
      </c>
      <c r="I71" s="7" t="n">
        <v>10052407</v>
      </c>
      <c r="J71" s="7">
        <f>IFERROR(VLOOKUP(I71,Materiales!$A:$H,8,0),"")</f>
        <v/>
      </c>
      <c r="K71" s="9">
        <f>IFERROR(VLOOKUP(I71,Materiales!$A:$G,7,0),"")</f>
        <v/>
      </c>
      <c r="L71" s="8" t="inlineStr">
        <is>
          <t>20221109</t>
        </is>
      </c>
      <c r="M71" s="8" t="inlineStr">
        <is>
          <t>20251031</t>
        </is>
      </c>
      <c r="N71" s="10" t="n">
        <v>126</v>
      </c>
      <c r="O71" s="10">
        <f>IFERROR(VLOOKUP(A71,Flete!$A:$J,10,0),"")</f>
        <v/>
      </c>
      <c r="P71" s="8" t="inlineStr">
        <is>
          <t>M3</t>
        </is>
      </c>
      <c r="Q71" s="10">
        <f>IFERROR(IFERROR(VLOOKUP(A71,TRAOPE!$A:$U,21,0),VLOOKUP(B71,TRAOPE!$A:$U,21,0)),"")</f>
        <v/>
      </c>
      <c r="R71" s="8">
        <f>IFERROR(IFERROR(VLOOKUP(A71,TRAOPE!$A:$W,23,0),VLOOKUP(B71,TRAOPE!$A:$W,23,0)),"")</f>
        <v/>
      </c>
      <c r="S71" s="10">
        <f>IF(AND(P71="TN",R71="TN"),N71+N(O71),IF(G71&amp;""="1",N(K71)*N71,(N71+N(O71))*N(K71)))</f>
        <v/>
      </c>
      <c r="T71" s="10">
        <f>IF(Q71="","",Q71-S71)</f>
        <v/>
      </c>
    </row>
    <row r="72">
      <c r="A72" s="7">
        <f>CONCATENATE(C72,E72,F72,I72)</f>
        <v/>
      </c>
      <c r="B72" s="7">
        <f>CONCATENATE(C72,E72,I72)</f>
        <v/>
      </c>
      <c r="C72" s="8" t="n">
        <v>900007611</v>
      </c>
      <c r="D72" s="7">
        <f>IFERROR(VLOOKUP(C72,TRAOPE!$G:$H,2,0),"")</f>
        <v/>
      </c>
      <c r="E72" s="8" t="inlineStr">
        <is>
          <t>D860</t>
        </is>
      </c>
      <c r="F72" s="8" t="inlineStr">
        <is>
          <t>66856562</t>
        </is>
      </c>
      <c r="G72" s="8">
        <f>IFERROR(VLOOKUP(A72,Flete!$A:$E,5,0),"")</f>
        <v/>
      </c>
      <c r="H72" s="7">
        <f>IFERROR(VLOOKUP(F72,TRAOPE!$AA:$AB,2,0),"")</f>
        <v/>
      </c>
      <c r="I72" s="7" t="n">
        <v>10052402</v>
      </c>
      <c r="J72" s="7">
        <f>IFERROR(VLOOKUP(I72,Materiales!$A:$H,8,0),"")</f>
        <v/>
      </c>
      <c r="K72" s="9">
        <f>IFERROR(VLOOKUP(I72,Materiales!$A:$G,7,0),"")</f>
        <v/>
      </c>
      <c r="L72" s="8" t="inlineStr">
        <is>
          <t>20221109</t>
        </is>
      </c>
      <c r="M72" s="8" t="inlineStr">
        <is>
          <t>20251031</t>
        </is>
      </c>
      <c r="N72" s="10" t="n">
        <v>183.8</v>
      </c>
      <c r="O72" s="10">
        <f>IFERROR(VLOOKUP(A72,Flete!$A:$J,10,0),"")</f>
        <v/>
      </c>
      <c r="P72" s="8" t="inlineStr">
        <is>
          <t>M3</t>
        </is>
      </c>
      <c r="Q72" s="10">
        <f>IFERROR(IFERROR(VLOOKUP(A72,TRAOPE!$A:$U,21,0),VLOOKUP(B72,TRAOPE!$A:$U,21,0)),"")</f>
        <v/>
      </c>
      <c r="R72" s="8">
        <f>IFERROR(IFERROR(VLOOKUP(A72,TRAOPE!$A:$W,23,0),VLOOKUP(B72,TRAOPE!$A:$W,23,0)),"")</f>
        <v/>
      </c>
      <c r="S72" s="10">
        <f>IF(AND(P72="TN",R72="TN"),N72+N(O72),IF(G72&amp;""="1",N(K72)*N72,(N72+N(O72))*N(K72)))</f>
        <v/>
      </c>
      <c r="T72" s="10">
        <f>IF(Q72="","",Q72-S72)</f>
        <v/>
      </c>
    </row>
    <row r="73">
      <c r="A73" s="7">
        <f>CONCATENATE(C73,E73,F73,I73)</f>
        <v/>
      </c>
      <c r="B73" s="7">
        <f>CONCATENATE(C73,E73,I73)</f>
        <v/>
      </c>
      <c r="C73" s="8" t="n">
        <v>900007611</v>
      </c>
      <c r="D73" s="7">
        <f>IFERROR(VLOOKUP(C73,TRAOPE!$G:$H,2,0),"")</f>
        <v/>
      </c>
      <c r="E73" s="8" t="inlineStr">
        <is>
          <t>D860</t>
        </is>
      </c>
      <c r="F73" s="8" t="inlineStr">
        <is>
          <t>66856562</t>
        </is>
      </c>
      <c r="G73" s="8">
        <f>IFERROR(VLOOKUP(A73,Flete!$A:$E,5,0),"")</f>
        <v/>
      </c>
      <c r="H73" s="7">
        <f>IFERROR(VLOOKUP(F73,TRAOPE!$AA:$AB,2,0),"")</f>
        <v/>
      </c>
      <c r="I73" s="7" t="n">
        <v>10052404</v>
      </c>
      <c r="J73" s="7">
        <f>IFERROR(VLOOKUP(I73,Materiales!$A:$H,8,0),"")</f>
        <v/>
      </c>
      <c r="K73" s="9">
        <f>IFERROR(VLOOKUP(I73,Materiales!$A:$G,7,0),"")</f>
        <v/>
      </c>
      <c r="L73" s="8" t="inlineStr">
        <is>
          <t>20221109</t>
        </is>
      </c>
      <c r="M73" s="8" t="inlineStr">
        <is>
          <t>20251031</t>
        </is>
      </c>
      <c r="N73" s="10" t="n">
        <v>144.2</v>
      </c>
      <c r="O73" s="10">
        <f>IFERROR(VLOOKUP(A73,Flete!$A:$J,10,0),"")</f>
        <v/>
      </c>
      <c r="P73" s="8" t="inlineStr">
        <is>
          <t>M3</t>
        </is>
      </c>
      <c r="Q73" s="10">
        <f>IFERROR(IFERROR(VLOOKUP(A73,TRAOPE!$A:$U,21,0),VLOOKUP(B73,TRAOPE!$A:$U,21,0)),"")</f>
        <v/>
      </c>
      <c r="R73" s="8">
        <f>IFERROR(IFERROR(VLOOKUP(A73,TRAOPE!$A:$W,23,0),VLOOKUP(B73,TRAOPE!$A:$W,23,0)),"")</f>
        <v/>
      </c>
      <c r="S73" s="10">
        <f>IF(AND(P73="TN",R73="TN"),N73+N(O73),IF(G73&amp;""="1",N(K73)*N73,(N73+N(O73))*N(K73)))</f>
        <v/>
      </c>
      <c r="T73" s="10">
        <f>IF(Q73="","",Q73-S73)</f>
        <v/>
      </c>
    </row>
    <row r="74">
      <c r="A74" s="7">
        <f>CONCATENATE(C74,E74,F74,I74)</f>
        <v/>
      </c>
      <c r="B74" s="7">
        <f>CONCATENATE(C74,E74,I74)</f>
        <v/>
      </c>
      <c r="C74" s="8" t="n">
        <v>900007611</v>
      </c>
      <c r="D74" s="7">
        <f>IFERROR(VLOOKUP(C74,TRAOPE!$G:$H,2,0),"")</f>
        <v/>
      </c>
      <c r="E74" s="8" t="inlineStr">
        <is>
          <t>D860</t>
        </is>
      </c>
      <c r="F74" s="8" t="inlineStr">
        <is>
          <t>66856562</t>
        </is>
      </c>
      <c r="G74" s="8">
        <f>IFERROR(VLOOKUP(A74,Flete!$A:$E,5,0),"")</f>
        <v/>
      </c>
      <c r="H74" s="7">
        <f>IFERROR(VLOOKUP(F74,TRAOPE!$AA:$AB,2,0),"")</f>
        <v/>
      </c>
      <c r="I74" s="7" t="n">
        <v>10052405</v>
      </c>
      <c r="J74" s="7">
        <f>IFERROR(VLOOKUP(I74,Materiales!$A:$H,8,0),"")</f>
        <v/>
      </c>
      <c r="K74" s="9">
        <f>IFERROR(VLOOKUP(I74,Materiales!$A:$G,7,0),"")</f>
        <v/>
      </c>
      <c r="L74" s="8" t="inlineStr">
        <is>
          <t>20221109</t>
        </is>
      </c>
      <c r="M74" s="8" t="inlineStr">
        <is>
          <t>20251031</t>
        </is>
      </c>
      <c r="N74" s="10" t="n">
        <v>144.2</v>
      </c>
      <c r="O74" s="10">
        <f>IFERROR(VLOOKUP(A74,Flete!$A:$J,10,0),"")</f>
        <v/>
      </c>
      <c r="P74" s="8" t="inlineStr">
        <is>
          <t>M3</t>
        </is>
      </c>
      <c r="Q74" s="10">
        <f>IFERROR(IFERROR(VLOOKUP(A74,TRAOPE!$A:$U,21,0),VLOOKUP(B74,TRAOPE!$A:$U,21,0)),"")</f>
        <v/>
      </c>
      <c r="R74" s="8">
        <f>IFERROR(IFERROR(VLOOKUP(A74,TRAOPE!$A:$W,23,0),VLOOKUP(B74,TRAOPE!$A:$W,23,0)),"")</f>
        <v/>
      </c>
      <c r="S74" s="10">
        <f>IF(AND(P74="TN",R74="TN"),N74+N(O74),IF(G74&amp;""="1",N(K74)*N74,(N74+N(O74))*N(K74)))</f>
        <v/>
      </c>
      <c r="T74" s="10">
        <f>IF(Q74="","",Q74-S74)</f>
        <v/>
      </c>
    </row>
    <row r="75">
      <c r="A75" s="7">
        <f>CONCATENATE(C75,E75,F75,I75)</f>
        <v/>
      </c>
      <c r="B75" s="7">
        <f>CONCATENATE(C75,E75,I75)</f>
        <v/>
      </c>
      <c r="C75" s="8" t="n">
        <v>900007611</v>
      </c>
      <c r="D75" s="7">
        <f>IFERROR(VLOOKUP(C75,TRAOPE!$G:$H,2,0),"")</f>
        <v/>
      </c>
      <c r="E75" s="8" t="inlineStr">
        <is>
          <t>D860</t>
        </is>
      </c>
      <c r="F75" s="8" t="inlineStr">
        <is>
          <t>66856562</t>
        </is>
      </c>
      <c r="G75" s="8">
        <f>IFERROR(VLOOKUP(A75,Flete!$A:$E,5,0),"")</f>
        <v/>
      </c>
      <c r="H75" s="7">
        <f>IFERROR(VLOOKUP(F75,TRAOPE!$AA:$AB,2,0),"")</f>
        <v/>
      </c>
      <c r="I75" s="7" t="n">
        <v>10052407</v>
      </c>
      <c r="J75" s="7">
        <f>IFERROR(VLOOKUP(I75,Materiales!$A:$H,8,0),"")</f>
        <v/>
      </c>
      <c r="K75" s="9">
        <f>IFERROR(VLOOKUP(I75,Materiales!$A:$G,7,0),"")</f>
        <v/>
      </c>
      <c r="L75" s="8" t="inlineStr">
        <is>
          <t>20221109</t>
        </is>
      </c>
      <c r="M75" s="8" t="inlineStr">
        <is>
          <t>20251031</t>
        </is>
      </c>
      <c r="N75" s="10" t="n">
        <v>128.15</v>
      </c>
      <c r="O75" s="10">
        <f>IFERROR(VLOOKUP(A75,Flete!$A:$J,10,0),"")</f>
        <v/>
      </c>
      <c r="P75" s="8" t="inlineStr">
        <is>
          <t>M3</t>
        </is>
      </c>
      <c r="Q75" s="10">
        <f>IFERROR(IFERROR(VLOOKUP(A75,TRAOPE!$A:$U,21,0),VLOOKUP(B75,TRAOPE!$A:$U,21,0)),"")</f>
        <v/>
      </c>
      <c r="R75" s="8">
        <f>IFERROR(IFERROR(VLOOKUP(A75,TRAOPE!$A:$W,23,0),VLOOKUP(B75,TRAOPE!$A:$W,23,0)),"")</f>
        <v/>
      </c>
      <c r="S75" s="10">
        <f>IF(AND(P75="TN",R75="TN"),N75+N(O75),IF(G75&amp;""="1",N(K75)*N75,(N75+N(O75))*N(K75)))</f>
        <v/>
      </c>
      <c r="T75" s="10">
        <f>IF(Q75="","",Q75-S75)</f>
        <v/>
      </c>
    </row>
    <row r="76">
      <c r="A76" s="7">
        <f>CONCATENATE(C76,E76,F76,I76)</f>
        <v/>
      </c>
      <c r="B76" s="7">
        <f>CONCATENATE(C76,E76,I76)</f>
        <v/>
      </c>
      <c r="C76" s="8" t="n">
        <v>900007611</v>
      </c>
      <c r="D76" s="7">
        <f>IFERROR(VLOOKUP(C76,TRAOPE!$G:$H,2,0),"")</f>
        <v/>
      </c>
      <c r="E76" s="8" t="inlineStr">
        <is>
          <t>D860</t>
        </is>
      </c>
      <c r="F76" s="8" t="inlineStr">
        <is>
          <t>66877590</t>
        </is>
      </c>
      <c r="G76" s="8">
        <f>IFERROR(VLOOKUP(A76,Flete!$A:$E,5,0),"")</f>
        <v/>
      </c>
      <c r="H76" s="7">
        <f>IFERROR(VLOOKUP(F76,TRAOPE!$AA:$AB,2,0),"")</f>
        <v/>
      </c>
      <c r="I76" s="7" t="n">
        <v>10052407</v>
      </c>
      <c r="J76" s="7">
        <f>IFERROR(VLOOKUP(I76,Materiales!$A:$H,8,0),"")</f>
        <v/>
      </c>
      <c r="K76" s="9">
        <f>IFERROR(VLOOKUP(I76,Materiales!$A:$G,7,0),"")</f>
        <v/>
      </c>
      <c r="L76" s="8" t="inlineStr">
        <is>
          <t>20221109</t>
        </is>
      </c>
      <c r="M76" s="8" t="inlineStr">
        <is>
          <t>20251031</t>
        </is>
      </c>
      <c r="N76" s="10" t="n">
        <v>182.78</v>
      </c>
      <c r="O76" s="10">
        <f>IFERROR(VLOOKUP(A76,Flete!$A:$J,10,0),"")</f>
        <v/>
      </c>
      <c r="P76" s="8" t="inlineStr">
        <is>
          <t>M3</t>
        </is>
      </c>
      <c r="Q76" s="10">
        <f>IFERROR(IFERROR(VLOOKUP(A76,TRAOPE!$A:$U,21,0),VLOOKUP(B76,TRAOPE!$A:$U,21,0)),"")</f>
        <v/>
      </c>
      <c r="R76" s="8">
        <f>IFERROR(IFERROR(VLOOKUP(A76,TRAOPE!$A:$W,23,0),VLOOKUP(B76,TRAOPE!$A:$W,23,0)),"")</f>
        <v/>
      </c>
      <c r="S76" s="10">
        <f>IF(AND(P76="TN",R76="TN"),N76+N(O76),IF(G76&amp;""="1",N(K76)*N76,(N76+N(O76))*N(K76)))</f>
        <v/>
      </c>
      <c r="T76" s="10">
        <f>IF(Q76="","",Q76-S76)</f>
        <v/>
      </c>
    </row>
    <row r="77">
      <c r="A77" s="7">
        <f>CONCATENATE(C77,E77,F77,I77)</f>
        <v/>
      </c>
      <c r="B77" s="7">
        <f>CONCATENATE(C77,E77,I77)</f>
        <v/>
      </c>
      <c r="C77" s="8" t="n">
        <v>900007611</v>
      </c>
      <c r="D77" s="7">
        <f>IFERROR(VLOOKUP(C77,TRAOPE!$G:$H,2,0),"")</f>
        <v/>
      </c>
      <c r="E77" s="8" t="inlineStr">
        <is>
          <t>D860</t>
        </is>
      </c>
      <c r="F77" s="8" t="inlineStr">
        <is>
          <t>66877590</t>
        </is>
      </c>
      <c r="G77" s="8">
        <f>IFERROR(VLOOKUP(A77,Flete!$A:$E,5,0),"")</f>
        <v/>
      </c>
      <c r="H77" s="7">
        <f>IFERROR(VLOOKUP(F77,TRAOPE!$AA:$AB,2,0),"")</f>
        <v/>
      </c>
      <c r="I77" s="7" t="n">
        <v>10190637</v>
      </c>
      <c r="J77" s="7">
        <f>IFERROR(VLOOKUP(I77,Materiales!$A:$H,8,0),"")</f>
        <v/>
      </c>
      <c r="K77" s="9">
        <f>IFERROR(VLOOKUP(I77,Materiales!$A:$G,7,0),"")</f>
        <v/>
      </c>
      <c r="L77" s="8" t="inlineStr">
        <is>
          <t>20221109</t>
        </is>
      </c>
      <c r="M77" s="8" t="inlineStr">
        <is>
          <t>20251031</t>
        </is>
      </c>
      <c r="N77" s="10" t="n">
        <v>282.57</v>
      </c>
      <c r="O77" s="10">
        <f>IFERROR(VLOOKUP(A77,Flete!$A:$J,10,0),"")</f>
        <v/>
      </c>
      <c r="P77" s="8" t="inlineStr">
        <is>
          <t>M3</t>
        </is>
      </c>
      <c r="Q77" s="10">
        <f>IFERROR(IFERROR(VLOOKUP(A77,TRAOPE!$A:$U,21,0),VLOOKUP(B77,TRAOPE!$A:$U,21,0)),"")</f>
        <v/>
      </c>
      <c r="R77" s="8">
        <f>IFERROR(IFERROR(VLOOKUP(A77,TRAOPE!$A:$W,23,0),VLOOKUP(B77,TRAOPE!$A:$W,23,0)),"")</f>
        <v/>
      </c>
      <c r="S77" s="10">
        <f>IF(AND(P77="TN",R77="TN"),N77+N(O77),IF(G77&amp;""="1",N(K77)*N77,(N77+N(O77))*N(K77)))</f>
        <v/>
      </c>
      <c r="T77" s="10">
        <f>IF(Q77="","",Q77-S77)</f>
        <v/>
      </c>
    </row>
    <row r="78">
      <c r="A78" s="7">
        <f>CONCATENATE(C78,E78,F78,I78)</f>
        <v/>
      </c>
      <c r="B78" s="7">
        <f>CONCATENATE(C78,E78,I78)</f>
        <v/>
      </c>
      <c r="C78" s="8" t="n">
        <v>900007611</v>
      </c>
      <c r="D78" s="7">
        <f>IFERROR(VLOOKUP(C78,TRAOPE!$G:$H,2,0),"")</f>
        <v/>
      </c>
      <c r="E78" s="8" t="inlineStr">
        <is>
          <t>D860</t>
        </is>
      </c>
      <c r="F78" s="8" t="inlineStr">
        <is>
          <t>66896136</t>
        </is>
      </c>
      <c r="G78" s="8">
        <f>IFERROR(VLOOKUP(A78,Flete!$A:$E,5,0),"")</f>
        <v/>
      </c>
      <c r="H78" s="7">
        <f>IFERROR(VLOOKUP(F78,TRAOPE!$AA:$AB,2,0),"")</f>
        <v/>
      </c>
      <c r="I78" s="7" t="n">
        <v>10052402</v>
      </c>
      <c r="J78" s="7">
        <f>IFERROR(VLOOKUP(I78,Materiales!$A:$H,8,0),"")</f>
        <v/>
      </c>
      <c r="K78" s="9">
        <f>IFERROR(VLOOKUP(I78,Materiales!$A:$G,7,0),"")</f>
        <v/>
      </c>
      <c r="L78" s="8" t="inlineStr">
        <is>
          <t>20221109</t>
        </is>
      </c>
      <c r="M78" s="8" t="inlineStr">
        <is>
          <t>20251031</t>
        </is>
      </c>
      <c r="N78" s="10" t="n">
        <v>183.8</v>
      </c>
      <c r="O78" s="10">
        <f>IFERROR(VLOOKUP(A78,Flete!$A:$J,10,0),"")</f>
        <v/>
      </c>
      <c r="P78" s="8" t="inlineStr">
        <is>
          <t>M3</t>
        </is>
      </c>
      <c r="Q78" s="10">
        <f>IFERROR(IFERROR(VLOOKUP(A78,TRAOPE!$A:$U,21,0),VLOOKUP(B78,TRAOPE!$A:$U,21,0)),"")</f>
        <v/>
      </c>
      <c r="R78" s="8">
        <f>IFERROR(IFERROR(VLOOKUP(A78,TRAOPE!$A:$W,23,0),VLOOKUP(B78,TRAOPE!$A:$W,23,0)),"")</f>
        <v/>
      </c>
      <c r="S78" s="10">
        <f>IF(AND(P78="TN",R78="TN"),N78+N(O78),IF(G78&amp;""="1",N(K78)*N78,(N78+N(O78))*N(K78)))</f>
        <v/>
      </c>
      <c r="T78" s="10">
        <f>IF(Q78="","",Q78-S78)</f>
        <v/>
      </c>
    </row>
    <row r="79">
      <c r="A79" s="7">
        <f>CONCATENATE(C79,E79,F79,I79)</f>
        <v/>
      </c>
      <c r="B79" s="7">
        <f>CONCATENATE(C79,E79,I79)</f>
        <v/>
      </c>
      <c r="C79" s="8" t="n">
        <v>900007611</v>
      </c>
      <c r="D79" s="7">
        <f>IFERROR(VLOOKUP(C79,TRAOPE!$G:$H,2,0),"")</f>
        <v/>
      </c>
      <c r="E79" s="8" t="inlineStr">
        <is>
          <t>D860</t>
        </is>
      </c>
      <c r="F79" s="8" t="inlineStr">
        <is>
          <t>66896136</t>
        </is>
      </c>
      <c r="G79" s="8">
        <f>IFERROR(VLOOKUP(A79,Flete!$A:$E,5,0),"")</f>
        <v/>
      </c>
      <c r="H79" s="7">
        <f>IFERROR(VLOOKUP(F79,TRAOPE!$AA:$AB,2,0),"")</f>
        <v/>
      </c>
      <c r="I79" s="7" t="n">
        <v>10052404</v>
      </c>
      <c r="J79" s="7">
        <f>IFERROR(VLOOKUP(I79,Materiales!$A:$H,8,0),"")</f>
        <v/>
      </c>
      <c r="K79" s="9">
        <f>IFERROR(VLOOKUP(I79,Materiales!$A:$G,7,0),"")</f>
        <v/>
      </c>
      <c r="L79" s="8" t="inlineStr">
        <is>
          <t>20221109</t>
        </is>
      </c>
      <c r="M79" s="8" t="inlineStr">
        <is>
          <t>20251031</t>
        </is>
      </c>
      <c r="N79" s="10" t="n">
        <v>144.2</v>
      </c>
      <c r="O79" s="10">
        <f>IFERROR(VLOOKUP(A79,Flete!$A:$J,10,0),"")</f>
        <v/>
      </c>
      <c r="P79" s="8" t="inlineStr">
        <is>
          <t>M3</t>
        </is>
      </c>
      <c r="Q79" s="10">
        <f>IFERROR(IFERROR(VLOOKUP(A79,TRAOPE!$A:$U,21,0),VLOOKUP(B79,TRAOPE!$A:$U,21,0)),"")</f>
        <v/>
      </c>
      <c r="R79" s="8">
        <f>IFERROR(IFERROR(VLOOKUP(A79,TRAOPE!$A:$W,23,0),VLOOKUP(B79,TRAOPE!$A:$W,23,0)),"")</f>
        <v/>
      </c>
      <c r="S79" s="10">
        <f>IF(AND(P79="TN",R79="TN"),N79+N(O79),IF(G79&amp;""="1",N(K79)*N79,(N79+N(O79))*N(K79)))</f>
        <v/>
      </c>
      <c r="T79" s="10">
        <f>IF(Q79="","",Q79-S79)</f>
        <v/>
      </c>
    </row>
    <row r="80">
      <c r="A80" s="7">
        <f>CONCATENATE(C80,E80,F80,I80)</f>
        <v/>
      </c>
      <c r="B80" s="7">
        <f>CONCATENATE(C80,E80,I80)</f>
        <v/>
      </c>
      <c r="C80" s="8" t="n">
        <v>900007611</v>
      </c>
      <c r="D80" s="7">
        <f>IFERROR(VLOOKUP(C80,TRAOPE!$G:$H,2,0),"")</f>
        <v/>
      </c>
      <c r="E80" s="8" t="inlineStr">
        <is>
          <t>D860</t>
        </is>
      </c>
      <c r="F80" s="8" t="inlineStr">
        <is>
          <t>66896136</t>
        </is>
      </c>
      <c r="G80" s="8">
        <f>IFERROR(VLOOKUP(A80,Flete!$A:$E,5,0),"")</f>
        <v/>
      </c>
      <c r="H80" s="7">
        <f>IFERROR(VLOOKUP(F80,TRAOPE!$AA:$AB,2,0),"")</f>
        <v/>
      </c>
      <c r="I80" s="7" t="n">
        <v>10052405</v>
      </c>
      <c r="J80" s="7">
        <f>IFERROR(VLOOKUP(I80,Materiales!$A:$H,8,0),"")</f>
        <v/>
      </c>
      <c r="K80" s="9">
        <f>IFERROR(VLOOKUP(I80,Materiales!$A:$G,7,0),"")</f>
        <v/>
      </c>
      <c r="L80" s="8" t="inlineStr">
        <is>
          <t>20221109</t>
        </is>
      </c>
      <c r="M80" s="8" t="inlineStr">
        <is>
          <t>20251031</t>
        </is>
      </c>
      <c r="N80" s="10" t="n">
        <v>144.2</v>
      </c>
      <c r="O80" s="10">
        <f>IFERROR(VLOOKUP(A80,Flete!$A:$J,10,0),"")</f>
        <v/>
      </c>
      <c r="P80" s="8" t="inlineStr">
        <is>
          <t>M3</t>
        </is>
      </c>
      <c r="Q80" s="10">
        <f>IFERROR(IFERROR(VLOOKUP(A80,TRAOPE!$A:$U,21,0),VLOOKUP(B80,TRAOPE!$A:$U,21,0)),"")</f>
        <v/>
      </c>
      <c r="R80" s="8">
        <f>IFERROR(IFERROR(VLOOKUP(A80,TRAOPE!$A:$W,23,0),VLOOKUP(B80,TRAOPE!$A:$W,23,0)),"")</f>
        <v/>
      </c>
      <c r="S80" s="10">
        <f>IF(AND(P80="TN",R80="TN"),N80+N(O80),IF(G80&amp;""="1",N(K80)*N80,(N80+N(O80))*N(K80)))</f>
        <v/>
      </c>
      <c r="T80" s="10">
        <f>IF(Q80="","",Q80-S80)</f>
        <v/>
      </c>
    </row>
    <row r="81">
      <c r="A81" s="7">
        <f>CONCATENATE(C81,E81,F81,I81)</f>
        <v/>
      </c>
      <c r="B81" s="7">
        <f>CONCATENATE(C81,E81,I81)</f>
        <v/>
      </c>
      <c r="C81" s="8" t="n">
        <v>900007611</v>
      </c>
      <c r="D81" s="7">
        <f>IFERROR(VLOOKUP(C81,TRAOPE!$G:$H,2,0),"")</f>
        <v/>
      </c>
      <c r="E81" s="8" t="inlineStr">
        <is>
          <t>D860</t>
        </is>
      </c>
      <c r="F81" s="8" t="inlineStr">
        <is>
          <t>66896136</t>
        </is>
      </c>
      <c r="G81" s="8">
        <f>IFERROR(VLOOKUP(A81,Flete!$A:$E,5,0),"")</f>
        <v/>
      </c>
      <c r="H81" s="7">
        <f>IFERROR(VLOOKUP(F81,TRAOPE!$AA:$AB,2,0),"")</f>
        <v/>
      </c>
      <c r="I81" s="7" t="n">
        <v>10052407</v>
      </c>
      <c r="J81" s="7">
        <f>IFERROR(VLOOKUP(I81,Materiales!$A:$H,8,0),"")</f>
        <v/>
      </c>
      <c r="K81" s="9">
        <f>IFERROR(VLOOKUP(I81,Materiales!$A:$G,7,0),"")</f>
        <v/>
      </c>
      <c r="L81" s="8" t="inlineStr">
        <is>
          <t>20221109</t>
        </is>
      </c>
      <c r="M81" s="8" t="inlineStr">
        <is>
          <t>20251031</t>
        </is>
      </c>
      <c r="N81" s="10" t="n">
        <v>128.15</v>
      </c>
      <c r="O81" s="10">
        <f>IFERROR(VLOOKUP(A81,Flete!$A:$J,10,0),"")</f>
        <v/>
      </c>
      <c r="P81" s="8" t="inlineStr">
        <is>
          <t>M3</t>
        </is>
      </c>
      <c r="Q81" s="10">
        <f>IFERROR(IFERROR(VLOOKUP(A81,TRAOPE!$A:$U,21,0),VLOOKUP(B81,TRAOPE!$A:$U,21,0)),"")</f>
        <v/>
      </c>
      <c r="R81" s="8">
        <f>IFERROR(IFERROR(VLOOKUP(A81,TRAOPE!$A:$W,23,0),VLOOKUP(B81,TRAOPE!$A:$W,23,0)),"")</f>
        <v/>
      </c>
      <c r="S81" s="10">
        <f>IF(AND(P81="TN",R81="TN"),N81+N(O81),IF(G81&amp;""="1",N(K81)*N81,(N81+N(O81))*N(K81)))</f>
        <v/>
      </c>
      <c r="T81" s="10">
        <f>IF(Q81="","",Q81-S81)</f>
        <v/>
      </c>
    </row>
    <row r="82">
      <c r="A82" s="7">
        <f>CONCATENATE(C82,E82,F82,I82)</f>
        <v/>
      </c>
      <c r="B82" s="7">
        <f>CONCATENATE(C82,E82,I82)</f>
        <v/>
      </c>
      <c r="C82" s="8" t="n">
        <v>900007611</v>
      </c>
      <c r="D82" s="7">
        <f>IFERROR(VLOOKUP(C82,TRAOPE!$G:$H,2,0),"")</f>
        <v/>
      </c>
      <c r="E82" s="8" t="inlineStr">
        <is>
          <t>D860</t>
        </is>
      </c>
      <c r="F82" s="8" t="inlineStr">
        <is>
          <t>66909613</t>
        </is>
      </c>
      <c r="G82" s="8">
        <f>IFERROR(VLOOKUP(A82,Flete!$A:$E,5,0),"")</f>
        <v/>
      </c>
      <c r="H82" s="7">
        <f>IFERROR(VLOOKUP(F82,TRAOPE!$AA:$AB,2,0),"")</f>
        <v/>
      </c>
      <c r="I82" s="7" t="n">
        <v>10190772</v>
      </c>
      <c r="J82" s="7">
        <f>IFERROR(VLOOKUP(I82,Materiales!$A:$H,8,0),"")</f>
        <v/>
      </c>
      <c r="K82" s="9">
        <f>IFERROR(VLOOKUP(I82,Materiales!$A:$G,7,0),"")</f>
        <v/>
      </c>
      <c r="L82" s="8" t="inlineStr">
        <is>
          <t>20221109</t>
        </is>
      </c>
      <c r="M82" s="8" t="inlineStr">
        <is>
          <t>20251031</t>
        </is>
      </c>
      <c r="N82" s="10" t="n">
        <v>108.5</v>
      </c>
      <c r="O82" s="10">
        <f>IFERROR(VLOOKUP(A82,Flete!$A:$J,10,0),"")</f>
        <v/>
      </c>
      <c r="P82" s="8" t="inlineStr">
        <is>
          <t>M3</t>
        </is>
      </c>
      <c r="Q82" s="10">
        <f>IFERROR(IFERROR(VLOOKUP(A82,TRAOPE!$A:$U,21,0),VLOOKUP(B82,TRAOPE!$A:$U,21,0)),"")</f>
        <v/>
      </c>
      <c r="R82" s="8">
        <f>IFERROR(IFERROR(VLOOKUP(A82,TRAOPE!$A:$W,23,0),VLOOKUP(B82,TRAOPE!$A:$W,23,0)),"")</f>
        <v/>
      </c>
      <c r="S82" s="10">
        <f>IF(AND(P82="TN",R82="TN"),N82+N(O82),IF(G82&amp;""="1",N(K82)*N82,(N82+N(O82))*N(K82)))</f>
        <v/>
      </c>
      <c r="T82" s="10">
        <f>IF(Q82="","",Q82-S82)</f>
        <v/>
      </c>
    </row>
    <row r="83">
      <c r="A83" s="7">
        <f>CONCATENATE(C83,E83,F83,I83)</f>
        <v/>
      </c>
      <c r="B83" s="7">
        <f>CONCATENATE(C83,E83,I83)</f>
        <v/>
      </c>
      <c r="C83" s="8" t="n">
        <v>900007611</v>
      </c>
      <c r="D83" s="7">
        <f>IFERROR(VLOOKUP(C83,TRAOPE!$G:$H,2,0),"")</f>
        <v/>
      </c>
      <c r="E83" s="8" t="inlineStr">
        <is>
          <t>D860</t>
        </is>
      </c>
      <c r="F83" s="8" t="inlineStr">
        <is>
          <t>66954183</t>
        </is>
      </c>
      <c r="G83" s="8">
        <f>IFERROR(VLOOKUP(A83,Flete!$A:$E,5,0),"")</f>
        <v/>
      </c>
      <c r="H83" s="7">
        <f>IFERROR(VLOOKUP(F83,TRAOPE!$AA:$AB,2,0),"")</f>
        <v/>
      </c>
      <c r="I83" s="7" t="n">
        <v>10052402</v>
      </c>
      <c r="J83" s="7">
        <f>IFERROR(VLOOKUP(I83,Materiales!$A:$H,8,0),"")</f>
        <v/>
      </c>
      <c r="K83" s="9">
        <f>IFERROR(VLOOKUP(I83,Materiales!$A:$G,7,0),"")</f>
        <v/>
      </c>
      <c r="L83" s="8" t="inlineStr">
        <is>
          <t>20221109</t>
        </is>
      </c>
      <c r="M83" s="8" t="inlineStr">
        <is>
          <t>20251031</t>
        </is>
      </c>
      <c r="N83" s="10" t="n">
        <v>153</v>
      </c>
      <c r="O83" s="10">
        <f>IFERROR(VLOOKUP(A83,Flete!$A:$J,10,0),"")</f>
        <v/>
      </c>
      <c r="P83" s="8" t="inlineStr">
        <is>
          <t>M3</t>
        </is>
      </c>
      <c r="Q83" s="10">
        <f>IFERROR(IFERROR(VLOOKUP(A83,TRAOPE!$A:$U,21,0),VLOOKUP(B83,TRAOPE!$A:$U,21,0)),"")</f>
        <v/>
      </c>
      <c r="R83" s="8">
        <f>IFERROR(IFERROR(VLOOKUP(A83,TRAOPE!$A:$W,23,0),VLOOKUP(B83,TRAOPE!$A:$W,23,0)),"")</f>
        <v/>
      </c>
      <c r="S83" s="10">
        <f>IF(AND(P83="TN",R83="TN"),N83+N(O83),IF(G83&amp;""="1",N(K83)*N83,(N83+N(O83))*N(K83)))</f>
        <v/>
      </c>
      <c r="T83" s="10">
        <f>IF(Q83="","",Q83-S83)</f>
        <v/>
      </c>
    </row>
    <row r="84">
      <c r="A84" s="7">
        <f>CONCATENATE(C84,E84,F84,I84)</f>
        <v/>
      </c>
      <c r="B84" s="7">
        <f>CONCATENATE(C84,E84,I84)</f>
        <v/>
      </c>
      <c r="C84" s="8" t="n">
        <v>900007611</v>
      </c>
      <c r="D84" s="7">
        <f>IFERROR(VLOOKUP(C84,TRAOPE!$G:$H,2,0),"")</f>
        <v/>
      </c>
      <c r="E84" s="8" t="inlineStr">
        <is>
          <t>D860</t>
        </is>
      </c>
      <c r="F84" s="8" t="inlineStr">
        <is>
          <t>66954183</t>
        </is>
      </c>
      <c r="G84" s="8">
        <f>IFERROR(VLOOKUP(A84,Flete!$A:$E,5,0),"")</f>
        <v/>
      </c>
      <c r="H84" s="7">
        <f>IFERROR(VLOOKUP(F84,TRAOPE!$AA:$AB,2,0),"")</f>
        <v/>
      </c>
      <c r="I84" s="7" t="n">
        <v>10052407</v>
      </c>
      <c r="J84" s="7">
        <f>IFERROR(VLOOKUP(I84,Materiales!$A:$H,8,0),"")</f>
        <v/>
      </c>
      <c r="K84" s="9">
        <f>IFERROR(VLOOKUP(I84,Materiales!$A:$G,7,0),"")</f>
        <v/>
      </c>
      <c r="L84" s="8" t="inlineStr">
        <is>
          <t>20221109</t>
        </is>
      </c>
      <c r="M84" s="8" t="inlineStr">
        <is>
          <t>20251031</t>
        </is>
      </c>
      <c r="N84" s="10" t="n">
        <v>110</v>
      </c>
      <c r="O84" s="10">
        <f>IFERROR(VLOOKUP(A84,Flete!$A:$J,10,0),"")</f>
        <v/>
      </c>
      <c r="P84" s="8" t="inlineStr">
        <is>
          <t>M3</t>
        </is>
      </c>
      <c r="Q84" s="10">
        <f>IFERROR(IFERROR(VLOOKUP(A84,TRAOPE!$A:$U,21,0),VLOOKUP(B84,TRAOPE!$A:$U,21,0)),"")</f>
        <v/>
      </c>
      <c r="R84" s="8">
        <f>IFERROR(IFERROR(VLOOKUP(A84,TRAOPE!$A:$W,23,0),VLOOKUP(B84,TRAOPE!$A:$W,23,0)),"")</f>
        <v/>
      </c>
      <c r="S84" s="10">
        <f>IF(AND(P84="TN",R84="TN"),N84+N(O84),IF(G84&amp;""="1",N(K84)*N84,(N84+N(O84))*N(K84)))</f>
        <v/>
      </c>
      <c r="T84" s="10">
        <f>IF(Q84="","",Q84-S84)</f>
        <v/>
      </c>
    </row>
    <row r="85">
      <c r="A85" s="7">
        <f>CONCATENATE(C85,E85,F85,I85)</f>
        <v/>
      </c>
      <c r="B85" s="7">
        <f>CONCATENATE(C85,E85,I85)</f>
        <v/>
      </c>
      <c r="C85" s="8" t="n">
        <v>900007611</v>
      </c>
      <c r="D85" s="7">
        <f>IFERROR(VLOOKUP(C85,TRAOPE!$G:$H,2,0),"")</f>
        <v/>
      </c>
      <c r="E85" s="8" t="inlineStr">
        <is>
          <t>D860</t>
        </is>
      </c>
      <c r="F85" s="8" t="inlineStr">
        <is>
          <t>66958065</t>
        </is>
      </c>
      <c r="G85" s="8">
        <f>IFERROR(VLOOKUP(A85,Flete!$A:$E,5,0),"")</f>
        <v/>
      </c>
      <c r="H85" s="7">
        <f>IFERROR(VLOOKUP(F85,TRAOPE!$AA:$AB,2,0),"")</f>
        <v/>
      </c>
      <c r="I85" s="7" t="n">
        <v>10052404</v>
      </c>
      <c r="J85" s="7">
        <f>IFERROR(VLOOKUP(I85,Materiales!$A:$H,8,0),"")</f>
        <v/>
      </c>
      <c r="K85" s="9">
        <f>IFERROR(VLOOKUP(I85,Materiales!$A:$G,7,0),"")</f>
        <v/>
      </c>
      <c r="L85" s="8" t="inlineStr">
        <is>
          <t>20221109</t>
        </is>
      </c>
      <c r="M85" s="8" t="inlineStr">
        <is>
          <t>20251031</t>
        </is>
      </c>
      <c r="N85" s="10" t="n">
        <v>126</v>
      </c>
      <c r="O85" s="10">
        <f>IFERROR(VLOOKUP(A85,Flete!$A:$J,10,0),"")</f>
        <v/>
      </c>
      <c r="P85" s="8" t="inlineStr">
        <is>
          <t>M3</t>
        </is>
      </c>
      <c r="Q85" s="10">
        <f>IFERROR(IFERROR(VLOOKUP(A85,TRAOPE!$A:$U,21,0),VLOOKUP(B85,TRAOPE!$A:$U,21,0)),"")</f>
        <v/>
      </c>
      <c r="R85" s="8">
        <f>IFERROR(IFERROR(VLOOKUP(A85,TRAOPE!$A:$W,23,0),VLOOKUP(B85,TRAOPE!$A:$W,23,0)),"")</f>
        <v/>
      </c>
      <c r="S85" s="10">
        <f>IF(AND(P85="TN",R85="TN"),N85+N(O85),IF(G85&amp;""="1",N(K85)*N85,(N85+N(O85))*N(K85)))</f>
        <v/>
      </c>
      <c r="T85" s="10">
        <f>IF(Q85="","",Q85-S85)</f>
        <v/>
      </c>
    </row>
    <row r="86">
      <c r="A86" s="7">
        <f>CONCATENATE(C86,E86,F86,I86)</f>
        <v/>
      </c>
      <c r="B86" s="7">
        <f>CONCATENATE(C86,E86,I86)</f>
        <v/>
      </c>
      <c r="C86" s="8" t="n">
        <v>900007611</v>
      </c>
      <c r="D86" s="7">
        <f>IFERROR(VLOOKUP(C86,TRAOPE!$G:$H,2,0),"")</f>
        <v/>
      </c>
      <c r="E86" s="8" t="inlineStr">
        <is>
          <t>D860</t>
        </is>
      </c>
      <c r="F86" s="8" t="inlineStr">
        <is>
          <t>66958065</t>
        </is>
      </c>
      <c r="G86" s="8">
        <f>IFERROR(VLOOKUP(A86,Flete!$A:$E,5,0),"")</f>
        <v/>
      </c>
      <c r="H86" s="7">
        <f>IFERROR(VLOOKUP(F86,TRAOPE!$AA:$AB,2,0),"")</f>
        <v/>
      </c>
      <c r="I86" s="7" t="n">
        <v>10052405</v>
      </c>
      <c r="J86" s="7">
        <f>IFERROR(VLOOKUP(I86,Materiales!$A:$H,8,0),"")</f>
        <v/>
      </c>
      <c r="K86" s="9">
        <f>IFERROR(VLOOKUP(I86,Materiales!$A:$G,7,0),"")</f>
        <v/>
      </c>
      <c r="L86" s="8" t="inlineStr">
        <is>
          <t>20221109</t>
        </is>
      </c>
      <c r="M86" s="8" t="inlineStr">
        <is>
          <t>20251031</t>
        </is>
      </c>
      <c r="N86" s="10" t="n">
        <v>130</v>
      </c>
      <c r="O86" s="10">
        <f>IFERROR(VLOOKUP(A86,Flete!$A:$J,10,0),"")</f>
        <v/>
      </c>
      <c r="P86" s="8" t="inlineStr">
        <is>
          <t>M3</t>
        </is>
      </c>
      <c r="Q86" s="10">
        <f>IFERROR(IFERROR(VLOOKUP(A86,TRAOPE!$A:$U,21,0),VLOOKUP(B86,TRAOPE!$A:$U,21,0)),"")</f>
        <v/>
      </c>
      <c r="R86" s="8">
        <f>IFERROR(IFERROR(VLOOKUP(A86,TRAOPE!$A:$W,23,0),VLOOKUP(B86,TRAOPE!$A:$W,23,0)),"")</f>
        <v/>
      </c>
      <c r="S86" s="10">
        <f>IF(AND(P86="TN",R86="TN"),N86+N(O86),IF(G86&amp;""="1",N(K86)*N86,(N86+N(O86))*N(K86)))</f>
        <v/>
      </c>
      <c r="T86" s="10">
        <f>IF(Q86="","",Q86-S86)</f>
        <v/>
      </c>
    </row>
    <row r="87">
      <c r="A87" s="7">
        <f>CONCATENATE(C87,E87,F87,I87)</f>
        <v/>
      </c>
      <c r="B87" s="7">
        <f>CONCATENATE(C87,E87,I87)</f>
        <v/>
      </c>
      <c r="C87" s="8" t="n">
        <v>900007611</v>
      </c>
      <c r="D87" s="7">
        <f>IFERROR(VLOOKUP(C87,TRAOPE!$G:$H,2,0),"")</f>
        <v/>
      </c>
      <c r="E87" s="8" t="inlineStr">
        <is>
          <t>D860</t>
        </is>
      </c>
      <c r="F87" s="8" t="inlineStr">
        <is>
          <t>66958065</t>
        </is>
      </c>
      <c r="G87" s="8">
        <f>IFERROR(VLOOKUP(A87,Flete!$A:$E,5,0),"")</f>
        <v/>
      </c>
      <c r="H87" s="7">
        <f>IFERROR(VLOOKUP(F87,TRAOPE!$AA:$AB,2,0),"")</f>
        <v/>
      </c>
      <c r="I87" s="7" t="n">
        <v>10208119</v>
      </c>
      <c r="J87" s="7">
        <f>IFERROR(VLOOKUP(I87,Materiales!$A:$H,8,0),"")</f>
        <v/>
      </c>
      <c r="K87" s="9">
        <f>IFERROR(VLOOKUP(I87,Materiales!$A:$G,7,0),"")</f>
        <v/>
      </c>
      <c r="L87" s="8" t="inlineStr">
        <is>
          <t>20221109</t>
        </is>
      </c>
      <c r="M87" s="8" t="inlineStr">
        <is>
          <t>20251031</t>
        </is>
      </c>
      <c r="N87" s="10" t="n">
        <v>140</v>
      </c>
      <c r="O87" s="10">
        <f>IFERROR(VLOOKUP(A87,Flete!$A:$J,10,0),"")</f>
        <v/>
      </c>
      <c r="P87" s="8" t="inlineStr">
        <is>
          <t>M3</t>
        </is>
      </c>
      <c r="Q87" s="10">
        <f>IFERROR(IFERROR(VLOOKUP(A87,TRAOPE!$A:$U,21,0),VLOOKUP(B87,TRAOPE!$A:$U,21,0)),"")</f>
        <v/>
      </c>
      <c r="R87" s="8">
        <f>IFERROR(IFERROR(VLOOKUP(A87,TRAOPE!$A:$W,23,0),VLOOKUP(B87,TRAOPE!$A:$W,23,0)),"")</f>
        <v/>
      </c>
      <c r="S87" s="10">
        <f>IF(AND(P87="TN",R87="TN"),N87+N(O87),IF(G87&amp;""="1",N(K87)*N87,(N87+N(O87))*N(K87)))</f>
        <v/>
      </c>
      <c r="T87" s="10">
        <f>IF(Q87="","",Q87-S87)</f>
        <v/>
      </c>
    </row>
    <row r="88">
      <c r="A88" s="7">
        <f>CONCATENATE(C88,E88,F88,I88)</f>
        <v/>
      </c>
      <c r="B88" s="7">
        <f>CONCATENATE(C88,E88,I88)</f>
        <v/>
      </c>
      <c r="C88" s="8" t="n">
        <v>900007611</v>
      </c>
      <c r="D88" s="7">
        <f>IFERROR(VLOOKUP(C88,TRAOPE!$G:$H,2,0),"")</f>
        <v/>
      </c>
      <c r="E88" s="8" t="inlineStr">
        <is>
          <t>D860</t>
        </is>
      </c>
      <c r="F88" s="8" t="inlineStr">
        <is>
          <t>67064029</t>
        </is>
      </c>
      <c r="G88" s="8">
        <f>IFERROR(VLOOKUP(A88,Flete!$A:$E,5,0),"")</f>
        <v/>
      </c>
      <c r="H88" s="7">
        <f>IFERROR(VLOOKUP(F88,TRAOPE!$AA:$AB,2,0),"")</f>
        <v/>
      </c>
      <c r="I88" s="7" t="n">
        <v>10208119</v>
      </c>
      <c r="J88" s="7">
        <f>IFERROR(VLOOKUP(I88,Materiales!$A:$H,8,0),"")</f>
        <v/>
      </c>
      <c r="K88" s="9">
        <f>IFERROR(VLOOKUP(I88,Materiales!$A:$G,7,0),"")</f>
        <v/>
      </c>
      <c r="L88" s="8" t="inlineStr">
        <is>
          <t>20221109</t>
        </is>
      </c>
      <c r="M88" s="8" t="inlineStr">
        <is>
          <t>20251031</t>
        </is>
      </c>
      <c r="N88" s="10" t="n">
        <v>140</v>
      </c>
      <c r="O88" s="10">
        <f>IFERROR(VLOOKUP(A88,Flete!$A:$J,10,0),"")</f>
        <v/>
      </c>
      <c r="P88" s="8" t="inlineStr">
        <is>
          <t>M3</t>
        </is>
      </c>
      <c r="Q88" s="10">
        <f>IFERROR(IFERROR(VLOOKUP(A88,TRAOPE!$A:$U,21,0),VLOOKUP(B88,TRAOPE!$A:$U,21,0)),"")</f>
        <v/>
      </c>
      <c r="R88" s="8">
        <f>IFERROR(IFERROR(VLOOKUP(A88,TRAOPE!$A:$W,23,0),VLOOKUP(B88,TRAOPE!$A:$W,23,0)),"")</f>
        <v/>
      </c>
      <c r="S88" s="10">
        <f>IF(AND(P88="TN",R88="TN"),N88+N(O88),IF(G88&amp;""="1",N(K88)*N88,(N88+N(O88))*N(K88)))</f>
        <v/>
      </c>
      <c r="T88" s="10">
        <f>IF(Q88="","",Q88-S88)</f>
        <v/>
      </c>
    </row>
    <row r="89">
      <c r="A89" s="7">
        <f>CONCATENATE(C89,E89,F89,I89)</f>
        <v/>
      </c>
      <c r="B89" s="7">
        <f>CONCATENATE(C89,E89,I89)</f>
        <v/>
      </c>
      <c r="C89" s="8" t="n">
        <v>900007611</v>
      </c>
      <c r="D89" s="7">
        <f>IFERROR(VLOOKUP(C89,TRAOPE!$G:$H,2,0),"")</f>
        <v/>
      </c>
      <c r="E89" s="8" t="inlineStr">
        <is>
          <t>D860</t>
        </is>
      </c>
      <c r="F89" s="8" t="inlineStr">
        <is>
          <t>67066486</t>
        </is>
      </c>
      <c r="G89" s="8">
        <f>IFERROR(VLOOKUP(A89,Flete!$A:$E,5,0),"")</f>
        <v/>
      </c>
      <c r="H89" s="7">
        <f>IFERROR(VLOOKUP(F89,TRAOPE!$AA:$AB,2,0),"")</f>
        <v/>
      </c>
      <c r="I89" s="7" t="n">
        <v>10152920</v>
      </c>
      <c r="J89" s="7">
        <f>IFERROR(VLOOKUP(I89,Materiales!$A:$H,8,0),"")</f>
        <v/>
      </c>
      <c r="K89" s="9">
        <f>IFERROR(VLOOKUP(I89,Materiales!$A:$G,7,0),"")</f>
        <v/>
      </c>
      <c r="L89" s="8" t="inlineStr">
        <is>
          <t>20221109</t>
        </is>
      </c>
      <c r="M89" s="8" t="inlineStr">
        <is>
          <t>20251031</t>
        </is>
      </c>
      <c r="N89" s="10" t="n">
        <v>140.5</v>
      </c>
      <c r="O89" s="10">
        <f>IFERROR(VLOOKUP(A89,Flete!$A:$J,10,0),"")</f>
        <v/>
      </c>
      <c r="P89" s="8" t="inlineStr">
        <is>
          <t>M3</t>
        </is>
      </c>
      <c r="Q89" s="10">
        <f>IFERROR(IFERROR(VLOOKUP(A89,TRAOPE!$A:$U,21,0),VLOOKUP(B89,TRAOPE!$A:$U,21,0)),"")</f>
        <v/>
      </c>
      <c r="R89" s="8">
        <f>IFERROR(IFERROR(VLOOKUP(A89,TRAOPE!$A:$W,23,0),VLOOKUP(B89,TRAOPE!$A:$W,23,0)),"")</f>
        <v/>
      </c>
      <c r="S89" s="10">
        <f>IF(AND(P89="TN",R89="TN"),N89+N(O89),IF(G89&amp;""="1",N(K89)*N89,(N89+N(O89))*N(K89)))</f>
        <v/>
      </c>
      <c r="T89" s="10">
        <f>IF(Q89="","",Q89-S89)</f>
        <v/>
      </c>
    </row>
    <row r="90">
      <c r="A90" s="7">
        <f>CONCATENATE(C90,E90,F90,I90)</f>
        <v/>
      </c>
      <c r="B90" s="7">
        <f>CONCATENATE(C90,E90,I90)</f>
        <v/>
      </c>
      <c r="C90" s="8" t="n">
        <v>900007611</v>
      </c>
      <c r="D90" s="7">
        <f>IFERROR(VLOOKUP(C90,TRAOPE!$G:$H,2,0),"")</f>
        <v/>
      </c>
      <c r="E90" s="8" t="inlineStr">
        <is>
          <t>D860</t>
        </is>
      </c>
      <c r="F90" s="8" t="inlineStr">
        <is>
          <t>67118819</t>
        </is>
      </c>
      <c r="G90" s="8">
        <f>IFERROR(VLOOKUP(A90,Flete!$A:$E,5,0),"")</f>
        <v/>
      </c>
      <c r="H90" s="7">
        <f>IFERROR(VLOOKUP(F90,TRAOPE!$AA:$AB,2,0),"")</f>
        <v/>
      </c>
      <c r="I90" s="7" t="n">
        <v>10052402</v>
      </c>
      <c r="J90" s="7">
        <f>IFERROR(VLOOKUP(I90,Materiales!$A:$H,8,0),"")</f>
        <v/>
      </c>
      <c r="K90" s="9">
        <f>IFERROR(VLOOKUP(I90,Materiales!$A:$G,7,0),"")</f>
        <v/>
      </c>
      <c r="L90" s="8" t="inlineStr">
        <is>
          <t>20221109</t>
        </is>
      </c>
      <c r="M90" s="8" t="inlineStr">
        <is>
          <t>20251031</t>
        </is>
      </c>
      <c r="N90" s="10" t="n">
        <v>183.8</v>
      </c>
      <c r="O90" s="10">
        <f>IFERROR(VLOOKUP(A90,Flete!$A:$J,10,0),"")</f>
        <v/>
      </c>
      <c r="P90" s="8" t="inlineStr">
        <is>
          <t>M3</t>
        </is>
      </c>
      <c r="Q90" s="10">
        <f>IFERROR(IFERROR(VLOOKUP(A90,TRAOPE!$A:$U,21,0),VLOOKUP(B90,TRAOPE!$A:$U,21,0)),"")</f>
        <v/>
      </c>
      <c r="R90" s="8">
        <f>IFERROR(IFERROR(VLOOKUP(A90,TRAOPE!$A:$W,23,0),VLOOKUP(B90,TRAOPE!$A:$W,23,0)),"")</f>
        <v/>
      </c>
      <c r="S90" s="10">
        <f>IF(AND(P90="TN",R90="TN"),N90+N(O90),IF(G90&amp;""="1",N(K90)*N90,(N90+N(O90))*N(K90)))</f>
        <v/>
      </c>
      <c r="T90" s="10">
        <f>IF(Q90="","",Q90-S90)</f>
        <v/>
      </c>
    </row>
    <row r="91">
      <c r="A91" s="7">
        <f>CONCATENATE(C91,E91,F91,I91)</f>
        <v/>
      </c>
      <c r="B91" s="7">
        <f>CONCATENATE(C91,E91,I91)</f>
        <v/>
      </c>
      <c r="C91" s="8" t="n">
        <v>900007611</v>
      </c>
      <c r="D91" s="7">
        <f>IFERROR(VLOOKUP(C91,TRAOPE!$G:$H,2,0),"")</f>
        <v/>
      </c>
      <c r="E91" s="8" t="inlineStr">
        <is>
          <t>D860</t>
        </is>
      </c>
      <c r="F91" s="8" t="inlineStr">
        <is>
          <t>67118819</t>
        </is>
      </c>
      <c r="G91" s="8">
        <f>IFERROR(VLOOKUP(A91,Flete!$A:$E,5,0),"")</f>
        <v/>
      </c>
      <c r="H91" s="7">
        <f>IFERROR(VLOOKUP(F91,TRAOPE!$AA:$AB,2,0),"")</f>
        <v/>
      </c>
      <c r="I91" s="7" t="n">
        <v>10052404</v>
      </c>
      <c r="J91" s="7">
        <f>IFERROR(VLOOKUP(I91,Materiales!$A:$H,8,0),"")</f>
        <v/>
      </c>
      <c r="K91" s="9">
        <f>IFERROR(VLOOKUP(I91,Materiales!$A:$G,7,0),"")</f>
        <v/>
      </c>
      <c r="L91" s="8" t="inlineStr">
        <is>
          <t>20221109</t>
        </is>
      </c>
      <c r="M91" s="8" t="inlineStr">
        <is>
          <t>20251031</t>
        </is>
      </c>
      <c r="N91" s="10" t="n">
        <v>144.2</v>
      </c>
      <c r="O91" s="10">
        <f>IFERROR(VLOOKUP(A91,Flete!$A:$J,10,0),"")</f>
        <v/>
      </c>
      <c r="P91" s="8" t="inlineStr">
        <is>
          <t>M3</t>
        </is>
      </c>
      <c r="Q91" s="10">
        <f>IFERROR(IFERROR(VLOOKUP(A91,TRAOPE!$A:$U,21,0),VLOOKUP(B91,TRAOPE!$A:$U,21,0)),"")</f>
        <v/>
      </c>
      <c r="R91" s="8">
        <f>IFERROR(IFERROR(VLOOKUP(A91,TRAOPE!$A:$W,23,0),VLOOKUP(B91,TRAOPE!$A:$W,23,0)),"")</f>
        <v/>
      </c>
      <c r="S91" s="10">
        <f>IF(AND(P91="TN",R91="TN"),N91+N(O91),IF(G91&amp;""="1",N(K91)*N91,(N91+N(O91))*N(K91)))</f>
        <v/>
      </c>
      <c r="T91" s="10">
        <f>IF(Q91="","",Q91-S91)</f>
        <v/>
      </c>
    </row>
    <row r="92">
      <c r="A92" s="7">
        <f>CONCATENATE(C92,E92,F92,I92)</f>
        <v/>
      </c>
      <c r="B92" s="7">
        <f>CONCATENATE(C92,E92,I92)</f>
        <v/>
      </c>
      <c r="C92" s="8" t="n">
        <v>900007611</v>
      </c>
      <c r="D92" s="7">
        <f>IFERROR(VLOOKUP(C92,TRAOPE!$G:$H,2,0),"")</f>
        <v/>
      </c>
      <c r="E92" s="8" t="inlineStr">
        <is>
          <t>D860</t>
        </is>
      </c>
      <c r="F92" s="8" t="inlineStr">
        <is>
          <t>67118819</t>
        </is>
      </c>
      <c r="G92" s="8">
        <f>IFERROR(VLOOKUP(A92,Flete!$A:$E,5,0),"")</f>
        <v/>
      </c>
      <c r="H92" s="7">
        <f>IFERROR(VLOOKUP(F92,TRAOPE!$AA:$AB,2,0),"")</f>
        <v/>
      </c>
      <c r="I92" s="7" t="n">
        <v>10052405</v>
      </c>
      <c r="J92" s="7">
        <f>IFERROR(VLOOKUP(I92,Materiales!$A:$H,8,0),"")</f>
        <v/>
      </c>
      <c r="K92" s="9">
        <f>IFERROR(VLOOKUP(I92,Materiales!$A:$G,7,0),"")</f>
        <v/>
      </c>
      <c r="L92" s="8" t="inlineStr">
        <is>
          <t>20221109</t>
        </is>
      </c>
      <c r="M92" s="8" t="inlineStr">
        <is>
          <t>20251031</t>
        </is>
      </c>
      <c r="N92" s="10" t="n">
        <v>144.2</v>
      </c>
      <c r="O92" s="10">
        <f>IFERROR(VLOOKUP(A92,Flete!$A:$J,10,0),"")</f>
        <v/>
      </c>
      <c r="P92" s="8" t="inlineStr">
        <is>
          <t>M3</t>
        </is>
      </c>
      <c r="Q92" s="10">
        <f>IFERROR(IFERROR(VLOOKUP(A92,TRAOPE!$A:$U,21,0),VLOOKUP(B92,TRAOPE!$A:$U,21,0)),"")</f>
        <v/>
      </c>
      <c r="R92" s="8">
        <f>IFERROR(IFERROR(VLOOKUP(A92,TRAOPE!$A:$W,23,0),VLOOKUP(B92,TRAOPE!$A:$W,23,0)),"")</f>
        <v/>
      </c>
      <c r="S92" s="10">
        <f>IF(AND(P92="TN",R92="TN"),N92+N(O92),IF(G92&amp;""="1",N(K92)*N92,(N92+N(O92))*N(K92)))</f>
        <v/>
      </c>
      <c r="T92" s="10">
        <f>IF(Q92="","",Q92-S92)</f>
        <v/>
      </c>
    </row>
    <row r="93">
      <c r="A93" s="7">
        <f>CONCATENATE(C93,E93,F93,I93)</f>
        <v/>
      </c>
      <c r="B93" s="7">
        <f>CONCATENATE(C93,E93,I93)</f>
        <v/>
      </c>
      <c r="C93" s="8" t="n">
        <v>900007611</v>
      </c>
      <c r="D93" s="7">
        <f>IFERROR(VLOOKUP(C93,TRAOPE!$G:$H,2,0),"")</f>
        <v/>
      </c>
      <c r="E93" s="8" t="inlineStr">
        <is>
          <t>D860</t>
        </is>
      </c>
      <c r="F93" s="8" t="inlineStr">
        <is>
          <t>67118819</t>
        </is>
      </c>
      <c r="G93" s="8">
        <f>IFERROR(VLOOKUP(A93,Flete!$A:$E,5,0),"")</f>
        <v/>
      </c>
      <c r="H93" s="7">
        <f>IFERROR(VLOOKUP(F93,TRAOPE!$AA:$AB,2,0),"")</f>
        <v/>
      </c>
      <c r="I93" s="7" t="n">
        <v>10052407</v>
      </c>
      <c r="J93" s="7">
        <f>IFERROR(VLOOKUP(I93,Materiales!$A:$H,8,0),"")</f>
        <v/>
      </c>
      <c r="K93" s="9">
        <f>IFERROR(VLOOKUP(I93,Materiales!$A:$G,7,0),"")</f>
        <v/>
      </c>
      <c r="L93" s="8" t="inlineStr">
        <is>
          <t>20221109</t>
        </is>
      </c>
      <c r="M93" s="8" t="inlineStr">
        <is>
          <t>20251031</t>
        </is>
      </c>
      <c r="N93" s="10" t="n">
        <v>128.15</v>
      </c>
      <c r="O93" s="10">
        <f>IFERROR(VLOOKUP(A93,Flete!$A:$J,10,0),"")</f>
        <v/>
      </c>
      <c r="P93" s="8" t="inlineStr">
        <is>
          <t>M3</t>
        </is>
      </c>
      <c r="Q93" s="10">
        <f>IFERROR(IFERROR(VLOOKUP(A93,TRAOPE!$A:$U,21,0),VLOOKUP(B93,TRAOPE!$A:$U,21,0)),"")</f>
        <v/>
      </c>
      <c r="R93" s="8">
        <f>IFERROR(IFERROR(VLOOKUP(A93,TRAOPE!$A:$W,23,0),VLOOKUP(B93,TRAOPE!$A:$W,23,0)),"")</f>
        <v/>
      </c>
      <c r="S93" s="10">
        <f>IF(AND(P93="TN",R93="TN"),N93+N(O93),IF(G93&amp;""="1",N(K93)*N93,(N93+N(O93))*N(K93)))</f>
        <v/>
      </c>
      <c r="T93" s="10">
        <f>IF(Q93="","",Q93-S93)</f>
        <v/>
      </c>
    </row>
    <row r="94">
      <c r="A94" s="7">
        <f>CONCATENATE(C94,E94,F94,I94)</f>
        <v/>
      </c>
      <c r="B94" s="7">
        <f>CONCATENATE(C94,E94,I94)</f>
        <v/>
      </c>
      <c r="C94" s="8" t="n">
        <v>900007611</v>
      </c>
      <c r="D94" s="7">
        <f>IFERROR(VLOOKUP(C94,TRAOPE!$G:$H,2,0),"")</f>
        <v/>
      </c>
      <c r="E94" s="8" t="inlineStr">
        <is>
          <t>D860</t>
        </is>
      </c>
      <c r="F94" s="8" t="inlineStr">
        <is>
          <t>67154732</t>
        </is>
      </c>
      <c r="G94" s="8">
        <f>IFERROR(VLOOKUP(A94,Flete!$A:$E,5,0),"")</f>
        <v/>
      </c>
      <c r="H94" s="7">
        <f>IFERROR(VLOOKUP(F94,TRAOPE!$AA:$AB,2,0),"")</f>
        <v/>
      </c>
      <c r="I94" s="7" t="n">
        <v>10052407</v>
      </c>
      <c r="J94" s="7">
        <f>IFERROR(VLOOKUP(I94,Materiales!$A:$H,8,0),"")</f>
        <v/>
      </c>
      <c r="K94" s="9">
        <f>IFERROR(VLOOKUP(I94,Materiales!$A:$G,7,0),"")</f>
        <v/>
      </c>
      <c r="L94" s="8" t="inlineStr">
        <is>
          <t>20221109</t>
        </is>
      </c>
      <c r="M94" s="8" t="inlineStr">
        <is>
          <t>20251031</t>
        </is>
      </c>
      <c r="N94" s="10" t="n">
        <v>109</v>
      </c>
      <c r="O94" s="10">
        <f>IFERROR(VLOOKUP(A94,Flete!$A:$J,10,0),"")</f>
        <v/>
      </c>
      <c r="P94" s="8" t="inlineStr">
        <is>
          <t>M3</t>
        </is>
      </c>
      <c r="Q94" s="10">
        <f>IFERROR(IFERROR(VLOOKUP(A94,TRAOPE!$A:$U,21,0),VLOOKUP(B94,TRAOPE!$A:$U,21,0)),"")</f>
        <v/>
      </c>
      <c r="R94" s="8">
        <f>IFERROR(IFERROR(VLOOKUP(A94,TRAOPE!$A:$W,23,0),VLOOKUP(B94,TRAOPE!$A:$W,23,0)),"")</f>
        <v/>
      </c>
      <c r="S94" s="10">
        <f>IF(AND(P94="TN",R94="TN"),N94+N(O94),IF(G94&amp;""="1",N(K94)*N94,(N94+N(O94))*N(K94)))</f>
        <v/>
      </c>
      <c r="T94" s="10">
        <f>IF(Q94="","",Q94-S94)</f>
        <v/>
      </c>
    </row>
    <row r="95">
      <c r="A95" s="7">
        <f>CONCATENATE(C95,E95,F95,I95)</f>
        <v/>
      </c>
      <c r="B95" s="7">
        <f>CONCATENATE(C95,E95,I95)</f>
        <v/>
      </c>
      <c r="C95" s="8" t="n">
        <v>900007611</v>
      </c>
      <c r="D95" s="7">
        <f>IFERROR(VLOOKUP(C95,TRAOPE!$G:$H,2,0),"")</f>
        <v/>
      </c>
      <c r="E95" s="8" t="inlineStr">
        <is>
          <t>D860</t>
        </is>
      </c>
      <c r="F95" s="8" t="inlineStr">
        <is>
          <t>67154732</t>
        </is>
      </c>
      <c r="G95" s="8">
        <f>IFERROR(VLOOKUP(A95,Flete!$A:$E,5,0),"")</f>
        <v/>
      </c>
      <c r="H95" s="7">
        <f>IFERROR(VLOOKUP(F95,TRAOPE!$AA:$AB,2,0),"")</f>
        <v/>
      </c>
      <c r="I95" s="7" t="n">
        <v>10190637</v>
      </c>
      <c r="J95" s="7">
        <f>IFERROR(VLOOKUP(I95,Materiales!$A:$H,8,0),"")</f>
        <v/>
      </c>
      <c r="K95" s="9">
        <f>IFERROR(VLOOKUP(I95,Materiales!$A:$G,7,0),"")</f>
        <v/>
      </c>
      <c r="L95" s="8" t="inlineStr">
        <is>
          <t>20221109</t>
        </is>
      </c>
      <c r="M95" s="8" t="inlineStr">
        <is>
          <t>20251031</t>
        </is>
      </c>
      <c r="N95" s="10" t="n">
        <v>119.5</v>
      </c>
      <c r="O95" s="10">
        <f>IFERROR(VLOOKUP(A95,Flete!$A:$J,10,0),"")</f>
        <v/>
      </c>
      <c r="P95" s="8" t="inlineStr">
        <is>
          <t>M3</t>
        </is>
      </c>
      <c r="Q95" s="10">
        <f>IFERROR(IFERROR(VLOOKUP(A95,TRAOPE!$A:$U,21,0),VLOOKUP(B95,TRAOPE!$A:$U,21,0)),"")</f>
        <v/>
      </c>
      <c r="R95" s="8">
        <f>IFERROR(IFERROR(VLOOKUP(A95,TRAOPE!$A:$W,23,0),VLOOKUP(B95,TRAOPE!$A:$W,23,0)),"")</f>
        <v/>
      </c>
      <c r="S95" s="10">
        <f>IF(AND(P95="TN",R95="TN"),N95+N(O95),IF(G95&amp;""="1",N(K95)*N95,(N95+N(O95))*N(K95)))</f>
        <v/>
      </c>
      <c r="T95" s="10">
        <f>IF(Q95="","",Q95-S95)</f>
        <v/>
      </c>
    </row>
    <row r="96">
      <c r="A96" s="7">
        <f>CONCATENATE(C96,E96,F96,I96)</f>
        <v/>
      </c>
      <c r="B96" s="7">
        <f>CONCATENATE(C96,E96,I96)</f>
        <v/>
      </c>
      <c r="C96" s="8" t="n">
        <v>900007611</v>
      </c>
      <c r="D96" s="7">
        <f>IFERROR(VLOOKUP(C96,TRAOPE!$G:$H,2,0),"")</f>
        <v/>
      </c>
      <c r="E96" s="8" t="inlineStr">
        <is>
          <t>D860</t>
        </is>
      </c>
      <c r="F96" s="8" t="inlineStr">
        <is>
          <t>67154732</t>
        </is>
      </c>
      <c r="G96" s="8">
        <f>IFERROR(VLOOKUP(A96,Flete!$A:$E,5,0),"")</f>
        <v/>
      </c>
      <c r="H96" s="7">
        <f>IFERROR(VLOOKUP(F96,TRAOPE!$AA:$AB,2,0),"")</f>
        <v/>
      </c>
      <c r="I96" s="7" t="n">
        <v>10190772</v>
      </c>
      <c r="J96" s="7">
        <f>IFERROR(VLOOKUP(I96,Materiales!$A:$H,8,0),"")</f>
        <v/>
      </c>
      <c r="K96" s="9">
        <f>IFERROR(VLOOKUP(I96,Materiales!$A:$G,7,0),"")</f>
        <v/>
      </c>
      <c r="L96" s="8" t="inlineStr">
        <is>
          <t>20221109</t>
        </is>
      </c>
      <c r="M96" s="8" t="inlineStr">
        <is>
          <t>20251031</t>
        </is>
      </c>
      <c r="N96" s="10" t="n">
        <v>67</v>
      </c>
      <c r="O96" s="10">
        <f>IFERROR(VLOOKUP(A96,Flete!$A:$J,10,0),"")</f>
        <v/>
      </c>
      <c r="P96" s="8" t="inlineStr">
        <is>
          <t>M3</t>
        </is>
      </c>
      <c r="Q96" s="10">
        <f>IFERROR(IFERROR(VLOOKUP(A96,TRAOPE!$A:$U,21,0),VLOOKUP(B96,TRAOPE!$A:$U,21,0)),"")</f>
        <v/>
      </c>
      <c r="R96" s="8">
        <f>IFERROR(IFERROR(VLOOKUP(A96,TRAOPE!$A:$W,23,0),VLOOKUP(B96,TRAOPE!$A:$W,23,0)),"")</f>
        <v/>
      </c>
      <c r="S96" s="10">
        <f>IF(AND(P96="TN",R96="TN"),N96+N(O96),IF(G96&amp;""="1",N(K96)*N96,(N96+N(O96))*N(K96)))</f>
        <v/>
      </c>
      <c r="T96" s="10">
        <f>IF(Q96="","",Q96-S96)</f>
        <v/>
      </c>
    </row>
    <row r="97">
      <c r="A97" s="7">
        <f>CONCATENATE(C97,E97,F97,I97)</f>
        <v/>
      </c>
      <c r="B97" s="7">
        <f>CONCATENATE(C97,E97,I97)</f>
        <v/>
      </c>
      <c r="C97" s="8" t="n">
        <v>900007611</v>
      </c>
      <c r="D97" s="7">
        <f>IFERROR(VLOOKUP(C97,TRAOPE!$G:$H,2,0),"")</f>
        <v/>
      </c>
      <c r="E97" s="8" t="inlineStr">
        <is>
          <t>D860</t>
        </is>
      </c>
      <c r="F97" s="8" t="inlineStr">
        <is>
          <t>67156895</t>
        </is>
      </c>
      <c r="G97" s="8">
        <f>IFERROR(VLOOKUP(A97,Flete!$A:$E,5,0),"")</f>
        <v/>
      </c>
      <c r="H97" s="7">
        <f>IFERROR(VLOOKUP(F97,TRAOPE!$AA:$AB,2,0),"")</f>
        <v/>
      </c>
      <c r="I97" s="7" t="n">
        <v>10052407</v>
      </c>
      <c r="J97" s="7">
        <f>IFERROR(VLOOKUP(I97,Materiales!$A:$H,8,0),"")</f>
        <v/>
      </c>
      <c r="K97" s="9">
        <f>IFERROR(VLOOKUP(I97,Materiales!$A:$G,7,0),"")</f>
        <v/>
      </c>
      <c r="L97" s="8" t="inlineStr">
        <is>
          <t>20221109</t>
        </is>
      </c>
      <c r="M97" s="8" t="inlineStr">
        <is>
          <t>20251031</t>
        </is>
      </c>
      <c r="N97" s="10" t="n">
        <v>109</v>
      </c>
      <c r="O97" s="10">
        <f>IFERROR(VLOOKUP(A97,Flete!$A:$J,10,0),"")</f>
        <v/>
      </c>
      <c r="P97" s="8" t="inlineStr">
        <is>
          <t>M3</t>
        </is>
      </c>
      <c r="Q97" s="10">
        <f>IFERROR(IFERROR(VLOOKUP(A97,TRAOPE!$A:$U,21,0),VLOOKUP(B97,TRAOPE!$A:$U,21,0)),"")</f>
        <v/>
      </c>
      <c r="R97" s="8">
        <f>IFERROR(IFERROR(VLOOKUP(A97,TRAOPE!$A:$W,23,0),VLOOKUP(B97,TRAOPE!$A:$W,23,0)),"")</f>
        <v/>
      </c>
      <c r="S97" s="10">
        <f>IF(AND(P97="TN",R97="TN"),N97+N(O97),IF(G97&amp;""="1",N(K97)*N97,(N97+N(O97))*N(K97)))</f>
        <v/>
      </c>
      <c r="T97" s="10">
        <f>IF(Q97="","",Q97-S97)</f>
        <v/>
      </c>
    </row>
    <row r="98">
      <c r="A98" s="7">
        <f>CONCATENATE(C98,E98,F98,I98)</f>
        <v/>
      </c>
      <c r="B98" s="7">
        <f>CONCATENATE(C98,E98,I98)</f>
        <v/>
      </c>
      <c r="C98" s="8" t="n">
        <v>900007611</v>
      </c>
      <c r="D98" s="7">
        <f>IFERROR(VLOOKUP(C98,TRAOPE!$G:$H,2,0),"")</f>
        <v/>
      </c>
      <c r="E98" s="8" t="inlineStr">
        <is>
          <t>D860</t>
        </is>
      </c>
      <c r="F98" s="8" t="inlineStr">
        <is>
          <t>67156895</t>
        </is>
      </c>
      <c r="G98" s="8">
        <f>IFERROR(VLOOKUP(A98,Flete!$A:$E,5,0),"")</f>
        <v/>
      </c>
      <c r="H98" s="7">
        <f>IFERROR(VLOOKUP(F98,TRAOPE!$AA:$AB,2,0),"")</f>
        <v/>
      </c>
      <c r="I98" s="7" t="n">
        <v>10190637</v>
      </c>
      <c r="J98" s="7">
        <f>IFERROR(VLOOKUP(I98,Materiales!$A:$H,8,0),"")</f>
        <v/>
      </c>
      <c r="K98" s="9">
        <f>IFERROR(VLOOKUP(I98,Materiales!$A:$G,7,0),"")</f>
        <v/>
      </c>
      <c r="L98" s="8" t="inlineStr">
        <is>
          <t>20221109</t>
        </is>
      </c>
      <c r="M98" s="8" t="inlineStr">
        <is>
          <t>20251031</t>
        </is>
      </c>
      <c r="N98" s="10" t="n">
        <v>119.5</v>
      </c>
      <c r="O98" s="10">
        <f>IFERROR(VLOOKUP(A98,Flete!$A:$J,10,0),"")</f>
        <v/>
      </c>
      <c r="P98" s="8" t="inlineStr">
        <is>
          <t>M3</t>
        </is>
      </c>
      <c r="Q98" s="10">
        <f>IFERROR(IFERROR(VLOOKUP(A98,TRAOPE!$A:$U,21,0),VLOOKUP(B98,TRAOPE!$A:$U,21,0)),"")</f>
        <v/>
      </c>
      <c r="R98" s="8">
        <f>IFERROR(IFERROR(VLOOKUP(A98,TRAOPE!$A:$W,23,0),VLOOKUP(B98,TRAOPE!$A:$W,23,0)),"")</f>
        <v/>
      </c>
      <c r="S98" s="10">
        <f>IF(AND(P98="TN",R98="TN"),N98+N(O98),IF(G98&amp;""="1",N(K98)*N98,(N98+N(O98))*N(K98)))</f>
        <v/>
      </c>
      <c r="T98" s="10">
        <f>IF(Q98="","",Q98-S98)</f>
        <v/>
      </c>
    </row>
    <row r="99">
      <c r="A99" s="7">
        <f>CONCATENATE(C99,E99,F99,I99)</f>
        <v/>
      </c>
      <c r="B99" s="7">
        <f>CONCATENATE(C99,E99,I99)</f>
        <v/>
      </c>
      <c r="C99" s="8" t="n">
        <v>900007611</v>
      </c>
      <c r="D99" s="7">
        <f>IFERROR(VLOOKUP(C99,TRAOPE!$G:$H,2,0),"")</f>
        <v/>
      </c>
      <c r="E99" s="8" t="inlineStr">
        <is>
          <t>D860</t>
        </is>
      </c>
      <c r="F99" s="8" t="inlineStr">
        <is>
          <t>67156895</t>
        </is>
      </c>
      <c r="G99" s="8">
        <f>IFERROR(VLOOKUP(A99,Flete!$A:$E,5,0),"")</f>
        <v/>
      </c>
      <c r="H99" s="7">
        <f>IFERROR(VLOOKUP(F99,TRAOPE!$AA:$AB,2,0),"")</f>
        <v/>
      </c>
      <c r="I99" s="7" t="n">
        <v>10190772</v>
      </c>
      <c r="J99" s="7">
        <f>IFERROR(VLOOKUP(I99,Materiales!$A:$H,8,0),"")</f>
        <v/>
      </c>
      <c r="K99" s="9">
        <f>IFERROR(VLOOKUP(I99,Materiales!$A:$G,7,0),"")</f>
        <v/>
      </c>
      <c r="L99" s="8" t="inlineStr">
        <is>
          <t>20221109</t>
        </is>
      </c>
      <c r="M99" s="8" t="inlineStr">
        <is>
          <t>20251031</t>
        </is>
      </c>
      <c r="N99" s="10" t="n">
        <v>67</v>
      </c>
      <c r="O99" s="10">
        <f>IFERROR(VLOOKUP(A99,Flete!$A:$J,10,0),"")</f>
        <v/>
      </c>
      <c r="P99" s="8" t="inlineStr">
        <is>
          <t>M3</t>
        </is>
      </c>
      <c r="Q99" s="10">
        <f>IFERROR(IFERROR(VLOOKUP(A99,TRAOPE!$A:$U,21,0),VLOOKUP(B99,TRAOPE!$A:$U,21,0)),"")</f>
        <v/>
      </c>
      <c r="R99" s="8">
        <f>IFERROR(IFERROR(VLOOKUP(A99,TRAOPE!$A:$W,23,0),VLOOKUP(B99,TRAOPE!$A:$W,23,0)),"")</f>
        <v/>
      </c>
      <c r="S99" s="10">
        <f>IF(AND(P99="TN",R99="TN"),N99+N(O99),IF(G99&amp;""="1",N(K99)*N99,(N99+N(O99))*N(K99)))</f>
        <v/>
      </c>
      <c r="T99" s="10">
        <f>IF(Q99="","",Q99-S99)</f>
        <v/>
      </c>
    </row>
    <row r="100">
      <c r="A100" s="7">
        <f>CONCATENATE(C100,E100,F100,I100)</f>
        <v/>
      </c>
      <c r="B100" s="7">
        <f>CONCATENATE(C100,E100,I100)</f>
        <v/>
      </c>
      <c r="C100" s="8" t="n">
        <v>900007611</v>
      </c>
      <c r="D100" s="7">
        <f>IFERROR(VLOOKUP(C100,TRAOPE!$G:$H,2,0),"")</f>
        <v/>
      </c>
      <c r="E100" s="8" t="inlineStr">
        <is>
          <t>D860</t>
        </is>
      </c>
      <c r="F100" s="8" t="inlineStr">
        <is>
          <t>67285616</t>
        </is>
      </c>
      <c r="G100" s="8">
        <f>IFERROR(VLOOKUP(A100,Flete!$A:$E,5,0),"")</f>
        <v/>
      </c>
      <c r="H100" s="7">
        <f>IFERROR(VLOOKUP(F100,TRAOPE!$AA:$AB,2,0),"")</f>
        <v/>
      </c>
      <c r="I100" s="7" t="n">
        <v>10052407</v>
      </c>
      <c r="J100" s="7">
        <f>IFERROR(VLOOKUP(I100,Materiales!$A:$H,8,0),"")</f>
        <v/>
      </c>
      <c r="K100" s="9">
        <f>IFERROR(VLOOKUP(I100,Materiales!$A:$G,7,0),"")</f>
        <v/>
      </c>
      <c r="L100" s="8" t="inlineStr">
        <is>
          <t>20221109</t>
        </is>
      </c>
      <c r="M100" s="8" t="inlineStr">
        <is>
          <t>20251031</t>
        </is>
      </c>
      <c r="N100" s="10" t="n">
        <v>137.5</v>
      </c>
      <c r="O100" s="10">
        <f>IFERROR(VLOOKUP(A100,Flete!$A:$J,10,0),"")</f>
        <v/>
      </c>
      <c r="P100" s="8" t="inlineStr">
        <is>
          <t>M3</t>
        </is>
      </c>
      <c r="Q100" s="10">
        <f>IFERROR(IFERROR(VLOOKUP(A100,TRAOPE!$A:$U,21,0),VLOOKUP(B100,TRAOPE!$A:$U,21,0)),"")</f>
        <v/>
      </c>
      <c r="R100" s="8">
        <f>IFERROR(IFERROR(VLOOKUP(A100,TRAOPE!$A:$W,23,0),VLOOKUP(B100,TRAOPE!$A:$W,23,0)),"")</f>
        <v/>
      </c>
      <c r="S100" s="10">
        <f>IF(AND(P100="TN",R100="TN"),N100+N(O100),IF(G100&amp;""="1",N(K100)*N100,(N100+N(O100))*N(K100)))</f>
        <v/>
      </c>
      <c r="T100" s="10">
        <f>IF(Q100="","",Q100-S100)</f>
        <v/>
      </c>
    </row>
    <row r="101">
      <c r="A101" s="7">
        <f>CONCATENATE(C101,E101,F101,I101)</f>
        <v/>
      </c>
      <c r="B101" s="7">
        <f>CONCATENATE(C101,E101,I101)</f>
        <v/>
      </c>
      <c r="C101" s="8" t="n">
        <v>900007611</v>
      </c>
      <c r="D101" s="7">
        <f>IFERROR(VLOOKUP(C101,TRAOPE!$G:$H,2,0),"")</f>
        <v/>
      </c>
      <c r="E101" s="8" t="inlineStr">
        <is>
          <t>D860</t>
        </is>
      </c>
      <c r="F101" s="8" t="inlineStr">
        <is>
          <t>67285616</t>
        </is>
      </c>
      <c r="G101" s="8">
        <f>IFERROR(VLOOKUP(A101,Flete!$A:$E,5,0),"")</f>
        <v/>
      </c>
      <c r="H101" s="7">
        <f>IFERROR(VLOOKUP(F101,TRAOPE!$AA:$AB,2,0),"")</f>
        <v/>
      </c>
      <c r="I101" s="7" t="n">
        <v>10152920</v>
      </c>
      <c r="J101" s="7">
        <f>IFERROR(VLOOKUP(I101,Materiales!$A:$H,8,0),"")</f>
        <v/>
      </c>
      <c r="K101" s="9">
        <f>IFERROR(VLOOKUP(I101,Materiales!$A:$G,7,0),"")</f>
        <v/>
      </c>
      <c r="L101" s="8" t="inlineStr">
        <is>
          <t>20221109</t>
        </is>
      </c>
      <c r="M101" s="8" t="inlineStr">
        <is>
          <t>20251031</t>
        </is>
      </c>
      <c r="N101" s="10" t="n">
        <v>248.67</v>
      </c>
      <c r="O101" s="10">
        <f>IFERROR(VLOOKUP(A101,Flete!$A:$J,10,0),"")</f>
        <v/>
      </c>
      <c r="P101" s="8" t="inlineStr">
        <is>
          <t>M3</t>
        </is>
      </c>
      <c r="Q101" s="10">
        <f>IFERROR(IFERROR(VLOOKUP(A101,TRAOPE!$A:$U,21,0),VLOOKUP(B101,TRAOPE!$A:$U,21,0)),"")</f>
        <v/>
      </c>
      <c r="R101" s="8">
        <f>IFERROR(IFERROR(VLOOKUP(A101,TRAOPE!$A:$W,23,0),VLOOKUP(B101,TRAOPE!$A:$W,23,0)),"")</f>
        <v/>
      </c>
      <c r="S101" s="10">
        <f>IF(AND(P101="TN",R101="TN"),N101+N(O101),IF(G101&amp;""="1",N(K101)*N101,(N101+N(O101))*N(K101)))</f>
        <v/>
      </c>
      <c r="T101" s="10">
        <f>IF(Q101="","",Q101-S101)</f>
        <v/>
      </c>
    </row>
    <row r="102">
      <c r="A102" s="7">
        <f>CONCATENATE(C102,E102,F102,I102)</f>
        <v/>
      </c>
      <c r="B102" s="7">
        <f>CONCATENATE(C102,E102,I102)</f>
        <v/>
      </c>
      <c r="C102" s="8" t="n">
        <v>900007612</v>
      </c>
      <c r="D102" s="7">
        <f>IFERROR(VLOOKUP(C102,TRAOPE!$G:$H,2,0),"")</f>
        <v/>
      </c>
      <c r="E102" s="8" t="inlineStr">
        <is>
          <t>D860</t>
        </is>
      </c>
      <c r="F102" s="8" t="inlineStr">
        <is>
          <t>66540822</t>
        </is>
      </c>
      <c r="G102" s="8">
        <f>IFERROR(VLOOKUP(A102,Flete!$A:$E,5,0),"")</f>
        <v/>
      </c>
      <c r="H102" s="7">
        <f>IFERROR(VLOOKUP(F102,TRAOPE!$AA:$AB,2,0),"")</f>
        <v/>
      </c>
      <c r="I102" s="7" t="n">
        <v>10052402</v>
      </c>
      <c r="J102" s="7">
        <f>IFERROR(VLOOKUP(I102,Materiales!$A:$H,8,0),"")</f>
        <v/>
      </c>
      <c r="K102" s="9">
        <f>IFERROR(VLOOKUP(I102,Materiales!$A:$G,7,0),"")</f>
        <v/>
      </c>
      <c r="L102" s="8" t="inlineStr">
        <is>
          <t>20221109</t>
        </is>
      </c>
      <c r="M102" s="8" t="inlineStr">
        <is>
          <t>20251031</t>
        </is>
      </c>
      <c r="N102" s="10" t="n">
        <v>141.9</v>
      </c>
      <c r="O102" s="10">
        <f>IFERROR(VLOOKUP(A102,Flete!$A:$J,10,0),"")</f>
        <v/>
      </c>
      <c r="P102" s="8" t="inlineStr">
        <is>
          <t>M3</t>
        </is>
      </c>
      <c r="Q102" s="10">
        <f>IFERROR(IFERROR(VLOOKUP(A102,TRAOPE!$A:$U,21,0),VLOOKUP(B102,TRAOPE!$A:$U,21,0)),"")</f>
        <v/>
      </c>
      <c r="R102" s="8">
        <f>IFERROR(IFERROR(VLOOKUP(A102,TRAOPE!$A:$W,23,0),VLOOKUP(B102,TRAOPE!$A:$W,23,0)),"")</f>
        <v/>
      </c>
      <c r="S102" s="10">
        <f>IF(AND(P102="TN",R102="TN"),N102+N(O102),IF(G102&amp;""="1",N(K102)*N102,(N102+N(O102))*N(K102)))</f>
        <v/>
      </c>
      <c r="T102" s="10">
        <f>IF(Q102="","",Q102-S102)</f>
        <v/>
      </c>
    </row>
    <row r="103">
      <c r="A103" s="7">
        <f>CONCATENATE(C103,E103,F103,I103)</f>
        <v/>
      </c>
      <c r="B103" s="7">
        <f>CONCATENATE(C103,E103,I103)</f>
        <v/>
      </c>
      <c r="C103" s="8" t="n">
        <v>900007612</v>
      </c>
      <c r="D103" s="7">
        <f>IFERROR(VLOOKUP(C103,TRAOPE!$G:$H,2,0),"")</f>
        <v/>
      </c>
      <c r="E103" s="8" t="inlineStr">
        <is>
          <t>D860</t>
        </is>
      </c>
      <c r="F103" s="8" t="inlineStr">
        <is>
          <t>66540822</t>
        </is>
      </c>
      <c r="G103" s="8">
        <f>IFERROR(VLOOKUP(A103,Flete!$A:$E,5,0),"")</f>
        <v/>
      </c>
      <c r="H103" s="7">
        <f>IFERROR(VLOOKUP(F103,TRAOPE!$AA:$AB,2,0),"")</f>
        <v/>
      </c>
      <c r="I103" s="7" t="n">
        <v>10052404</v>
      </c>
      <c r="J103" s="7">
        <f>IFERROR(VLOOKUP(I103,Materiales!$A:$H,8,0),"")</f>
        <v/>
      </c>
      <c r="K103" s="9">
        <f>IFERROR(VLOOKUP(I103,Materiales!$A:$G,7,0),"")</f>
        <v/>
      </c>
      <c r="L103" s="8" t="inlineStr">
        <is>
          <t>20221109</t>
        </is>
      </c>
      <c r="M103" s="8" t="inlineStr">
        <is>
          <t>20251031</t>
        </is>
      </c>
      <c r="N103" s="10" t="n">
        <v>141.9</v>
      </c>
      <c r="O103" s="10">
        <f>IFERROR(VLOOKUP(A103,Flete!$A:$J,10,0),"")</f>
        <v/>
      </c>
      <c r="P103" s="8" t="inlineStr">
        <is>
          <t>M3</t>
        </is>
      </c>
      <c r="Q103" s="10">
        <f>IFERROR(IFERROR(VLOOKUP(A103,TRAOPE!$A:$U,21,0),VLOOKUP(B103,TRAOPE!$A:$U,21,0)),"")</f>
        <v/>
      </c>
      <c r="R103" s="8">
        <f>IFERROR(IFERROR(VLOOKUP(A103,TRAOPE!$A:$W,23,0),VLOOKUP(B103,TRAOPE!$A:$W,23,0)),"")</f>
        <v/>
      </c>
      <c r="S103" s="10">
        <f>IF(AND(P103="TN",R103="TN"),N103+N(O103),IF(G103&amp;""="1",N(K103)*N103,(N103+N(O103))*N(K103)))</f>
        <v/>
      </c>
      <c r="T103" s="10">
        <f>IF(Q103="","",Q103-S103)</f>
        <v/>
      </c>
    </row>
    <row r="104">
      <c r="A104" s="7">
        <f>CONCATENATE(C104,E104,F104,I104)</f>
        <v/>
      </c>
      <c r="B104" s="7">
        <f>CONCATENATE(C104,E104,I104)</f>
        <v/>
      </c>
      <c r="C104" s="8" t="n">
        <v>900007612</v>
      </c>
      <c r="D104" s="7">
        <f>IFERROR(VLOOKUP(C104,TRAOPE!$G:$H,2,0),"")</f>
        <v/>
      </c>
      <c r="E104" s="8" t="inlineStr">
        <is>
          <t>D860</t>
        </is>
      </c>
      <c r="F104" s="8" t="inlineStr">
        <is>
          <t>66540822</t>
        </is>
      </c>
      <c r="G104" s="8">
        <f>IFERROR(VLOOKUP(A104,Flete!$A:$E,5,0),"")</f>
        <v/>
      </c>
      <c r="H104" s="7">
        <f>IFERROR(VLOOKUP(F104,TRAOPE!$AA:$AB,2,0),"")</f>
        <v/>
      </c>
      <c r="I104" s="7" t="n">
        <v>10052405</v>
      </c>
      <c r="J104" s="7">
        <f>IFERROR(VLOOKUP(I104,Materiales!$A:$H,8,0),"")</f>
        <v/>
      </c>
      <c r="K104" s="9">
        <f>IFERROR(VLOOKUP(I104,Materiales!$A:$G,7,0),"")</f>
        <v/>
      </c>
      <c r="L104" s="8" t="inlineStr">
        <is>
          <t>20221109</t>
        </is>
      </c>
      <c r="M104" s="8" t="inlineStr">
        <is>
          <t>20251031</t>
        </is>
      </c>
      <c r="N104" s="10" t="n">
        <v>129.6</v>
      </c>
      <c r="O104" s="10">
        <f>IFERROR(VLOOKUP(A104,Flete!$A:$J,10,0),"")</f>
        <v/>
      </c>
      <c r="P104" s="8" t="inlineStr">
        <is>
          <t>M3</t>
        </is>
      </c>
      <c r="Q104" s="10">
        <f>IFERROR(IFERROR(VLOOKUP(A104,TRAOPE!$A:$U,21,0),VLOOKUP(B104,TRAOPE!$A:$U,21,0)),"")</f>
        <v/>
      </c>
      <c r="R104" s="8">
        <f>IFERROR(IFERROR(VLOOKUP(A104,TRAOPE!$A:$W,23,0),VLOOKUP(B104,TRAOPE!$A:$W,23,0)),"")</f>
        <v/>
      </c>
      <c r="S104" s="10">
        <f>IF(AND(P104="TN",R104="TN"),N104+N(O104),IF(G104&amp;""="1",N(K104)*N104,(N104+N(O104))*N(K104)))</f>
        <v/>
      </c>
      <c r="T104" s="10">
        <f>IF(Q104="","",Q104-S104)</f>
        <v/>
      </c>
    </row>
    <row r="105">
      <c r="A105" s="7">
        <f>CONCATENATE(C105,E105,F105,I105)</f>
        <v/>
      </c>
      <c r="B105" s="7">
        <f>CONCATENATE(C105,E105,I105)</f>
        <v/>
      </c>
      <c r="C105" s="8" t="n">
        <v>900007612</v>
      </c>
      <c r="D105" s="7">
        <f>IFERROR(VLOOKUP(C105,TRAOPE!$G:$H,2,0),"")</f>
        <v/>
      </c>
      <c r="E105" s="8" t="inlineStr">
        <is>
          <t>D860</t>
        </is>
      </c>
      <c r="F105" s="8" t="inlineStr">
        <is>
          <t>66540822</t>
        </is>
      </c>
      <c r="G105" s="8">
        <f>IFERROR(VLOOKUP(A105,Flete!$A:$E,5,0),"")</f>
        <v/>
      </c>
      <c r="H105" s="7">
        <f>IFERROR(VLOOKUP(F105,TRAOPE!$AA:$AB,2,0),"")</f>
        <v/>
      </c>
      <c r="I105" s="7" t="n">
        <v>10052407</v>
      </c>
      <c r="J105" s="7">
        <f>IFERROR(VLOOKUP(I105,Materiales!$A:$H,8,0),"")</f>
        <v/>
      </c>
      <c r="K105" s="9">
        <f>IFERROR(VLOOKUP(I105,Materiales!$A:$G,7,0),"")</f>
        <v/>
      </c>
      <c r="L105" s="8" t="inlineStr">
        <is>
          <t>20221109</t>
        </is>
      </c>
      <c r="M105" s="8" t="inlineStr">
        <is>
          <t>20251031</t>
        </is>
      </c>
      <c r="N105" s="10" t="n">
        <v>128.7</v>
      </c>
      <c r="O105" s="10">
        <f>IFERROR(VLOOKUP(A105,Flete!$A:$J,10,0),"")</f>
        <v/>
      </c>
      <c r="P105" s="8" t="inlineStr">
        <is>
          <t>M3</t>
        </is>
      </c>
      <c r="Q105" s="10">
        <f>IFERROR(IFERROR(VLOOKUP(A105,TRAOPE!$A:$U,21,0),VLOOKUP(B105,TRAOPE!$A:$U,21,0)),"")</f>
        <v/>
      </c>
      <c r="R105" s="8">
        <f>IFERROR(IFERROR(VLOOKUP(A105,TRAOPE!$A:$W,23,0),VLOOKUP(B105,TRAOPE!$A:$W,23,0)),"")</f>
        <v/>
      </c>
      <c r="S105" s="10">
        <f>IF(AND(P105="TN",R105="TN"),N105+N(O105),IF(G105&amp;""="1",N(K105)*N105,(N105+N(O105))*N(K105)))</f>
        <v/>
      </c>
      <c r="T105" s="10">
        <f>IF(Q105="","",Q105-S105)</f>
        <v/>
      </c>
    </row>
    <row r="106">
      <c r="A106" s="7">
        <f>CONCATENATE(C106,E106,F106,I106)</f>
        <v/>
      </c>
      <c r="B106" s="7">
        <f>CONCATENATE(C106,E106,I106)</f>
        <v/>
      </c>
      <c r="C106" s="8" t="n">
        <v>900007612</v>
      </c>
      <c r="D106" s="7">
        <f>IFERROR(VLOOKUP(C106,TRAOPE!$G:$H,2,0),"")</f>
        <v/>
      </c>
      <c r="E106" s="8" t="inlineStr">
        <is>
          <t>D860</t>
        </is>
      </c>
      <c r="F106" s="8" t="inlineStr">
        <is>
          <t>66909613</t>
        </is>
      </c>
      <c r="G106" s="8">
        <f>IFERROR(VLOOKUP(A106,Flete!$A:$E,5,0),"")</f>
        <v/>
      </c>
      <c r="H106" s="7">
        <f>IFERROR(VLOOKUP(F106,TRAOPE!$AA:$AB,2,0),"")</f>
        <v/>
      </c>
      <c r="I106" s="7" t="n">
        <v>10190772</v>
      </c>
      <c r="J106" s="7">
        <f>IFERROR(VLOOKUP(I106,Materiales!$A:$H,8,0),"")</f>
        <v/>
      </c>
      <c r="K106" s="9">
        <f>IFERROR(VLOOKUP(I106,Materiales!$A:$G,7,0),"")</f>
        <v/>
      </c>
      <c r="L106" s="8" t="inlineStr">
        <is>
          <t>20221109</t>
        </is>
      </c>
      <c r="M106" s="8" t="inlineStr">
        <is>
          <t>20251031</t>
        </is>
      </c>
      <c r="N106" s="10" t="n">
        <v>283.5</v>
      </c>
      <c r="O106" s="10">
        <f>IFERROR(VLOOKUP(A106,Flete!$A:$J,10,0),"")</f>
        <v/>
      </c>
      <c r="P106" s="8" t="inlineStr">
        <is>
          <t>M3</t>
        </is>
      </c>
      <c r="Q106" s="10">
        <f>IFERROR(IFERROR(VLOOKUP(A106,TRAOPE!$A:$U,21,0),VLOOKUP(B106,TRAOPE!$A:$U,21,0)),"")</f>
        <v/>
      </c>
      <c r="R106" s="8">
        <f>IFERROR(IFERROR(VLOOKUP(A106,TRAOPE!$A:$W,23,0),VLOOKUP(B106,TRAOPE!$A:$W,23,0)),"")</f>
        <v/>
      </c>
      <c r="S106" s="10">
        <f>IF(AND(P106="TN",R106="TN"),N106+N(O106),IF(G106&amp;""="1",N(K106)*N106,(N106+N(O106))*N(K106)))</f>
        <v/>
      </c>
      <c r="T106" s="10">
        <f>IF(Q106="","",Q106-S106)</f>
        <v/>
      </c>
    </row>
    <row r="107">
      <c r="A107" s="7">
        <f>CONCATENATE(C107,E107,F107,I107)</f>
        <v/>
      </c>
      <c r="B107" s="7">
        <f>CONCATENATE(C107,E107,I107)</f>
        <v/>
      </c>
      <c r="C107" s="8" t="n">
        <v>900007612</v>
      </c>
      <c r="D107" s="7">
        <f>IFERROR(VLOOKUP(C107,TRAOPE!$G:$H,2,0),"")</f>
        <v/>
      </c>
      <c r="E107" s="8" t="inlineStr">
        <is>
          <t>D860</t>
        </is>
      </c>
      <c r="F107" s="8" t="inlineStr">
        <is>
          <t>66954183</t>
        </is>
      </c>
      <c r="G107" s="8">
        <f>IFERROR(VLOOKUP(A107,Flete!$A:$E,5,0),"")</f>
        <v/>
      </c>
      <c r="H107" s="7">
        <f>IFERROR(VLOOKUP(F107,TRAOPE!$AA:$AB,2,0),"")</f>
        <v/>
      </c>
      <c r="I107" s="7" t="n">
        <v>10052402</v>
      </c>
      <c r="J107" s="7">
        <f>IFERROR(VLOOKUP(I107,Materiales!$A:$H,8,0),"")</f>
        <v/>
      </c>
      <c r="K107" s="9">
        <f>IFERROR(VLOOKUP(I107,Materiales!$A:$G,7,0),"")</f>
        <v/>
      </c>
      <c r="L107" s="8" t="inlineStr">
        <is>
          <t>20221109</t>
        </is>
      </c>
      <c r="M107" s="8" t="inlineStr">
        <is>
          <t>20251031</t>
        </is>
      </c>
      <c r="N107" s="10" t="n">
        <v>155</v>
      </c>
      <c r="O107" s="10">
        <f>IFERROR(VLOOKUP(A107,Flete!$A:$J,10,0),"")</f>
        <v/>
      </c>
      <c r="P107" s="8" t="inlineStr">
        <is>
          <t>M3</t>
        </is>
      </c>
      <c r="Q107" s="10">
        <f>IFERROR(IFERROR(VLOOKUP(A107,TRAOPE!$A:$U,21,0),VLOOKUP(B107,TRAOPE!$A:$U,21,0)),"")</f>
        <v/>
      </c>
      <c r="R107" s="8">
        <f>IFERROR(IFERROR(VLOOKUP(A107,TRAOPE!$A:$W,23,0),VLOOKUP(B107,TRAOPE!$A:$W,23,0)),"")</f>
        <v/>
      </c>
      <c r="S107" s="10">
        <f>IF(AND(P107="TN",R107="TN"),N107+N(O107),IF(G107&amp;""="1",N(K107)*N107,(N107+N(O107))*N(K107)))</f>
        <v/>
      </c>
      <c r="T107" s="10">
        <f>IF(Q107="","",Q107-S107)</f>
        <v/>
      </c>
    </row>
    <row r="108">
      <c r="A108" s="7">
        <f>CONCATENATE(C108,E108,F108,I108)</f>
        <v/>
      </c>
      <c r="B108" s="7">
        <f>CONCATENATE(C108,E108,I108)</f>
        <v/>
      </c>
      <c r="C108" s="8" t="n">
        <v>900007612</v>
      </c>
      <c r="D108" s="7">
        <f>IFERROR(VLOOKUP(C108,TRAOPE!$G:$H,2,0),"")</f>
        <v/>
      </c>
      <c r="E108" s="8" t="inlineStr">
        <is>
          <t>D860</t>
        </is>
      </c>
      <c r="F108" s="8" t="inlineStr">
        <is>
          <t>66954183</t>
        </is>
      </c>
      <c r="G108" s="8">
        <f>IFERROR(VLOOKUP(A108,Flete!$A:$E,5,0),"")</f>
        <v/>
      </c>
      <c r="H108" s="7">
        <f>IFERROR(VLOOKUP(F108,TRAOPE!$AA:$AB,2,0),"")</f>
        <v/>
      </c>
      <c r="I108" s="7" t="n">
        <v>10052407</v>
      </c>
      <c r="J108" s="7">
        <f>IFERROR(VLOOKUP(I108,Materiales!$A:$H,8,0),"")</f>
        <v/>
      </c>
      <c r="K108" s="9">
        <f>IFERROR(VLOOKUP(I108,Materiales!$A:$G,7,0),"")</f>
        <v/>
      </c>
      <c r="L108" s="8" t="inlineStr">
        <is>
          <t>20221109</t>
        </is>
      </c>
      <c r="M108" s="8" t="inlineStr">
        <is>
          <t>20251031</t>
        </is>
      </c>
      <c r="N108" s="10" t="n">
        <v>110</v>
      </c>
      <c r="O108" s="10">
        <f>IFERROR(VLOOKUP(A108,Flete!$A:$J,10,0),"")</f>
        <v/>
      </c>
      <c r="P108" s="8" t="inlineStr">
        <is>
          <t>M3</t>
        </is>
      </c>
      <c r="Q108" s="10">
        <f>IFERROR(IFERROR(VLOOKUP(A108,TRAOPE!$A:$U,21,0),VLOOKUP(B108,TRAOPE!$A:$U,21,0)),"")</f>
        <v/>
      </c>
      <c r="R108" s="8">
        <f>IFERROR(IFERROR(VLOOKUP(A108,TRAOPE!$A:$W,23,0),VLOOKUP(B108,TRAOPE!$A:$W,23,0)),"")</f>
        <v/>
      </c>
      <c r="S108" s="10">
        <f>IF(AND(P108="TN",R108="TN"),N108+N(O108),IF(G108&amp;""="1",N(K108)*N108,(N108+N(O108))*N(K108)))</f>
        <v/>
      </c>
      <c r="T108" s="10">
        <f>IF(Q108="","",Q108-S108)</f>
        <v/>
      </c>
    </row>
    <row r="109">
      <c r="A109" s="7">
        <f>CONCATENATE(C109,E109,F109,I109)</f>
        <v/>
      </c>
      <c r="B109" s="7">
        <f>CONCATENATE(C109,E109,I109)</f>
        <v/>
      </c>
      <c r="C109" s="8" t="n">
        <v>900007612</v>
      </c>
      <c r="D109" s="7">
        <f>IFERROR(VLOOKUP(C109,TRAOPE!$G:$H,2,0),"")</f>
        <v/>
      </c>
      <c r="E109" s="8" t="inlineStr">
        <is>
          <t>D860</t>
        </is>
      </c>
      <c r="F109" s="8" t="inlineStr">
        <is>
          <t>66958065</t>
        </is>
      </c>
      <c r="G109" s="8">
        <f>IFERROR(VLOOKUP(A109,Flete!$A:$E,5,0),"")</f>
        <v/>
      </c>
      <c r="H109" s="7">
        <f>IFERROR(VLOOKUP(F109,TRAOPE!$AA:$AB,2,0),"")</f>
        <v/>
      </c>
      <c r="I109" s="7" t="n">
        <v>10052407</v>
      </c>
      <c r="J109" s="7">
        <f>IFERROR(VLOOKUP(I109,Materiales!$A:$H,8,0),"")</f>
        <v/>
      </c>
      <c r="K109" s="9">
        <f>IFERROR(VLOOKUP(I109,Materiales!$A:$G,7,0),"")</f>
        <v/>
      </c>
      <c r="L109" s="8" t="inlineStr">
        <is>
          <t>20221109</t>
        </is>
      </c>
      <c r="M109" s="8" t="inlineStr">
        <is>
          <t>20251031</t>
        </is>
      </c>
      <c r="N109" s="10" t="n">
        <v>110</v>
      </c>
      <c r="O109" s="10">
        <f>IFERROR(VLOOKUP(A109,Flete!$A:$J,10,0),"")</f>
        <v/>
      </c>
      <c r="P109" s="8" t="inlineStr">
        <is>
          <t>M3</t>
        </is>
      </c>
      <c r="Q109" s="10">
        <f>IFERROR(IFERROR(VLOOKUP(A109,TRAOPE!$A:$U,21,0),VLOOKUP(B109,TRAOPE!$A:$U,21,0)),"")</f>
        <v/>
      </c>
      <c r="R109" s="8">
        <f>IFERROR(IFERROR(VLOOKUP(A109,TRAOPE!$A:$W,23,0),VLOOKUP(B109,TRAOPE!$A:$W,23,0)),"")</f>
        <v/>
      </c>
      <c r="S109" s="10">
        <f>IF(AND(P109="TN",R109="TN"),N109+N(O109),IF(G109&amp;""="1",N(K109)*N109,(N109+N(O109))*N(K109)))</f>
        <v/>
      </c>
      <c r="T109" s="10">
        <f>IF(Q109="","",Q109-S109)</f>
        <v/>
      </c>
    </row>
    <row r="110">
      <c r="A110" s="7">
        <f>CONCATENATE(C110,E110,F110,I110)</f>
        <v/>
      </c>
      <c r="B110" s="7">
        <f>CONCATENATE(C110,E110,I110)</f>
        <v/>
      </c>
      <c r="C110" s="8" t="n">
        <v>900007612</v>
      </c>
      <c r="D110" s="7">
        <f>IFERROR(VLOOKUP(C110,TRAOPE!$G:$H,2,0),"")</f>
        <v/>
      </c>
      <c r="E110" s="8" t="inlineStr">
        <is>
          <t>D860</t>
        </is>
      </c>
      <c r="F110" s="8" t="inlineStr">
        <is>
          <t>66958065</t>
        </is>
      </c>
      <c r="G110" s="8">
        <f>IFERROR(VLOOKUP(A110,Flete!$A:$E,5,0),"")</f>
        <v/>
      </c>
      <c r="H110" s="7">
        <f>IFERROR(VLOOKUP(F110,TRAOPE!$AA:$AB,2,0),"")</f>
        <v/>
      </c>
      <c r="I110" s="7" t="n">
        <v>10190637</v>
      </c>
      <c r="J110" s="7">
        <f>IFERROR(VLOOKUP(I110,Materiales!$A:$H,8,0),"")</f>
        <v/>
      </c>
      <c r="K110" s="9">
        <f>IFERROR(VLOOKUP(I110,Materiales!$A:$G,7,0),"")</f>
        <v/>
      </c>
      <c r="L110" s="8" t="inlineStr">
        <is>
          <t>20221109</t>
        </is>
      </c>
      <c r="M110" s="8" t="inlineStr">
        <is>
          <t>20251031</t>
        </is>
      </c>
      <c r="N110" s="10" t="n">
        <v>120</v>
      </c>
      <c r="O110" s="10">
        <f>IFERROR(VLOOKUP(A110,Flete!$A:$J,10,0),"")</f>
        <v/>
      </c>
      <c r="P110" s="8" t="inlineStr">
        <is>
          <t>M3</t>
        </is>
      </c>
      <c r="Q110" s="10">
        <f>IFERROR(IFERROR(VLOOKUP(A110,TRAOPE!$A:$U,21,0),VLOOKUP(B110,TRAOPE!$A:$U,21,0)),"")</f>
        <v/>
      </c>
      <c r="R110" s="8">
        <f>IFERROR(IFERROR(VLOOKUP(A110,TRAOPE!$A:$W,23,0),VLOOKUP(B110,TRAOPE!$A:$W,23,0)),"")</f>
        <v/>
      </c>
      <c r="S110" s="10">
        <f>IF(AND(P110="TN",R110="TN"),N110+N(O110),IF(G110&amp;""="1",N(K110)*N110,(N110+N(O110))*N(K110)))</f>
        <v/>
      </c>
      <c r="T110" s="10">
        <f>IF(Q110="","",Q110-S110)</f>
        <v/>
      </c>
    </row>
    <row r="111">
      <c r="A111" s="7">
        <f>CONCATENATE(C111,E111,F111,I111)</f>
        <v/>
      </c>
      <c r="B111" s="7">
        <f>CONCATENATE(C111,E111,I111)</f>
        <v/>
      </c>
      <c r="C111" s="8" t="n">
        <v>900007612</v>
      </c>
      <c r="D111" s="7">
        <f>IFERROR(VLOOKUP(C111,TRAOPE!$G:$H,2,0),"")</f>
        <v/>
      </c>
      <c r="E111" s="8" t="inlineStr">
        <is>
          <t>D860</t>
        </is>
      </c>
      <c r="F111" s="8" t="inlineStr">
        <is>
          <t>66958065</t>
        </is>
      </c>
      <c r="G111" s="8">
        <f>IFERROR(VLOOKUP(A111,Flete!$A:$E,5,0),"")</f>
        <v/>
      </c>
      <c r="H111" s="7">
        <f>IFERROR(VLOOKUP(F111,TRAOPE!$AA:$AB,2,0),"")</f>
        <v/>
      </c>
      <c r="I111" s="7" t="n">
        <v>10208119</v>
      </c>
      <c r="J111" s="7">
        <f>IFERROR(VLOOKUP(I111,Materiales!$A:$H,8,0),"")</f>
        <v/>
      </c>
      <c r="K111" s="9">
        <f>IFERROR(VLOOKUP(I111,Materiales!$A:$G,7,0),"")</f>
        <v/>
      </c>
      <c r="L111" s="8" t="inlineStr">
        <is>
          <t>20221109</t>
        </is>
      </c>
      <c r="M111" s="8" t="inlineStr">
        <is>
          <t>20251031</t>
        </is>
      </c>
      <c r="N111" s="10" t="n">
        <v>140</v>
      </c>
      <c r="O111" s="10">
        <f>IFERROR(VLOOKUP(A111,Flete!$A:$J,10,0),"")</f>
        <v/>
      </c>
      <c r="P111" s="8" t="inlineStr">
        <is>
          <t>M3</t>
        </is>
      </c>
      <c r="Q111" s="10">
        <f>IFERROR(IFERROR(VLOOKUP(A111,TRAOPE!$A:$U,21,0),VLOOKUP(B111,TRAOPE!$A:$U,21,0)),"")</f>
        <v/>
      </c>
      <c r="R111" s="8">
        <f>IFERROR(IFERROR(VLOOKUP(A111,TRAOPE!$A:$W,23,0),VLOOKUP(B111,TRAOPE!$A:$W,23,0)),"")</f>
        <v/>
      </c>
      <c r="S111" s="10">
        <f>IF(AND(P111="TN",R111="TN"),N111+N(O111),IF(G111&amp;""="1",N(K111)*N111,(N111+N(O111))*N(K111)))</f>
        <v/>
      </c>
      <c r="T111" s="10">
        <f>IF(Q111="","",Q111-S111)</f>
        <v/>
      </c>
    </row>
    <row r="112">
      <c r="A112" s="7">
        <f>CONCATENATE(C112,E112,F112,I112)</f>
        <v/>
      </c>
      <c r="B112" s="7">
        <f>CONCATENATE(C112,E112,I112)</f>
        <v/>
      </c>
      <c r="C112" s="8" t="n">
        <v>900007612</v>
      </c>
      <c r="D112" s="7">
        <f>IFERROR(VLOOKUP(C112,TRAOPE!$G:$H,2,0),"")</f>
        <v/>
      </c>
      <c r="E112" s="8" t="inlineStr">
        <is>
          <t>D860</t>
        </is>
      </c>
      <c r="F112" s="8" t="inlineStr">
        <is>
          <t>67064029</t>
        </is>
      </c>
      <c r="G112" s="8">
        <f>IFERROR(VLOOKUP(A112,Flete!$A:$E,5,0),"")</f>
        <v/>
      </c>
      <c r="H112" s="7">
        <f>IFERROR(VLOOKUP(F112,TRAOPE!$AA:$AB,2,0),"")</f>
        <v/>
      </c>
      <c r="I112" s="7" t="n">
        <v>10052402</v>
      </c>
      <c r="J112" s="7">
        <f>IFERROR(VLOOKUP(I112,Materiales!$A:$H,8,0),"")</f>
        <v/>
      </c>
      <c r="K112" s="9">
        <f>IFERROR(VLOOKUP(I112,Materiales!$A:$G,7,0),"")</f>
        <v/>
      </c>
      <c r="L112" s="8" t="inlineStr">
        <is>
          <t>20221109</t>
        </is>
      </c>
      <c r="M112" s="8" t="inlineStr">
        <is>
          <t>20251031</t>
        </is>
      </c>
      <c r="N112" s="10" t="n">
        <v>173.25</v>
      </c>
      <c r="O112" s="10">
        <f>IFERROR(VLOOKUP(A112,Flete!$A:$J,10,0),"")</f>
        <v/>
      </c>
      <c r="P112" s="8" t="inlineStr">
        <is>
          <t>M3</t>
        </is>
      </c>
      <c r="Q112" s="10">
        <f>IFERROR(IFERROR(VLOOKUP(A112,TRAOPE!$A:$U,21,0),VLOOKUP(B112,TRAOPE!$A:$U,21,0)),"")</f>
        <v/>
      </c>
      <c r="R112" s="8">
        <f>IFERROR(IFERROR(VLOOKUP(A112,TRAOPE!$A:$W,23,0),VLOOKUP(B112,TRAOPE!$A:$W,23,0)),"")</f>
        <v/>
      </c>
      <c r="S112" s="10">
        <f>IF(AND(P112="TN",R112="TN"),N112+N(O112),IF(G112&amp;""="1",N(K112)*N112,(N112+N(O112))*N(K112)))</f>
        <v/>
      </c>
      <c r="T112" s="10">
        <f>IF(Q112="","",Q112-S112)</f>
        <v/>
      </c>
    </row>
    <row r="113">
      <c r="A113" s="7">
        <f>CONCATENATE(C113,E113,F113,I113)</f>
        <v/>
      </c>
      <c r="B113" s="7">
        <f>CONCATENATE(C113,E113,I113)</f>
        <v/>
      </c>
      <c r="C113" s="8" t="n">
        <v>900007612</v>
      </c>
      <c r="D113" s="7">
        <f>IFERROR(VLOOKUP(C113,TRAOPE!$G:$H,2,0),"")</f>
        <v/>
      </c>
      <c r="E113" s="8" t="inlineStr">
        <is>
          <t>D860</t>
        </is>
      </c>
      <c r="F113" s="8" t="inlineStr">
        <is>
          <t>67064029</t>
        </is>
      </c>
      <c r="G113" s="8">
        <f>IFERROR(VLOOKUP(A113,Flete!$A:$E,5,0),"")</f>
        <v/>
      </c>
      <c r="H113" s="7">
        <f>IFERROR(VLOOKUP(F113,TRAOPE!$AA:$AB,2,0),"")</f>
        <v/>
      </c>
      <c r="I113" s="7" t="n">
        <v>10052404</v>
      </c>
      <c r="J113" s="7">
        <f>IFERROR(VLOOKUP(I113,Materiales!$A:$H,8,0),"")</f>
        <v/>
      </c>
      <c r="K113" s="9">
        <f>IFERROR(VLOOKUP(I113,Materiales!$A:$G,7,0),"")</f>
        <v/>
      </c>
      <c r="L113" s="8" t="inlineStr">
        <is>
          <t>20221109</t>
        </is>
      </c>
      <c r="M113" s="8" t="inlineStr">
        <is>
          <t>20251031</t>
        </is>
      </c>
      <c r="N113" s="10" t="n">
        <v>126</v>
      </c>
      <c r="O113" s="10">
        <f>IFERROR(VLOOKUP(A113,Flete!$A:$J,10,0),"")</f>
        <v/>
      </c>
      <c r="P113" s="8" t="inlineStr">
        <is>
          <t>M3</t>
        </is>
      </c>
      <c r="Q113" s="10">
        <f>IFERROR(IFERROR(VLOOKUP(A113,TRAOPE!$A:$U,21,0),VLOOKUP(B113,TRAOPE!$A:$U,21,0)),"")</f>
        <v/>
      </c>
      <c r="R113" s="8">
        <f>IFERROR(IFERROR(VLOOKUP(A113,TRAOPE!$A:$W,23,0),VLOOKUP(B113,TRAOPE!$A:$W,23,0)),"")</f>
        <v/>
      </c>
      <c r="S113" s="10">
        <f>IF(AND(P113="TN",R113="TN"),N113+N(O113),IF(G113&amp;""="1",N(K113)*N113,(N113+N(O113))*N(K113)))</f>
        <v/>
      </c>
      <c r="T113" s="10">
        <f>IF(Q113="","",Q113-S113)</f>
        <v/>
      </c>
    </row>
    <row r="114">
      <c r="A114" s="7">
        <f>CONCATENATE(C114,E114,F114,I114)</f>
        <v/>
      </c>
      <c r="B114" s="7">
        <f>CONCATENATE(C114,E114,I114)</f>
        <v/>
      </c>
      <c r="C114" s="8" t="n">
        <v>900007612</v>
      </c>
      <c r="D114" s="7">
        <f>IFERROR(VLOOKUP(C114,TRAOPE!$G:$H,2,0),"")</f>
        <v/>
      </c>
      <c r="E114" s="8" t="inlineStr">
        <is>
          <t>D860</t>
        </is>
      </c>
      <c r="F114" s="8" t="inlineStr">
        <is>
          <t>67064029</t>
        </is>
      </c>
      <c r="G114" s="8">
        <f>IFERROR(VLOOKUP(A114,Flete!$A:$E,5,0),"")</f>
        <v/>
      </c>
      <c r="H114" s="7">
        <f>IFERROR(VLOOKUP(F114,TRAOPE!$AA:$AB,2,0),"")</f>
        <v/>
      </c>
      <c r="I114" s="7" t="n">
        <v>10052407</v>
      </c>
      <c r="J114" s="7">
        <f>IFERROR(VLOOKUP(I114,Materiales!$A:$H,8,0),"")</f>
        <v/>
      </c>
      <c r="K114" s="9">
        <f>IFERROR(VLOOKUP(I114,Materiales!$A:$G,7,0),"")</f>
        <v/>
      </c>
      <c r="L114" s="8" t="inlineStr">
        <is>
          <t>20221109</t>
        </is>
      </c>
      <c r="M114" s="8" t="inlineStr">
        <is>
          <t>20251031</t>
        </is>
      </c>
      <c r="N114" s="10" t="n">
        <v>126</v>
      </c>
      <c r="O114" s="10">
        <f>IFERROR(VLOOKUP(A114,Flete!$A:$J,10,0),"")</f>
        <v/>
      </c>
      <c r="P114" s="8" t="inlineStr">
        <is>
          <t>M3</t>
        </is>
      </c>
      <c r="Q114" s="10">
        <f>IFERROR(IFERROR(VLOOKUP(A114,TRAOPE!$A:$U,21,0),VLOOKUP(B114,TRAOPE!$A:$U,21,0)),"")</f>
        <v/>
      </c>
      <c r="R114" s="8">
        <f>IFERROR(IFERROR(VLOOKUP(A114,TRAOPE!$A:$W,23,0),VLOOKUP(B114,TRAOPE!$A:$W,23,0)),"")</f>
        <v/>
      </c>
      <c r="S114" s="10">
        <f>IF(AND(P114="TN",R114="TN"),N114+N(O114),IF(G114&amp;""="1",N(K114)*N114,(N114+N(O114))*N(K114)))</f>
        <v/>
      </c>
      <c r="T114" s="10">
        <f>IF(Q114="","",Q114-S114)</f>
        <v/>
      </c>
    </row>
    <row r="115">
      <c r="A115" s="7">
        <f>CONCATENATE(C115,E115,F115,I115)</f>
        <v/>
      </c>
      <c r="B115" s="7">
        <f>CONCATENATE(C115,E115,I115)</f>
        <v/>
      </c>
      <c r="C115" s="8" t="n">
        <v>900007612</v>
      </c>
      <c r="D115" s="7">
        <f>IFERROR(VLOOKUP(C115,TRAOPE!$G:$H,2,0),"")</f>
        <v/>
      </c>
      <c r="E115" s="8" t="inlineStr">
        <is>
          <t>D860</t>
        </is>
      </c>
      <c r="F115" s="8" t="inlineStr">
        <is>
          <t>67064029</t>
        </is>
      </c>
      <c r="G115" s="8">
        <f>IFERROR(VLOOKUP(A115,Flete!$A:$E,5,0),"")</f>
        <v/>
      </c>
      <c r="H115" s="7">
        <f>IFERROR(VLOOKUP(F115,TRAOPE!$AA:$AB,2,0),"")</f>
        <v/>
      </c>
      <c r="I115" s="7" t="n">
        <v>10208119</v>
      </c>
      <c r="J115" s="7">
        <f>IFERROR(VLOOKUP(I115,Materiales!$A:$H,8,0),"")</f>
        <v/>
      </c>
      <c r="K115" s="9">
        <f>IFERROR(VLOOKUP(I115,Materiales!$A:$G,7,0),"")</f>
        <v/>
      </c>
      <c r="L115" s="8" t="inlineStr">
        <is>
          <t>20221109</t>
        </is>
      </c>
      <c r="M115" s="8" t="inlineStr">
        <is>
          <t>20251031</t>
        </is>
      </c>
      <c r="N115" s="10" t="n">
        <v>140</v>
      </c>
      <c r="O115" s="10">
        <f>IFERROR(VLOOKUP(A115,Flete!$A:$J,10,0),"")</f>
        <v/>
      </c>
      <c r="P115" s="8" t="inlineStr">
        <is>
          <t>M3</t>
        </is>
      </c>
      <c r="Q115" s="10">
        <f>IFERROR(IFERROR(VLOOKUP(A115,TRAOPE!$A:$U,21,0),VLOOKUP(B115,TRAOPE!$A:$U,21,0)),"")</f>
        <v/>
      </c>
      <c r="R115" s="8">
        <f>IFERROR(IFERROR(VLOOKUP(A115,TRAOPE!$A:$W,23,0),VLOOKUP(B115,TRAOPE!$A:$W,23,0)),"")</f>
        <v/>
      </c>
      <c r="S115" s="10">
        <f>IF(AND(P115="TN",R115="TN"),N115+N(O115),IF(G115&amp;""="1",N(K115)*N115,(N115+N(O115))*N(K115)))</f>
        <v/>
      </c>
      <c r="T115" s="10">
        <f>IF(Q115="","",Q115-S115)</f>
        <v/>
      </c>
    </row>
    <row r="116">
      <c r="A116" s="7">
        <f>CONCATENATE(C116,E116,F116,I116)</f>
        <v/>
      </c>
      <c r="B116" s="7">
        <f>CONCATENATE(C116,E116,I116)</f>
        <v/>
      </c>
      <c r="C116" s="8" t="n">
        <v>900007612</v>
      </c>
      <c r="D116" s="7">
        <f>IFERROR(VLOOKUP(C116,TRAOPE!$G:$H,2,0),"")</f>
        <v/>
      </c>
      <c r="E116" s="8" t="inlineStr">
        <is>
          <t>D860</t>
        </is>
      </c>
      <c r="F116" s="8" t="inlineStr">
        <is>
          <t>67066486</t>
        </is>
      </c>
      <c r="G116" s="8">
        <f>IFERROR(VLOOKUP(A116,Flete!$A:$E,5,0),"")</f>
        <v/>
      </c>
      <c r="H116" s="7">
        <f>IFERROR(VLOOKUP(F116,TRAOPE!$AA:$AB,2,0),"")</f>
        <v/>
      </c>
      <c r="I116" s="7" t="n">
        <v>10152920</v>
      </c>
      <c r="J116" s="7">
        <f>IFERROR(VLOOKUP(I116,Materiales!$A:$H,8,0),"")</f>
        <v/>
      </c>
      <c r="K116" s="9">
        <f>IFERROR(VLOOKUP(I116,Materiales!$A:$G,7,0),"")</f>
        <v/>
      </c>
      <c r="L116" s="8" t="inlineStr">
        <is>
          <t>20221109</t>
        </is>
      </c>
      <c r="M116" s="8" t="inlineStr">
        <is>
          <t>20251031</t>
        </is>
      </c>
      <c r="N116" s="10" t="n">
        <v>130</v>
      </c>
      <c r="O116" s="10">
        <f>IFERROR(VLOOKUP(A116,Flete!$A:$J,10,0),"")</f>
        <v/>
      </c>
      <c r="P116" s="8" t="inlineStr">
        <is>
          <t>M3</t>
        </is>
      </c>
      <c r="Q116" s="10">
        <f>IFERROR(IFERROR(VLOOKUP(A116,TRAOPE!$A:$U,21,0),VLOOKUP(B116,TRAOPE!$A:$U,21,0)),"")</f>
        <v/>
      </c>
      <c r="R116" s="8">
        <f>IFERROR(IFERROR(VLOOKUP(A116,TRAOPE!$A:$W,23,0),VLOOKUP(B116,TRAOPE!$A:$W,23,0)),"")</f>
        <v/>
      </c>
      <c r="S116" s="10">
        <f>IF(AND(P116="TN",R116="TN"),N116+N(O116),IF(G116&amp;""="1",N(K116)*N116,(N116+N(O116))*N(K116)))</f>
        <v/>
      </c>
      <c r="T116" s="10">
        <f>IF(Q116="","",Q116-S116)</f>
        <v/>
      </c>
    </row>
    <row r="117">
      <c r="A117" s="7">
        <f>CONCATENATE(C117,E117,F117,I117)</f>
        <v/>
      </c>
      <c r="B117" s="7">
        <f>CONCATENATE(C117,E117,I117)</f>
        <v/>
      </c>
      <c r="C117" s="8" t="n">
        <v>900007612</v>
      </c>
      <c r="D117" s="7">
        <f>IFERROR(VLOOKUP(C117,TRAOPE!$G:$H,2,0),"")</f>
        <v/>
      </c>
      <c r="E117" s="8" t="inlineStr">
        <is>
          <t>D860</t>
        </is>
      </c>
      <c r="F117" s="8" t="inlineStr">
        <is>
          <t>67160086</t>
        </is>
      </c>
      <c r="G117" s="8">
        <f>IFERROR(VLOOKUP(A117,Flete!$A:$E,5,0),"")</f>
        <v/>
      </c>
      <c r="H117" s="7">
        <f>IFERROR(VLOOKUP(F117,TRAOPE!$AA:$AB,2,0),"")</f>
        <v/>
      </c>
      <c r="I117" s="7" t="n">
        <v>10052404</v>
      </c>
      <c r="J117" s="7">
        <f>IFERROR(VLOOKUP(I117,Materiales!$A:$H,8,0),"")</f>
        <v/>
      </c>
      <c r="K117" s="9">
        <f>IFERROR(VLOOKUP(I117,Materiales!$A:$G,7,0),"")</f>
        <v/>
      </c>
      <c r="L117" s="8" t="inlineStr">
        <is>
          <t>20221109</t>
        </is>
      </c>
      <c r="M117" s="8" t="inlineStr">
        <is>
          <t>20251031</t>
        </is>
      </c>
      <c r="N117" s="10" t="n">
        <v>149.8</v>
      </c>
      <c r="O117" s="10">
        <f>IFERROR(VLOOKUP(A117,Flete!$A:$J,10,0),"")</f>
        <v/>
      </c>
      <c r="P117" s="8" t="inlineStr">
        <is>
          <t>M3</t>
        </is>
      </c>
      <c r="Q117" s="10">
        <f>IFERROR(IFERROR(VLOOKUP(A117,TRAOPE!$A:$U,21,0),VLOOKUP(B117,TRAOPE!$A:$U,21,0)),"")</f>
        <v/>
      </c>
      <c r="R117" s="8">
        <f>IFERROR(IFERROR(VLOOKUP(A117,TRAOPE!$A:$W,23,0),VLOOKUP(B117,TRAOPE!$A:$W,23,0)),"")</f>
        <v/>
      </c>
      <c r="S117" s="10">
        <f>IF(AND(P117="TN",R117="TN"),N117+N(O117),IF(G117&amp;""="1",N(K117)*N117,(N117+N(O117))*N(K117)))</f>
        <v/>
      </c>
      <c r="T117" s="10">
        <f>IF(Q117="","",Q117-S117)</f>
        <v/>
      </c>
    </row>
    <row r="118">
      <c r="A118" s="7">
        <f>CONCATENATE(C118,E118,F118,I118)</f>
        <v/>
      </c>
      <c r="B118" s="7">
        <f>CONCATENATE(C118,E118,I118)</f>
        <v/>
      </c>
      <c r="C118" s="8" t="n">
        <v>900007612</v>
      </c>
      <c r="D118" s="7">
        <f>IFERROR(VLOOKUP(C118,TRAOPE!$G:$H,2,0),"")</f>
        <v/>
      </c>
      <c r="E118" s="8" t="inlineStr">
        <is>
          <t>D860</t>
        </is>
      </c>
      <c r="F118" s="8" t="inlineStr">
        <is>
          <t>67160086</t>
        </is>
      </c>
      <c r="G118" s="8">
        <f>IFERROR(VLOOKUP(A118,Flete!$A:$E,5,0),"")</f>
        <v/>
      </c>
      <c r="H118" s="7">
        <f>IFERROR(VLOOKUP(F118,TRAOPE!$AA:$AB,2,0),"")</f>
        <v/>
      </c>
      <c r="I118" s="7" t="n">
        <v>10052407</v>
      </c>
      <c r="J118" s="7">
        <f>IFERROR(VLOOKUP(I118,Materiales!$A:$H,8,0),"")</f>
        <v/>
      </c>
      <c r="K118" s="9">
        <f>IFERROR(VLOOKUP(I118,Materiales!$A:$G,7,0),"")</f>
        <v/>
      </c>
      <c r="L118" s="8" t="inlineStr">
        <is>
          <t>20221109</t>
        </is>
      </c>
      <c r="M118" s="8" t="inlineStr">
        <is>
          <t>20251031</t>
        </is>
      </c>
      <c r="N118" s="10" t="n">
        <v>133.75</v>
      </c>
      <c r="O118" s="10">
        <f>IFERROR(VLOOKUP(A118,Flete!$A:$J,10,0),"")</f>
        <v/>
      </c>
      <c r="P118" s="8" t="inlineStr">
        <is>
          <t>M3</t>
        </is>
      </c>
      <c r="Q118" s="10">
        <f>IFERROR(IFERROR(VLOOKUP(A118,TRAOPE!$A:$U,21,0),VLOOKUP(B118,TRAOPE!$A:$U,21,0)),"")</f>
        <v/>
      </c>
      <c r="R118" s="8">
        <f>IFERROR(IFERROR(VLOOKUP(A118,TRAOPE!$A:$W,23,0),VLOOKUP(B118,TRAOPE!$A:$W,23,0)),"")</f>
        <v/>
      </c>
      <c r="S118" s="10">
        <f>IF(AND(P118="TN",R118="TN"),N118+N(O118),IF(G118&amp;""="1",N(K118)*N118,(N118+N(O118))*N(K118)))</f>
        <v/>
      </c>
      <c r="T118" s="10">
        <f>IF(Q118="","",Q118-S118)</f>
        <v/>
      </c>
    </row>
    <row r="119">
      <c r="A119" s="7">
        <f>CONCATENATE(C119,E119,F119,I119)</f>
        <v/>
      </c>
      <c r="B119" s="7">
        <f>CONCATENATE(C119,E119,I119)</f>
        <v/>
      </c>
      <c r="C119" s="8" t="n">
        <v>900008951</v>
      </c>
      <c r="D119" s="7">
        <f>IFERROR(VLOOKUP(C119,TRAOPE!$G:$H,2,0),"")</f>
        <v/>
      </c>
      <c r="E119" s="8" t="inlineStr">
        <is>
          <t>D860</t>
        </is>
      </c>
      <c r="F119" s="8" t="inlineStr">
        <is>
          <t>67310311</t>
        </is>
      </c>
      <c r="G119" s="8">
        <f>IFERROR(VLOOKUP(A119,Flete!$A:$E,5,0),"")</f>
        <v/>
      </c>
      <c r="H119" s="7">
        <f>IFERROR(VLOOKUP(F119,TRAOPE!$AA:$AB,2,0),"")</f>
        <v/>
      </c>
      <c r="I119" s="7" t="n">
        <v>10262224</v>
      </c>
      <c r="J119" s="7">
        <f>IFERROR(VLOOKUP(I119,Materiales!$A:$H,8,0),"")</f>
        <v/>
      </c>
      <c r="K119" s="9">
        <f>IFERROR(VLOOKUP(I119,Materiales!$A:$G,7,0),"")</f>
        <v/>
      </c>
      <c r="L119" s="8" t="inlineStr">
        <is>
          <t>20221109</t>
        </is>
      </c>
      <c r="M119" s="8" t="inlineStr">
        <is>
          <t>20251031</t>
        </is>
      </c>
      <c r="N119" s="10" t="n">
        <v>136.8</v>
      </c>
      <c r="O119" s="10">
        <f>IFERROR(VLOOKUP(A119,Flete!$A:$J,10,0),"")</f>
        <v/>
      </c>
      <c r="P119" s="8" t="inlineStr">
        <is>
          <t>M3</t>
        </is>
      </c>
      <c r="Q119" s="10">
        <f>IFERROR(IFERROR(VLOOKUP(A119,TRAOPE!$A:$U,21,0),VLOOKUP(B119,TRAOPE!$A:$U,21,0)),"")</f>
        <v/>
      </c>
      <c r="R119" s="8">
        <f>IFERROR(IFERROR(VLOOKUP(A119,TRAOPE!$A:$W,23,0),VLOOKUP(B119,TRAOPE!$A:$W,23,0)),"")</f>
        <v/>
      </c>
      <c r="S119" s="10">
        <f>IF(AND(P119="TN",R119="TN"),N119+N(O119),IF(G119&amp;""="1",N(K119)*N119,(N119+N(O119))*N(K119)))</f>
        <v/>
      </c>
      <c r="T119" s="10">
        <f>IF(Q119="","",Q119-S119)</f>
        <v/>
      </c>
    </row>
    <row r="120">
      <c r="A120" s="7">
        <f>CONCATENATE(C120,E120,F120,I120)</f>
        <v/>
      </c>
      <c r="B120" s="7">
        <f>CONCATENATE(C120,E120,I120)</f>
        <v/>
      </c>
      <c r="C120" s="8" t="n">
        <v>900005375</v>
      </c>
      <c r="D120" s="7">
        <f>IFERROR(VLOOKUP(C120,TRAOPE!$G:$H,2,0),"")</f>
        <v/>
      </c>
      <c r="E120" s="8" t="inlineStr">
        <is>
          <t>D860</t>
        </is>
      </c>
      <c r="F120" s="8" t="inlineStr">
        <is>
          <t>66896136</t>
        </is>
      </c>
      <c r="G120" s="8">
        <f>IFERROR(VLOOKUP(A120,Flete!$A:$E,5,0),"")</f>
        <v/>
      </c>
      <c r="H120" s="7">
        <f>IFERROR(VLOOKUP(F120,TRAOPE!$AA:$AB,2,0),"")</f>
        <v/>
      </c>
      <c r="I120" s="7" t="n">
        <v>10052402</v>
      </c>
      <c r="J120" s="7">
        <f>IFERROR(VLOOKUP(I120,Materiales!$A:$H,8,0),"")</f>
        <v/>
      </c>
      <c r="K120" s="9">
        <f>IFERROR(VLOOKUP(I120,Materiales!$A:$G,7,0),"")</f>
        <v/>
      </c>
      <c r="L120" s="8" t="inlineStr">
        <is>
          <t>20250502</t>
        </is>
      </c>
      <c r="M120" s="8" t="inlineStr">
        <is>
          <t>99991231</t>
        </is>
      </c>
      <c r="N120" s="10" t="n">
        <v>215.61</v>
      </c>
      <c r="O120" s="10">
        <f>IFERROR(VLOOKUP(A120,Flete!$A:$J,10,0),"")</f>
        <v/>
      </c>
      <c r="P120" s="8" t="inlineStr">
        <is>
          <t>M3</t>
        </is>
      </c>
      <c r="Q120" s="10">
        <f>IFERROR(IFERROR(VLOOKUP(A120,TRAOPE!$A:$U,21,0),VLOOKUP(B120,TRAOPE!$A:$U,21,0)),"")</f>
        <v/>
      </c>
      <c r="R120" s="8">
        <f>IFERROR(IFERROR(VLOOKUP(A120,TRAOPE!$A:$W,23,0),VLOOKUP(B120,TRAOPE!$A:$W,23,0)),"")</f>
        <v/>
      </c>
      <c r="S120" s="10">
        <f>IF(AND(P120="TN",R120="TN"),N120+N(O120),IF(G120&amp;""="1",N(K120)*N120,(N120+N(O120))*N(K120)))</f>
        <v/>
      </c>
      <c r="T120" s="10">
        <f>IF(Q120="","",Q120-S120)</f>
        <v/>
      </c>
    </row>
    <row r="121">
      <c r="A121" s="7">
        <f>CONCATENATE(C121,E121,F121,I121)</f>
        <v/>
      </c>
      <c r="B121" s="7">
        <f>CONCATENATE(C121,E121,I121)</f>
        <v/>
      </c>
      <c r="C121" s="8" t="n">
        <v>900005375</v>
      </c>
      <c r="D121" s="7">
        <f>IFERROR(VLOOKUP(C121,TRAOPE!$G:$H,2,0),"")</f>
        <v/>
      </c>
      <c r="E121" s="8" t="inlineStr">
        <is>
          <t>D860</t>
        </is>
      </c>
      <c r="F121" s="8" t="inlineStr">
        <is>
          <t>66896136</t>
        </is>
      </c>
      <c r="G121" s="8">
        <f>IFERROR(VLOOKUP(A121,Flete!$A:$E,5,0),"")</f>
        <v/>
      </c>
      <c r="H121" s="7">
        <f>IFERROR(VLOOKUP(F121,TRAOPE!$AA:$AB,2,0),"")</f>
        <v/>
      </c>
      <c r="I121" s="7" t="n">
        <v>10052405</v>
      </c>
      <c r="J121" s="7">
        <f>IFERROR(VLOOKUP(I121,Materiales!$A:$H,8,0),"")</f>
        <v/>
      </c>
      <c r="K121" s="9">
        <f>IFERROR(VLOOKUP(I121,Materiales!$A:$G,7,0),"")</f>
        <v/>
      </c>
      <c r="L121" s="8" t="inlineStr">
        <is>
          <t>20250502</t>
        </is>
      </c>
      <c r="M121" s="8" t="inlineStr">
        <is>
          <t>99991231</t>
        </is>
      </c>
      <c r="N121" s="10" t="n">
        <v>139.1</v>
      </c>
      <c r="O121" s="10">
        <f>IFERROR(VLOOKUP(A121,Flete!$A:$J,10,0),"")</f>
        <v/>
      </c>
      <c r="P121" s="8" t="inlineStr">
        <is>
          <t>M3</t>
        </is>
      </c>
      <c r="Q121" s="10">
        <f>IFERROR(IFERROR(VLOOKUP(A121,TRAOPE!$A:$U,21,0),VLOOKUP(B121,TRAOPE!$A:$U,21,0)),"")</f>
        <v/>
      </c>
      <c r="R121" s="8">
        <f>IFERROR(IFERROR(VLOOKUP(A121,TRAOPE!$A:$W,23,0),VLOOKUP(B121,TRAOPE!$A:$W,23,0)),"")</f>
        <v/>
      </c>
      <c r="S121" s="10">
        <f>IF(AND(P121="TN",R121="TN"),N121+N(O121),IF(G121&amp;""="1",N(K121)*N121,(N121+N(O121))*N(K121)))</f>
        <v/>
      </c>
      <c r="T121" s="10">
        <f>IF(Q121="","",Q121-S121)</f>
        <v/>
      </c>
    </row>
    <row r="122">
      <c r="A122" s="7">
        <f>CONCATENATE(C122,E122,F122,I122)</f>
        <v/>
      </c>
      <c r="B122" s="7">
        <f>CONCATENATE(C122,E122,I122)</f>
        <v/>
      </c>
      <c r="C122" s="8" t="n">
        <v>900005375</v>
      </c>
      <c r="D122" s="7">
        <f>IFERROR(VLOOKUP(C122,TRAOPE!$G:$H,2,0),"")</f>
        <v/>
      </c>
      <c r="E122" s="8" t="inlineStr">
        <is>
          <t>D860</t>
        </is>
      </c>
      <c r="F122" s="8" t="inlineStr">
        <is>
          <t>66896136</t>
        </is>
      </c>
      <c r="G122" s="8">
        <f>IFERROR(VLOOKUP(A122,Flete!$A:$E,5,0),"")</f>
        <v/>
      </c>
      <c r="H122" s="7">
        <f>IFERROR(VLOOKUP(F122,TRAOPE!$AA:$AB,2,0),"")</f>
        <v/>
      </c>
      <c r="I122" s="7" t="n">
        <v>10052407</v>
      </c>
      <c r="J122" s="7">
        <f>IFERROR(VLOOKUP(I122,Materiales!$A:$H,8,0),"")</f>
        <v/>
      </c>
      <c r="K122" s="9">
        <f>IFERROR(VLOOKUP(I122,Materiales!$A:$G,7,0),"")</f>
        <v/>
      </c>
      <c r="L122" s="8" t="inlineStr">
        <is>
          <t>20250502</t>
        </is>
      </c>
      <c r="M122" s="8" t="inlineStr">
        <is>
          <t>99991231</t>
        </is>
      </c>
      <c r="N122" s="10" t="n">
        <v>125.19</v>
      </c>
      <c r="O122" s="10">
        <f>IFERROR(VLOOKUP(A122,Flete!$A:$J,10,0),"")</f>
        <v/>
      </c>
      <c r="P122" s="8" t="inlineStr">
        <is>
          <t>M3</t>
        </is>
      </c>
      <c r="Q122" s="10">
        <f>IFERROR(IFERROR(VLOOKUP(A122,TRAOPE!$A:$U,21,0),VLOOKUP(B122,TRAOPE!$A:$U,21,0)),"")</f>
        <v/>
      </c>
      <c r="R122" s="8">
        <f>IFERROR(IFERROR(VLOOKUP(A122,TRAOPE!$A:$W,23,0),VLOOKUP(B122,TRAOPE!$A:$W,23,0)),"")</f>
        <v/>
      </c>
      <c r="S122" s="10">
        <f>IF(AND(P122="TN",R122="TN"),N122+N(O122),IF(G122&amp;""="1",N(K122)*N122,(N122+N(O122))*N(K122)))</f>
        <v/>
      </c>
      <c r="T122" s="10">
        <f>IF(Q122="","",Q122-S122)</f>
        <v/>
      </c>
    </row>
    <row r="123">
      <c r="A123" s="7">
        <f>CONCATENATE(C123,E123,F123,I123)</f>
        <v/>
      </c>
      <c r="B123" s="7">
        <f>CONCATENATE(C123,E123,I123)</f>
        <v/>
      </c>
      <c r="C123" s="8" t="n">
        <v>900005375</v>
      </c>
      <c r="D123" s="7">
        <f>IFERROR(VLOOKUP(C123,TRAOPE!$G:$H,2,0),"")</f>
        <v/>
      </c>
      <c r="E123" s="8" t="inlineStr">
        <is>
          <t>D860</t>
        </is>
      </c>
      <c r="F123" s="8" t="inlineStr">
        <is>
          <t>66896136</t>
        </is>
      </c>
      <c r="G123" s="8">
        <f>IFERROR(VLOOKUP(A123,Flete!$A:$E,5,0),"")</f>
        <v/>
      </c>
      <c r="H123" s="7">
        <f>IFERROR(VLOOKUP(F123,TRAOPE!$AA:$AB,2,0),"")</f>
        <v/>
      </c>
      <c r="I123" s="7" t="n">
        <v>10190637</v>
      </c>
      <c r="J123" s="7">
        <f>IFERROR(VLOOKUP(I123,Materiales!$A:$H,8,0),"")</f>
        <v/>
      </c>
      <c r="K123" s="9">
        <f>IFERROR(VLOOKUP(I123,Materiales!$A:$G,7,0),"")</f>
        <v/>
      </c>
      <c r="L123" s="8" t="inlineStr">
        <is>
          <t>20250502</t>
        </is>
      </c>
      <c r="M123" s="8" t="inlineStr">
        <is>
          <t>99991231</t>
        </is>
      </c>
      <c r="N123" s="10" t="n">
        <v>139.1</v>
      </c>
      <c r="O123" s="10">
        <f>IFERROR(VLOOKUP(A123,Flete!$A:$J,10,0),"")</f>
        <v/>
      </c>
      <c r="P123" s="8" t="inlineStr">
        <is>
          <t>M3</t>
        </is>
      </c>
      <c r="Q123" s="10">
        <f>IFERROR(IFERROR(VLOOKUP(A123,TRAOPE!$A:$U,21,0),VLOOKUP(B123,TRAOPE!$A:$U,21,0)),"")</f>
        <v/>
      </c>
      <c r="R123" s="8">
        <f>IFERROR(IFERROR(VLOOKUP(A123,TRAOPE!$A:$W,23,0),VLOOKUP(B123,TRAOPE!$A:$W,23,0)),"")</f>
        <v/>
      </c>
      <c r="S123" s="10">
        <f>IF(AND(P123="TN",R123="TN"),N123+N(O123),IF(G123&amp;""="1",N(K123)*N123,(N123+N(O123))*N(K123)))</f>
        <v/>
      </c>
      <c r="T123" s="10">
        <f>IF(Q123="","",Q123-S123)</f>
        <v/>
      </c>
    </row>
    <row r="124">
      <c r="A124" s="7">
        <f>CONCATENATE(C124,E124,F124,I124)</f>
        <v/>
      </c>
      <c r="B124" s="7">
        <f>CONCATENATE(C124,E124,I124)</f>
        <v/>
      </c>
      <c r="C124" s="8" t="n">
        <v>900007611</v>
      </c>
      <c r="D124" s="7">
        <f>IFERROR(VLOOKUP(C124,TRAOPE!$G:$H,2,0),"")</f>
        <v/>
      </c>
      <c r="E124" s="8" t="inlineStr">
        <is>
          <t>D860</t>
        </is>
      </c>
      <c r="F124" s="8" t="inlineStr">
        <is>
          <t>66958065</t>
        </is>
      </c>
      <c r="G124" s="8">
        <f>IFERROR(VLOOKUP(A124,Flete!$A:$E,5,0),"")</f>
        <v/>
      </c>
      <c r="H124" s="7">
        <f>IFERROR(VLOOKUP(F124,TRAOPE!$AA:$AB,2,0),"")</f>
        <v/>
      </c>
      <c r="I124" s="7" t="n">
        <v>10052402</v>
      </c>
      <c r="J124" s="7">
        <f>IFERROR(VLOOKUP(I124,Materiales!$A:$H,8,0),"")</f>
        <v/>
      </c>
      <c r="K124" s="9">
        <f>IFERROR(VLOOKUP(I124,Materiales!$A:$G,7,0),"")</f>
        <v/>
      </c>
      <c r="L124" s="8" t="inlineStr">
        <is>
          <t>20260327</t>
        </is>
      </c>
      <c r="M124" s="8" t="inlineStr">
        <is>
          <t>99991231</t>
        </is>
      </c>
      <c r="N124" s="10" t="n">
        <v>220</v>
      </c>
      <c r="O124" s="10">
        <f>IFERROR(VLOOKUP(A124,Flete!$A:$J,10,0),"")</f>
        <v/>
      </c>
      <c r="P124" s="8" t="inlineStr">
        <is>
          <t>M3</t>
        </is>
      </c>
      <c r="Q124" s="10">
        <f>IFERROR(IFERROR(VLOOKUP(A124,TRAOPE!$A:$U,21,0),VLOOKUP(B124,TRAOPE!$A:$U,21,0)),"")</f>
        <v/>
      </c>
      <c r="R124" s="8">
        <f>IFERROR(IFERROR(VLOOKUP(A124,TRAOPE!$A:$W,23,0),VLOOKUP(B124,TRAOPE!$A:$W,23,0)),"")</f>
        <v/>
      </c>
      <c r="S124" s="10">
        <f>IF(AND(P124="TN",R124="TN"),N124+N(O124),IF(G124&amp;""="1",N(K124)*N124,(N124+N(O124))*N(K124)))</f>
        <v/>
      </c>
      <c r="T124" s="10">
        <f>IF(Q124="","",Q124-S124)</f>
        <v/>
      </c>
    </row>
    <row r="125">
      <c r="A125" s="7">
        <f>CONCATENATE(C125,E125,F125,I125)</f>
        <v/>
      </c>
      <c r="B125" s="7">
        <f>CONCATENATE(C125,E125,I125)</f>
        <v/>
      </c>
      <c r="C125" s="8" t="n">
        <v>900007611</v>
      </c>
      <c r="D125" s="7">
        <f>IFERROR(VLOOKUP(C125,TRAOPE!$G:$H,2,0),"")</f>
        <v/>
      </c>
      <c r="E125" s="8" t="inlineStr">
        <is>
          <t>D860</t>
        </is>
      </c>
      <c r="F125" s="8" t="inlineStr">
        <is>
          <t>66958065</t>
        </is>
      </c>
      <c r="G125" s="8">
        <f>IFERROR(VLOOKUP(A125,Flete!$A:$E,5,0),"")</f>
        <v/>
      </c>
      <c r="H125" s="7">
        <f>IFERROR(VLOOKUP(F125,TRAOPE!$AA:$AB,2,0),"")</f>
        <v/>
      </c>
      <c r="I125" s="7" t="n">
        <v>10052407</v>
      </c>
      <c r="J125" s="7">
        <f>IFERROR(VLOOKUP(I125,Materiales!$A:$H,8,0),"")</f>
        <v/>
      </c>
      <c r="K125" s="9">
        <f>IFERROR(VLOOKUP(I125,Materiales!$A:$G,7,0),"")</f>
        <v/>
      </c>
      <c r="L125" s="8" t="inlineStr">
        <is>
          <t>20260327</t>
        </is>
      </c>
      <c r="M125" s="8" t="inlineStr">
        <is>
          <t>99991231</t>
        </is>
      </c>
      <c r="N125" s="10" t="n">
        <v>143</v>
      </c>
      <c r="O125" s="10">
        <f>IFERROR(VLOOKUP(A125,Flete!$A:$J,10,0),"")</f>
        <v/>
      </c>
      <c r="P125" s="8" t="inlineStr">
        <is>
          <t>M3</t>
        </is>
      </c>
      <c r="Q125" s="10">
        <f>IFERROR(IFERROR(VLOOKUP(A125,TRAOPE!$A:$U,21,0),VLOOKUP(B125,TRAOPE!$A:$U,21,0)),"")</f>
        <v/>
      </c>
      <c r="R125" s="8">
        <f>IFERROR(IFERROR(VLOOKUP(A125,TRAOPE!$A:$W,23,0),VLOOKUP(B125,TRAOPE!$A:$W,23,0)),"")</f>
        <v/>
      </c>
      <c r="S125" s="10">
        <f>IF(AND(P125="TN",R125="TN"),N125+N(O125),IF(G125&amp;""="1",N(K125)*N125,(N125+N(O125))*N(K125)))</f>
        <v/>
      </c>
      <c r="T125" s="10">
        <f>IF(Q125="","",Q125-S125)</f>
        <v/>
      </c>
    </row>
    <row r="126">
      <c r="A126" s="7">
        <f>CONCATENATE(C126,E126,F126,I126)</f>
        <v/>
      </c>
      <c r="B126" s="7">
        <f>CONCATENATE(C126,E126,I126)</f>
        <v/>
      </c>
      <c r="C126" s="8" t="n">
        <v>900007611</v>
      </c>
      <c r="D126" s="7">
        <f>IFERROR(VLOOKUP(C126,TRAOPE!$G:$H,2,0),"")</f>
        <v/>
      </c>
      <c r="E126" s="8" t="inlineStr">
        <is>
          <t>D860</t>
        </is>
      </c>
      <c r="F126" s="8" t="inlineStr">
        <is>
          <t>66958065</t>
        </is>
      </c>
      <c r="G126" s="8">
        <f>IFERROR(VLOOKUP(A126,Flete!$A:$E,5,0),"")</f>
        <v/>
      </c>
      <c r="H126" s="7">
        <f>IFERROR(VLOOKUP(F126,TRAOPE!$AA:$AB,2,0),"")</f>
        <v/>
      </c>
      <c r="I126" s="7" t="n">
        <v>10190637</v>
      </c>
      <c r="J126" s="7">
        <f>IFERROR(VLOOKUP(I126,Materiales!$A:$H,8,0),"")</f>
        <v/>
      </c>
      <c r="K126" s="9">
        <f>IFERROR(VLOOKUP(I126,Materiales!$A:$G,7,0),"")</f>
        <v/>
      </c>
      <c r="L126" s="8" t="inlineStr">
        <is>
          <t>20260327</t>
        </is>
      </c>
      <c r="M126" s="8" t="inlineStr">
        <is>
          <t>99991231</t>
        </is>
      </c>
      <c r="N126" s="10" t="n">
        <v>159.5</v>
      </c>
      <c r="O126" s="10">
        <f>IFERROR(VLOOKUP(A126,Flete!$A:$J,10,0),"")</f>
        <v/>
      </c>
      <c r="P126" s="8" t="inlineStr">
        <is>
          <t>M3</t>
        </is>
      </c>
      <c r="Q126" s="10">
        <f>IFERROR(IFERROR(VLOOKUP(A126,TRAOPE!$A:$U,21,0),VLOOKUP(B126,TRAOPE!$A:$U,21,0)),"")</f>
        <v/>
      </c>
      <c r="R126" s="8">
        <f>IFERROR(IFERROR(VLOOKUP(A126,TRAOPE!$A:$W,23,0),VLOOKUP(B126,TRAOPE!$A:$W,23,0)),"")</f>
        <v/>
      </c>
      <c r="S126" s="10">
        <f>IF(AND(P126="TN",R126="TN"),N126+N(O126),IF(G126&amp;""="1",N(K126)*N126,(N126+N(O126))*N(K126)))</f>
        <v/>
      </c>
      <c r="T126" s="10">
        <f>IF(Q126="","",Q126-S126)</f>
        <v/>
      </c>
    </row>
    <row r="127">
      <c r="A127" s="7">
        <f>CONCATENATE(C127,E127,F127,I127)</f>
        <v/>
      </c>
      <c r="B127" s="7">
        <f>CONCATENATE(C127,E127,I127)</f>
        <v/>
      </c>
      <c r="C127" s="8" t="n">
        <v>900007611</v>
      </c>
      <c r="D127" s="7">
        <f>IFERROR(VLOOKUP(C127,TRAOPE!$G:$H,2,0),"")</f>
        <v/>
      </c>
      <c r="E127" s="8" t="inlineStr">
        <is>
          <t>D860</t>
        </is>
      </c>
      <c r="F127" s="8" t="inlineStr">
        <is>
          <t>66958065</t>
        </is>
      </c>
      <c r="G127" s="8">
        <f>IFERROR(VLOOKUP(A127,Flete!$A:$E,5,0),"")</f>
        <v/>
      </c>
      <c r="H127" s="7">
        <f>IFERROR(VLOOKUP(F127,TRAOPE!$AA:$AB,2,0),"")</f>
        <v/>
      </c>
      <c r="I127" s="7" t="n">
        <v>10262224</v>
      </c>
      <c r="J127" s="7">
        <f>IFERROR(VLOOKUP(I127,Materiales!$A:$H,8,0),"")</f>
        <v/>
      </c>
      <c r="K127" s="9">
        <f>IFERROR(VLOOKUP(I127,Materiales!$A:$G,7,0),"")</f>
        <v/>
      </c>
      <c r="L127" s="8" t="inlineStr">
        <is>
          <t>20260327</t>
        </is>
      </c>
      <c r="M127" s="8" t="inlineStr">
        <is>
          <t>99991231</t>
        </is>
      </c>
      <c r="N127" s="10" t="n">
        <v>159.5</v>
      </c>
      <c r="O127" s="10">
        <f>IFERROR(VLOOKUP(A127,Flete!$A:$J,10,0),"")</f>
        <v/>
      </c>
      <c r="P127" s="8" t="inlineStr">
        <is>
          <t>M3</t>
        </is>
      </c>
      <c r="Q127" s="10">
        <f>IFERROR(IFERROR(VLOOKUP(A127,TRAOPE!$A:$U,21,0),VLOOKUP(B127,TRAOPE!$A:$U,21,0)),"")</f>
        <v/>
      </c>
      <c r="R127" s="8">
        <f>IFERROR(IFERROR(VLOOKUP(A127,TRAOPE!$A:$W,23,0),VLOOKUP(B127,TRAOPE!$A:$W,23,0)),"")</f>
        <v/>
      </c>
      <c r="S127" s="10">
        <f>IF(AND(P127="TN",R127="TN"),N127+N(O127),IF(G127&amp;""="1",N(K127)*N127,(N127+N(O127))*N(K127)))</f>
        <v/>
      </c>
      <c r="T127" s="10">
        <f>IF(Q127="","",Q127-S127)</f>
        <v/>
      </c>
    </row>
    <row r="128">
      <c r="A128" s="7">
        <f>CONCATENATE(C128,E128,F128,I128)</f>
        <v/>
      </c>
      <c r="B128" s="7">
        <f>CONCATENATE(C128,E128,I128)</f>
        <v/>
      </c>
      <c r="C128" s="8" t="n">
        <v>900007611</v>
      </c>
      <c r="D128" s="7">
        <f>IFERROR(VLOOKUP(C128,TRAOPE!$G:$H,2,0),"")</f>
        <v/>
      </c>
      <c r="E128" s="8" t="inlineStr">
        <is>
          <t>D860</t>
        </is>
      </c>
      <c r="F128" s="8" t="inlineStr">
        <is>
          <t>67064029</t>
        </is>
      </c>
      <c r="G128" s="8">
        <f>IFERROR(VLOOKUP(A128,Flete!$A:$E,5,0),"")</f>
        <v/>
      </c>
      <c r="H128" s="7">
        <f>IFERROR(VLOOKUP(F128,TRAOPE!$AA:$AB,2,0),"")</f>
        <v/>
      </c>
      <c r="I128" s="7" t="n">
        <v>10052402</v>
      </c>
      <c r="J128" s="7">
        <f>IFERROR(VLOOKUP(I128,Materiales!$A:$H,8,0),"")</f>
        <v/>
      </c>
      <c r="K128" s="9">
        <f>IFERROR(VLOOKUP(I128,Materiales!$A:$G,7,0),"")</f>
        <v/>
      </c>
      <c r="L128" s="8" t="inlineStr">
        <is>
          <t>20260327</t>
        </is>
      </c>
      <c r="M128" s="8" t="inlineStr">
        <is>
          <t>99991231</t>
        </is>
      </c>
      <c r="N128" s="10" t="n">
        <v>220</v>
      </c>
      <c r="O128" s="10">
        <f>IFERROR(VLOOKUP(A128,Flete!$A:$J,10,0),"")</f>
        <v/>
      </c>
      <c r="P128" s="8" t="inlineStr">
        <is>
          <t>M3</t>
        </is>
      </c>
      <c r="Q128" s="10">
        <f>IFERROR(IFERROR(VLOOKUP(A128,TRAOPE!$A:$U,21,0),VLOOKUP(B128,TRAOPE!$A:$U,21,0)),"")</f>
        <v/>
      </c>
      <c r="R128" s="8">
        <f>IFERROR(IFERROR(VLOOKUP(A128,TRAOPE!$A:$W,23,0),VLOOKUP(B128,TRAOPE!$A:$W,23,0)),"")</f>
        <v/>
      </c>
      <c r="S128" s="10">
        <f>IF(AND(P128="TN",R128="TN"),N128+N(O128),IF(G128&amp;""="1",N(K128)*N128,(N128+N(O128))*N(K128)))</f>
        <v/>
      </c>
      <c r="T128" s="10">
        <f>IF(Q128="","",Q128-S128)</f>
        <v/>
      </c>
    </row>
    <row r="129">
      <c r="A129" s="7">
        <f>CONCATENATE(C129,E129,F129,I129)</f>
        <v/>
      </c>
      <c r="B129" s="7">
        <f>CONCATENATE(C129,E129,I129)</f>
        <v/>
      </c>
      <c r="C129" s="8" t="n">
        <v>900007611</v>
      </c>
      <c r="D129" s="7">
        <f>IFERROR(VLOOKUP(C129,TRAOPE!$G:$H,2,0),"")</f>
        <v/>
      </c>
      <c r="E129" s="8" t="inlineStr">
        <is>
          <t>D860</t>
        </is>
      </c>
      <c r="F129" s="8" t="inlineStr">
        <is>
          <t>67064029</t>
        </is>
      </c>
      <c r="G129" s="8">
        <f>IFERROR(VLOOKUP(A129,Flete!$A:$E,5,0),"")</f>
        <v/>
      </c>
      <c r="H129" s="7">
        <f>IFERROR(VLOOKUP(F129,TRAOPE!$AA:$AB,2,0),"")</f>
        <v/>
      </c>
      <c r="I129" s="7" t="n">
        <v>10052407</v>
      </c>
      <c r="J129" s="7">
        <f>IFERROR(VLOOKUP(I129,Materiales!$A:$H,8,0),"")</f>
        <v/>
      </c>
      <c r="K129" s="9">
        <f>IFERROR(VLOOKUP(I129,Materiales!$A:$G,7,0),"")</f>
        <v/>
      </c>
      <c r="L129" s="8" t="inlineStr">
        <is>
          <t>20260327</t>
        </is>
      </c>
      <c r="M129" s="8" t="inlineStr">
        <is>
          <t>99991231</t>
        </is>
      </c>
      <c r="N129" s="10" t="n">
        <v>143</v>
      </c>
      <c r="O129" s="10">
        <f>IFERROR(VLOOKUP(A129,Flete!$A:$J,10,0),"")</f>
        <v/>
      </c>
      <c r="P129" s="8" t="inlineStr">
        <is>
          <t>M3</t>
        </is>
      </c>
      <c r="Q129" s="10">
        <f>IFERROR(IFERROR(VLOOKUP(A129,TRAOPE!$A:$U,21,0),VLOOKUP(B129,TRAOPE!$A:$U,21,0)),"")</f>
        <v/>
      </c>
      <c r="R129" s="8">
        <f>IFERROR(IFERROR(VLOOKUP(A129,TRAOPE!$A:$W,23,0),VLOOKUP(B129,TRAOPE!$A:$W,23,0)),"")</f>
        <v/>
      </c>
      <c r="S129" s="10">
        <f>IF(AND(P129="TN",R129="TN"),N129+N(O129),IF(G129&amp;""="1",N(K129)*N129,(N129+N(O129))*N(K129)))</f>
        <v/>
      </c>
      <c r="T129" s="10">
        <f>IF(Q129="","",Q129-S129)</f>
        <v/>
      </c>
    </row>
    <row r="130">
      <c r="A130" s="7">
        <f>CONCATENATE(C130,E130,F130,I130)</f>
        <v/>
      </c>
      <c r="B130" s="7">
        <f>CONCATENATE(C130,E130,I130)</f>
        <v/>
      </c>
      <c r="C130" s="8" t="n">
        <v>900007611</v>
      </c>
      <c r="D130" s="7">
        <f>IFERROR(VLOOKUP(C130,TRAOPE!$G:$H,2,0),"")</f>
        <v/>
      </c>
      <c r="E130" s="8" t="inlineStr">
        <is>
          <t>D860</t>
        </is>
      </c>
      <c r="F130" s="8" t="inlineStr">
        <is>
          <t>67064029</t>
        </is>
      </c>
      <c r="G130" s="8">
        <f>IFERROR(VLOOKUP(A130,Flete!$A:$E,5,0),"")</f>
        <v/>
      </c>
      <c r="H130" s="7">
        <f>IFERROR(VLOOKUP(F130,TRAOPE!$AA:$AB,2,0),"")</f>
        <v/>
      </c>
      <c r="I130" s="7" t="n">
        <v>10152920</v>
      </c>
      <c r="J130" s="7">
        <f>IFERROR(VLOOKUP(I130,Materiales!$A:$H,8,0),"")</f>
        <v/>
      </c>
      <c r="K130" s="9">
        <f>IFERROR(VLOOKUP(I130,Materiales!$A:$G,7,0),"")</f>
        <v/>
      </c>
      <c r="L130" s="8" t="inlineStr">
        <is>
          <t>20260327</t>
        </is>
      </c>
      <c r="M130" s="8" t="inlineStr">
        <is>
          <t>99991231</t>
        </is>
      </c>
      <c r="N130" s="10" t="n">
        <v>227.7</v>
      </c>
      <c r="O130" s="10">
        <f>IFERROR(VLOOKUP(A130,Flete!$A:$J,10,0),"")</f>
        <v/>
      </c>
      <c r="P130" s="8" t="inlineStr">
        <is>
          <t>M3</t>
        </is>
      </c>
      <c r="Q130" s="10">
        <f>IFERROR(IFERROR(VLOOKUP(A130,TRAOPE!$A:$U,21,0),VLOOKUP(B130,TRAOPE!$A:$U,21,0)),"")</f>
        <v/>
      </c>
      <c r="R130" s="8">
        <f>IFERROR(IFERROR(VLOOKUP(A130,TRAOPE!$A:$W,23,0),VLOOKUP(B130,TRAOPE!$A:$W,23,0)),"")</f>
        <v/>
      </c>
      <c r="S130" s="10">
        <f>IF(AND(P130="TN",R130="TN"),N130+N(O130),IF(G130&amp;""="1",N(K130)*N130,(N130+N(O130))*N(K130)))</f>
        <v/>
      </c>
      <c r="T130" s="10">
        <f>IF(Q130="","",Q130-S130)</f>
        <v/>
      </c>
    </row>
    <row r="131">
      <c r="A131" s="7">
        <f>CONCATENATE(C131,E131,F131,I131)</f>
        <v/>
      </c>
      <c r="B131" s="7">
        <f>CONCATENATE(C131,E131,I131)</f>
        <v/>
      </c>
      <c r="C131" s="8" t="n">
        <v>900007611</v>
      </c>
      <c r="D131" s="7">
        <f>IFERROR(VLOOKUP(C131,TRAOPE!$G:$H,2,0),"")</f>
        <v/>
      </c>
      <c r="E131" s="8" t="inlineStr">
        <is>
          <t>D860</t>
        </is>
      </c>
      <c r="F131" s="8" t="inlineStr">
        <is>
          <t>67064029</t>
        </is>
      </c>
      <c r="G131" s="8">
        <f>IFERROR(VLOOKUP(A131,Flete!$A:$E,5,0),"")</f>
        <v/>
      </c>
      <c r="H131" s="7">
        <f>IFERROR(VLOOKUP(F131,TRAOPE!$AA:$AB,2,0),"")</f>
        <v/>
      </c>
      <c r="I131" s="7" t="n">
        <v>10190637</v>
      </c>
      <c r="J131" s="7">
        <f>IFERROR(VLOOKUP(I131,Materiales!$A:$H,8,0),"")</f>
        <v/>
      </c>
      <c r="K131" s="9">
        <f>IFERROR(VLOOKUP(I131,Materiales!$A:$G,7,0),"")</f>
        <v/>
      </c>
      <c r="L131" s="8" t="inlineStr">
        <is>
          <t>20260327</t>
        </is>
      </c>
      <c r="M131" s="8" t="inlineStr">
        <is>
          <t>99991231</t>
        </is>
      </c>
      <c r="N131" s="10" t="n">
        <v>159.5</v>
      </c>
      <c r="O131" s="10">
        <f>IFERROR(VLOOKUP(A131,Flete!$A:$J,10,0),"")</f>
        <v/>
      </c>
      <c r="P131" s="8" t="inlineStr">
        <is>
          <t>M3</t>
        </is>
      </c>
      <c r="Q131" s="10">
        <f>IFERROR(IFERROR(VLOOKUP(A131,TRAOPE!$A:$U,21,0),VLOOKUP(B131,TRAOPE!$A:$U,21,0)),"")</f>
        <v/>
      </c>
      <c r="R131" s="8">
        <f>IFERROR(IFERROR(VLOOKUP(A131,TRAOPE!$A:$W,23,0),VLOOKUP(B131,TRAOPE!$A:$W,23,0)),"")</f>
        <v/>
      </c>
      <c r="S131" s="10">
        <f>IF(AND(P131="TN",R131="TN"),N131+N(O131),IF(G131&amp;""="1",N(K131)*N131,(N131+N(O131))*N(K131)))</f>
        <v/>
      </c>
      <c r="T131" s="10">
        <f>IF(Q131="","",Q131-S131)</f>
        <v/>
      </c>
    </row>
    <row r="132">
      <c r="A132" s="7">
        <f>CONCATENATE(C132,E132,F132,I132)</f>
        <v/>
      </c>
      <c r="B132" s="7">
        <f>CONCATENATE(C132,E132,I132)</f>
        <v/>
      </c>
      <c r="C132" s="8" t="n">
        <v>900007611</v>
      </c>
      <c r="D132" s="7">
        <f>IFERROR(VLOOKUP(C132,TRAOPE!$G:$H,2,0),"")</f>
        <v/>
      </c>
      <c r="E132" s="8" t="inlineStr">
        <is>
          <t>D860</t>
        </is>
      </c>
      <c r="F132" s="8" t="inlineStr">
        <is>
          <t>67373647</t>
        </is>
      </c>
      <c r="G132" s="8">
        <f>IFERROR(VLOOKUP(A132,Flete!$A:$E,5,0),"")</f>
        <v/>
      </c>
      <c r="H132" s="7">
        <f>IFERROR(VLOOKUP(F132,TRAOPE!$AA:$AB,2,0),"")</f>
        <v/>
      </c>
      <c r="I132" s="7" t="n">
        <v>10052402</v>
      </c>
      <c r="J132" s="7">
        <f>IFERROR(VLOOKUP(I132,Materiales!$A:$H,8,0),"")</f>
        <v/>
      </c>
      <c r="K132" s="9">
        <f>IFERROR(VLOOKUP(I132,Materiales!$A:$G,7,0),"")</f>
        <v/>
      </c>
      <c r="L132" s="8" t="inlineStr">
        <is>
          <t>20260409</t>
        </is>
      </c>
      <c r="M132" s="8" t="inlineStr">
        <is>
          <t>99991231</t>
        </is>
      </c>
      <c r="N132" s="10" t="n">
        <v>226.8</v>
      </c>
      <c r="O132" s="10">
        <f>IFERROR(VLOOKUP(A132,Flete!$A:$J,10,0),"")</f>
        <v/>
      </c>
      <c r="P132" s="8" t="inlineStr">
        <is>
          <t>M3</t>
        </is>
      </c>
      <c r="Q132" s="10">
        <f>IFERROR(IFERROR(VLOOKUP(A132,TRAOPE!$A:$U,21,0),VLOOKUP(B132,TRAOPE!$A:$U,21,0)),"")</f>
        <v/>
      </c>
      <c r="R132" s="8">
        <f>IFERROR(IFERROR(VLOOKUP(A132,TRAOPE!$A:$W,23,0),VLOOKUP(B132,TRAOPE!$A:$W,23,0)),"")</f>
        <v/>
      </c>
      <c r="S132" s="10">
        <f>IF(AND(P132="TN",R132="TN"),N132+N(O132),IF(G132&amp;""="1",N(K132)*N132,(N132+N(O132))*N(K132)))</f>
        <v/>
      </c>
      <c r="T132" s="10">
        <f>IF(Q132="","",Q132-S132)</f>
        <v/>
      </c>
    </row>
    <row r="133">
      <c r="A133" s="7">
        <f>CONCATENATE(C133,E133,F133,I133)</f>
        <v/>
      </c>
      <c r="B133" s="7">
        <f>CONCATENATE(C133,E133,I133)</f>
        <v/>
      </c>
      <c r="C133" s="8" t="n">
        <v>900007611</v>
      </c>
      <c r="D133" s="7">
        <f>IFERROR(VLOOKUP(C133,TRAOPE!$G:$H,2,0),"")</f>
        <v/>
      </c>
      <c r="E133" s="8" t="inlineStr">
        <is>
          <t>D860</t>
        </is>
      </c>
      <c r="F133" s="8" t="inlineStr">
        <is>
          <t>67373647</t>
        </is>
      </c>
      <c r="G133" s="8">
        <f>IFERROR(VLOOKUP(A133,Flete!$A:$E,5,0),"")</f>
        <v/>
      </c>
      <c r="H133" s="7">
        <f>IFERROR(VLOOKUP(F133,TRAOPE!$AA:$AB,2,0),"")</f>
        <v/>
      </c>
      <c r="I133" s="7" t="n">
        <v>10052407</v>
      </c>
      <c r="J133" s="7">
        <f>IFERROR(VLOOKUP(I133,Materiales!$A:$H,8,0),"")</f>
        <v/>
      </c>
      <c r="K133" s="9">
        <f>IFERROR(VLOOKUP(I133,Materiales!$A:$G,7,0),"")</f>
        <v/>
      </c>
      <c r="L133" s="8" t="inlineStr">
        <is>
          <t>20260409</t>
        </is>
      </c>
      <c r="M133" s="8" t="inlineStr">
        <is>
          <t>99991231</t>
        </is>
      </c>
      <c r="N133" s="10" t="n">
        <v>148.8</v>
      </c>
      <c r="O133" s="10">
        <f>IFERROR(VLOOKUP(A133,Flete!$A:$J,10,0),"")</f>
        <v/>
      </c>
      <c r="P133" s="8" t="inlineStr">
        <is>
          <t>M3</t>
        </is>
      </c>
      <c r="Q133" s="10">
        <f>IFERROR(IFERROR(VLOOKUP(A133,TRAOPE!$A:$U,21,0),VLOOKUP(B133,TRAOPE!$A:$U,21,0)),"")</f>
        <v/>
      </c>
      <c r="R133" s="8">
        <f>IFERROR(IFERROR(VLOOKUP(A133,TRAOPE!$A:$W,23,0),VLOOKUP(B133,TRAOPE!$A:$W,23,0)),"")</f>
        <v/>
      </c>
      <c r="S133" s="10">
        <f>IF(AND(P133="TN",R133="TN"),N133+N(O133),IF(G133&amp;""="1",N(K133)*N133,(N133+N(O133))*N(K133)))</f>
        <v/>
      </c>
      <c r="T133" s="10">
        <f>IF(Q133="","",Q133-S133)</f>
        <v/>
      </c>
    </row>
    <row r="134">
      <c r="A134" s="7">
        <f>CONCATENATE(C134,E134,F134,I134)</f>
        <v/>
      </c>
      <c r="B134" s="7">
        <f>CONCATENATE(C134,E134,I134)</f>
        <v/>
      </c>
      <c r="C134" s="8" t="n">
        <v>900007611</v>
      </c>
      <c r="D134" s="7">
        <f>IFERROR(VLOOKUP(C134,TRAOPE!$G:$H,2,0),"")</f>
        <v/>
      </c>
      <c r="E134" s="8" t="inlineStr">
        <is>
          <t>D860</t>
        </is>
      </c>
      <c r="F134" s="8" t="inlineStr">
        <is>
          <t>67373647</t>
        </is>
      </c>
      <c r="G134" s="8">
        <f>IFERROR(VLOOKUP(A134,Flete!$A:$E,5,0),"")</f>
        <v/>
      </c>
      <c r="H134" s="7">
        <f>IFERROR(VLOOKUP(F134,TRAOPE!$AA:$AB,2,0),"")</f>
        <v/>
      </c>
      <c r="I134" s="7" t="n">
        <v>10190637</v>
      </c>
      <c r="J134" s="7">
        <f>IFERROR(VLOOKUP(I134,Materiales!$A:$H,8,0),"")</f>
        <v/>
      </c>
      <c r="K134" s="9">
        <f>IFERROR(VLOOKUP(I134,Materiales!$A:$G,7,0),"")</f>
        <v/>
      </c>
      <c r="L134" s="8" t="inlineStr">
        <is>
          <t>20260409</t>
        </is>
      </c>
      <c r="M134" s="8" t="inlineStr">
        <is>
          <t>99991231</t>
        </is>
      </c>
      <c r="N134" s="10" t="n">
        <v>165.8</v>
      </c>
      <c r="O134" s="10">
        <f>IFERROR(VLOOKUP(A134,Flete!$A:$J,10,0),"")</f>
        <v/>
      </c>
      <c r="P134" s="8" t="inlineStr">
        <is>
          <t>M3</t>
        </is>
      </c>
      <c r="Q134" s="10">
        <f>IFERROR(IFERROR(VLOOKUP(A134,TRAOPE!$A:$U,21,0),VLOOKUP(B134,TRAOPE!$A:$U,21,0)),"")</f>
        <v/>
      </c>
      <c r="R134" s="8">
        <f>IFERROR(IFERROR(VLOOKUP(A134,TRAOPE!$A:$W,23,0),VLOOKUP(B134,TRAOPE!$A:$W,23,0)),"")</f>
        <v/>
      </c>
      <c r="S134" s="10">
        <f>IF(AND(P134="TN",R134="TN"),N134+N(O134),IF(G134&amp;""="1",N(K134)*N134,(N134+N(O134))*N(K134)))</f>
        <v/>
      </c>
      <c r="T134" s="10">
        <f>IF(Q134="","",Q134-S134)</f>
        <v/>
      </c>
    </row>
    <row r="135">
      <c r="A135" s="7">
        <f>CONCATENATE(C135,E135,F135,I135)</f>
        <v/>
      </c>
      <c r="B135" s="7">
        <f>CONCATENATE(C135,E135,I135)</f>
        <v/>
      </c>
      <c r="C135" s="8" t="n">
        <v>900007611</v>
      </c>
      <c r="D135" s="7">
        <f>IFERROR(VLOOKUP(C135,TRAOPE!$G:$H,2,0),"")</f>
        <v/>
      </c>
      <c r="E135" s="8" t="inlineStr">
        <is>
          <t>D860</t>
        </is>
      </c>
      <c r="F135" s="8" t="inlineStr">
        <is>
          <t>67382373</t>
        </is>
      </c>
      <c r="G135" s="8">
        <f>IFERROR(VLOOKUP(A135,Flete!$A:$E,5,0),"")</f>
        <v/>
      </c>
      <c r="H135" s="7">
        <f>IFERROR(VLOOKUP(F135,TRAOPE!$AA:$AB,2,0),"")</f>
        <v/>
      </c>
      <c r="I135" s="7" t="n">
        <v>10052402</v>
      </c>
      <c r="J135" s="7">
        <f>IFERROR(VLOOKUP(I135,Materiales!$A:$H,8,0),"")</f>
        <v/>
      </c>
      <c r="K135" s="9">
        <f>IFERROR(VLOOKUP(I135,Materiales!$A:$G,7,0),"")</f>
        <v/>
      </c>
      <c r="L135" s="8" t="inlineStr">
        <is>
          <t>20260706</t>
        </is>
      </c>
      <c r="M135" s="8" t="inlineStr">
        <is>
          <t>99991231</t>
        </is>
      </c>
      <c r="N135" s="10" t="n">
        <v>236</v>
      </c>
      <c r="O135" s="10">
        <f>IFERROR(VLOOKUP(A135,Flete!$A:$J,10,0),"")</f>
        <v/>
      </c>
      <c r="P135" s="8" t="inlineStr">
        <is>
          <t>M3</t>
        </is>
      </c>
      <c r="Q135" s="10">
        <f>IFERROR(IFERROR(VLOOKUP(A135,TRAOPE!$A:$U,21,0),VLOOKUP(B135,TRAOPE!$A:$U,21,0)),"")</f>
        <v/>
      </c>
      <c r="R135" s="8">
        <f>IFERROR(IFERROR(VLOOKUP(A135,TRAOPE!$A:$W,23,0),VLOOKUP(B135,TRAOPE!$A:$W,23,0)),"")</f>
        <v/>
      </c>
      <c r="S135" s="10">
        <f>IF(AND(P135="TN",R135="TN"),N135+N(O135),IF(G135&amp;""="1",N(K135)*N135,(N135+N(O135))*N(K135)))</f>
        <v/>
      </c>
      <c r="T135" s="10">
        <f>IF(Q135="","",Q135-S135)</f>
        <v/>
      </c>
    </row>
    <row r="136">
      <c r="A136" s="7">
        <f>CONCATENATE(C136,E136,F136,I136)</f>
        <v/>
      </c>
      <c r="B136" s="7">
        <f>CONCATENATE(C136,E136,I136)</f>
        <v/>
      </c>
      <c r="C136" s="8" t="n">
        <v>900007611</v>
      </c>
      <c r="D136" s="7">
        <f>IFERROR(VLOOKUP(C136,TRAOPE!$G:$H,2,0),"")</f>
        <v/>
      </c>
      <c r="E136" s="8" t="inlineStr">
        <is>
          <t>D860</t>
        </is>
      </c>
      <c r="F136" s="8" t="inlineStr">
        <is>
          <t>67382373</t>
        </is>
      </c>
      <c r="G136" s="8">
        <f>IFERROR(VLOOKUP(A136,Flete!$A:$E,5,0),"")</f>
        <v/>
      </c>
      <c r="H136" s="7">
        <f>IFERROR(VLOOKUP(F136,TRAOPE!$AA:$AB,2,0),"")</f>
        <v/>
      </c>
      <c r="I136" s="7" t="n">
        <v>10052407</v>
      </c>
      <c r="J136" s="7">
        <f>IFERROR(VLOOKUP(I136,Materiales!$A:$H,8,0),"")</f>
        <v/>
      </c>
      <c r="K136" s="9">
        <f>IFERROR(VLOOKUP(I136,Materiales!$A:$G,7,0),"")</f>
        <v/>
      </c>
      <c r="L136" s="8" t="inlineStr">
        <is>
          <t>20260706</t>
        </is>
      </c>
      <c r="M136" s="8" t="inlineStr">
        <is>
          <t>99991231</t>
        </is>
      </c>
      <c r="N136" s="10" t="n">
        <v>160</v>
      </c>
      <c r="O136" s="10">
        <f>IFERROR(VLOOKUP(A136,Flete!$A:$J,10,0),"")</f>
        <v/>
      </c>
      <c r="P136" s="8" t="inlineStr">
        <is>
          <t>M3</t>
        </is>
      </c>
      <c r="Q136" s="10">
        <f>IFERROR(IFERROR(VLOOKUP(A136,TRAOPE!$A:$U,21,0),VLOOKUP(B136,TRAOPE!$A:$U,21,0)),"")</f>
        <v/>
      </c>
      <c r="R136" s="8">
        <f>IFERROR(IFERROR(VLOOKUP(A136,TRAOPE!$A:$W,23,0),VLOOKUP(B136,TRAOPE!$A:$W,23,0)),"")</f>
        <v/>
      </c>
      <c r="S136" s="10">
        <f>IF(AND(P136="TN",R136="TN"),N136+N(O136),IF(G136&amp;""="1",N(K136)*N136,(N136+N(O136))*N(K136)))</f>
        <v/>
      </c>
      <c r="T136" s="10">
        <f>IF(Q136="","",Q136-S136)</f>
        <v/>
      </c>
    </row>
    <row r="137">
      <c r="A137" s="7">
        <f>CONCATENATE(C137,E137,F137,I137)</f>
        <v/>
      </c>
      <c r="B137" s="7">
        <f>CONCATENATE(C137,E137,I137)</f>
        <v/>
      </c>
      <c r="C137" s="8" t="n">
        <v>900007611</v>
      </c>
      <c r="D137" s="7">
        <f>IFERROR(VLOOKUP(C137,TRAOPE!$G:$H,2,0),"")</f>
        <v/>
      </c>
      <c r="E137" s="8" t="inlineStr">
        <is>
          <t>D860</t>
        </is>
      </c>
      <c r="F137" s="8" t="inlineStr">
        <is>
          <t>67382373</t>
        </is>
      </c>
      <c r="G137" s="8">
        <f>IFERROR(VLOOKUP(A137,Flete!$A:$E,5,0),"")</f>
        <v/>
      </c>
      <c r="H137" s="7">
        <f>IFERROR(VLOOKUP(F137,TRAOPE!$AA:$AB,2,0),"")</f>
        <v/>
      </c>
      <c r="I137" s="7" t="n">
        <v>10190637</v>
      </c>
      <c r="J137" s="7">
        <f>IFERROR(VLOOKUP(I137,Materiales!$A:$H,8,0),"")</f>
        <v/>
      </c>
      <c r="K137" s="9">
        <f>IFERROR(VLOOKUP(I137,Materiales!$A:$G,7,0),"")</f>
        <v/>
      </c>
      <c r="L137" s="8" t="inlineStr">
        <is>
          <t>20260706</t>
        </is>
      </c>
      <c r="M137" s="8" t="inlineStr">
        <is>
          <t>99991231</t>
        </is>
      </c>
      <c r="N137" s="10" t="n">
        <v>176</v>
      </c>
      <c r="O137" s="10">
        <f>IFERROR(VLOOKUP(A137,Flete!$A:$J,10,0),"")</f>
        <v/>
      </c>
      <c r="P137" s="8" t="inlineStr">
        <is>
          <t>M3</t>
        </is>
      </c>
      <c r="Q137" s="10">
        <f>IFERROR(IFERROR(VLOOKUP(A137,TRAOPE!$A:$U,21,0),VLOOKUP(B137,TRAOPE!$A:$U,21,0)),"")</f>
        <v/>
      </c>
      <c r="R137" s="8">
        <f>IFERROR(IFERROR(VLOOKUP(A137,TRAOPE!$A:$W,23,0),VLOOKUP(B137,TRAOPE!$A:$W,23,0)),"")</f>
        <v/>
      </c>
      <c r="S137" s="10">
        <f>IF(AND(P137="TN",R137="TN"),N137+N(O137),IF(G137&amp;""="1",N(K137)*N137,(N137+N(O137))*N(K137)))</f>
        <v/>
      </c>
      <c r="T137" s="10">
        <f>IF(Q137="","",Q137-S137)</f>
        <v/>
      </c>
    </row>
    <row r="138">
      <c r="A138" s="7">
        <f>CONCATENATE(C138,E138,F138,I138)</f>
        <v/>
      </c>
      <c r="B138" s="7">
        <f>CONCATENATE(C138,E138,I138)</f>
        <v/>
      </c>
      <c r="C138" s="8" t="n">
        <v>900007612</v>
      </c>
      <c r="D138" s="7">
        <f>IFERROR(VLOOKUP(C138,TRAOPE!$G:$H,2,0),"")</f>
        <v/>
      </c>
      <c r="E138" s="8" t="inlineStr">
        <is>
          <t>D860</t>
        </is>
      </c>
      <c r="F138" s="8" t="inlineStr">
        <is>
          <t>66958065</t>
        </is>
      </c>
      <c r="G138" s="8">
        <f>IFERROR(VLOOKUP(A138,Flete!$A:$E,5,0),"")</f>
        <v/>
      </c>
      <c r="H138" s="7">
        <f>IFERROR(VLOOKUP(F138,TRAOPE!$AA:$AB,2,0),"")</f>
        <v/>
      </c>
      <c r="I138" s="7" t="n">
        <v>10262224</v>
      </c>
      <c r="J138" s="7">
        <f>IFERROR(VLOOKUP(I138,Materiales!$A:$H,8,0),"")</f>
        <v/>
      </c>
      <c r="K138" s="9">
        <f>IFERROR(VLOOKUP(I138,Materiales!$A:$G,7,0),"")</f>
        <v/>
      </c>
      <c r="L138" s="8" t="inlineStr">
        <is>
          <t>20260327</t>
        </is>
      </c>
      <c r="M138" s="8" t="inlineStr">
        <is>
          <t>99991231</t>
        </is>
      </c>
      <c r="N138" s="10" t="n">
        <v>159.5</v>
      </c>
      <c r="O138" s="10">
        <f>IFERROR(VLOOKUP(A138,Flete!$A:$J,10,0),"")</f>
        <v/>
      </c>
      <c r="P138" s="8" t="inlineStr">
        <is>
          <t>M3</t>
        </is>
      </c>
      <c r="Q138" s="10">
        <f>IFERROR(IFERROR(VLOOKUP(A138,TRAOPE!$A:$U,21,0),VLOOKUP(B138,TRAOPE!$A:$U,21,0)),"")</f>
        <v/>
      </c>
      <c r="R138" s="8">
        <f>IFERROR(IFERROR(VLOOKUP(A138,TRAOPE!$A:$W,23,0),VLOOKUP(B138,TRAOPE!$A:$W,23,0)),"")</f>
        <v/>
      </c>
      <c r="S138" s="10">
        <f>IF(AND(P138="TN",R138="TN"),N138+N(O138),IF(G138&amp;""="1",N(K138)*N138,(N138+N(O138))*N(K138)))</f>
        <v/>
      </c>
      <c r="T138" s="10">
        <f>IF(Q138="","",Q138-S138)</f>
        <v/>
      </c>
    </row>
    <row r="139">
      <c r="A139" s="7">
        <f>CONCATENATE(C139,E139,F139,I139)</f>
        <v/>
      </c>
      <c r="B139" s="7">
        <f>CONCATENATE(C139,E139,I139)</f>
        <v/>
      </c>
      <c r="C139" s="8" t="n">
        <v>900009296</v>
      </c>
      <c r="D139" s="7">
        <f>IFERROR(VLOOKUP(C139,TRAOPE!$G:$H,2,0),"")</f>
        <v/>
      </c>
      <c r="E139" s="8" t="inlineStr">
        <is>
          <t>D860</t>
        </is>
      </c>
      <c r="F139" s="8" t="inlineStr">
        <is>
          <t>67212547</t>
        </is>
      </c>
      <c r="G139" s="8">
        <f>IFERROR(VLOOKUP(A139,Flete!$A:$E,5,0),"")</f>
        <v/>
      </c>
      <c r="H139" s="7">
        <f>IFERROR(VLOOKUP(F139,TRAOPE!$AA:$AB,2,0),"")</f>
        <v/>
      </c>
      <c r="I139" s="7" t="n">
        <v>10052402</v>
      </c>
      <c r="J139" s="7">
        <f>IFERROR(VLOOKUP(I139,Materiales!$A:$H,8,0),"")</f>
        <v/>
      </c>
      <c r="K139" s="9">
        <f>IFERROR(VLOOKUP(I139,Materiales!$A:$G,7,0),"")</f>
        <v/>
      </c>
      <c r="L139" s="8" t="inlineStr">
        <is>
          <t>20250708</t>
        </is>
      </c>
      <c r="M139" s="8" t="inlineStr">
        <is>
          <t>99991231</t>
        </is>
      </c>
      <c r="N139" s="10" t="n">
        <v>304</v>
      </c>
      <c r="O139" s="10">
        <f>IFERROR(VLOOKUP(A139,Flete!$A:$J,10,0),"")</f>
        <v/>
      </c>
      <c r="P139" s="8" t="inlineStr">
        <is>
          <t>M3</t>
        </is>
      </c>
      <c r="Q139" s="10">
        <f>IFERROR(IFERROR(VLOOKUP(A139,TRAOPE!$A:$U,21,0),VLOOKUP(B139,TRAOPE!$A:$U,21,0)),"")</f>
        <v/>
      </c>
      <c r="R139" s="8">
        <f>IFERROR(IFERROR(VLOOKUP(A139,TRAOPE!$A:$W,23,0),VLOOKUP(B139,TRAOPE!$A:$W,23,0)),"")</f>
        <v/>
      </c>
      <c r="S139" s="10">
        <f>IF(AND(P139="TN",R139="TN"),N139+N(O139),IF(G139&amp;""="1",N(K139)*N139,(N139+N(O139))*N(K139)))</f>
        <v/>
      </c>
      <c r="T139" s="10">
        <f>IF(Q139="","",Q139-S139)</f>
        <v/>
      </c>
    </row>
    <row r="140">
      <c r="A140" s="7">
        <f>CONCATENATE(C140,E140,F140,I140)</f>
        <v/>
      </c>
      <c r="B140" s="7">
        <f>CONCATENATE(C140,E140,I140)</f>
        <v/>
      </c>
      <c r="C140" s="8" t="n">
        <v>900009377</v>
      </c>
      <c r="D140" s="7">
        <f>IFERROR(VLOOKUP(C140,TRAOPE!$G:$H,2,0),"")</f>
        <v/>
      </c>
      <c r="E140" s="8" t="inlineStr">
        <is>
          <t>D860</t>
        </is>
      </c>
      <c r="F140" s="8" t="inlineStr">
        <is>
          <t>66856562</t>
        </is>
      </c>
      <c r="G140" s="8">
        <f>IFERROR(VLOOKUP(A140,Flete!$A:$E,5,0),"")</f>
        <v/>
      </c>
      <c r="H140" s="7">
        <f>IFERROR(VLOOKUP(F140,TRAOPE!$AA:$AB,2,0),"")</f>
        <v/>
      </c>
      <c r="I140" s="7" t="n">
        <v>10052402</v>
      </c>
      <c r="J140" s="7">
        <f>IFERROR(VLOOKUP(I140,Materiales!$A:$H,8,0),"")</f>
        <v/>
      </c>
      <c r="K140" s="9">
        <f>IFERROR(VLOOKUP(I140,Materiales!$A:$G,7,0),"")</f>
        <v/>
      </c>
      <c r="L140" s="8" t="inlineStr">
        <is>
          <t>20251028</t>
        </is>
      </c>
      <c r="M140" s="8" t="inlineStr">
        <is>
          <t>99991231</t>
        </is>
      </c>
      <c r="N140" s="10" t="n">
        <v>215.61</v>
      </c>
      <c r="O140" s="10">
        <f>IFERROR(VLOOKUP(A140,Flete!$A:$J,10,0),"")</f>
        <v/>
      </c>
      <c r="P140" s="8" t="inlineStr">
        <is>
          <t>M3</t>
        </is>
      </c>
      <c r="Q140" s="10">
        <f>IFERROR(IFERROR(VLOOKUP(A140,TRAOPE!$A:$U,21,0),VLOOKUP(B140,TRAOPE!$A:$U,21,0)),"")</f>
        <v/>
      </c>
      <c r="R140" s="8">
        <f>IFERROR(IFERROR(VLOOKUP(A140,TRAOPE!$A:$W,23,0),VLOOKUP(B140,TRAOPE!$A:$W,23,0)),"")</f>
        <v/>
      </c>
      <c r="S140" s="10">
        <f>IF(AND(P140="TN",R140="TN"),N140+N(O140),IF(G140&amp;""="1",N(K140)*N140,(N140+N(O140))*N(K140)))</f>
        <v/>
      </c>
      <c r="T140" s="10">
        <f>IF(Q140="","",Q140-S140)</f>
        <v/>
      </c>
    </row>
    <row r="141">
      <c r="A141" s="7">
        <f>CONCATENATE(C141,E141,F141,I141)</f>
        <v/>
      </c>
      <c r="B141" s="7">
        <f>CONCATENATE(C141,E141,I141)</f>
        <v/>
      </c>
      <c r="C141" s="8" t="n">
        <v>900009377</v>
      </c>
      <c r="D141" s="7">
        <f>IFERROR(VLOOKUP(C141,TRAOPE!$G:$H,2,0),"")</f>
        <v/>
      </c>
      <c r="E141" s="8" t="inlineStr">
        <is>
          <t>D860</t>
        </is>
      </c>
      <c r="F141" s="8" t="inlineStr">
        <is>
          <t>66856562</t>
        </is>
      </c>
      <c r="G141" s="8">
        <f>IFERROR(VLOOKUP(A141,Flete!$A:$E,5,0),"")</f>
        <v/>
      </c>
      <c r="H141" s="7">
        <f>IFERROR(VLOOKUP(F141,TRAOPE!$AA:$AB,2,0),"")</f>
        <v/>
      </c>
      <c r="I141" s="7" t="n">
        <v>10052407</v>
      </c>
      <c r="J141" s="7">
        <f>IFERROR(VLOOKUP(I141,Materiales!$A:$H,8,0),"")</f>
        <v/>
      </c>
      <c r="K141" s="9">
        <f>IFERROR(VLOOKUP(I141,Materiales!$A:$G,7,0),"")</f>
        <v/>
      </c>
      <c r="L141" s="8" t="inlineStr">
        <is>
          <t>20251028</t>
        </is>
      </c>
      <c r="M141" s="8" t="inlineStr">
        <is>
          <t>99991231</t>
        </is>
      </c>
      <c r="N141" s="10" t="n">
        <v>125.19</v>
      </c>
      <c r="O141" s="10">
        <f>IFERROR(VLOOKUP(A141,Flete!$A:$J,10,0),"")</f>
        <v/>
      </c>
      <c r="P141" s="8" t="inlineStr">
        <is>
          <t>M3</t>
        </is>
      </c>
      <c r="Q141" s="10">
        <f>IFERROR(IFERROR(VLOOKUP(A141,TRAOPE!$A:$U,21,0),VLOOKUP(B141,TRAOPE!$A:$U,21,0)),"")</f>
        <v/>
      </c>
      <c r="R141" s="8">
        <f>IFERROR(IFERROR(VLOOKUP(A141,TRAOPE!$A:$W,23,0),VLOOKUP(B141,TRAOPE!$A:$W,23,0)),"")</f>
        <v/>
      </c>
      <c r="S141" s="10">
        <f>IF(AND(P141="TN",R141="TN"),N141+N(O141),IF(G141&amp;""="1",N(K141)*N141,(N141+N(O141))*N(K141)))</f>
        <v/>
      </c>
      <c r="T141" s="10">
        <f>IF(Q141="","",Q141-S141)</f>
        <v/>
      </c>
    </row>
    <row r="142">
      <c r="A142" s="7">
        <f>CONCATENATE(C142,E142,F142,I142)</f>
        <v/>
      </c>
      <c r="B142" s="7">
        <f>CONCATENATE(C142,E142,I142)</f>
        <v/>
      </c>
      <c r="C142" s="8" t="n">
        <v>900009377</v>
      </c>
      <c r="D142" s="7">
        <f>IFERROR(VLOOKUP(C142,TRAOPE!$G:$H,2,0),"")</f>
        <v/>
      </c>
      <c r="E142" s="8" t="inlineStr">
        <is>
          <t>D860</t>
        </is>
      </c>
      <c r="F142" s="8" t="inlineStr">
        <is>
          <t>66856562</t>
        </is>
      </c>
      <c r="G142" s="8">
        <f>IFERROR(VLOOKUP(A142,Flete!$A:$E,5,0),"")</f>
        <v/>
      </c>
      <c r="H142" s="7">
        <f>IFERROR(VLOOKUP(F142,TRAOPE!$AA:$AB,2,0),"")</f>
        <v/>
      </c>
      <c r="I142" s="7" t="n">
        <v>10190637</v>
      </c>
      <c r="J142" s="7">
        <f>IFERROR(VLOOKUP(I142,Materiales!$A:$H,8,0),"")</f>
        <v/>
      </c>
      <c r="K142" s="9">
        <f>IFERROR(VLOOKUP(I142,Materiales!$A:$G,7,0),"")</f>
        <v/>
      </c>
      <c r="L142" s="8" t="inlineStr">
        <is>
          <t>20251028</t>
        </is>
      </c>
      <c r="M142" s="8" t="inlineStr">
        <is>
          <t>99991231</t>
        </is>
      </c>
      <c r="N142" s="10" t="n">
        <v>139.1</v>
      </c>
      <c r="O142" s="10">
        <f>IFERROR(VLOOKUP(A142,Flete!$A:$J,10,0),"")</f>
        <v/>
      </c>
      <c r="P142" s="8" t="inlineStr">
        <is>
          <t>M3</t>
        </is>
      </c>
      <c r="Q142" s="10">
        <f>IFERROR(IFERROR(VLOOKUP(A142,TRAOPE!$A:$U,21,0),VLOOKUP(B142,TRAOPE!$A:$U,21,0)),"")</f>
        <v/>
      </c>
      <c r="R142" s="8">
        <f>IFERROR(IFERROR(VLOOKUP(A142,TRAOPE!$A:$W,23,0),VLOOKUP(B142,TRAOPE!$A:$W,23,0)),"")</f>
        <v/>
      </c>
      <c r="S142" s="10">
        <f>IF(AND(P142="TN",R142="TN"),N142+N(O142),IF(G142&amp;""="1",N(K142)*N142,(N142+N(O142))*N(K142)))</f>
        <v/>
      </c>
      <c r="T142" s="10">
        <f>IF(Q142="","",Q142-S142)</f>
        <v/>
      </c>
    </row>
    <row r="143">
      <c r="A143" s="7">
        <f>CONCATENATE(C143,E143,F143,I143)</f>
        <v/>
      </c>
      <c r="B143" s="7">
        <f>CONCATENATE(C143,E143,I143)</f>
        <v/>
      </c>
      <c r="C143" s="8" t="n">
        <v>900009377</v>
      </c>
      <c r="D143" s="7">
        <f>IFERROR(VLOOKUP(C143,TRAOPE!$G:$H,2,0),"")</f>
        <v/>
      </c>
      <c r="E143" s="8" t="inlineStr">
        <is>
          <t>D860</t>
        </is>
      </c>
      <c r="F143" s="8" t="inlineStr">
        <is>
          <t>66896136</t>
        </is>
      </c>
      <c r="G143" s="8">
        <f>IFERROR(VLOOKUP(A143,Flete!$A:$E,5,0),"")</f>
        <v/>
      </c>
      <c r="H143" s="7">
        <f>IFERROR(VLOOKUP(F143,TRAOPE!$AA:$AB,2,0),"")</f>
        <v/>
      </c>
      <c r="I143" s="7" t="n">
        <v>10052402</v>
      </c>
      <c r="J143" s="7">
        <f>IFERROR(VLOOKUP(I143,Materiales!$A:$H,8,0),"")</f>
        <v/>
      </c>
      <c r="K143" s="9">
        <f>IFERROR(VLOOKUP(I143,Materiales!$A:$G,7,0),"")</f>
        <v/>
      </c>
      <c r="L143" s="8" t="inlineStr">
        <is>
          <t>20251028</t>
        </is>
      </c>
      <c r="M143" s="8" t="inlineStr">
        <is>
          <t>99991231</t>
        </is>
      </c>
      <c r="N143" s="10" t="n">
        <v>215.61</v>
      </c>
      <c r="O143" s="10">
        <f>IFERROR(VLOOKUP(A143,Flete!$A:$J,10,0),"")</f>
        <v/>
      </c>
      <c r="P143" s="8" t="inlineStr">
        <is>
          <t>M3</t>
        </is>
      </c>
      <c r="Q143" s="10">
        <f>IFERROR(IFERROR(VLOOKUP(A143,TRAOPE!$A:$U,21,0),VLOOKUP(B143,TRAOPE!$A:$U,21,0)),"")</f>
        <v/>
      </c>
      <c r="R143" s="8">
        <f>IFERROR(IFERROR(VLOOKUP(A143,TRAOPE!$A:$W,23,0),VLOOKUP(B143,TRAOPE!$A:$W,23,0)),"")</f>
        <v/>
      </c>
      <c r="S143" s="10">
        <f>IF(AND(P143="TN",R143="TN"),N143+N(O143),IF(G143&amp;""="1",N(K143)*N143,(N143+N(O143))*N(K143)))</f>
        <v/>
      </c>
      <c r="T143" s="10">
        <f>IF(Q143="","",Q143-S143)</f>
        <v/>
      </c>
    </row>
    <row r="144">
      <c r="A144" s="7">
        <f>CONCATENATE(C144,E144,F144,I144)</f>
        <v/>
      </c>
      <c r="B144" s="7">
        <f>CONCATENATE(C144,E144,I144)</f>
        <v/>
      </c>
      <c r="C144" s="8" t="n">
        <v>900009377</v>
      </c>
      <c r="D144" s="7">
        <f>IFERROR(VLOOKUP(C144,TRAOPE!$G:$H,2,0),"")</f>
        <v/>
      </c>
      <c r="E144" s="8" t="inlineStr">
        <is>
          <t>D860</t>
        </is>
      </c>
      <c r="F144" s="8" t="inlineStr">
        <is>
          <t>66896136</t>
        </is>
      </c>
      <c r="G144" s="8">
        <f>IFERROR(VLOOKUP(A144,Flete!$A:$E,5,0),"")</f>
        <v/>
      </c>
      <c r="H144" s="7">
        <f>IFERROR(VLOOKUP(F144,TRAOPE!$AA:$AB,2,0),"")</f>
        <v/>
      </c>
      <c r="I144" s="7" t="n">
        <v>10052405</v>
      </c>
      <c r="J144" s="7">
        <f>IFERROR(VLOOKUP(I144,Materiales!$A:$H,8,0),"")</f>
        <v/>
      </c>
      <c r="K144" s="9">
        <f>IFERROR(VLOOKUP(I144,Materiales!$A:$G,7,0),"")</f>
        <v/>
      </c>
      <c r="L144" s="8" t="inlineStr">
        <is>
          <t>20251028</t>
        </is>
      </c>
      <c r="M144" s="8" t="inlineStr">
        <is>
          <t>99991231</t>
        </is>
      </c>
      <c r="N144" s="10" t="n">
        <v>139.1</v>
      </c>
      <c r="O144" s="10">
        <f>IFERROR(VLOOKUP(A144,Flete!$A:$J,10,0),"")</f>
        <v/>
      </c>
      <c r="P144" s="8" t="inlineStr">
        <is>
          <t>M3</t>
        </is>
      </c>
      <c r="Q144" s="10">
        <f>IFERROR(IFERROR(VLOOKUP(A144,TRAOPE!$A:$U,21,0),VLOOKUP(B144,TRAOPE!$A:$U,21,0)),"")</f>
        <v/>
      </c>
      <c r="R144" s="8">
        <f>IFERROR(IFERROR(VLOOKUP(A144,TRAOPE!$A:$W,23,0),VLOOKUP(B144,TRAOPE!$A:$W,23,0)),"")</f>
        <v/>
      </c>
      <c r="S144" s="10">
        <f>IF(AND(P144="TN",R144="TN"),N144+N(O144),IF(G144&amp;""="1",N(K144)*N144,(N144+N(O144))*N(K144)))</f>
        <v/>
      </c>
      <c r="T144" s="10">
        <f>IF(Q144="","",Q144-S144)</f>
        <v/>
      </c>
    </row>
    <row r="145">
      <c r="A145" s="7">
        <f>CONCATENATE(C145,E145,F145,I145)</f>
        <v/>
      </c>
      <c r="B145" s="7">
        <f>CONCATENATE(C145,E145,I145)</f>
        <v/>
      </c>
      <c r="C145" s="8" t="n">
        <v>900009377</v>
      </c>
      <c r="D145" s="7">
        <f>IFERROR(VLOOKUP(C145,TRAOPE!$G:$H,2,0),"")</f>
        <v/>
      </c>
      <c r="E145" s="8" t="inlineStr">
        <is>
          <t>D860</t>
        </is>
      </c>
      <c r="F145" s="8" t="inlineStr">
        <is>
          <t>66896136</t>
        </is>
      </c>
      <c r="G145" s="8">
        <f>IFERROR(VLOOKUP(A145,Flete!$A:$E,5,0),"")</f>
        <v/>
      </c>
      <c r="H145" s="7">
        <f>IFERROR(VLOOKUP(F145,TRAOPE!$AA:$AB,2,0),"")</f>
        <v/>
      </c>
      <c r="I145" s="7" t="n">
        <v>10052407</v>
      </c>
      <c r="J145" s="7">
        <f>IFERROR(VLOOKUP(I145,Materiales!$A:$H,8,0),"")</f>
        <v/>
      </c>
      <c r="K145" s="9">
        <f>IFERROR(VLOOKUP(I145,Materiales!$A:$G,7,0),"")</f>
        <v/>
      </c>
      <c r="L145" s="8" t="inlineStr">
        <is>
          <t>20251028</t>
        </is>
      </c>
      <c r="M145" s="8" t="inlineStr">
        <is>
          <t>99991231</t>
        </is>
      </c>
      <c r="N145" s="10" t="n">
        <v>125.19</v>
      </c>
      <c r="O145" s="10">
        <f>IFERROR(VLOOKUP(A145,Flete!$A:$J,10,0),"")</f>
        <v/>
      </c>
      <c r="P145" s="8" t="inlineStr">
        <is>
          <t>M3</t>
        </is>
      </c>
      <c r="Q145" s="10">
        <f>IFERROR(IFERROR(VLOOKUP(A145,TRAOPE!$A:$U,21,0),VLOOKUP(B145,TRAOPE!$A:$U,21,0)),"")</f>
        <v/>
      </c>
      <c r="R145" s="8">
        <f>IFERROR(IFERROR(VLOOKUP(A145,TRAOPE!$A:$W,23,0),VLOOKUP(B145,TRAOPE!$A:$W,23,0)),"")</f>
        <v/>
      </c>
      <c r="S145" s="10">
        <f>IF(AND(P145="TN",R145="TN"),N145+N(O145),IF(G145&amp;""="1",N(K145)*N145,(N145+N(O145))*N(K145)))</f>
        <v/>
      </c>
      <c r="T145" s="10">
        <f>IF(Q145="","",Q145-S145)</f>
        <v/>
      </c>
    </row>
    <row r="146">
      <c r="A146" s="7">
        <f>CONCATENATE(C146,E146,F146,I146)</f>
        <v/>
      </c>
      <c r="B146" s="7">
        <f>CONCATENATE(C146,E146,I146)</f>
        <v/>
      </c>
      <c r="C146" s="8" t="n">
        <v>900009377</v>
      </c>
      <c r="D146" s="7">
        <f>IFERROR(VLOOKUP(C146,TRAOPE!$G:$H,2,0),"")</f>
        <v/>
      </c>
      <c r="E146" s="8" t="inlineStr">
        <is>
          <t>D860</t>
        </is>
      </c>
      <c r="F146" s="8" t="inlineStr">
        <is>
          <t>66896136</t>
        </is>
      </c>
      <c r="G146" s="8">
        <f>IFERROR(VLOOKUP(A146,Flete!$A:$E,5,0),"")</f>
        <v/>
      </c>
      <c r="H146" s="7">
        <f>IFERROR(VLOOKUP(F146,TRAOPE!$AA:$AB,2,0),"")</f>
        <v/>
      </c>
      <c r="I146" s="7" t="n">
        <v>10190637</v>
      </c>
      <c r="J146" s="7">
        <f>IFERROR(VLOOKUP(I146,Materiales!$A:$H,8,0),"")</f>
        <v/>
      </c>
      <c r="K146" s="9">
        <f>IFERROR(VLOOKUP(I146,Materiales!$A:$G,7,0),"")</f>
        <v/>
      </c>
      <c r="L146" s="8" t="inlineStr">
        <is>
          <t>20251028</t>
        </is>
      </c>
      <c r="M146" s="8" t="inlineStr">
        <is>
          <t>99991231</t>
        </is>
      </c>
      <c r="N146" s="10" t="n">
        <v>139.1</v>
      </c>
      <c r="O146" s="10">
        <f>IFERROR(VLOOKUP(A146,Flete!$A:$J,10,0),"")</f>
        <v/>
      </c>
      <c r="P146" s="8" t="inlineStr">
        <is>
          <t>M3</t>
        </is>
      </c>
      <c r="Q146" s="10">
        <f>IFERROR(IFERROR(VLOOKUP(A146,TRAOPE!$A:$U,21,0),VLOOKUP(B146,TRAOPE!$A:$U,21,0)),"")</f>
        <v/>
      </c>
      <c r="R146" s="8">
        <f>IFERROR(IFERROR(VLOOKUP(A146,TRAOPE!$A:$W,23,0),VLOOKUP(B146,TRAOPE!$A:$W,23,0)),"")</f>
        <v/>
      </c>
      <c r="S146" s="10">
        <f>IF(AND(P146="TN",R146="TN"),N146+N(O146),IF(G146&amp;""="1",N(K146)*N146,(N146+N(O146))*N(K146)))</f>
        <v/>
      </c>
      <c r="T146" s="10">
        <f>IF(Q146="","",Q146-S146)</f>
        <v/>
      </c>
    </row>
    <row r="147">
      <c r="A147" s="7">
        <f>CONCATENATE(C147,E147,F147,I147)</f>
        <v/>
      </c>
      <c r="B147" s="7">
        <f>CONCATENATE(C147,E147,I147)</f>
        <v/>
      </c>
      <c r="C147" s="8" t="n">
        <v>900009377</v>
      </c>
      <c r="D147" s="7">
        <f>IFERROR(VLOOKUP(C147,TRAOPE!$G:$H,2,0),"")</f>
        <v/>
      </c>
      <c r="E147" s="8" t="inlineStr">
        <is>
          <t>D860</t>
        </is>
      </c>
      <c r="F147" s="8" t="inlineStr">
        <is>
          <t>67118819</t>
        </is>
      </c>
      <c r="G147" s="8">
        <f>IFERROR(VLOOKUP(A147,Flete!$A:$E,5,0),"")</f>
        <v/>
      </c>
      <c r="H147" s="7">
        <f>IFERROR(VLOOKUP(F147,TRAOPE!$AA:$AB,2,0),"")</f>
        <v/>
      </c>
      <c r="I147" s="7" t="n">
        <v>10052402</v>
      </c>
      <c r="J147" s="7">
        <f>IFERROR(VLOOKUP(I147,Materiales!$A:$H,8,0),"")</f>
        <v/>
      </c>
      <c r="K147" s="9">
        <f>IFERROR(VLOOKUP(I147,Materiales!$A:$G,7,0),"")</f>
        <v/>
      </c>
      <c r="L147" s="8" t="inlineStr">
        <is>
          <t>20251028</t>
        </is>
      </c>
      <c r="M147" s="8" t="inlineStr">
        <is>
          <t>99991231</t>
        </is>
      </c>
      <c r="N147" s="10" t="n">
        <v>215.61</v>
      </c>
      <c r="O147" s="10">
        <f>IFERROR(VLOOKUP(A147,Flete!$A:$J,10,0),"")</f>
        <v/>
      </c>
      <c r="P147" s="8" t="inlineStr">
        <is>
          <t>M3</t>
        </is>
      </c>
      <c r="Q147" s="10">
        <f>IFERROR(IFERROR(VLOOKUP(A147,TRAOPE!$A:$U,21,0),VLOOKUP(B147,TRAOPE!$A:$U,21,0)),"")</f>
        <v/>
      </c>
      <c r="R147" s="8">
        <f>IFERROR(IFERROR(VLOOKUP(A147,TRAOPE!$A:$W,23,0),VLOOKUP(B147,TRAOPE!$A:$W,23,0)),"")</f>
        <v/>
      </c>
      <c r="S147" s="10">
        <f>IF(AND(P147="TN",R147="TN"),N147+N(O147),IF(G147&amp;""="1",N(K147)*N147,(N147+N(O147))*N(K147)))</f>
        <v/>
      </c>
      <c r="T147" s="10">
        <f>IF(Q147="","",Q147-S147)</f>
        <v/>
      </c>
    </row>
    <row r="148">
      <c r="A148" s="7">
        <f>CONCATENATE(C148,E148,F148,I148)</f>
        <v/>
      </c>
      <c r="B148" s="7">
        <f>CONCATENATE(C148,E148,I148)</f>
        <v/>
      </c>
      <c r="C148" s="8" t="n">
        <v>900009377</v>
      </c>
      <c r="D148" s="7">
        <f>IFERROR(VLOOKUP(C148,TRAOPE!$G:$H,2,0),"")</f>
        <v/>
      </c>
      <c r="E148" s="8" t="inlineStr">
        <is>
          <t>D860</t>
        </is>
      </c>
      <c r="F148" s="8" t="inlineStr">
        <is>
          <t>67118819</t>
        </is>
      </c>
      <c r="G148" s="8">
        <f>IFERROR(VLOOKUP(A148,Flete!$A:$E,5,0),"")</f>
        <v/>
      </c>
      <c r="H148" s="7">
        <f>IFERROR(VLOOKUP(F148,TRAOPE!$AA:$AB,2,0),"")</f>
        <v/>
      </c>
      <c r="I148" s="7" t="n">
        <v>10052405</v>
      </c>
      <c r="J148" s="7">
        <f>IFERROR(VLOOKUP(I148,Materiales!$A:$H,8,0),"")</f>
        <v/>
      </c>
      <c r="K148" s="9">
        <f>IFERROR(VLOOKUP(I148,Materiales!$A:$G,7,0),"")</f>
        <v/>
      </c>
      <c r="L148" s="8" t="inlineStr">
        <is>
          <t>20251028</t>
        </is>
      </c>
      <c r="M148" s="8" t="inlineStr">
        <is>
          <t>99991231</t>
        </is>
      </c>
      <c r="N148" s="10" t="n">
        <v>139.1</v>
      </c>
      <c r="O148" s="10">
        <f>IFERROR(VLOOKUP(A148,Flete!$A:$J,10,0),"")</f>
        <v/>
      </c>
      <c r="P148" s="8" t="inlineStr">
        <is>
          <t>M3</t>
        </is>
      </c>
      <c r="Q148" s="10">
        <f>IFERROR(IFERROR(VLOOKUP(A148,TRAOPE!$A:$U,21,0),VLOOKUP(B148,TRAOPE!$A:$U,21,0)),"")</f>
        <v/>
      </c>
      <c r="R148" s="8">
        <f>IFERROR(IFERROR(VLOOKUP(A148,TRAOPE!$A:$W,23,0),VLOOKUP(B148,TRAOPE!$A:$W,23,0)),"")</f>
        <v/>
      </c>
      <c r="S148" s="10">
        <f>IF(AND(P148="TN",R148="TN"),N148+N(O148),IF(G148&amp;""="1",N(K148)*N148,(N148+N(O148))*N(K148)))</f>
        <v/>
      </c>
      <c r="T148" s="10">
        <f>IF(Q148="","",Q148-S148)</f>
        <v/>
      </c>
    </row>
    <row r="149">
      <c r="A149" s="7">
        <f>CONCATENATE(C149,E149,F149,I149)</f>
        <v/>
      </c>
      <c r="B149" s="7">
        <f>CONCATENATE(C149,E149,I149)</f>
        <v/>
      </c>
      <c r="C149" s="8" t="n">
        <v>900009377</v>
      </c>
      <c r="D149" s="7">
        <f>IFERROR(VLOOKUP(C149,TRAOPE!$G:$H,2,0),"")</f>
        <v/>
      </c>
      <c r="E149" s="8" t="inlineStr">
        <is>
          <t>D860</t>
        </is>
      </c>
      <c r="F149" s="8" t="inlineStr">
        <is>
          <t>67118819</t>
        </is>
      </c>
      <c r="G149" s="8">
        <f>IFERROR(VLOOKUP(A149,Flete!$A:$E,5,0),"")</f>
        <v/>
      </c>
      <c r="H149" s="7">
        <f>IFERROR(VLOOKUP(F149,TRAOPE!$AA:$AB,2,0),"")</f>
        <v/>
      </c>
      <c r="I149" s="7" t="n">
        <v>10052407</v>
      </c>
      <c r="J149" s="7">
        <f>IFERROR(VLOOKUP(I149,Materiales!$A:$H,8,0),"")</f>
        <v/>
      </c>
      <c r="K149" s="9">
        <f>IFERROR(VLOOKUP(I149,Materiales!$A:$G,7,0),"")</f>
        <v/>
      </c>
      <c r="L149" s="8" t="inlineStr">
        <is>
          <t>20251028</t>
        </is>
      </c>
      <c r="M149" s="8" t="inlineStr">
        <is>
          <t>99991231</t>
        </is>
      </c>
      <c r="N149" s="10" t="n">
        <v>125.19</v>
      </c>
      <c r="O149" s="10">
        <f>IFERROR(VLOOKUP(A149,Flete!$A:$J,10,0),"")</f>
        <v/>
      </c>
      <c r="P149" s="8" t="inlineStr">
        <is>
          <t>M3</t>
        </is>
      </c>
      <c r="Q149" s="10">
        <f>IFERROR(IFERROR(VLOOKUP(A149,TRAOPE!$A:$U,21,0),VLOOKUP(B149,TRAOPE!$A:$U,21,0)),"")</f>
        <v/>
      </c>
      <c r="R149" s="8">
        <f>IFERROR(IFERROR(VLOOKUP(A149,TRAOPE!$A:$W,23,0),VLOOKUP(B149,TRAOPE!$A:$W,23,0)),"")</f>
        <v/>
      </c>
      <c r="S149" s="10">
        <f>IF(AND(P149="TN",R149="TN"),N149+N(O149),IF(G149&amp;""="1",N(K149)*N149,(N149+N(O149))*N(K149)))</f>
        <v/>
      </c>
      <c r="T149" s="10">
        <f>IF(Q149="","",Q149-S149)</f>
        <v/>
      </c>
    </row>
    <row r="150">
      <c r="A150" s="7">
        <f>CONCATENATE(C150,E150,F150,I150)</f>
        <v/>
      </c>
      <c r="B150" s="7">
        <f>CONCATENATE(C150,E150,I150)</f>
        <v/>
      </c>
      <c r="C150" s="8" t="n">
        <v>900009377</v>
      </c>
      <c r="D150" s="7">
        <f>IFERROR(VLOOKUP(C150,TRAOPE!$G:$H,2,0),"")</f>
        <v/>
      </c>
      <c r="E150" s="8" t="inlineStr">
        <is>
          <t>D860</t>
        </is>
      </c>
      <c r="F150" s="8" t="inlineStr">
        <is>
          <t>67118819</t>
        </is>
      </c>
      <c r="G150" s="8">
        <f>IFERROR(VLOOKUP(A150,Flete!$A:$E,5,0),"")</f>
        <v/>
      </c>
      <c r="H150" s="7">
        <f>IFERROR(VLOOKUP(F150,TRAOPE!$AA:$AB,2,0),"")</f>
        <v/>
      </c>
      <c r="I150" s="7" t="n">
        <v>10190637</v>
      </c>
      <c r="J150" s="7">
        <f>IFERROR(VLOOKUP(I150,Materiales!$A:$H,8,0),"")</f>
        <v/>
      </c>
      <c r="K150" s="9">
        <f>IFERROR(VLOOKUP(I150,Materiales!$A:$G,7,0),"")</f>
        <v/>
      </c>
      <c r="L150" s="8" t="inlineStr">
        <is>
          <t>20251028</t>
        </is>
      </c>
      <c r="M150" s="8" t="inlineStr">
        <is>
          <t>99991231</t>
        </is>
      </c>
      <c r="N150" s="10" t="n">
        <v>139.1</v>
      </c>
      <c r="O150" s="10">
        <f>IFERROR(VLOOKUP(A150,Flete!$A:$J,10,0),"")</f>
        <v/>
      </c>
      <c r="P150" s="8" t="inlineStr">
        <is>
          <t>M3</t>
        </is>
      </c>
      <c r="Q150" s="10">
        <f>IFERROR(IFERROR(VLOOKUP(A150,TRAOPE!$A:$U,21,0),VLOOKUP(B150,TRAOPE!$A:$U,21,0)),"")</f>
        <v/>
      </c>
      <c r="R150" s="8">
        <f>IFERROR(IFERROR(VLOOKUP(A150,TRAOPE!$A:$W,23,0),VLOOKUP(B150,TRAOPE!$A:$W,23,0)),"")</f>
        <v/>
      </c>
      <c r="S150" s="10">
        <f>IF(AND(P150="TN",R150="TN"),N150+N(O150),IF(G150&amp;""="1",N(K150)*N150,(N150+N(O150))*N(K150)))</f>
        <v/>
      </c>
      <c r="T150" s="10">
        <f>IF(Q150="","",Q150-S150)</f>
        <v/>
      </c>
    </row>
    <row r="151">
      <c r="A151" s="7">
        <f>CONCATENATE(C151,E151,F151,I151)</f>
        <v/>
      </c>
      <c r="B151" s="7">
        <f>CONCATENATE(C151,E151,I151)</f>
        <v/>
      </c>
      <c r="C151" s="8" t="n">
        <v>900009377</v>
      </c>
      <c r="D151" s="7">
        <f>IFERROR(VLOOKUP(C151,TRAOPE!$G:$H,2,0),"")</f>
        <v/>
      </c>
      <c r="E151" s="8" t="inlineStr">
        <is>
          <t>D860</t>
        </is>
      </c>
      <c r="F151" s="8" t="inlineStr">
        <is>
          <t>67160086</t>
        </is>
      </c>
      <c r="G151" s="8">
        <f>IFERROR(VLOOKUP(A151,Flete!$A:$E,5,0),"")</f>
        <v/>
      </c>
      <c r="H151" s="7">
        <f>IFERROR(VLOOKUP(F151,TRAOPE!$AA:$AB,2,0),"")</f>
        <v/>
      </c>
      <c r="I151" s="7" t="n">
        <v>10052407</v>
      </c>
      <c r="J151" s="7">
        <f>IFERROR(VLOOKUP(I151,Materiales!$A:$H,8,0),"")</f>
        <v/>
      </c>
      <c r="K151" s="9">
        <f>IFERROR(VLOOKUP(I151,Materiales!$A:$G,7,0),"")</f>
        <v/>
      </c>
      <c r="L151" s="8" t="inlineStr">
        <is>
          <t>20251028</t>
        </is>
      </c>
      <c r="M151" s="8" t="inlineStr">
        <is>
          <t>99991231</t>
        </is>
      </c>
      <c r="N151" s="10" t="n">
        <v>123.05</v>
      </c>
      <c r="O151" s="10">
        <f>IFERROR(VLOOKUP(A151,Flete!$A:$J,10,0),"")</f>
        <v/>
      </c>
      <c r="P151" s="8" t="inlineStr">
        <is>
          <t>M3</t>
        </is>
      </c>
      <c r="Q151" s="10">
        <f>IFERROR(IFERROR(VLOOKUP(A151,TRAOPE!$A:$U,21,0),VLOOKUP(B151,TRAOPE!$A:$U,21,0)),"")</f>
        <v/>
      </c>
      <c r="R151" s="8">
        <f>IFERROR(IFERROR(VLOOKUP(A151,TRAOPE!$A:$W,23,0),VLOOKUP(B151,TRAOPE!$A:$W,23,0)),"")</f>
        <v/>
      </c>
      <c r="S151" s="10">
        <f>IF(AND(P151="TN",R151="TN"),N151+N(O151),IF(G151&amp;""="1",N(K151)*N151,(N151+N(O151))*N(K151)))</f>
        <v/>
      </c>
      <c r="T151" s="10">
        <f>IF(Q151="","",Q151-S151)</f>
        <v/>
      </c>
    </row>
    <row r="152">
      <c r="A152" s="7">
        <f>CONCATENATE(C152,E152,F152,I152)</f>
        <v/>
      </c>
      <c r="B152" s="7">
        <f>CONCATENATE(C152,E152,I152)</f>
        <v/>
      </c>
      <c r="C152" s="8" t="n">
        <v>900009377</v>
      </c>
      <c r="D152" s="7">
        <f>IFERROR(VLOOKUP(C152,TRAOPE!$G:$H,2,0),"")</f>
        <v/>
      </c>
      <c r="E152" s="8" t="inlineStr">
        <is>
          <t>D860</t>
        </is>
      </c>
      <c r="F152" s="8" t="inlineStr">
        <is>
          <t>67160086</t>
        </is>
      </c>
      <c r="G152" s="8">
        <f>IFERROR(VLOOKUP(A152,Flete!$A:$E,5,0),"")</f>
        <v/>
      </c>
      <c r="H152" s="7">
        <f>IFERROR(VLOOKUP(F152,TRAOPE!$AA:$AB,2,0),"")</f>
        <v/>
      </c>
      <c r="I152" s="7" t="n">
        <v>10190637</v>
      </c>
      <c r="J152" s="7">
        <f>IFERROR(VLOOKUP(I152,Materiales!$A:$H,8,0),"")</f>
        <v/>
      </c>
      <c r="K152" s="9">
        <f>IFERROR(VLOOKUP(I152,Materiales!$A:$G,7,0),"")</f>
        <v/>
      </c>
      <c r="L152" s="8" t="inlineStr">
        <is>
          <t>20251028</t>
        </is>
      </c>
      <c r="M152" s="8" t="inlineStr">
        <is>
          <t>99991231</t>
        </is>
      </c>
      <c r="N152" s="10" t="n">
        <v>133.2</v>
      </c>
      <c r="O152" s="10">
        <f>IFERROR(VLOOKUP(A152,Flete!$A:$J,10,0),"")</f>
        <v/>
      </c>
      <c r="P152" s="8" t="inlineStr">
        <is>
          <t>M3</t>
        </is>
      </c>
      <c r="Q152" s="10">
        <f>IFERROR(IFERROR(VLOOKUP(A152,TRAOPE!$A:$U,21,0),VLOOKUP(B152,TRAOPE!$A:$U,21,0)),"")</f>
        <v/>
      </c>
      <c r="R152" s="8">
        <f>IFERROR(IFERROR(VLOOKUP(A152,TRAOPE!$A:$W,23,0),VLOOKUP(B152,TRAOPE!$A:$W,23,0)),"")</f>
        <v/>
      </c>
      <c r="S152" s="10">
        <f>IF(AND(P152="TN",R152="TN"),N152+N(O152),IF(G152&amp;""="1",N(K152)*N152,(N152+N(O152))*N(K152)))</f>
        <v/>
      </c>
      <c r="T152" s="10">
        <f>IF(Q152="","",Q152-S152)</f>
        <v/>
      </c>
    </row>
    <row r="153">
      <c r="A153" s="7">
        <f>CONCATENATE(C153,E153,F153,I153)</f>
        <v/>
      </c>
      <c r="B153" s="7">
        <f>CONCATENATE(C153,E153,I153)</f>
        <v/>
      </c>
      <c r="C153" s="8" t="n">
        <v>900005375</v>
      </c>
      <c r="D153" s="7">
        <f>IFERROR(VLOOKUP(C153,TRAOPE!$G:$H,2,0),"")</f>
        <v/>
      </c>
      <c r="E153" s="8" t="inlineStr">
        <is>
          <t>D860</t>
        </is>
      </c>
      <c r="F153" s="8" t="inlineStr">
        <is>
          <t>66856562</t>
        </is>
      </c>
      <c r="G153" s="8">
        <f>IFERROR(VLOOKUP(A153,Flete!$A:$E,5,0),"")</f>
        <v/>
      </c>
      <c r="H153" s="7">
        <f>IFERROR(VLOOKUP(F153,TRAOPE!$AA:$AB,2,0),"")</f>
        <v/>
      </c>
      <c r="I153" s="7" t="n">
        <v>10052402</v>
      </c>
      <c r="J153" s="7">
        <f>IFERROR(VLOOKUP(I153,Materiales!$A:$H,8,0),"")</f>
        <v/>
      </c>
      <c r="K153" s="9">
        <f>IFERROR(VLOOKUP(I153,Materiales!$A:$G,7,0),"")</f>
        <v/>
      </c>
      <c r="L153" s="8" t="inlineStr">
        <is>
          <t>20250505</t>
        </is>
      </c>
      <c r="M153" s="8" t="inlineStr">
        <is>
          <t>20250507</t>
        </is>
      </c>
      <c r="N153" s="10" t="n">
        <v>215.61</v>
      </c>
      <c r="O153" s="10">
        <f>IFERROR(VLOOKUP(A153,Flete!$A:$J,10,0),"")</f>
        <v/>
      </c>
      <c r="P153" s="8" t="inlineStr">
        <is>
          <t>M3</t>
        </is>
      </c>
      <c r="Q153" s="10">
        <f>IFERROR(IFERROR(VLOOKUP(A153,TRAOPE!$A:$U,21,0),VLOOKUP(B153,TRAOPE!$A:$U,21,0)),"")</f>
        <v/>
      </c>
      <c r="R153" s="8">
        <f>IFERROR(IFERROR(VLOOKUP(A153,TRAOPE!$A:$W,23,0),VLOOKUP(B153,TRAOPE!$A:$W,23,0)),"")</f>
        <v/>
      </c>
      <c r="S153" s="10">
        <f>IF(AND(P153="TN",R153="TN"),N153+N(O153),IF(G153&amp;""="1",N(K153)*N153,(N153+N(O153))*N(K153)))</f>
        <v/>
      </c>
      <c r="T153" s="10">
        <f>IF(Q153="","",Q153-S153)</f>
        <v/>
      </c>
    </row>
    <row r="154">
      <c r="A154" s="7">
        <f>CONCATENATE(C154,E154,F154,I154)</f>
        <v/>
      </c>
      <c r="B154" s="7">
        <f>CONCATENATE(C154,E154,I154)</f>
        <v/>
      </c>
      <c r="C154" s="8" t="n">
        <v>900005375</v>
      </c>
      <c r="D154" s="7">
        <f>IFERROR(VLOOKUP(C154,TRAOPE!$G:$H,2,0),"")</f>
        <v/>
      </c>
      <c r="E154" s="8" t="inlineStr">
        <is>
          <t>D860</t>
        </is>
      </c>
      <c r="F154" s="8" t="inlineStr">
        <is>
          <t>66856562</t>
        </is>
      </c>
      <c r="G154" s="8">
        <f>IFERROR(VLOOKUP(A154,Flete!$A:$E,5,0),"")</f>
        <v/>
      </c>
      <c r="H154" s="7">
        <f>IFERROR(VLOOKUP(F154,TRAOPE!$AA:$AB,2,0),"")</f>
        <v/>
      </c>
      <c r="I154" s="7" t="n">
        <v>10052407</v>
      </c>
      <c r="J154" s="7">
        <f>IFERROR(VLOOKUP(I154,Materiales!$A:$H,8,0),"")</f>
        <v/>
      </c>
      <c r="K154" s="9">
        <f>IFERROR(VLOOKUP(I154,Materiales!$A:$G,7,0),"")</f>
        <v/>
      </c>
      <c r="L154" s="8" t="inlineStr">
        <is>
          <t>20250505</t>
        </is>
      </c>
      <c r="M154" s="8" t="inlineStr">
        <is>
          <t>20250507</t>
        </is>
      </c>
      <c r="N154" s="10" t="n">
        <v>125.19</v>
      </c>
      <c r="O154" s="10">
        <f>IFERROR(VLOOKUP(A154,Flete!$A:$J,10,0),"")</f>
        <v/>
      </c>
      <c r="P154" s="8" t="inlineStr">
        <is>
          <t>M3</t>
        </is>
      </c>
      <c r="Q154" s="10">
        <f>IFERROR(IFERROR(VLOOKUP(A154,TRAOPE!$A:$U,21,0),VLOOKUP(B154,TRAOPE!$A:$U,21,0)),"")</f>
        <v/>
      </c>
      <c r="R154" s="8">
        <f>IFERROR(IFERROR(VLOOKUP(A154,TRAOPE!$A:$W,23,0),VLOOKUP(B154,TRAOPE!$A:$W,23,0)),"")</f>
        <v/>
      </c>
      <c r="S154" s="10">
        <f>IF(AND(P154="TN",R154="TN"),N154+N(O154),IF(G154&amp;""="1",N(K154)*N154,(N154+N(O154))*N(K154)))</f>
        <v/>
      </c>
      <c r="T154" s="10">
        <f>IF(Q154="","",Q154-S154)</f>
        <v/>
      </c>
    </row>
    <row r="155">
      <c r="A155" s="7">
        <f>CONCATENATE(C155,E155,F155,I155)</f>
        <v/>
      </c>
      <c r="B155" s="7">
        <f>CONCATENATE(C155,E155,I155)</f>
        <v/>
      </c>
      <c r="C155" s="8" t="n">
        <v>900005375</v>
      </c>
      <c r="D155" s="7">
        <f>IFERROR(VLOOKUP(C155,TRAOPE!$G:$H,2,0),"")</f>
        <v/>
      </c>
      <c r="E155" s="8" t="inlineStr">
        <is>
          <t>D860</t>
        </is>
      </c>
      <c r="F155" s="8" t="inlineStr">
        <is>
          <t>66856562</t>
        </is>
      </c>
      <c r="G155" s="8">
        <f>IFERROR(VLOOKUP(A155,Flete!$A:$E,5,0),"")</f>
        <v/>
      </c>
      <c r="H155" s="7">
        <f>IFERROR(VLOOKUP(F155,TRAOPE!$AA:$AB,2,0),"")</f>
        <v/>
      </c>
      <c r="I155" s="7" t="n">
        <v>10190637</v>
      </c>
      <c r="J155" s="7">
        <f>IFERROR(VLOOKUP(I155,Materiales!$A:$H,8,0),"")</f>
        <v/>
      </c>
      <c r="K155" s="9">
        <f>IFERROR(VLOOKUP(I155,Materiales!$A:$G,7,0),"")</f>
        <v/>
      </c>
      <c r="L155" s="8" t="inlineStr">
        <is>
          <t>20250505</t>
        </is>
      </c>
      <c r="M155" s="8" t="inlineStr">
        <is>
          <t>20250507</t>
        </is>
      </c>
      <c r="N155" s="10" t="n">
        <v>139.1</v>
      </c>
      <c r="O155" s="10">
        <f>IFERROR(VLOOKUP(A155,Flete!$A:$J,10,0),"")</f>
        <v/>
      </c>
      <c r="P155" s="8" t="inlineStr">
        <is>
          <t>M3</t>
        </is>
      </c>
      <c r="Q155" s="10">
        <f>IFERROR(IFERROR(VLOOKUP(A155,TRAOPE!$A:$U,21,0),VLOOKUP(B155,TRAOPE!$A:$U,21,0)),"")</f>
        <v/>
      </c>
      <c r="R155" s="8">
        <f>IFERROR(IFERROR(VLOOKUP(A155,TRAOPE!$A:$W,23,0),VLOOKUP(B155,TRAOPE!$A:$W,23,0)),"")</f>
        <v/>
      </c>
      <c r="S155" s="10">
        <f>IF(AND(P155="TN",R155="TN"),N155+N(O155),IF(G155&amp;""="1",N(K155)*N155,(N155+N(O155))*N(K155)))</f>
        <v/>
      </c>
      <c r="T155" s="10">
        <f>IF(Q155="","",Q155-S155)</f>
        <v/>
      </c>
    </row>
    <row r="156">
      <c r="A156" s="7">
        <f>CONCATENATE(C156,E156,F156,I156)</f>
        <v/>
      </c>
      <c r="B156" s="7">
        <f>CONCATENATE(C156,E156,I156)</f>
        <v/>
      </c>
      <c r="C156" s="8" t="n">
        <v>900005375</v>
      </c>
      <c r="D156" s="7">
        <f>IFERROR(VLOOKUP(C156,TRAOPE!$G:$H,2,0),"")</f>
        <v/>
      </c>
      <c r="E156" s="8" t="inlineStr">
        <is>
          <t>D860</t>
        </is>
      </c>
      <c r="F156" s="8" t="inlineStr">
        <is>
          <t>66896136</t>
        </is>
      </c>
      <c r="G156" s="8">
        <f>IFERROR(VLOOKUP(A156,Flete!$A:$E,5,0),"")</f>
        <v/>
      </c>
      <c r="H156" s="7">
        <f>IFERROR(VLOOKUP(F156,TRAOPE!$AA:$AB,2,0),"")</f>
        <v/>
      </c>
      <c r="I156" s="7" t="n">
        <v>10052402</v>
      </c>
      <c r="J156" s="7">
        <f>IFERROR(VLOOKUP(I156,Materiales!$A:$H,8,0),"")</f>
        <v/>
      </c>
      <c r="K156" s="9">
        <f>IFERROR(VLOOKUP(I156,Materiales!$A:$G,7,0),"")</f>
        <v/>
      </c>
      <c r="L156" s="8" t="inlineStr">
        <is>
          <t>20250505</t>
        </is>
      </c>
      <c r="M156" s="8" t="inlineStr">
        <is>
          <t>20250507</t>
        </is>
      </c>
      <c r="N156" s="10" t="n">
        <v>215.61</v>
      </c>
      <c r="O156" s="10">
        <f>IFERROR(VLOOKUP(A156,Flete!$A:$J,10,0),"")</f>
        <v/>
      </c>
      <c r="P156" s="8" t="inlineStr">
        <is>
          <t>M3</t>
        </is>
      </c>
      <c r="Q156" s="10">
        <f>IFERROR(IFERROR(VLOOKUP(A156,TRAOPE!$A:$U,21,0),VLOOKUP(B156,TRAOPE!$A:$U,21,0)),"")</f>
        <v/>
      </c>
      <c r="R156" s="8">
        <f>IFERROR(IFERROR(VLOOKUP(A156,TRAOPE!$A:$W,23,0),VLOOKUP(B156,TRAOPE!$A:$W,23,0)),"")</f>
        <v/>
      </c>
      <c r="S156" s="10">
        <f>IF(AND(P156="TN",R156="TN"),N156+N(O156),IF(G156&amp;""="1",N(K156)*N156,(N156+N(O156))*N(K156)))</f>
        <v/>
      </c>
      <c r="T156" s="10">
        <f>IF(Q156="","",Q156-S156)</f>
        <v/>
      </c>
    </row>
    <row r="157">
      <c r="A157" s="7">
        <f>CONCATENATE(C157,E157,F157,I157)</f>
        <v/>
      </c>
      <c r="B157" s="7">
        <f>CONCATENATE(C157,E157,I157)</f>
        <v/>
      </c>
      <c r="C157" s="8" t="n">
        <v>900005375</v>
      </c>
      <c r="D157" s="7">
        <f>IFERROR(VLOOKUP(C157,TRAOPE!$G:$H,2,0),"")</f>
        <v/>
      </c>
      <c r="E157" s="8" t="inlineStr">
        <is>
          <t>D860</t>
        </is>
      </c>
      <c r="F157" s="8" t="inlineStr">
        <is>
          <t>66896136</t>
        </is>
      </c>
      <c r="G157" s="8">
        <f>IFERROR(VLOOKUP(A157,Flete!$A:$E,5,0),"")</f>
        <v/>
      </c>
      <c r="H157" s="7">
        <f>IFERROR(VLOOKUP(F157,TRAOPE!$AA:$AB,2,0),"")</f>
        <v/>
      </c>
      <c r="I157" s="7" t="n">
        <v>10052405</v>
      </c>
      <c r="J157" s="7">
        <f>IFERROR(VLOOKUP(I157,Materiales!$A:$H,8,0),"")</f>
        <v/>
      </c>
      <c r="K157" s="9">
        <f>IFERROR(VLOOKUP(I157,Materiales!$A:$G,7,0),"")</f>
        <v/>
      </c>
      <c r="L157" s="8" t="inlineStr">
        <is>
          <t>20250505</t>
        </is>
      </c>
      <c r="M157" s="8" t="inlineStr">
        <is>
          <t>20250507</t>
        </is>
      </c>
      <c r="N157" s="10" t="n">
        <v>139.1</v>
      </c>
      <c r="O157" s="10">
        <f>IFERROR(VLOOKUP(A157,Flete!$A:$J,10,0),"")</f>
        <v/>
      </c>
      <c r="P157" s="8" t="inlineStr">
        <is>
          <t>M3</t>
        </is>
      </c>
      <c r="Q157" s="10">
        <f>IFERROR(IFERROR(VLOOKUP(A157,TRAOPE!$A:$U,21,0),VLOOKUP(B157,TRAOPE!$A:$U,21,0)),"")</f>
        <v/>
      </c>
      <c r="R157" s="8">
        <f>IFERROR(IFERROR(VLOOKUP(A157,TRAOPE!$A:$W,23,0),VLOOKUP(B157,TRAOPE!$A:$W,23,0)),"")</f>
        <v/>
      </c>
      <c r="S157" s="10">
        <f>IF(AND(P157="TN",R157="TN"),N157+N(O157),IF(G157&amp;""="1",N(K157)*N157,(N157+N(O157))*N(K157)))</f>
        <v/>
      </c>
      <c r="T157" s="10">
        <f>IF(Q157="","",Q157-S157)</f>
        <v/>
      </c>
    </row>
    <row r="158">
      <c r="A158" s="7">
        <f>CONCATENATE(C158,E158,F158,I158)</f>
        <v/>
      </c>
      <c r="B158" s="7">
        <f>CONCATENATE(C158,E158,I158)</f>
        <v/>
      </c>
      <c r="C158" s="8" t="n">
        <v>900005375</v>
      </c>
      <c r="D158" s="7">
        <f>IFERROR(VLOOKUP(C158,TRAOPE!$G:$H,2,0),"")</f>
        <v/>
      </c>
      <c r="E158" s="8" t="inlineStr">
        <is>
          <t>D860</t>
        </is>
      </c>
      <c r="F158" s="8" t="inlineStr">
        <is>
          <t>66896136</t>
        </is>
      </c>
      <c r="G158" s="8">
        <f>IFERROR(VLOOKUP(A158,Flete!$A:$E,5,0),"")</f>
        <v/>
      </c>
      <c r="H158" s="7">
        <f>IFERROR(VLOOKUP(F158,TRAOPE!$AA:$AB,2,0),"")</f>
        <v/>
      </c>
      <c r="I158" s="7" t="n">
        <v>10052407</v>
      </c>
      <c r="J158" s="7">
        <f>IFERROR(VLOOKUP(I158,Materiales!$A:$H,8,0),"")</f>
        <v/>
      </c>
      <c r="K158" s="9">
        <f>IFERROR(VLOOKUP(I158,Materiales!$A:$G,7,0),"")</f>
        <v/>
      </c>
      <c r="L158" s="8" t="inlineStr">
        <is>
          <t>20250505</t>
        </is>
      </c>
      <c r="M158" s="8" t="inlineStr">
        <is>
          <t>20250507</t>
        </is>
      </c>
      <c r="N158" s="10" t="n">
        <v>125.19</v>
      </c>
      <c r="O158" s="10">
        <f>IFERROR(VLOOKUP(A158,Flete!$A:$J,10,0),"")</f>
        <v/>
      </c>
      <c r="P158" s="8" t="inlineStr">
        <is>
          <t>M3</t>
        </is>
      </c>
      <c r="Q158" s="10">
        <f>IFERROR(IFERROR(VLOOKUP(A158,TRAOPE!$A:$U,21,0),VLOOKUP(B158,TRAOPE!$A:$U,21,0)),"")</f>
        <v/>
      </c>
      <c r="R158" s="8">
        <f>IFERROR(IFERROR(VLOOKUP(A158,TRAOPE!$A:$W,23,0),VLOOKUP(B158,TRAOPE!$A:$W,23,0)),"")</f>
        <v/>
      </c>
      <c r="S158" s="10">
        <f>IF(AND(P158="TN",R158="TN"),N158+N(O158),IF(G158&amp;""="1",N(K158)*N158,(N158+N(O158))*N(K158)))</f>
        <v/>
      </c>
      <c r="T158" s="10">
        <f>IF(Q158="","",Q158-S158)</f>
        <v/>
      </c>
    </row>
    <row r="159">
      <c r="A159" s="7">
        <f>CONCATENATE(C159,E159,F159,I159)</f>
        <v/>
      </c>
      <c r="B159" s="7">
        <f>CONCATENATE(C159,E159,I159)</f>
        <v/>
      </c>
      <c r="C159" s="8" t="n">
        <v>900005375</v>
      </c>
      <c r="D159" s="7">
        <f>IFERROR(VLOOKUP(C159,TRAOPE!$G:$H,2,0),"")</f>
        <v/>
      </c>
      <c r="E159" s="8" t="inlineStr">
        <is>
          <t>D860</t>
        </is>
      </c>
      <c r="F159" s="8" t="inlineStr">
        <is>
          <t>66896136</t>
        </is>
      </c>
      <c r="G159" s="8">
        <f>IFERROR(VLOOKUP(A159,Flete!$A:$E,5,0),"")</f>
        <v/>
      </c>
      <c r="H159" s="7">
        <f>IFERROR(VLOOKUP(F159,TRAOPE!$AA:$AB,2,0),"")</f>
        <v/>
      </c>
      <c r="I159" s="7" t="n">
        <v>10190637</v>
      </c>
      <c r="J159" s="7">
        <f>IFERROR(VLOOKUP(I159,Materiales!$A:$H,8,0),"")</f>
        <v/>
      </c>
      <c r="K159" s="9">
        <f>IFERROR(VLOOKUP(I159,Materiales!$A:$G,7,0),"")</f>
        <v/>
      </c>
      <c r="L159" s="8" t="inlineStr">
        <is>
          <t>20250505</t>
        </is>
      </c>
      <c r="M159" s="8" t="inlineStr">
        <is>
          <t>20250507</t>
        </is>
      </c>
      <c r="N159" s="10" t="n">
        <v>139.1</v>
      </c>
      <c r="O159" s="10">
        <f>IFERROR(VLOOKUP(A159,Flete!$A:$J,10,0),"")</f>
        <v/>
      </c>
      <c r="P159" s="8" t="inlineStr">
        <is>
          <t>M3</t>
        </is>
      </c>
      <c r="Q159" s="10">
        <f>IFERROR(IFERROR(VLOOKUP(A159,TRAOPE!$A:$U,21,0),VLOOKUP(B159,TRAOPE!$A:$U,21,0)),"")</f>
        <v/>
      </c>
      <c r="R159" s="8">
        <f>IFERROR(IFERROR(VLOOKUP(A159,TRAOPE!$A:$W,23,0),VLOOKUP(B159,TRAOPE!$A:$W,23,0)),"")</f>
        <v/>
      </c>
      <c r="S159" s="10">
        <f>IF(AND(P159="TN",R159="TN"),N159+N(O159),IF(G159&amp;""="1",N(K159)*N159,(N159+N(O159))*N(K159)))</f>
        <v/>
      </c>
      <c r="T159" s="10">
        <f>IF(Q159="","",Q159-S159)</f>
        <v/>
      </c>
    </row>
    <row r="160">
      <c r="A160" s="7">
        <f>CONCATENATE(C160,E160,F160,I160)</f>
        <v/>
      </c>
      <c r="B160" s="7">
        <f>CONCATENATE(C160,E160,I160)</f>
        <v/>
      </c>
      <c r="C160" s="8" t="n">
        <v>900005375</v>
      </c>
      <c r="D160" s="7">
        <f>IFERROR(VLOOKUP(C160,TRAOPE!$G:$H,2,0),"")</f>
        <v/>
      </c>
      <c r="E160" s="8" t="inlineStr">
        <is>
          <t>D860</t>
        </is>
      </c>
      <c r="F160" s="8" t="inlineStr">
        <is>
          <t>67118819</t>
        </is>
      </c>
      <c r="G160" s="8">
        <f>IFERROR(VLOOKUP(A160,Flete!$A:$E,5,0),"")</f>
        <v/>
      </c>
      <c r="H160" s="7">
        <f>IFERROR(VLOOKUP(F160,TRAOPE!$AA:$AB,2,0),"")</f>
        <v/>
      </c>
      <c r="I160" s="7" t="n">
        <v>10052402</v>
      </c>
      <c r="J160" s="7">
        <f>IFERROR(VLOOKUP(I160,Materiales!$A:$H,8,0),"")</f>
        <v/>
      </c>
      <c r="K160" s="9">
        <f>IFERROR(VLOOKUP(I160,Materiales!$A:$G,7,0),"")</f>
        <v/>
      </c>
      <c r="L160" s="8" t="inlineStr">
        <is>
          <t>20250505</t>
        </is>
      </c>
      <c r="M160" s="8" t="inlineStr">
        <is>
          <t>20250507</t>
        </is>
      </c>
      <c r="N160" s="10" t="n">
        <v>215.61</v>
      </c>
      <c r="O160" s="10">
        <f>IFERROR(VLOOKUP(A160,Flete!$A:$J,10,0),"")</f>
        <v/>
      </c>
      <c r="P160" s="8" t="inlineStr">
        <is>
          <t>M3</t>
        </is>
      </c>
      <c r="Q160" s="10">
        <f>IFERROR(IFERROR(VLOOKUP(A160,TRAOPE!$A:$U,21,0),VLOOKUP(B160,TRAOPE!$A:$U,21,0)),"")</f>
        <v/>
      </c>
      <c r="R160" s="8">
        <f>IFERROR(IFERROR(VLOOKUP(A160,TRAOPE!$A:$W,23,0),VLOOKUP(B160,TRAOPE!$A:$W,23,0)),"")</f>
        <v/>
      </c>
      <c r="S160" s="10">
        <f>IF(AND(P160="TN",R160="TN"),N160+N(O160),IF(G160&amp;""="1",N(K160)*N160,(N160+N(O160))*N(K160)))</f>
        <v/>
      </c>
      <c r="T160" s="10">
        <f>IF(Q160="","",Q160-S160)</f>
        <v/>
      </c>
    </row>
    <row r="161">
      <c r="A161" s="7">
        <f>CONCATENATE(C161,E161,F161,I161)</f>
        <v/>
      </c>
      <c r="B161" s="7">
        <f>CONCATENATE(C161,E161,I161)</f>
        <v/>
      </c>
      <c r="C161" s="8" t="n">
        <v>900005375</v>
      </c>
      <c r="D161" s="7">
        <f>IFERROR(VLOOKUP(C161,TRAOPE!$G:$H,2,0),"")</f>
        <v/>
      </c>
      <c r="E161" s="8" t="inlineStr">
        <is>
          <t>D860</t>
        </is>
      </c>
      <c r="F161" s="8" t="inlineStr">
        <is>
          <t>67118819</t>
        </is>
      </c>
      <c r="G161" s="8">
        <f>IFERROR(VLOOKUP(A161,Flete!$A:$E,5,0),"")</f>
        <v/>
      </c>
      <c r="H161" s="7">
        <f>IFERROR(VLOOKUP(F161,TRAOPE!$AA:$AB,2,0),"")</f>
        <v/>
      </c>
      <c r="I161" s="7" t="n">
        <v>10052405</v>
      </c>
      <c r="J161" s="7">
        <f>IFERROR(VLOOKUP(I161,Materiales!$A:$H,8,0),"")</f>
        <v/>
      </c>
      <c r="K161" s="9">
        <f>IFERROR(VLOOKUP(I161,Materiales!$A:$G,7,0),"")</f>
        <v/>
      </c>
      <c r="L161" s="8" t="inlineStr">
        <is>
          <t>20250505</t>
        </is>
      </c>
      <c r="M161" s="8" t="inlineStr">
        <is>
          <t>20250507</t>
        </is>
      </c>
      <c r="N161" s="10" t="n">
        <v>139.1</v>
      </c>
      <c r="O161" s="10">
        <f>IFERROR(VLOOKUP(A161,Flete!$A:$J,10,0),"")</f>
        <v/>
      </c>
      <c r="P161" s="8" t="inlineStr">
        <is>
          <t>M3</t>
        </is>
      </c>
      <c r="Q161" s="10">
        <f>IFERROR(IFERROR(VLOOKUP(A161,TRAOPE!$A:$U,21,0),VLOOKUP(B161,TRAOPE!$A:$U,21,0)),"")</f>
        <v/>
      </c>
      <c r="R161" s="8">
        <f>IFERROR(IFERROR(VLOOKUP(A161,TRAOPE!$A:$W,23,0),VLOOKUP(B161,TRAOPE!$A:$W,23,0)),"")</f>
        <v/>
      </c>
      <c r="S161" s="10">
        <f>IF(AND(P161="TN",R161="TN"),N161+N(O161),IF(G161&amp;""="1",N(K161)*N161,(N161+N(O161))*N(K161)))</f>
        <v/>
      </c>
      <c r="T161" s="10">
        <f>IF(Q161="","",Q161-S161)</f>
        <v/>
      </c>
    </row>
    <row r="162">
      <c r="A162" s="7">
        <f>CONCATENATE(C162,E162,F162,I162)</f>
        <v/>
      </c>
      <c r="B162" s="7">
        <f>CONCATENATE(C162,E162,I162)</f>
        <v/>
      </c>
      <c r="C162" s="8" t="n">
        <v>900005375</v>
      </c>
      <c r="D162" s="7">
        <f>IFERROR(VLOOKUP(C162,TRAOPE!$G:$H,2,0),"")</f>
        <v/>
      </c>
      <c r="E162" s="8" t="inlineStr">
        <is>
          <t>D860</t>
        </is>
      </c>
      <c r="F162" s="8" t="inlineStr">
        <is>
          <t>67118819</t>
        </is>
      </c>
      <c r="G162" s="8">
        <f>IFERROR(VLOOKUP(A162,Flete!$A:$E,5,0),"")</f>
        <v/>
      </c>
      <c r="H162" s="7">
        <f>IFERROR(VLOOKUP(F162,TRAOPE!$AA:$AB,2,0),"")</f>
        <v/>
      </c>
      <c r="I162" s="7" t="n">
        <v>10052407</v>
      </c>
      <c r="J162" s="7">
        <f>IFERROR(VLOOKUP(I162,Materiales!$A:$H,8,0),"")</f>
        <v/>
      </c>
      <c r="K162" s="9">
        <f>IFERROR(VLOOKUP(I162,Materiales!$A:$G,7,0),"")</f>
        <v/>
      </c>
      <c r="L162" s="8" t="inlineStr">
        <is>
          <t>20250505</t>
        </is>
      </c>
      <c r="M162" s="8" t="inlineStr">
        <is>
          <t>20250507</t>
        </is>
      </c>
      <c r="N162" s="10" t="n">
        <v>125.19</v>
      </c>
      <c r="O162" s="10">
        <f>IFERROR(VLOOKUP(A162,Flete!$A:$J,10,0),"")</f>
        <v/>
      </c>
      <c r="P162" s="8" t="inlineStr">
        <is>
          <t>M3</t>
        </is>
      </c>
      <c r="Q162" s="10">
        <f>IFERROR(IFERROR(VLOOKUP(A162,TRAOPE!$A:$U,21,0),VLOOKUP(B162,TRAOPE!$A:$U,21,0)),"")</f>
        <v/>
      </c>
      <c r="R162" s="8">
        <f>IFERROR(IFERROR(VLOOKUP(A162,TRAOPE!$A:$W,23,0),VLOOKUP(B162,TRAOPE!$A:$W,23,0)),"")</f>
        <v/>
      </c>
      <c r="S162" s="10">
        <f>IF(AND(P162="TN",R162="TN"),N162+N(O162),IF(G162&amp;""="1",N(K162)*N162,(N162+N(O162))*N(K162)))</f>
        <v/>
      </c>
      <c r="T162" s="10">
        <f>IF(Q162="","",Q162-S162)</f>
        <v/>
      </c>
    </row>
    <row r="163">
      <c r="A163" s="7">
        <f>CONCATENATE(C163,E163,F163,I163)</f>
        <v/>
      </c>
      <c r="B163" s="7">
        <f>CONCATENATE(C163,E163,I163)</f>
        <v/>
      </c>
      <c r="C163" s="8" t="n">
        <v>900005375</v>
      </c>
      <c r="D163" s="7">
        <f>IFERROR(VLOOKUP(C163,TRAOPE!$G:$H,2,0),"")</f>
        <v/>
      </c>
      <c r="E163" s="8" t="inlineStr">
        <is>
          <t>D860</t>
        </is>
      </c>
      <c r="F163" s="8" t="inlineStr">
        <is>
          <t>67118819</t>
        </is>
      </c>
      <c r="G163" s="8">
        <f>IFERROR(VLOOKUP(A163,Flete!$A:$E,5,0),"")</f>
        <v/>
      </c>
      <c r="H163" s="7">
        <f>IFERROR(VLOOKUP(F163,TRAOPE!$AA:$AB,2,0),"")</f>
        <v/>
      </c>
      <c r="I163" s="7" t="n">
        <v>10190637</v>
      </c>
      <c r="J163" s="7">
        <f>IFERROR(VLOOKUP(I163,Materiales!$A:$H,8,0),"")</f>
        <v/>
      </c>
      <c r="K163" s="9">
        <f>IFERROR(VLOOKUP(I163,Materiales!$A:$G,7,0),"")</f>
        <v/>
      </c>
      <c r="L163" s="8" t="inlineStr">
        <is>
          <t>20250505</t>
        </is>
      </c>
      <c r="M163" s="8" t="inlineStr">
        <is>
          <t>20250507</t>
        </is>
      </c>
      <c r="N163" s="10" t="n">
        <v>139.1</v>
      </c>
      <c r="O163" s="10">
        <f>IFERROR(VLOOKUP(A163,Flete!$A:$J,10,0),"")</f>
        <v/>
      </c>
      <c r="P163" s="8" t="inlineStr">
        <is>
          <t>M3</t>
        </is>
      </c>
      <c r="Q163" s="10">
        <f>IFERROR(IFERROR(VLOOKUP(A163,TRAOPE!$A:$U,21,0),VLOOKUP(B163,TRAOPE!$A:$U,21,0)),"")</f>
        <v/>
      </c>
      <c r="R163" s="8">
        <f>IFERROR(IFERROR(VLOOKUP(A163,TRAOPE!$A:$W,23,0),VLOOKUP(B163,TRAOPE!$A:$W,23,0)),"")</f>
        <v/>
      </c>
      <c r="S163" s="10">
        <f>IF(AND(P163="TN",R163="TN"),N163+N(O163),IF(G163&amp;""="1",N(K163)*N163,(N163+N(O163))*N(K163)))</f>
        <v/>
      </c>
      <c r="T163" s="10">
        <f>IF(Q163="","",Q163-S163)</f>
        <v/>
      </c>
    </row>
    <row r="164">
      <c r="A164" s="7">
        <f>CONCATENATE(C164,E164,F164,I164)</f>
        <v/>
      </c>
      <c r="B164" s="7">
        <f>CONCATENATE(C164,E164,I164)</f>
        <v/>
      </c>
      <c r="C164" s="8" t="n">
        <v>900005375</v>
      </c>
      <c r="D164" s="7">
        <f>IFERROR(VLOOKUP(C164,TRAOPE!$G:$H,2,0),"")</f>
        <v/>
      </c>
      <c r="E164" s="8" t="inlineStr">
        <is>
          <t>D860</t>
        </is>
      </c>
      <c r="F164" s="8" t="inlineStr">
        <is>
          <t>67160086</t>
        </is>
      </c>
      <c r="G164" s="8">
        <f>IFERROR(VLOOKUP(A164,Flete!$A:$E,5,0),"")</f>
        <v/>
      </c>
      <c r="H164" s="7">
        <f>IFERROR(VLOOKUP(F164,TRAOPE!$AA:$AB,2,0),"")</f>
        <v/>
      </c>
      <c r="I164" s="7" t="n">
        <v>10052407</v>
      </c>
      <c r="J164" s="7">
        <f>IFERROR(VLOOKUP(I164,Materiales!$A:$H,8,0),"")</f>
        <v/>
      </c>
      <c r="K164" s="9">
        <f>IFERROR(VLOOKUP(I164,Materiales!$A:$G,7,0),"")</f>
        <v/>
      </c>
      <c r="L164" s="8" t="inlineStr">
        <is>
          <t>20250505</t>
        </is>
      </c>
      <c r="M164" s="8" t="inlineStr">
        <is>
          <t>20250507</t>
        </is>
      </c>
      <c r="N164" s="10" t="n">
        <v>123.05</v>
      </c>
      <c r="O164" s="10">
        <f>IFERROR(VLOOKUP(A164,Flete!$A:$J,10,0),"")</f>
        <v/>
      </c>
      <c r="P164" s="8" t="inlineStr">
        <is>
          <t>M3</t>
        </is>
      </c>
      <c r="Q164" s="10">
        <f>IFERROR(IFERROR(VLOOKUP(A164,TRAOPE!$A:$U,21,0),VLOOKUP(B164,TRAOPE!$A:$U,21,0)),"")</f>
        <v/>
      </c>
      <c r="R164" s="8">
        <f>IFERROR(IFERROR(VLOOKUP(A164,TRAOPE!$A:$W,23,0),VLOOKUP(B164,TRAOPE!$A:$W,23,0)),"")</f>
        <v/>
      </c>
      <c r="S164" s="10">
        <f>IF(AND(P164="TN",R164="TN"),N164+N(O164),IF(G164&amp;""="1",N(K164)*N164,(N164+N(O164))*N(K164)))</f>
        <v/>
      </c>
      <c r="T164" s="10">
        <f>IF(Q164="","",Q164-S164)</f>
        <v/>
      </c>
    </row>
    <row r="165">
      <c r="A165" s="7">
        <f>CONCATENATE(C165,E165,F165,I165)</f>
        <v/>
      </c>
      <c r="B165" s="7">
        <f>CONCATENATE(C165,E165,I165)</f>
        <v/>
      </c>
      <c r="C165" s="8" t="n">
        <v>900005375</v>
      </c>
      <c r="D165" s="7">
        <f>IFERROR(VLOOKUP(C165,TRAOPE!$G:$H,2,0),"")</f>
        <v/>
      </c>
      <c r="E165" s="8" t="inlineStr">
        <is>
          <t>D860</t>
        </is>
      </c>
      <c r="F165" s="8" t="inlineStr">
        <is>
          <t>67160086</t>
        </is>
      </c>
      <c r="G165" s="8">
        <f>IFERROR(VLOOKUP(A165,Flete!$A:$E,5,0),"")</f>
        <v/>
      </c>
      <c r="H165" s="7">
        <f>IFERROR(VLOOKUP(F165,TRAOPE!$AA:$AB,2,0),"")</f>
        <v/>
      </c>
      <c r="I165" s="7" t="n">
        <v>10190637</v>
      </c>
      <c r="J165" s="7">
        <f>IFERROR(VLOOKUP(I165,Materiales!$A:$H,8,0),"")</f>
        <v/>
      </c>
      <c r="K165" s="9">
        <f>IFERROR(VLOOKUP(I165,Materiales!$A:$G,7,0),"")</f>
        <v/>
      </c>
      <c r="L165" s="8" t="inlineStr">
        <is>
          <t>20250505</t>
        </is>
      </c>
      <c r="M165" s="8" t="inlineStr">
        <is>
          <t>20250507</t>
        </is>
      </c>
      <c r="N165" s="10" t="n">
        <v>133.2</v>
      </c>
      <c r="O165" s="10">
        <f>IFERROR(VLOOKUP(A165,Flete!$A:$J,10,0),"")</f>
        <v/>
      </c>
      <c r="P165" s="8" t="inlineStr">
        <is>
          <t>M3</t>
        </is>
      </c>
      <c r="Q165" s="10">
        <f>IFERROR(IFERROR(VLOOKUP(A165,TRAOPE!$A:$U,21,0),VLOOKUP(B165,TRAOPE!$A:$U,21,0)),"")</f>
        <v/>
      </c>
      <c r="R165" s="8">
        <f>IFERROR(IFERROR(VLOOKUP(A165,TRAOPE!$A:$W,23,0),VLOOKUP(B165,TRAOPE!$A:$W,23,0)),"")</f>
        <v/>
      </c>
      <c r="S165" s="10">
        <f>IF(AND(P165="TN",R165="TN"),N165+N(O165),IF(G165&amp;""="1",N(K165)*N165,(N165+N(O165))*N(K165)))</f>
        <v/>
      </c>
      <c r="T165" s="10">
        <f>IF(Q165="","",Q165-S165)</f>
        <v/>
      </c>
    </row>
    <row r="166">
      <c r="A166" s="7">
        <f>CONCATENATE(C166,E166,F166,I166)</f>
        <v/>
      </c>
      <c r="B166" s="7">
        <f>CONCATENATE(C166,E166,I166)</f>
        <v/>
      </c>
      <c r="C166" s="8" t="n">
        <v>900007611</v>
      </c>
      <c r="D166" s="7">
        <f>IFERROR(VLOOKUP(C166,TRAOPE!$G:$H,2,0),"")</f>
        <v/>
      </c>
      <c r="E166" s="8" t="inlineStr">
        <is>
          <t>D860</t>
        </is>
      </c>
      <c r="F166" s="8" t="inlineStr">
        <is>
          <t>66856562</t>
        </is>
      </c>
      <c r="G166" s="8">
        <f>IFERROR(VLOOKUP(A166,Flete!$A:$E,5,0),"")</f>
        <v/>
      </c>
      <c r="H166" s="7">
        <f>IFERROR(VLOOKUP(F166,TRAOPE!$AA:$AB,2,0),"")</f>
        <v/>
      </c>
      <c r="I166" s="7" t="n">
        <v>10052402</v>
      </c>
      <c r="J166" s="7">
        <f>IFERROR(VLOOKUP(I166,Materiales!$A:$H,8,0),"")</f>
        <v/>
      </c>
      <c r="K166" s="9">
        <f>IFERROR(VLOOKUP(I166,Materiales!$A:$G,7,0),"")</f>
        <v/>
      </c>
      <c r="L166" s="8" t="inlineStr">
        <is>
          <t>20240813</t>
        </is>
      </c>
      <c r="M166" s="8" t="inlineStr">
        <is>
          <t>20241108</t>
        </is>
      </c>
      <c r="N166" s="10" t="n">
        <v>183.8</v>
      </c>
      <c r="O166" s="10">
        <f>IFERROR(VLOOKUP(A166,Flete!$A:$J,10,0),"")</f>
        <v/>
      </c>
      <c r="P166" s="8" t="inlineStr">
        <is>
          <t>M3</t>
        </is>
      </c>
      <c r="Q166" s="10">
        <f>IFERROR(IFERROR(VLOOKUP(A166,TRAOPE!$A:$U,21,0),VLOOKUP(B166,TRAOPE!$A:$U,21,0)),"")</f>
        <v/>
      </c>
      <c r="R166" s="8">
        <f>IFERROR(IFERROR(VLOOKUP(A166,TRAOPE!$A:$W,23,0),VLOOKUP(B166,TRAOPE!$A:$W,23,0)),"")</f>
        <v/>
      </c>
      <c r="S166" s="10">
        <f>IF(AND(P166="TN",R166="TN"),N166+N(O166),IF(G166&amp;""="1",N(K166)*N166,(N166+N(O166))*N(K166)))</f>
        <v/>
      </c>
      <c r="T166" s="10">
        <f>IF(Q166="","",Q166-S166)</f>
        <v/>
      </c>
    </row>
    <row r="167">
      <c r="A167" s="7">
        <f>CONCATENATE(C167,E167,F167,I167)</f>
        <v/>
      </c>
      <c r="B167" s="7">
        <f>CONCATENATE(C167,E167,I167)</f>
        <v/>
      </c>
      <c r="C167" s="8" t="n">
        <v>900007611</v>
      </c>
      <c r="D167" s="7">
        <f>IFERROR(VLOOKUP(C167,TRAOPE!$G:$H,2,0),"")</f>
        <v/>
      </c>
      <c r="E167" s="8" t="inlineStr">
        <is>
          <t>D860</t>
        </is>
      </c>
      <c r="F167" s="8" t="inlineStr">
        <is>
          <t>66856562</t>
        </is>
      </c>
      <c r="G167" s="8">
        <f>IFERROR(VLOOKUP(A167,Flete!$A:$E,5,0),"")</f>
        <v/>
      </c>
      <c r="H167" s="7">
        <f>IFERROR(VLOOKUP(F167,TRAOPE!$AA:$AB,2,0),"")</f>
        <v/>
      </c>
      <c r="I167" s="7" t="n">
        <v>10052404</v>
      </c>
      <c r="J167" s="7">
        <f>IFERROR(VLOOKUP(I167,Materiales!$A:$H,8,0),"")</f>
        <v/>
      </c>
      <c r="K167" s="9">
        <f>IFERROR(VLOOKUP(I167,Materiales!$A:$G,7,0),"")</f>
        <v/>
      </c>
      <c r="L167" s="8" t="inlineStr">
        <is>
          <t>20240425</t>
        </is>
      </c>
      <c r="M167" s="8" t="inlineStr">
        <is>
          <t>20240814</t>
        </is>
      </c>
      <c r="N167" s="10" t="n">
        <v>144.2</v>
      </c>
      <c r="O167" s="10">
        <f>IFERROR(VLOOKUP(A167,Flete!$A:$J,10,0),"")</f>
        <v/>
      </c>
      <c r="P167" s="8" t="inlineStr">
        <is>
          <t>M3</t>
        </is>
      </c>
      <c r="Q167" s="10">
        <f>IFERROR(IFERROR(VLOOKUP(A167,TRAOPE!$A:$U,21,0),VLOOKUP(B167,TRAOPE!$A:$U,21,0)),"")</f>
        <v/>
      </c>
      <c r="R167" s="8">
        <f>IFERROR(IFERROR(VLOOKUP(A167,TRAOPE!$A:$W,23,0),VLOOKUP(B167,TRAOPE!$A:$W,23,0)),"")</f>
        <v/>
      </c>
      <c r="S167" s="10">
        <f>IF(AND(P167="TN",R167="TN"),N167+N(O167),IF(G167&amp;""="1",N(K167)*N167,(N167+N(O167))*N(K167)))</f>
        <v/>
      </c>
      <c r="T167" s="10">
        <f>IF(Q167="","",Q167-S167)</f>
        <v/>
      </c>
    </row>
    <row r="168">
      <c r="A168" s="7">
        <f>CONCATENATE(C168,E168,F168,I168)</f>
        <v/>
      </c>
      <c r="B168" s="7">
        <f>CONCATENATE(C168,E168,I168)</f>
        <v/>
      </c>
      <c r="C168" s="8" t="n">
        <v>900007611</v>
      </c>
      <c r="D168" s="7">
        <f>IFERROR(VLOOKUP(C168,TRAOPE!$G:$H,2,0),"")</f>
        <v/>
      </c>
      <c r="E168" s="8" t="inlineStr">
        <is>
          <t>D860</t>
        </is>
      </c>
      <c r="F168" s="8" t="inlineStr">
        <is>
          <t>66856562</t>
        </is>
      </c>
      <c r="G168" s="8">
        <f>IFERROR(VLOOKUP(A168,Flete!$A:$E,5,0),"")</f>
        <v/>
      </c>
      <c r="H168" s="7">
        <f>IFERROR(VLOOKUP(F168,TRAOPE!$AA:$AB,2,0),"")</f>
        <v/>
      </c>
      <c r="I168" s="7" t="n">
        <v>10052405</v>
      </c>
      <c r="J168" s="7">
        <f>IFERROR(VLOOKUP(I168,Materiales!$A:$H,8,0),"")</f>
        <v/>
      </c>
      <c r="K168" s="9">
        <f>IFERROR(VLOOKUP(I168,Materiales!$A:$G,7,0),"")</f>
        <v/>
      </c>
      <c r="L168" s="8" t="inlineStr">
        <is>
          <t>20240425</t>
        </is>
      </c>
      <c r="M168" s="8" t="inlineStr">
        <is>
          <t>20240814</t>
        </is>
      </c>
      <c r="N168" s="10" t="n">
        <v>144.2</v>
      </c>
      <c r="O168" s="10">
        <f>IFERROR(VLOOKUP(A168,Flete!$A:$J,10,0),"")</f>
        <v/>
      </c>
      <c r="P168" s="8" t="inlineStr">
        <is>
          <t>M3</t>
        </is>
      </c>
      <c r="Q168" s="10">
        <f>IFERROR(IFERROR(VLOOKUP(A168,TRAOPE!$A:$U,21,0),VLOOKUP(B168,TRAOPE!$A:$U,21,0)),"")</f>
        <v/>
      </c>
      <c r="R168" s="8">
        <f>IFERROR(IFERROR(VLOOKUP(A168,TRAOPE!$A:$W,23,0),VLOOKUP(B168,TRAOPE!$A:$W,23,0)),"")</f>
        <v/>
      </c>
      <c r="S168" s="10">
        <f>IF(AND(P168="TN",R168="TN"),N168+N(O168),IF(G168&amp;""="1",N(K168)*N168,(N168+N(O168))*N(K168)))</f>
        <v/>
      </c>
      <c r="T168" s="10">
        <f>IF(Q168="","",Q168-S168)</f>
        <v/>
      </c>
    </row>
    <row r="169">
      <c r="A169" s="7">
        <f>CONCATENATE(C169,E169,F169,I169)</f>
        <v/>
      </c>
      <c r="B169" s="7">
        <f>CONCATENATE(C169,E169,I169)</f>
        <v/>
      </c>
      <c r="C169" s="8" t="n">
        <v>900007611</v>
      </c>
      <c r="D169" s="7">
        <f>IFERROR(VLOOKUP(C169,TRAOPE!$G:$H,2,0),"")</f>
        <v/>
      </c>
      <c r="E169" s="8" t="inlineStr">
        <is>
          <t>D860</t>
        </is>
      </c>
      <c r="F169" s="8" t="inlineStr">
        <is>
          <t>66856562</t>
        </is>
      </c>
      <c r="G169" s="8">
        <f>IFERROR(VLOOKUP(A169,Flete!$A:$E,5,0),"")</f>
        <v/>
      </c>
      <c r="H169" s="7">
        <f>IFERROR(VLOOKUP(F169,TRAOPE!$AA:$AB,2,0),"")</f>
        <v/>
      </c>
      <c r="I169" s="7" t="n">
        <v>10052407</v>
      </c>
      <c r="J169" s="7">
        <f>IFERROR(VLOOKUP(I169,Materiales!$A:$H,8,0),"")</f>
        <v/>
      </c>
      <c r="K169" s="9">
        <f>IFERROR(VLOOKUP(I169,Materiales!$A:$G,7,0),"")</f>
        <v/>
      </c>
      <c r="L169" s="8" t="inlineStr">
        <is>
          <t>20240425</t>
        </is>
      </c>
      <c r="M169" s="8" t="inlineStr">
        <is>
          <t>20240814</t>
        </is>
      </c>
      <c r="N169" s="10" t="n">
        <v>128.15</v>
      </c>
      <c r="O169" s="10">
        <f>IFERROR(VLOOKUP(A169,Flete!$A:$J,10,0),"")</f>
        <v/>
      </c>
      <c r="P169" s="8" t="inlineStr">
        <is>
          <t>M3</t>
        </is>
      </c>
      <c r="Q169" s="10">
        <f>IFERROR(IFERROR(VLOOKUP(A169,TRAOPE!$A:$U,21,0),VLOOKUP(B169,TRAOPE!$A:$U,21,0)),"")</f>
        <v/>
      </c>
      <c r="R169" s="8">
        <f>IFERROR(IFERROR(VLOOKUP(A169,TRAOPE!$A:$W,23,0),VLOOKUP(B169,TRAOPE!$A:$W,23,0)),"")</f>
        <v/>
      </c>
      <c r="S169" s="10">
        <f>IF(AND(P169="TN",R169="TN"),N169+N(O169),IF(G169&amp;""="1",N(K169)*N169,(N169+N(O169))*N(K169)))</f>
        <v/>
      </c>
      <c r="T169" s="10">
        <f>IF(Q169="","",Q169-S169)</f>
        <v/>
      </c>
    </row>
    <row r="170">
      <c r="A170" s="7">
        <f>CONCATENATE(C170,E170,F170,I170)</f>
        <v/>
      </c>
      <c r="B170" s="7">
        <f>CONCATENATE(C170,E170,I170)</f>
        <v/>
      </c>
      <c r="C170" s="8" t="n">
        <v>900007611</v>
      </c>
      <c r="D170" s="7">
        <f>IFERROR(VLOOKUP(C170,TRAOPE!$G:$H,2,0),"")</f>
        <v/>
      </c>
      <c r="E170" s="8" t="inlineStr">
        <is>
          <t>D860</t>
        </is>
      </c>
      <c r="F170" s="8" t="inlineStr">
        <is>
          <t>66896136</t>
        </is>
      </c>
      <c r="G170" s="8">
        <f>IFERROR(VLOOKUP(A170,Flete!$A:$E,5,0),"")</f>
        <v/>
      </c>
      <c r="H170" s="7">
        <f>IFERROR(VLOOKUP(F170,TRAOPE!$AA:$AB,2,0),"")</f>
        <v/>
      </c>
      <c r="I170" s="7" t="n">
        <v>10052402</v>
      </c>
      <c r="J170" s="7">
        <f>IFERROR(VLOOKUP(I170,Materiales!$A:$H,8,0),"")</f>
        <v/>
      </c>
      <c r="K170" s="9">
        <f>IFERROR(VLOOKUP(I170,Materiales!$A:$G,7,0),"")</f>
        <v/>
      </c>
      <c r="L170" s="8" t="inlineStr">
        <is>
          <t>20240425</t>
        </is>
      </c>
      <c r="M170" s="8" t="inlineStr">
        <is>
          <t>20240814</t>
        </is>
      </c>
      <c r="N170" s="10" t="n">
        <v>183.8</v>
      </c>
      <c r="O170" s="10">
        <f>IFERROR(VLOOKUP(A170,Flete!$A:$J,10,0),"")</f>
        <v/>
      </c>
      <c r="P170" s="8" t="inlineStr">
        <is>
          <t>M3</t>
        </is>
      </c>
      <c r="Q170" s="10">
        <f>IFERROR(IFERROR(VLOOKUP(A170,TRAOPE!$A:$U,21,0),VLOOKUP(B170,TRAOPE!$A:$U,21,0)),"")</f>
        <v/>
      </c>
      <c r="R170" s="8">
        <f>IFERROR(IFERROR(VLOOKUP(A170,TRAOPE!$A:$W,23,0),VLOOKUP(B170,TRAOPE!$A:$W,23,0)),"")</f>
        <v/>
      </c>
      <c r="S170" s="10">
        <f>IF(AND(P170="TN",R170="TN"),N170+N(O170),IF(G170&amp;""="1",N(K170)*N170,(N170+N(O170))*N(K170)))</f>
        <v/>
      </c>
      <c r="T170" s="10">
        <f>IF(Q170="","",Q170-S170)</f>
        <v/>
      </c>
    </row>
    <row r="171">
      <c r="A171" s="7">
        <f>CONCATENATE(C171,E171,F171,I171)</f>
        <v/>
      </c>
      <c r="B171" s="7">
        <f>CONCATENATE(C171,E171,I171)</f>
        <v/>
      </c>
      <c r="C171" s="8" t="n">
        <v>900007611</v>
      </c>
      <c r="D171" s="7">
        <f>IFERROR(VLOOKUP(C171,TRAOPE!$G:$H,2,0),"")</f>
        <v/>
      </c>
      <c r="E171" s="8" t="inlineStr">
        <is>
          <t>D860</t>
        </is>
      </c>
      <c r="F171" s="8" t="inlineStr">
        <is>
          <t>66896136</t>
        </is>
      </c>
      <c r="G171" s="8">
        <f>IFERROR(VLOOKUP(A171,Flete!$A:$E,5,0),"")</f>
        <v/>
      </c>
      <c r="H171" s="7">
        <f>IFERROR(VLOOKUP(F171,TRAOPE!$AA:$AB,2,0),"")</f>
        <v/>
      </c>
      <c r="I171" s="7" t="n">
        <v>10052404</v>
      </c>
      <c r="J171" s="7">
        <f>IFERROR(VLOOKUP(I171,Materiales!$A:$H,8,0),"")</f>
        <v/>
      </c>
      <c r="K171" s="9">
        <f>IFERROR(VLOOKUP(I171,Materiales!$A:$G,7,0),"")</f>
        <v/>
      </c>
      <c r="L171" s="8" t="inlineStr">
        <is>
          <t>20240425</t>
        </is>
      </c>
      <c r="M171" s="8" t="inlineStr">
        <is>
          <t>20240814</t>
        </is>
      </c>
      <c r="N171" s="10" t="n">
        <v>144.2</v>
      </c>
      <c r="O171" s="10">
        <f>IFERROR(VLOOKUP(A171,Flete!$A:$J,10,0),"")</f>
        <v/>
      </c>
      <c r="P171" s="8" t="inlineStr">
        <is>
          <t>M3</t>
        </is>
      </c>
      <c r="Q171" s="10">
        <f>IFERROR(IFERROR(VLOOKUP(A171,TRAOPE!$A:$U,21,0),VLOOKUP(B171,TRAOPE!$A:$U,21,0)),"")</f>
        <v/>
      </c>
      <c r="R171" s="8">
        <f>IFERROR(IFERROR(VLOOKUP(A171,TRAOPE!$A:$W,23,0),VLOOKUP(B171,TRAOPE!$A:$W,23,0)),"")</f>
        <v/>
      </c>
      <c r="S171" s="10">
        <f>IF(AND(P171="TN",R171="TN"),N171+N(O171),IF(G171&amp;""="1",N(K171)*N171,(N171+N(O171))*N(K171)))</f>
        <v/>
      </c>
      <c r="T171" s="10">
        <f>IF(Q171="","",Q171-S171)</f>
        <v/>
      </c>
    </row>
    <row r="172">
      <c r="A172" s="7">
        <f>CONCATENATE(C172,E172,F172,I172)</f>
        <v/>
      </c>
      <c r="B172" s="7">
        <f>CONCATENATE(C172,E172,I172)</f>
        <v/>
      </c>
      <c r="C172" s="8" t="n">
        <v>900007611</v>
      </c>
      <c r="D172" s="7">
        <f>IFERROR(VLOOKUP(C172,TRAOPE!$G:$H,2,0),"")</f>
        <v/>
      </c>
      <c r="E172" s="8" t="inlineStr">
        <is>
          <t>D860</t>
        </is>
      </c>
      <c r="F172" s="8" t="inlineStr">
        <is>
          <t>66896136</t>
        </is>
      </c>
      <c r="G172" s="8">
        <f>IFERROR(VLOOKUP(A172,Flete!$A:$E,5,0),"")</f>
        <v/>
      </c>
      <c r="H172" s="7">
        <f>IFERROR(VLOOKUP(F172,TRAOPE!$AA:$AB,2,0),"")</f>
        <v/>
      </c>
      <c r="I172" s="7" t="n">
        <v>10052405</v>
      </c>
      <c r="J172" s="7">
        <f>IFERROR(VLOOKUP(I172,Materiales!$A:$H,8,0),"")</f>
        <v/>
      </c>
      <c r="K172" s="9">
        <f>IFERROR(VLOOKUP(I172,Materiales!$A:$G,7,0),"")</f>
        <v/>
      </c>
      <c r="L172" s="8" t="inlineStr">
        <is>
          <t>20240425</t>
        </is>
      </c>
      <c r="M172" s="8" t="inlineStr">
        <is>
          <t>20240814</t>
        </is>
      </c>
      <c r="N172" s="10" t="n">
        <v>144.2</v>
      </c>
      <c r="O172" s="10">
        <f>IFERROR(VLOOKUP(A172,Flete!$A:$J,10,0),"")</f>
        <v/>
      </c>
      <c r="P172" s="8" t="inlineStr">
        <is>
          <t>M3</t>
        </is>
      </c>
      <c r="Q172" s="10">
        <f>IFERROR(IFERROR(VLOOKUP(A172,TRAOPE!$A:$U,21,0),VLOOKUP(B172,TRAOPE!$A:$U,21,0)),"")</f>
        <v/>
      </c>
      <c r="R172" s="8">
        <f>IFERROR(IFERROR(VLOOKUP(A172,TRAOPE!$A:$W,23,0),VLOOKUP(B172,TRAOPE!$A:$W,23,0)),"")</f>
        <v/>
      </c>
      <c r="S172" s="10">
        <f>IF(AND(P172="TN",R172="TN"),N172+N(O172),IF(G172&amp;""="1",N(K172)*N172,(N172+N(O172))*N(K172)))</f>
        <v/>
      </c>
      <c r="T172" s="10">
        <f>IF(Q172="","",Q172-S172)</f>
        <v/>
      </c>
    </row>
    <row r="173">
      <c r="A173" s="7">
        <f>CONCATENATE(C173,E173,F173,I173)</f>
        <v/>
      </c>
      <c r="B173" s="7">
        <f>CONCATENATE(C173,E173,I173)</f>
        <v/>
      </c>
      <c r="C173" s="8" t="n">
        <v>900007611</v>
      </c>
      <c r="D173" s="7">
        <f>IFERROR(VLOOKUP(C173,TRAOPE!$G:$H,2,0),"")</f>
        <v/>
      </c>
      <c r="E173" s="8" t="inlineStr">
        <is>
          <t>D860</t>
        </is>
      </c>
      <c r="F173" s="8" t="inlineStr">
        <is>
          <t>66896136</t>
        </is>
      </c>
      <c r="G173" s="8">
        <f>IFERROR(VLOOKUP(A173,Flete!$A:$E,5,0),"")</f>
        <v/>
      </c>
      <c r="H173" s="7">
        <f>IFERROR(VLOOKUP(F173,TRAOPE!$AA:$AB,2,0),"")</f>
        <v/>
      </c>
      <c r="I173" s="7" t="n">
        <v>10052407</v>
      </c>
      <c r="J173" s="7">
        <f>IFERROR(VLOOKUP(I173,Materiales!$A:$H,8,0),"")</f>
        <v/>
      </c>
      <c r="K173" s="9">
        <f>IFERROR(VLOOKUP(I173,Materiales!$A:$G,7,0),"")</f>
        <v/>
      </c>
      <c r="L173" s="8" t="inlineStr">
        <is>
          <t>20240425</t>
        </is>
      </c>
      <c r="M173" s="8" t="inlineStr">
        <is>
          <t>20240814</t>
        </is>
      </c>
      <c r="N173" s="10" t="n">
        <v>128.15</v>
      </c>
      <c r="O173" s="10">
        <f>IFERROR(VLOOKUP(A173,Flete!$A:$J,10,0),"")</f>
        <v/>
      </c>
      <c r="P173" s="8" t="inlineStr">
        <is>
          <t>M3</t>
        </is>
      </c>
      <c r="Q173" s="10">
        <f>IFERROR(IFERROR(VLOOKUP(A173,TRAOPE!$A:$U,21,0),VLOOKUP(B173,TRAOPE!$A:$U,21,0)),"")</f>
        <v/>
      </c>
      <c r="R173" s="8">
        <f>IFERROR(IFERROR(VLOOKUP(A173,TRAOPE!$A:$W,23,0),VLOOKUP(B173,TRAOPE!$A:$W,23,0)),"")</f>
        <v/>
      </c>
      <c r="S173" s="10">
        <f>IF(AND(P173="TN",R173="TN"),N173+N(O173),IF(G173&amp;""="1",N(K173)*N173,(N173+N(O173))*N(K173)))</f>
        <v/>
      </c>
      <c r="T173" s="10">
        <f>IF(Q173="","",Q173-S173)</f>
        <v/>
      </c>
    </row>
    <row r="174">
      <c r="A174" s="7">
        <f>CONCATENATE(C174,E174,F174,I174)</f>
        <v/>
      </c>
      <c r="B174" s="7">
        <f>CONCATENATE(C174,E174,I174)</f>
        <v/>
      </c>
      <c r="C174" s="8" t="n">
        <v>900007611</v>
      </c>
      <c r="D174" s="7">
        <f>IFERROR(VLOOKUP(C174,TRAOPE!$G:$H,2,0),"")</f>
        <v/>
      </c>
      <c r="E174" s="8" t="inlineStr">
        <is>
          <t>D860</t>
        </is>
      </c>
      <c r="F174" s="8" t="inlineStr">
        <is>
          <t>66958065</t>
        </is>
      </c>
      <c r="G174" s="8">
        <f>IFERROR(VLOOKUP(A174,Flete!$A:$E,5,0),"")</f>
        <v/>
      </c>
      <c r="H174" s="7">
        <f>IFERROR(VLOOKUP(F174,TRAOPE!$AA:$AB,2,0),"")</f>
        <v/>
      </c>
      <c r="I174" s="7" t="n">
        <v>10052402</v>
      </c>
      <c r="J174" s="7">
        <f>IFERROR(VLOOKUP(I174,Materiales!$A:$H,8,0),"")</f>
        <v/>
      </c>
      <c r="K174" s="9">
        <f>IFERROR(VLOOKUP(I174,Materiales!$A:$G,7,0),"")</f>
        <v/>
      </c>
      <c r="L174" s="8" t="inlineStr">
        <is>
          <t>20260327</t>
        </is>
      </c>
      <c r="M174" s="8" t="inlineStr">
        <is>
          <t>99991231</t>
        </is>
      </c>
      <c r="N174" s="10" t="n">
        <v>220</v>
      </c>
      <c r="O174" s="10">
        <f>IFERROR(VLOOKUP(A174,Flete!$A:$J,10,0),"")</f>
        <v/>
      </c>
      <c r="P174" s="8" t="inlineStr">
        <is>
          <t>M3</t>
        </is>
      </c>
      <c r="Q174" s="10">
        <f>IFERROR(IFERROR(VLOOKUP(A174,TRAOPE!$A:$U,21,0),VLOOKUP(B174,TRAOPE!$A:$U,21,0)),"")</f>
        <v/>
      </c>
      <c r="R174" s="8">
        <f>IFERROR(IFERROR(VLOOKUP(A174,TRAOPE!$A:$W,23,0),VLOOKUP(B174,TRAOPE!$A:$W,23,0)),"")</f>
        <v/>
      </c>
      <c r="S174" s="10">
        <f>IF(AND(P174="TN",R174="TN"),N174+N(O174),IF(G174&amp;""="1",N(K174)*N174,(N174+N(O174))*N(K174)))</f>
        <v/>
      </c>
      <c r="T174" s="10">
        <f>IF(Q174="","",Q174-S174)</f>
        <v/>
      </c>
    </row>
    <row r="175">
      <c r="A175" s="7">
        <f>CONCATENATE(C175,E175,F175,I175)</f>
        <v/>
      </c>
      <c r="B175" s="7">
        <f>CONCATENATE(C175,E175,I175)</f>
        <v/>
      </c>
      <c r="C175" s="8" t="n">
        <v>900007611</v>
      </c>
      <c r="D175" s="7">
        <f>IFERROR(VLOOKUP(C175,TRAOPE!$G:$H,2,0),"")</f>
        <v/>
      </c>
      <c r="E175" s="8" t="inlineStr">
        <is>
          <t>D860</t>
        </is>
      </c>
      <c r="F175" s="8" t="inlineStr">
        <is>
          <t>66958065</t>
        </is>
      </c>
      <c r="G175" s="8">
        <f>IFERROR(VLOOKUP(A175,Flete!$A:$E,5,0),"")</f>
        <v/>
      </c>
      <c r="H175" s="7">
        <f>IFERROR(VLOOKUP(F175,TRAOPE!$AA:$AB,2,0),"")</f>
        <v/>
      </c>
      <c r="I175" s="7" t="n">
        <v>10052407</v>
      </c>
      <c r="J175" s="7">
        <f>IFERROR(VLOOKUP(I175,Materiales!$A:$H,8,0),"")</f>
        <v/>
      </c>
      <c r="K175" s="9">
        <f>IFERROR(VLOOKUP(I175,Materiales!$A:$G,7,0),"")</f>
        <v/>
      </c>
      <c r="L175" s="8" t="inlineStr">
        <is>
          <t>20260327</t>
        </is>
      </c>
      <c r="M175" s="8" t="inlineStr">
        <is>
          <t>99991231</t>
        </is>
      </c>
      <c r="N175" s="10" t="n">
        <v>143</v>
      </c>
      <c r="O175" s="10">
        <f>IFERROR(VLOOKUP(A175,Flete!$A:$J,10,0),"")</f>
        <v/>
      </c>
      <c r="P175" s="8" t="inlineStr">
        <is>
          <t>M3</t>
        </is>
      </c>
      <c r="Q175" s="10">
        <f>IFERROR(IFERROR(VLOOKUP(A175,TRAOPE!$A:$U,21,0),VLOOKUP(B175,TRAOPE!$A:$U,21,0)),"")</f>
        <v/>
      </c>
      <c r="R175" s="8">
        <f>IFERROR(IFERROR(VLOOKUP(A175,TRAOPE!$A:$W,23,0),VLOOKUP(B175,TRAOPE!$A:$W,23,0)),"")</f>
        <v/>
      </c>
      <c r="S175" s="10">
        <f>IF(AND(P175="TN",R175="TN"),N175+N(O175),IF(G175&amp;""="1",N(K175)*N175,(N175+N(O175))*N(K175)))</f>
        <v/>
      </c>
      <c r="T175" s="10">
        <f>IF(Q175="","",Q175-S175)</f>
        <v/>
      </c>
    </row>
    <row r="176">
      <c r="A176" s="7">
        <f>CONCATENATE(C176,E176,F176,I176)</f>
        <v/>
      </c>
      <c r="B176" s="7">
        <f>CONCATENATE(C176,E176,I176)</f>
        <v/>
      </c>
      <c r="C176" s="8" t="n">
        <v>900007611</v>
      </c>
      <c r="D176" s="7">
        <f>IFERROR(VLOOKUP(C176,TRAOPE!$G:$H,2,0),"")</f>
        <v/>
      </c>
      <c r="E176" s="8" t="inlineStr">
        <is>
          <t>D860</t>
        </is>
      </c>
      <c r="F176" s="8" t="inlineStr">
        <is>
          <t>66958065</t>
        </is>
      </c>
      <c r="G176" s="8">
        <f>IFERROR(VLOOKUP(A176,Flete!$A:$E,5,0),"")</f>
        <v/>
      </c>
      <c r="H176" s="7">
        <f>IFERROR(VLOOKUP(F176,TRAOPE!$AA:$AB,2,0),"")</f>
        <v/>
      </c>
      <c r="I176" s="7" t="n">
        <v>10190637</v>
      </c>
      <c r="J176" s="7">
        <f>IFERROR(VLOOKUP(I176,Materiales!$A:$H,8,0),"")</f>
        <v/>
      </c>
      <c r="K176" s="9">
        <f>IFERROR(VLOOKUP(I176,Materiales!$A:$G,7,0),"")</f>
        <v/>
      </c>
      <c r="L176" s="8" t="inlineStr">
        <is>
          <t>20260327</t>
        </is>
      </c>
      <c r="M176" s="8" t="inlineStr">
        <is>
          <t>99991231</t>
        </is>
      </c>
      <c r="N176" s="10" t="n">
        <v>159.5</v>
      </c>
      <c r="O176" s="10">
        <f>IFERROR(VLOOKUP(A176,Flete!$A:$J,10,0),"")</f>
        <v/>
      </c>
      <c r="P176" s="8" t="inlineStr">
        <is>
          <t>M3</t>
        </is>
      </c>
      <c r="Q176" s="10">
        <f>IFERROR(IFERROR(VLOOKUP(A176,TRAOPE!$A:$U,21,0),VLOOKUP(B176,TRAOPE!$A:$U,21,0)),"")</f>
        <v/>
      </c>
      <c r="R176" s="8">
        <f>IFERROR(IFERROR(VLOOKUP(A176,TRAOPE!$A:$W,23,0),VLOOKUP(B176,TRAOPE!$A:$W,23,0)),"")</f>
        <v/>
      </c>
      <c r="S176" s="10">
        <f>IF(AND(P176="TN",R176="TN"),N176+N(O176),IF(G176&amp;""="1",N(K176)*N176,(N176+N(O176))*N(K176)))</f>
        <v/>
      </c>
      <c r="T176" s="10">
        <f>IF(Q176="","",Q176-S176)</f>
        <v/>
      </c>
    </row>
    <row r="177">
      <c r="A177" s="7">
        <f>CONCATENATE(C177,E177,F177,I177)</f>
        <v/>
      </c>
      <c r="B177" s="7">
        <f>CONCATENATE(C177,E177,I177)</f>
        <v/>
      </c>
      <c r="C177" s="8" t="n">
        <v>900007611</v>
      </c>
      <c r="D177" s="7">
        <f>IFERROR(VLOOKUP(C177,TRAOPE!$G:$H,2,0),"")</f>
        <v/>
      </c>
      <c r="E177" s="8" t="inlineStr">
        <is>
          <t>D860</t>
        </is>
      </c>
      <c r="F177" s="8" t="inlineStr">
        <is>
          <t>66958065</t>
        </is>
      </c>
      <c r="G177" s="8">
        <f>IFERROR(VLOOKUP(A177,Flete!$A:$E,5,0),"")</f>
        <v/>
      </c>
      <c r="H177" s="7">
        <f>IFERROR(VLOOKUP(F177,TRAOPE!$AA:$AB,2,0),"")</f>
        <v/>
      </c>
      <c r="I177" s="7" t="n">
        <v>10208119</v>
      </c>
      <c r="J177" s="7">
        <f>IFERROR(VLOOKUP(I177,Materiales!$A:$H,8,0),"")</f>
        <v/>
      </c>
      <c r="K177" s="9">
        <f>IFERROR(VLOOKUP(I177,Materiales!$A:$G,7,0),"")</f>
        <v/>
      </c>
      <c r="L177" s="8" t="inlineStr">
        <is>
          <t>20240425</t>
        </is>
      </c>
      <c r="M177" s="8" t="inlineStr">
        <is>
          <t>20240814</t>
        </is>
      </c>
      <c r="N177" s="10" t="n">
        <v>140</v>
      </c>
      <c r="O177" s="10">
        <f>IFERROR(VLOOKUP(A177,Flete!$A:$J,10,0),"")</f>
        <v/>
      </c>
      <c r="P177" s="8" t="inlineStr">
        <is>
          <t>M3</t>
        </is>
      </c>
      <c r="Q177" s="10">
        <f>IFERROR(IFERROR(VLOOKUP(A177,TRAOPE!$A:$U,21,0),VLOOKUP(B177,TRAOPE!$A:$U,21,0)),"")</f>
        <v/>
      </c>
      <c r="R177" s="8">
        <f>IFERROR(IFERROR(VLOOKUP(A177,TRAOPE!$A:$W,23,0),VLOOKUP(B177,TRAOPE!$A:$W,23,0)),"")</f>
        <v/>
      </c>
      <c r="S177" s="10">
        <f>IF(AND(P177="TN",R177="TN"),N177+N(O177),IF(G177&amp;""="1",N(K177)*N177,(N177+N(O177))*N(K177)))</f>
        <v/>
      </c>
      <c r="T177" s="10">
        <f>IF(Q177="","",Q177-S177)</f>
        <v/>
      </c>
    </row>
    <row r="178">
      <c r="A178" s="7">
        <f>CONCATENATE(C178,E178,F178,I178)</f>
        <v/>
      </c>
      <c r="B178" s="7">
        <f>CONCATENATE(C178,E178,I178)</f>
        <v/>
      </c>
      <c r="C178" s="8" t="n">
        <v>900007611</v>
      </c>
      <c r="D178" s="7">
        <f>IFERROR(VLOOKUP(C178,TRAOPE!$G:$H,2,0),"")</f>
        <v/>
      </c>
      <c r="E178" s="8" t="inlineStr">
        <is>
          <t>D860</t>
        </is>
      </c>
      <c r="F178" s="8" t="inlineStr">
        <is>
          <t>66958065</t>
        </is>
      </c>
      <c r="G178" s="8">
        <f>IFERROR(VLOOKUP(A178,Flete!$A:$E,5,0),"")</f>
        <v/>
      </c>
      <c r="H178" s="7">
        <f>IFERROR(VLOOKUP(F178,TRAOPE!$AA:$AB,2,0),"")</f>
        <v/>
      </c>
      <c r="I178" s="7" t="n">
        <v>10262224</v>
      </c>
      <c r="J178" s="7">
        <f>IFERROR(VLOOKUP(I178,Materiales!$A:$H,8,0),"")</f>
        <v/>
      </c>
      <c r="K178" s="9">
        <f>IFERROR(VLOOKUP(I178,Materiales!$A:$G,7,0),"")</f>
        <v/>
      </c>
      <c r="L178" s="8" t="inlineStr">
        <is>
          <t>20260327</t>
        </is>
      </c>
      <c r="M178" s="8" t="inlineStr">
        <is>
          <t>99991231</t>
        </is>
      </c>
      <c r="N178" s="10" t="n">
        <v>159.5</v>
      </c>
      <c r="O178" s="10">
        <f>IFERROR(VLOOKUP(A178,Flete!$A:$J,10,0),"")</f>
        <v/>
      </c>
      <c r="P178" s="8" t="inlineStr">
        <is>
          <t>M3</t>
        </is>
      </c>
      <c r="Q178" s="10">
        <f>IFERROR(IFERROR(VLOOKUP(A178,TRAOPE!$A:$U,21,0),VLOOKUP(B178,TRAOPE!$A:$U,21,0)),"")</f>
        <v/>
      </c>
      <c r="R178" s="8">
        <f>IFERROR(IFERROR(VLOOKUP(A178,TRAOPE!$A:$W,23,0),VLOOKUP(B178,TRAOPE!$A:$W,23,0)),"")</f>
        <v/>
      </c>
      <c r="S178" s="10">
        <f>IF(AND(P178="TN",R178="TN"),N178+N(O178),IF(G178&amp;""="1",N(K178)*N178,(N178+N(O178))*N(K178)))</f>
        <v/>
      </c>
      <c r="T178" s="10">
        <f>IF(Q178="","",Q178-S178)</f>
        <v/>
      </c>
    </row>
    <row r="179">
      <c r="A179" s="7">
        <f>CONCATENATE(C179,E179,F179,I179)</f>
        <v/>
      </c>
      <c r="B179" s="7">
        <f>CONCATENATE(C179,E179,I179)</f>
        <v/>
      </c>
      <c r="C179" s="8" t="n">
        <v>900007611</v>
      </c>
      <c r="D179" s="7">
        <f>IFERROR(VLOOKUP(C179,TRAOPE!$G:$H,2,0),"")</f>
        <v/>
      </c>
      <c r="E179" s="8" t="inlineStr">
        <is>
          <t>D860</t>
        </is>
      </c>
      <c r="F179" s="8" t="inlineStr">
        <is>
          <t>67064029</t>
        </is>
      </c>
      <c r="G179" s="8">
        <f>IFERROR(VLOOKUP(A179,Flete!$A:$E,5,0),"")</f>
        <v/>
      </c>
      <c r="H179" s="7">
        <f>IFERROR(VLOOKUP(F179,TRAOPE!$AA:$AB,2,0),"")</f>
        <v/>
      </c>
      <c r="I179" s="7" t="n">
        <v>10052402</v>
      </c>
      <c r="J179" s="7">
        <f>IFERROR(VLOOKUP(I179,Materiales!$A:$H,8,0),"")</f>
        <v/>
      </c>
      <c r="K179" s="9">
        <f>IFERROR(VLOOKUP(I179,Materiales!$A:$G,7,0),"")</f>
        <v/>
      </c>
      <c r="L179" s="8" t="inlineStr">
        <is>
          <t>20250926</t>
        </is>
      </c>
      <c r="M179" s="8" t="inlineStr">
        <is>
          <t>99991231</t>
        </is>
      </c>
      <c r="N179" s="10" t="n">
        <v>220</v>
      </c>
      <c r="O179" s="10">
        <f>IFERROR(VLOOKUP(A179,Flete!$A:$J,10,0),"")</f>
        <v/>
      </c>
      <c r="P179" s="8" t="inlineStr">
        <is>
          <t>M3</t>
        </is>
      </c>
      <c r="Q179" s="10">
        <f>IFERROR(IFERROR(VLOOKUP(A179,TRAOPE!$A:$U,21,0),VLOOKUP(B179,TRAOPE!$A:$U,21,0)),"")</f>
        <v/>
      </c>
      <c r="R179" s="8">
        <f>IFERROR(IFERROR(VLOOKUP(A179,TRAOPE!$A:$W,23,0),VLOOKUP(B179,TRAOPE!$A:$W,23,0)),"")</f>
        <v/>
      </c>
      <c r="S179" s="10">
        <f>IF(AND(P179="TN",R179="TN"),N179+N(O179),IF(G179&amp;""="1",N(K179)*N179,(N179+N(O179))*N(K179)))</f>
        <v/>
      </c>
      <c r="T179" s="10">
        <f>IF(Q179="","",Q179-S179)</f>
        <v/>
      </c>
    </row>
    <row r="180">
      <c r="A180" s="7">
        <f>CONCATENATE(C180,E180,F180,I180)</f>
        <v/>
      </c>
      <c r="B180" s="7">
        <f>CONCATENATE(C180,E180,I180)</f>
        <v/>
      </c>
      <c r="C180" s="8" t="n">
        <v>900007611</v>
      </c>
      <c r="D180" s="7">
        <f>IFERROR(VLOOKUP(C180,TRAOPE!$G:$H,2,0),"")</f>
        <v/>
      </c>
      <c r="E180" s="8" t="inlineStr">
        <is>
          <t>D860</t>
        </is>
      </c>
      <c r="F180" s="8" t="inlineStr">
        <is>
          <t>67064029</t>
        </is>
      </c>
      <c r="G180" s="8">
        <f>IFERROR(VLOOKUP(A180,Flete!$A:$E,5,0),"")</f>
        <v/>
      </c>
      <c r="H180" s="7">
        <f>IFERROR(VLOOKUP(F180,TRAOPE!$AA:$AB,2,0),"")</f>
        <v/>
      </c>
      <c r="I180" s="7" t="n">
        <v>10052404</v>
      </c>
      <c r="J180" s="7">
        <f>IFERROR(VLOOKUP(I180,Materiales!$A:$H,8,0),"")</f>
        <v/>
      </c>
      <c r="K180" s="9">
        <f>IFERROR(VLOOKUP(I180,Materiales!$A:$G,7,0),"")</f>
        <v/>
      </c>
      <c r="L180" s="8" t="inlineStr">
        <is>
          <t>20240425</t>
        </is>
      </c>
      <c r="M180" s="8" t="inlineStr">
        <is>
          <t>20240814</t>
        </is>
      </c>
      <c r="N180" s="10" t="n">
        <v>144</v>
      </c>
      <c r="O180" s="10">
        <f>IFERROR(VLOOKUP(A180,Flete!$A:$J,10,0),"")</f>
        <v/>
      </c>
      <c r="P180" s="8" t="inlineStr">
        <is>
          <t>M3</t>
        </is>
      </c>
      <c r="Q180" s="10">
        <f>IFERROR(IFERROR(VLOOKUP(A180,TRAOPE!$A:$U,21,0),VLOOKUP(B180,TRAOPE!$A:$U,21,0)),"")</f>
        <v/>
      </c>
      <c r="R180" s="8">
        <f>IFERROR(IFERROR(VLOOKUP(A180,TRAOPE!$A:$W,23,0),VLOOKUP(B180,TRAOPE!$A:$W,23,0)),"")</f>
        <v/>
      </c>
      <c r="S180" s="10">
        <f>IF(AND(P180="TN",R180="TN"),N180+N(O180),IF(G180&amp;""="1",N(K180)*N180,(N180+N(O180))*N(K180)))</f>
        <v/>
      </c>
      <c r="T180" s="10">
        <f>IF(Q180="","",Q180-S180)</f>
        <v/>
      </c>
    </row>
    <row r="181">
      <c r="A181" s="7">
        <f>CONCATENATE(C181,E181,F181,I181)</f>
        <v/>
      </c>
      <c r="B181" s="7">
        <f>CONCATENATE(C181,E181,I181)</f>
        <v/>
      </c>
      <c r="C181" s="8" t="n">
        <v>900007611</v>
      </c>
      <c r="D181" s="7">
        <f>IFERROR(VLOOKUP(C181,TRAOPE!$G:$H,2,0),"")</f>
        <v/>
      </c>
      <c r="E181" s="8" t="inlineStr">
        <is>
          <t>D860</t>
        </is>
      </c>
      <c r="F181" s="8" t="inlineStr">
        <is>
          <t>67064029</t>
        </is>
      </c>
      <c r="G181" s="8">
        <f>IFERROR(VLOOKUP(A181,Flete!$A:$E,5,0),"")</f>
        <v/>
      </c>
      <c r="H181" s="7">
        <f>IFERROR(VLOOKUP(F181,TRAOPE!$AA:$AB,2,0),"")</f>
        <v/>
      </c>
      <c r="I181" s="7" t="n">
        <v>10052407</v>
      </c>
      <c r="J181" s="7">
        <f>IFERROR(VLOOKUP(I181,Materiales!$A:$H,8,0),"")</f>
        <v/>
      </c>
      <c r="K181" s="9">
        <f>IFERROR(VLOOKUP(I181,Materiales!$A:$G,7,0),"")</f>
        <v/>
      </c>
      <c r="L181" s="8" t="inlineStr">
        <is>
          <t>20250926</t>
        </is>
      </c>
      <c r="M181" s="8" t="inlineStr">
        <is>
          <t>99991231</t>
        </is>
      </c>
      <c r="N181" s="10" t="n">
        <v>143</v>
      </c>
      <c r="O181" s="10">
        <f>IFERROR(VLOOKUP(A181,Flete!$A:$J,10,0),"")</f>
        <v/>
      </c>
      <c r="P181" s="8" t="inlineStr">
        <is>
          <t>M3</t>
        </is>
      </c>
      <c r="Q181" s="10">
        <f>IFERROR(IFERROR(VLOOKUP(A181,TRAOPE!$A:$U,21,0),VLOOKUP(B181,TRAOPE!$A:$U,21,0)),"")</f>
        <v/>
      </c>
      <c r="R181" s="8">
        <f>IFERROR(IFERROR(VLOOKUP(A181,TRAOPE!$A:$W,23,0),VLOOKUP(B181,TRAOPE!$A:$W,23,0)),"")</f>
        <v/>
      </c>
      <c r="S181" s="10">
        <f>IF(AND(P181="TN",R181="TN"),N181+N(O181),IF(G181&amp;""="1",N(K181)*N181,(N181+N(O181))*N(K181)))</f>
        <v/>
      </c>
      <c r="T181" s="10">
        <f>IF(Q181="","",Q181-S181)</f>
        <v/>
      </c>
    </row>
    <row r="182">
      <c r="A182" s="7">
        <f>CONCATENATE(C182,E182,F182,I182)</f>
        <v/>
      </c>
      <c r="B182" s="7">
        <f>CONCATENATE(C182,E182,I182)</f>
        <v/>
      </c>
      <c r="C182" s="8" t="n">
        <v>900007611</v>
      </c>
      <c r="D182" s="7">
        <f>IFERROR(VLOOKUP(C182,TRAOPE!$G:$H,2,0),"")</f>
        <v/>
      </c>
      <c r="E182" s="8" t="inlineStr">
        <is>
          <t>D860</t>
        </is>
      </c>
      <c r="F182" s="8" t="inlineStr">
        <is>
          <t>67064029</t>
        </is>
      </c>
      <c r="G182" s="8">
        <f>IFERROR(VLOOKUP(A182,Flete!$A:$E,5,0),"")</f>
        <v/>
      </c>
      <c r="H182" s="7">
        <f>IFERROR(VLOOKUP(F182,TRAOPE!$AA:$AB,2,0),"")</f>
        <v/>
      </c>
      <c r="I182" s="7" t="n">
        <v>10152920</v>
      </c>
      <c r="J182" s="7">
        <f>IFERROR(VLOOKUP(I182,Materiales!$A:$H,8,0),"")</f>
        <v/>
      </c>
      <c r="K182" s="9">
        <f>IFERROR(VLOOKUP(I182,Materiales!$A:$G,7,0),"")</f>
        <v/>
      </c>
      <c r="L182" s="8" t="inlineStr">
        <is>
          <t>20250926</t>
        </is>
      </c>
      <c r="M182" s="8" t="inlineStr">
        <is>
          <t>99991231</t>
        </is>
      </c>
      <c r="N182" s="10" t="n">
        <v>227.7</v>
      </c>
      <c r="O182" s="10">
        <f>IFERROR(VLOOKUP(A182,Flete!$A:$J,10,0),"")</f>
        <v/>
      </c>
      <c r="P182" s="8" t="inlineStr">
        <is>
          <t>M3</t>
        </is>
      </c>
      <c r="Q182" s="10">
        <f>IFERROR(IFERROR(VLOOKUP(A182,TRAOPE!$A:$U,21,0),VLOOKUP(B182,TRAOPE!$A:$U,21,0)),"")</f>
        <v/>
      </c>
      <c r="R182" s="8">
        <f>IFERROR(IFERROR(VLOOKUP(A182,TRAOPE!$A:$W,23,0),VLOOKUP(B182,TRAOPE!$A:$W,23,0)),"")</f>
        <v/>
      </c>
      <c r="S182" s="10">
        <f>IF(AND(P182="TN",R182="TN"),N182+N(O182),IF(G182&amp;""="1",N(K182)*N182,(N182+N(O182))*N(K182)))</f>
        <v/>
      </c>
      <c r="T182" s="10">
        <f>IF(Q182="","",Q182-S182)</f>
        <v/>
      </c>
    </row>
    <row r="183">
      <c r="A183" s="7">
        <f>CONCATENATE(C183,E183,F183,I183)</f>
        <v/>
      </c>
      <c r="B183" s="7">
        <f>CONCATENATE(C183,E183,I183)</f>
        <v/>
      </c>
      <c r="C183" s="8" t="n">
        <v>900007611</v>
      </c>
      <c r="D183" s="7">
        <f>IFERROR(VLOOKUP(C183,TRAOPE!$G:$H,2,0),"")</f>
        <v/>
      </c>
      <c r="E183" s="8" t="inlineStr">
        <is>
          <t>D860</t>
        </is>
      </c>
      <c r="F183" s="8" t="inlineStr">
        <is>
          <t>67064029</t>
        </is>
      </c>
      <c r="G183" s="8">
        <f>IFERROR(VLOOKUP(A183,Flete!$A:$E,5,0),"")</f>
        <v/>
      </c>
      <c r="H183" s="7">
        <f>IFERROR(VLOOKUP(F183,TRAOPE!$AA:$AB,2,0),"")</f>
        <v/>
      </c>
      <c r="I183" s="7" t="n">
        <v>10190637</v>
      </c>
      <c r="J183" s="7">
        <f>IFERROR(VLOOKUP(I183,Materiales!$A:$H,8,0),"")</f>
        <v/>
      </c>
      <c r="K183" s="9">
        <f>IFERROR(VLOOKUP(I183,Materiales!$A:$G,7,0),"")</f>
        <v/>
      </c>
      <c r="L183" s="8" t="inlineStr">
        <is>
          <t>20250926</t>
        </is>
      </c>
      <c r="M183" s="8" t="inlineStr">
        <is>
          <t>99991231</t>
        </is>
      </c>
      <c r="N183" s="10" t="n">
        <v>159.5</v>
      </c>
      <c r="O183" s="10">
        <f>IFERROR(VLOOKUP(A183,Flete!$A:$J,10,0),"")</f>
        <v/>
      </c>
      <c r="P183" s="8" t="inlineStr">
        <is>
          <t>M3</t>
        </is>
      </c>
      <c r="Q183" s="10">
        <f>IFERROR(IFERROR(VLOOKUP(A183,TRAOPE!$A:$U,21,0),VLOOKUP(B183,TRAOPE!$A:$U,21,0)),"")</f>
        <v/>
      </c>
      <c r="R183" s="8">
        <f>IFERROR(IFERROR(VLOOKUP(A183,TRAOPE!$A:$W,23,0),VLOOKUP(B183,TRAOPE!$A:$W,23,0)),"")</f>
        <v/>
      </c>
      <c r="S183" s="10">
        <f>IF(AND(P183="TN",R183="TN"),N183+N(O183),IF(G183&amp;""="1",N(K183)*N183,(N183+N(O183))*N(K183)))</f>
        <v/>
      </c>
      <c r="T183" s="10">
        <f>IF(Q183="","",Q183-S183)</f>
        <v/>
      </c>
    </row>
    <row r="184">
      <c r="A184" s="7">
        <f>CONCATENATE(C184,E184,F184,I184)</f>
        <v/>
      </c>
      <c r="B184" s="7">
        <f>CONCATENATE(C184,E184,I184)</f>
        <v/>
      </c>
      <c r="C184" s="8" t="n">
        <v>900007611</v>
      </c>
      <c r="D184" s="7">
        <f>IFERROR(VLOOKUP(C184,TRAOPE!$G:$H,2,0),"")</f>
        <v/>
      </c>
      <c r="E184" s="8" t="inlineStr">
        <is>
          <t>D860</t>
        </is>
      </c>
      <c r="F184" s="8" t="inlineStr">
        <is>
          <t>67118819</t>
        </is>
      </c>
      <c r="G184" s="8">
        <f>IFERROR(VLOOKUP(A184,Flete!$A:$E,5,0),"")</f>
        <v/>
      </c>
      <c r="H184" s="7">
        <f>IFERROR(VLOOKUP(F184,TRAOPE!$AA:$AB,2,0),"")</f>
        <v/>
      </c>
      <c r="I184" s="7" t="n">
        <v>10052402</v>
      </c>
      <c r="J184" s="7">
        <f>IFERROR(VLOOKUP(I184,Materiales!$A:$H,8,0),"")</f>
        <v/>
      </c>
      <c r="K184" s="9">
        <f>IFERROR(VLOOKUP(I184,Materiales!$A:$G,7,0),"")</f>
        <v/>
      </c>
      <c r="L184" s="8" t="inlineStr">
        <is>
          <t>20240425</t>
        </is>
      </c>
      <c r="M184" s="8" t="inlineStr">
        <is>
          <t>20240814</t>
        </is>
      </c>
      <c r="N184" s="10" t="n">
        <v>183.8</v>
      </c>
      <c r="O184" s="10">
        <f>IFERROR(VLOOKUP(A184,Flete!$A:$J,10,0),"")</f>
        <v/>
      </c>
      <c r="P184" s="8" t="inlineStr">
        <is>
          <t>M3</t>
        </is>
      </c>
      <c r="Q184" s="10">
        <f>IFERROR(IFERROR(VLOOKUP(A184,TRAOPE!$A:$U,21,0),VLOOKUP(B184,TRAOPE!$A:$U,21,0)),"")</f>
        <v/>
      </c>
      <c r="R184" s="8">
        <f>IFERROR(IFERROR(VLOOKUP(A184,TRAOPE!$A:$W,23,0),VLOOKUP(B184,TRAOPE!$A:$W,23,0)),"")</f>
        <v/>
      </c>
      <c r="S184" s="10">
        <f>IF(AND(P184="TN",R184="TN"),N184+N(O184),IF(G184&amp;""="1",N(K184)*N184,(N184+N(O184))*N(K184)))</f>
        <v/>
      </c>
      <c r="T184" s="10">
        <f>IF(Q184="","",Q184-S184)</f>
        <v/>
      </c>
    </row>
    <row r="185">
      <c r="A185" s="7">
        <f>CONCATENATE(C185,E185,F185,I185)</f>
        <v/>
      </c>
      <c r="B185" s="7">
        <f>CONCATENATE(C185,E185,I185)</f>
        <v/>
      </c>
      <c r="C185" s="8" t="n">
        <v>900007611</v>
      </c>
      <c r="D185" s="7">
        <f>IFERROR(VLOOKUP(C185,TRAOPE!$G:$H,2,0),"")</f>
        <v/>
      </c>
      <c r="E185" s="8" t="inlineStr">
        <is>
          <t>D860</t>
        </is>
      </c>
      <c r="F185" s="8" t="inlineStr">
        <is>
          <t>67118819</t>
        </is>
      </c>
      <c r="G185" s="8">
        <f>IFERROR(VLOOKUP(A185,Flete!$A:$E,5,0),"")</f>
        <v/>
      </c>
      <c r="H185" s="7">
        <f>IFERROR(VLOOKUP(F185,TRAOPE!$AA:$AB,2,0),"")</f>
        <v/>
      </c>
      <c r="I185" s="7" t="n">
        <v>10052404</v>
      </c>
      <c r="J185" s="7">
        <f>IFERROR(VLOOKUP(I185,Materiales!$A:$H,8,0),"")</f>
        <v/>
      </c>
      <c r="K185" s="9">
        <f>IFERROR(VLOOKUP(I185,Materiales!$A:$G,7,0),"")</f>
        <v/>
      </c>
      <c r="L185" s="8" t="inlineStr">
        <is>
          <t>20240425</t>
        </is>
      </c>
      <c r="M185" s="8" t="inlineStr">
        <is>
          <t>20240814</t>
        </is>
      </c>
      <c r="N185" s="10" t="n">
        <v>144.2</v>
      </c>
      <c r="O185" s="10">
        <f>IFERROR(VLOOKUP(A185,Flete!$A:$J,10,0),"")</f>
        <v/>
      </c>
      <c r="P185" s="8" t="inlineStr">
        <is>
          <t>M3</t>
        </is>
      </c>
      <c r="Q185" s="10">
        <f>IFERROR(IFERROR(VLOOKUP(A185,TRAOPE!$A:$U,21,0),VLOOKUP(B185,TRAOPE!$A:$U,21,0)),"")</f>
        <v/>
      </c>
      <c r="R185" s="8">
        <f>IFERROR(IFERROR(VLOOKUP(A185,TRAOPE!$A:$W,23,0),VLOOKUP(B185,TRAOPE!$A:$W,23,0)),"")</f>
        <v/>
      </c>
      <c r="S185" s="10">
        <f>IF(AND(P185="TN",R185="TN"),N185+N(O185),IF(G185&amp;""="1",N(K185)*N185,(N185+N(O185))*N(K185)))</f>
        <v/>
      </c>
      <c r="T185" s="10">
        <f>IF(Q185="","",Q185-S185)</f>
        <v/>
      </c>
    </row>
    <row r="186">
      <c r="A186" s="7">
        <f>CONCATENATE(C186,E186,F186,I186)</f>
        <v/>
      </c>
      <c r="B186" s="7">
        <f>CONCATENATE(C186,E186,I186)</f>
        <v/>
      </c>
      <c r="C186" s="8" t="n">
        <v>900007611</v>
      </c>
      <c r="D186" s="7">
        <f>IFERROR(VLOOKUP(C186,TRAOPE!$G:$H,2,0),"")</f>
        <v/>
      </c>
      <c r="E186" s="8" t="inlineStr">
        <is>
          <t>D860</t>
        </is>
      </c>
      <c r="F186" s="8" t="inlineStr">
        <is>
          <t>67118819</t>
        </is>
      </c>
      <c r="G186" s="8">
        <f>IFERROR(VLOOKUP(A186,Flete!$A:$E,5,0),"")</f>
        <v/>
      </c>
      <c r="H186" s="7">
        <f>IFERROR(VLOOKUP(F186,TRAOPE!$AA:$AB,2,0),"")</f>
        <v/>
      </c>
      <c r="I186" s="7" t="n">
        <v>10052405</v>
      </c>
      <c r="J186" s="7">
        <f>IFERROR(VLOOKUP(I186,Materiales!$A:$H,8,0),"")</f>
        <v/>
      </c>
      <c r="K186" s="9">
        <f>IFERROR(VLOOKUP(I186,Materiales!$A:$G,7,0),"")</f>
        <v/>
      </c>
      <c r="L186" s="8" t="inlineStr">
        <is>
          <t>20240425</t>
        </is>
      </c>
      <c r="M186" s="8" t="inlineStr">
        <is>
          <t>20240814</t>
        </is>
      </c>
      <c r="N186" s="10" t="n">
        <v>144.2</v>
      </c>
      <c r="O186" s="10">
        <f>IFERROR(VLOOKUP(A186,Flete!$A:$J,10,0),"")</f>
        <v/>
      </c>
      <c r="P186" s="8" t="inlineStr">
        <is>
          <t>M3</t>
        </is>
      </c>
      <c r="Q186" s="10">
        <f>IFERROR(IFERROR(VLOOKUP(A186,TRAOPE!$A:$U,21,0),VLOOKUP(B186,TRAOPE!$A:$U,21,0)),"")</f>
        <v/>
      </c>
      <c r="R186" s="8">
        <f>IFERROR(IFERROR(VLOOKUP(A186,TRAOPE!$A:$W,23,0),VLOOKUP(B186,TRAOPE!$A:$W,23,0)),"")</f>
        <v/>
      </c>
      <c r="S186" s="10">
        <f>IF(AND(P186="TN",R186="TN"),N186+N(O186),IF(G186&amp;""="1",N(K186)*N186,(N186+N(O186))*N(K186)))</f>
        <v/>
      </c>
      <c r="T186" s="10">
        <f>IF(Q186="","",Q186-S186)</f>
        <v/>
      </c>
    </row>
    <row r="187">
      <c r="A187" s="7">
        <f>CONCATENATE(C187,E187,F187,I187)</f>
        <v/>
      </c>
      <c r="B187" s="7">
        <f>CONCATENATE(C187,E187,I187)</f>
        <v/>
      </c>
      <c r="C187" s="8" t="n">
        <v>900007611</v>
      </c>
      <c r="D187" s="7">
        <f>IFERROR(VLOOKUP(C187,TRAOPE!$G:$H,2,0),"")</f>
        <v/>
      </c>
      <c r="E187" s="8" t="inlineStr">
        <is>
          <t>D860</t>
        </is>
      </c>
      <c r="F187" s="8" t="inlineStr">
        <is>
          <t>67118819</t>
        </is>
      </c>
      <c r="G187" s="8">
        <f>IFERROR(VLOOKUP(A187,Flete!$A:$E,5,0),"")</f>
        <v/>
      </c>
      <c r="H187" s="7">
        <f>IFERROR(VLOOKUP(F187,TRAOPE!$AA:$AB,2,0),"")</f>
        <v/>
      </c>
      <c r="I187" s="7" t="n">
        <v>10052407</v>
      </c>
      <c r="J187" s="7">
        <f>IFERROR(VLOOKUP(I187,Materiales!$A:$H,8,0),"")</f>
        <v/>
      </c>
      <c r="K187" s="9">
        <f>IFERROR(VLOOKUP(I187,Materiales!$A:$G,7,0),"")</f>
        <v/>
      </c>
      <c r="L187" s="8" t="inlineStr">
        <is>
          <t>20240425</t>
        </is>
      </c>
      <c r="M187" s="8" t="inlineStr">
        <is>
          <t>20240814</t>
        </is>
      </c>
      <c r="N187" s="10" t="n">
        <v>128.15</v>
      </c>
      <c r="O187" s="10">
        <f>IFERROR(VLOOKUP(A187,Flete!$A:$J,10,0),"")</f>
        <v/>
      </c>
      <c r="P187" s="8" t="inlineStr">
        <is>
          <t>M3</t>
        </is>
      </c>
      <c r="Q187" s="10">
        <f>IFERROR(IFERROR(VLOOKUP(A187,TRAOPE!$A:$U,21,0),VLOOKUP(B187,TRAOPE!$A:$U,21,0)),"")</f>
        <v/>
      </c>
      <c r="R187" s="8">
        <f>IFERROR(IFERROR(VLOOKUP(A187,TRAOPE!$A:$W,23,0),VLOOKUP(B187,TRAOPE!$A:$W,23,0)),"")</f>
        <v/>
      </c>
      <c r="S187" s="10">
        <f>IF(AND(P187="TN",R187="TN"),N187+N(O187),IF(G187&amp;""="1",N(K187)*N187,(N187+N(O187))*N(K187)))</f>
        <v/>
      </c>
      <c r="T187" s="10">
        <f>IF(Q187="","",Q187-S187)</f>
        <v/>
      </c>
    </row>
    <row r="188">
      <c r="A188" s="7">
        <f>CONCATENATE(C188,E188,F188,I188)</f>
        <v/>
      </c>
      <c r="B188" s="7">
        <f>CONCATENATE(C188,E188,I188)</f>
        <v/>
      </c>
      <c r="C188" s="8" t="n">
        <v>900007612</v>
      </c>
      <c r="D188" s="7">
        <f>IFERROR(VLOOKUP(C188,TRAOPE!$G:$H,2,0),"")</f>
        <v/>
      </c>
      <c r="E188" s="8" t="inlineStr">
        <is>
          <t>D860</t>
        </is>
      </c>
      <c r="F188" s="8" t="inlineStr">
        <is>
          <t>66540822</t>
        </is>
      </c>
      <c r="G188" s="8">
        <f>IFERROR(VLOOKUP(A188,Flete!$A:$E,5,0),"")</f>
        <v/>
      </c>
      <c r="H188" s="7">
        <f>IFERROR(VLOOKUP(F188,TRAOPE!$AA:$AB,2,0),"")</f>
        <v/>
      </c>
      <c r="I188" s="7" t="n">
        <v>10052402</v>
      </c>
      <c r="J188" s="7">
        <f>IFERROR(VLOOKUP(I188,Materiales!$A:$H,8,0),"")</f>
        <v/>
      </c>
      <c r="K188" s="9">
        <f>IFERROR(VLOOKUP(I188,Materiales!$A:$G,7,0),"")</f>
        <v/>
      </c>
      <c r="L188" s="8" t="inlineStr">
        <is>
          <t>20240425</t>
        </is>
      </c>
      <c r="M188" s="8" t="inlineStr">
        <is>
          <t>20240814</t>
        </is>
      </c>
      <c r="N188" s="10" t="n">
        <v>141.9</v>
      </c>
      <c r="O188" s="10">
        <f>IFERROR(VLOOKUP(A188,Flete!$A:$J,10,0),"")</f>
        <v/>
      </c>
      <c r="P188" s="8" t="inlineStr">
        <is>
          <t>M3</t>
        </is>
      </c>
      <c r="Q188" s="10">
        <f>IFERROR(IFERROR(VLOOKUP(A188,TRAOPE!$A:$U,21,0),VLOOKUP(B188,TRAOPE!$A:$U,21,0)),"")</f>
        <v/>
      </c>
      <c r="R188" s="8">
        <f>IFERROR(IFERROR(VLOOKUP(A188,TRAOPE!$A:$W,23,0),VLOOKUP(B188,TRAOPE!$A:$W,23,0)),"")</f>
        <v/>
      </c>
      <c r="S188" s="10">
        <f>IF(AND(P188="TN",R188="TN"),N188+N(O188),IF(G188&amp;""="1",N(K188)*N188,(N188+N(O188))*N(K188)))</f>
        <v/>
      </c>
      <c r="T188" s="10">
        <f>IF(Q188="","",Q188-S188)</f>
        <v/>
      </c>
    </row>
    <row r="189">
      <c r="A189" s="7">
        <f>CONCATENATE(C189,E189,F189,I189)</f>
        <v/>
      </c>
      <c r="B189" s="7">
        <f>CONCATENATE(C189,E189,I189)</f>
        <v/>
      </c>
      <c r="C189" s="8" t="n">
        <v>900007612</v>
      </c>
      <c r="D189" s="7">
        <f>IFERROR(VLOOKUP(C189,TRAOPE!$G:$H,2,0),"")</f>
        <v/>
      </c>
      <c r="E189" s="8" t="inlineStr">
        <is>
          <t>D860</t>
        </is>
      </c>
      <c r="F189" s="8" t="inlineStr">
        <is>
          <t>66540822</t>
        </is>
      </c>
      <c r="G189" s="8">
        <f>IFERROR(VLOOKUP(A189,Flete!$A:$E,5,0),"")</f>
        <v/>
      </c>
      <c r="H189" s="7">
        <f>IFERROR(VLOOKUP(F189,TRAOPE!$AA:$AB,2,0),"")</f>
        <v/>
      </c>
      <c r="I189" s="7" t="n">
        <v>10052404</v>
      </c>
      <c r="J189" s="7">
        <f>IFERROR(VLOOKUP(I189,Materiales!$A:$H,8,0),"")</f>
        <v/>
      </c>
      <c r="K189" s="9">
        <f>IFERROR(VLOOKUP(I189,Materiales!$A:$G,7,0),"")</f>
        <v/>
      </c>
      <c r="L189" s="8" t="inlineStr">
        <is>
          <t>20240425</t>
        </is>
      </c>
      <c r="M189" s="8" t="inlineStr">
        <is>
          <t>20240814</t>
        </is>
      </c>
      <c r="N189" s="10" t="n">
        <v>141.9</v>
      </c>
      <c r="O189" s="10">
        <f>IFERROR(VLOOKUP(A189,Flete!$A:$J,10,0),"")</f>
        <v/>
      </c>
      <c r="P189" s="8" t="inlineStr">
        <is>
          <t>M3</t>
        </is>
      </c>
      <c r="Q189" s="10">
        <f>IFERROR(IFERROR(VLOOKUP(A189,TRAOPE!$A:$U,21,0),VLOOKUP(B189,TRAOPE!$A:$U,21,0)),"")</f>
        <v/>
      </c>
      <c r="R189" s="8">
        <f>IFERROR(IFERROR(VLOOKUP(A189,TRAOPE!$A:$W,23,0),VLOOKUP(B189,TRAOPE!$A:$W,23,0)),"")</f>
        <v/>
      </c>
      <c r="S189" s="10">
        <f>IF(AND(P189="TN",R189="TN"),N189+N(O189),IF(G189&amp;""="1",N(K189)*N189,(N189+N(O189))*N(K189)))</f>
        <v/>
      </c>
      <c r="T189" s="10">
        <f>IF(Q189="","",Q189-S189)</f>
        <v/>
      </c>
    </row>
    <row r="190">
      <c r="A190" s="7">
        <f>CONCATENATE(C190,E190,F190,I190)</f>
        <v/>
      </c>
      <c r="B190" s="7">
        <f>CONCATENATE(C190,E190,I190)</f>
        <v/>
      </c>
      <c r="C190" s="8" t="n">
        <v>900007612</v>
      </c>
      <c r="D190" s="7">
        <f>IFERROR(VLOOKUP(C190,TRAOPE!$G:$H,2,0),"")</f>
        <v/>
      </c>
      <c r="E190" s="8" t="inlineStr">
        <is>
          <t>D860</t>
        </is>
      </c>
      <c r="F190" s="8" t="inlineStr">
        <is>
          <t>66540822</t>
        </is>
      </c>
      <c r="G190" s="8">
        <f>IFERROR(VLOOKUP(A190,Flete!$A:$E,5,0),"")</f>
        <v/>
      </c>
      <c r="H190" s="7">
        <f>IFERROR(VLOOKUP(F190,TRAOPE!$AA:$AB,2,0),"")</f>
        <v/>
      </c>
      <c r="I190" s="7" t="n">
        <v>10052405</v>
      </c>
      <c r="J190" s="7">
        <f>IFERROR(VLOOKUP(I190,Materiales!$A:$H,8,0),"")</f>
        <v/>
      </c>
      <c r="K190" s="9">
        <f>IFERROR(VLOOKUP(I190,Materiales!$A:$G,7,0),"")</f>
        <v/>
      </c>
      <c r="L190" s="8" t="inlineStr">
        <is>
          <t>20240425</t>
        </is>
      </c>
      <c r="M190" s="8" t="inlineStr">
        <is>
          <t>20240814</t>
        </is>
      </c>
      <c r="N190" s="10" t="n">
        <v>141.9</v>
      </c>
      <c r="O190" s="10">
        <f>IFERROR(VLOOKUP(A190,Flete!$A:$J,10,0),"")</f>
        <v/>
      </c>
      <c r="P190" s="8" t="inlineStr">
        <is>
          <t>M3</t>
        </is>
      </c>
      <c r="Q190" s="10">
        <f>IFERROR(IFERROR(VLOOKUP(A190,TRAOPE!$A:$U,21,0),VLOOKUP(B190,TRAOPE!$A:$U,21,0)),"")</f>
        <v/>
      </c>
      <c r="R190" s="8">
        <f>IFERROR(IFERROR(VLOOKUP(A190,TRAOPE!$A:$W,23,0),VLOOKUP(B190,TRAOPE!$A:$W,23,0)),"")</f>
        <v/>
      </c>
      <c r="S190" s="10">
        <f>IF(AND(P190="TN",R190="TN"),N190+N(O190),IF(G190&amp;""="1",N(K190)*N190,(N190+N(O190))*N(K190)))</f>
        <v/>
      </c>
      <c r="T190" s="10">
        <f>IF(Q190="","",Q190-S190)</f>
        <v/>
      </c>
    </row>
    <row r="191">
      <c r="A191" s="7">
        <f>CONCATENATE(C191,E191,F191,I191)</f>
        <v/>
      </c>
      <c r="B191" s="7">
        <f>CONCATENATE(C191,E191,I191)</f>
        <v/>
      </c>
      <c r="C191" s="8" t="n">
        <v>900007612</v>
      </c>
      <c r="D191" s="7">
        <f>IFERROR(VLOOKUP(C191,TRAOPE!$G:$H,2,0),"")</f>
        <v/>
      </c>
      <c r="E191" s="8" t="inlineStr">
        <is>
          <t>D860</t>
        </is>
      </c>
      <c r="F191" s="8" t="inlineStr">
        <is>
          <t>66540822</t>
        </is>
      </c>
      <c r="G191" s="8">
        <f>IFERROR(VLOOKUP(A191,Flete!$A:$E,5,0),"")</f>
        <v/>
      </c>
      <c r="H191" s="7">
        <f>IFERROR(VLOOKUP(F191,TRAOPE!$AA:$AB,2,0),"")</f>
        <v/>
      </c>
      <c r="I191" s="7" t="n">
        <v>10052407</v>
      </c>
      <c r="J191" s="7">
        <f>IFERROR(VLOOKUP(I191,Materiales!$A:$H,8,0),"")</f>
        <v/>
      </c>
      <c r="K191" s="9">
        <f>IFERROR(VLOOKUP(I191,Materiales!$A:$G,7,0),"")</f>
        <v/>
      </c>
      <c r="L191" s="8" t="inlineStr">
        <is>
          <t>20240425</t>
        </is>
      </c>
      <c r="M191" s="8" t="inlineStr">
        <is>
          <t>20240814</t>
        </is>
      </c>
      <c r="N191" s="10" t="n">
        <v>128.7</v>
      </c>
      <c r="O191" s="10">
        <f>IFERROR(VLOOKUP(A191,Flete!$A:$J,10,0),"")</f>
        <v/>
      </c>
      <c r="P191" s="8" t="inlineStr">
        <is>
          <t>M3</t>
        </is>
      </c>
      <c r="Q191" s="10">
        <f>IFERROR(IFERROR(VLOOKUP(A191,TRAOPE!$A:$U,21,0),VLOOKUP(B191,TRAOPE!$A:$U,21,0)),"")</f>
        <v/>
      </c>
      <c r="R191" s="8">
        <f>IFERROR(IFERROR(VLOOKUP(A191,TRAOPE!$A:$W,23,0),VLOOKUP(B191,TRAOPE!$A:$W,23,0)),"")</f>
        <v/>
      </c>
      <c r="S191" s="10">
        <f>IF(AND(P191="TN",R191="TN"),N191+N(O191),IF(G191&amp;""="1",N(K191)*N191,(N191+N(O191))*N(K191)))</f>
        <v/>
      </c>
      <c r="T191" s="10">
        <f>IF(Q191="","",Q191-S191)</f>
        <v/>
      </c>
    </row>
    <row r="192">
      <c r="A192" s="7">
        <f>CONCATENATE(C192,E192,F192,I192)</f>
        <v/>
      </c>
      <c r="B192" s="7">
        <f>CONCATENATE(C192,E192,I192)</f>
        <v/>
      </c>
      <c r="C192" s="8" t="n">
        <v>900007612</v>
      </c>
      <c r="D192" s="7">
        <f>IFERROR(VLOOKUP(C192,TRAOPE!$G:$H,2,0),"")</f>
        <v/>
      </c>
      <c r="E192" s="8" t="inlineStr">
        <is>
          <t>D860</t>
        </is>
      </c>
      <c r="F192" s="8" t="inlineStr">
        <is>
          <t>66958065</t>
        </is>
      </c>
      <c r="G192" s="8">
        <f>IFERROR(VLOOKUP(A192,Flete!$A:$E,5,0),"")</f>
        <v/>
      </c>
      <c r="H192" s="7">
        <f>IFERROR(VLOOKUP(F192,TRAOPE!$AA:$AB,2,0),"")</f>
        <v/>
      </c>
      <c r="I192" s="7" t="n">
        <v>10208119</v>
      </c>
      <c r="J192" s="7">
        <f>IFERROR(VLOOKUP(I192,Materiales!$A:$H,8,0),"")</f>
        <v/>
      </c>
      <c r="K192" s="9">
        <f>IFERROR(VLOOKUP(I192,Materiales!$A:$G,7,0),"")</f>
        <v/>
      </c>
      <c r="L192" s="8" t="inlineStr">
        <is>
          <t>20240425</t>
        </is>
      </c>
      <c r="M192" s="8" t="inlineStr">
        <is>
          <t>20240814</t>
        </is>
      </c>
      <c r="N192" s="10" t="n">
        <v>140</v>
      </c>
      <c r="O192" s="10">
        <f>IFERROR(VLOOKUP(A192,Flete!$A:$J,10,0),"")</f>
        <v/>
      </c>
      <c r="P192" s="8" t="inlineStr">
        <is>
          <t>M3</t>
        </is>
      </c>
      <c r="Q192" s="10">
        <f>IFERROR(IFERROR(VLOOKUP(A192,TRAOPE!$A:$U,21,0),VLOOKUP(B192,TRAOPE!$A:$U,21,0)),"")</f>
        <v/>
      </c>
      <c r="R192" s="8">
        <f>IFERROR(IFERROR(VLOOKUP(A192,TRAOPE!$A:$W,23,0),VLOOKUP(B192,TRAOPE!$A:$W,23,0)),"")</f>
        <v/>
      </c>
      <c r="S192" s="10">
        <f>IF(AND(P192="TN",R192="TN"),N192+N(O192),IF(G192&amp;""="1",N(K192)*N192,(N192+N(O192))*N(K192)))</f>
        <v/>
      </c>
      <c r="T192" s="10">
        <f>IF(Q192="","",Q192-S192)</f>
        <v/>
      </c>
    </row>
    <row r="193">
      <c r="A193" s="7">
        <f>CONCATENATE(C193,E193,F193,I193)</f>
        <v/>
      </c>
      <c r="B193" s="7">
        <f>CONCATENATE(C193,E193,I193)</f>
        <v/>
      </c>
      <c r="C193" s="8" t="n">
        <v>900007612</v>
      </c>
      <c r="D193" s="7">
        <f>IFERROR(VLOOKUP(C193,TRAOPE!$G:$H,2,0),"")</f>
        <v/>
      </c>
      <c r="E193" s="8" t="inlineStr">
        <is>
          <t>D860</t>
        </is>
      </c>
      <c r="F193" s="8" t="inlineStr">
        <is>
          <t>66958065</t>
        </is>
      </c>
      <c r="G193" s="8">
        <f>IFERROR(VLOOKUP(A193,Flete!$A:$E,5,0),"")</f>
        <v/>
      </c>
      <c r="H193" s="7">
        <f>IFERROR(VLOOKUP(F193,TRAOPE!$AA:$AB,2,0),"")</f>
        <v/>
      </c>
      <c r="I193" s="7" t="n">
        <v>10262224</v>
      </c>
      <c r="J193" s="7">
        <f>IFERROR(VLOOKUP(I193,Materiales!$A:$H,8,0),"")</f>
        <v/>
      </c>
      <c r="K193" s="9">
        <f>IFERROR(VLOOKUP(I193,Materiales!$A:$G,7,0),"")</f>
        <v/>
      </c>
      <c r="L193" s="8" t="inlineStr">
        <is>
          <t>20250904</t>
        </is>
      </c>
      <c r="M193" s="8" t="inlineStr">
        <is>
          <t>99991231</t>
        </is>
      </c>
      <c r="N193" s="10" t="n">
        <v>159.5</v>
      </c>
      <c r="O193" s="10">
        <f>IFERROR(VLOOKUP(A193,Flete!$A:$J,10,0),"")</f>
        <v/>
      </c>
      <c r="P193" s="8" t="inlineStr">
        <is>
          <t>M3</t>
        </is>
      </c>
      <c r="Q193" s="10">
        <f>IFERROR(IFERROR(VLOOKUP(A193,TRAOPE!$A:$U,21,0),VLOOKUP(B193,TRAOPE!$A:$U,21,0)),"")</f>
        <v/>
      </c>
      <c r="R193" s="8">
        <f>IFERROR(IFERROR(VLOOKUP(A193,TRAOPE!$A:$W,23,0),VLOOKUP(B193,TRAOPE!$A:$W,23,0)),"")</f>
        <v/>
      </c>
      <c r="S193" s="10">
        <f>IF(AND(P193="TN",R193="TN"),N193+N(O193),IF(G193&amp;""="1",N(K193)*N193,(N193+N(O193))*N(K193)))</f>
        <v/>
      </c>
      <c r="T193" s="10">
        <f>IF(Q193="","",Q193-S193)</f>
        <v/>
      </c>
    </row>
    <row r="194">
      <c r="A194" s="7">
        <f>CONCATENATE(C194,E194,F194,I194)</f>
        <v/>
      </c>
      <c r="B194" s="7">
        <f>CONCATENATE(C194,E194,I194)</f>
        <v/>
      </c>
      <c r="C194" s="8" t="n">
        <v>900007612</v>
      </c>
      <c r="D194" s="7">
        <f>IFERROR(VLOOKUP(C194,TRAOPE!$G:$H,2,0),"")</f>
        <v/>
      </c>
      <c r="E194" s="8" t="inlineStr">
        <is>
          <t>D860</t>
        </is>
      </c>
      <c r="F194" s="8" t="inlineStr">
        <is>
          <t>67160086</t>
        </is>
      </c>
      <c r="G194" s="8">
        <f>IFERROR(VLOOKUP(A194,Flete!$A:$E,5,0),"")</f>
        <v/>
      </c>
      <c r="H194" s="7">
        <f>IFERROR(VLOOKUP(F194,TRAOPE!$AA:$AB,2,0),"")</f>
        <v/>
      </c>
      <c r="I194" s="7" t="n">
        <v>10052404</v>
      </c>
      <c r="J194" s="7">
        <f>IFERROR(VLOOKUP(I194,Materiales!$A:$H,8,0),"")</f>
        <v/>
      </c>
      <c r="K194" s="9">
        <f>IFERROR(VLOOKUP(I194,Materiales!$A:$G,7,0),"")</f>
        <v/>
      </c>
      <c r="L194" s="8" t="inlineStr">
        <is>
          <t>20250505</t>
        </is>
      </c>
      <c r="M194" s="8" t="inlineStr">
        <is>
          <t>20250507</t>
        </is>
      </c>
      <c r="N194" s="10" t="n">
        <v>149.8</v>
      </c>
      <c r="O194" s="10">
        <f>IFERROR(VLOOKUP(A194,Flete!$A:$J,10,0),"")</f>
        <v/>
      </c>
      <c r="P194" s="8" t="inlineStr">
        <is>
          <t>M3</t>
        </is>
      </c>
      <c r="Q194" s="10">
        <f>IFERROR(IFERROR(VLOOKUP(A194,TRAOPE!$A:$U,21,0),VLOOKUP(B194,TRAOPE!$A:$U,21,0)),"")</f>
        <v/>
      </c>
      <c r="R194" s="8">
        <f>IFERROR(IFERROR(VLOOKUP(A194,TRAOPE!$A:$W,23,0),VLOOKUP(B194,TRAOPE!$A:$W,23,0)),"")</f>
        <v/>
      </c>
      <c r="S194" s="10">
        <f>IF(AND(P194="TN",R194="TN"),N194+N(O194),IF(G194&amp;""="1",N(K194)*N194,(N194+N(O194))*N(K194)))</f>
        <v/>
      </c>
      <c r="T194" s="10">
        <f>IF(Q194="","",Q194-S194)</f>
        <v/>
      </c>
    </row>
    <row r="195">
      <c r="A195" s="7">
        <f>CONCATENATE(C195,E195,F195,I195)</f>
        <v/>
      </c>
      <c r="B195" s="7">
        <f>CONCATENATE(C195,E195,I195)</f>
        <v/>
      </c>
      <c r="C195" s="8" t="n">
        <v>900007612</v>
      </c>
      <c r="D195" s="7">
        <f>IFERROR(VLOOKUP(C195,TRAOPE!$G:$H,2,0),"")</f>
        <v/>
      </c>
      <c r="E195" s="8" t="inlineStr">
        <is>
          <t>D860</t>
        </is>
      </c>
      <c r="F195" s="8" t="inlineStr">
        <is>
          <t>67160086</t>
        </is>
      </c>
      <c r="G195" s="8">
        <f>IFERROR(VLOOKUP(A195,Flete!$A:$E,5,0),"")</f>
        <v/>
      </c>
      <c r="H195" s="7">
        <f>IFERROR(VLOOKUP(F195,TRAOPE!$AA:$AB,2,0),"")</f>
        <v/>
      </c>
      <c r="I195" s="7" t="n">
        <v>10052407</v>
      </c>
      <c r="J195" s="7">
        <f>IFERROR(VLOOKUP(I195,Materiales!$A:$H,8,0),"")</f>
        <v/>
      </c>
      <c r="K195" s="9">
        <f>IFERROR(VLOOKUP(I195,Materiales!$A:$G,7,0),"")</f>
        <v/>
      </c>
      <c r="L195" s="8" t="inlineStr">
        <is>
          <t>20250505</t>
        </is>
      </c>
      <c r="M195" s="8" t="inlineStr">
        <is>
          <t>20250507</t>
        </is>
      </c>
      <c r="N195" s="10" t="n">
        <v>133.75</v>
      </c>
      <c r="O195" s="10">
        <f>IFERROR(VLOOKUP(A195,Flete!$A:$J,10,0),"")</f>
        <v/>
      </c>
      <c r="P195" s="8" t="inlineStr">
        <is>
          <t>M3</t>
        </is>
      </c>
      <c r="Q195" s="10">
        <f>IFERROR(IFERROR(VLOOKUP(A195,TRAOPE!$A:$U,21,0),VLOOKUP(B195,TRAOPE!$A:$U,21,0)),"")</f>
        <v/>
      </c>
      <c r="R195" s="8">
        <f>IFERROR(IFERROR(VLOOKUP(A195,TRAOPE!$A:$W,23,0),VLOOKUP(B195,TRAOPE!$A:$W,23,0)),"")</f>
        <v/>
      </c>
      <c r="S195" s="10">
        <f>IF(AND(P195="TN",R195="TN"),N195+N(O195),IF(G195&amp;""="1",N(K195)*N195,(N195+N(O195))*N(K195)))</f>
        <v/>
      </c>
      <c r="T195" s="10">
        <f>IF(Q195="","",Q195-S195)</f>
        <v/>
      </c>
    </row>
    <row r="196">
      <c r="A196" s="7">
        <f>CONCATENATE(C196,E196,F196,I196)</f>
        <v/>
      </c>
      <c r="B196" s="7">
        <f>CONCATENATE(C196,E196,I196)</f>
        <v/>
      </c>
      <c r="C196" s="8" t="n">
        <v>900008951</v>
      </c>
      <c r="D196" s="7">
        <f>IFERROR(VLOOKUP(C196,TRAOPE!$G:$H,2,0),"")</f>
        <v/>
      </c>
      <c r="E196" s="8" t="inlineStr">
        <is>
          <t>D860</t>
        </is>
      </c>
      <c r="F196" s="8" t="inlineStr">
        <is>
          <t>67310311</t>
        </is>
      </c>
      <c r="G196" s="8">
        <f>IFERROR(VLOOKUP(A196,Flete!$A:$E,5,0),"")</f>
        <v/>
      </c>
      <c r="H196" s="7">
        <f>IFERROR(VLOOKUP(F196,TRAOPE!$AA:$AB,2,0),"")</f>
        <v/>
      </c>
      <c r="I196" s="7" t="n">
        <v>10262224</v>
      </c>
      <c r="J196" s="7">
        <f>IFERROR(VLOOKUP(I196,Materiales!$A:$H,8,0),"")</f>
        <v/>
      </c>
      <c r="K196" s="9">
        <f>IFERROR(VLOOKUP(I196,Materiales!$A:$G,7,0),"")</f>
        <v/>
      </c>
      <c r="L196" s="8" t="inlineStr">
        <is>
          <t>20250505</t>
        </is>
      </c>
      <c r="M196" s="8" t="inlineStr">
        <is>
          <t>20250507</t>
        </is>
      </c>
      <c r="N196" s="10" t="n">
        <v>136.8</v>
      </c>
      <c r="O196" s="10">
        <f>IFERROR(VLOOKUP(A196,Flete!$A:$J,10,0),"")</f>
        <v/>
      </c>
      <c r="P196" s="8" t="inlineStr">
        <is>
          <t>M3</t>
        </is>
      </c>
      <c r="Q196" s="10">
        <f>IFERROR(IFERROR(VLOOKUP(A196,TRAOPE!$A:$U,21,0),VLOOKUP(B196,TRAOPE!$A:$U,21,0)),"")</f>
        <v/>
      </c>
      <c r="R196" s="8">
        <f>IFERROR(IFERROR(VLOOKUP(A196,TRAOPE!$A:$W,23,0),VLOOKUP(B196,TRAOPE!$A:$W,23,0)),"")</f>
        <v/>
      </c>
      <c r="S196" s="10">
        <f>IF(AND(P196="TN",R196="TN"),N196+N(O196),IF(G196&amp;""="1",N(K196)*N196,(N196+N(O196))*N(K196)))</f>
        <v/>
      </c>
      <c r="T196" s="10">
        <f>IF(Q196="","",Q196-S196)</f>
        <v/>
      </c>
    </row>
  </sheetData>
  <mergeCells count="2">
    <mergeCell ref="N1:P1"/>
    <mergeCell ref="Q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9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14" customWidth="1" min="4" max="4"/>
    <col width="40" customWidth="1" min="5" max="5"/>
    <col width="14" customWidth="1" min="6" max="6"/>
    <col width="8" customWidth="1" min="7" max="7"/>
    <col width="8" customWidth="1" min="8" max="8"/>
    <col width="6" customWidth="1" min="9" max="9"/>
    <col width="4" customWidth="1" min="10" max="10"/>
    <col width="14" customWidth="1" min="11" max="11"/>
    <col width="14" customWidth="1" min="12" max="12"/>
  </cols>
  <sheetData>
    <row r="1">
      <c r="A1" s="3" t="inlineStr">
        <is>
          <t>No. SF</t>
        </is>
      </c>
      <c r="B1" s="3" t="inlineStr">
        <is>
          <t>Cedis</t>
        </is>
      </c>
      <c r="C1" s="3" t="inlineStr">
        <is>
          <t>Destino</t>
        </is>
      </c>
      <c r="D1" s="3" t="inlineStr">
        <is>
          <t>No. Material</t>
        </is>
      </c>
      <c r="E1" s="3" t="inlineStr">
        <is>
          <t>Nombre Material</t>
        </is>
      </c>
      <c r="F1" s="3" t="inlineStr">
        <is>
          <t>Importe MP</t>
        </is>
      </c>
      <c r="G1" s="3" t="inlineStr">
        <is>
          <t>Moneda</t>
        </is>
      </c>
      <c r="H1" s="3" t="inlineStr">
        <is>
          <t>Cantidad</t>
        </is>
      </c>
      <c r="I1" s="3" t="inlineStr">
        <is>
          <t>UM</t>
        </is>
      </c>
      <c r="J1" s="3" t="inlineStr">
        <is>
          <t>C</t>
        </is>
      </c>
      <c r="K1" s="3" t="inlineStr">
        <is>
          <t>Inicio Vigencia</t>
        </is>
      </c>
      <c r="L1" s="3" t="inlineStr">
        <is>
          <t>Fin Vigencia</t>
        </is>
      </c>
    </row>
    <row r="2">
      <c r="A2" t="inlineStr">
        <is>
          <t>900007612</t>
        </is>
      </c>
      <c r="B2" t="inlineStr">
        <is>
          <t>D860</t>
        </is>
      </c>
      <c r="C2" t="inlineStr">
        <is>
          <t>66958065</t>
        </is>
      </c>
      <c r="D2" t="inlineStr">
        <is>
          <t>10052402</t>
        </is>
      </c>
      <c r="E2" t="inlineStr"/>
      <c r="F2" s="11" t="n">
        <v>141.9</v>
      </c>
      <c r="G2" t="inlineStr"/>
      <c r="I2" t="inlineStr">
        <is>
          <t>M3</t>
        </is>
      </c>
      <c r="J2" t="inlineStr"/>
      <c r="K2" t="inlineStr">
        <is>
          <t>20240403</t>
        </is>
      </c>
      <c r="L2" t="inlineStr">
        <is>
          <t>20240529</t>
        </is>
      </c>
    </row>
    <row r="3">
      <c r="A3" t="inlineStr">
        <is>
          <t>900007612</t>
        </is>
      </c>
      <c r="B3" t="inlineStr">
        <is>
          <t>D860</t>
        </is>
      </c>
      <c r="C3" t="inlineStr">
        <is>
          <t>66958065</t>
        </is>
      </c>
      <c r="D3" t="inlineStr">
        <is>
          <t>10052405</t>
        </is>
      </c>
      <c r="E3" t="inlineStr"/>
      <c r="F3" s="11" t="n">
        <v>141.9</v>
      </c>
      <c r="G3" t="inlineStr"/>
      <c r="I3" t="inlineStr">
        <is>
          <t>M3</t>
        </is>
      </c>
      <c r="J3" t="inlineStr"/>
      <c r="K3" t="inlineStr">
        <is>
          <t>20240403</t>
        </is>
      </c>
      <c r="L3" t="inlineStr">
        <is>
          <t>20240529</t>
        </is>
      </c>
    </row>
    <row r="4">
      <c r="A4" t="inlineStr">
        <is>
          <t>900007611</t>
        </is>
      </c>
      <c r="B4" t="inlineStr">
        <is>
          <t>D860</t>
        </is>
      </c>
      <c r="C4" t="inlineStr">
        <is>
          <t>67064029</t>
        </is>
      </c>
      <c r="D4" t="inlineStr">
        <is>
          <t>10052404</t>
        </is>
      </c>
      <c r="E4" t="inlineStr"/>
      <c r="F4" s="11" t="n">
        <v>144</v>
      </c>
      <c r="G4" t="inlineStr"/>
      <c r="I4" t="inlineStr">
        <is>
          <t>M3</t>
        </is>
      </c>
      <c r="J4" t="inlineStr"/>
      <c r="K4" t="inlineStr">
        <is>
          <t>20240605</t>
        </is>
      </c>
      <c r="L4" t="inlineStr">
        <is>
          <t>20250825</t>
        </is>
      </c>
    </row>
    <row r="5">
      <c r="A5" t="inlineStr">
        <is>
          <t>900003456</t>
        </is>
      </c>
      <c r="B5" t="inlineStr">
        <is>
          <t>D860</t>
        </is>
      </c>
      <c r="C5" t="inlineStr">
        <is>
          <t>66830361</t>
        </is>
      </c>
      <c r="D5" t="inlineStr">
        <is>
          <t>10052407</t>
        </is>
      </c>
      <c r="E5" t="inlineStr"/>
      <c r="F5" s="11" t="n">
        <v>90</v>
      </c>
      <c r="G5" t="inlineStr"/>
      <c r="I5" t="inlineStr">
        <is>
          <t>M3</t>
        </is>
      </c>
      <c r="J5" t="inlineStr"/>
      <c r="K5" t="inlineStr">
        <is>
          <t>20221109</t>
        </is>
      </c>
      <c r="L5" t="inlineStr">
        <is>
          <t>20251031</t>
        </is>
      </c>
    </row>
    <row r="6">
      <c r="A6" t="inlineStr">
        <is>
          <t>900003456</t>
        </is>
      </c>
      <c r="B6" t="inlineStr">
        <is>
          <t>D860</t>
        </is>
      </c>
      <c r="C6" t="inlineStr">
        <is>
          <t>66830361</t>
        </is>
      </c>
      <c r="D6" t="inlineStr">
        <is>
          <t>10190637</t>
        </is>
      </c>
      <c r="E6" t="inlineStr"/>
      <c r="F6" s="11" t="n">
        <v>100</v>
      </c>
      <c r="G6" t="inlineStr"/>
      <c r="I6" t="inlineStr">
        <is>
          <t>M3</t>
        </is>
      </c>
      <c r="J6" t="inlineStr"/>
      <c r="K6" t="inlineStr">
        <is>
          <t>20221109</t>
        </is>
      </c>
      <c r="L6" t="inlineStr">
        <is>
          <t>20251031</t>
        </is>
      </c>
    </row>
    <row r="7">
      <c r="A7" t="inlineStr">
        <is>
          <t>900005375</t>
        </is>
      </c>
      <c r="B7" t="inlineStr">
        <is>
          <t>D860</t>
        </is>
      </c>
      <c r="C7" t="inlineStr">
        <is>
          <t>65094171</t>
        </is>
      </c>
      <c r="D7" t="inlineStr">
        <is>
          <t>10000176</t>
        </is>
      </c>
      <c r="E7" t="inlineStr"/>
      <c r="F7" s="11" t="n">
        <v>131.2</v>
      </c>
      <c r="G7" t="inlineStr"/>
      <c r="I7" t="inlineStr">
        <is>
          <t>M3</t>
        </is>
      </c>
      <c r="J7" t="inlineStr"/>
      <c r="K7" t="inlineStr">
        <is>
          <t>20221109</t>
        </is>
      </c>
      <c r="L7" t="inlineStr">
        <is>
          <t>20251031</t>
        </is>
      </c>
    </row>
    <row r="8">
      <c r="A8" t="inlineStr">
        <is>
          <t>900005375</t>
        </is>
      </c>
      <c r="B8" t="inlineStr">
        <is>
          <t>D860</t>
        </is>
      </c>
      <c r="C8" t="inlineStr">
        <is>
          <t>65094171</t>
        </is>
      </c>
      <c r="D8" t="inlineStr">
        <is>
          <t>10052402</t>
        </is>
      </c>
      <c r="E8" t="inlineStr"/>
      <c r="F8" s="11" t="n">
        <v>199.51</v>
      </c>
      <c r="G8" t="inlineStr"/>
      <c r="I8" t="inlineStr">
        <is>
          <t>M3</t>
        </is>
      </c>
      <c r="J8" t="inlineStr"/>
      <c r="K8" t="inlineStr">
        <is>
          <t>20221109</t>
        </is>
      </c>
      <c r="L8" t="inlineStr">
        <is>
          <t>20251031</t>
        </is>
      </c>
    </row>
    <row r="9">
      <c r="A9" t="inlineStr">
        <is>
          <t>900005375</t>
        </is>
      </c>
      <c r="B9" t="inlineStr">
        <is>
          <t>D860</t>
        </is>
      </c>
      <c r="C9" t="inlineStr">
        <is>
          <t>65094171</t>
        </is>
      </c>
      <c r="D9" t="inlineStr">
        <is>
          <t>10052405</t>
        </is>
      </c>
      <c r="E9" t="inlineStr"/>
      <c r="F9" s="11" t="n">
        <v>131.2</v>
      </c>
      <c r="G9" t="inlineStr"/>
      <c r="I9" t="inlineStr">
        <is>
          <t>M3</t>
        </is>
      </c>
      <c r="J9" t="inlineStr"/>
      <c r="K9" t="inlineStr">
        <is>
          <t>20221109</t>
        </is>
      </c>
      <c r="L9" t="inlineStr">
        <is>
          <t>20251031</t>
        </is>
      </c>
    </row>
    <row r="10">
      <c r="A10" t="inlineStr">
        <is>
          <t>900005375</t>
        </is>
      </c>
      <c r="B10" t="inlineStr">
        <is>
          <t>D860</t>
        </is>
      </c>
      <c r="C10" t="inlineStr">
        <is>
          <t>65094171</t>
        </is>
      </c>
      <c r="D10" t="inlineStr">
        <is>
          <t>10052407</t>
        </is>
      </c>
      <c r="E10" t="inlineStr"/>
      <c r="F10" s="11" t="n">
        <v>118.78</v>
      </c>
      <c r="G10" t="inlineStr"/>
      <c r="I10" t="inlineStr">
        <is>
          <t>M3</t>
        </is>
      </c>
      <c r="J10" t="inlineStr"/>
      <c r="K10" t="inlineStr">
        <is>
          <t>20221109</t>
        </is>
      </c>
      <c r="L10" t="inlineStr">
        <is>
          <t>20251031</t>
        </is>
      </c>
    </row>
    <row r="11">
      <c r="A11" t="inlineStr">
        <is>
          <t>900005375</t>
        </is>
      </c>
      <c r="B11" t="inlineStr">
        <is>
          <t>D860</t>
        </is>
      </c>
      <c r="C11" t="inlineStr">
        <is>
          <t>65094171</t>
        </is>
      </c>
      <c r="D11" t="inlineStr">
        <is>
          <t>10190637</t>
        </is>
      </c>
      <c r="E11" t="inlineStr"/>
      <c r="F11" s="11" t="n">
        <v>131.2</v>
      </c>
      <c r="G11" t="inlineStr"/>
      <c r="I11" t="inlineStr">
        <is>
          <t>M3</t>
        </is>
      </c>
      <c r="J11" t="inlineStr"/>
      <c r="K11" t="inlineStr">
        <is>
          <t>20221109</t>
        </is>
      </c>
      <c r="L11" t="inlineStr">
        <is>
          <t>20251031</t>
        </is>
      </c>
    </row>
    <row r="12">
      <c r="A12" t="inlineStr">
        <is>
          <t>900005375</t>
        </is>
      </c>
      <c r="B12" t="inlineStr">
        <is>
          <t>D860</t>
        </is>
      </c>
      <c r="C12" t="inlineStr">
        <is>
          <t>65907412</t>
        </is>
      </c>
      <c r="D12" t="inlineStr">
        <is>
          <t>10052402</t>
        </is>
      </c>
      <c r="E12" t="inlineStr"/>
      <c r="F12" s="11" t="n">
        <v>192.51</v>
      </c>
      <c r="G12" t="inlineStr"/>
      <c r="I12" t="inlineStr">
        <is>
          <t>M3</t>
        </is>
      </c>
      <c r="J12" t="inlineStr"/>
      <c r="K12" t="inlineStr">
        <is>
          <t>20221109</t>
        </is>
      </c>
      <c r="L12" t="inlineStr">
        <is>
          <t>20251031</t>
        </is>
      </c>
    </row>
    <row r="13">
      <c r="A13" t="inlineStr">
        <is>
          <t>900005375</t>
        </is>
      </c>
      <c r="B13" t="inlineStr">
        <is>
          <t>D860</t>
        </is>
      </c>
      <c r="C13" t="inlineStr">
        <is>
          <t>65907412</t>
        </is>
      </c>
      <c r="D13" t="inlineStr">
        <is>
          <t>10052405</t>
        </is>
      </c>
      <c r="E13" t="inlineStr"/>
      <c r="F13" s="11" t="n">
        <v>124.2</v>
      </c>
      <c r="G13" t="inlineStr"/>
      <c r="I13" t="inlineStr">
        <is>
          <t>M3</t>
        </is>
      </c>
      <c r="J13" t="inlineStr"/>
      <c r="K13" t="inlineStr">
        <is>
          <t>20221109</t>
        </is>
      </c>
      <c r="L13" t="inlineStr">
        <is>
          <t>20251031</t>
        </is>
      </c>
    </row>
    <row r="14">
      <c r="A14" t="inlineStr">
        <is>
          <t>900005375</t>
        </is>
      </c>
      <c r="B14" t="inlineStr">
        <is>
          <t>D860</t>
        </is>
      </c>
      <c r="C14" t="inlineStr">
        <is>
          <t>65907412</t>
        </is>
      </c>
      <c r="D14" t="inlineStr">
        <is>
          <t>10052407</t>
        </is>
      </c>
      <c r="E14" t="inlineStr"/>
      <c r="F14" s="11" t="n">
        <v>111.78</v>
      </c>
      <c r="G14" t="inlineStr"/>
      <c r="I14" t="inlineStr">
        <is>
          <t>M3</t>
        </is>
      </c>
      <c r="J14" t="inlineStr"/>
      <c r="K14" t="inlineStr">
        <is>
          <t>20221109</t>
        </is>
      </c>
      <c r="L14" t="inlineStr">
        <is>
          <t>20251031</t>
        </is>
      </c>
    </row>
    <row r="15">
      <c r="A15" t="inlineStr">
        <is>
          <t>900005375</t>
        </is>
      </c>
      <c r="B15" t="inlineStr">
        <is>
          <t>D860</t>
        </is>
      </c>
      <c r="C15" t="inlineStr">
        <is>
          <t>65907412</t>
        </is>
      </c>
      <c r="D15" t="inlineStr">
        <is>
          <t>10190637</t>
        </is>
      </c>
      <c r="E15" t="inlineStr"/>
      <c r="F15" s="11" t="n">
        <v>124.2</v>
      </c>
      <c r="G15" t="inlineStr"/>
      <c r="I15" t="inlineStr">
        <is>
          <t>M3</t>
        </is>
      </c>
      <c r="J15" t="inlineStr"/>
      <c r="K15" t="inlineStr">
        <is>
          <t>20221109</t>
        </is>
      </c>
      <c r="L15" t="inlineStr">
        <is>
          <t>20251031</t>
        </is>
      </c>
    </row>
    <row r="16">
      <c r="A16" t="inlineStr">
        <is>
          <t>900005375</t>
        </is>
      </c>
      <c r="B16" t="inlineStr">
        <is>
          <t>D860</t>
        </is>
      </c>
      <c r="C16" t="inlineStr">
        <is>
          <t>66481109</t>
        </is>
      </c>
      <c r="D16" t="inlineStr">
        <is>
          <t>10190637</t>
        </is>
      </c>
      <c r="E16" t="inlineStr"/>
      <c r="F16" s="11" t="n">
        <v>124.2</v>
      </c>
      <c r="G16" t="inlineStr"/>
      <c r="I16" t="inlineStr">
        <is>
          <t>M3</t>
        </is>
      </c>
      <c r="J16" t="inlineStr"/>
      <c r="K16" t="inlineStr">
        <is>
          <t>20221109</t>
        </is>
      </c>
      <c r="L16" t="inlineStr">
        <is>
          <t>20251031</t>
        </is>
      </c>
    </row>
    <row r="17">
      <c r="A17" t="inlineStr">
        <is>
          <t>900005375</t>
        </is>
      </c>
      <c r="B17" t="inlineStr">
        <is>
          <t>D860</t>
        </is>
      </c>
      <c r="C17" t="inlineStr">
        <is>
          <t>66793731</t>
        </is>
      </c>
      <c r="D17" t="inlineStr">
        <is>
          <t>10052404</t>
        </is>
      </c>
      <c r="E17" t="inlineStr"/>
      <c r="F17" s="11" t="n">
        <v>125</v>
      </c>
      <c r="G17" t="inlineStr"/>
      <c r="I17" t="inlineStr">
        <is>
          <t>M3</t>
        </is>
      </c>
      <c r="J17" t="inlineStr"/>
      <c r="K17" t="inlineStr">
        <is>
          <t>20221109</t>
        </is>
      </c>
      <c r="L17" t="inlineStr">
        <is>
          <t>20251031</t>
        </is>
      </c>
    </row>
    <row r="18">
      <c r="A18" t="inlineStr">
        <is>
          <t>900005375</t>
        </is>
      </c>
      <c r="B18" t="inlineStr">
        <is>
          <t>D860</t>
        </is>
      </c>
      <c r="C18" t="inlineStr">
        <is>
          <t>66793731</t>
        </is>
      </c>
      <c r="D18" t="inlineStr">
        <is>
          <t>10052407</t>
        </is>
      </c>
      <c r="E18" t="inlineStr"/>
      <c r="F18" s="11" t="n">
        <v>112</v>
      </c>
      <c r="G18" t="inlineStr"/>
      <c r="I18" t="inlineStr">
        <is>
          <t>M3</t>
        </is>
      </c>
      <c r="J18" t="inlineStr"/>
      <c r="K18" t="inlineStr">
        <is>
          <t>20221109</t>
        </is>
      </c>
      <c r="L18" t="inlineStr">
        <is>
          <t>20251031</t>
        </is>
      </c>
    </row>
    <row r="19">
      <c r="A19" t="inlineStr">
        <is>
          <t>900005375</t>
        </is>
      </c>
      <c r="B19" t="inlineStr">
        <is>
          <t>D860</t>
        </is>
      </c>
      <c r="C19" t="inlineStr">
        <is>
          <t>66854763</t>
        </is>
      </c>
      <c r="D19" t="inlineStr">
        <is>
          <t>10052407</t>
        </is>
      </c>
      <c r="E19" t="inlineStr"/>
      <c r="F19" s="11" t="n">
        <v>112.3</v>
      </c>
      <c r="G19" t="inlineStr"/>
      <c r="I19" t="inlineStr">
        <is>
          <t>M3</t>
        </is>
      </c>
      <c r="J19" t="inlineStr"/>
      <c r="K19" t="inlineStr">
        <is>
          <t>20221109</t>
        </is>
      </c>
      <c r="L19" t="inlineStr">
        <is>
          <t>20251031</t>
        </is>
      </c>
    </row>
    <row r="20">
      <c r="A20" t="inlineStr">
        <is>
          <t>900005375</t>
        </is>
      </c>
      <c r="B20" t="inlineStr">
        <is>
          <t>D860</t>
        </is>
      </c>
      <c r="C20" t="inlineStr">
        <is>
          <t>66856562</t>
        </is>
      </c>
      <c r="D20" t="inlineStr">
        <is>
          <t>10000176</t>
        </is>
      </c>
      <c r="E20" t="inlineStr"/>
      <c r="F20" s="11" t="n">
        <v>124.2</v>
      </c>
      <c r="G20" t="inlineStr"/>
      <c r="I20" t="inlineStr">
        <is>
          <t>M3</t>
        </is>
      </c>
      <c r="J20" t="inlineStr"/>
      <c r="K20" t="inlineStr">
        <is>
          <t>20221109</t>
        </is>
      </c>
      <c r="L20" t="inlineStr">
        <is>
          <t>20251031</t>
        </is>
      </c>
    </row>
    <row r="21">
      <c r="A21" t="inlineStr">
        <is>
          <t>900005375</t>
        </is>
      </c>
      <c r="B21" t="inlineStr">
        <is>
          <t>D860</t>
        </is>
      </c>
      <c r="C21" t="inlineStr">
        <is>
          <t>66856562</t>
        </is>
      </c>
      <c r="D21" t="inlineStr">
        <is>
          <t>10052402</t>
        </is>
      </c>
      <c r="E21" t="inlineStr"/>
      <c r="F21" s="11" t="n">
        <v>215.61</v>
      </c>
      <c r="G21" t="inlineStr"/>
      <c r="I21" t="inlineStr">
        <is>
          <t>M3</t>
        </is>
      </c>
      <c r="J21" t="inlineStr"/>
      <c r="K21" t="inlineStr">
        <is>
          <t>20221109</t>
        </is>
      </c>
      <c r="L21" t="inlineStr">
        <is>
          <t>20251031</t>
        </is>
      </c>
    </row>
    <row r="22">
      <c r="A22" t="inlineStr">
        <is>
          <t>900005375</t>
        </is>
      </c>
      <c r="B22" t="inlineStr">
        <is>
          <t>D860</t>
        </is>
      </c>
      <c r="C22" t="inlineStr">
        <is>
          <t>66856562</t>
        </is>
      </c>
      <c r="D22" t="inlineStr">
        <is>
          <t>10052405</t>
        </is>
      </c>
      <c r="E22" t="inlineStr"/>
      <c r="F22" s="11" t="n">
        <v>124.2</v>
      </c>
      <c r="G22" t="inlineStr"/>
      <c r="I22" t="inlineStr">
        <is>
          <t>M3</t>
        </is>
      </c>
      <c r="J22" t="inlineStr"/>
      <c r="K22" t="inlineStr">
        <is>
          <t>20221109</t>
        </is>
      </c>
      <c r="L22" t="inlineStr">
        <is>
          <t>20251031</t>
        </is>
      </c>
    </row>
    <row r="23">
      <c r="A23" t="inlineStr">
        <is>
          <t>900005375</t>
        </is>
      </c>
      <c r="B23" t="inlineStr">
        <is>
          <t>D860</t>
        </is>
      </c>
      <c r="C23" t="inlineStr">
        <is>
          <t>66856562</t>
        </is>
      </c>
      <c r="D23" t="inlineStr">
        <is>
          <t>10052407</t>
        </is>
      </c>
      <c r="E23" t="inlineStr"/>
      <c r="F23" s="11" t="n">
        <v>125.19</v>
      </c>
      <c r="G23" t="inlineStr"/>
      <c r="I23" t="inlineStr">
        <is>
          <t>M3</t>
        </is>
      </c>
      <c r="J23" t="inlineStr"/>
      <c r="K23" t="inlineStr">
        <is>
          <t>20221109</t>
        </is>
      </c>
      <c r="L23" t="inlineStr">
        <is>
          <t>20251031</t>
        </is>
      </c>
    </row>
    <row r="24">
      <c r="A24" t="inlineStr">
        <is>
          <t>900005375</t>
        </is>
      </c>
      <c r="B24" t="inlineStr">
        <is>
          <t>D860</t>
        </is>
      </c>
      <c r="C24" t="inlineStr">
        <is>
          <t>66856562</t>
        </is>
      </c>
      <c r="D24" t="inlineStr">
        <is>
          <t>10190637</t>
        </is>
      </c>
      <c r="E24" t="inlineStr"/>
      <c r="F24" s="11" t="n">
        <v>139.1</v>
      </c>
      <c r="G24" t="inlineStr"/>
      <c r="I24" t="inlineStr">
        <is>
          <t>M3</t>
        </is>
      </c>
      <c r="J24" t="inlineStr"/>
      <c r="K24" t="inlineStr">
        <is>
          <t>20221109</t>
        </is>
      </c>
      <c r="L24" t="inlineStr">
        <is>
          <t>20251031</t>
        </is>
      </c>
    </row>
    <row r="25">
      <c r="A25" t="inlineStr">
        <is>
          <t>900005375</t>
        </is>
      </c>
      <c r="B25" t="inlineStr">
        <is>
          <t>D860</t>
        </is>
      </c>
      <c r="C25" t="inlineStr">
        <is>
          <t>66896136</t>
        </is>
      </c>
      <c r="D25" t="inlineStr">
        <is>
          <t>10000176</t>
        </is>
      </c>
      <c r="E25" t="inlineStr"/>
      <c r="F25" s="11" t="n">
        <v>124.2</v>
      </c>
      <c r="G25" t="inlineStr"/>
      <c r="I25" t="inlineStr">
        <is>
          <t>M3</t>
        </is>
      </c>
      <c r="J25" t="inlineStr"/>
      <c r="K25" t="inlineStr">
        <is>
          <t>20221109</t>
        </is>
      </c>
      <c r="L25" t="inlineStr">
        <is>
          <t>20251031</t>
        </is>
      </c>
    </row>
    <row r="26">
      <c r="A26" t="inlineStr">
        <is>
          <t>900005375</t>
        </is>
      </c>
      <c r="B26" t="inlineStr">
        <is>
          <t>D860</t>
        </is>
      </c>
      <c r="C26" t="inlineStr">
        <is>
          <t>67118819</t>
        </is>
      </c>
      <c r="D26" t="inlineStr">
        <is>
          <t>10000176</t>
        </is>
      </c>
      <c r="E26" t="inlineStr"/>
      <c r="F26" s="11" t="n">
        <v>124.2</v>
      </c>
      <c r="G26" t="inlineStr"/>
      <c r="I26" t="inlineStr">
        <is>
          <t>M3</t>
        </is>
      </c>
      <c r="J26" t="inlineStr"/>
      <c r="K26" t="inlineStr">
        <is>
          <t>20221109</t>
        </is>
      </c>
      <c r="L26" t="inlineStr">
        <is>
          <t>20251031</t>
        </is>
      </c>
    </row>
    <row r="27">
      <c r="A27" t="inlineStr">
        <is>
          <t>900005375</t>
        </is>
      </c>
      <c r="B27" t="inlineStr">
        <is>
          <t>D860</t>
        </is>
      </c>
      <c r="C27" t="inlineStr">
        <is>
          <t>67118819</t>
        </is>
      </c>
      <c r="D27" t="inlineStr">
        <is>
          <t>10052402</t>
        </is>
      </c>
      <c r="E27" t="inlineStr"/>
      <c r="F27" s="11" t="n">
        <v>215.61</v>
      </c>
      <c r="G27" t="inlineStr"/>
      <c r="I27" t="inlineStr">
        <is>
          <t>M3</t>
        </is>
      </c>
      <c r="J27" t="inlineStr"/>
      <c r="K27" t="inlineStr">
        <is>
          <t>20221109</t>
        </is>
      </c>
      <c r="L27" t="inlineStr">
        <is>
          <t>20251031</t>
        </is>
      </c>
    </row>
    <row r="28">
      <c r="A28" t="inlineStr">
        <is>
          <t>900005375</t>
        </is>
      </c>
      <c r="B28" t="inlineStr">
        <is>
          <t>D860</t>
        </is>
      </c>
      <c r="C28" t="inlineStr">
        <is>
          <t>67118819</t>
        </is>
      </c>
      <c r="D28" t="inlineStr">
        <is>
          <t>10052405</t>
        </is>
      </c>
      <c r="E28" t="inlineStr"/>
      <c r="F28" s="11" t="n">
        <v>139.1</v>
      </c>
      <c r="G28" t="inlineStr"/>
      <c r="I28" t="inlineStr">
        <is>
          <t>M3</t>
        </is>
      </c>
      <c r="J28" t="inlineStr"/>
      <c r="K28" t="inlineStr">
        <is>
          <t>20221109</t>
        </is>
      </c>
      <c r="L28" t="inlineStr">
        <is>
          <t>20251031</t>
        </is>
      </c>
    </row>
    <row r="29">
      <c r="A29" t="inlineStr">
        <is>
          <t>900005375</t>
        </is>
      </c>
      <c r="B29" t="inlineStr">
        <is>
          <t>D860</t>
        </is>
      </c>
      <c r="C29" t="inlineStr">
        <is>
          <t>67118819</t>
        </is>
      </c>
      <c r="D29" t="inlineStr">
        <is>
          <t>10052407</t>
        </is>
      </c>
      <c r="E29" t="inlineStr"/>
      <c r="F29" s="11" t="n">
        <v>125.19</v>
      </c>
      <c r="G29" t="inlineStr"/>
      <c r="I29" t="inlineStr">
        <is>
          <t>M3</t>
        </is>
      </c>
      <c r="J29" t="inlineStr"/>
      <c r="K29" t="inlineStr">
        <is>
          <t>20221109</t>
        </is>
      </c>
      <c r="L29" t="inlineStr">
        <is>
          <t>20251031</t>
        </is>
      </c>
    </row>
    <row r="30">
      <c r="A30" t="inlineStr">
        <is>
          <t>900005375</t>
        </is>
      </c>
      <c r="B30" t="inlineStr">
        <is>
          <t>D860</t>
        </is>
      </c>
      <c r="C30" t="inlineStr">
        <is>
          <t>67118819</t>
        </is>
      </c>
      <c r="D30" t="inlineStr">
        <is>
          <t>10190637</t>
        </is>
      </c>
      <c r="E30" t="inlineStr"/>
      <c r="F30" s="11" t="n">
        <v>139.1</v>
      </c>
      <c r="G30" t="inlineStr"/>
      <c r="I30" t="inlineStr">
        <is>
          <t>M3</t>
        </is>
      </c>
      <c r="J30" t="inlineStr"/>
      <c r="K30" t="inlineStr">
        <is>
          <t>20221109</t>
        </is>
      </c>
      <c r="L30" t="inlineStr">
        <is>
          <t>20251031</t>
        </is>
      </c>
    </row>
    <row r="31">
      <c r="A31" t="inlineStr">
        <is>
          <t>900005375</t>
        </is>
      </c>
      <c r="B31" t="inlineStr">
        <is>
          <t>D860</t>
        </is>
      </c>
      <c r="C31" t="inlineStr">
        <is>
          <t>67160086</t>
        </is>
      </c>
      <c r="D31" t="inlineStr">
        <is>
          <t>10052407</t>
        </is>
      </c>
      <c r="E31" t="inlineStr"/>
      <c r="F31" s="11" t="n">
        <v>123.05</v>
      </c>
      <c r="G31" t="inlineStr"/>
      <c r="I31" t="inlineStr">
        <is>
          <t>M3</t>
        </is>
      </c>
      <c r="J31" t="inlineStr"/>
      <c r="K31" t="inlineStr">
        <is>
          <t>20221109</t>
        </is>
      </c>
      <c r="L31" t="inlineStr">
        <is>
          <t>20251031</t>
        </is>
      </c>
    </row>
    <row r="32">
      <c r="A32" t="inlineStr">
        <is>
          <t>900005375</t>
        </is>
      </c>
      <c r="B32" t="inlineStr">
        <is>
          <t>D860</t>
        </is>
      </c>
      <c r="C32" t="inlineStr">
        <is>
          <t>67160086</t>
        </is>
      </c>
      <c r="D32" t="inlineStr">
        <is>
          <t>10190637</t>
        </is>
      </c>
      <c r="E32" t="inlineStr"/>
      <c r="F32" s="11" t="n">
        <v>133.2</v>
      </c>
      <c r="G32" t="inlineStr"/>
      <c r="I32" t="inlineStr">
        <is>
          <t>M3</t>
        </is>
      </c>
      <c r="J32" t="inlineStr"/>
      <c r="K32" t="inlineStr">
        <is>
          <t>20221109</t>
        </is>
      </c>
      <c r="L32" t="inlineStr">
        <is>
          <t>20251031</t>
        </is>
      </c>
    </row>
    <row r="33">
      <c r="A33" t="inlineStr">
        <is>
          <t>900005572</t>
        </is>
      </c>
      <c r="B33" t="inlineStr">
        <is>
          <t>D860</t>
        </is>
      </c>
      <c r="C33" t="inlineStr">
        <is>
          <t>65907412</t>
        </is>
      </c>
      <c r="D33" t="inlineStr">
        <is>
          <t>10052402</t>
        </is>
      </c>
      <c r="E33" t="inlineStr"/>
      <c r="F33" s="11" t="n">
        <v>192.51</v>
      </c>
      <c r="G33" t="inlineStr"/>
      <c r="I33" t="inlineStr">
        <is>
          <t>M3</t>
        </is>
      </c>
      <c r="J33" t="inlineStr"/>
      <c r="K33" t="inlineStr">
        <is>
          <t>20221109</t>
        </is>
      </c>
      <c r="L33" t="inlineStr">
        <is>
          <t>20251031</t>
        </is>
      </c>
    </row>
    <row r="34">
      <c r="A34" t="inlineStr">
        <is>
          <t>900005572</t>
        </is>
      </c>
      <c r="B34" t="inlineStr">
        <is>
          <t>D860</t>
        </is>
      </c>
      <c r="C34" t="inlineStr">
        <is>
          <t>65907412</t>
        </is>
      </c>
      <c r="D34" t="inlineStr">
        <is>
          <t>10052405</t>
        </is>
      </c>
      <c r="E34" t="inlineStr"/>
      <c r="F34" s="11" t="n">
        <v>124.2</v>
      </c>
      <c r="G34" t="inlineStr"/>
      <c r="I34" t="inlineStr">
        <is>
          <t>M3</t>
        </is>
      </c>
      <c r="J34" t="inlineStr"/>
      <c r="K34" t="inlineStr">
        <is>
          <t>20221109</t>
        </is>
      </c>
      <c r="L34" t="inlineStr">
        <is>
          <t>20251031</t>
        </is>
      </c>
    </row>
    <row r="35">
      <c r="A35" t="inlineStr">
        <is>
          <t>900005572</t>
        </is>
      </c>
      <c r="B35" t="inlineStr">
        <is>
          <t>D860</t>
        </is>
      </c>
      <c r="C35" t="inlineStr">
        <is>
          <t>65907412</t>
        </is>
      </c>
      <c r="D35" t="inlineStr">
        <is>
          <t>10052407</t>
        </is>
      </c>
      <c r="E35" t="inlineStr"/>
      <c r="F35" s="11" t="n">
        <v>111.78</v>
      </c>
      <c r="G35" t="inlineStr"/>
      <c r="I35" t="inlineStr">
        <is>
          <t>M3</t>
        </is>
      </c>
      <c r="J35" t="inlineStr"/>
      <c r="K35" t="inlineStr">
        <is>
          <t>20221109</t>
        </is>
      </c>
      <c r="L35" t="inlineStr">
        <is>
          <t>20251031</t>
        </is>
      </c>
    </row>
    <row r="36">
      <c r="A36" t="inlineStr">
        <is>
          <t>900005572</t>
        </is>
      </c>
      <c r="B36" t="inlineStr">
        <is>
          <t>D860</t>
        </is>
      </c>
      <c r="C36" t="inlineStr">
        <is>
          <t>65907412</t>
        </is>
      </c>
      <c r="D36" t="inlineStr">
        <is>
          <t>10190637</t>
        </is>
      </c>
      <c r="E36" t="inlineStr"/>
      <c r="F36" s="11" t="n">
        <v>124.2</v>
      </c>
      <c r="G36" t="inlineStr"/>
      <c r="I36" t="inlineStr">
        <is>
          <t>M3</t>
        </is>
      </c>
      <c r="J36" t="inlineStr"/>
      <c r="K36" t="inlineStr">
        <is>
          <t>20221109</t>
        </is>
      </c>
      <c r="L36" t="inlineStr">
        <is>
          <t>20251031</t>
        </is>
      </c>
    </row>
    <row r="37">
      <c r="A37" t="inlineStr">
        <is>
          <t>900005572</t>
        </is>
      </c>
      <c r="B37" t="inlineStr">
        <is>
          <t>D860</t>
        </is>
      </c>
      <c r="C37" t="inlineStr">
        <is>
          <t>66481109</t>
        </is>
      </c>
      <c r="D37" t="inlineStr">
        <is>
          <t>10190637</t>
        </is>
      </c>
      <c r="E37" t="inlineStr"/>
      <c r="F37" s="11" t="n">
        <v>124.2</v>
      </c>
      <c r="G37" t="inlineStr"/>
      <c r="I37" t="inlineStr">
        <is>
          <t>M3</t>
        </is>
      </c>
      <c r="J37" t="inlineStr"/>
      <c r="K37" t="inlineStr">
        <is>
          <t>20221109</t>
        </is>
      </c>
      <c r="L37" t="inlineStr">
        <is>
          <t>20251031</t>
        </is>
      </c>
    </row>
    <row r="38">
      <c r="A38" t="inlineStr">
        <is>
          <t>900005572</t>
        </is>
      </c>
      <c r="B38" t="inlineStr">
        <is>
          <t>D860</t>
        </is>
      </c>
      <c r="C38" t="inlineStr">
        <is>
          <t>66783548</t>
        </is>
      </c>
      <c r="D38" t="inlineStr">
        <is>
          <t>10052407</t>
        </is>
      </c>
      <c r="E38" t="inlineStr"/>
      <c r="F38" s="11" t="n">
        <v>106.92</v>
      </c>
      <c r="G38" t="inlineStr"/>
      <c r="I38" t="inlineStr">
        <is>
          <t>M3</t>
        </is>
      </c>
      <c r="J38" t="inlineStr"/>
      <c r="K38" t="inlineStr">
        <is>
          <t>20221109</t>
        </is>
      </c>
      <c r="L38" t="inlineStr">
        <is>
          <t>20251031</t>
        </is>
      </c>
    </row>
    <row r="39">
      <c r="A39" t="inlineStr">
        <is>
          <t>900005572</t>
        </is>
      </c>
      <c r="B39" t="inlineStr">
        <is>
          <t>D860</t>
        </is>
      </c>
      <c r="C39" t="inlineStr">
        <is>
          <t>66783548</t>
        </is>
      </c>
      <c r="D39" t="inlineStr">
        <is>
          <t>10190637</t>
        </is>
      </c>
      <c r="E39" t="inlineStr"/>
      <c r="F39" s="11" t="n">
        <v>119</v>
      </c>
      <c r="G39" t="inlineStr"/>
      <c r="I39" t="inlineStr">
        <is>
          <t>M3</t>
        </is>
      </c>
      <c r="J39" t="inlineStr"/>
      <c r="K39" t="inlineStr">
        <is>
          <t>20221109</t>
        </is>
      </c>
      <c r="L39" t="inlineStr">
        <is>
          <t>20251031</t>
        </is>
      </c>
    </row>
    <row r="40">
      <c r="A40" t="inlineStr">
        <is>
          <t>900005572</t>
        </is>
      </c>
      <c r="B40" t="inlineStr">
        <is>
          <t>D860</t>
        </is>
      </c>
      <c r="C40" t="inlineStr">
        <is>
          <t>66833513</t>
        </is>
      </c>
      <c r="D40" t="inlineStr">
        <is>
          <t>10000176</t>
        </is>
      </c>
      <c r="E40" t="inlineStr"/>
      <c r="F40" s="11" t="n">
        <v>115</v>
      </c>
      <c r="G40" t="inlineStr"/>
      <c r="I40" t="inlineStr">
        <is>
          <t>M3</t>
        </is>
      </c>
      <c r="J40" t="inlineStr"/>
      <c r="K40" t="inlineStr">
        <is>
          <t>20221109</t>
        </is>
      </c>
      <c r="L40" t="inlineStr">
        <is>
          <t>20251031</t>
        </is>
      </c>
    </row>
    <row r="41">
      <c r="A41" t="inlineStr">
        <is>
          <t>900005572</t>
        </is>
      </c>
      <c r="B41" t="inlineStr">
        <is>
          <t>D860</t>
        </is>
      </c>
      <c r="C41" t="inlineStr">
        <is>
          <t>66833513</t>
        </is>
      </c>
      <c r="D41" t="inlineStr">
        <is>
          <t>10052407</t>
        </is>
      </c>
      <c r="E41" t="inlineStr"/>
      <c r="F41" s="11" t="n">
        <v>113</v>
      </c>
      <c r="G41" t="inlineStr"/>
      <c r="I41" t="inlineStr">
        <is>
          <t>M3</t>
        </is>
      </c>
      <c r="J41" t="inlineStr"/>
      <c r="K41" t="inlineStr">
        <is>
          <t>20221109</t>
        </is>
      </c>
      <c r="L41" t="inlineStr">
        <is>
          <t>20251031</t>
        </is>
      </c>
    </row>
    <row r="42">
      <c r="A42" t="inlineStr">
        <is>
          <t>900005572</t>
        </is>
      </c>
      <c r="B42" t="inlineStr">
        <is>
          <t>D860</t>
        </is>
      </c>
      <c r="C42" t="inlineStr">
        <is>
          <t>66833513</t>
        </is>
      </c>
      <c r="D42" t="inlineStr">
        <is>
          <t>10190637</t>
        </is>
      </c>
      <c r="E42" t="inlineStr"/>
      <c r="F42" s="11" t="n">
        <v>123</v>
      </c>
      <c r="G42" t="inlineStr"/>
      <c r="I42" t="inlineStr">
        <is>
          <t>M3</t>
        </is>
      </c>
      <c r="J42" t="inlineStr"/>
      <c r="K42" t="inlineStr">
        <is>
          <t>20221109</t>
        </is>
      </c>
      <c r="L42" t="inlineStr">
        <is>
          <t>20251031</t>
        </is>
      </c>
    </row>
    <row r="43">
      <c r="A43" t="inlineStr">
        <is>
          <t>900005572</t>
        </is>
      </c>
      <c r="B43" t="inlineStr">
        <is>
          <t>D860</t>
        </is>
      </c>
      <c r="C43" t="inlineStr">
        <is>
          <t>66845876</t>
        </is>
      </c>
      <c r="D43" t="inlineStr">
        <is>
          <t>10052402</t>
        </is>
      </c>
      <c r="E43" t="inlineStr"/>
      <c r="F43" s="11" t="n">
        <v>213.26</v>
      </c>
      <c r="G43" t="inlineStr"/>
      <c r="I43" t="inlineStr">
        <is>
          <t>M3</t>
        </is>
      </c>
      <c r="J43" t="inlineStr"/>
      <c r="K43" t="inlineStr">
        <is>
          <t>20221109</t>
        </is>
      </c>
      <c r="L43" t="inlineStr">
        <is>
          <t>20251031</t>
        </is>
      </c>
    </row>
    <row r="44">
      <c r="A44" t="inlineStr">
        <is>
          <t>900005572</t>
        </is>
      </c>
      <c r="B44" t="inlineStr">
        <is>
          <t>D860</t>
        </is>
      </c>
      <c r="C44" t="inlineStr">
        <is>
          <t>66845876</t>
        </is>
      </c>
      <c r="D44" t="inlineStr">
        <is>
          <t>10052407</t>
        </is>
      </c>
      <c r="E44" t="inlineStr"/>
      <c r="F44" s="11" t="n">
        <v>118.22</v>
      </c>
      <c r="G44" t="inlineStr"/>
      <c r="I44" t="inlineStr">
        <is>
          <t>M3</t>
        </is>
      </c>
      <c r="J44" t="inlineStr"/>
      <c r="K44" t="inlineStr">
        <is>
          <t>20221109</t>
        </is>
      </c>
      <c r="L44" t="inlineStr">
        <is>
          <t>20251031</t>
        </is>
      </c>
    </row>
    <row r="45">
      <c r="A45" t="inlineStr">
        <is>
          <t>900005572</t>
        </is>
      </c>
      <c r="B45" t="inlineStr">
        <is>
          <t>D860</t>
        </is>
      </c>
      <c r="C45" t="inlineStr">
        <is>
          <t>66854722</t>
        </is>
      </c>
      <c r="D45" t="inlineStr">
        <is>
          <t>10052407</t>
        </is>
      </c>
      <c r="E45" t="inlineStr"/>
      <c r="F45" s="11" t="n">
        <v>121.3</v>
      </c>
      <c r="G45" t="inlineStr"/>
      <c r="I45" t="inlineStr">
        <is>
          <t>M3</t>
        </is>
      </c>
      <c r="J45" t="inlineStr"/>
      <c r="K45" t="inlineStr">
        <is>
          <t>20221109</t>
        </is>
      </c>
      <c r="L45" t="inlineStr">
        <is>
          <t>20251031</t>
        </is>
      </c>
    </row>
    <row r="46">
      <c r="A46" t="inlineStr">
        <is>
          <t>900005572</t>
        </is>
      </c>
      <c r="B46" t="inlineStr">
        <is>
          <t>D860</t>
        </is>
      </c>
      <c r="C46" t="inlineStr">
        <is>
          <t>66854722</t>
        </is>
      </c>
      <c r="D46" t="inlineStr">
        <is>
          <t>10190637</t>
        </is>
      </c>
      <c r="E46" t="inlineStr"/>
      <c r="F46" s="11" t="n">
        <v>132.35</v>
      </c>
      <c r="G46" t="inlineStr"/>
      <c r="I46" t="inlineStr">
        <is>
          <t>M3</t>
        </is>
      </c>
      <c r="J46" t="inlineStr"/>
      <c r="K46" t="inlineStr">
        <is>
          <t>20221109</t>
        </is>
      </c>
      <c r="L46" t="inlineStr">
        <is>
          <t>20251031</t>
        </is>
      </c>
    </row>
    <row r="47">
      <c r="A47" t="inlineStr">
        <is>
          <t>900005572</t>
        </is>
      </c>
      <c r="B47" t="inlineStr">
        <is>
          <t>D860</t>
        </is>
      </c>
      <c r="C47" t="inlineStr">
        <is>
          <t>66854763</t>
        </is>
      </c>
      <c r="D47" t="inlineStr">
        <is>
          <t>10052407</t>
        </is>
      </c>
      <c r="E47" t="inlineStr"/>
      <c r="F47" s="11" t="n">
        <v>112.3</v>
      </c>
      <c r="G47" t="inlineStr"/>
      <c r="I47" t="inlineStr">
        <is>
          <t>M3</t>
        </is>
      </c>
      <c r="J47" t="inlineStr"/>
      <c r="K47" t="inlineStr">
        <is>
          <t>20221109</t>
        </is>
      </c>
      <c r="L47" t="inlineStr">
        <is>
          <t>20251031</t>
        </is>
      </c>
    </row>
    <row r="48">
      <c r="A48" t="inlineStr">
        <is>
          <t>900005572</t>
        </is>
      </c>
      <c r="B48" t="inlineStr">
        <is>
          <t>D860</t>
        </is>
      </c>
      <c r="C48" t="inlineStr">
        <is>
          <t>66854763</t>
        </is>
      </c>
      <c r="D48" t="inlineStr">
        <is>
          <t>10190637</t>
        </is>
      </c>
      <c r="E48" t="inlineStr"/>
      <c r="F48" s="11" t="n">
        <v>118.8</v>
      </c>
      <c r="G48" t="inlineStr"/>
      <c r="I48" t="inlineStr">
        <is>
          <t>M3</t>
        </is>
      </c>
      <c r="J48" t="inlineStr"/>
      <c r="K48" t="inlineStr">
        <is>
          <t>20221109</t>
        </is>
      </c>
      <c r="L48" t="inlineStr">
        <is>
          <t>20251031</t>
        </is>
      </c>
    </row>
    <row r="49">
      <c r="A49" t="inlineStr">
        <is>
          <t>900005572</t>
        </is>
      </c>
      <c r="B49" t="inlineStr">
        <is>
          <t>D860</t>
        </is>
      </c>
      <c r="C49" t="inlineStr">
        <is>
          <t>66877590</t>
        </is>
      </c>
      <c r="D49" t="inlineStr">
        <is>
          <t>10052402</t>
        </is>
      </c>
      <c r="E49" t="inlineStr"/>
      <c r="F49" s="11" t="n">
        <v>213.26</v>
      </c>
      <c r="G49" t="inlineStr"/>
      <c r="I49" t="inlineStr">
        <is>
          <t>M3</t>
        </is>
      </c>
      <c r="J49" t="inlineStr"/>
      <c r="K49" t="inlineStr">
        <is>
          <t>20221109</t>
        </is>
      </c>
      <c r="L49" t="inlineStr">
        <is>
          <t>20251031</t>
        </is>
      </c>
    </row>
    <row r="50">
      <c r="A50" t="inlineStr">
        <is>
          <t>900005572</t>
        </is>
      </c>
      <c r="B50" t="inlineStr">
        <is>
          <t>D860</t>
        </is>
      </c>
      <c r="C50" t="inlineStr">
        <is>
          <t>66877590</t>
        </is>
      </c>
      <c r="D50" t="inlineStr">
        <is>
          <t>10052407</t>
        </is>
      </c>
      <c r="E50" t="inlineStr"/>
      <c r="F50" s="11" t="n">
        <v>118.22</v>
      </c>
      <c r="G50" t="inlineStr"/>
      <c r="I50" t="inlineStr">
        <is>
          <t>M3</t>
        </is>
      </c>
      <c r="J50" t="inlineStr"/>
      <c r="K50" t="inlineStr">
        <is>
          <t>20221109</t>
        </is>
      </c>
      <c r="L50" t="inlineStr">
        <is>
          <t>20251031</t>
        </is>
      </c>
    </row>
    <row r="51">
      <c r="A51" t="inlineStr">
        <is>
          <t>900005572</t>
        </is>
      </c>
      <c r="B51" t="inlineStr">
        <is>
          <t>D860</t>
        </is>
      </c>
      <c r="C51" t="inlineStr">
        <is>
          <t>66877590</t>
        </is>
      </c>
      <c r="D51" t="inlineStr">
        <is>
          <t>10190637</t>
        </is>
      </c>
      <c r="E51" t="inlineStr"/>
      <c r="F51" s="11" t="n">
        <v>130.1</v>
      </c>
      <c r="G51" t="inlineStr"/>
      <c r="I51" t="inlineStr">
        <is>
          <t>M3</t>
        </is>
      </c>
      <c r="J51" t="inlineStr"/>
      <c r="K51" t="inlineStr">
        <is>
          <t>20221109</t>
        </is>
      </c>
      <c r="L51" t="inlineStr">
        <is>
          <t>20251031</t>
        </is>
      </c>
    </row>
    <row r="52">
      <c r="A52" t="inlineStr">
        <is>
          <t>900005572</t>
        </is>
      </c>
      <c r="B52" t="inlineStr">
        <is>
          <t>D860</t>
        </is>
      </c>
      <c r="C52" t="inlineStr">
        <is>
          <t>66882820</t>
        </is>
      </c>
      <c r="D52" t="inlineStr">
        <is>
          <t>10000248</t>
        </is>
      </c>
      <c r="E52" t="inlineStr"/>
      <c r="F52" s="11" t="n">
        <v>145.62</v>
      </c>
      <c r="G52" t="inlineStr"/>
      <c r="I52" t="inlineStr">
        <is>
          <t>TN</t>
        </is>
      </c>
      <c r="J52" t="inlineStr"/>
      <c r="K52" t="inlineStr">
        <is>
          <t>20221109</t>
        </is>
      </c>
      <c r="L52" t="inlineStr">
        <is>
          <t>20251031</t>
        </is>
      </c>
    </row>
    <row r="53">
      <c r="A53" t="inlineStr">
        <is>
          <t>900005572</t>
        </is>
      </c>
      <c r="B53" t="inlineStr">
        <is>
          <t>D860</t>
        </is>
      </c>
      <c r="C53" t="inlineStr">
        <is>
          <t>66895057</t>
        </is>
      </c>
      <c r="D53" t="inlineStr">
        <is>
          <t>10052402</t>
        </is>
      </c>
      <c r="E53" t="inlineStr"/>
      <c r="F53" s="11" t="n">
        <v>213.26</v>
      </c>
      <c r="G53" t="inlineStr"/>
      <c r="I53" t="inlineStr">
        <is>
          <t>M3</t>
        </is>
      </c>
      <c r="J53" t="inlineStr"/>
      <c r="K53" t="inlineStr">
        <is>
          <t>20221109</t>
        </is>
      </c>
      <c r="L53" t="inlineStr">
        <is>
          <t>20251031</t>
        </is>
      </c>
    </row>
    <row r="54">
      <c r="A54" t="inlineStr">
        <is>
          <t>900005572</t>
        </is>
      </c>
      <c r="B54" t="inlineStr">
        <is>
          <t>D860</t>
        </is>
      </c>
      <c r="C54" t="inlineStr">
        <is>
          <t>66895057</t>
        </is>
      </c>
      <c r="D54" t="inlineStr">
        <is>
          <t>10052405</t>
        </is>
      </c>
      <c r="E54" t="inlineStr"/>
      <c r="F54" s="11" t="n">
        <v>121.3</v>
      </c>
      <c r="G54" t="inlineStr"/>
      <c r="I54" t="inlineStr">
        <is>
          <t>M3</t>
        </is>
      </c>
      <c r="J54" t="inlineStr"/>
      <c r="K54" t="inlineStr">
        <is>
          <t>20221109</t>
        </is>
      </c>
      <c r="L54" t="inlineStr">
        <is>
          <t>20251031</t>
        </is>
      </c>
    </row>
    <row r="55">
      <c r="A55" t="inlineStr">
        <is>
          <t>900005572</t>
        </is>
      </c>
      <c r="B55" t="inlineStr">
        <is>
          <t>D860</t>
        </is>
      </c>
      <c r="C55" t="inlineStr">
        <is>
          <t>66895057</t>
        </is>
      </c>
      <c r="D55" t="inlineStr">
        <is>
          <t>10052407</t>
        </is>
      </c>
      <c r="E55" t="inlineStr"/>
      <c r="F55" s="11" t="n">
        <v>118.22</v>
      </c>
      <c r="G55" t="inlineStr"/>
      <c r="I55" t="inlineStr">
        <is>
          <t>M3</t>
        </is>
      </c>
      <c r="J55" t="inlineStr"/>
      <c r="K55" t="inlineStr">
        <is>
          <t>20221109</t>
        </is>
      </c>
      <c r="L55" t="inlineStr">
        <is>
          <t>20251031</t>
        </is>
      </c>
    </row>
    <row r="56">
      <c r="A56" t="inlineStr">
        <is>
          <t>900005572</t>
        </is>
      </c>
      <c r="B56" t="inlineStr">
        <is>
          <t>D860</t>
        </is>
      </c>
      <c r="C56" t="inlineStr">
        <is>
          <t>66895057</t>
        </is>
      </c>
      <c r="D56" t="inlineStr">
        <is>
          <t>10190637</t>
        </is>
      </c>
      <c r="E56" t="inlineStr"/>
      <c r="F56" s="11" t="n">
        <v>130.1</v>
      </c>
      <c r="G56" t="inlineStr"/>
      <c r="I56" t="inlineStr">
        <is>
          <t>M3</t>
        </is>
      </c>
      <c r="J56" t="inlineStr"/>
      <c r="K56" t="inlineStr">
        <is>
          <t>20221109</t>
        </is>
      </c>
      <c r="L56" t="inlineStr">
        <is>
          <t>20251031</t>
        </is>
      </c>
    </row>
    <row r="57">
      <c r="A57" t="inlineStr">
        <is>
          <t>900005572</t>
        </is>
      </c>
      <c r="B57" t="inlineStr">
        <is>
          <t>D860</t>
        </is>
      </c>
      <c r="C57" t="inlineStr">
        <is>
          <t>66896136</t>
        </is>
      </c>
      <c r="D57" t="inlineStr">
        <is>
          <t>10052402</t>
        </is>
      </c>
      <c r="E57" t="inlineStr"/>
      <c r="F57" s="11" t="n">
        <v>192.51</v>
      </c>
      <c r="G57" t="inlineStr"/>
      <c r="I57" t="inlineStr">
        <is>
          <t>M3</t>
        </is>
      </c>
      <c r="J57" t="inlineStr"/>
      <c r="K57" t="inlineStr">
        <is>
          <t>20221109</t>
        </is>
      </c>
      <c r="L57" t="inlineStr">
        <is>
          <t>20251031</t>
        </is>
      </c>
    </row>
    <row r="58">
      <c r="A58" t="inlineStr">
        <is>
          <t>900005572</t>
        </is>
      </c>
      <c r="B58" t="inlineStr">
        <is>
          <t>D860</t>
        </is>
      </c>
      <c r="C58" t="inlineStr">
        <is>
          <t>66896136</t>
        </is>
      </c>
      <c r="D58" t="inlineStr">
        <is>
          <t>10052405</t>
        </is>
      </c>
      <c r="E58" t="inlineStr"/>
      <c r="F58" s="11" t="n">
        <v>124.2</v>
      </c>
      <c r="G58" t="inlineStr"/>
      <c r="I58" t="inlineStr">
        <is>
          <t>M3</t>
        </is>
      </c>
      <c r="J58" t="inlineStr"/>
      <c r="K58" t="inlineStr">
        <is>
          <t>20221109</t>
        </is>
      </c>
      <c r="L58" t="inlineStr">
        <is>
          <t>20251031</t>
        </is>
      </c>
    </row>
    <row r="59">
      <c r="A59" t="inlineStr">
        <is>
          <t>900005572</t>
        </is>
      </c>
      <c r="B59" t="inlineStr">
        <is>
          <t>D860</t>
        </is>
      </c>
      <c r="C59" t="inlineStr">
        <is>
          <t>66896136</t>
        </is>
      </c>
      <c r="D59" t="inlineStr">
        <is>
          <t>10052407</t>
        </is>
      </c>
      <c r="E59" t="inlineStr"/>
      <c r="F59" s="11" t="n">
        <v>111.78</v>
      </c>
      <c r="G59" t="inlineStr"/>
      <c r="I59" t="inlineStr">
        <is>
          <t>M3</t>
        </is>
      </c>
      <c r="J59" t="inlineStr"/>
      <c r="K59" t="inlineStr">
        <is>
          <t>20221109</t>
        </is>
      </c>
      <c r="L59" t="inlineStr">
        <is>
          <t>20251031</t>
        </is>
      </c>
    </row>
    <row r="60">
      <c r="A60" t="inlineStr">
        <is>
          <t>900005572</t>
        </is>
      </c>
      <c r="B60" t="inlineStr">
        <is>
          <t>D860</t>
        </is>
      </c>
      <c r="C60" t="inlineStr">
        <is>
          <t>66896136</t>
        </is>
      </c>
      <c r="D60" t="inlineStr">
        <is>
          <t>10190637</t>
        </is>
      </c>
      <c r="E60" t="inlineStr"/>
      <c r="F60" s="11" t="n">
        <v>124.2</v>
      </c>
      <c r="G60" t="inlineStr"/>
      <c r="I60" t="inlineStr">
        <is>
          <t>M3</t>
        </is>
      </c>
      <c r="J60" t="inlineStr"/>
      <c r="K60" t="inlineStr">
        <is>
          <t>20221109</t>
        </is>
      </c>
      <c r="L60" t="inlineStr">
        <is>
          <t>20251031</t>
        </is>
      </c>
    </row>
    <row r="61">
      <c r="A61" t="inlineStr">
        <is>
          <t>900005628</t>
        </is>
      </c>
      <c r="B61" t="inlineStr">
        <is>
          <t>D860</t>
        </is>
      </c>
      <c r="C61" t="inlineStr">
        <is>
          <t>66366647</t>
        </is>
      </c>
      <c r="D61" t="inlineStr">
        <is>
          <t>10052402</t>
        </is>
      </c>
      <c r="E61" t="inlineStr"/>
      <c r="F61" s="11" t="n">
        <v>89.56999999999999</v>
      </c>
      <c r="G61" t="inlineStr"/>
      <c r="I61" t="inlineStr">
        <is>
          <t>M3</t>
        </is>
      </c>
      <c r="J61" t="inlineStr"/>
      <c r="K61" t="inlineStr">
        <is>
          <t>20221109</t>
        </is>
      </c>
      <c r="L61" t="inlineStr">
        <is>
          <t>20251031</t>
        </is>
      </c>
    </row>
    <row r="62">
      <c r="A62" t="inlineStr">
        <is>
          <t>900005628</t>
        </is>
      </c>
      <c r="B62" t="inlineStr">
        <is>
          <t>D860</t>
        </is>
      </c>
      <c r="C62" t="inlineStr">
        <is>
          <t>66366647</t>
        </is>
      </c>
      <c r="D62" t="inlineStr">
        <is>
          <t>10052404</t>
        </is>
      </c>
      <c r="E62" t="inlineStr"/>
      <c r="F62" s="11" t="n">
        <v>103.78</v>
      </c>
      <c r="G62" t="inlineStr"/>
      <c r="I62" t="inlineStr">
        <is>
          <t>M3</t>
        </is>
      </c>
      <c r="J62" t="inlineStr"/>
      <c r="K62" t="inlineStr">
        <is>
          <t>20221109</t>
        </is>
      </c>
      <c r="L62" t="inlineStr">
        <is>
          <t>20251031</t>
        </is>
      </c>
    </row>
    <row r="63">
      <c r="A63" t="inlineStr">
        <is>
          <t>900005628</t>
        </is>
      </c>
      <c r="B63" t="inlineStr">
        <is>
          <t>D860</t>
        </is>
      </c>
      <c r="C63" t="inlineStr">
        <is>
          <t>66366647</t>
        </is>
      </c>
      <c r="D63" t="inlineStr">
        <is>
          <t>10052405</t>
        </is>
      </c>
      <c r="E63" t="inlineStr"/>
      <c r="F63" s="11" t="n">
        <v>101.96</v>
      </c>
      <c r="G63" t="inlineStr"/>
      <c r="I63" t="inlineStr">
        <is>
          <t>M3</t>
        </is>
      </c>
      <c r="J63" t="inlineStr"/>
      <c r="K63" t="inlineStr">
        <is>
          <t>20221109</t>
        </is>
      </c>
      <c r="L63" t="inlineStr">
        <is>
          <t>20251031</t>
        </is>
      </c>
    </row>
    <row r="64">
      <c r="A64" t="inlineStr">
        <is>
          <t>900005628</t>
        </is>
      </c>
      <c r="B64" t="inlineStr">
        <is>
          <t>D860</t>
        </is>
      </c>
      <c r="C64" t="inlineStr">
        <is>
          <t>66366647</t>
        </is>
      </c>
      <c r="D64" t="inlineStr">
        <is>
          <t>10052407</t>
        </is>
      </c>
      <c r="E64" t="inlineStr"/>
      <c r="F64" s="11" t="n">
        <v>94.89</v>
      </c>
      <c r="G64" t="inlineStr"/>
      <c r="I64" t="inlineStr">
        <is>
          <t>M3</t>
        </is>
      </c>
      <c r="J64" t="inlineStr"/>
      <c r="K64" t="inlineStr">
        <is>
          <t>20221109</t>
        </is>
      </c>
      <c r="L64" t="inlineStr">
        <is>
          <t>20251031</t>
        </is>
      </c>
    </row>
    <row r="65">
      <c r="A65" t="inlineStr">
        <is>
          <t>900007611</t>
        </is>
      </c>
      <c r="B65" t="inlineStr">
        <is>
          <t>D860</t>
        </is>
      </c>
      <c r="C65" t="inlineStr">
        <is>
          <t>65408109</t>
        </is>
      </c>
      <c r="D65" t="inlineStr">
        <is>
          <t>10052404</t>
        </is>
      </c>
      <c r="E65" t="inlineStr"/>
      <c r="F65" s="11" t="n">
        <v>120.08</v>
      </c>
      <c r="G65" t="inlineStr"/>
      <c r="I65" t="inlineStr">
        <is>
          <t>M3</t>
        </is>
      </c>
      <c r="J65" t="inlineStr"/>
      <c r="K65" t="inlineStr">
        <is>
          <t>20221109</t>
        </is>
      </c>
      <c r="L65" t="inlineStr">
        <is>
          <t>20251031</t>
        </is>
      </c>
    </row>
    <row r="66">
      <c r="A66" t="inlineStr">
        <is>
          <t>900007611</t>
        </is>
      </c>
      <c r="B66" t="inlineStr">
        <is>
          <t>D860</t>
        </is>
      </c>
      <c r="C66" t="inlineStr">
        <is>
          <t>65408109</t>
        </is>
      </c>
      <c r="D66" t="inlineStr">
        <is>
          <t>10052407</t>
        </is>
      </c>
      <c r="E66" t="inlineStr"/>
      <c r="F66" s="11" t="n">
        <v>111.03</v>
      </c>
      <c r="G66" t="inlineStr"/>
      <c r="I66" t="inlineStr">
        <is>
          <t>M3</t>
        </is>
      </c>
      <c r="J66" t="inlineStr"/>
      <c r="K66" t="inlineStr">
        <is>
          <t>20221109</t>
        </is>
      </c>
      <c r="L66" t="inlineStr">
        <is>
          <t>20251031</t>
        </is>
      </c>
    </row>
    <row r="67">
      <c r="A67" t="inlineStr">
        <is>
          <t>900007611</t>
        </is>
      </c>
      <c r="B67" t="inlineStr">
        <is>
          <t>D860</t>
        </is>
      </c>
      <c r="C67" t="inlineStr">
        <is>
          <t>66540822</t>
        </is>
      </c>
      <c r="D67" t="inlineStr">
        <is>
          <t>10052402</t>
        </is>
      </c>
      <c r="E67" t="inlineStr"/>
      <c r="F67" s="11" t="n">
        <v>173.25</v>
      </c>
      <c r="G67" t="inlineStr"/>
      <c r="I67" t="inlineStr">
        <is>
          <t>M3</t>
        </is>
      </c>
      <c r="J67" t="inlineStr"/>
      <c r="K67" t="inlineStr">
        <is>
          <t>20221109</t>
        </is>
      </c>
      <c r="L67" t="inlineStr">
        <is>
          <t>20251031</t>
        </is>
      </c>
    </row>
    <row r="68">
      <c r="A68" t="inlineStr">
        <is>
          <t>900007611</t>
        </is>
      </c>
      <c r="B68" t="inlineStr">
        <is>
          <t>D860</t>
        </is>
      </c>
      <c r="C68" t="inlineStr">
        <is>
          <t>66540822</t>
        </is>
      </c>
      <c r="D68" t="inlineStr">
        <is>
          <t>10052404</t>
        </is>
      </c>
      <c r="E68" t="inlineStr"/>
      <c r="F68" s="11" t="n">
        <v>126</v>
      </c>
      <c r="G68" t="inlineStr"/>
      <c r="I68" t="inlineStr">
        <is>
          <t>M3</t>
        </is>
      </c>
      <c r="J68" t="inlineStr"/>
      <c r="K68" t="inlineStr">
        <is>
          <t>20221109</t>
        </is>
      </c>
      <c r="L68" t="inlineStr">
        <is>
          <t>20251031</t>
        </is>
      </c>
    </row>
    <row r="69">
      <c r="A69" t="inlineStr">
        <is>
          <t>900007611</t>
        </is>
      </c>
      <c r="B69" t="inlineStr">
        <is>
          <t>D860</t>
        </is>
      </c>
      <c r="C69" t="inlineStr">
        <is>
          <t>66540822</t>
        </is>
      </c>
      <c r="D69" t="inlineStr">
        <is>
          <t>10052405</t>
        </is>
      </c>
      <c r="E69" t="inlineStr"/>
      <c r="F69" s="11" t="n">
        <v>126</v>
      </c>
      <c r="G69" t="inlineStr"/>
      <c r="I69" t="inlineStr">
        <is>
          <t>M3</t>
        </is>
      </c>
      <c r="J69" t="inlineStr"/>
      <c r="K69" t="inlineStr">
        <is>
          <t>20221109</t>
        </is>
      </c>
      <c r="L69" t="inlineStr">
        <is>
          <t>20251031</t>
        </is>
      </c>
    </row>
    <row r="70">
      <c r="A70" t="inlineStr">
        <is>
          <t>900007611</t>
        </is>
      </c>
      <c r="B70" t="inlineStr">
        <is>
          <t>D860</t>
        </is>
      </c>
      <c r="C70" t="inlineStr">
        <is>
          <t>66540822</t>
        </is>
      </c>
      <c r="D70" t="inlineStr">
        <is>
          <t>10052407</t>
        </is>
      </c>
      <c r="E70" t="inlineStr"/>
      <c r="F70" s="11" t="n">
        <v>126</v>
      </c>
      <c r="G70" t="inlineStr"/>
      <c r="I70" t="inlineStr">
        <is>
          <t>M3</t>
        </is>
      </c>
      <c r="J70" t="inlineStr"/>
      <c r="K70" t="inlineStr">
        <is>
          <t>20221109</t>
        </is>
      </c>
      <c r="L70" t="inlineStr">
        <is>
          <t>20251031</t>
        </is>
      </c>
    </row>
    <row r="71">
      <c r="A71" t="inlineStr">
        <is>
          <t>900007611</t>
        </is>
      </c>
      <c r="B71" t="inlineStr">
        <is>
          <t>D860</t>
        </is>
      </c>
      <c r="C71" t="inlineStr">
        <is>
          <t>66856562</t>
        </is>
      </c>
      <c r="D71" t="inlineStr">
        <is>
          <t>10052402</t>
        </is>
      </c>
      <c r="E71" t="inlineStr"/>
      <c r="F71" s="11" t="n">
        <v>183.8</v>
      </c>
      <c r="G71" t="inlineStr"/>
      <c r="I71" t="inlineStr">
        <is>
          <t>M3</t>
        </is>
      </c>
      <c r="J71" t="inlineStr"/>
      <c r="K71" t="inlineStr">
        <is>
          <t>20221109</t>
        </is>
      </c>
      <c r="L71" t="inlineStr">
        <is>
          <t>20251031</t>
        </is>
      </c>
    </row>
    <row r="72">
      <c r="A72" t="inlineStr">
        <is>
          <t>900007611</t>
        </is>
      </c>
      <c r="B72" t="inlineStr">
        <is>
          <t>D860</t>
        </is>
      </c>
      <c r="C72" t="inlineStr">
        <is>
          <t>66856562</t>
        </is>
      </c>
      <c r="D72" t="inlineStr">
        <is>
          <t>10052404</t>
        </is>
      </c>
      <c r="E72" t="inlineStr"/>
      <c r="F72" s="11" t="n">
        <v>144.2</v>
      </c>
      <c r="G72" t="inlineStr"/>
      <c r="I72" t="inlineStr">
        <is>
          <t>M3</t>
        </is>
      </c>
      <c r="J72" t="inlineStr"/>
      <c r="K72" t="inlineStr">
        <is>
          <t>20221109</t>
        </is>
      </c>
      <c r="L72" t="inlineStr">
        <is>
          <t>20251031</t>
        </is>
      </c>
    </row>
    <row r="73">
      <c r="A73" t="inlineStr">
        <is>
          <t>900007611</t>
        </is>
      </c>
      <c r="B73" t="inlineStr">
        <is>
          <t>D860</t>
        </is>
      </c>
      <c r="C73" t="inlineStr">
        <is>
          <t>66856562</t>
        </is>
      </c>
      <c r="D73" t="inlineStr">
        <is>
          <t>10052405</t>
        </is>
      </c>
      <c r="E73" t="inlineStr"/>
      <c r="F73" s="11" t="n">
        <v>144.2</v>
      </c>
      <c r="G73" t="inlineStr"/>
      <c r="I73" t="inlineStr">
        <is>
          <t>M3</t>
        </is>
      </c>
      <c r="J73" t="inlineStr"/>
      <c r="K73" t="inlineStr">
        <is>
          <t>20221109</t>
        </is>
      </c>
      <c r="L73" t="inlineStr">
        <is>
          <t>20251031</t>
        </is>
      </c>
    </row>
    <row r="74">
      <c r="A74" t="inlineStr">
        <is>
          <t>900007611</t>
        </is>
      </c>
      <c r="B74" t="inlineStr">
        <is>
          <t>D860</t>
        </is>
      </c>
      <c r="C74" t="inlineStr">
        <is>
          <t>66856562</t>
        </is>
      </c>
      <c r="D74" t="inlineStr">
        <is>
          <t>10052407</t>
        </is>
      </c>
      <c r="E74" t="inlineStr"/>
      <c r="F74" s="11" t="n">
        <v>128.15</v>
      </c>
      <c r="G74" t="inlineStr"/>
      <c r="I74" t="inlineStr">
        <is>
          <t>M3</t>
        </is>
      </c>
      <c r="J74" t="inlineStr"/>
      <c r="K74" t="inlineStr">
        <is>
          <t>20221109</t>
        </is>
      </c>
      <c r="L74" t="inlineStr">
        <is>
          <t>20251031</t>
        </is>
      </c>
    </row>
    <row r="75">
      <c r="A75" t="inlineStr">
        <is>
          <t>900007611</t>
        </is>
      </c>
      <c r="B75" t="inlineStr">
        <is>
          <t>D860</t>
        </is>
      </c>
      <c r="C75" t="inlineStr">
        <is>
          <t>66877590</t>
        </is>
      </c>
      <c r="D75" t="inlineStr">
        <is>
          <t>10052407</t>
        </is>
      </c>
      <c r="E75" t="inlineStr"/>
      <c r="F75" s="11" t="n">
        <v>182.78</v>
      </c>
      <c r="G75" t="inlineStr"/>
      <c r="I75" t="inlineStr">
        <is>
          <t>M3</t>
        </is>
      </c>
      <c r="J75" t="inlineStr"/>
      <c r="K75" t="inlineStr">
        <is>
          <t>20221109</t>
        </is>
      </c>
      <c r="L75" t="inlineStr">
        <is>
          <t>20251031</t>
        </is>
      </c>
    </row>
    <row r="76">
      <c r="A76" t="inlineStr">
        <is>
          <t>900007611</t>
        </is>
      </c>
      <c r="B76" t="inlineStr">
        <is>
          <t>D860</t>
        </is>
      </c>
      <c r="C76" t="inlineStr">
        <is>
          <t>66877590</t>
        </is>
      </c>
      <c r="D76" t="inlineStr">
        <is>
          <t>10190637</t>
        </is>
      </c>
      <c r="E76" t="inlineStr"/>
      <c r="F76" s="11" t="n">
        <v>282.57</v>
      </c>
      <c r="G76" t="inlineStr"/>
      <c r="I76" t="inlineStr">
        <is>
          <t>M3</t>
        </is>
      </c>
      <c r="J76" t="inlineStr"/>
      <c r="K76" t="inlineStr">
        <is>
          <t>20221109</t>
        </is>
      </c>
      <c r="L76" t="inlineStr">
        <is>
          <t>20251031</t>
        </is>
      </c>
    </row>
    <row r="77">
      <c r="A77" t="inlineStr">
        <is>
          <t>900007611</t>
        </is>
      </c>
      <c r="B77" t="inlineStr">
        <is>
          <t>D860</t>
        </is>
      </c>
      <c r="C77" t="inlineStr">
        <is>
          <t>66896136</t>
        </is>
      </c>
      <c r="D77" t="inlineStr">
        <is>
          <t>10052402</t>
        </is>
      </c>
      <c r="E77" t="inlineStr"/>
      <c r="F77" s="11" t="n">
        <v>183.8</v>
      </c>
      <c r="G77" t="inlineStr"/>
      <c r="I77" t="inlineStr">
        <is>
          <t>M3</t>
        </is>
      </c>
      <c r="J77" t="inlineStr"/>
      <c r="K77" t="inlineStr">
        <is>
          <t>20221109</t>
        </is>
      </c>
      <c r="L77" t="inlineStr">
        <is>
          <t>20251031</t>
        </is>
      </c>
    </row>
    <row r="78">
      <c r="A78" t="inlineStr">
        <is>
          <t>900007611</t>
        </is>
      </c>
      <c r="B78" t="inlineStr">
        <is>
          <t>D860</t>
        </is>
      </c>
      <c r="C78" t="inlineStr">
        <is>
          <t>66896136</t>
        </is>
      </c>
      <c r="D78" t="inlineStr">
        <is>
          <t>10052404</t>
        </is>
      </c>
      <c r="E78" t="inlineStr"/>
      <c r="F78" s="11" t="n">
        <v>144.2</v>
      </c>
      <c r="G78" t="inlineStr"/>
      <c r="I78" t="inlineStr">
        <is>
          <t>M3</t>
        </is>
      </c>
      <c r="J78" t="inlineStr"/>
      <c r="K78" t="inlineStr">
        <is>
          <t>20221109</t>
        </is>
      </c>
      <c r="L78" t="inlineStr">
        <is>
          <t>20251031</t>
        </is>
      </c>
    </row>
    <row r="79">
      <c r="A79" t="inlineStr">
        <is>
          <t>900007611</t>
        </is>
      </c>
      <c r="B79" t="inlineStr">
        <is>
          <t>D860</t>
        </is>
      </c>
      <c r="C79" t="inlineStr">
        <is>
          <t>66896136</t>
        </is>
      </c>
      <c r="D79" t="inlineStr">
        <is>
          <t>10052405</t>
        </is>
      </c>
      <c r="E79" t="inlineStr"/>
      <c r="F79" s="11" t="n">
        <v>144.2</v>
      </c>
      <c r="G79" t="inlineStr"/>
      <c r="I79" t="inlineStr">
        <is>
          <t>M3</t>
        </is>
      </c>
      <c r="J79" t="inlineStr"/>
      <c r="K79" t="inlineStr">
        <is>
          <t>20221109</t>
        </is>
      </c>
      <c r="L79" t="inlineStr">
        <is>
          <t>20251031</t>
        </is>
      </c>
    </row>
    <row r="80">
      <c r="A80" t="inlineStr">
        <is>
          <t>900007611</t>
        </is>
      </c>
      <c r="B80" t="inlineStr">
        <is>
          <t>D860</t>
        </is>
      </c>
      <c r="C80" t="inlineStr">
        <is>
          <t>66896136</t>
        </is>
      </c>
      <c r="D80" t="inlineStr">
        <is>
          <t>10052407</t>
        </is>
      </c>
      <c r="E80" t="inlineStr"/>
      <c r="F80" s="11" t="n">
        <v>128.15</v>
      </c>
      <c r="G80" t="inlineStr"/>
      <c r="I80" t="inlineStr">
        <is>
          <t>M3</t>
        </is>
      </c>
      <c r="J80" t="inlineStr"/>
      <c r="K80" t="inlineStr">
        <is>
          <t>20221109</t>
        </is>
      </c>
      <c r="L80" t="inlineStr">
        <is>
          <t>20251031</t>
        </is>
      </c>
    </row>
    <row r="81">
      <c r="A81" t="inlineStr">
        <is>
          <t>900007611</t>
        </is>
      </c>
      <c r="B81" t="inlineStr">
        <is>
          <t>D860</t>
        </is>
      </c>
      <c r="C81" t="inlineStr">
        <is>
          <t>66909613</t>
        </is>
      </c>
      <c r="D81" t="inlineStr">
        <is>
          <t>10190772</t>
        </is>
      </c>
      <c r="E81" t="inlineStr"/>
      <c r="F81" s="11" t="n">
        <v>108.5</v>
      </c>
      <c r="G81" t="inlineStr"/>
      <c r="I81" t="inlineStr">
        <is>
          <t>M3</t>
        </is>
      </c>
      <c r="J81" t="inlineStr"/>
      <c r="K81" t="inlineStr">
        <is>
          <t>20221109</t>
        </is>
      </c>
      <c r="L81" t="inlineStr">
        <is>
          <t>20251031</t>
        </is>
      </c>
    </row>
    <row r="82">
      <c r="A82" t="inlineStr">
        <is>
          <t>900007611</t>
        </is>
      </c>
      <c r="B82" t="inlineStr">
        <is>
          <t>D860</t>
        </is>
      </c>
      <c r="C82" t="inlineStr">
        <is>
          <t>66954183</t>
        </is>
      </c>
      <c r="D82" t="inlineStr">
        <is>
          <t>10052402</t>
        </is>
      </c>
      <c r="E82" t="inlineStr"/>
      <c r="F82" s="11" t="n">
        <v>153</v>
      </c>
      <c r="G82" t="inlineStr"/>
      <c r="I82" t="inlineStr">
        <is>
          <t>M3</t>
        </is>
      </c>
      <c r="J82" t="inlineStr"/>
      <c r="K82" t="inlineStr">
        <is>
          <t>20221109</t>
        </is>
      </c>
      <c r="L82" t="inlineStr">
        <is>
          <t>20251031</t>
        </is>
      </c>
    </row>
    <row r="83">
      <c r="A83" t="inlineStr">
        <is>
          <t>900007611</t>
        </is>
      </c>
      <c r="B83" t="inlineStr">
        <is>
          <t>D860</t>
        </is>
      </c>
      <c r="C83" t="inlineStr">
        <is>
          <t>66954183</t>
        </is>
      </c>
      <c r="D83" t="inlineStr">
        <is>
          <t>10052407</t>
        </is>
      </c>
      <c r="E83" t="inlineStr"/>
      <c r="F83" s="11" t="n">
        <v>110</v>
      </c>
      <c r="G83" t="inlineStr"/>
      <c r="I83" t="inlineStr">
        <is>
          <t>M3</t>
        </is>
      </c>
      <c r="J83" t="inlineStr"/>
      <c r="K83" t="inlineStr">
        <is>
          <t>20221109</t>
        </is>
      </c>
      <c r="L83" t="inlineStr">
        <is>
          <t>20251031</t>
        </is>
      </c>
    </row>
    <row r="84">
      <c r="A84" t="inlineStr">
        <is>
          <t>900007611</t>
        </is>
      </c>
      <c r="B84" t="inlineStr">
        <is>
          <t>D860</t>
        </is>
      </c>
      <c r="C84" t="inlineStr">
        <is>
          <t>66958065</t>
        </is>
      </c>
      <c r="D84" t="inlineStr">
        <is>
          <t>10052404</t>
        </is>
      </c>
      <c r="E84" t="inlineStr"/>
      <c r="F84" s="11" t="n">
        <v>126</v>
      </c>
      <c r="G84" t="inlineStr"/>
      <c r="I84" t="inlineStr">
        <is>
          <t>M3</t>
        </is>
      </c>
      <c r="J84" t="inlineStr"/>
      <c r="K84" t="inlineStr">
        <is>
          <t>20221109</t>
        </is>
      </c>
      <c r="L84" t="inlineStr">
        <is>
          <t>20251031</t>
        </is>
      </c>
    </row>
    <row r="85">
      <c r="A85" t="inlineStr">
        <is>
          <t>900007611</t>
        </is>
      </c>
      <c r="B85" t="inlineStr">
        <is>
          <t>D860</t>
        </is>
      </c>
      <c r="C85" t="inlineStr">
        <is>
          <t>66958065</t>
        </is>
      </c>
      <c r="D85" t="inlineStr">
        <is>
          <t>10052405</t>
        </is>
      </c>
      <c r="E85" t="inlineStr"/>
      <c r="F85" s="11" t="n">
        <v>130</v>
      </c>
      <c r="G85" t="inlineStr"/>
      <c r="I85" t="inlineStr">
        <is>
          <t>M3</t>
        </is>
      </c>
      <c r="J85" t="inlineStr"/>
      <c r="K85" t="inlineStr">
        <is>
          <t>20221109</t>
        </is>
      </c>
      <c r="L85" t="inlineStr">
        <is>
          <t>20251031</t>
        </is>
      </c>
    </row>
    <row r="86">
      <c r="A86" t="inlineStr">
        <is>
          <t>900007611</t>
        </is>
      </c>
      <c r="B86" t="inlineStr">
        <is>
          <t>D860</t>
        </is>
      </c>
      <c r="C86" t="inlineStr">
        <is>
          <t>66958065</t>
        </is>
      </c>
      <c r="D86" t="inlineStr">
        <is>
          <t>10208119</t>
        </is>
      </c>
      <c r="E86" t="inlineStr"/>
      <c r="F86" s="11" t="n">
        <v>140</v>
      </c>
      <c r="G86" t="inlineStr"/>
      <c r="I86" t="inlineStr">
        <is>
          <t>M3</t>
        </is>
      </c>
      <c r="J86" t="inlineStr"/>
      <c r="K86" t="inlineStr">
        <is>
          <t>20221109</t>
        </is>
      </c>
      <c r="L86" t="inlineStr">
        <is>
          <t>20251031</t>
        </is>
      </c>
    </row>
    <row r="87">
      <c r="A87" t="inlineStr">
        <is>
          <t>900007611</t>
        </is>
      </c>
      <c r="B87" t="inlineStr">
        <is>
          <t>D860</t>
        </is>
      </c>
      <c r="C87" t="inlineStr">
        <is>
          <t>67064029</t>
        </is>
      </c>
      <c r="D87" t="inlineStr">
        <is>
          <t>10208119</t>
        </is>
      </c>
      <c r="E87" t="inlineStr"/>
      <c r="F87" s="11" t="n">
        <v>140</v>
      </c>
      <c r="G87" t="inlineStr"/>
      <c r="I87" t="inlineStr">
        <is>
          <t>M3</t>
        </is>
      </c>
      <c r="J87" t="inlineStr"/>
      <c r="K87" t="inlineStr">
        <is>
          <t>20221109</t>
        </is>
      </c>
      <c r="L87" t="inlineStr">
        <is>
          <t>20251031</t>
        </is>
      </c>
    </row>
    <row r="88">
      <c r="A88" t="inlineStr">
        <is>
          <t>900007611</t>
        </is>
      </c>
      <c r="B88" t="inlineStr">
        <is>
          <t>D860</t>
        </is>
      </c>
      <c r="C88" t="inlineStr">
        <is>
          <t>67066486</t>
        </is>
      </c>
      <c r="D88" t="inlineStr">
        <is>
          <t>10152920</t>
        </is>
      </c>
      <c r="E88" t="inlineStr"/>
      <c r="F88" s="11" t="n">
        <v>140.5</v>
      </c>
      <c r="G88" t="inlineStr"/>
      <c r="I88" t="inlineStr">
        <is>
          <t>M3</t>
        </is>
      </c>
      <c r="J88" t="inlineStr"/>
      <c r="K88" t="inlineStr">
        <is>
          <t>20221109</t>
        </is>
      </c>
      <c r="L88" t="inlineStr">
        <is>
          <t>20251031</t>
        </is>
      </c>
    </row>
    <row r="89">
      <c r="A89" t="inlineStr">
        <is>
          <t>900007611</t>
        </is>
      </c>
      <c r="B89" t="inlineStr">
        <is>
          <t>D860</t>
        </is>
      </c>
      <c r="C89" t="inlineStr">
        <is>
          <t>67118819</t>
        </is>
      </c>
      <c r="D89" t="inlineStr">
        <is>
          <t>10052402</t>
        </is>
      </c>
      <c r="E89" t="inlineStr"/>
      <c r="F89" s="11" t="n">
        <v>183.8</v>
      </c>
      <c r="G89" t="inlineStr"/>
      <c r="I89" t="inlineStr">
        <is>
          <t>M3</t>
        </is>
      </c>
      <c r="J89" t="inlineStr"/>
      <c r="K89" t="inlineStr">
        <is>
          <t>20221109</t>
        </is>
      </c>
      <c r="L89" t="inlineStr">
        <is>
          <t>20251031</t>
        </is>
      </c>
    </row>
    <row r="90">
      <c r="A90" t="inlineStr">
        <is>
          <t>900007611</t>
        </is>
      </c>
      <c r="B90" t="inlineStr">
        <is>
          <t>D860</t>
        </is>
      </c>
      <c r="C90" t="inlineStr">
        <is>
          <t>67118819</t>
        </is>
      </c>
      <c r="D90" t="inlineStr">
        <is>
          <t>10052404</t>
        </is>
      </c>
      <c r="E90" t="inlineStr"/>
      <c r="F90" s="11" t="n">
        <v>144.2</v>
      </c>
      <c r="G90" t="inlineStr"/>
      <c r="I90" t="inlineStr">
        <is>
          <t>M3</t>
        </is>
      </c>
      <c r="J90" t="inlineStr"/>
      <c r="K90" t="inlineStr">
        <is>
          <t>20221109</t>
        </is>
      </c>
      <c r="L90" t="inlineStr">
        <is>
          <t>20251031</t>
        </is>
      </c>
    </row>
    <row r="91">
      <c r="A91" t="inlineStr">
        <is>
          <t>900007611</t>
        </is>
      </c>
      <c r="B91" t="inlineStr">
        <is>
          <t>D860</t>
        </is>
      </c>
      <c r="C91" t="inlineStr">
        <is>
          <t>67118819</t>
        </is>
      </c>
      <c r="D91" t="inlineStr">
        <is>
          <t>10052405</t>
        </is>
      </c>
      <c r="E91" t="inlineStr"/>
      <c r="F91" s="11" t="n">
        <v>144.2</v>
      </c>
      <c r="G91" t="inlineStr"/>
      <c r="I91" t="inlineStr">
        <is>
          <t>M3</t>
        </is>
      </c>
      <c r="J91" t="inlineStr"/>
      <c r="K91" t="inlineStr">
        <is>
          <t>20221109</t>
        </is>
      </c>
      <c r="L91" t="inlineStr">
        <is>
          <t>20251031</t>
        </is>
      </c>
    </row>
    <row r="92">
      <c r="A92" t="inlineStr">
        <is>
          <t>900007611</t>
        </is>
      </c>
      <c r="B92" t="inlineStr">
        <is>
          <t>D860</t>
        </is>
      </c>
      <c r="C92" t="inlineStr">
        <is>
          <t>67118819</t>
        </is>
      </c>
      <c r="D92" t="inlineStr">
        <is>
          <t>10052407</t>
        </is>
      </c>
      <c r="E92" t="inlineStr"/>
      <c r="F92" s="11" t="n">
        <v>128.15</v>
      </c>
      <c r="G92" t="inlineStr"/>
      <c r="I92" t="inlineStr">
        <is>
          <t>M3</t>
        </is>
      </c>
      <c r="J92" t="inlineStr"/>
      <c r="K92" t="inlineStr">
        <is>
          <t>20221109</t>
        </is>
      </c>
      <c r="L92" t="inlineStr">
        <is>
          <t>20251031</t>
        </is>
      </c>
    </row>
    <row r="93">
      <c r="A93" t="inlineStr">
        <is>
          <t>900007611</t>
        </is>
      </c>
      <c r="B93" t="inlineStr">
        <is>
          <t>D860</t>
        </is>
      </c>
      <c r="C93" t="inlineStr">
        <is>
          <t>67154732</t>
        </is>
      </c>
      <c r="D93" t="inlineStr">
        <is>
          <t>10052407</t>
        </is>
      </c>
      <c r="E93" t="inlineStr"/>
      <c r="F93" s="11" t="n">
        <v>109</v>
      </c>
      <c r="G93" t="inlineStr"/>
      <c r="I93" t="inlineStr">
        <is>
          <t>M3</t>
        </is>
      </c>
      <c r="J93" t="inlineStr"/>
      <c r="K93" t="inlineStr">
        <is>
          <t>20221109</t>
        </is>
      </c>
      <c r="L93" t="inlineStr">
        <is>
          <t>20251031</t>
        </is>
      </c>
    </row>
    <row r="94">
      <c r="A94" t="inlineStr">
        <is>
          <t>900007611</t>
        </is>
      </c>
      <c r="B94" t="inlineStr">
        <is>
          <t>D860</t>
        </is>
      </c>
      <c r="C94" t="inlineStr">
        <is>
          <t>67154732</t>
        </is>
      </c>
      <c r="D94" t="inlineStr">
        <is>
          <t>10190637</t>
        </is>
      </c>
      <c r="E94" t="inlineStr"/>
      <c r="F94" s="11" t="n">
        <v>119.5</v>
      </c>
      <c r="G94" t="inlineStr"/>
      <c r="I94" t="inlineStr">
        <is>
          <t>M3</t>
        </is>
      </c>
      <c r="J94" t="inlineStr"/>
      <c r="K94" t="inlineStr">
        <is>
          <t>20221109</t>
        </is>
      </c>
      <c r="L94" t="inlineStr">
        <is>
          <t>20251031</t>
        </is>
      </c>
    </row>
    <row r="95">
      <c r="A95" t="inlineStr">
        <is>
          <t>900007611</t>
        </is>
      </c>
      <c r="B95" t="inlineStr">
        <is>
          <t>D860</t>
        </is>
      </c>
      <c r="C95" t="inlineStr">
        <is>
          <t>67154732</t>
        </is>
      </c>
      <c r="D95" t="inlineStr">
        <is>
          <t>10190772</t>
        </is>
      </c>
      <c r="E95" t="inlineStr"/>
      <c r="F95" s="11" t="n">
        <v>67</v>
      </c>
      <c r="G95" t="inlineStr"/>
      <c r="I95" t="inlineStr">
        <is>
          <t>M3</t>
        </is>
      </c>
      <c r="J95" t="inlineStr"/>
      <c r="K95" t="inlineStr">
        <is>
          <t>20221109</t>
        </is>
      </c>
      <c r="L95" t="inlineStr">
        <is>
          <t>20251031</t>
        </is>
      </c>
    </row>
    <row r="96">
      <c r="A96" t="inlineStr">
        <is>
          <t>900007611</t>
        </is>
      </c>
      <c r="B96" t="inlineStr">
        <is>
          <t>D860</t>
        </is>
      </c>
      <c r="C96" t="inlineStr">
        <is>
          <t>67156895</t>
        </is>
      </c>
      <c r="D96" t="inlineStr">
        <is>
          <t>10052407</t>
        </is>
      </c>
      <c r="E96" t="inlineStr"/>
      <c r="F96" s="11" t="n">
        <v>109</v>
      </c>
      <c r="G96" t="inlineStr"/>
      <c r="I96" t="inlineStr">
        <is>
          <t>M3</t>
        </is>
      </c>
      <c r="J96" t="inlineStr"/>
      <c r="K96" t="inlineStr">
        <is>
          <t>20221109</t>
        </is>
      </c>
      <c r="L96" t="inlineStr">
        <is>
          <t>20251031</t>
        </is>
      </c>
    </row>
    <row r="97">
      <c r="A97" t="inlineStr">
        <is>
          <t>900007611</t>
        </is>
      </c>
      <c r="B97" t="inlineStr">
        <is>
          <t>D860</t>
        </is>
      </c>
      <c r="C97" t="inlineStr">
        <is>
          <t>67156895</t>
        </is>
      </c>
      <c r="D97" t="inlineStr">
        <is>
          <t>10190637</t>
        </is>
      </c>
      <c r="E97" t="inlineStr"/>
      <c r="F97" s="11" t="n">
        <v>119.5</v>
      </c>
      <c r="G97" t="inlineStr"/>
      <c r="I97" t="inlineStr">
        <is>
          <t>M3</t>
        </is>
      </c>
      <c r="J97" t="inlineStr"/>
      <c r="K97" t="inlineStr">
        <is>
          <t>20221109</t>
        </is>
      </c>
      <c r="L97" t="inlineStr">
        <is>
          <t>20251031</t>
        </is>
      </c>
    </row>
    <row r="98">
      <c r="A98" t="inlineStr">
        <is>
          <t>900007611</t>
        </is>
      </c>
      <c r="B98" t="inlineStr">
        <is>
          <t>D860</t>
        </is>
      </c>
      <c r="C98" t="inlineStr">
        <is>
          <t>67156895</t>
        </is>
      </c>
      <c r="D98" t="inlineStr">
        <is>
          <t>10190772</t>
        </is>
      </c>
      <c r="E98" t="inlineStr"/>
      <c r="F98" s="11" t="n">
        <v>67</v>
      </c>
      <c r="G98" t="inlineStr"/>
      <c r="I98" t="inlineStr">
        <is>
          <t>M3</t>
        </is>
      </c>
      <c r="J98" t="inlineStr"/>
      <c r="K98" t="inlineStr">
        <is>
          <t>20221109</t>
        </is>
      </c>
      <c r="L98" t="inlineStr">
        <is>
          <t>20251031</t>
        </is>
      </c>
    </row>
    <row r="99">
      <c r="A99" t="inlineStr">
        <is>
          <t>900007611</t>
        </is>
      </c>
      <c r="B99" t="inlineStr">
        <is>
          <t>D860</t>
        </is>
      </c>
      <c r="C99" t="inlineStr">
        <is>
          <t>67285616</t>
        </is>
      </c>
      <c r="D99" t="inlineStr">
        <is>
          <t>10052407</t>
        </is>
      </c>
      <c r="E99" t="inlineStr"/>
      <c r="F99" s="11" t="n">
        <v>137.5</v>
      </c>
      <c r="G99" t="inlineStr"/>
      <c r="I99" t="inlineStr">
        <is>
          <t>M3</t>
        </is>
      </c>
      <c r="J99" t="inlineStr"/>
      <c r="K99" t="inlineStr">
        <is>
          <t>20221109</t>
        </is>
      </c>
      <c r="L99" t="inlineStr">
        <is>
          <t>20251031</t>
        </is>
      </c>
    </row>
    <row r="100">
      <c r="A100" t="inlineStr">
        <is>
          <t>900007611</t>
        </is>
      </c>
      <c r="B100" t="inlineStr">
        <is>
          <t>D860</t>
        </is>
      </c>
      <c r="C100" t="inlineStr">
        <is>
          <t>67285616</t>
        </is>
      </c>
      <c r="D100" t="inlineStr">
        <is>
          <t>10152920</t>
        </is>
      </c>
      <c r="E100" t="inlineStr"/>
      <c r="F100" s="11" t="n">
        <v>248.67</v>
      </c>
      <c r="G100" t="inlineStr"/>
      <c r="I100" t="inlineStr">
        <is>
          <t>M3</t>
        </is>
      </c>
      <c r="J100" t="inlineStr"/>
      <c r="K100" t="inlineStr">
        <is>
          <t>20221109</t>
        </is>
      </c>
      <c r="L100" t="inlineStr">
        <is>
          <t>20251031</t>
        </is>
      </c>
    </row>
    <row r="101">
      <c r="A101" t="inlineStr">
        <is>
          <t>900007612</t>
        </is>
      </c>
      <c r="B101" t="inlineStr">
        <is>
          <t>D860</t>
        </is>
      </c>
      <c r="C101" t="inlineStr">
        <is>
          <t>66540822</t>
        </is>
      </c>
      <c r="D101" t="inlineStr">
        <is>
          <t>10052402</t>
        </is>
      </c>
      <c r="E101" t="inlineStr"/>
      <c r="F101" s="11" t="n">
        <v>141.9</v>
      </c>
      <c r="G101" t="inlineStr"/>
      <c r="I101" t="inlineStr">
        <is>
          <t>M3</t>
        </is>
      </c>
      <c r="J101" t="inlineStr"/>
      <c r="K101" t="inlineStr">
        <is>
          <t>20221109</t>
        </is>
      </c>
      <c r="L101" t="inlineStr">
        <is>
          <t>20251031</t>
        </is>
      </c>
    </row>
    <row r="102">
      <c r="A102" t="inlineStr">
        <is>
          <t>900007612</t>
        </is>
      </c>
      <c r="B102" t="inlineStr">
        <is>
          <t>D860</t>
        </is>
      </c>
      <c r="C102" t="inlineStr">
        <is>
          <t>66540822</t>
        </is>
      </c>
      <c r="D102" t="inlineStr">
        <is>
          <t>10052404</t>
        </is>
      </c>
      <c r="E102" t="inlineStr"/>
      <c r="F102" s="11" t="n">
        <v>141.9</v>
      </c>
      <c r="G102" t="inlineStr"/>
      <c r="I102" t="inlineStr">
        <is>
          <t>M3</t>
        </is>
      </c>
      <c r="J102" t="inlineStr"/>
      <c r="K102" t="inlineStr">
        <is>
          <t>20221109</t>
        </is>
      </c>
      <c r="L102" t="inlineStr">
        <is>
          <t>20251031</t>
        </is>
      </c>
    </row>
    <row r="103">
      <c r="A103" t="inlineStr">
        <is>
          <t>900007612</t>
        </is>
      </c>
      <c r="B103" t="inlineStr">
        <is>
          <t>D860</t>
        </is>
      </c>
      <c r="C103" t="inlineStr">
        <is>
          <t>66540822</t>
        </is>
      </c>
      <c r="D103" t="inlineStr">
        <is>
          <t>10052405</t>
        </is>
      </c>
      <c r="E103" t="inlineStr"/>
      <c r="F103" s="11" t="n">
        <v>129.6</v>
      </c>
      <c r="G103" t="inlineStr"/>
      <c r="I103" t="inlineStr">
        <is>
          <t>M3</t>
        </is>
      </c>
      <c r="J103" t="inlineStr"/>
      <c r="K103" t="inlineStr">
        <is>
          <t>20221109</t>
        </is>
      </c>
      <c r="L103" t="inlineStr">
        <is>
          <t>20251031</t>
        </is>
      </c>
    </row>
    <row r="104">
      <c r="A104" t="inlineStr">
        <is>
          <t>900007612</t>
        </is>
      </c>
      <c r="B104" t="inlineStr">
        <is>
          <t>D860</t>
        </is>
      </c>
      <c r="C104" t="inlineStr">
        <is>
          <t>66540822</t>
        </is>
      </c>
      <c r="D104" t="inlineStr">
        <is>
          <t>10052407</t>
        </is>
      </c>
      <c r="E104" t="inlineStr"/>
      <c r="F104" s="11" t="n">
        <v>128.7</v>
      </c>
      <c r="G104" t="inlineStr"/>
      <c r="I104" t="inlineStr">
        <is>
          <t>M3</t>
        </is>
      </c>
      <c r="J104" t="inlineStr"/>
      <c r="K104" t="inlineStr">
        <is>
          <t>20221109</t>
        </is>
      </c>
      <c r="L104" t="inlineStr">
        <is>
          <t>20251031</t>
        </is>
      </c>
    </row>
    <row r="105">
      <c r="A105" t="inlineStr">
        <is>
          <t>900007612</t>
        </is>
      </c>
      <c r="B105" t="inlineStr">
        <is>
          <t>D860</t>
        </is>
      </c>
      <c r="C105" t="inlineStr">
        <is>
          <t>66909613</t>
        </is>
      </c>
      <c r="D105" t="inlineStr">
        <is>
          <t>10190772</t>
        </is>
      </c>
      <c r="E105" t="inlineStr"/>
      <c r="F105" s="11" t="n">
        <v>283.5</v>
      </c>
      <c r="G105" t="inlineStr"/>
      <c r="I105" t="inlineStr">
        <is>
          <t>M3</t>
        </is>
      </c>
      <c r="J105" t="inlineStr"/>
      <c r="K105" t="inlineStr">
        <is>
          <t>20221109</t>
        </is>
      </c>
      <c r="L105" t="inlineStr">
        <is>
          <t>20251031</t>
        </is>
      </c>
    </row>
    <row r="106">
      <c r="A106" t="inlineStr">
        <is>
          <t>900007612</t>
        </is>
      </c>
      <c r="B106" t="inlineStr">
        <is>
          <t>D860</t>
        </is>
      </c>
      <c r="C106" t="inlineStr">
        <is>
          <t>66954183</t>
        </is>
      </c>
      <c r="D106" t="inlineStr">
        <is>
          <t>10052402</t>
        </is>
      </c>
      <c r="E106" t="inlineStr"/>
      <c r="F106" s="11" t="n">
        <v>155</v>
      </c>
      <c r="G106" t="inlineStr"/>
      <c r="I106" t="inlineStr">
        <is>
          <t>M3</t>
        </is>
      </c>
      <c r="J106" t="inlineStr"/>
      <c r="K106" t="inlineStr">
        <is>
          <t>20221109</t>
        </is>
      </c>
      <c r="L106" t="inlineStr">
        <is>
          <t>20251031</t>
        </is>
      </c>
    </row>
    <row r="107">
      <c r="A107" t="inlineStr">
        <is>
          <t>900007612</t>
        </is>
      </c>
      <c r="B107" t="inlineStr">
        <is>
          <t>D860</t>
        </is>
      </c>
      <c r="C107" t="inlineStr">
        <is>
          <t>66954183</t>
        </is>
      </c>
      <c r="D107" t="inlineStr">
        <is>
          <t>10052407</t>
        </is>
      </c>
      <c r="E107" t="inlineStr"/>
      <c r="F107" s="11" t="n">
        <v>110</v>
      </c>
      <c r="G107" t="inlineStr"/>
      <c r="I107" t="inlineStr">
        <is>
          <t>M3</t>
        </is>
      </c>
      <c r="J107" t="inlineStr"/>
      <c r="K107" t="inlineStr">
        <is>
          <t>20221109</t>
        </is>
      </c>
      <c r="L107" t="inlineStr">
        <is>
          <t>20251031</t>
        </is>
      </c>
    </row>
    <row r="108">
      <c r="A108" t="inlineStr">
        <is>
          <t>900007612</t>
        </is>
      </c>
      <c r="B108" t="inlineStr">
        <is>
          <t>D860</t>
        </is>
      </c>
      <c r="C108" t="inlineStr">
        <is>
          <t>66958065</t>
        </is>
      </c>
      <c r="D108" t="inlineStr">
        <is>
          <t>10052407</t>
        </is>
      </c>
      <c r="E108" t="inlineStr"/>
      <c r="F108" s="11" t="n">
        <v>110</v>
      </c>
      <c r="G108" t="inlineStr"/>
      <c r="I108" t="inlineStr">
        <is>
          <t>M3</t>
        </is>
      </c>
      <c r="J108" t="inlineStr"/>
      <c r="K108" t="inlineStr">
        <is>
          <t>20221109</t>
        </is>
      </c>
      <c r="L108" t="inlineStr">
        <is>
          <t>20251031</t>
        </is>
      </c>
    </row>
    <row r="109">
      <c r="A109" t="inlineStr">
        <is>
          <t>900007612</t>
        </is>
      </c>
      <c r="B109" t="inlineStr">
        <is>
          <t>D860</t>
        </is>
      </c>
      <c r="C109" t="inlineStr">
        <is>
          <t>66958065</t>
        </is>
      </c>
      <c r="D109" t="inlineStr">
        <is>
          <t>10190637</t>
        </is>
      </c>
      <c r="E109" t="inlineStr"/>
      <c r="F109" s="11" t="n">
        <v>120</v>
      </c>
      <c r="G109" t="inlineStr"/>
      <c r="I109" t="inlineStr">
        <is>
          <t>M3</t>
        </is>
      </c>
      <c r="J109" t="inlineStr"/>
      <c r="K109" t="inlineStr">
        <is>
          <t>20221109</t>
        </is>
      </c>
      <c r="L109" t="inlineStr">
        <is>
          <t>20251031</t>
        </is>
      </c>
    </row>
    <row r="110">
      <c r="A110" t="inlineStr">
        <is>
          <t>900007612</t>
        </is>
      </c>
      <c r="B110" t="inlineStr">
        <is>
          <t>D860</t>
        </is>
      </c>
      <c r="C110" t="inlineStr">
        <is>
          <t>66958065</t>
        </is>
      </c>
      <c r="D110" t="inlineStr">
        <is>
          <t>10208119</t>
        </is>
      </c>
      <c r="E110" t="inlineStr"/>
      <c r="F110" s="11" t="n">
        <v>140</v>
      </c>
      <c r="G110" t="inlineStr"/>
      <c r="I110" t="inlineStr">
        <is>
          <t>M3</t>
        </is>
      </c>
      <c r="J110" t="inlineStr"/>
      <c r="K110" t="inlineStr">
        <is>
          <t>20221109</t>
        </is>
      </c>
      <c r="L110" t="inlineStr">
        <is>
          <t>20251031</t>
        </is>
      </c>
    </row>
    <row r="111">
      <c r="A111" t="inlineStr">
        <is>
          <t>900007612</t>
        </is>
      </c>
      <c r="B111" t="inlineStr">
        <is>
          <t>D860</t>
        </is>
      </c>
      <c r="C111" t="inlineStr">
        <is>
          <t>67064029</t>
        </is>
      </c>
      <c r="D111" t="inlineStr">
        <is>
          <t>10052402</t>
        </is>
      </c>
      <c r="E111" t="inlineStr"/>
      <c r="F111" s="11" t="n">
        <v>173.25</v>
      </c>
      <c r="G111" t="inlineStr"/>
      <c r="I111" t="inlineStr">
        <is>
          <t>M3</t>
        </is>
      </c>
      <c r="J111" t="inlineStr"/>
      <c r="K111" t="inlineStr">
        <is>
          <t>20221109</t>
        </is>
      </c>
      <c r="L111" t="inlineStr">
        <is>
          <t>20251031</t>
        </is>
      </c>
    </row>
    <row r="112">
      <c r="A112" t="inlineStr">
        <is>
          <t>900007612</t>
        </is>
      </c>
      <c r="B112" t="inlineStr">
        <is>
          <t>D860</t>
        </is>
      </c>
      <c r="C112" t="inlineStr">
        <is>
          <t>67064029</t>
        </is>
      </c>
      <c r="D112" t="inlineStr">
        <is>
          <t>10052404</t>
        </is>
      </c>
      <c r="E112" t="inlineStr"/>
      <c r="F112" s="11" t="n">
        <v>126</v>
      </c>
      <c r="G112" t="inlineStr"/>
      <c r="I112" t="inlineStr">
        <is>
          <t>M3</t>
        </is>
      </c>
      <c r="J112" t="inlineStr"/>
      <c r="K112" t="inlineStr">
        <is>
          <t>20221109</t>
        </is>
      </c>
      <c r="L112" t="inlineStr">
        <is>
          <t>20251031</t>
        </is>
      </c>
    </row>
    <row r="113">
      <c r="A113" t="inlineStr">
        <is>
          <t>900007612</t>
        </is>
      </c>
      <c r="B113" t="inlineStr">
        <is>
          <t>D860</t>
        </is>
      </c>
      <c r="C113" t="inlineStr">
        <is>
          <t>67064029</t>
        </is>
      </c>
      <c r="D113" t="inlineStr">
        <is>
          <t>10052407</t>
        </is>
      </c>
      <c r="E113" t="inlineStr"/>
      <c r="F113" s="11" t="n">
        <v>126</v>
      </c>
      <c r="G113" t="inlineStr"/>
      <c r="I113" t="inlineStr">
        <is>
          <t>M3</t>
        </is>
      </c>
      <c r="J113" t="inlineStr"/>
      <c r="K113" t="inlineStr">
        <is>
          <t>20221109</t>
        </is>
      </c>
      <c r="L113" t="inlineStr">
        <is>
          <t>20251031</t>
        </is>
      </c>
    </row>
    <row r="114">
      <c r="A114" t="inlineStr">
        <is>
          <t>900007612</t>
        </is>
      </c>
      <c r="B114" t="inlineStr">
        <is>
          <t>D860</t>
        </is>
      </c>
      <c r="C114" t="inlineStr">
        <is>
          <t>67064029</t>
        </is>
      </c>
      <c r="D114" t="inlineStr">
        <is>
          <t>10208119</t>
        </is>
      </c>
      <c r="E114" t="inlineStr"/>
      <c r="F114" s="11" t="n">
        <v>140</v>
      </c>
      <c r="G114" t="inlineStr"/>
      <c r="I114" t="inlineStr">
        <is>
          <t>M3</t>
        </is>
      </c>
      <c r="J114" t="inlineStr"/>
      <c r="K114" t="inlineStr">
        <is>
          <t>20221109</t>
        </is>
      </c>
      <c r="L114" t="inlineStr">
        <is>
          <t>20251031</t>
        </is>
      </c>
    </row>
    <row r="115">
      <c r="A115" t="inlineStr">
        <is>
          <t>900007612</t>
        </is>
      </c>
      <c r="B115" t="inlineStr">
        <is>
          <t>D860</t>
        </is>
      </c>
      <c r="C115" t="inlineStr">
        <is>
          <t>67066486</t>
        </is>
      </c>
      <c r="D115" t="inlineStr">
        <is>
          <t>10152920</t>
        </is>
      </c>
      <c r="E115" t="inlineStr"/>
      <c r="F115" s="11" t="n">
        <v>130</v>
      </c>
      <c r="G115" t="inlineStr"/>
      <c r="I115" t="inlineStr">
        <is>
          <t>M3</t>
        </is>
      </c>
      <c r="J115" t="inlineStr"/>
      <c r="K115" t="inlineStr">
        <is>
          <t>20221109</t>
        </is>
      </c>
      <c r="L115" t="inlineStr">
        <is>
          <t>20251031</t>
        </is>
      </c>
    </row>
    <row r="116">
      <c r="A116" t="inlineStr">
        <is>
          <t>900007612</t>
        </is>
      </c>
      <c r="B116" t="inlineStr">
        <is>
          <t>D860</t>
        </is>
      </c>
      <c r="C116" t="inlineStr">
        <is>
          <t>67160086</t>
        </is>
      </c>
      <c r="D116" t="inlineStr">
        <is>
          <t>10052404</t>
        </is>
      </c>
      <c r="E116" t="inlineStr"/>
      <c r="F116" s="11" t="n">
        <v>149.8</v>
      </c>
      <c r="G116" t="inlineStr"/>
      <c r="I116" t="inlineStr">
        <is>
          <t>M3</t>
        </is>
      </c>
      <c r="J116" t="inlineStr"/>
      <c r="K116" t="inlineStr">
        <is>
          <t>20221109</t>
        </is>
      </c>
      <c r="L116" t="inlineStr">
        <is>
          <t>20251031</t>
        </is>
      </c>
    </row>
    <row r="117">
      <c r="A117" t="inlineStr">
        <is>
          <t>900007612</t>
        </is>
      </c>
      <c r="B117" t="inlineStr">
        <is>
          <t>D860</t>
        </is>
      </c>
      <c r="C117" t="inlineStr">
        <is>
          <t>67160086</t>
        </is>
      </c>
      <c r="D117" t="inlineStr">
        <is>
          <t>10052407</t>
        </is>
      </c>
      <c r="E117" t="inlineStr"/>
      <c r="F117" s="11" t="n">
        <v>133.75</v>
      </c>
      <c r="G117" t="inlineStr"/>
      <c r="I117" t="inlineStr">
        <is>
          <t>M3</t>
        </is>
      </c>
      <c r="J117" t="inlineStr"/>
      <c r="K117" t="inlineStr">
        <is>
          <t>20221109</t>
        </is>
      </c>
      <c r="L117" t="inlineStr">
        <is>
          <t>20251031</t>
        </is>
      </c>
    </row>
    <row r="118">
      <c r="A118" t="inlineStr">
        <is>
          <t>900008951</t>
        </is>
      </c>
      <c r="B118" t="inlineStr">
        <is>
          <t>D860</t>
        </is>
      </c>
      <c r="C118" t="inlineStr">
        <is>
          <t>67310311</t>
        </is>
      </c>
      <c r="D118" t="inlineStr">
        <is>
          <t>10262224</t>
        </is>
      </c>
      <c r="E118" t="inlineStr"/>
      <c r="F118" s="11" t="n">
        <v>136.8</v>
      </c>
      <c r="G118" t="inlineStr"/>
      <c r="I118" t="inlineStr">
        <is>
          <t>M3</t>
        </is>
      </c>
      <c r="J118" t="inlineStr"/>
      <c r="K118" t="inlineStr">
        <is>
          <t>20221109</t>
        </is>
      </c>
      <c r="L118" t="inlineStr">
        <is>
          <t>20251031</t>
        </is>
      </c>
    </row>
    <row r="119">
      <c r="A119" t="inlineStr">
        <is>
          <t>900005375</t>
        </is>
      </c>
      <c r="B119" t="inlineStr">
        <is>
          <t>D860</t>
        </is>
      </c>
      <c r="C119" t="inlineStr">
        <is>
          <t>66896136</t>
        </is>
      </c>
      <c r="D119" t="inlineStr">
        <is>
          <t>10052402</t>
        </is>
      </c>
      <c r="E119" t="inlineStr"/>
      <c r="F119" s="11" t="n">
        <v>215.61</v>
      </c>
      <c r="G119" t="inlineStr"/>
      <c r="I119" t="inlineStr">
        <is>
          <t>M3</t>
        </is>
      </c>
      <c r="J119" t="inlineStr"/>
      <c r="K119" t="inlineStr">
        <is>
          <t>20250502</t>
        </is>
      </c>
      <c r="L119" t="inlineStr">
        <is>
          <t>99991231</t>
        </is>
      </c>
    </row>
    <row r="120">
      <c r="A120" t="inlineStr">
        <is>
          <t>900005375</t>
        </is>
      </c>
      <c r="B120" t="inlineStr">
        <is>
          <t>D860</t>
        </is>
      </c>
      <c r="C120" t="inlineStr">
        <is>
          <t>66896136</t>
        </is>
      </c>
      <c r="D120" t="inlineStr">
        <is>
          <t>10052405</t>
        </is>
      </c>
      <c r="E120" t="inlineStr"/>
      <c r="F120" s="11" t="n">
        <v>139.1</v>
      </c>
      <c r="G120" t="inlineStr"/>
      <c r="I120" t="inlineStr">
        <is>
          <t>M3</t>
        </is>
      </c>
      <c r="J120" t="inlineStr"/>
      <c r="K120" t="inlineStr">
        <is>
          <t>20250502</t>
        </is>
      </c>
      <c r="L120" t="inlineStr">
        <is>
          <t>99991231</t>
        </is>
      </c>
    </row>
    <row r="121">
      <c r="A121" t="inlineStr">
        <is>
          <t>900005375</t>
        </is>
      </c>
      <c r="B121" t="inlineStr">
        <is>
          <t>D860</t>
        </is>
      </c>
      <c r="C121" t="inlineStr">
        <is>
          <t>66896136</t>
        </is>
      </c>
      <c r="D121" t="inlineStr">
        <is>
          <t>10052407</t>
        </is>
      </c>
      <c r="E121" t="inlineStr"/>
      <c r="F121" s="11" t="n">
        <v>125.19</v>
      </c>
      <c r="G121" t="inlineStr"/>
      <c r="I121" t="inlineStr">
        <is>
          <t>M3</t>
        </is>
      </c>
      <c r="J121" t="inlineStr"/>
      <c r="K121" t="inlineStr">
        <is>
          <t>20250502</t>
        </is>
      </c>
      <c r="L121" t="inlineStr">
        <is>
          <t>99991231</t>
        </is>
      </c>
    </row>
    <row r="122">
      <c r="A122" t="inlineStr">
        <is>
          <t>900005375</t>
        </is>
      </c>
      <c r="B122" t="inlineStr">
        <is>
          <t>D860</t>
        </is>
      </c>
      <c r="C122" t="inlineStr">
        <is>
          <t>66896136</t>
        </is>
      </c>
      <c r="D122" t="inlineStr">
        <is>
          <t>10190637</t>
        </is>
      </c>
      <c r="E122" t="inlineStr"/>
      <c r="F122" s="11" t="n">
        <v>139.1</v>
      </c>
      <c r="G122" t="inlineStr"/>
      <c r="I122" t="inlineStr">
        <is>
          <t>M3</t>
        </is>
      </c>
      <c r="J122" t="inlineStr"/>
      <c r="K122" t="inlineStr">
        <is>
          <t>20250502</t>
        </is>
      </c>
      <c r="L122" t="inlineStr">
        <is>
          <t>99991231</t>
        </is>
      </c>
    </row>
    <row r="123">
      <c r="A123" t="inlineStr">
        <is>
          <t>900007611</t>
        </is>
      </c>
      <c r="B123" t="inlineStr">
        <is>
          <t>D860</t>
        </is>
      </c>
      <c r="C123" t="inlineStr">
        <is>
          <t>66958065</t>
        </is>
      </c>
      <c r="D123" t="inlineStr">
        <is>
          <t>10052402</t>
        </is>
      </c>
      <c r="E123" t="inlineStr"/>
      <c r="F123" s="11" t="n">
        <v>220</v>
      </c>
      <c r="G123" t="inlineStr"/>
      <c r="I123" t="inlineStr">
        <is>
          <t>M3</t>
        </is>
      </c>
      <c r="J123" t="inlineStr"/>
      <c r="K123" t="inlineStr">
        <is>
          <t>20260327</t>
        </is>
      </c>
      <c r="L123" t="inlineStr">
        <is>
          <t>99991231</t>
        </is>
      </c>
    </row>
    <row r="124">
      <c r="A124" t="inlineStr">
        <is>
          <t>900007611</t>
        </is>
      </c>
      <c r="B124" t="inlineStr">
        <is>
          <t>D860</t>
        </is>
      </c>
      <c r="C124" t="inlineStr">
        <is>
          <t>66958065</t>
        </is>
      </c>
      <c r="D124" t="inlineStr">
        <is>
          <t>10052407</t>
        </is>
      </c>
      <c r="E124" t="inlineStr"/>
      <c r="F124" s="11" t="n">
        <v>143</v>
      </c>
      <c r="G124" t="inlineStr"/>
      <c r="I124" t="inlineStr">
        <is>
          <t>M3</t>
        </is>
      </c>
      <c r="J124" t="inlineStr"/>
      <c r="K124" t="inlineStr">
        <is>
          <t>20260327</t>
        </is>
      </c>
      <c r="L124" t="inlineStr">
        <is>
          <t>99991231</t>
        </is>
      </c>
    </row>
    <row r="125">
      <c r="A125" t="inlineStr">
        <is>
          <t>900007611</t>
        </is>
      </c>
      <c r="B125" t="inlineStr">
        <is>
          <t>D860</t>
        </is>
      </c>
      <c r="C125" t="inlineStr">
        <is>
          <t>66958065</t>
        </is>
      </c>
      <c r="D125" t="inlineStr">
        <is>
          <t>10190637</t>
        </is>
      </c>
      <c r="E125" t="inlineStr"/>
      <c r="F125" s="11" t="n">
        <v>159.5</v>
      </c>
      <c r="G125" t="inlineStr"/>
      <c r="I125" t="inlineStr">
        <is>
          <t>M3</t>
        </is>
      </c>
      <c r="J125" t="inlineStr"/>
      <c r="K125" t="inlineStr">
        <is>
          <t>20260327</t>
        </is>
      </c>
      <c r="L125" t="inlineStr">
        <is>
          <t>99991231</t>
        </is>
      </c>
    </row>
    <row r="126">
      <c r="A126" t="inlineStr">
        <is>
          <t>900007611</t>
        </is>
      </c>
      <c r="B126" t="inlineStr">
        <is>
          <t>D860</t>
        </is>
      </c>
      <c r="C126" t="inlineStr">
        <is>
          <t>66958065</t>
        </is>
      </c>
      <c r="D126" t="inlineStr">
        <is>
          <t>10262224</t>
        </is>
      </c>
      <c r="E126" t="inlineStr"/>
      <c r="F126" s="11" t="n">
        <v>159.5</v>
      </c>
      <c r="G126" t="inlineStr"/>
      <c r="I126" t="inlineStr">
        <is>
          <t>M3</t>
        </is>
      </c>
      <c r="J126" t="inlineStr"/>
      <c r="K126" t="inlineStr">
        <is>
          <t>20260327</t>
        </is>
      </c>
      <c r="L126" t="inlineStr">
        <is>
          <t>99991231</t>
        </is>
      </c>
    </row>
    <row r="127">
      <c r="A127" t="inlineStr">
        <is>
          <t>900007611</t>
        </is>
      </c>
      <c r="B127" t="inlineStr">
        <is>
          <t>D860</t>
        </is>
      </c>
      <c r="C127" t="inlineStr">
        <is>
          <t>67064029</t>
        </is>
      </c>
      <c r="D127" t="inlineStr">
        <is>
          <t>10052402</t>
        </is>
      </c>
      <c r="E127" t="inlineStr"/>
      <c r="F127" s="11" t="n">
        <v>220</v>
      </c>
      <c r="G127" t="inlineStr"/>
      <c r="I127" t="inlineStr">
        <is>
          <t>M3</t>
        </is>
      </c>
      <c r="J127" t="inlineStr"/>
      <c r="K127" t="inlineStr">
        <is>
          <t>20260327</t>
        </is>
      </c>
      <c r="L127" t="inlineStr">
        <is>
          <t>99991231</t>
        </is>
      </c>
    </row>
    <row r="128">
      <c r="A128" t="inlineStr">
        <is>
          <t>900007611</t>
        </is>
      </c>
      <c r="B128" t="inlineStr">
        <is>
          <t>D860</t>
        </is>
      </c>
      <c r="C128" t="inlineStr">
        <is>
          <t>67064029</t>
        </is>
      </c>
      <c r="D128" t="inlineStr">
        <is>
          <t>10052407</t>
        </is>
      </c>
      <c r="E128" t="inlineStr"/>
      <c r="F128" s="11" t="n">
        <v>143</v>
      </c>
      <c r="G128" t="inlineStr"/>
      <c r="I128" t="inlineStr">
        <is>
          <t>M3</t>
        </is>
      </c>
      <c r="J128" t="inlineStr"/>
      <c r="K128" t="inlineStr">
        <is>
          <t>20260327</t>
        </is>
      </c>
      <c r="L128" t="inlineStr">
        <is>
          <t>99991231</t>
        </is>
      </c>
    </row>
    <row r="129">
      <c r="A129" t="inlineStr">
        <is>
          <t>900007611</t>
        </is>
      </c>
      <c r="B129" t="inlineStr">
        <is>
          <t>D860</t>
        </is>
      </c>
      <c r="C129" t="inlineStr">
        <is>
          <t>67064029</t>
        </is>
      </c>
      <c r="D129" t="inlineStr">
        <is>
          <t>10152920</t>
        </is>
      </c>
      <c r="E129" t="inlineStr"/>
      <c r="F129" s="11" t="n">
        <v>227.7</v>
      </c>
      <c r="G129" t="inlineStr"/>
      <c r="I129" t="inlineStr">
        <is>
          <t>M3</t>
        </is>
      </c>
      <c r="J129" t="inlineStr"/>
      <c r="K129" t="inlineStr">
        <is>
          <t>20260327</t>
        </is>
      </c>
      <c r="L129" t="inlineStr">
        <is>
          <t>99991231</t>
        </is>
      </c>
    </row>
    <row r="130">
      <c r="A130" t="inlineStr">
        <is>
          <t>900007611</t>
        </is>
      </c>
      <c r="B130" t="inlineStr">
        <is>
          <t>D860</t>
        </is>
      </c>
      <c r="C130" t="inlineStr">
        <is>
          <t>67064029</t>
        </is>
      </c>
      <c r="D130" t="inlineStr">
        <is>
          <t>10190637</t>
        </is>
      </c>
      <c r="E130" t="inlineStr"/>
      <c r="F130" s="11" t="n">
        <v>159.5</v>
      </c>
      <c r="G130" t="inlineStr"/>
      <c r="I130" t="inlineStr">
        <is>
          <t>M3</t>
        </is>
      </c>
      <c r="J130" t="inlineStr"/>
      <c r="K130" t="inlineStr">
        <is>
          <t>20260327</t>
        </is>
      </c>
      <c r="L130" t="inlineStr">
        <is>
          <t>99991231</t>
        </is>
      </c>
    </row>
    <row r="131">
      <c r="A131" t="inlineStr">
        <is>
          <t>900007611</t>
        </is>
      </c>
      <c r="B131" t="inlineStr">
        <is>
          <t>D860</t>
        </is>
      </c>
      <c r="C131" t="inlineStr">
        <is>
          <t>67373647</t>
        </is>
      </c>
      <c r="D131" t="inlineStr">
        <is>
          <t>10052402</t>
        </is>
      </c>
      <c r="E131" t="inlineStr"/>
      <c r="F131" s="11" t="n">
        <v>226.8</v>
      </c>
      <c r="G131" t="inlineStr"/>
      <c r="I131" t="inlineStr">
        <is>
          <t>M3</t>
        </is>
      </c>
      <c r="J131" t="inlineStr"/>
      <c r="K131" t="inlineStr">
        <is>
          <t>20260409</t>
        </is>
      </c>
      <c r="L131" t="inlineStr">
        <is>
          <t>99991231</t>
        </is>
      </c>
    </row>
    <row r="132">
      <c r="A132" t="inlineStr">
        <is>
          <t>900007611</t>
        </is>
      </c>
      <c r="B132" t="inlineStr">
        <is>
          <t>D860</t>
        </is>
      </c>
      <c r="C132" t="inlineStr">
        <is>
          <t>67373647</t>
        </is>
      </c>
      <c r="D132" t="inlineStr">
        <is>
          <t>10052407</t>
        </is>
      </c>
      <c r="E132" t="inlineStr"/>
      <c r="F132" s="11" t="n">
        <v>148.8</v>
      </c>
      <c r="G132" t="inlineStr"/>
      <c r="I132" t="inlineStr">
        <is>
          <t>M3</t>
        </is>
      </c>
      <c r="J132" t="inlineStr"/>
      <c r="K132" t="inlineStr">
        <is>
          <t>20260409</t>
        </is>
      </c>
      <c r="L132" t="inlineStr">
        <is>
          <t>99991231</t>
        </is>
      </c>
    </row>
    <row r="133">
      <c r="A133" t="inlineStr">
        <is>
          <t>900007611</t>
        </is>
      </c>
      <c r="B133" t="inlineStr">
        <is>
          <t>D860</t>
        </is>
      </c>
      <c r="C133" t="inlineStr">
        <is>
          <t>67373647</t>
        </is>
      </c>
      <c r="D133" t="inlineStr">
        <is>
          <t>10190637</t>
        </is>
      </c>
      <c r="E133" t="inlineStr"/>
      <c r="F133" s="11" t="n">
        <v>165.8</v>
      </c>
      <c r="G133" t="inlineStr"/>
      <c r="I133" t="inlineStr">
        <is>
          <t>M3</t>
        </is>
      </c>
      <c r="J133" t="inlineStr"/>
      <c r="K133" t="inlineStr">
        <is>
          <t>20260409</t>
        </is>
      </c>
      <c r="L133" t="inlineStr">
        <is>
          <t>99991231</t>
        </is>
      </c>
    </row>
    <row r="134">
      <c r="A134" t="inlineStr">
        <is>
          <t>900007611</t>
        </is>
      </c>
      <c r="B134" t="inlineStr">
        <is>
          <t>D860</t>
        </is>
      </c>
      <c r="C134" t="inlineStr">
        <is>
          <t>67382373</t>
        </is>
      </c>
      <c r="D134" t="inlineStr">
        <is>
          <t>10052402</t>
        </is>
      </c>
      <c r="E134" t="inlineStr"/>
      <c r="F134" s="11" t="n">
        <v>236</v>
      </c>
      <c r="G134" t="inlineStr"/>
      <c r="I134" t="inlineStr">
        <is>
          <t>M3</t>
        </is>
      </c>
      <c r="J134" t="inlineStr"/>
      <c r="K134" t="inlineStr">
        <is>
          <t>20260706</t>
        </is>
      </c>
      <c r="L134" t="inlineStr">
        <is>
          <t>99991231</t>
        </is>
      </c>
    </row>
    <row r="135">
      <c r="A135" t="inlineStr">
        <is>
          <t>900007611</t>
        </is>
      </c>
      <c r="B135" t="inlineStr">
        <is>
          <t>D860</t>
        </is>
      </c>
      <c r="C135" t="inlineStr">
        <is>
          <t>67382373</t>
        </is>
      </c>
      <c r="D135" t="inlineStr">
        <is>
          <t>10052407</t>
        </is>
      </c>
      <c r="E135" t="inlineStr"/>
      <c r="F135" s="11" t="n">
        <v>160</v>
      </c>
      <c r="G135" t="inlineStr"/>
      <c r="I135" t="inlineStr">
        <is>
          <t>M3</t>
        </is>
      </c>
      <c r="J135" t="inlineStr"/>
      <c r="K135" t="inlineStr">
        <is>
          <t>20260706</t>
        </is>
      </c>
      <c r="L135" t="inlineStr">
        <is>
          <t>99991231</t>
        </is>
      </c>
    </row>
    <row r="136">
      <c r="A136" t="inlineStr">
        <is>
          <t>900007611</t>
        </is>
      </c>
      <c r="B136" t="inlineStr">
        <is>
          <t>D860</t>
        </is>
      </c>
      <c r="C136" t="inlineStr">
        <is>
          <t>67382373</t>
        </is>
      </c>
      <c r="D136" t="inlineStr">
        <is>
          <t>10190637</t>
        </is>
      </c>
      <c r="E136" t="inlineStr"/>
      <c r="F136" s="11" t="n">
        <v>176</v>
      </c>
      <c r="G136" t="inlineStr"/>
      <c r="I136" t="inlineStr">
        <is>
          <t>M3</t>
        </is>
      </c>
      <c r="J136" t="inlineStr"/>
      <c r="K136" t="inlineStr">
        <is>
          <t>20260706</t>
        </is>
      </c>
      <c r="L136" t="inlineStr">
        <is>
          <t>99991231</t>
        </is>
      </c>
    </row>
    <row r="137">
      <c r="A137" t="inlineStr">
        <is>
          <t>900007612</t>
        </is>
      </c>
      <c r="B137" t="inlineStr">
        <is>
          <t>D860</t>
        </is>
      </c>
      <c r="C137" t="inlineStr">
        <is>
          <t>66958065</t>
        </is>
      </c>
      <c r="D137" t="inlineStr">
        <is>
          <t>10262224</t>
        </is>
      </c>
      <c r="E137" t="inlineStr"/>
      <c r="F137" s="11" t="n">
        <v>159.5</v>
      </c>
      <c r="G137" t="inlineStr"/>
      <c r="I137" t="inlineStr">
        <is>
          <t>M3</t>
        </is>
      </c>
      <c r="J137" t="inlineStr"/>
      <c r="K137" t="inlineStr">
        <is>
          <t>20260327</t>
        </is>
      </c>
      <c r="L137" t="inlineStr">
        <is>
          <t>99991231</t>
        </is>
      </c>
    </row>
    <row r="138">
      <c r="A138" t="inlineStr">
        <is>
          <t>900009296</t>
        </is>
      </c>
      <c r="B138" t="inlineStr">
        <is>
          <t>D860</t>
        </is>
      </c>
      <c r="C138" t="inlineStr">
        <is>
          <t>67212547</t>
        </is>
      </c>
      <c r="D138" t="inlineStr">
        <is>
          <t>10052402</t>
        </is>
      </c>
      <c r="E138" t="inlineStr"/>
      <c r="F138" s="11" t="n">
        <v>304</v>
      </c>
      <c r="G138" t="inlineStr"/>
      <c r="I138" t="inlineStr">
        <is>
          <t>M3</t>
        </is>
      </c>
      <c r="J138" t="inlineStr"/>
      <c r="K138" t="inlineStr">
        <is>
          <t>20250708</t>
        </is>
      </c>
      <c r="L138" t="inlineStr">
        <is>
          <t>99991231</t>
        </is>
      </c>
    </row>
    <row r="139">
      <c r="A139" t="inlineStr">
        <is>
          <t>900009377</t>
        </is>
      </c>
      <c r="B139" t="inlineStr">
        <is>
          <t>D860</t>
        </is>
      </c>
      <c r="C139" t="inlineStr">
        <is>
          <t>66856562</t>
        </is>
      </c>
      <c r="D139" t="inlineStr">
        <is>
          <t>10052402</t>
        </is>
      </c>
      <c r="E139" t="inlineStr"/>
      <c r="F139" s="11" t="n">
        <v>215.61</v>
      </c>
      <c r="G139" t="inlineStr"/>
      <c r="I139" t="inlineStr">
        <is>
          <t>M3</t>
        </is>
      </c>
      <c r="J139" t="inlineStr"/>
      <c r="K139" t="inlineStr">
        <is>
          <t>20251028</t>
        </is>
      </c>
      <c r="L139" t="inlineStr">
        <is>
          <t>99991231</t>
        </is>
      </c>
    </row>
    <row r="140">
      <c r="A140" t="inlineStr">
        <is>
          <t>900009377</t>
        </is>
      </c>
      <c r="B140" t="inlineStr">
        <is>
          <t>D860</t>
        </is>
      </c>
      <c r="C140" t="inlineStr">
        <is>
          <t>66856562</t>
        </is>
      </c>
      <c r="D140" t="inlineStr">
        <is>
          <t>10052407</t>
        </is>
      </c>
      <c r="E140" t="inlineStr"/>
      <c r="F140" s="11" t="n">
        <v>125.19</v>
      </c>
      <c r="G140" t="inlineStr"/>
      <c r="I140" t="inlineStr">
        <is>
          <t>M3</t>
        </is>
      </c>
      <c r="J140" t="inlineStr"/>
      <c r="K140" t="inlineStr">
        <is>
          <t>20251028</t>
        </is>
      </c>
      <c r="L140" t="inlineStr">
        <is>
          <t>99991231</t>
        </is>
      </c>
    </row>
    <row r="141">
      <c r="A141" t="inlineStr">
        <is>
          <t>900009377</t>
        </is>
      </c>
      <c r="B141" t="inlineStr">
        <is>
          <t>D860</t>
        </is>
      </c>
      <c r="C141" t="inlineStr">
        <is>
          <t>66856562</t>
        </is>
      </c>
      <c r="D141" t="inlineStr">
        <is>
          <t>10190637</t>
        </is>
      </c>
      <c r="E141" t="inlineStr"/>
      <c r="F141" s="11" t="n">
        <v>139.1</v>
      </c>
      <c r="G141" t="inlineStr"/>
      <c r="I141" t="inlineStr">
        <is>
          <t>M3</t>
        </is>
      </c>
      <c r="J141" t="inlineStr"/>
      <c r="K141" t="inlineStr">
        <is>
          <t>20251028</t>
        </is>
      </c>
      <c r="L141" t="inlineStr">
        <is>
          <t>99991231</t>
        </is>
      </c>
    </row>
    <row r="142">
      <c r="A142" t="inlineStr">
        <is>
          <t>900009377</t>
        </is>
      </c>
      <c r="B142" t="inlineStr">
        <is>
          <t>D860</t>
        </is>
      </c>
      <c r="C142" t="inlineStr">
        <is>
          <t>66896136</t>
        </is>
      </c>
      <c r="D142" t="inlineStr">
        <is>
          <t>10052402</t>
        </is>
      </c>
      <c r="E142" t="inlineStr"/>
      <c r="F142" s="11" t="n">
        <v>215.61</v>
      </c>
      <c r="G142" t="inlineStr"/>
      <c r="I142" t="inlineStr">
        <is>
          <t>M3</t>
        </is>
      </c>
      <c r="J142" t="inlineStr"/>
      <c r="K142" t="inlineStr">
        <is>
          <t>20251028</t>
        </is>
      </c>
      <c r="L142" t="inlineStr">
        <is>
          <t>99991231</t>
        </is>
      </c>
    </row>
    <row r="143">
      <c r="A143" t="inlineStr">
        <is>
          <t>900009377</t>
        </is>
      </c>
      <c r="B143" t="inlineStr">
        <is>
          <t>D860</t>
        </is>
      </c>
      <c r="C143" t="inlineStr">
        <is>
          <t>66896136</t>
        </is>
      </c>
      <c r="D143" t="inlineStr">
        <is>
          <t>10052405</t>
        </is>
      </c>
      <c r="E143" t="inlineStr"/>
      <c r="F143" s="11" t="n">
        <v>139.1</v>
      </c>
      <c r="G143" t="inlineStr"/>
      <c r="I143" t="inlineStr">
        <is>
          <t>M3</t>
        </is>
      </c>
      <c r="J143" t="inlineStr"/>
      <c r="K143" t="inlineStr">
        <is>
          <t>20251028</t>
        </is>
      </c>
      <c r="L143" t="inlineStr">
        <is>
          <t>99991231</t>
        </is>
      </c>
    </row>
    <row r="144">
      <c r="A144" t="inlineStr">
        <is>
          <t>900009377</t>
        </is>
      </c>
      <c r="B144" t="inlineStr">
        <is>
          <t>D860</t>
        </is>
      </c>
      <c r="C144" t="inlineStr">
        <is>
          <t>66896136</t>
        </is>
      </c>
      <c r="D144" t="inlineStr">
        <is>
          <t>10052407</t>
        </is>
      </c>
      <c r="E144" t="inlineStr"/>
      <c r="F144" s="11" t="n">
        <v>125.19</v>
      </c>
      <c r="G144" t="inlineStr"/>
      <c r="I144" t="inlineStr">
        <is>
          <t>M3</t>
        </is>
      </c>
      <c r="J144" t="inlineStr"/>
      <c r="K144" t="inlineStr">
        <is>
          <t>20251028</t>
        </is>
      </c>
      <c r="L144" t="inlineStr">
        <is>
          <t>99991231</t>
        </is>
      </c>
    </row>
    <row r="145">
      <c r="A145" t="inlineStr">
        <is>
          <t>900009377</t>
        </is>
      </c>
      <c r="B145" t="inlineStr">
        <is>
          <t>D860</t>
        </is>
      </c>
      <c r="C145" t="inlineStr">
        <is>
          <t>66896136</t>
        </is>
      </c>
      <c r="D145" t="inlineStr">
        <is>
          <t>10190637</t>
        </is>
      </c>
      <c r="E145" t="inlineStr"/>
      <c r="F145" s="11" t="n">
        <v>139.1</v>
      </c>
      <c r="G145" t="inlineStr"/>
      <c r="I145" t="inlineStr">
        <is>
          <t>M3</t>
        </is>
      </c>
      <c r="J145" t="inlineStr"/>
      <c r="K145" t="inlineStr">
        <is>
          <t>20251028</t>
        </is>
      </c>
      <c r="L145" t="inlineStr">
        <is>
          <t>99991231</t>
        </is>
      </c>
    </row>
    <row r="146">
      <c r="A146" t="inlineStr">
        <is>
          <t>900009377</t>
        </is>
      </c>
      <c r="B146" t="inlineStr">
        <is>
          <t>D860</t>
        </is>
      </c>
      <c r="C146" t="inlineStr">
        <is>
          <t>67118819</t>
        </is>
      </c>
      <c r="D146" t="inlineStr">
        <is>
          <t>10052402</t>
        </is>
      </c>
      <c r="E146" t="inlineStr"/>
      <c r="F146" s="11" t="n">
        <v>215.61</v>
      </c>
      <c r="G146" t="inlineStr"/>
      <c r="I146" t="inlineStr">
        <is>
          <t>M3</t>
        </is>
      </c>
      <c r="J146" t="inlineStr"/>
      <c r="K146" t="inlineStr">
        <is>
          <t>20251028</t>
        </is>
      </c>
      <c r="L146" t="inlineStr">
        <is>
          <t>99991231</t>
        </is>
      </c>
    </row>
    <row r="147">
      <c r="A147" t="inlineStr">
        <is>
          <t>900009377</t>
        </is>
      </c>
      <c r="B147" t="inlineStr">
        <is>
          <t>D860</t>
        </is>
      </c>
      <c r="C147" t="inlineStr">
        <is>
          <t>67118819</t>
        </is>
      </c>
      <c r="D147" t="inlineStr">
        <is>
          <t>10052405</t>
        </is>
      </c>
      <c r="E147" t="inlineStr"/>
      <c r="F147" s="11" t="n">
        <v>139.1</v>
      </c>
      <c r="G147" t="inlineStr"/>
      <c r="I147" t="inlineStr">
        <is>
          <t>M3</t>
        </is>
      </c>
      <c r="J147" t="inlineStr"/>
      <c r="K147" t="inlineStr">
        <is>
          <t>20251028</t>
        </is>
      </c>
      <c r="L147" t="inlineStr">
        <is>
          <t>99991231</t>
        </is>
      </c>
    </row>
    <row r="148">
      <c r="A148" t="inlineStr">
        <is>
          <t>900009377</t>
        </is>
      </c>
      <c r="B148" t="inlineStr">
        <is>
          <t>D860</t>
        </is>
      </c>
      <c r="C148" t="inlineStr">
        <is>
          <t>67118819</t>
        </is>
      </c>
      <c r="D148" t="inlineStr">
        <is>
          <t>10052407</t>
        </is>
      </c>
      <c r="E148" t="inlineStr"/>
      <c r="F148" s="11" t="n">
        <v>125.19</v>
      </c>
      <c r="G148" t="inlineStr"/>
      <c r="I148" t="inlineStr">
        <is>
          <t>M3</t>
        </is>
      </c>
      <c r="J148" t="inlineStr"/>
      <c r="K148" t="inlineStr">
        <is>
          <t>20251028</t>
        </is>
      </c>
      <c r="L148" t="inlineStr">
        <is>
          <t>99991231</t>
        </is>
      </c>
    </row>
    <row r="149">
      <c r="A149" t="inlineStr">
        <is>
          <t>900009377</t>
        </is>
      </c>
      <c r="B149" t="inlineStr">
        <is>
          <t>D860</t>
        </is>
      </c>
      <c r="C149" t="inlineStr">
        <is>
          <t>67118819</t>
        </is>
      </c>
      <c r="D149" t="inlineStr">
        <is>
          <t>10190637</t>
        </is>
      </c>
      <c r="E149" t="inlineStr"/>
      <c r="F149" s="11" t="n">
        <v>139.1</v>
      </c>
      <c r="G149" t="inlineStr"/>
      <c r="I149" t="inlineStr">
        <is>
          <t>M3</t>
        </is>
      </c>
      <c r="J149" t="inlineStr"/>
      <c r="K149" t="inlineStr">
        <is>
          <t>20251028</t>
        </is>
      </c>
      <c r="L149" t="inlineStr">
        <is>
          <t>99991231</t>
        </is>
      </c>
    </row>
    <row r="150">
      <c r="A150" t="inlineStr">
        <is>
          <t>900009377</t>
        </is>
      </c>
      <c r="B150" t="inlineStr">
        <is>
          <t>D860</t>
        </is>
      </c>
      <c r="C150" t="inlineStr">
        <is>
          <t>67160086</t>
        </is>
      </c>
      <c r="D150" t="inlineStr">
        <is>
          <t>10052407</t>
        </is>
      </c>
      <c r="E150" t="inlineStr"/>
      <c r="F150" s="11" t="n">
        <v>123.05</v>
      </c>
      <c r="G150" t="inlineStr"/>
      <c r="I150" t="inlineStr">
        <is>
          <t>M3</t>
        </is>
      </c>
      <c r="J150" t="inlineStr"/>
      <c r="K150" t="inlineStr">
        <is>
          <t>20251028</t>
        </is>
      </c>
      <c r="L150" t="inlineStr">
        <is>
          <t>99991231</t>
        </is>
      </c>
    </row>
    <row r="151">
      <c r="A151" t="inlineStr">
        <is>
          <t>900009377</t>
        </is>
      </c>
      <c r="B151" t="inlineStr">
        <is>
          <t>D860</t>
        </is>
      </c>
      <c r="C151" t="inlineStr">
        <is>
          <t>67160086</t>
        </is>
      </c>
      <c r="D151" t="inlineStr">
        <is>
          <t>10190637</t>
        </is>
      </c>
      <c r="E151" t="inlineStr"/>
      <c r="F151" s="11" t="n">
        <v>133.2</v>
      </c>
      <c r="G151" t="inlineStr"/>
      <c r="I151" t="inlineStr">
        <is>
          <t>M3</t>
        </is>
      </c>
      <c r="J151" t="inlineStr"/>
      <c r="K151" t="inlineStr">
        <is>
          <t>20251028</t>
        </is>
      </c>
      <c r="L151" t="inlineStr">
        <is>
          <t>99991231</t>
        </is>
      </c>
    </row>
    <row r="152">
      <c r="A152" t="inlineStr">
        <is>
          <t>900005375</t>
        </is>
      </c>
      <c r="B152" t="inlineStr">
        <is>
          <t>D860</t>
        </is>
      </c>
      <c r="C152" t="inlineStr">
        <is>
          <t>66856562</t>
        </is>
      </c>
      <c r="D152" t="inlineStr">
        <is>
          <t>10052402</t>
        </is>
      </c>
      <c r="E152" t="inlineStr"/>
      <c r="F152" s="11" t="n">
        <v>215.61</v>
      </c>
      <c r="G152" t="inlineStr"/>
      <c r="I152" t="inlineStr">
        <is>
          <t>M3</t>
        </is>
      </c>
      <c r="J152" t="inlineStr"/>
      <c r="K152" t="inlineStr">
        <is>
          <t>20250505</t>
        </is>
      </c>
      <c r="L152" t="inlineStr">
        <is>
          <t>20250507</t>
        </is>
      </c>
    </row>
    <row r="153">
      <c r="A153" t="inlineStr">
        <is>
          <t>900005375</t>
        </is>
      </c>
      <c r="B153" t="inlineStr">
        <is>
          <t>D860</t>
        </is>
      </c>
      <c r="C153" t="inlineStr">
        <is>
          <t>66856562</t>
        </is>
      </c>
      <c r="D153" t="inlineStr">
        <is>
          <t>10052407</t>
        </is>
      </c>
      <c r="E153" t="inlineStr"/>
      <c r="F153" s="11" t="n">
        <v>125.19</v>
      </c>
      <c r="G153" t="inlineStr"/>
      <c r="I153" t="inlineStr">
        <is>
          <t>M3</t>
        </is>
      </c>
      <c r="J153" t="inlineStr"/>
      <c r="K153" t="inlineStr">
        <is>
          <t>20250505</t>
        </is>
      </c>
      <c r="L153" t="inlineStr">
        <is>
          <t>20250507</t>
        </is>
      </c>
    </row>
    <row r="154">
      <c r="A154" t="inlineStr">
        <is>
          <t>900005375</t>
        </is>
      </c>
      <c r="B154" t="inlineStr">
        <is>
          <t>D860</t>
        </is>
      </c>
      <c r="C154" t="inlineStr">
        <is>
          <t>66856562</t>
        </is>
      </c>
      <c r="D154" t="inlineStr">
        <is>
          <t>10190637</t>
        </is>
      </c>
      <c r="E154" t="inlineStr"/>
      <c r="F154" s="11" t="n">
        <v>139.1</v>
      </c>
      <c r="G154" t="inlineStr"/>
      <c r="I154" t="inlineStr">
        <is>
          <t>M3</t>
        </is>
      </c>
      <c r="J154" t="inlineStr"/>
      <c r="K154" t="inlineStr">
        <is>
          <t>20250505</t>
        </is>
      </c>
      <c r="L154" t="inlineStr">
        <is>
          <t>20250507</t>
        </is>
      </c>
    </row>
    <row r="155">
      <c r="A155" t="inlineStr">
        <is>
          <t>900005375</t>
        </is>
      </c>
      <c r="B155" t="inlineStr">
        <is>
          <t>D860</t>
        </is>
      </c>
      <c r="C155" t="inlineStr">
        <is>
          <t>66896136</t>
        </is>
      </c>
      <c r="D155" t="inlineStr">
        <is>
          <t>10052402</t>
        </is>
      </c>
      <c r="E155" t="inlineStr"/>
      <c r="F155" s="11" t="n">
        <v>215.61</v>
      </c>
      <c r="G155" t="inlineStr"/>
      <c r="I155" t="inlineStr">
        <is>
          <t>M3</t>
        </is>
      </c>
      <c r="J155" t="inlineStr"/>
      <c r="K155" t="inlineStr">
        <is>
          <t>20250505</t>
        </is>
      </c>
      <c r="L155" t="inlineStr">
        <is>
          <t>20250507</t>
        </is>
      </c>
    </row>
    <row r="156">
      <c r="A156" t="inlineStr">
        <is>
          <t>900005375</t>
        </is>
      </c>
      <c r="B156" t="inlineStr">
        <is>
          <t>D860</t>
        </is>
      </c>
      <c r="C156" t="inlineStr">
        <is>
          <t>66896136</t>
        </is>
      </c>
      <c r="D156" t="inlineStr">
        <is>
          <t>10052405</t>
        </is>
      </c>
      <c r="E156" t="inlineStr"/>
      <c r="F156" s="11" t="n">
        <v>139.1</v>
      </c>
      <c r="G156" t="inlineStr"/>
      <c r="I156" t="inlineStr">
        <is>
          <t>M3</t>
        </is>
      </c>
      <c r="J156" t="inlineStr"/>
      <c r="K156" t="inlineStr">
        <is>
          <t>20250505</t>
        </is>
      </c>
      <c r="L156" t="inlineStr">
        <is>
          <t>20250507</t>
        </is>
      </c>
    </row>
    <row r="157">
      <c r="A157" t="inlineStr">
        <is>
          <t>900005375</t>
        </is>
      </c>
      <c r="B157" t="inlineStr">
        <is>
          <t>D860</t>
        </is>
      </c>
      <c r="C157" t="inlineStr">
        <is>
          <t>66896136</t>
        </is>
      </c>
      <c r="D157" t="inlineStr">
        <is>
          <t>10052407</t>
        </is>
      </c>
      <c r="E157" t="inlineStr"/>
      <c r="F157" s="11" t="n">
        <v>125.19</v>
      </c>
      <c r="G157" t="inlineStr"/>
      <c r="I157" t="inlineStr">
        <is>
          <t>M3</t>
        </is>
      </c>
      <c r="J157" t="inlineStr"/>
      <c r="K157" t="inlineStr">
        <is>
          <t>20250505</t>
        </is>
      </c>
      <c r="L157" t="inlineStr">
        <is>
          <t>20250507</t>
        </is>
      </c>
    </row>
    <row r="158">
      <c r="A158" t="inlineStr">
        <is>
          <t>900005375</t>
        </is>
      </c>
      <c r="B158" t="inlineStr">
        <is>
          <t>D860</t>
        </is>
      </c>
      <c r="C158" t="inlineStr">
        <is>
          <t>66896136</t>
        </is>
      </c>
      <c r="D158" t="inlineStr">
        <is>
          <t>10190637</t>
        </is>
      </c>
      <c r="E158" t="inlineStr"/>
      <c r="F158" s="11" t="n">
        <v>139.1</v>
      </c>
      <c r="G158" t="inlineStr"/>
      <c r="I158" t="inlineStr">
        <is>
          <t>M3</t>
        </is>
      </c>
      <c r="J158" t="inlineStr"/>
      <c r="K158" t="inlineStr">
        <is>
          <t>20250505</t>
        </is>
      </c>
      <c r="L158" t="inlineStr">
        <is>
          <t>20250507</t>
        </is>
      </c>
    </row>
    <row r="159">
      <c r="A159" t="inlineStr">
        <is>
          <t>900005375</t>
        </is>
      </c>
      <c r="B159" t="inlineStr">
        <is>
          <t>D860</t>
        </is>
      </c>
      <c r="C159" t="inlineStr">
        <is>
          <t>67118819</t>
        </is>
      </c>
      <c r="D159" t="inlineStr">
        <is>
          <t>10052402</t>
        </is>
      </c>
      <c r="E159" t="inlineStr"/>
      <c r="F159" s="11" t="n">
        <v>215.61</v>
      </c>
      <c r="G159" t="inlineStr"/>
      <c r="I159" t="inlineStr">
        <is>
          <t>M3</t>
        </is>
      </c>
      <c r="J159" t="inlineStr"/>
      <c r="K159" t="inlineStr">
        <is>
          <t>20250505</t>
        </is>
      </c>
      <c r="L159" t="inlineStr">
        <is>
          <t>20250507</t>
        </is>
      </c>
    </row>
    <row r="160">
      <c r="A160" t="inlineStr">
        <is>
          <t>900005375</t>
        </is>
      </c>
      <c r="B160" t="inlineStr">
        <is>
          <t>D860</t>
        </is>
      </c>
      <c r="C160" t="inlineStr">
        <is>
          <t>67118819</t>
        </is>
      </c>
      <c r="D160" t="inlineStr">
        <is>
          <t>10052405</t>
        </is>
      </c>
      <c r="E160" t="inlineStr"/>
      <c r="F160" s="11" t="n">
        <v>139.1</v>
      </c>
      <c r="G160" t="inlineStr"/>
      <c r="I160" t="inlineStr">
        <is>
          <t>M3</t>
        </is>
      </c>
      <c r="J160" t="inlineStr"/>
      <c r="K160" t="inlineStr">
        <is>
          <t>20250505</t>
        </is>
      </c>
      <c r="L160" t="inlineStr">
        <is>
          <t>20250507</t>
        </is>
      </c>
    </row>
    <row r="161">
      <c r="A161" t="inlineStr">
        <is>
          <t>900005375</t>
        </is>
      </c>
      <c r="B161" t="inlineStr">
        <is>
          <t>D860</t>
        </is>
      </c>
      <c r="C161" t="inlineStr">
        <is>
          <t>67118819</t>
        </is>
      </c>
      <c r="D161" t="inlineStr">
        <is>
          <t>10052407</t>
        </is>
      </c>
      <c r="E161" t="inlineStr"/>
      <c r="F161" s="11" t="n">
        <v>125.19</v>
      </c>
      <c r="G161" t="inlineStr"/>
      <c r="I161" t="inlineStr">
        <is>
          <t>M3</t>
        </is>
      </c>
      <c r="J161" t="inlineStr"/>
      <c r="K161" t="inlineStr">
        <is>
          <t>20250505</t>
        </is>
      </c>
      <c r="L161" t="inlineStr">
        <is>
          <t>20250507</t>
        </is>
      </c>
    </row>
    <row r="162">
      <c r="A162" t="inlineStr">
        <is>
          <t>900005375</t>
        </is>
      </c>
      <c r="B162" t="inlineStr">
        <is>
          <t>D860</t>
        </is>
      </c>
      <c r="C162" t="inlineStr">
        <is>
          <t>67118819</t>
        </is>
      </c>
      <c r="D162" t="inlineStr">
        <is>
          <t>10190637</t>
        </is>
      </c>
      <c r="E162" t="inlineStr"/>
      <c r="F162" s="11" t="n">
        <v>139.1</v>
      </c>
      <c r="G162" t="inlineStr"/>
      <c r="I162" t="inlineStr">
        <is>
          <t>M3</t>
        </is>
      </c>
      <c r="J162" t="inlineStr"/>
      <c r="K162" t="inlineStr">
        <is>
          <t>20250505</t>
        </is>
      </c>
      <c r="L162" t="inlineStr">
        <is>
          <t>20250507</t>
        </is>
      </c>
    </row>
    <row r="163">
      <c r="A163" t="inlineStr">
        <is>
          <t>900005375</t>
        </is>
      </c>
      <c r="B163" t="inlineStr">
        <is>
          <t>D860</t>
        </is>
      </c>
      <c r="C163" t="inlineStr">
        <is>
          <t>67160086</t>
        </is>
      </c>
      <c r="D163" t="inlineStr">
        <is>
          <t>10052407</t>
        </is>
      </c>
      <c r="E163" t="inlineStr"/>
      <c r="F163" s="11" t="n">
        <v>123.05</v>
      </c>
      <c r="G163" t="inlineStr"/>
      <c r="I163" t="inlineStr">
        <is>
          <t>M3</t>
        </is>
      </c>
      <c r="J163" t="inlineStr"/>
      <c r="K163" t="inlineStr">
        <is>
          <t>20250505</t>
        </is>
      </c>
      <c r="L163" t="inlineStr">
        <is>
          <t>20250507</t>
        </is>
      </c>
    </row>
    <row r="164">
      <c r="A164" t="inlineStr">
        <is>
          <t>900005375</t>
        </is>
      </c>
      <c r="B164" t="inlineStr">
        <is>
          <t>D860</t>
        </is>
      </c>
      <c r="C164" t="inlineStr">
        <is>
          <t>67160086</t>
        </is>
      </c>
      <c r="D164" t="inlineStr">
        <is>
          <t>10190637</t>
        </is>
      </c>
      <c r="E164" t="inlineStr"/>
      <c r="F164" s="11" t="n">
        <v>133.2</v>
      </c>
      <c r="G164" t="inlineStr"/>
      <c r="I164" t="inlineStr">
        <is>
          <t>M3</t>
        </is>
      </c>
      <c r="J164" t="inlineStr"/>
      <c r="K164" t="inlineStr">
        <is>
          <t>20250505</t>
        </is>
      </c>
      <c r="L164" t="inlineStr">
        <is>
          <t>20250507</t>
        </is>
      </c>
    </row>
    <row r="165">
      <c r="A165" t="inlineStr">
        <is>
          <t>900007611</t>
        </is>
      </c>
      <c r="B165" t="inlineStr">
        <is>
          <t>D860</t>
        </is>
      </c>
      <c r="C165" t="inlineStr">
        <is>
          <t>66856562</t>
        </is>
      </c>
      <c r="D165" t="inlineStr">
        <is>
          <t>10052402</t>
        </is>
      </c>
      <c r="E165" t="inlineStr"/>
      <c r="F165" s="11" t="n">
        <v>183.8</v>
      </c>
      <c r="G165" t="inlineStr"/>
      <c r="I165" t="inlineStr">
        <is>
          <t>M3</t>
        </is>
      </c>
      <c r="J165" t="inlineStr"/>
      <c r="K165" t="inlineStr">
        <is>
          <t>20240813</t>
        </is>
      </c>
      <c r="L165" t="inlineStr">
        <is>
          <t>20241108</t>
        </is>
      </c>
    </row>
    <row r="166">
      <c r="A166" t="inlineStr">
        <is>
          <t>900007611</t>
        </is>
      </c>
      <c r="B166" t="inlineStr">
        <is>
          <t>D860</t>
        </is>
      </c>
      <c r="C166" t="inlineStr">
        <is>
          <t>66856562</t>
        </is>
      </c>
      <c r="D166" t="inlineStr">
        <is>
          <t>10052404</t>
        </is>
      </c>
      <c r="E166" t="inlineStr"/>
      <c r="F166" s="11" t="n">
        <v>144.2</v>
      </c>
      <c r="G166" t="inlineStr"/>
      <c r="I166" t="inlineStr">
        <is>
          <t>M3</t>
        </is>
      </c>
      <c r="J166" t="inlineStr"/>
      <c r="K166" t="inlineStr">
        <is>
          <t>20240425</t>
        </is>
      </c>
      <c r="L166" t="inlineStr">
        <is>
          <t>20240814</t>
        </is>
      </c>
    </row>
    <row r="167">
      <c r="A167" t="inlineStr">
        <is>
          <t>900007611</t>
        </is>
      </c>
      <c r="B167" t="inlineStr">
        <is>
          <t>D860</t>
        </is>
      </c>
      <c r="C167" t="inlineStr">
        <is>
          <t>66856562</t>
        </is>
      </c>
      <c r="D167" t="inlineStr">
        <is>
          <t>10052405</t>
        </is>
      </c>
      <c r="E167" t="inlineStr"/>
      <c r="F167" s="11" t="n">
        <v>144.2</v>
      </c>
      <c r="G167" t="inlineStr"/>
      <c r="I167" t="inlineStr">
        <is>
          <t>M3</t>
        </is>
      </c>
      <c r="J167" t="inlineStr"/>
      <c r="K167" t="inlineStr">
        <is>
          <t>20240425</t>
        </is>
      </c>
      <c r="L167" t="inlineStr">
        <is>
          <t>20240814</t>
        </is>
      </c>
    </row>
    <row r="168">
      <c r="A168" t="inlineStr">
        <is>
          <t>900007611</t>
        </is>
      </c>
      <c r="B168" t="inlineStr">
        <is>
          <t>D860</t>
        </is>
      </c>
      <c r="C168" t="inlineStr">
        <is>
          <t>66856562</t>
        </is>
      </c>
      <c r="D168" t="inlineStr">
        <is>
          <t>10052407</t>
        </is>
      </c>
      <c r="E168" t="inlineStr"/>
      <c r="F168" s="11" t="n">
        <v>128.15</v>
      </c>
      <c r="G168" t="inlineStr"/>
      <c r="I168" t="inlineStr">
        <is>
          <t>M3</t>
        </is>
      </c>
      <c r="J168" t="inlineStr"/>
      <c r="K168" t="inlineStr">
        <is>
          <t>20240425</t>
        </is>
      </c>
      <c r="L168" t="inlineStr">
        <is>
          <t>20240814</t>
        </is>
      </c>
    </row>
    <row r="169">
      <c r="A169" t="inlineStr">
        <is>
          <t>900007611</t>
        </is>
      </c>
      <c r="B169" t="inlineStr">
        <is>
          <t>D860</t>
        </is>
      </c>
      <c r="C169" t="inlineStr">
        <is>
          <t>66896136</t>
        </is>
      </c>
      <c r="D169" t="inlineStr">
        <is>
          <t>10052402</t>
        </is>
      </c>
      <c r="E169" t="inlineStr"/>
      <c r="F169" s="11" t="n">
        <v>183.8</v>
      </c>
      <c r="G169" t="inlineStr"/>
      <c r="I169" t="inlineStr">
        <is>
          <t>M3</t>
        </is>
      </c>
      <c r="J169" t="inlineStr"/>
      <c r="K169" t="inlineStr">
        <is>
          <t>20240425</t>
        </is>
      </c>
      <c r="L169" t="inlineStr">
        <is>
          <t>20240814</t>
        </is>
      </c>
    </row>
    <row r="170">
      <c r="A170" t="inlineStr">
        <is>
          <t>900007611</t>
        </is>
      </c>
      <c r="B170" t="inlineStr">
        <is>
          <t>D860</t>
        </is>
      </c>
      <c r="C170" t="inlineStr">
        <is>
          <t>66896136</t>
        </is>
      </c>
      <c r="D170" t="inlineStr">
        <is>
          <t>10052404</t>
        </is>
      </c>
      <c r="E170" t="inlineStr"/>
      <c r="F170" s="11" t="n">
        <v>144.2</v>
      </c>
      <c r="G170" t="inlineStr"/>
      <c r="I170" t="inlineStr">
        <is>
          <t>M3</t>
        </is>
      </c>
      <c r="J170" t="inlineStr"/>
      <c r="K170" t="inlineStr">
        <is>
          <t>20240425</t>
        </is>
      </c>
      <c r="L170" t="inlineStr">
        <is>
          <t>20240814</t>
        </is>
      </c>
    </row>
    <row r="171">
      <c r="A171" t="inlineStr">
        <is>
          <t>900007611</t>
        </is>
      </c>
      <c r="B171" t="inlineStr">
        <is>
          <t>D860</t>
        </is>
      </c>
      <c r="C171" t="inlineStr">
        <is>
          <t>66896136</t>
        </is>
      </c>
      <c r="D171" t="inlineStr">
        <is>
          <t>10052405</t>
        </is>
      </c>
      <c r="E171" t="inlineStr"/>
      <c r="F171" s="11" t="n">
        <v>144.2</v>
      </c>
      <c r="G171" t="inlineStr"/>
      <c r="I171" t="inlineStr">
        <is>
          <t>M3</t>
        </is>
      </c>
      <c r="J171" t="inlineStr"/>
      <c r="K171" t="inlineStr">
        <is>
          <t>20240425</t>
        </is>
      </c>
      <c r="L171" t="inlineStr">
        <is>
          <t>20240814</t>
        </is>
      </c>
    </row>
    <row r="172">
      <c r="A172" t="inlineStr">
        <is>
          <t>900007611</t>
        </is>
      </c>
      <c r="B172" t="inlineStr">
        <is>
          <t>D860</t>
        </is>
      </c>
      <c r="C172" t="inlineStr">
        <is>
          <t>66896136</t>
        </is>
      </c>
      <c r="D172" t="inlineStr">
        <is>
          <t>10052407</t>
        </is>
      </c>
      <c r="E172" t="inlineStr"/>
      <c r="F172" s="11" t="n">
        <v>128.15</v>
      </c>
      <c r="G172" t="inlineStr"/>
      <c r="I172" t="inlineStr">
        <is>
          <t>M3</t>
        </is>
      </c>
      <c r="J172" t="inlineStr"/>
      <c r="K172" t="inlineStr">
        <is>
          <t>20240425</t>
        </is>
      </c>
      <c r="L172" t="inlineStr">
        <is>
          <t>20240814</t>
        </is>
      </c>
    </row>
    <row r="173">
      <c r="A173" t="inlineStr">
        <is>
          <t>900007611</t>
        </is>
      </c>
      <c r="B173" t="inlineStr">
        <is>
          <t>D860</t>
        </is>
      </c>
      <c r="C173" t="inlineStr">
        <is>
          <t>66958065</t>
        </is>
      </c>
      <c r="D173" t="inlineStr">
        <is>
          <t>10052402</t>
        </is>
      </c>
      <c r="E173" t="inlineStr"/>
      <c r="F173" s="11" t="n">
        <v>220</v>
      </c>
      <c r="G173" t="inlineStr"/>
      <c r="I173" t="inlineStr">
        <is>
          <t>M3</t>
        </is>
      </c>
      <c r="J173" t="inlineStr"/>
      <c r="K173" t="inlineStr">
        <is>
          <t>20260327</t>
        </is>
      </c>
      <c r="L173" t="inlineStr">
        <is>
          <t>99991231</t>
        </is>
      </c>
    </row>
    <row r="174">
      <c r="A174" t="inlineStr">
        <is>
          <t>900007611</t>
        </is>
      </c>
      <c r="B174" t="inlineStr">
        <is>
          <t>D860</t>
        </is>
      </c>
      <c r="C174" t="inlineStr">
        <is>
          <t>66958065</t>
        </is>
      </c>
      <c r="D174" t="inlineStr">
        <is>
          <t>10052407</t>
        </is>
      </c>
      <c r="E174" t="inlineStr"/>
      <c r="F174" s="11" t="n">
        <v>143</v>
      </c>
      <c r="G174" t="inlineStr"/>
      <c r="I174" t="inlineStr">
        <is>
          <t>M3</t>
        </is>
      </c>
      <c r="J174" t="inlineStr"/>
      <c r="K174" t="inlineStr">
        <is>
          <t>20260327</t>
        </is>
      </c>
      <c r="L174" t="inlineStr">
        <is>
          <t>99991231</t>
        </is>
      </c>
    </row>
    <row r="175">
      <c r="A175" t="inlineStr">
        <is>
          <t>900007611</t>
        </is>
      </c>
      <c r="B175" t="inlineStr">
        <is>
          <t>D860</t>
        </is>
      </c>
      <c r="C175" t="inlineStr">
        <is>
          <t>66958065</t>
        </is>
      </c>
      <c r="D175" t="inlineStr">
        <is>
          <t>10190637</t>
        </is>
      </c>
      <c r="E175" t="inlineStr"/>
      <c r="F175" s="11" t="n">
        <v>159.5</v>
      </c>
      <c r="G175" t="inlineStr"/>
      <c r="I175" t="inlineStr">
        <is>
          <t>M3</t>
        </is>
      </c>
      <c r="J175" t="inlineStr"/>
      <c r="K175" t="inlineStr">
        <is>
          <t>20260327</t>
        </is>
      </c>
      <c r="L175" t="inlineStr">
        <is>
          <t>99991231</t>
        </is>
      </c>
    </row>
    <row r="176">
      <c r="A176" t="inlineStr">
        <is>
          <t>900007611</t>
        </is>
      </c>
      <c r="B176" t="inlineStr">
        <is>
          <t>D860</t>
        </is>
      </c>
      <c r="C176" t="inlineStr">
        <is>
          <t>66958065</t>
        </is>
      </c>
      <c r="D176" t="inlineStr">
        <is>
          <t>10208119</t>
        </is>
      </c>
      <c r="E176" t="inlineStr"/>
      <c r="F176" s="11" t="n">
        <v>140</v>
      </c>
      <c r="G176" t="inlineStr"/>
      <c r="I176" t="inlineStr">
        <is>
          <t>M3</t>
        </is>
      </c>
      <c r="J176" t="inlineStr"/>
      <c r="K176" t="inlineStr">
        <is>
          <t>20240425</t>
        </is>
      </c>
      <c r="L176" t="inlineStr">
        <is>
          <t>20240814</t>
        </is>
      </c>
    </row>
    <row r="177">
      <c r="A177" t="inlineStr">
        <is>
          <t>900007611</t>
        </is>
      </c>
      <c r="B177" t="inlineStr">
        <is>
          <t>D860</t>
        </is>
      </c>
      <c r="C177" t="inlineStr">
        <is>
          <t>66958065</t>
        </is>
      </c>
      <c r="D177" t="inlineStr">
        <is>
          <t>10262224</t>
        </is>
      </c>
      <c r="E177" t="inlineStr"/>
      <c r="F177" s="11" t="n">
        <v>159.5</v>
      </c>
      <c r="G177" t="inlineStr"/>
      <c r="I177" t="inlineStr">
        <is>
          <t>M3</t>
        </is>
      </c>
      <c r="J177" t="inlineStr"/>
      <c r="K177" t="inlineStr">
        <is>
          <t>20260327</t>
        </is>
      </c>
      <c r="L177" t="inlineStr">
        <is>
          <t>99991231</t>
        </is>
      </c>
    </row>
    <row r="178">
      <c r="A178" t="inlineStr">
        <is>
          <t>900007611</t>
        </is>
      </c>
      <c r="B178" t="inlineStr">
        <is>
          <t>D860</t>
        </is>
      </c>
      <c r="C178" t="inlineStr">
        <is>
          <t>67064029</t>
        </is>
      </c>
      <c r="D178" t="inlineStr">
        <is>
          <t>10052402</t>
        </is>
      </c>
      <c r="E178" t="inlineStr"/>
      <c r="F178" s="11" t="n">
        <v>220</v>
      </c>
      <c r="G178" t="inlineStr"/>
      <c r="I178" t="inlineStr">
        <is>
          <t>M3</t>
        </is>
      </c>
      <c r="J178" t="inlineStr"/>
      <c r="K178" t="inlineStr">
        <is>
          <t>20250926</t>
        </is>
      </c>
      <c r="L178" t="inlineStr">
        <is>
          <t>99991231</t>
        </is>
      </c>
    </row>
    <row r="179">
      <c r="A179" t="inlineStr">
        <is>
          <t>900007611</t>
        </is>
      </c>
      <c r="B179" t="inlineStr">
        <is>
          <t>D860</t>
        </is>
      </c>
      <c r="C179" t="inlineStr">
        <is>
          <t>67064029</t>
        </is>
      </c>
      <c r="D179" t="inlineStr">
        <is>
          <t>10052404</t>
        </is>
      </c>
      <c r="E179" t="inlineStr"/>
      <c r="F179" s="11" t="n">
        <v>144</v>
      </c>
      <c r="G179" t="inlineStr"/>
      <c r="I179" t="inlineStr">
        <is>
          <t>M3</t>
        </is>
      </c>
      <c r="J179" t="inlineStr"/>
      <c r="K179" t="inlineStr">
        <is>
          <t>20240425</t>
        </is>
      </c>
      <c r="L179" t="inlineStr">
        <is>
          <t>20240814</t>
        </is>
      </c>
    </row>
    <row r="180">
      <c r="A180" t="inlineStr">
        <is>
          <t>900007611</t>
        </is>
      </c>
      <c r="B180" t="inlineStr">
        <is>
          <t>D860</t>
        </is>
      </c>
      <c r="C180" t="inlineStr">
        <is>
          <t>67064029</t>
        </is>
      </c>
      <c r="D180" t="inlineStr">
        <is>
          <t>10052407</t>
        </is>
      </c>
      <c r="E180" t="inlineStr"/>
      <c r="F180" s="11" t="n">
        <v>143</v>
      </c>
      <c r="G180" t="inlineStr"/>
      <c r="I180" t="inlineStr">
        <is>
          <t>M3</t>
        </is>
      </c>
      <c r="J180" t="inlineStr"/>
      <c r="K180" t="inlineStr">
        <is>
          <t>20250926</t>
        </is>
      </c>
      <c r="L180" t="inlineStr">
        <is>
          <t>99991231</t>
        </is>
      </c>
    </row>
    <row r="181">
      <c r="A181" t="inlineStr">
        <is>
          <t>900007611</t>
        </is>
      </c>
      <c r="B181" t="inlineStr">
        <is>
          <t>D860</t>
        </is>
      </c>
      <c r="C181" t="inlineStr">
        <is>
          <t>67064029</t>
        </is>
      </c>
      <c r="D181" t="inlineStr">
        <is>
          <t>10152920</t>
        </is>
      </c>
      <c r="E181" t="inlineStr"/>
      <c r="F181" s="11" t="n">
        <v>227.7</v>
      </c>
      <c r="G181" t="inlineStr"/>
      <c r="I181" t="inlineStr">
        <is>
          <t>M3</t>
        </is>
      </c>
      <c r="J181" t="inlineStr"/>
      <c r="K181" t="inlineStr">
        <is>
          <t>20250926</t>
        </is>
      </c>
      <c r="L181" t="inlineStr">
        <is>
          <t>99991231</t>
        </is>
      </c>
    </row>
    <row r="182">
      <c r="A182" t="inlineStr">
        <is>
          <t>900007611</t>
        </is>
      </c>
      <c r="B182" t="inlineStr">
        <is>
          <t>D860</t>
        </is>
      </c>
      <c r="C182" t="inlineStr">
        <is>
          <t>67064029</t>
        </is>
      </c>
      <c r="D182" t="inlineStr">
        <is>
          <t>10190637</t>
        </is>
      </c>
      <c r="E182" t="inlineStr"/>
      <c r="F182" s="11" t="n">
        <v>159.5</v>
      </c>
      <c r="G182" t="inlineStr"/>
      <c r="I182" t="inlineStr">
        <is>
          <t>M3</t>
        </is>
      </c>
      <c r="J182" t="inlineStr"/>
      <c r="K182" t="inlineStr">
        <is>
          <t>20250926</t>
        </is>
      </c>
      <c r="L182" t="inlineStr">
        <is>
          <t>99991231</t>
        </is>
      </c>
    </row>
    <row r="183">
      <c r="A183" t="inlineStr">
        <is>
          <t>900007611</t>
        </is>
      </c>
      <c r="B183" t="inlineStr">
        <is>
          <t>D860</t>
        </is>
      </c>
      <c r="C183" t="inlineStr">
        <is>
          <t>67118819</t>
        </is>
      </c>
      <c r="D183" t="inlineStr">
        <is>
          <t>10052402</t>
        </is>
      </c>
      <c r="E183" t="inlineStr"/>
      <c r="F183" s="11" t="n">
        <v>183.8</v>
      </c>
      <c r="G183" t="inlineStr"/>
      <c r="I183" t="inlineStr">
        <is>
          <t>M3</t>
        </is>
      </c>
      <c r="J183" t="inlineStr"/>
      <c r="K183" t="inlineStr">
        <is>
          <t>20240425</t>
        </is>
      </c>
      <c r="L183" t="inlineStr">
        <is>
          <t>20240814</t>
        </is>
      </c>
    </row>
    <row r="184">
      <c r="A184" t="inlineStr">
        <is>
          <t>900007611</t>
        </is>
      </c>
      <c r="B184" t="inlineStr">
        <is>
          <t>D860</t>
        </is>
      </c>
      <c r="C184" t="inlineStr">
        <is>
          <t>67118819</t>
        </is>
      </c>
      <c r="D184" t="inlineStr">
        <is>
          <t>10052404</t>
        </is>
      </c>
      <c r="E184" t="inlineStr"/>
      <c r="F184" s="11" t="n">
        <v>144.2</v>
      </c>
      <c r="G184" t="inlineStr"/>
      <c r="I184" t="inlineStr">
        <is>
          <t>M3</t>
        </is>
      </c>
      <c r="J184" t="inlineStr"/>
      <c r="K184" t="inlineStr">
        <is>
          <t>20240425</t>
        </is>
      </c>
      <c r="L184" t="inlineStr">
        <is>
          <t>20240814</t>
        </is>
      </c>
    </row>
    <row r="185">
      <c r="A185" t="inlineStr">
        <is>
          <t>900007611</t>
        </is>
      </c>
      <c r="B185" t="inlineStr">
        <is>
          <t>D860</t>
        </is>
      </c>
      <c r="C185" t="inlineStr">
        <is>
          <t>67118819</t>
        </is>
      </c>
      <c r="D185" t="inlineStr">
        <is>
          <t>10052405</t>
        </is>
      </c>
      <c r="E185" t="inlineStr"/>
      <c r="F185" s="11" t="n">
        <v>144.2</v>
      </c>
      <c r="G185" t="inlineStr"/>
      <c r="I185" t="inlineStr">
        <is>
          <t>M3</t>
        </is>
      </c>
      <c r="J185" t="inlineStr"/>
      <c r="K185" t="inlineStr">
        <is>
          <t>20240425</t>
        </is>
      </c>
      <c r="L185" t="inlineStr">
        <is>
          <t>20240814</t>
        </is>
      </c>
    </row>
    <row r="186">
      <c r="A186" t="inlineStr">
        <is>
          <t>900007611</t>
        </is>
      </c>
      <c r="B186" t="inlineStr">
        <is>
          <t>D860</t>
        </is>
      </c>
      <c r="C186" t="inlineStr">
        <is>
          <t>67118819</t>
        </is>
      </c>
      <c r="D186" t="inlineStr">
        <is>
          <t>10052407</t>
        </is>
      </c>
      <c r="E186" t="inlineStr"/>
      <c r="F186" s="11" t="n">
        <v>128.15</v>
      </c>
      <c r="G186" t="inlineStr"/>
      <c r="I186" t="inlineStr">
        <is>
          <t>M3</t>
        </is>
      </c>
      <c r="J186" t="inlineStr"/>
      <c r="K186" t="inlineStr">
        <is>
          <t>20240425</t>
        </is>
      </c>
      <c r="L186" t="inlineStr">
        <is>
          <t>20240814</t>
        </is>
      </c>
    </row>
    <row r="187">
      <c r="A187" t="inlineStr">
        <is>
          <t>900007612</t>
        </is>
      </c>
      <c r="B187" t="inlineStr">
        <is>
          <t>D860</t>
        </is>
      </c>
      <c r="C187" t="inlineStr">
        <is>
          <t>66540822</t>
        </is>
      </c>
      <c r="D187" t="inlineStr">
        <is>
          <t>10052402</t>
        </is>
      </c>
      <c r="E187" t="inlineStr"/>
      <c r="F187" s="11" t="n">
        <v>141.9</v>
      </c>
      <c r="G187" t="inlineStr"/>
      <c r="I187" t="inlineStr">
        <is>
          <t>M3</t>
        </is>
      </c>
      <c r="J187" t="inlineStr"/>
      <c r="K187" t="inlineStr">
        <is>
          <t>20240425</t>
        </is>
      </c>
      <c r="L187" t="inlineStr">
        <is>
          <t>20240814</t>
        </is>
      </c>
    </row>
    <row r="188">
      <c r="A188" t="inlineStr">
        <is>
          <t>900007612</t>
        </is>
      </c>
      <c r="B188" t="inlineStr">
        <is>
          <t>D860</t>
        </is>
      </c>
      <c r="C188" t="inlineStr">
        <is>
          <t>66540822</t>
        </is>
      </c>
      <c r="D188" t="inlineStr">
        <is>
          <t>10052404</t>
        </is>
      </c>
      <c r="E188" t="inlineStr"/>
      <c r="F188" s="11" t="n">
        <v>141.9</v>
      </c>
      <c r="G188" t="inlineStr"/>
      <c r="I188" t="inlineStr">
        <is>
          <t>M3</t>
        </is>
      </c>
      <c r="J188" t="inlineStr"/>
      <c r="K188" t="inlineStr">
        <is>
          <t>20240425</t>
        </is>
      </c>
      <c r="L188" t="inlineStr">
        <is>
          <t>20240814</t>
        </is>
      </c>
    </row>
    <row r="189">
      <c r="A189" t="inlineStr">
        <is>
          <t>900007612</t>
        </is>
      </c>
      <c r="B189" t="inlineStr">
        <is>
          <t>D860</t>
        </is>
      </c>
      <c r="C189" t="inlineStr">
        <is>
          <t>66540822</t>
        </is>
      </c>
      <c r="D189" t="inlineStr">
        <is>
          <t>10052405</t>
        </is>
      </c>
      <c r="E189" t="inlineStr"/>
      <c r="F189" s="11" t="n">
        <v>141.9</v>
      </c>
      <c r="G189" t="inlineStr"/>
      <c r="I189" t="inlineStr">
        <is>
          <t>M3</t>
        </is>
      </c>
      <c r="J189" t="inlineStr"/>
      <c r="K189" t="inlineStr">
        <is>
          <t>20240425</t>
        </is>
      </c>
      <c r="L189" t="inlineStr">
        <is>
          <t>20240814</t>
        </is>
      </c>
    </row>
    <row r="190">
      <c r="A190" t="inlineStr">
        <is>
          <t>900007612</t>
        </is>
      </c>
      <c r="B190" t="inlineStr">
        <is>
          <t>D860</t>
        </is>
      </c>
      <c r="C190" t="inlineStr">
        <is>
          <t>66540822</t>
        </is>
      </c>
      <c r="D190" t="inlineStr">
        <is>
          <t>10052407</t>
        </is>
      </c>
      <c r="E190" t="inlineStr"/>
      <c r="F190" s="11" t="n">
        <v>128.7</v>
      </c>
      <c r="G190" t="inlineStr"/>
      <c r="I190" t="inlineStr">
        <is>
          <t>M3</t>
        </is>
      </c>
      <c r="J190" t="inlineStr"/>
      <c r="K190" t="inlineStr">
        <is>
          <t>20240425</t>
        </is>
      </c>
      <c r="L190" t="inlineStr">
        <is>
          <t>20240814</t>
        </is>
      </c>
    </row>
    <row r="191">
      <c r="A191" t="inlineStr">
        <is>
          <t>900007612</t>
        </is>
      </c>
      <c r="B191" t="inlineStr">
        <is>
          <t>D860</t>
        </is>
      </c>
      <c r="C191" t="inlineStr">
        <is>
          <t>66958065</t>
        </is>
      </c>
      <c r="D191" t="inlineStr">
        <is>
          <t>10208119</t>
        </is>
      </c>
      <c r="E191" t="inlineStr"/>
      <c r="F191" s="11" t="n">
        <v>140</v>
      </c>
      <c r="G191" t="inlineStr"/>
      <c r="I191" t="inlineStr">
        <is>
          <t>M3</t>
        </is>
      </c>
      <c r="J191" t="inlineStr"/>
      <c r="K191" t="inlineStr">
        <is>
          <t>20240425</t>
        </is>
      </c>
      <c r="L191" t="inlineStr">
        <is>
          <t>20240814</t>
        </is>
      </c>
    </row>
    <row r="192">
      <c r="A192" t="inlineStr">
        <is>
          <t>900007612</t>
        </is>
      </c>
      <c r="B192" t="inlineStr">
        <is>
          <t>D860</t>
        </is>
      </c>
      <c r="C192" t="inlineStr">
        <is>
          <t>66958065</t>
        </is>
      </c>
      <c r="D192" t="inlineStr">
        <is>
          <t>10262224</t>
        </is>
      </c>
      <c r="E192" t="inlineStr"/>
      <c r="F192" s="11" t="n">
        <v>159.5</v>
      </c>
      <c r="G192" t="inlineStr"/>
      <c r="I192" t="inlineStr">
        <is>
          <t>M3</t>
        </is>
      </c>
      <c r="J192" t="inlineStr"/>
      <c r="K192" t="inlineStr">
        <is>
          <t>20250904</t>
        </is>
      </c>
      <c r="L192" t="inlineStr">
        <is>
          <t>99991231</t>
        </is>
      </c>
    </row>
    <row r="193">
      <c r="A193" t="inlineStr">
        <is>
          <t>900007612</t>
        </is>
      </c>
      <c r="B193" t="inlineStr">
        <is>
          <t>D860</t>
        </is>
      </c>
      <c r="C193" t="inlineStr">
        <is>
          <t>67160086</t>
        </is>
      </c>
      <c r="D193" t="inlineStr">
        <is>
          <t>10052404</t>
        </is>
      </c>
      <c r="E193" t="inlineStr"/>
      <c r="F193" s="11" t="n">
        <v>149.8</v>
      </c>
      <c r="G193" t="inlineStr"/>
      <c r="I193" t="inlineStr">
        <is>
          <t>M3</t>
        </is>
      </c>
      <c r="J193" t="inlineStr"/>
      <c r="K193" t="inlineStr">
        <is>
          <t>20250505</t>
        </is>
      </c>
      <c r="L193" t="inlineStr">
        <is>
          <t>20250507</t>
        </is>
      </c>
    </row>
    <row r="194">
      <c r="A194" t="inlineStr">
        <is>
          <t>900007612</t>
        </is>
      </c>
      <c r="B194" t="inlineStr">
        <is>
          <t>D860</t>
        </is>
      </c>
      <c r="C194" t="inlineStr">
        <is>
          <t>67160086</t>
        </is>
      </c>
      <c r="D194" t="inlineStr">
        <is>
          <t>10052407</t>
        </is>
      </c>
      <c r="E194" t="inlineStr"/>
      <c r="F194" s="11" t="n">
        <v>133.75</v>
      </c>
      <c r="G194" t="inlineStr"/>
      <c r="I194" t="inlineStr">
        <is>
          <t>M3</t>
        </is>
      </c>
      <c r="J194" t="inlineStr"/>
      <c r="K194" t="inlineStr">
        <is>
          <t>20250505</t>
        </is>
      </c>
      <c r="L194" t="inlineStr">
        <is>
          <t>20250507</t>
        </is>
      </c>
    </row>
    <row r="195">
      <c r="A195" t="inlineStr">
        <is>
          <t>900008951</t>
        </is>
      </c>
      <c r="B195" t="inlineStr">
        <is>
          <t>D860</t>
        </is>
      </c>
      <c r="C195" t="inlineStr">
        <is>
          <t>67310311</t>
        </is>
      </c>
      <c r="D195" t="inlineStr">
        <is>
          <t>10262224</t>
        </is>
      </c>
      <c r="E195" t="inlineStr"/>
      <c r="F195" s="11" t="n">
        <v>136.8</v>
      </c>
      <c r="G195" t="inlineStr"/>
      <c r="I195" t="inlineStr">
        <is>
          <t>M3</t>
        </is>
      </c>
      <c r="J195" t="inlineStr"/>
      <c r="K195" t="inlineStr">
        <is>
          <t>20250505</t>
        </is>
      </c>
      <c r="L195" t="inlineStr">
        <is>
          <t>20250507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0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>
      <c r="A1" s="3" t="inlineStr">
        <is>
          <t>Concat1</t>
        </is>
      </c>
      <c r="B1" s="3" t="inlineStr">
        <is>
          <t>No. SF</t>
        </is>
      </c>
      <c r="C1" s="3" t="inlineStr">
        <is>
          <t>Cedis</t>
        </is>
      </c>
      <c r="D1" s="3" t="inlineStr">
        <is>
          <t>Destino</t>
        </is>
      </c>
      <c r="E1" s="3" t="inlineStr">
        <is>
          <t>Cond. Exp.</t>
        </is>
      </c>
      <c r="F1" s="3" t="inlineStr">
        <is>
          <t>Material</t>
        </is>
      </c>
      <c r="G1" t="inlineStr"/>
      <c r="H1" s="3" t="inlineStr">
        <is>
          <t>Nombre Material</t>
        </is>
      </c>
      <c r="I1" t="inlineStr"/>
      <c r="J1" s="3" t="inlineStr">
        <is>
          <t>Importe Flete</t>
        </is>
      </c>
      <c r="K1" s="3" t="inlineStr">
        <is>
          <t>Moneda</t>
        </is>
      </c>
      <c r="L1" s="3" t="inlineStr">
        <is>
          <t>Cantidad</t>
        </is>
      </c>
      <c r="M1" s="3" t="inlineStr">
        <is>
          <t>UM</t>
        </is>
      </c>
      <c r="N1" s="3" t="inlineStr">
        <is>
          <t>C</t>
        </is>
      </c>
      <c r="O1" t="inlineStr"/>
      <c r="P1" s="3" t="inlineStr">
        <is>
          <t>Inicio Vigencia</t>
        </is>
      </c>
      <c r="Q1" s="3" t="inlineStr">
        <is>
          <t>Fin Vigencia</t>
        </is>
      </c>
    </row>
    <row r="2">
      <c r="A2" t="inlineStr">
        <is>
          <t>900005375D8606685476310052407</t>
        </is>
      </c>
      <c r="B2" t="inlineStr">
        <is>
          <t>900005375</t>
        </is>
      </c>
      <c r="C2" t="inlineStr">
        <is>
          <t>D860</t>
        </is>
      </c>
      <c r="D2" t="inlineStr">
        <is>
          <t>66854763</t>
        </is>
      </c>
      <c r="E2" t="inlineStr">
        <is>
          <t>4</t>
        </is>
      </c>
      <c r="F2" t="inlineStr">
        <is>
          <t>10052407</t>
        </is>
      </c>
      <c r="H2" t="inlineStr"/>
      <c r="J2" t="n">
        <v>45</v>
      </c>
      <c r="K2" t="inlineStr"/>
      <c r="M2" t="inlineStr">
        <is>
          <t>M3</t>
        </is>
      </c>
      <c r="N2" t="inlineStr"/>
      <c r="P2" t="inlineStr">
        <is>
          <t>20200403</t>
        </is>
      </c>
      <c r="Q2" t="inlineStr">
        <is>
          <t>20251031</t>
        </is>
      </c>
    </row>
    <row r="3">
      <c r="A3" t="inlineStr">
        <is>
          <t>900005572D8606590741210052402</t>
        </is>
      </c>
      <c r="B3" t="inlineStr">
        <is>
          <t>900005572</t>
        </is>
      </c>
      <c r="C3" t="inlineStr">
        <is>
          <t>D860</t>
        </is>
      </c>
      <c r="D3" t="inlineStr">
        <is>
          <t>65907412</t>
        </is>
      </c>
      <c r="E3" t="inlineStr">
        <is>
          <t>4</t>
        </is>
      </c>
      <c r="F3" t="inlineStr">
        <is>
          <t>10052402</t>
        </is>
      </c>
      <c r="H3" t="inlineStr"/>
      <c r="J3" t="n">
        <v>142.94</v>
      </c>
      <c r="K3" t="inlineStr"/>
      <c r="M3" t="inlineStr">
        <is>
          <t>M3</t>
        </is>
      </c>
      <c r="N3" t="inlineStr"/>
      <c r="P3" t="inlineStr">
        <is>
          <t>20200403</t>
        </is>
      </c>
      <c r="Q3" t="inlineStr">
        <is>
          <t>20251031</t>
        </is>
      </c>
    </row>
    <row r="4">
      <c r="A4" t="inlineStr">
        <is>
          <t>900005572D8606590741210052405</t>
        </is>
      </c>
      <c r="B4" t="inlineStr">
        <is>
          <t>900005572</t>
        </is>
      </c>
      <c r="C4" t="inlineStr">
        <is>
          <t>D860</t>
        </is>
      </c>
      <c r="D4" t="inlineStr">
        <is>
          <t>65907412</t>
        </is>
      </c>
      <c r="E4" t="inlineStr">
        <is>
          <t>4</t>
        </is>
      </c>
      <c r="F4" t="inlineStr">
        <is>
          <t>10052405</t>
        </is>
      </c>
      <c r="H4" t="inlineStr"/>
      <c r="J4" t="n">
        <v>142.94</v>
      </c>
      <c r="K4" t="inlineStr"/>
      <c r="M4" t="inlineStr">
        <is>
          <t>M3</t>
        </is>
      </c>
      <c r="N4" t="inlineStr"/>
      <c r="P4" t="inlineStr">
        <is>
          <t>20200403</t>
        </is>
      </c>
      <c r="Q4" t="inlineStr">
        <is>
          <t>20251031</t>
        </is>
      </c>
    </row>
    <row r="5">
      <c r="A5" t="inlineStr">
        <is>
          <t>900005572D8606590741210052407</t>
        </is>
      </c>
      <c r="B5" t="inlineStr">
        <is>
          <t>900005572</t>
        </is>
      </c>
      <c r="C5" t="inlineStr">
        <is>
          <t>D860</t>
        </is>
      </c>
      <c r="D5" t="inlineStr">
        <is>
          <t>65907412</t>
        </is>
      </c>
      <c r="E5" t="inlineStr">
        <is>
          <t>4</t>
        </is>
      </c>
      <c r="F5" t="inlineStr">
        <is>
          <t>10052407</t>
        </is>
      </c>
      <c r="H5" t="inlineStr"/>
      <c r="J5" t="n">
        <v>142.94</v>
      </c>
      <c r="K5" t="inlineStr"/>
      <c r="M5" t="inlineStr">
        <is>
          <t>M3</t>
        </is>
      </c>
      <c r="N5" t="inlineStr"/>
      <c r="P5" t="inlineStr">
        <is>
          <t>20200403</t>
        </is>
      </c>
      <c r="Q5" t="inlineStr">
        <is>
          <t>20251031</t>
        </is>
      </c>
    </row>
    <row r="6">
      <c r="A6" t="inlineStr">
        <is>
          <t>900005572D8606590741210190637</t>
        </is>
      </c>
      <c r="B6" t="inlineStr">
        <is>
          <t>900005572</t>
        </is>
      </c>
      <c r="C6" t="inlineStr">
        <is>
          <t>D860</t>
        </is>
      </c>
      <c r="D6" t="inlineStr">
        <is>
          <t>65907412</t>
        </is>
      </c>
      <c r="E6" t="inlineStr">
        <is>
          <t>4</t>
        </is>
      </c>
      <c r="F6" t="inlineStr">
        <is>
          <t>10190637</t>
        </is>
      </c>
      <c r="H6" t="inlineStr"/>
      <c r="J6" t="n">
        <v>142.94</v>
      </c>
      <c r="K6" t="inlineStr"/>
      <c r="M6" t="inlineStr">
        <is>
          <t>M3</t>
        </is>
      </c>
      <c r="N6" t="inlineStr"/>
      <c r="P6" t="inlineStr">
        <is>
          <t>20200403</t>
        </is>
      </c>
      <c r="Q6" t="inlineStr">
        <is>
          <t>20251031</t>
        </is>
      </c>
    </row>
    <row r="7">
      <c r="A7" t="inlineStr">
        <is>
          <t>900005572D8606648110910190637</t>
        </is>
      </c>
      <c r="B7" t="inlineStr">
        <is>
          <t>900005572</t>
        </is>
      </c>
      <c r="C7" t="inlineStr">
        <is>
          <t>D860</t>
        </is>
      </c>
      <c r="D7" t="inlineStr">
        <is>
          <t>66481109</t>
        </is>
      </c>
      <c r="E7" t="inlineStr">
        <is>
          <t>4</t>
        </is>
      </c>
      <c r="F7" t="inlineStr">
        <is>
          <t>10190637</t>
        </is>
      </c>
      <c r="H7" t="inlineStr"/>
      <c r="J7" t="n">
        <v>142.94</v>
      </c>
      <c r="K7" t="inlineStr"/>
      <c r="M7" t="inlineStr">
        <is>
          <t>M3</t>
        </is>
      </c>
      <c r="N7" t="inlineStr"/>
      <c r="P7" t="inlineStr">
        <is>
          <t>20200403</t>
        </is>
      </c>
      <c r="Q7" t="inlineStr">
        <is>
          <t>20251031</t>
        </is>
      </c>
    </row>
    <row r="8">
      <c r="A8" t="inlineStr">
        <is>
          <t>900005572D8606678354810052407</t>
        </is>
      </c>
      <c r="B8" t="inlineStr">
        <is>
          <t>900005572</t>
        </is>
      </c>
      <c r="C8" t="inlineStr">
        <is>
          <t>D860</t>
        </is>
      </c>
      <c r="D8" t="inlineStr">
        <is>
          <t>66783548</t>
        </is>
      </c>
      <c r="E8" t="inlineStr">
        <is>
          <t>4</t>
        </is>
      </c>
      <c r="F8" t="inlineStr">
        <is>
          <t>10052407</t>
        </is>
      </c>
      <c r="H8" t="inlineStr"/>
      <c r="J8" t="n">
        <v>100</v>
      </c>
      <c r="K8" t="inlineStr"/>
      <c r="M8" t="inlineStr">
        <is>
          <t>M3</t>
        </is>
      </c>
      <c r="N8" t="inlineStr"/>
      <c r="P8" t="inlineStr">
        <is>
          <t>20200403</t>
        </is>
      </c>
      <c r="Q8" t="inlineStr">
        <is>
          <t>20251031</t>
        </is>
      </c>
    </row>
    <row r="9">
      <c r="A9" t="inlineStr">
        <is>
          <t>900005572D8606678354810190637</t>
        </is>
      </c>
      <c r="B9" t="inlineStr">
        <is>
          <t>900005572</t>
        </is>
      </c>
      <c r="C9" t="inlineStr">
        <is>
          <t>D860</t>
        </is>
      </c>
      <c r="D9" t="inlineStr">
        <is>
          <t>66783548</t>
        </is>
      </c>
      <c r="E9" t="inlineStr">
        <is>
          <t>4</t>
        </is>
      </c>
      <c r="F9" t="inlineStr">
        <is>
          <t>10190637</t>
        </is>
      </c>
      <c r="H9" t="inlineStr"/>
      <c r="J9" t="n">
        <v>100</v>
      </c>
      <c r="K9" t="inlineStr"/>
      <c r="M9" t="inlineStr">
        <is>
          <t>M3</t>
        </is>
      </c>
      <c r="N9" t="inlineStr"/>
      <c r="P9" t="inlineStr">
        <is>
          <t>20200403</t>
        </is>
      </c>
      <c r="Q9" t="inlineStr">
        <is>
          <t>20251031</t>
        </is>
      </c>
    </row>
    <row r="10">
      <c r="A10" t="inlineStr">
        <is>
          <t>900005572D8606683351310000176</t>
        </is>
      </c>
      <c r="B10" t="inlineStr">
        <is>
          <t>900005572</t>
        </is>
      </c>
      <c r="C10" t="inlineStr">
        <is>
          <t>D860</t>
        </is>
      </c>
      <c r="D10" t="inlineStr">
        <is>
          <t>66833513</t>
        </is>
      </c>
      <c r="E10" t="inlineStr">
        <is>
          <t>4</t>
        </is>
      </c>
      <c r="F10" t="inlineStr">
        <is>
          <t>10000176</t>
        </is>
      </c>
      <c r="H10" t="inlineStr"/>
      <c r="J10" t="n">
        <v>100</v>
      </c>
      <c r="K10" t="inlineStr"/>
      <c r="M10" t="inlineStr">
        <is>
          <t>M3</t>
        </is>
      </c>
      <c r="N10" t="inlineStr"/>
      <c r="P10" t="inlineStr">
        <is>
          <t>20200403</t>
        </is>
      </c>
      <c r="Q10" t="inlineStr">
        <is>
          <t>20251031</t>
        </is>
      </c>
    </row>
    <row r="11">
      <c r="A11" t="inlineStr">
        <is>
          <t>900005572D8606683351310052407</t>
        </is>
      </c>
      <c r="B11" t="inlineStr">
        <is>
          <t>900005572</t>
        </is>
      </c>
      <c r="C11" t="inlineStr">
        <is>
          <t>D860</t>
        </is>
      </c>
      <c r="D11" t="inlineStr">
        <is>
          <t>66833513</t>
        </is>
      </c>
      <c r="E11" t="inlineStr">
        <is>
          <t>4</t>
        </is>
      </c>
      <c r="F11" t="inlineStr">
        <is>
          <t>10052407</t>
        </is>
      </c>
      <c r="H11" t="inlineStr"/>
      <c r="J11" t="n">
        <v>100</v>
      </c>
      <c r="K11" t="inlineStr"/>
      <c r="M11" t="inlineStr">
        <is>
          <t>M3</t>
        </is>
      </c>
      <c r="N11" t="inlineStr"/>
      <c r="P11" t="inlineStr">
        <is>
          <t>20200403</t>
        </is>
      </c>
      <c r="Q11" t="inlineStr">
        <is>
          <t>20251031</t>
        </is>
      </c>
    </row>
    <row r="12">
      <c r="A12" t="inlineStr">
        <is>
          <t>900005572D8606683351310190637</t>
        </is>
      </c>
      <c r="B12" t="inlineStr">
        <is>
          <t>900005572</t>
        </is>
      </c>
      <c r="C12" t="inlineStr">
        <is>
          <t>D860</t>
        </is>
      </c>
      <c r="D12" t="inlineStr">
        <is>
          <t>66833513</t>
        </is>
      </c>
      <c r="E12" t="inlineStr">
        <is>
          <t>4</t>
        </is>
      </c>
      <c r="F12" t="inlineStr">
        <is>
          <t>10190637</t>
        </is>
      </c>
      <c r="H12" t="inlineStr"/>
      <c r="J12" t="n">
        <v>100</v>
      </c>
      <c r="K12" t="inlineStr"/>
      <c r="M12" t="inlineStr">
        <is>
          <t>M3</t>
        </is>
      </c>
      <c r="N12" t="inlineStr"/>
      <c r="P12" t="inlineStr">
        <is>
          <t>20200403</t>
        </is>
      </c>
      <c r="Q12" t="inlineStr">
        <is>
          <t>20251031</t>
        </is>
      </c>
    </row>
    <row r="13">
      <c r="A13" t="inlineStr">
        <is>
          <t>900005572D8606684587610052402</t>
        </is>
      </c>
      <c r="B13" t="inlineStr">
        <is>
          <t>900005572</t>
        </is>
      </c>
      <c r="C13" t="inlineStr">
        <is>
          <t>D860</t>
        </is>
      </c>
      <c r="D13" t="inlineStr">
        <is>
          <t>66845876</t>
        </is>
      </c>
      <c r="E13" t="inlineStr">
        <is>
          <t>4</t>
        </is>
      </c>
      <c r="F13" t="inlineStr">
        <is>
          <t>10052402</t>
        </is>
      </c>
      <c r="H13" t="inlineStr"/>
      <c r="J13" t="n">
        <v>113</v>
      </c>
      <c r="K13" t="inlineStr"/>
      <c r="M13" t="inlineStr">
        <is>
          <t>M3</t>
        </is>
      </c>
      <c r="N13" t="inlineStr"/>
      <c r="P13" t="inlineStr">
        <is>
          <t>20200403</t>
        </is>
      </c>
      <c r="Q13" t="inlineStr">
        <is>
          <t>20251031</t>
        </is>
      </c>
    </row>
    <row r="14">
      <c r="A14" t="inlineStr">
        <is>
          <t>900005572D8606684587610052407</t>
        </is>
      </c>
      <c r="B14" t="inlineStr">
        <is>
          <t>900005572</t>
        </is>
      </c>
      <c r="C14" t="inlineStr">
        <is>
          <t>D860</t>
        </is>
      </c>
      <c r="D14" t="inlineStr">
        <is>
          <t>66845876</t>
        </is>
      </c>
      <c r="E14" t="inlineStr">
        <is>
          <t>4</t>
        </is>
      </c>
      <c r="F14" t="inlineStr">
        <is>
          <t>10052407</t>
        </is>
      </c>
      <c r="H14" t="inlineStr"/>
      <c r="J14" t="n">
        <v>113</v>
      </c>
      <c r="K14" t="inlineStr"/>
      <c r="M14" t="inlineStr">
        <is>
          <t>M3</t>
        </is>
      </c>
      <c r="N14" t="inlineStr"/>
      <c r="P14" t="inlineStr">
        <is>
          <t>20200403</t>
        </is>
      </c>
      <c r="Q14" t="inlineStr">
        <is>
          <t>20251031</t>
        </is>
      </c>
    </row>
    <row r="15">
      <c r="A15" t="inlineStr">
        <is>
          <t>900005572D8606685472210052407</t>
        </is>
      </c>
      <c r="B15" t="inlineStr">
        <is>
          <t>900005572</t>
        </is>
      </c>
      <c r="C15" t="inlineStr">
        <is>
          <t>D860</t>
        </is>
      </c>
      <c r="D15" t="inlineStr">
        <is>
          <t>66854722</t>
        </is>
      </c>
      <c r="E15" t="inlineStr">
        <is>
          <t>4</t>
        </is>
      </c>
      <c r="F15" t="inlineStr">
        <is>
          <t>10052407</t>
        </is>
      </c>
      <c r="H15" t="inlineStr"/>
      <c r="J15" t="n">
        <v>135</v>
      </c>
      <c r="K15" t="inlineStr"/>
      <c r="M15" t="inlineStr">
        <is>
          <t>M3</t>
        </is>
      </c>
      <c r="N15" t="inlineStr"/>
      <c r="P15" t="inlineStr">
        <is>
          <t>20200403</t>
        </is>
      </c>
      <c r="Q15" t="inlineStr">
        <is>
          <t>20251031</t>
        </is>
      </c>
    </row>
    <row r="16">
      <c r="A16" t="inlineStr">
        <is>
          <t>900005572D8606685472210190637</t>
        </is>
      </c>
      <c r="B16" t="inlineStr">
        <is>
          <t>900005572</t>
        </is>
      </c>
      <c r="C16" t="inlineStr">
        <is>
          <t>D860</t>
        </is>
      </c>
      <c r="D16" t="inlineStr">
        <is>
          <t>66854722</t>
        </is>
      </c>
      <c r="E16" t="inlineStr">
        <is>
          <t>4</t>
        </is>
      </c>
      <c r="F16" t="inlineStr">
        <is>
          <t>10190637</t>
        </is>
      </c>
      <c r="H16" t="inlineStr"/>
      <c r="J16" t="n">
        <v>135</v>
      </c>
      <c r="K16" t="inlineStr"/>
      <c r="M16" t="inlineStr">
        <is>
          <t>M3</t>
        </is>
      </c>
      <c r="N16" t="inlineStr"/>
      <c r="P16" t="inlineStr">
        <is>
          <t>20200403</t>
        </is>
      </c>
      <c r="Q16" t="inlineStr">
        <is>
          <t>20251031</t>
        </is>
      </c>
    </row>
    <row r="17">
      <c r="A17" t="inlineStr">
        <is>
          <t>900005572D8606685476310052407</t>
        </is>
      </c>
      <c r="B17" t="inlineStr">
        <is>
          <t>900005572</t>
        </is>
      </c>
      <c r="C17" t="inlineStr">
        <is>
          <t>D860</t>
        </is>
      </c>
      <c r="D17" t="inlineStr">
        <is>
          <t>66854763</t>
        </is>
      </c>
      <c r="E17" t="inlineStr">
        <is>
          <t>4</t>
        </is>
      </c>
      <c r="F17" t="inlineStr">
        <is>
          <t>10052407</t>
        </is>
      </c>
      <c r="H17" t="inlineStr"/>
      <c r="J17" t="n">
        <v>45</v>
      </c>
      <c r="K17" t="inlineStr"/>
      <c r="M17" t="inlineStr">
        <is>
          <t>M3</t>
        </is>
      </c>
      <c r="N17" t="inlineStr"/>
      <c r="P17" t="inlineStr">
        <is>
          <t>20200403</t>
        </is>
      </c>
      <c r="Q17" t="inlineStr">
        <is>
          <t>20251031</t>
        </is>
      </c>
    </row>
    <row r="18">
      <c r="A18" t="inlineStr">
        <is>
          <t>900005572D8606685476310190637</t>
        </is>
      </c>
      <c r="B18" t="inlineStr">
        <is>
          <t>900005572</t>
        </is>
      </c>
      <c r="C18" t="inlineStr">
        <is>
          <t>D860</t>
        </is>
      </c>
      <c r="D18" t="inlineStr">
        <is>
          <t>66854763</t>
        </is>
      </c>
      <c r="E18" t="inlineStr">
        <is>
          <t>4</t>
        </is>
      </c>
      <c r="F18" t="inlineStr">
        <is>
          <t>10190637</t>
        </is>
      </c>
      <c r="H18" t="inlineStr"/>
      <c r="J18" t="n">
        <v>45</v>
      </c>
      <c r="K18" t="inlineStr"/>
      <c r="M18" t="inlineStr">
        <is>
          <t>M3</t>
        </is>
      </c>
      <c r="N18" t="inlineStr"/>
      <c r="P18" t="inlineStr">
        <is>
          <t>20200403</t>
        </is>
      </c>
      <c r="Q18" t="inlineStr">
        <is>
          <t>20251031</t>
        </is>
      </c>
    </row>
    <row r="19">
      <c r="A19" t="inlineStr">
        <is>
          <t>900005572D8606687759010052402</t>
        </is>
      </c>
      <c r="B19" t="inlineStr">
        <is>
          <t>900005572</t>
        </is>
      </c>
      <c r="C19" t="inlineStr">
        <is>
          <t>D860</t>
        </is>
      </c>
      <c r="D19" t="inlineStr">
        <is>
          <t>66877590</t>
        </is>
      </c>
      <c r="E19" t="inlineStr">
        <is>
          <t>4</t>
        </is>
      </c>
      <c r="F19" t="inlineStr">
        <is>
          <t>10052402</t>
        </is>
      </c>
      <c r="H19" t="inlineStr"/>
      <c r="J19" t="n">
        <v>113</v>
      </c>
      <c r="K19" t="inlineStr"/>
      <c r="M19" t="inlineStr">
        <is>
          <t>M3</t>
        </is>
      </c>
      <c r="N19" t="inlineStr"/>
      <c r="P19" t="inlineStr">
        <is>
          <t>20200403</t>
        </is>
      </c>
      <c r="Q19" t="inlineStr">
        <is>
          <t>20251031</t>
        </is>
      </c>
    </row>
    <row r="20">
      <c r="A20" t="inlineStr">
        <is>
          <t>900005572D8606687759010052407</t>
        </is>
      </c>
      <c r="B20" t="inlineStr">
        <is>
          <t>900005572</t>
        </is>
      </c>
      <c r="C20" t="inlineStr">
        <is>
          <t>D860</t>
        </is>
      </c>
      <c r="D20" t="inlineStr">
        <is>
          <t>66877590</t>
        </is>
      </c>
      <c r="E20" t="inlineStr">
        <is>
          <t>4</t>
        </is>
      </c>
      <c r="F20" t="inlineStr">
        <is>
          <t>10052407</t>
        </is>
      </c>
      <c r="H20" t="inlineStr"/>
      <c r="J20" t="n">
        <v>113</v>
      </c>
      <c r="K20" t="inlineStr"/>
      <c r="M20" t="inlineStr">
        <is>
          <t>M3</t>
        </is>
      </c>
      <c r="N20" t="inlineStr"/>
      <c r="P20" t="inlineStr">
        <is>
          <t>20200403</t>
        </is>
      </c>
      <c r="Q20" t="inlineStr">
        <is>
          <t>20251031</t>
        </is>
      </c>
    </row>
    <row r="21">
      <c r="A21" t="inlineStr">
        <is>
          <t>900005572D8606687759010190637</t>
        </is>
      </c>
      <c r="B21" t="inlineStr">
        <is>
          <t>900005572</t>
        </is>
      </c>
      <c r="C21" t="inlineStr">
        <is>
          <t>D860</t>
        </is>
      </c>
      <c r="D21" t="inlineStr">
        <is>
          <t>66877590</t>
        </is>
      </c>
      <c r="E21" t="inlineStr">
        <is>
          <t>4</t>
        </is>
      </c>
      <c r="F21" t="inlineStr">
        <is>
          <t>10190637</t>
        </is>
      </c>
      <c r="H21" t="inlineStr"/>
      <c r="J21" t="n">
        <v>113</v>
      </c>
      <c r="K21" t="inlineStr"/>
      <c r="M21" t="inlineStr">
        <is>
          <t>M3</t>
        </is>
      </c>
      <c r="N21" t="inlineStr"/>
      <c r="P21" t="inlineStr">
        <is>
          <t>20200403</t>
        </is>
      </c>
      <c r="Q21" t="inlineStr">
        <is>
          <t>20251031</t>
        </is>
      </c>
    </row>
    <row r="22">
      <c r="A22" t="inlineStr">
        <is>
          <t>900005572D8606688282010000248</t>
        </is>
      </c>
      <c r="B22" t="inlineStr">
        <is>
          <t>900005572</t>
        </is>
      </c>
      <c r="C22" t="inlineStr">
        <is>
          <t>D860</t>
        </is>
      </c>
      <c r="D22" t="inlineStr">
        <is>
          <t>66882820</t>
        </is>
      </c>
      <c r="E22" t="inlineStr">
        <is>
          <t>4</t>
        </is>
      </c>
      <c r="F22" t="inlineStr">
        <is>
          <t>10000248</t>
        </is>
      </c>
      <c r="H22" t="inlineStr"/>
      <c r="J22" t="n">
        <v>38.44</v>
      </c>
      <c r="K22" t="inlineStr"/>
      <c r="M22" t="inlineStr">
        <is>
          <t>TN</t>
        </is>
      </c>
      <c r="N22" t="inlineStr"/>
      <c r="P22" t="inlineStr">
        <is>
          <t>20200403</t>
        </is>
      </c>
      <c r="Q22" t="inlineStr">
        <is>
          <t>20251031</t>
        </is>
      </c>
    </row>
    <row r="23">
      <c r="A23" t="inlineStr">
        <is>
          <t>900005572D8606689505710052402</t>
        </is>
      </c>
      <c r="B23" t="inlineStr">
        <is>
          <t>900005572</t>
        </is>
      </c>
      <c r="C23" t="inlineStr">
        <is>
          <t>D860</t>
        </is>
      </c>
      <c r="D23" t="inlineStr">
        <is>
          <t>66895057</t>
        </is>
      </c>
      <c r="E23" t="inlineStr">
        <is>
          <t>4</t>
        </is>
      </c>
      <c r="F23" t="inlineStr">
        <is>
          <t>10052402</t>
        </is>
      </c>
      <c r="H23" t="inlineStr"/>
      <c r="J23" t="n">
        <v>113</v>
      </c>
      <c r="K23" t="inlineStr"/>
      <c r="M23" t="inlineStr">
        <is>
          <t>M3</t>
        </is>
      </c>
      <c r="N23" t="inlineStr"/>
      <c r="P23" t="inlineStr">
        <is>
          <t>20200403</t>
        </is>
      </c>
      <c r="Q23" t="inlineStr">
        <is>
          <t>20251031</t>
        </is>
      </c>
    </row>
    <row r="24">
      <c r="A24" t="inlineStr">
        <is>
          <t>900005572D8606689505710052405</t>
        </is>
      </c>
      <c r="B24" t="inlineStr">
        <is>
          <t>900005572</t>
        </is>
      </c>
      <c r="C24" t="inlineStr">
        <is>
          <t>D860</t>
        </is>
      </c>
      <c r="D24" t="inlineStr">
        <is>
          <t>66895057</t>
        </is>
      </c>
      <c r="E24" t="inlineStr">
        <is>
          <t>4</t>
        </is>
      </c>
      <c r="F24" t="inlineStr">
        <is>
          <t>10052405</t>
        </is>
      </c>
      <c r="H24" t="inlineStr"/>
      <c r="J24" t="n">
        <v>113</v>
      </c>
      <c r="K24" t="inlineStr"/>
      <c r="M24" t="inlineStr">
        <is>
          <t>M3</t>
        </is>
      </c>
      <c r="N24" t="inlineStr"/>
      <c r="P24" t="inlineStr">
        <is>
          <t>20200403</t>
        </is>
      </c>
      <c r="Q24" t="inlineStr">
        <is>
          <t>20251031</t>
        </is>
      </c>
    </row>
    <row r="25">
      <c r="A25" t="inlineStr">
        <is>
          <t>900005572D8606689505710052407</t>
        </is>
      </c>
      <c r="B25" t="inlineStr">
        <is>
          <t>900005572</t>
        </is>
      </c>
      <c r="C25" t="inlineStr">
        <is>
          <t>D860</t>
        </is>
      </c>
      <c r="D25" t="inlineStr">
        <is>
          <t>66895057</t>
        </is>
      </c>
      <c r="E25" t="inlineStr">
        <is>
          <t>4</t>
        </is>
      </c>
      <c r="F25" t="inlineStr">
        <is>
          <t>10052407</t>
        </is>
      </c>
      <c r="H25" t="inlineStr"/>
      <c r="J25" t="n">
        <v>113</v>
      </c>
      <c r="K25" t="inlineStr"/>
      <c r="M25" t="inlineStr">
        <is>
          <t>M3</t>
        </is>
      </c>
      <c r="N25" t="inlineStr"/>
      <c r="P25" t="inlineStr">
        <is>
          <t>20200403</t>
        </is>
      </c>
      <c r="Q25" t="inlineStr">
        <is>
          <t>20251031</t>
        </is>
      </c>
    </row>
    <row r="26">
      <c r="A26" t="inlineStr">
        <is>
          <t>900005572D8606689505710190637</t>
        </is>
      </c>
      <c r="B26" t="inlineStr">
        <is>
          <t>900005572</t>
        </is>
      </c>
      <c r="C26" t="inlineStr">
        <is>
          <t>D860</t>
        </is>
      </c>
      <c r="D26" t="inlineStr">
        <is>
          <t>66895057</t>
        </is>
      </c>
      <c r="E26" t="inlineStr">
        <is>
          <t>4</t>
        </is>
      </c>
      <c r="F26" t="inlineStr">
        <is>
          <t>10190637</t>
        </is>
      </c>
      <c r="H26" t="inlineStr"/>
      <c r="J26" t="n">
        <v>113</v>
      </c>
      <c r="K26" t="inlineStr"/>
      <c r="M26" t="inlineStr">
        <is>
          <t>M3</t>
        </is>
      </c>
      <c r="N26" t="inlineStr"/>
      <c r="P26" t="inlineStr">
        <is>
          <t>20200403</t>
        </is>
      </c>
      <c r="Q26" t="inlineStr">
        <is>
          <t>20251031</t>
        </is>
      </c>
    </row>
    <row r="27">
      <c r="A27" t="inlineStr">
        <is>
          <t>900005572D8606689613610052402</t>
        </is>
      </c>
      <c r="B27" t="inlineStr">
        <is>
          <t>900005572</t>
        </is>
      </c>
      <c r="C27" t="inlineStr">
        <is>
          <t>D860</t>
        </is>
      </c>
      <c r="D27" t="inlineStr">
        <is>
          <t>66896136</t>
        </is>
      </c>
      <c r="E27" t="inlineStr">
        <is>
          <t>4</t>
        </is>
      </c>
      <c r="F27" t="inlineStr">
        <is>
          <t>10052402</t>
        </is>
      </c>
      <c r="H27" t="inlineStr"/>
      <c r="J27" t="n">
        <v>142.94</v>
      </c>
      <c r="K27" t="inlineStr"/>
      <c r="M27" t="inlineStr">
        <is>
          <t>M3</t>
        </is>
      </c>
      <c r="N27" t="inlineStr"/>
      <c r="P27" t="inlineStr">
        <is>
          <t>20200403</t>
        </is>
      </c>
      <c r="Q27" t="inlineStr">
        <is>
          <t>20251031</t>
        </is>
      </c>
    </row>
    <row r="28">
      <c r="A28" t="inlineStr">
        <is>
          <t>900005572D8606689613610052405</t>
        </is>
      </c>
      <c r="B28" t="inlineStr">
        <is>
          <t>900005572</t>
        </is>
      </c>
      <c r="C28" t="inlineStr">
        <is>
          <t>D860</t>
        </is>
      </c>
      <c r="D28" t="inlineStr">
        <is>
          <t>66896136</t>
        </is>
      </c>
      <c r="E28" t="inlineStr">
        <is>
          <t>4</t>
        </is>
      </c>
      <c r="F28" t="inlineStr">
        <is>
          <t>10052405</t>
        </is>
      </c>
      <c r="H28" t="inlineStr"/>
      <c r="J28" t="n">
        <v>142.94</v>
      </c>
      <c r="K28" t="inlineStr"/>
      <c r="M28" t="inlineStr">
        <is>
          <t>M3</t>
        </is>
      </c>
      <c r="N28" t="inlineStr"/>
      <c r="P28" t="inlineStr">
        <is>
          <t>20200403</t>
        </is>
      </c>
      <c r="Q28" t="inlineStr">
        <is>
          <t>20251031</t>
        </is>
      </c>
    </row>
    <row r="29">
      <c r="A29" t="inlineStr">
        <is>
          <t>900005572D8606689613610052407</t>
        </is>
      </c>
      <c r="B29" t="inlineStr">
        <is>
          <t>900005572</t>
        </is>
      </c>
      <c r="C29" t="inlineStr">
        <is>
          <t>D860</t>
        </is>
      </c>
      <c r="D29" t="inlineStr">
        <is>
          <t>66896136</t>
        </is>
      </c>
      <c r="E29" t="inlineStr">
        <is>
          <t>4</t>
        </is>
      </c>
      <c r="F29" t="inlineStr">
        <is>
          <t>10052407</t>
        </is>
      </c>
      <c r="H29" t="inlineStr"/>
      <c r="J29" t="n">
        <v>142.94</v>
      </c>
      <c r="K29" t="inlineStr"/>
      <c r="M29" t="inlineStr">
        <is>
          <t>M3</t>
        </is>
      </c>
      <c r="N29" t="inlineStr"/>
      <c r="P29" t="inlineStr">
        <is>
          <t>20200403</t>
        </is>
      </c>
      <c r="Q29" t="inlineStr">
        <is>
          <t>20251031</t>
        </is>
      </c>
    </row>
    <row r="30">
      <c r="A30" t="inlineStr">
        <is>
          <t>900005572D8606689613610190637</t>
        </is>
      </c>
      <c r="B30" t="inlineStr">
        <is>
          <t>900005572</t>
        </is>
      </c>
      <c r="C30" t="inlineStr">
        <is>
          <t>D860</t>
        </is>
      </c>
      <c r="D30" t="inlineStr">
        <is>
          <t>66896136</t>
        </is>
      </c>
      <c r="E30" t="inlineStr">
        <is>
          <t>4</t>
        </is>
      </c>
      <c r="F30" t="inlineStr">
        <is>
          <t>10190637</t>
        </is>
      </c>
      <c r="H30" t="inlineStr"/>
      <c r="J30" t="n">
        <v>142.94</v>
      </c>
      <c r="K30" t="inlineStr"/>
      <c r="M30" t="inlineStr">
        <is>
          <t>M3</t>
        </is>
      </c>
      <c r="N30" t="inlineStr"/>
      <c r="P30" t="inlineStr">
        <is>
          <t>20200403</t>
        </is>
      </c>
      <c r="Q30" t="inlineStr">
        <is>
          <t>20251031</t>
        </is>
      </c>
    </row>
    <row r="31">
      <c r="A31" t="inlineStr">
        <is>
          <t>900005628D8606636664710052402</t>
        </is>
      </c>
      <c r="B31" t="inlineStr">
        <is>
          <t>900005628</t>
        </is>
      </c>
      <c r="C31" t="inlineStr">
        <is>
          <t>D860</t>
        </is>
      </c>
      <c r="D31" t="inlineStr">
        <is>
          <t>66366647</t>
        </is>
      </c>
      <c r="E31" t="inlineStr">
        <is>
          <t>4</t>
        </is>
      </c>
      <c r="F31" t="inlineStr">
        <is>
          <t>10052402</t>
        </is>
      </c>
      <c r="H31" t="inlineStr"/>
      <c r="J31" t="n">
        <v>227.43</v>
      </c>
      <c r="K31" t="inlineStr"/>
      <c r="M31" t="inlineStr">
        <is>
          <t>M3</t>
        </is>
      </c>
      <c r="N31" t="inlineStr"/>
      <c r="P31" t="inlineStr">
        <is>
          <t>20200403</t>
        </is>
      </c>
      <c r="Q31" t="inlineStr">
        <is>
          <t>20251031</t>
        </is>
      </c>
    </row>
    <row r="32">
      <c r="A32" t="inlineStr">
        <is>
          <t>900005628D8606636664710052404</t>
        </is>
      </c>
      <c r="B32" t="inlineStr">
        <is>
          <t>900005628</t>
        </is>
      </c>
      <c r="C32" t="inlineStr">
        <is>
          <t>D860</t>
        </is>
      </c>
      <c r="D32" t="inlineStr">
        <is>
          <t>66366647</t>
        </is>
      </c>
      <c r="E32" t="inlineStr">
        <is>
          <t>4</t>
        </is>
      </c>
      <c r="F32" t="inlineStr">
        <is>
          <t>10052404</t>
        </is>
      </c>
      <c r="H32" t="inlineStr"/>
      <c r="J32" t="n">
        <v>158.22</v>
      </c>
      <c r="K32" t="inlineStr"/>
      <c r="M32" t="inlineStr">
        <is>
          <t>M3</t>
        </is>
      </c>
      <c r="N32" t="inlineStr"/>
      <c r="P32" t="inlineStr">
        <is>
          <t>20200403</t>
        </is>
      </c>
      <c r="Q32" t="inlineStr">
        <is>
          <t>20251031</t>
        </is>
      </c>
    </row>
    <row r="33">
      <c r="A33" t="inlineStr">
        <is>
          <t>900005628D8606636664710052405</t>
        </is>
      </c>
      <c r="B33" t="inlineStr">
        <is>
          <t>900005628</t>
        </is>
      </c>
      <c r="C33" t="inlineStr">
        <is>
          <t>D860</t>
        </is>
      </c>
      <c r="D33" t="inlineStr">
        <is>
          <t>66366647</t>
        </is>
      </c>
      <c r="E33" t="inlineStr">
        <is>
          <t>4</t>
        </is>
      </c>
      <c r="F33" t="inlineStr">
        <is>
          <t>10052405</t>
        </is>
      </c>
      <c r="H33" t="inlineStr"/>
      <c r="J33" t="n">
        <v>160.04</v>
      </c>
      <c r="K33" t="inlineStr"/>
      <c r="M33" t="inlineStr">
        <is>
          <t>M3</t>
        </is>
      </c>
      <c r="N33" t="inlineStr"/>
      <c r="P33" t="inlineStr">
        <is>
          <t>20200403</t>
        </is>
      </c>
      <c r="Q33" t="inlineStr">
        <is>
          <t>20251031</t>
        </is>
      </c>
    </row>
    <row r="34">
      <c r="A34" t="inlineStr">
        <is>
          <t>900005628D8606636664710052407</t>
        </is>
      </c>
      <c r="B34" t="inlineStr">
        <is>
          <t>900005628</t>
        </is>
      </c>
      <c r="C34" t="inlineStr">
        <is>
          <t>D860</t>
        </is>
      </c>
      <c r="D34" t="inlineStr">
        <is>
          <t>66366647</t>
        </is>
      </c>
      <c r="E34" t="inlineStr">
        <is>
          <t>4</t>
        </is>
      </c>
      <c r="F34" t="inlineStr">
        <is>
          <t>10052407</t>
        </is>
      </c>
      <c r="H34" t="inlineStr"/>
      <c r="J34" t="n">
        <v>158.31</v>
      </c>
      <c r="K34" t="inlineStr"/>
      <c r="M34" t="inlineStr">
        <is>
          <t>M3</t>
        </is>
      </c>
      <c r="N34" t="inlineStr"/>
      <c r="P34" t="inlineStr">
        <is>
          <t>20200403</t>
        </is>
      </c>
      <c r="Q34" t="inlineStr">
        <is>
          <t>20251031</t>
        </is>
      </c>
    </row>
    <row r="35">
      <c r="A35" t="inlineStr">
        <is>
          <t>900007611D8606540810910052404</t>
        </is>
      </c>
      <c r="B35" t="inlineStr">
        <is>
          <t>900007611</t>
        </is>
      </c>
      <c r="C35" t="inlineStr">
        <is>
          <t>D860</t>
        </is>
      </c>
      <c r="D35" t="inlineStr">
        <is>
          <t>65408109</t>
        </is>
      </c>
      <c r="E35" t="inlineStr">
        <is>
          <t>4</t>
        </is>
      </c>
      <c r="F35" t="inlineStr">
        <is>
          <t>10052404</t>
        </is>
      </c>
      <c r="H35" t="inlineStr"/>
      <c r="J35" t="n">
        <v>32.68</v>
      </c>
      <c r="K35" t="inlineStr"/>
      <c r="M35" t="inlineStr">
        <is>
          <t>M3</t>
        </is>
      </c>
      <c r="N35" t="inlineStr"/>
      <c r="P35" t="inlineStr">
        <is>
          <t>20200403</t>
        </is>
      </c>
      <c r="Q35" t="inlineStr">
        <is>
          <t>20251031</t>
        </is>
      </c>
    </row>
    <row r="36">
      <c r="A36" t="inlineStr">
        <is>
          <t>900007611D8606540810910052407</t>
        </is>
      </c>
      <c r="B36" t="inlineStr">
        <is>
          <t>900007611</t>
        </is>
      </c>
      <c r="C36" t="inlineStr">
        <is>
          <t>D860</t>
        </is>
      </c>
      <c r="D36" t="inlineStr">
        <is>
          <t>65408109</t>
        </is>
      </c>
      <c r="E36" t="inlineStr">
        <is>
          <t>4</t>
        </is>
      </c>
      <c r="F36" t="inlineStr">
        <is>
          <t>10052407</t>
        </is>
      </c>
      <c r="H36" t="inlineStr"/>
      <c r="J36" t="n">
        <v>32.68</v>
      </c>
      <c r="K36" t="inlineStr"/>
      <c r="M36" t="inlineStr">
        <is>
          <t>M3</t>
        </is>
      </c>
      <c r="N36" t="inlineStr"/>
      <c r="P36" t="inlineStr">
        <is>
          <t>20200403</t>
        </is>
      </c>
      <c r="Q36" t="inlineStr">
        <is>
          <t>20251031</t>
        </is>
      </c>
    </row>
    <row r="37">
      <c r="A37" t="inlineStr">
        <is>
          <t>900007611D8606654082210052402</t>
        </is>
      </c>
      <c r="B37" t="inlineStr">
        <is>
          <t>900007611</t>
        </is>
      </c>
      <c r="C37" t="inlineStr">
        <is>
          <t>D860</t>
        </is>
      </c>
      <c r="D37" t="inlineStr">
        <is>
          <t>66540822</t>
        </is>
      </c>
      <c r="E37" t="inlineStr">
        <is>
          <t>4</t>
        </is>
      </c>
      <c r="F37" t="inlineStr">
        <is>
          <t>10052402</t>
        </is>
      </c>
      <c r="H37" t="inlineStr"/>
      <c r="J37" t="n">
        <v>53.55</v>
      </c>
      <c r="K37" t="inlineStr"/>
      <c r="M37" t="inlineStr">
        <is>
          <t>M3</t>
        </is>
      </c>
      <c r="N37" t="inlineStr"/>
      <c r="P37" t="inlineStr">
        <is>
          <t>20200403</t>
        </is>
      </c>
      <c r="Q37" t="inlineStr">
        <is>
          <t>20251031</t>
        </is>
      </c>
    </row>
    <row r="38">
      <c r="A38" t="inlineStr">
        <is>
          <t>900007611D8606654082210052404</t>
        </is>
      </c>
      <c r="B38" t="inlineStr">
        <is>
          <t>900007611</t>
        </is>
      </c>
      <c r="C38" t="inlineStr">
        <is>
          <t>D860</t>
        </is>
      </c>
      <c r="D38" t="inlineStr">
        <is>
          <t>66540822</t>
        </is>
      </c>
      <c r="E38" t="inlineStr">
        <is>
          <t>4</t>
        </is>
      </c>
      <c r="F38" t="inlineStr">
        <is>
          <t>10052404</t>
        </is>
      </c>
      <c r="H38" t="inlineStr"/>
      <c r="J38" t="n">
        <v>100.8</v>
      </c>
      <c r="K38" t="inlineStr"/>
      <c r="M38" t="inlineStr">
        <is>
          <t>M3</t>
        </is>
      </c>
      <c r="N38" t="inlineStr"/>
      <c r="P38" t="inlineStr">
        <is>
          <t>20200403</t>
        </is>
      </c>
      <c r="Q38" t="inlineStr">
        <is>
          <t>20251031</t>
        </is>
      </c>
    </row>
    <row r="39">
      <c r="A39" t="inlineStr">
        <is>
          <t>900007611D8606654082210052405</t>
        </is>
      </c>
      <c r="B39" t="inlineStr">
        <is>
          <t>900007611</t>
        </is>
      </c>
      <c r="C39" t="inlineStr">
        <is>
          <t>D860</t>
        </is>
      </c>
      <c r="D39" t="inlineStr">
        <is>
          <t>66540822</t>
        </is>
      </c>
      <c r="E39" t="inlineStr">
        <is>
          <t>4</t>
        </is>
      </c>
      <c r="F39" t="inlineStr">
        <is>
          <t>10052405</t>
        </is>
      </c>
      <c r="H39" t="inlineStr"/>
      <c r="J39" t="n">
        <v>100.8</v>
      </c>
      <c r="K39" t="inlineStr"/>
      <c r="M39" t="inlineStr">
        <is>
          <t>M3</t>
        </is>
      </c>
      <c r="N39" t="inlineStr"/>
      <c r="P39" t="inlineStr">
        <is>
          <t>20200403</t>
        </is>
      </c>
      <c r="Q39" t="inlineStr">
        <is>
          <t>20251031</t>
        </is>
      </c>
    </row>
    <row r="40">
      <c r="A40" t="inlineStr">
        <is>
          <t>900007611D8606654082210052407</t>
        </is>
      </c>
      <c r="B40" t="inlineStr">
        <is>
          <t>900007611</t>
        </is>
      </c>
      <c r="C40" t="inlineStr">
        <is>
          <t>D860</t>
        </is>
      </c>
      <c r="D40" t="inlineStr">
        <is>
          <t>66540822</t>
        </is>
      </c>
      <c r="E40" t="inlineStr">
        <is>
          <t>4</t>
        </is>
      </c>
      <c r="F40" t="inlineStr">
        <is>
          <t>10052407</t>
        </is>
      </c>
      <c r="H40" t="inlineStr"/>
      <c r="J40" t="n">
        <v>89.25</v>
      </c>
      <c r="K40" t="inlineStr"/>
      <c r="M40" t="inlineStr">
        <is>
          <t>M3</t>
        </is>
      </c>
      <c r="N40" t="inlineStr"/>
      <c r="P40" t="inlineStr">
        <is>
          <t>20200403</t>
        </is>
      </c>
      <c r="Q40" t="inlineStr">
        <is>
          <t>20251031</t>
        </is>
      </c>
    </row>
    <row r="41">
      <c r="A41" t="inlineStr">
        <is>
          <t>900007611D8606685656210052402</t>
        </is>
      </c>
      <c r="B41" t="inlineStr">
        <is>
          <t>900007611</t>
        </is>
      </c>
      <c r="C41" t="inlineStr">
        <is>
          <t>D860</t>
        </is>
      </c>
      <c r="D41" t="inlineStr">
        <is>
          <t>66856562</t>
        </is>
      </c>
      <c r="E41" t="inlineStr">
        <is>
          <t>4</t>
        </is>
      </c>
      <c r="F41" t="inlineStr">
        <is>
          <t>10052402</t>
        </is>
      </c>
      <c r="H41" t="inlineStr"/>
      <c r="J41" t="n">
        <v>129</v>
      </c>
      <c r="K41" t="inlineStr"/>
      <c r="M41" t="inlineStr">
        <is>
          <t>M3</t>
        </is>
      </c>
      <c r="N41" t="inlineStr"/>
      <c r="P41" t="inlineStr">
        <is>
          <t>20200403</t>
        </is>
      </c>
      <c r="Q41" t="inlineStr">
        <is>
          <t>20251031</t>
        </is>
      </c>
    </row>
    <row r="42">
      <c r="A42" t="inlineStr">
        <is>
          <t>900007611D8606685656210052404</t>
        </is>
      </c>
      <c r="B42" t="inlineStr">
        <is>
          <t>900007611</t>
        </is>
      </c>
      <c r="C42" t="inlineStr">
        <is>
          <t>D860</t>
        </is>
      </c>
      <c r="D42" t="inlineStr">
        <is>
          <t>66856562</t>
        </is>
      </c>
      <c r="E42" t="inlineStr">
        <is>
          <t>4</t>
        </is>
      </c>
      <c r="F42" t="inlineStr">
        <is>
          <t>10052404</t>
        </is>
      </c>
      <c r="H42" t="inlineStr"/>
      <c r="J42" t="n">
        <v>129</v>
      </c>
      <c r="K42" t="inlineStr"/>
      <c r="M42" t="inlineStr">
        <is>
          <t>M3</t>
        </is>
      </c>
      <c r="N42" t="inlineStr"/>
      <c r="P42" t="inlineStr">
        <is>
          <t>20200403</t>
        </is>
      </c>
      <c r="Q42" t="inlineStr">
        <is>
          <t>20251031</t>
        </is>
      </c>
    </row>
    <row r="43">
      <c r="A43" t="inlineStr">
        <is>
          <t>900007611D8606685656210052405</t>
        </is>
      </c>
      <c r="B43" t="inlineStr">
        <is>
          <t>900007611</t>
        </is>
      </c>
      <c r="C43" t="inlineStr">
        <is>
          <t>D860</t>
        </is>
      </c>
      <c r="D43" t="inlineStr">
        <is>
          <t>66856562</t>
        </is>
      </c>
      <c r="E43" t="inlineStr">
        <is>
          <t>4</t>
        </is>
      </c>
      <c r="F43" t="inlineStr">
        <is>
          <t>10052405</t>
        </is>
      </c>
      <c r="H43" t="inlineStr"/>
      <c r="J43" t="n">
        <v>129</v>
      </c>
      <c r="K43" t="inlineStr"/>
      <c r="M43" t="inlineStr">
        <is>
          <t>M3</t>
        </is>
      </c>
      <c r="N43" t="inlineStr"/>
      <c r="P43" t="inlineStr">
        <is>
          <t>20200403</t>
        </is>
      </c>
      <c r="Q43" t="inlineStr">
        <is>
          <t>20251031</t>
        </is>
      </c>
    </row>
    <row r="44">
      <c r="A44" t="inlineStr">
        <is>
          <t>900007611D8606685656210052407</t>
        </is>
      </c>
      <c r="B44" t="inlineStr">
        <is>
          <t>900007611</t>
        </is>
      </c>
      <c r="C44" t="inlineStr">
        <is>
          <t>D860</t>
        </is>
      </c>
      <c r="D44" t="inlineStr">
        <is>
          <t>66856562</t>
        </is>
      </c>
      <c r="E44" t="inlineStr">
        <is>
          <t>4</t>
        </is>
      </c>
      <c r="F44" t="inlineStr">
        <is>
          <t>10052407</t>
        </is>
      </c>
      <c r="H44" t="inlineStr"/>
      <c r="J44" t="n">
        <v>129</v>
      </c>
      <c r="K44" t="inlineStr"/>
      <c r="M44" t="inlineStr">
        <is>
          <t>M3</t>
        </is>
      </c>
      <c r="N44" t="inlineStr"/>
      <c r="P44" t="inlineStr">
        <is>
          <t>20200403</t>
        </is>
      </c>
      <c r="Q44" t="inlineStr">
        <is>
          <t>20251031</t>
        </is>
      </c>
    </row>
    <row r="45">
      <c r="A45" t="inlineStr">
        <is>
          <t>900007611D8606687759010052407</t>
        </is>
      </c>
      <c r="B45" t="inlineStr">
        <is>
          <t>900007611</t>
        </is>
      </c>
      <c r="C45" t="inlineStr">
        <is>
          <t>D860</t>
        </is>
      </c>
      <c r="D45" t="inlineStr">
        <is>
          <t>66877590</t>
        </is>
      </c>
      <c r="E45" t="inlineStr">
        <is>
          <t>4</t>
        </is>
      </c>
      <c r="F45" t="inlineStr">
        <is>
          <t>10052407</t>
        </is>
      </c>
      <c r="H45" t="inlineStr"/>
      <c r="J45" t="n">
        <v>60</v>
      </c>
      <c r="K45" t="inlineStr"/>
      <c r="M45" t="inlineStr">
        <is>
          <t>M3</t>
        </is>
      </c>
      <c r="N45" t="inlineStr"/>
      <c r="P45" t="inlineStr">
        <is>
          <t>20200403</t>
        </is>
      </c>
      <c r="Q45" t="inlineStr">
        <is>
          <t>20251031</t>
        </is>
      </c>
    </row>
    <row r="46">
      <c r="A46" t="inlineStr">
        <is>
          <t>900007611D8606687759010190637</t>
        </is>
      </c>
      <c r="B46" t="inlineStr">
        <is>
          <t>900007611</t>
        </is>
      </c>
      <c r="C46" t="inlineStr">
        <is>
          <t>D860</t>
        </is>
      </c>
      <c r="D46" t="inlineStr">
        <is>
          <t>66877590</t>
        </is>
      </c>
      <c r="E46" t="inlineStr">
        <is>
          <t>4</t>
        </is>
      </c>
      <c r="F46" t="inlineStr">
        <is>
          <t>10190637</t>
        </is>
      </c>
      <c r="H46" t="inlineStr"/>
      <c r="J46" t="n">
        <v>60</v>
      </c>
      <c r="K46" t="inlineStr"/>
      <c r="M46" t="inlineStr">
        <is>
          <t>M3</t>
        </is>
      </c>
      <c r="N46" t="inlineStr"/>
      <c r="P46" t="inlineStr">
        <is>
          <t>20200403</t>
        </is>
      </c>
      <c r="Q46" t="inlineStr">
        <is>
          <t>20251031</t>
        </is>
      </c>
    </row>
    <row r="47">
      <c r="A47" t="inlineStr">
        <is>
          <t>900007611D8606689613610052402</t>
        </is>
      </c>
      <c r="B47" t="inlineStr">
        <is>
          <t>900007611</t>
        </is>
      </c>
      <c r="C47" t="inlineStr">
        <is>
          <t>D860</t>
        </is>
      </c>
      <c r="D47" t="inlineStr">
        <is>
          <t>66896136</t>
        </is>
      </c>
      <c r="E47" t="inlineStr">
        <is>
          <t>4</t>
        </is>
      </c>
      <c r="F47" t="inlineStr">
        <is>
          <t>10052402</t>
        </is>
      </c>
      <c r="H47" t="inlineStr"/>
      <c r="J47" t="n">
        <v>129</v>
      </c>
      <c r="K47" t="inlineStr"/>
      <c r="M47" t="inlineStr">
        <is>
          <t>M3</t>
        </is>
      </c>
      <c r="N47" t="inlineStr"/>
      <c r="P47" t="inlineStr">
        <is>
          <t>20200403</t>
        </is>
      </c>
      <c r="Q47" t="inlineStr">
        <is>
          <t>20251031</t>
        </is>
      </c>
    </row>
    <row r="48">
      <c r="A48" t="inlineStr">
        <is>
          <t>900007611D8606689613610052404</t>
        </is>
      </c>
      <c r="B48" t="inlineStr">
        <is>
          <t>900007611</t>
        </is>
      </c>
      <c r="C48" t="inlineStr">
        <is>
          <t>D860</t>
        </is>
      </c>
      <c r="D48" t="inlineStr">
        <is>
          <t>66896136</t>
        </is>
      </c>
      <c r="E48" t="inlineStr">
        <is>
          <t>4</t>
        </is>
      </c>
      <c r="F48" t="inlineStr">
        <is>
          <t>10052404</t>
        </is>
      </c>
      <c r="H48" t="inlineStr"/>
      <c r="J48" t="n">
        <v>129</v>
      </c>
      <c r="K48" t="inlineStr"/>
      <c r="M48" t="inlineStr">
        <is>
          <t>M3</t>
        </is>
      </c>
      <c r="N48" t="inlineStr"/>
      <c r="P48" t="inlineStr">
        <is>
          <t>20200403</t>
        </is>
      </c>
      <c r="Q48" t="inlineStr">
        <is>
          <t>20251031</t>
        </is>
      </c>
    </row>
    <row r="49">
      <c r="A49" t="inlineStr">
        <is>
          <t>900007611D8606689613610052405</t>
        </is>
      </c>
      <c r="B49" t="inlineStr">
        <is>
          <t>900007611</t>
        </is>
      </c>
      <c r="C49" t="inlineStr">
        <is>
          <t>D860</t>
        </is>
      </c>
      <c r="D49" t="inlineStr">
        <is>
          <t>66896136</t>
        </is>
      </c>
      <c r="E49" t="inlineStr">
        <is>
          <t>4</t>
        </is>
      </c>
      <c r="F49" t="inlineStr">
        <is>
          <t>10052405</t>
        </is>
      </c>
      <c r="H49" t="inlineStr"/>
      <c r="J49" t="n">
        <v>129</v>
      </c>
      <c r="K49" t="inlineStr"/>
      <c r="M49" t="inlineStr">
        <is>
          <t>M3</t>
        </is>
      </c>
      <c r="N49" t="inlineStr"/>
      <c r="P49" t="inlineStr">
        <is>
          <t>20200403</t>
        </is>
      </c>
      <c r="Q49" t="inlineStr">
        <is>
          <t>20251031</t>
        </is>
      </c>
    </row>
    <row r="50">
      <c r="A50" t="inlineStr">
        <is>
          <t>900007611D8606689613610052407</t>
        </is>
      </c>
      <c r="B50" t="inlineStr">
        <is>
          <t>900007611</t>
        </is>
      </c>
      <c r="C50" t="inlineStr">
        <is>
          <t>D860</t>
        </is>
      </c>
      <c r="D50" t="inlineStr">
        <is>
          <t>66896136</t>
        </is>
      </c>
      <c r="E50" t="inlineStr">
        <is>
          <t>4</t>
        </is>
      </c>
      <c r="F50" t="inlineStr">
        <is>
          <t>10052407</t>
        </is>
      </c>
      <c r="H50" t="inlineStr"/>
      <c r="J50" t="n">
        <v>129</v>
      </c>
      <c r="K50" t="inlineStr"/>
      <c r="M50" t="inlineStr">
        <is>
          <t>M3</t>
        </is>
      </c>
      <c r="N50" t="inlineStr"/>
      <c r="P50" t="inlineStr">
        <is>
          <t>20200403</t>
        </is>
      </c>
      <c r="Q50" t="inlineStr">
        <is>
          <t>20251031</t>
        </is>
      </c>
    </row>
    <row r="51">
      <c r="A51" t="inlineStr">
        <is>
          <t>900007611D8606690961310190772</t>
        </is>
      </c>
      <c r="B51" t="inlineStr">
        <is>
          <t>900007611</t>
        </is>
      </c>
      <c r="C51" t="inlineStr">
        <is>
          <t>D860</t>
        </is>
      </c>
      <c r="D51" t="inlineStr">
        <is>
          <t>66909613</t>
        </is>
      </c>
      <c r="E51" t="inlineStr">
        <is>
          <t>4</t>
        </is>
      </c>
      <c r="F51" t="inlineStr">
        <is>
          <t>10190772</t>
        </is>
      </c>
      <c r="H51" t="inlineStr"/>
      <c r="J51" t="n">
        <v>70</v>
      </c>
      <c r="K51" t="inlineStr"/>
      <c r="M51" t="inlineStr">
        <is>
          <t>M3</t>
        </is>
      </c>
      <c r="N51" t="inlineStr"/>
      <c r="P51" t="inlineStr">
        <is>
          <t>20200403</t>
        </is>
      </c>
      <c r="Q51" t="inlineStr">
        <is>
          <t>20251031</t>
        </is>
      </c>
    </row>
    <row r="52">
      <c r="A52" t="inlineStr">
        <is>
          <t>900007611D8606695418310052402</t>
        </is>
      </c>
      <c r="B52" t="inlineStr">
        <is>
          <t>900007611</t>
        </is>
      </c>
      <c r="C52" t="inlineStr">
        <is>
          <t>D860</t>
        </is>
      </c>
      <c r="D52" t="inlineStr">
        <is>
          <t>66954183</t>
        </is>
      </c>
      <c r="E52" t="inlineStr">
        <is>
          <t>4</t>
        </is>
      </c>
      <c r="F52" t="inlineStr">
        <is>
          <t>10052402</t>
        </is>
      </c>
      <c r="H52" t="inlineStr"/>
      <c r="J52" t="n">
        <v>70</v>
      </c>
      <c r="K52" t="inlineStr"/>
      <c r="M52" t="inlineStr">
        <is>
          <t>M3</t>
        </is>
      </c>
      <c r="N52" t="inlineStr"/>
      <c r="P52" t="inlineStr">
        <is>
          <t>20200403</t>
        </is>
      </c>
      <c r="Q52" t="inlineStr">
        <is>
          <t>20251031</t>
        </is>
      </c>
    </row>
    <row r="53">
      <c r="A53" t="inlineStr">
        <is>
          <t>900007611D8606695418310052407</t>
        </is>
      </c>
      <c r="B53" t="inlineStr">
        <is>
          <t>900007611</t>
        </is>
      </c>
      <c r="C53" t="inlineStr">
        <is>
          <t>D860</t>
        </is>
      </c>
      <c r="D53" t="inlineStr">
        <is>
          <t>66954183</t>
        </is>
      </c>
      <c r="E53" t="inlineStr">
        <is>
          <t>4</t>
        </is>
      </c>
      <c r="F53" t="inlineStr">
        <is>
          <t>10052407</t>
        </is>
      </c>
      <c r="H53" t="inlineStr"/>
      <c r="J53" t="n">
        <v>70</v>
      </c>
      <c r="K53" t="inlineStr"/>
      <c r="M53" t="inlineStr">
        <is>
          <t>M3</t>
        </is>
      </c>
      <c r="N53" t="inlineStr"/>
      <c r="P53" t="inlineStr">
        <is>
          <t>20200403</t>
        </is>
      </c>
      <c r="Q53" t="inlineStr">
        <is>
          <t>20251031</t>
        </is>
      </c>
    </row>
    <row r="54">
      <c r="A54" t="inlineStr">
        <is>
          <t>900007611D8606695806510052402</t>
        </is>
      </c>
      <c r="B54" t="inlineStr">
        <is>
          <t>900007611</t>
        </is>
      </c>
      <c r="C54" t="inlineStr">
        <is>
          <t>D860</t>
        </is>
      </c>
      <c r="D54" t="inlineStr">
        <is>
          <t>66958065</t>
        </is>
      </c>
      <c r="E54" t="inlineStr">
        <is>
          <t>4</t>
        </is>
      </c>
      <c r="F54" t="inlineStr">
        <is>
          <t>10052402</t>
        </is>
      </c>
      <c r="H54" t="inlineStr"/>
      <c r="J54" t="n">
        <v>119.17</v>
      </c>
      <c r="K54" t="inlineStr"/>
      <c r="M54" t="inlineStr">
        <is>
          <t>M3</t>
        </is>
      </c>
      <c r="N54" t="inlineStr"/>
      <c r="P54" t="inlineStr">
        <is>
          <t>20260327</t>
        </is>
      </c>
      <c r="Q54" t="inlineStr">
        <is>
          <t>99991231</t>
        </is>
      </c>
    </row>
    <row r="55">
      <c r="A55" t="inlineStr">
        <is>
          <t>900007611D8606695806510052404</t>
        </is>
      </c>
      <c r="B55" t="inlineStr">
        <is>
          <t>900007611</t>
        </is>
      </c>
      <c r="C55" t="inlineStr">
        <is>
          <t>D860</t>
        </is>
      </c>
      <c r="D55" t="inlineStr">
        <is>
          <t>66958065</t>
        </is>
      </c>
      <c r="E55" t="inlineStr">
        <is>
          <t>4</t>
        </is>
      </c>
      <c r="F55" t="inlineStr">
        <is>
          <t>10052404</t>
        </is>
      </c>
      <c r="H55" t="inlineStr"/>
      <c r="J55" t="n">
        <v>77.7</v>
      </c>
      <c r="K55" t="inlineStr"/>
      <c r="M55" t="inlineStr">
        <is>
          <t>M3</t>
        </is>
      </c>
      <c r="N55" t="inlineStr"/>
      <c r="P55" t="inlineStr">
        <is>
          <t>20200403</t>
        </is>
      </c>
      <c r="Q55" t="inlineStr">
        <is>
          <t>20251031</t>
        </is>
      </c>
    </row>
    <row r="56">
      <c r="A56" t="inlineStr">
        <is>
          <t>900007611D8606695806510052405</t>
        </is>
      </c>
      <c r="B56" t="inlineStr">
        <is>
          <t>900007611</t>
        </is>
      </c>
      <c r="C56" t="inlineStr">
        <is>
          <t>D860</t>
        </is>
      </c>
      <c r="D56" t="inlineStr">
        <is>
          <t>66958065</t>
        </is>
      </c>
      <c r="E56" t="inlineStr">
        <is>
          <t>4</t>
        </is>
      </c>
      <c r="F56" t="inlineStr">
        <is>
          <t>10052405</t>
        </is>
      </c>
      <c r="H56" t="inlineStr"/>
      <c r="J56" t="n">
        <v>70</v>
      </c>
      <c r="K56" t="inlineStr"/>
      <c r="M56" t="inlineStr">
        <is>
          <t>M3</t>
        </is>
      </c>
      <c r="N56" t="inlineStr"/>
      <c r="P56" t="inlineStr">
        <is>
          <t>20200403</t>
        </is>
      </c>
      <c r="Q56" t="inlineStr">
        <is>
          <t>20251031</t>
        </is>
      </c>
    </row>
    <row r="57">
      <c r="A57" t="inlineStr">
        <is>
          <t>900007611D8606695806510052407</t>
        </is>
      </c>
      <c r="B57" t="inlineStr">
        <is>
          <t>900007611</t>
        </is>
      </c>
      <c r="C57" t="inlineStr">
        <is>
          <t>D860</t>
        </is>
      </c>
      <c r="D57" t="inlineStr">
        <is>
          <t>66958065</t>
        </is>
      </c>
      <c r="E57" t="inlineStr">
        <is>
          <t>4</t>
        </is>
      </c>
      <c r="F57" t="inlineStr">
        <is>
          <t>10052407</t>
        </is>
      </c>
      <c r="H57" t="inlineStr"/>
      <c r="J57" t="n">
        <v>119.17</v>
      </c>
      <c r="K57" t="inlineStr"/>
      <c r="M57" t="inlineStr">
        <is>
          <t>M3</t>
        </is>
      </c>
      <c r="N57" t="inlineStr"/>
      <c r="P57" t="inlineStr">
        <is>
          <t>20260327</t>
        </is>
      </c>
      <c r="Q57" t="inlineStr">
        <is>
          <t>99991231</t>
        </is>
      </c>
    </row>
    <row r="58">
      <c r="A58" t="inlineStr">
        <is>
          <t>900007611D8606695806510190637</t>
        </is>
      </c>
      <c r="B58" t="inlineStr">
        <is>
          <t>900007611</t>
        </is>
      </c>
      <c r="C58" t="inlineStr">
        <is>
          <t>D860</t>
        </is>
      </c>
      <c r="D58" t="inlineStr">
        <is>
          <t>66958065</t>
        </is>
      </c>
      <c r="E58" t="inlineStr">
        <is>
          <t>4</t>
        </is>
      </c>
      <c r="F58" t="inlineStr">
        <is>
          <t>10190637</t>
        </is>
      </c>
      <c r="H58" t="inlineStr"/>
      <c r="J58" t="n">
        <v>119.17</v>
      </c>
      <c r="K58" t="inlineStr"/>
      <c r="M58" t="inlineStr">
        <is>
          <t>M3</t>
        </is>
      </c>
      <c r="N58" t="inlineStr"/>
      <c r="P58" t="inlineStr">
        <is>
          <t>20260327</t>
        </is>
      </c>
      <c r="Q58" t="inlineStr">
        <is>
          <t>99991231</t>
        </is>
      </c>
    </row>
    <row r="59">
      <c r="A59" t="inlineStr">
        <is>
          <t>900007611D8606695806510208119</t>
        </is>
      </c>
      <c r="B59" t="inlineStr">
        <is>
          <t>900007611</t>
        </is>
      </c>
      <c r="C59" t="inlineStr">
        <is>
          <t>D860</t>
        </is>
      </c>
      <c r="D59" t="inlineStr">
        <is>
          <t>66958065</t>
        </is>
      </c>
      <c r="E59" t="inlineStr">
        <is>
          <t>4</t>
        </is>
      </c>
      <c r="F59" t="inlineStr">
        <is>
          <t>10208119</t>
        </is>
      </c>
      <c r="H59" t="inlineStr"/>
      <c r="J59" t="n">
        <v>70</v>
      </c>
      <c r="K59" t="inlineStr"/>
      <c r="M59" t="inlineStr">
        <is>
          <t>M3</t>
        </is>
      </c>
      <c r="N59" t="inlineStr"/>
      <c r="P59" t="inlineStr">
        <is>
          <t>20200403</t>
        </is>
      </c>
      <c r="Q59" t="inlineStr">
        <is>
          <t>20251031</t>
        </is>
      </c>
    </row>
    <row r="60">
      <c r="A60" t="inlineStr">
        <is>
          <t>900007611D8606695806510262224</t>
        </is>
      </c>
      <c r="B60" t="inlineStr">
        <is>
          <t>900007611</t>
        </is>
      </c>
      <c r="C60" t="inlineStr">
        <is>
          <t>D860</t>
        </is>
      </c>
      <c r="D60" t="inlineStr">
        <is>
          <t>66958065</t>
        </is>
      </c>
      <c r="E60" t="inlineStr">
        <is>
          <t>4</t>
        </is>
      </c>
      <c r="F60" t="inlineStr">
        <is>
          <t>10262224</t>
        </is>
      </c>
      <c r="H60" t="inlineStr"/>
      <c r="J60" t="n">
        <v>119.17</v>
      </c>
      <c r="K60" t="inlineStr"/>
      <c r="M60" t="inlineStr">
        <is>
          <t>M3</t>
        </is>
      </c>
      <c r="N60" t="inlineStr"/>
      <c r="P60" t="inlineStr">
        <is>
          <t>20260327</t>
        </is>
      </c>
      <c r="Q60" t="inlineStr">
        <is>
          <t>99991231</t>
        </is>
      </c>
    </row>
    <row r="61">
      <c r="A61" t="inlineStr">
        <is>
          <t>900007611D8606706402910052402</t>
        </is>
      </c>
      <c r="B61" t="inlineStr">
        <is>
          <t>900007611</t>
        </is>
      </c>
      <c r="C61" t="inlineStr">
        <is>
          <t>D860</t>
        </is>
      </c>
      <c r="D61" t="inlineStr">
        <is>
          <t>67064029</t>
        </is>
      </c>
      <c r="E61" t="inlineStr">
        <is>
          <t>4</t>
        </is>
      </c>
      <c r="F61" t="inlineStr">
        <is>
          <t>10052402</t>
        </is>
      </c>
      <c r="H61" t="inlineStr"/>
      <c r="J61" t="n">
        <v>119.17</v>
      </c>
      <c r="K61" t="inlineStr"/>
      <c r="M61" t="inlineStr">
        <is>
          <t>M3</t>
        </is>
      </c>
      <c r="N61" t="inlineStr"/>
      <c r="P61" t="inlineStr">
        <is>
          <t>20260327</t>
        </is>
      </c>
      <c r="Q61" t="inlineStr">
        <is>
          <t>99991231</t>
        </is>
      </c>
    </row>
    <row r="62">
      <c r="A62" t="inlineStr">
        <is>
          <t>900007611D8606706402910052404</t>
        </is>
      </c>
      <c r="B62" t="inlineStr">
        <is>
          <t>900007611</t>
        </is>
      </c>
      <c r="C62" t="inlineStr">
        <is>
          <t>D860</t>
        </is>
      </c>
      <c r="D62" t="inlineStr">
        <is>
          <t>67064029</t>
        </is>
      </c>
      <c r="E62" t="inlineStr">
        <is>
          <t>4</t>
        </is>
      </c>
      <c r="F62" t="inlineStr">
        <is>
          <t>10052404</t>
        </is>
      </c>
      <c r="H62" t="inlineStr"/>
      <c r="J62" t="n">
        <v>87</v>
      </c>
      <c r="K62" t="inlineStr"/>
      <c r="M62" t="inlineStr">
        <is>
          <t>M3</t>
        </is>
      </c>
      <c r="N62" t="inlineStr"/>
      <c r="P62" t="inlineStr">
        <is>
          <t>20240605</t>
        </is>
      </c>
      <c r="Q62" t="inlineStr">
        <is>
          <t>20250825</t>
        </is>
      </c>
    </row>
    <row r="63">
      <c r="A63" t="inlineStr">
        <is>
          <t>900007611D8606706402910052407</t>
        </is>
      </c>
      <c r="B63" t="inlineStr">
        <is>
          <t>900007611</t>
        </is>
      </c>
      <c r="C63" t="inlineStr">
        <is>
          <t>D860</t>
        </is>
      </c>
      <c r="D63" t="inlineStr">
        <is>
          <t>67064029</t>
        </is>
      </c>
      <c r="E63" t="inlineStr">
        <is>
          <t>4</t>
        </is>
      </c>
      <c r="F63" t="inlineStr">
        <is>
          <t>10052407</t>
        </is>
      </c>
      <c r="H63" t="inlineStr"/>
      <c r="J63" t="n">
        <v>119.17</v>
      </c>
      <c r="K63" t="inlineStr"/>
      <c r="M63" t="inlineStr">
        <is>
          <t>M3</t>
        </is>
      </c>
      <c r="N63" t="inlineStr"/>
      <c r="P63" t="inlineStr">
        <is>
          <t>20260327</t>
        </is>
      </c>
      <c r="Q63" t="inlineStr">
        <is>
          <t>99991231</t>
        </is>
      </c>
    </row>
    <row r="64">
      <c r="A64" t="inlineStr">
        <is>
          <t>900007611D8606706402910152920</t>
        </is>
      </c>
      <c r="B64" t="inlineStr">
        <is>
          <t>900007611</t>
        </is>
      </c>
      <c r="C64" t="inlineStr">
        <is>
          <t>D860</t>
        </is>
      </c>
      <c r="D64" t="inlineStr">
        <is>
          <t>67064029</t>
        </is>
      </c>
      <c r="E64" t="inlineStr">
        <is>
          <t>4</t>
        </is>
      </c>
      <c r="F64" t="inlineStr">
        <is>
          <t>10152920</t>
        </is>
      </c>
      <c r="H64" t="inlineStr"/>
      <c r="J64" t="n">
        <v>119.17</v>
      </c>
      <c r="K64" t="inlineStr"/>
      <c r="M64" t="inlineStr">
        <is>
          <t>M3</t>
        </is>
      </c>
      <c r="N64" t="inlineStr"/>
      <c r="P64" t="inlineStr">
        <is>
          <t>20260327</t>
        </is>
      </c>
      <c r="Q64" t="inlineStr">
        <is>
          <t>99991231</t>
        </is>
      </c>
    </row>
    <row r="65">
      <c r="A65" t="inlineStr">
        <is>
          <t>900007611D8606706402910190637</t>
        </is>
      </c>
      <c r="B65" t="inlineStr">
        <is>
          <t>900007611</t>
        </is>
      </c>
      <c r="C65" t="inlineStr">
        <is>
          <t>D860</t>
        </is>
      </c>
      <c r="D65" t="inlineStr">
        <is>
          <t>67064029</t>
        </is>
      </c>
      <c r="E65" t="inlineStr">
        <is>
          <t>4</t>
        </is>
      </c>
      <c r="F65" t="inlineStr">
        <is>
          <t>10190637</t>
        </is>
      </c>
      <c r="H65" t="inlineStr"/>
      <c r="J65" t="n">
        <v>119.17</v>
      </c>
      <c r="K65" t="inlineStr"/>
      <c r="M65" t="inlineStr">
        <is>
          <t>M3</t>
        </is>
      </c>
      <c r="N65" t="inlineStr"/>
      <c r="P65" t="inlineStr">
        <is>
          <t>20260327</t>
        </is>
      </c>
      <c r="Q65" t="inlineStr">
        <is>
          <t>99991231</t>
        </is>
      </c>
    </row>
    <row r="66">
      <c r="A66" t="inlineStr">
        <is>
          <t>900007611D8606706402910208119</t>
        </is>
      </c>
      <c r="B66" t="inlineStr">
        <is>
          <t>900007611</t>
        </is>
      </c>
      <c r="C66" t="inlineStr">
        <is>
          <t>D860</t>
        </is>
      </c>
      <c r="D66" t="inlineStr">
        <is>
          <t>67064029</t>
        </is>
      </c>
      <c r="E66" t="inlineStr">
        <is>
          <t>4</t>
        </is>
      </c>
      <c r="F66" t="inlineStr">
        <is>
          <t>10208119</t>
        </is>
      </c>
      <c r="H66" t="inlineStr"/>
      <c r="J66" t="n">
        <v>70</v>
      </c>
      <c r="K66" t="inlineStr"/>
      <c r="M66" t="inlineStr">
        <is>
          <t>M3</t>
        </is>
      </c>
      <c r="N66" t="inlineStr"/>
      <c r="P66" t="inlineStr">
        <is>
          <t>20200403</t>
        </is>
      </c>
      <c r="Q66" t="inlineStr">
        <is>
          <t>20251031</t>
        </is>
      </c>
    </row>
    <row r="67">
      <c r="A67" t="inlineStr">
        <is>
          <t>900007611D8606706648610152920</t>
        </is>
      </c>
      <c r="B67" t="inlineStr">
        <is>
          <t>900007611</t>
        </is>
      </c>
      <c r="C67" t="inlineStr">
        <is>
          <t>D860</t>
        </is>
      </c>
      <c r="D67" t="inlineStr">
        <is>
          <t>67066486</t>
        </is>
      </c>
      <c r="E67" t="inlineStr">
        <is>
          <t>4</t>
        </is>
      </c>
      <c r="F67" t="inlineStr">
        <is>
          <t>10152920</t>
        </is>
      </c>
      <c r="H67" t="inlineStr"/>
      <c r="J67" t="n">
        <v>75</v>
      </c>
      <c r="K67" t="inlineStr"/>
      <c r="M67" t="inlineStr">
        <is>
          <t>M3</t>
        </is>
      </c>
      <c r="N67" t="inlineStr"/>
      <c r="P67" t="inlineStr">
        <is>
          <t>20200403</t>
        </is>
      </c>
      <c r="Q67" t="inlineStr">
        <is>
          <t>20251031</t>
        </is>
      </c>
    </row>
    <row r="68">
      <c r="A68" t="inlineStr">
        <is>
          <t>900007611D8606711881910052402</t>
        </is>
      </c>
      <c r="B68" t="inlineStr">
        <is>
          <t>900007611</t>
        </is>
      </c>
      <c r="C68" t="inlineStr">
        <is>
          <t>D860</t>
        </is>
      </c>
      <c r="D68" t="inlineStr">
        <is>
          <t>67118819</t>
        </is>
      </c>
      <c r="E68" t="inlineStr">
        <is>
          <t>4</t>
        </is>
      </c>
      <c r="F68" t="inlineStr">
        <is>
          <t>10052402</t>
        </is>
      </c>
      <c r="H68" t="inlineStr"/>
      <c r="J68" t="n">
        <v>129</v>
      </c>
      <c r="K68" t="inlineStr"/>
      <c r="M68" t="inlineStr">
        <is>
          <t>M3</t>
        </is>
      </c>
      <c r="N68" t="inlineStr"/>
      <c r="P68" t="inlineStr">
        <is>
          <t>20200403</t>
        </is>
      </c>
      <c r="Q68" t="inlineStr">
        <is>
          <t>20251031</t>
        </is>
      </c>
    </row>
    <row r="69">
      <c r="A69" t="inlineStr">
        <is>
          <t>900007611D8606711881910052404</t>
        </is>
      </c>
      <c r="B69" t="inlineStr">
        <is>
          <t>900007611</t>
        </is>
      </c>
      <c r="C69" t="inlineStr">
        <is>
          <t>D860</t>
        </is>
      </c>
      <c r="D69" t="inlineStr">
        <is>
          <t>67118819</t>
        </is>
      </c>
      <c r="E69" t="inlineStr">
        <is>
          <t>4</t>
        </is>
      </c>
      <c r="F69" t="inlineStr">
        <is>
          <t>10052404</t>
        </is>
      </c>
      <c r="H69" t="inlineStr"/>
      <c r="J69" t="n">
        <v>129</v>
      </c>
      <c r="K69" t="inlineStr"/>
      <c r="M69" t="inlineStr">
        <is>
          <t>M3</t>
        </is>
      </c>
      <c r="N69" t="inlineStr"/>
      <c r="P69" t="inlineStr">
        <is>
          <t>20200403</t>
        </is>
      </c>
      <c r="Q69" t="inlineStr">
        <is>
          <t>20251031</t>
        </is>
      </c>
    </row>
    <row r="70">
      <c r="A70" t="inlineStr">
        <is>
          <t>900007611D8606711881910052405</t>
        </is>
      </c>
      <c r="B70" t="inlineStr">
        <is>
          <t>900007611</t>
        </is>
      </c>
      <c r="C70" t="inlineStr">
        <is>
          <t>D860</t>
        </is>
      </c>
      <c r="D70" t="inlineStr">
        <is>
          <t>67118819</t>
        </is>
      </c>
      <c r="E70" t="inlineStr">
        <is>
          <t>4</t>
        </is>
      </c>
      <c r="F70" t="inlineStr">
        <is>
          <t>10052405</t>
        </is>
      </c>
      <c r="H70" t="inlineStr"/>
      <c r="J70" t="n">
        <v>129</v>
      </c>
      <c r="K70" t="inlineStr"/>
      <c r="M70" t="inlineStr">
        <is>
          <t>M3</t>
        </is>
      </c>
      <c r="N70" t="inlineStr"/>
      <c r="P70" t="inlineStr">
        <is>
          <t>20200403</t>
        </is>
      </c>
      <c r="Q70" t="inlineStr">
        <is>
          <t>20251031</t>
        </is>
      </c>
    </row>
    <row r="71">
      <c r="A71" t="inlineStr">
        <is>
          <t>900007611D8606711881910052407</t>
        </is>
      </c>
      <c r="B71" t="inlineStr">
        <is>
          <t>900007611</t>
        </is>
      </c>
      <c r="C71" t="inlineStr">
        <is>
          <t>D860</t>
        </is>
      </c>
      <c r="D71" t="inlineStr">
        <is>
          <t>67118819</t>
        </is>
      </c>
      <c r="E71" t="inlineStr">
        <is>
          <t>4</t>
        </is>
      </c>
      <c r="F71" t="inlineStr">
        <is>
          <t>10052407</t>
        </is>
      </c>
      <c r="H71" t="inlineStr"/>
      <c r="J71" t="n">
        <v>129</v>
      </c>
      <c r="K71" t="inlineStr"/>
      <c r="M71" t="inlineStr">
        <is>
          <t>M3</t>
        </is>
      </c>
      <c r="N71" t="inlineStr"/>
      <c r="P71" t="inlineStr">
        <is>
          <t>20200403</t>
        </is>
      </c>
      <c r="Q71" t="inlineStr">
        <is>
          <t>20251031</t>
        </is>
      </c>
    </row>
    <row r="72">
      <c r="A72" t="inlineStr">
        <is>
          <t>900007611D8606715473210052407</t>
        </is>
      </c>
      <c r="B72" t="inlineStr">
        <is>
          <t>900007611</t>
        </is>
      </c>
      <c r="C72" t="inlineStr">
        <is>
          <t>D860</t>
        </is>
      </c>
      <c r="D72" t="inlineStr">
        <is>
          <t>67154732</t>
        </is>
      </c>
      <c r="E72" t="inlineStr">
        <is>
          <t>4</t>
        </is>
      </c>
      <c r="F72" t="inlineStr">
        <is>
          <t>10052407</t>
        </is>
      </c>
      <c r="H72" t="inlineStr"/>
      <c r="J72" t="n">
        <v>80</v>
      </c>
      <c r="K72" t="inlineStr"/>
      <c r="M72" t="inlineStr">
        <is>
          <t>TN</t>
        </is>
      </c>
      <c r="N72" t="inlineStr"/>
      <c r="P72" t="inlineStr">
        <is>
          <t>20200403</t>
        </is>
      </c>
      <c r="Q72" t="inlineStr">
        <is>
          <t>20251031</t>
        </is>
      </c>
    </row>
    <row r="73">
      <c r="A73" t="inlineStr">
        <is>
          <t>900007611D8606715473210190637</t>
        </is>
      </c>
      <c r="B73" t="inlineStr">
        <is>
          <t>900007611</t>
        </is>
      </c>
      <c r="C73" t="inlineStr">
        <is>
          <t>D860</t>
        </is>
      </c>
      <c r="D73" t="inlineStr">
        <is>
          <t>67154732</t>
        </is>
      </c>
      <c r="E73" t="inlineStr">
        <is>
          <t>4</t>
        </is>
      </c>
      <c r="F73" t="inlineStr">
        <is>
          <t>10190637</t>
        </is>
      </c>
      <c r="H73" t="inlineStr"/>
      <c r="J73" t="n">
        <v>80</v>
      </c>
      <c r="K73" t="inlineStr"/>
      <c r="M73" t="inlineStr">
        <is>
          <t>TN</t>
        </is>
      </c>
      <c r="N73" t="inlineStr"/>
      <c r="P73" t="inlineStr">
        <is>
          <t>20200403</t>
        </is>
      </c>
      <c r="Q73" t="inlineStr">
        <is>
          <t>20251031</t>
        </is>
      </c>
    </row>
    <row r="74">
      <c r="A74" t="inlineStr">
        <is>
          <t>900007611D8606715473210190772</t>
        </is>
      </c>
      <c r="B74" t="inlineStr">
        <is>
          <t>900007611</t>
        </is>
      </c>
      <c r="C74" t="inlineStr">
        <is>
          <t>D860</t>
        </is>
      </c>
      <c r="D74" t="inlineStr">
        <is>
          <t>67154732</t>
        </is>
      </c>
      <c r="E74" t="inlineStr">
        <is>
          <t>4</t>
        </is>
      </c>
      <c r="F74" t="inlineStr">
        <is>
          <t>10190772</t>
        </is>
      </c>
      <c r="H74" t="inlineStr"/>
      <c r="J74" t="n">
        <v>80</v>
      </c>
      <c r="K74" t="inlineStr"/>
      <c r="M74" t="inlineStr">
        <is>
          <t>TN</t>
        </is>
      </c>
      <c r="N74" t="inlineStr"/>
      <c r="P74" t="inlineStr">
        <is>
          <t>20200403</t>
        </is>
      </c>
      <c r="Q74" t="inlineStr">
        <is>
          <t>20251031</t>
        </is>
      </c>
    </row>
    <row r="75">
      <c r="A75" t="inlineStr">
        <is>
          <t>900007611D8606715689510052407</t>
        </is>
      </c>
      <c r="B75" t="inlineStr">
        <is>
          <t>900007611</t>
        </is>
      </c>
      <c r="C75" t="inlineStr">
        <is>
          <t>D860</t>
        </is>
      </c>
      <c r="D75" t="inlineStr">
        <is>
          <t>67156895</t>
        </is>
      </c>
      <c r="E75" t="inlineStr">
        <is>
          <t>4</t>
        </is>
      </c>
      <c r="F75" t="inlineStr">
        <is>
          <t>10052407</t>
        </is>
      </c>
      <c r="H75" t="inlineStr"/>
      <c r="J75" t="n">
        <v>80</v>
      </c>
      <c r="K75" t="inlineStr"/>
      <c r="M75" t="inlineStr">
        <is>
          <t>M3</t>
        </is>
      </c>
      <c r="N75" t="inlineStr"/>
      <c r="P75" t="inlineStr">
        <is>
          <t>20200403</t>
        </is>
      </c>
      <c r="Q75" t="inlineStr">
        <is>
          <t>20251031</t>
        </is>
      </c>
    </row>
    <row r="76">
      <c r="A76" t="inlineStr">
        <is>
          <t>900007611D8606715689510190637</t>
        </is>
      </c>
      <c r="B76" t="inlineStr">
        <is>
          <t>900007611</t>
        </is>
      </c>
      <c r="C76" t="inlineStr">
        <is>
          <t>D860</t>
        </is>
      </c>
      <c r="D76" t="inlineStr">
        <is>
          <t>67156895</t>
        </is>
      </c>
      <c r="E76" t="inlineStr">
        <is>
          <t>4</t>
        </is>
      </c>
      <c r="F76" t="inlineStr">
        <is>
          <t>10190637</t>
        </is>
      </c>
      <c r="H76" t="inlineStr"/>
      <c r="J76" t="n">
        <v>80</v>
      </c>
      <c r="K76" t="inlineStr"/>
      <c r="M76" t="inlineStr">
        <is>
          <t>M3</t>
        </is>
      </c>
      <c r="N76" t="inlineStr"/>
      <c r="P76" t="inlineStr">
        <is>
          <t>20200403</t>
        </is>
      </c>
      <c r="Q76" t="inlineStr">
        <is>
          <t>20251031</t>
        </is>
      </c>
    </row>
    <row r="77">
      <c r="A77" t="inlineStr">
        <is>
          <t>900007611D8606715689510190772</t>
        </is>
      </c>
      <c r="B77" t="inlineStr">
        <is>
          <t>900007611</t>
        </is>
      </c>
      <c r="C77" t="inlineStr">
        <is>
          <t>D860</t>
        </is>
      </c>
      <c r="D77" t="inlineStr">
        <is>
          <t>67156895</t>
        </is>
      </c>
      <c r="E77" t="inlineStr">
        <is>
          <t>4</t>
        </is>
      </c>
      <c r="F77" t="inlineStr">
        <is>
          <t>10190772</t>
        </is>
      </c>
      <c r="H77" t="inlineStr"/>
      <c r="J77" t="n">
        <v>80</v>
      </c>
      <c r="K77" t="inlineStr"/>
      <c r="M77" t="inlineStr">
        <is>
          <t>M3</t>
        </is>
      </c>
      <c r="N77" t="inlineStr"/>
      <c r="P77" t="inlineStr">
        <is>
          <t>20200403</t>
        </is>
      </c>
      <c r="Q77" t="inlineStr">
        <is>
          <t>20251031</t>
        </is>
      </c>
    </row>
    <row r="78">
      <c r="A78" t="inlineStr">
        <is>
          <t>900007611D8606728561610052407</t>
        </is>
      </c>
      <c r="B78" t="inlineStr">
        <is>
          <t>900007611</t>
        </is>
      </c>
      <c r="C78" t="inlineStr">
        <is>
          <t>D860</t>
        </is>
      </c>
      <c r="D78" t="inlineStr">
        <is>
          <t>67285616</t>
        </is>
      </c>
      <c r="E78" t="inlineStr">
        <is>
          <t>4</t>
        </is>
      </c>
      <c r="F78" t="inlineStr">
        <is>
          <t>10052407</t>
        </is>
      </c>
      <c r="H78" t="inlineStr"/>
      <c r="J78" t="n">
        <v>84.34</v>
      </c>
      <c r="K78" t="inlineStr"/>
      <c r="M78" t="inlineStr">
        <is>
          <t>M3</t>
        </is>
      </c>
      <c r="N78" t="inlineStr"/>
      <c r="P78" t="inlineStr">
        <is>
          <t>20200403</t>
        </is>
      </c>
      <c r="Q78" t="inlineStr">
        <is>
          <t>20251031</t>
        </is>
      </c>
    </row>
    <row r="79">
      <c r="A79" t="inlineStr">
        <is>
          <t>900007611D8606728561610152920</t>
        </is>
      </c>
      <c r="B79" t="inlineStr">
        <is>
          <t>900007611</t>
        </is>
      </c>
      <c r="C79" t="inlineStr">
        <is>
          <t>D860</t>
        </is>
      </c>
      <c r="D79" t="inlineStr">
        <is>
          <t>67285616</t>
        </is>
      </c>
      <c r="E79" t="inlineStr">
        <is>
          <t>4</t>
        </is>
      </c>
      <c r="F79" t="inlineStr">
        <is>
          <t>10152920</t>
        </is>
      </c>
      <c r="H79" t="inlineStr"/>
      <c r="J79" t="n">
        <v>84.34</v>
      </c>
      <c r="K79" t="inlineStr"/>
      <c r="M79" t="inlineStr">
        <is>
          <t>M3</t>
        </is>
      </c>
      <c r="N79" t="inlineStr"/>
      <c r="P79" t="inlineStr">
        <is>
          <t>20200403</t>
        </is>
      </c>
      <c r="Q79" t="inlineStr">
        <is>
          <t>20251031</t>
        </is>
      </c>
    </row>
    <row r="80">
      <c r="A80" t="inlineStr">
        <is>
          <t>900007611D8606737364710052402</t>
        </is>
      </c>
      <c r="B80" t="inlineStr">
        <is>
          <t>900007611</t>
        </is>
      </c>
      <c r="C80" t="inlineStr">
        <is>
          <t>D860</t>
        </is>
      </c>
      <c r="D80" t="inlineStr">
        <is>
          <t>67373647</t>
        </is>
      </c>
      <c r="E80" t="inlineStr">
        <is>
          <t>4</t>
        </is>
      </c>
      <c r="F80" t="inlineStr">
        <is>
          <t>10052402</t>
        </is>
      </c>
      <c r="H80" t="inlineStr"/>
      <c r="J80" t="n">
        <v>61.2</v>
      </c>
      <c r="K80" t="inlineStr"/>
      <c r="M80" t="inlineStr">
        <is>
          <t>M3</t>
        </is>
      </c>
      <c r="N80" t="inlineStr"/>
      <c r="P80" t="inlineStr">
        <is>
          <t>20260409</t>
        </is>
      </c>
      <c r="Q80" t="inlineStr">
        <is>
          <t>99991231</t>
        </is>
      </c>
    </row>
    <row r="81">
      <c r="A81" t="inlineStr">
        <is>
          <t>900007611D8606737364710052407</t>
        </is>
      </c>
      <c r="B81" t="inlineStr">
        <is>
          <t>900007611</t>
        </is>
      </c>
      <c r="C81" t="inlineStr">
        <is>
          <t>D860</t>
        </is>
      </c>
      <c r="D81" t="inlineStr">
        <is>
          <t>67373647</t>
        </is>
      </c>
      <c r="E81" t="inlineStr">
        <is>
          <t>4</t>
        </is>
      </c>
      <c r="F81" t="inlineStr">
        <is>
          <t>10052407</t>
        </is>
      </c>
      <c r="H81" t="inlineStr"/>
      <c r="J81" t="n">
        <v>61.2</v>
      </c>
      <c r="K81" t="inlineStr"/>
      <c r="M81" t="inlineStr">
        <is>
          <t>M3</t>
        </is>
      </c>
      <c r="N81" t="inlineStr"/>
      <c r="P81" t="inlineStr">
        <is>
          <t>20260409</t>
        </is>
      </c>
      <c r="Q81" t="inlineStr">
        <is>
          <t>99991231</t>
        </is>
      </c>
    </row>
    <row r="82">
      <c r="A82" t="inlineStr">
        <is>
          <t>900007611D8606737364710190637</t>
        </is>
      </c>
      <c r="B82" t="inlineStr">
        <is>
          <t>900007611</t>
        </is>
      </c>
      <c r="C82" t="inlineStr">
        <is>
          <t>D860</t>
        </is>
      </c>
      <c r="D82" t="inlineStr">
        <is>
          <t>67373647</t>
        </is>
      </c>
      <c r="E82" t="inlineStr">
        <is>
          <t>4</t>
        </is>
      </c>
      <c r="F82" t="inlineStr">
        <is>
          <t>10190637</t>
        </is>
      </c>
      <c r="H82" t="inlineStr"/>
      <c r="J82" t="n">
        <v>61.2</v>
      </c>
      <c r="K82" t="inlineStr"/>
      <c r="M82" t="inlineStr">
        <is>
          <t>M3</t>
        </is>
      </c>
      <c r="N82" t="inlineStr"/>
      <c r="P82" t="inlineStr">
        <is>
          <t>20260409</t>
        </is>
      </c>
      <c r="Q82" t="inlineStr">
        <is>
          <t>99991231</t>
        </is>
      </c>
    </row>
    <row r="83">
      <c r="A83" t="inlineStr">
        <is>
          <t>900007611D8606738237310052402</t>
        </is>
      </c>
      <c r="B83" t="inlineStr">
        <is>
          <t>900007611</t>
        </is>
      </c>
      <c r="C83" t="inlineStr">
        <is>
          <t>D860</t>
        </is>
      </c>
      <c r="D83" t="inlineStr">
        <is>
          <t>67382373</t>
        </is>
      </c>
      <c r="E83" t="inlineStr">
        <is>
          <t>4</t>
        </is>
      </c>
      <c r="F83" t="inlineStr">
        <is>
          <t>10052402</t>
        </is>
      </c>
      <c r="H83" t="inlineStr"/>
      <c r="J83" t="n">
        <v>204.5</v>
      </c>
      <c r="K83" t="inlineStr"/>
      <c r="M83" t="inlineStr">
        <is>
          <t>M3</t>
        </is>
      </c>
      <c r="N83" t="inlineStr"/>
      <c r="P83" t="inlineStr">
        <is>
          <t>20260706</t>
        </is>
      </c>
      <c r="Q83" t="inlineStr">
        <is>
          <t>99991231</t>
        </is>
      </c>
    </row>
    <row r="84">
      <c r="A84" t="inlineStr">
        <is>
          <t>900007611D8606738237310052407</t>
        </is>
      </c>
      <c r="B84" t="inlineStr">
        <is>
          <t>900007611</t>
        </is>
      </c>
      <c r="C84" t="inlineStr">
        <is>
          <t>D860</t>
        </is>
      </c>
      <c r="D84" t="inlineStr">
        <is>
          <t>67382373</t>
        </is>
      </c>
      <c r="E84" t="inlineStr">
        <is>
          <t>4</t>
        </is>
      </c>
      <c r="F84" t="inlineStr">
        <is>
          <t>10052407</t>
        </is>
      </c>
      <c r="H84" t="inlineStr"/>
      <c r="J84" t="n">
        <v>204.5</v>
      </c>
      <c r="K84" t="inlineStr"/>
      <c r="M84" t="inlineStr">
        <is>
          <t>M3</t>
        </is>
      </c>
      <c r="N84" t="inlineStr"/>
      <c r="P84" t="inlineStr">
        <is>
          <t>20260706</t>
        </is>
      </c>
      <c r="Q84" t="inlineStr">
        <is>
          <t>99991231</t>
        </is>
      </c>
    </row>
    <row r="85">
      <c r="A85" t="inlineStr">
        <is>
          <t>900007611D8606738237310190637</t>
        </is>
      </c>
      <c r="B85" t="inlineStr">
        <is>
          <t>900007611</t>
        </is>
      </c>
      <c r="C85" t="inlineStr">
        <is>
          <t>D860</t>
        </is>
      </c>
      <c r="D85" t="inlineStr">
        <is>
          <t>67382373</t>
        </is>
      </c>
      <c r="E85" t="inlineStr">
        <is>
          <t>4</t>
        </is>
      </c>
      <c r="F85" t="inlineStr">
        <is>
          <t>10190637</t>
        </is>
      </c>
      <c r="H85" t="inlineStr"/>
      <c r="J85" t="n">
        <v>204.5</v>
      </c>
      <c r="K85" t="inlineStr"/>
      <c r="M85" t="inlineStr">
        <is>
          <t>M3</t>
        </is>
      </c>
      <c r="N85" t="inlineStr"/>
      <c r="P85" t="inlineStr">
        <is>
          <t>20260706</t>
        </is>
      </c>
      <c r="Q85" t="inlineStr">
        <is>
          <t>99991231</t>
        </is>
      </c>
    </row>
    <row r="86">
      <c r="A86" t="inlineStr">
        <is>
          <t>900007611D8606685656210052402</t>
        </is>
      </c>
      <c r="B86" t="inlineStr">
        <is>
          <t>900007611</t>
        </is>
      </c>
      <c r="C86" t="inlineStr">
        <is>
          <t>D860</t>
        </is>
      </c>
      <c r="D86" t="inlineStr">
        <is>
          <t>66856562</t>
        </is>
      </c>
      <c r="E86" t="inlineStr">
        <is>
          <t>4</t>
        </is>
      </c>
      <c r="F86" t="inlineStr">
        <is>
          <t>10052402</t>
        </is>
      </c>
      <c r="H86" t="inlineStr"/>
      <c r="J86" t="n">
        <v>129</v>
      </c>
      <c r="K86" t="inlineStr"/>
      <c r="M86" t="inlineStr">
        <is>
          <t>M3</t>
        </is>
      </c>
      <c r="N86" t="inlineStr"/>
      <c r="P86" t="inlineStr">
        <is>
          <t>20240706</t>
        </is>
      </c>
      <c r="Q86" t="inlineStr">
        <is>
          <t>20240814</t>
        </is>
      </c>
    </row>
    <row r="87">
      <c r="A87" t="inlineStr">
        <is>
          <t>900007611D8606685656210052404</t>
        </is>
      </c>
      <c r="B87" t="inlineStr">
        <is>
          <t>900007611</t>
        </is>
      </c>
      <c r="C87" t="inlineStr">
        <is>
          <t>D860</t>
        </is>
      </c>
      <c r="D87" t="inlineStr">
        <is>
          <t>66856562</t>
        </is>
      </c>
      <c r="E87" t="inlineStr">
        <is>
          <t>4</t>
        </is>
      </c>
      <c r="F87" t="inlineStr">
        <is>
          <t>10052404</t>
        </is>
      </c>
      <c r="H87" t="inlineStr"/>
      <c r="J87" t="n">
        <v>129</v>
      </c>
      <c r="K87" t="inlineStr"/>
      <c r="M87" t="inlineStr">
        <is>
          <t>M3</t>
        </is>
      </c>
      <c r="N87" t="inlineStr"/>
      <c r="P87" t="inlineStr">
        <is>
          <t>20240706</t>
        </is>
      </c>
      <c r="Q87" t="inlineStr">
        <is>
          <t>20240814</t>
        </is>
      </c>
    </row>
    <row r="88">
      <c r="A88" t="inlineStr">
        <is>
          <t>900007611D8606685656210052405</t>
        </is>
      </c>
      <c r="B88" t="inlineStr">
        <is>
          <t>900007611</t>
        </is>
      </c>
      <c r="C88" t="inlineStr">
        <is>
          <t>D860</t>
        </is>
      </c>
      <c r="D88" t="inlineStr">
        <is>
          <t>66856562</t>
        </is>
      </c>
      <c r="E88" t="inlineStr">
        <is>
          <t>4</t>
        </is>
      </c>
      <c r="F88" t="inlineStr">
        <is>
          <t>10052405</t>
        </is>
      </c>
      <c r="H88" t="inlineStr"/>
      <c r="J88" t="n">
        <v>129</v>
      </c>
      <c r="K88" t="inlineStr"/>
      <c r="M88" t="inlineStr">
        <is>
          <t>M3</t>
        </is>
      </c>
      <c r="N88" t="inlineStr"/>
      <c r="P88" t="inlineStr">
        <is>
          <t>20240706</t>
        </is>
      </c>
      <c r="Q88" t="inlineStr">
        <is>
          <t>20240814</t>
        </is>
      </c>
    </row>
    <row r="89">
      <c r="A89" t="inlineStr">
        <is>
          <t>900007611D8606685656210052407</t>
        </is>
      </c>
      <c r="B89" t="inlineStr">
        <is>
          <t>900007611</t>
        </is>
      </c>
      <c r="C89" t="inlineStr">
        <is>
          <t>D860</t>
        </is>
      </c>
      <c r="D89" t="inlineStr">
        <is>
          <t>66856562</t>
        </is>
      </c>
      <c r="E89" t="inlineStr">
        <is>
          <t>4</t>
        </is>
      </c>
      <c r="F89" t="inlineStr">
        <is>
          <t>10052407</t>
        </is>
      </c>
      <c r="H89" t="inlineStr"/>
      <c r="J89" t="n">
        <v>129</v>
      </c>
      <c r="K89" t="inlineStr"/>
      <c r="M89" t="inlineStr">
        <is>
          <t>M3</t>
        </is>
      </c>
      <c r="N89" t="inlineStr"/>
      <c r="P89" t="inlineStr">
        <is>
          <t>20240706</t>
        </is>
      </c>
      <c r="Q89" t="inlineStr">
        <is>
          <t>20240814</t>
        </is>
      </c>
    </row>
    <row r="90">
      <c r="A90" t="inlineStr">
        <is>
          <t>900007611D8606689613610052402</t>
        </is>
      </c>
      <c r="B90" t="inlineStr">
        <is>
          <t>900007611</t>
        </is>
      </c>
      <c r="C90" t="inlineStr">
        <is>
          <t>D860</t>
        </is>
      </c>
      <c r="D90" t="inlineStr">
        <is>
          <t>66896136</t>
        </is>
      </c>
      <c r="E90" t="inlineStr">
        <is>
          <t>4</t>
        </is>
      </c>
      <c r="F90" t="inlineStr">
        <is>
          <t>10052402</t>
        </is>
      </c>
      <c r="H90" t="inlineStr"/>
      <c r="J90" t="n">
        <v>129</v>
      </c>
      <c r="K90" t="inlineStr"/>
      <c r="M90" t="inlineStr">
        <is>
          <t>M3</t>
        </is>
      </c>
      <c r="N90" t="inlineStr"/>
      <c r="P90" t="inlineStr">
        <is>
          <t>20240706</t>
        </is>
      </c>
      <c r="Q90" t="inlineStr">
        <is>
          <t>20240814</t>
        </is>
      </c>
    </row>
    <row r="91">
      <c r="A91" t="inlineStr">
        <is>
          <t>900007611D8606689613610052404</t>
        </is>
      </c>
      <c r="B91" t="inlineStr">
        <is>
          <t>900007611</t>
        </is>
      </c>
      <c r="C91" t="inlineStr">
        <is>
          <t>D860</t>
        </is>
      </c>
      <c r="D91" t="inlineStr">
        <is>
          <t>66896136</t>
        </is>
      </c>
      <c r="E91" t="inlineStr">
        <is>
          <t>4</t>
        </is>
      </c>
      <c r="F91" t="inlineStr">
        <is>
          <t>10052404</t>
        </is>
      </c>
      <c r="H91" t="inlineStr"/>
      <c r="J91" t="n">
        <v>129</v>
      </c>
      <c r="K91" t="inlineStr"/>
      <c r="M91" t="inlineStr">
        <is>
          <t>M3</t>
        </is>
      </c>
      <c r="N91" t="inlineStr"/>
      <c r="P91" t="inlineStr">
        <is>
          <t>20240706</t>
        </is>
      </c>
      <c r="Q91" t="inlineStr">
        <is>
          <t>20240814</t>
        </is>
      </c>
    </row>
    <row r="92">
      <c r="A92" t="inlineStr">
        <is>
          <t>900007611D8606689613610052405</t>
        </is>
      </c>
      <c r="B92" t="inlineStr">
        <is>
          <t>900007611</t>
        </is>
      </c>
      <c r="C92" t="inlineStr">
        <is>
          <t>D860</t>
        </is>
      </c>
      <c r="D92" t="inlineStr">
        <is>
          <t>66896136</t>
        </is>
      </c>
      <c r="E92" t="inlineStr">
        <is>
          <t>4</t>
        </is>
      </c>
      <c r="F92" t="inlineStr">
        <is>
          <t>10052405</t>
        </is>
      </c>
      <c r="H92" t="inlineStr"/>
      <c r="J92" t="n">
        <v>129</v>
      </c>
      <c r="K92" t="inlineStr"/>
      <c r="M92" t="inlineStr">
        <is>
          <t>M3</t>
        </is>
      </c>
      <c r="N92" t="inlineStr"/>
      <c r="P92" t="inlineStr">
        <is>
          <t>20240706</t>
        </is>
      </c>
      <c r="Q92" t="inlineStr">
        <is>
          <t>20240814</t>
        </is>
      </c>
    </row>
    <row r="93">
      <c r="A93" t="inlineStr">
        <is>
          <t>900007611D8606689613610052407</t>
        </is>
      </c>
      <c r="B93" t="inlineStr">
        <is>
          <t>900007611</t>
        </is>
      </c>
      <c r="C93" t="inlineStr">
        <is>
          <t>D860</t>
        </is>
      </c>
      <c r="D93" t="inlineStr">
        <is>
          <t>66896136</t>
        </is>
      </c>
      <c r="E93" t="inlineStr">
        <is>
          <t>4</t>
        </is>
      </c>
      <c r="F93" t="inlineStr">
        <is>
          <t>10052407</t>
        </is>
      </c>
      <c r="H93" t="inlineStr"/>
      <c r="J93" t="n">
        <v>129</v>
      </c>
      <c r="K93" t="inlineStr"/>
      <c r="M93" t="inlineStr">
        <is>
          <t>M3</t>
        </is>
      </c>
      <c r="N93" t="inlineStr"/>
      <c r="P93" t="inlineStr">
        <is>
          <t>20240706</t>
        </is>
      </c>
      <c r="Q93" t="inlineStr">
        <is>
          <t>20240814</t>
        </is>
      </c>
    </row>
    <row r="94">
      <c r="A94" t="inlineStr">
        <is>
          <t>900007611D8606695806510052402</t>
        </is>
      </c>
      <c r="B94" t="inlineStr">
        <is>
          <t>900007611</t>
        </is>
      </c>
      <c r="C94" t="inlineStr">
        <is>
          <t>D860</t>
        </is>
      </c>
      <c r="D94" t="inlineStr">
        <is>
          <t>66958065</t>
        </is>
      </c>
      <c r="E94" t="inlineStr">
        <is>
          <t>4</t>
        </is>
      </c>
      <c r="F94" t="inlineStr">
        <is>
          <t>10052402</t>
        </is>
      </c>
      <c r="H94" t="inlineStr"/>
      <c r="J94" t="n">
        <v>119.17</v>
      </c>
      <c r="K94" t="inlineStr"/>
      <c r="M94" t="inlineStr">
        <is>
          <t>M3</t>
        </is>
      </c>
      <c r="N94" t="inlineStr"/>
      <c r="P94" t="inlineStr">
        <is>
          <t>20250904</t>
        </is>
      </c>
      <c r="Q94" t="inlineStr">
        <is>
          <t>99991231</t>
        </is>
      </c>
    </row>
    <row r="95">
      <c r="A95" t="inlineStr">
        <is>
          <t>900007611D8606695806510052407</t>
        </is>
      </c>
      <c r="B95" t="inlineStr">
        <is>
          <t>900007611</t>
        </is>
      </c>
      <c r="C95" t="inlineStr">
        <is>
          <t>D860</t>
        </is>
      </c>
      <c r="D95" t="inlineStr">
        <is>
          <t>66958065</t>
        </is>
      </c>
      <c r="E95" t="inlineStr">
        <is>
          <t>4</t>
        </is>
      </c>
      <c r="F95" t="inlineStr">
        <is>
          <t>10052407</t>
        </is>
      </c>
      <c r="H95" t="inlineStr"/>
      <c r="J95" t="n">
        <v>119.17</v>
      </c>
      <c r="K95" t="inlineStr"/>
      <c r="M95" t="inlineStr">
        <is>
          <t>M3</t>
        </is>
      </c>
      <c r="N95" t="inlineStr"/>
      <c r="P95" t="inlineStr">
        <is>
          <t>20250904</t>
        </is>
      </c>
      <c r="Q95" t="inlineStr">
        <is>
          <t>99991231</t>
        </is>
      </c>
    </row>
    <row r="96">
      <c r="A96" t="inlineStr">
        <is>
          <t>900007611D8606695806510190637</t>
        </is>
      </c>
      <c r="B96" t="inlineStr">
        <is>
          <t>900007611</t>
        </is>
      </c>
      <c r="C96" t="inlineStr">
        <is>
          <t>D860</t>
        </is>
      </c>
      <c r="D96" t="inlineStr">
        <is>
          <t>66958065</t>
        </is>
      </c>
      <c r="E96" t="inlineStr">
        <is>
          <t>4</t>
        </is>
      </c>
      <c r="F96" t="inlineStr">
        <is>
          <t>10190637</t>
        </is>
      </c>
      <c r="H96" t="inlineStr"/>
      <c r="J96" t="n">
        <v>119.17</v>
      </c>
      <c r="K96" t="inlineStr"/>
      <c r="M96" t="inlineStr">
        <is>
          <t>M3</t>
        </is>
      </c>
      <c r="N96" t="inlineStr"/>
      <c r="P96" t="inlineStr">
        <is>
          <t>20250904</t>
        </is>
      </c>
      <c r="Q96" t="inlineStr">
        <is>
          <t>99991231</t>
        </is>
      </c>
    </row>
    <row r="97">
      <c r="A97" t="inlineStr">
        <is>
          <t>900007611D8606695806510262224</t>
        </is>
      </c>
      <c r="B97" t="inlineStr">
        <is>
          <t>900007611</t>
        </is>
      </c>
      <c r="C97" t="inlineStr">
        <is>
          <t>D860</t>
        </is>
      </c>
      <c r="D97" t="inlineStr">
        <is>
          <t>66958065</t>
        </is>
      </c>
      <c r="E97" t="inlineStr">
        <is>
          <t>4</t>
        </is>
      </c>
      <c r="F97" t="inlineStr">
        <is>
          <t>10262224</t>
        </is>
      </c>
      <c r="H97" t="inlineStr"/>
      <c r="J97" t="n">
        <v>119.17</v>
      </c>
      <c r="K97" t="inlineStr"/>
      <c r="M97" t="inlineStr">
        <is>
          <t>M3</t>
        </is>
      </c>
      <c r="N97" t="inlineStr"/>
      <c r="P97" t="inlineStr">
        <is>
          <t>20250904</t>
        </is>
      </c>
      <c r="Q97" t="inlineStr">
        <is>
          <t>99991231</t>
        </is>
      </c>
    </row>
    <row r="98">
      <c r="A98" t="inlineStr">
        <is>
          <t>900007611D8606706402910052402</t>
        </is>
      </c>
      <c r="B98" t="inlineStr">
        <is>
          <t>900007611</t>
        </is>
      </c>
      <c r="C98" t="inlineStr">
        <is>
          <t>D860</t>
        </is>
      </c>
      <c r="D98" t="inlineStr">
        <is>
          <t>67064029</t>
        </is>
      </c>
      <c r="E98" t="inlineStr">
        <is>
          <t>4</t>
        </is>
      </c>
      <c r="F98" t="inlineStr">
        <is>
          <t>10052402</t>
        </is>
      </c>
      <c r="H98" t="inlineStr"/>
      <c r="J98" t="n">
        <v>119.17</v>
      </c>
      <c r="K98" t="inlineStr"/>
      <c r="M98" t="inlineStr">
        <is>
          <t>M3</t>
        </is>
      </c>
      <c r="N98" t="inlineStr"/>
      <c r="P98" t="inlineStr">
        <is>
          <t>20250926</t>
        </is>
      </c>
      <c r="Q98" t="inlineStr">
        <is>
          <t>99991231</t>
        </is>
      </c>
    </row>
    <row r="99">
      <c r="A99" t="inlineStr">
        <is>
          <t>900007611D8606706402910052404</t>
        </is>
      </c>
      <c r="B99" t="inlineStr">
        <is>
          <t>900007611</t>
        </is>
      </c>
      <c r="C99" t="inlineStr">
        <is>
          <t>D860</t>
        </is>
      </c>
      <c r="D99" t="inlineStr">
        <is>
          <t>67064029</t>
        </is>
      </c>
      <c r="E99" t="inlineStr">
        <is>
          <t>4</t>
        </is>
      </c>
      <c r="F99" t="inlineStr">
        <is>
          <t>10052404</t>
        </is>
      </c>
      <c r="H99" t="inlineStr"/>
      <c r="J99" t="n">
        <v>87</v>
      </c>
      <c r="K99" t="inlineStr"/>
      <c r="M99" t="inlineStr">
        <is>
          <t>M3</t>
        </is>
      </c>
      <c r="N99" t="inlineStr"/>
      <c r="P99" t="inlineStr">
        <is>
          <t>20240706</t>
        </is>
      </c>
      <c r="Q99" t="inlineStr">
        <is>
          <t>20240814</t>
        </is>
      </c>
    </row>
    <row r="100">
      <c r="A100" t="inlineStr">
        <is>
          <t>900007611D8606706402910052407</t>
        </is>
      </c>
      <c r="B100" t="inlineStr">
        <is>
          <t>900007611</t>
        </is>
      </c>
      <c r="C100" t="inlineStr">
        <is>
          <t>D860</t>
        </is>
      </c>
      <c r="D100" t="inlineStr">
        <is>
          <t>67064029</t>
        </is>
      </c>
      <c r="E100" t="inlineStr">
        <is>
          <t>4</t>
        </is>
      </c>
      <c r="F100" t="inlineStr">
        <is>
          <t>10052407</t>
        </is>
      </c>
      <c r="H100" t="inlineStr"/>
      <c r="J100" t="n">
        <v>119.17</v>
      </c>
      <c r="K100" t="inlineStr"/>
      <c r="M100" t="inlineStr">
        <is>
          <t>M3</t>
        </is>
      </c>
      <c r="N100" t="inlineStr"/>
      <c r="P100" t="inlineStr">
        <is>
          <t>20250926</t>
        </is>
      </c>
      <c r="Q100" t="inlineStr">
        <is>
          <t>99991231</t>
        </is>
      </c>
    </row>
    <row r="101">
      <c r="A101" t="inlineStr">
        <is>
          <t>900007611D8606706402910152920</t>
        </is>
      </c>
      <c r="B101" t="inlineStr">
        <is>
          <t>900007611</t>
        </is>
      </c>
      <c r="C101" t="inlineStr">
        <is>
          <t>D860</t>
        </is>
      </c>
      <c r="D101" t="inlineStr">
        <is>
          <t>67064029</t>
        </is>
      </c>
      <c r="E101" t="inlineStr">
        <is>
          <t>4</t>
        </is>
      </c>
      <c r="F101" t="inlineStr">
        <is>
          <t>10152920</t>
        </is>
      </c>
      <c r="H101" t="inlineStr"/>
      <c r="J101" t="n">
        <v>119.17</v>
      </c>
      <c r="K101" t="inlineStr"/>
      <c r="M101" t="inlineStr">
        <is>
          <t>M3</t>
        </is>
      </c>
      <c r="N101" t="inlineStr"/>
      <c r="P101" t="inlineStr">
        <is>
          <t>20250926</t>
        </is>
      </c>
      <c r="Q101" t="inlineStr">
        <is>
          <t>99991231</t>
        </is>
      </c>
    </row>
    <row r="102">
      <c r="A102" t="inlineStr">
        <is>
          <t>900007611D8606706402910190637</t>
        </is>
      </c>
      <c r="B102" t="inlineStr">
        <is>
          <t>900007611</t>
        </is>
      </c>
      <c r="C102" t="inlineStr">
        <is>
          <t>D860</t>
        </is>
      </c>
      <c r="D102" t="inlineStr">
        <is>
          <t>67064029</t>
        </is>
      </c>
      <c r="E102" t="inlineStr">
        <is>
          <t>4</t>
        </is>
      </c>
      <c r="F102" t="inlineStr">
        <is>
          <t>10190637</t>
        </is>
      </c>
      <c r="H102" t="inlineStr"/>
      <c r="J102" t="n">
        <v>119.17</v>
      </c>
      <c r="K102" t="inlineStr"/>
      <c r="M102" t="inlineStr">
        <is>
          <t>M3</t>
        </is>
      </c>
      <c r="N102" t="inlineStr"/>
      <c r="P102" t="inlineStr">
        <is>
          <t>20250926</t>
        </is>
      </c>
      <c r="Q102" t="inlineStr">
        <is>
          <t>99991231</t>
        </is>
      </c>
    </row>
    <row r="103">
      <c r="A103" t="inlineStr">
        <is>
          <t>900007611D8606711881910052402</t>
        </is>
      </c>
      <c r="B103" t="inlineStr">
        <is>
          <t>900007611</t>
        </is>
      </c>
      <c r="C103" t="inlineStr">
        <is>
          <t>D860</t>
        </is>
      </c>
      <c r="D103" t="inlineStr">
        <is>
          <t>67118819</t>
        </is>
      </c>
      <c r="E103" t="inlineStr">
        <is>
          <t>4</t>
        </is>
      </c>
      <c r="F103" t="inlineStr">
        <is>
          <t>10052402</t>
        </is>
      </c>
      <c r="H103" t="inlineStr"/>
      <c r="J103" t="n">
        <v>129</v>
      </c>
      <c r="K103" t="inlineStr"/>
      <c r="M103" t="inlineStr">
        <is>
          <t>M3</t>
        </is>
      </c>
      <c r="N103" t="inlineStr"/>
      <c r="P103" t="inlineStr">
        <is>
          <t>20240706</t>
        </is>
      </c>
      <c r="Q103" t="inlineStr">
        <is>
          <t>20240814</t>
        </is>
      </c>
    </row>
    <row r="104">
      <c r="A104" t="inlineStr">
        <is>
          <t>900007611D8606711881910052404</t>
        </is>
      </c>
      <c r="B104" t="inlineStr">
        <is>
          <t>900007611</t>
        </is>
      </c>
      <c r="C104" t="inlineStr">
        <is>
          <t>D860</t>
        </is>
      </c>
      <c r="D104" t="inlineStr">
        <is>
          <t>67118819</t>
        </is>
      </c>
      <c r="E104" t="inlineStr">
        <is>
          <t>4</t>
        </is>
      </c>
      <c r="F104" t="inlineStr">
        <is>
          <t>10052404</t>
        </is>
      </c>
      <c r="H104" t="inlineStr"/>
      <c r="J104" t="n">
        <v>129</v>
      </c>
      <c r="K104" t="inlineStr"/>
      <c r="M104" t="inlineStr">
        <is>
          <t>M3</t>
        </is>
      </c>
      <c r="N104" t="inlineStr"/>
      <c r="P104" t="inlineStr">
        <is>
          <t>20240706</t>
        </is>
      </c>
      <c r="Q104" t="inlineStr">
        <is>
          <t>20240814</t>
        </is>
      </c>
    </row>
    <row r="105">
      <c r="A105" t="inlineStr">
        <is>
          <t>900007611D8606711881910052405</t>
        </is>
      </c>
      <c r="B105" t="inlineStr">
        <is>
          <t>900007611</t>
        </is>
      </c>
      <c r="C105" t="inlineStr">
        <is>
          <t>D860</t>
        </is>
      </c>
      <c r="D105" t="inlineStr">
        <is>
          <t>67118819</t>
        </is>
      </c>
      <c r="E105" t="inlineStr">
        <is>
          <t>4</t>
        </is>
      </c>
      <c r="F105" t="inlineStr">
        <is>
          <t>10052405</t>
        </is>
      </c>
      <c r="H105" t="inlineStr"/>
      <c r="J105" t="n">
        <v>129</v>
      </c>
      <c r="K105" t="inlineStr"/>
      <c r="M105" t="inlineStr">
        <is>
          <t>M3</t>
        </is>
      </c>
      <c r="N105" t="inlineStr"/>
      <c r="P105" t="inlineStr">
        <is>
          <t>20240706</t>
        </is>
      </c>
      <c r="Q105" t="inlineStr">
        <is>
          <t>20240814</t>
        </is>
      </c>
    </row>
    <row r="106">
      <c r="A106" t="inlineStr">
        <is>
          <t>900007611D8606711881910052407</t>
        </is>
      </c>
      <c r="B106" t="inlineStr">
        <is>
          <t>900007611</t>
        </is>
      </c>
      <c r="C106" t="inlineStr">
        <is>
          <t>D860</t>
        </is>
      </c>
      <c r="D106" t="inlineStr">
        <is>
          <t>67118819</t>
        </is>
      </c>
      <c r="E106" t="inlineStr">
        <is>
          <t>4</t>
        </is>
      </c>
      <c r="F106" t="inlineStr">
        <is>
          <t>10052407</t>
        </is>
      </c>
      <c r="H106" t="inlineStr"/>
      <c r="J106" t="n">
        <v>129</v>
      </c>
      <c r="K106" t="inlineStr"/>
      <c r="M106" t="inlineStr">
        <is>
          <t>M3</t>
        </is>
      </c>
      <c r="N106" t="inlineStr"/>
      <c r="P106" t="inlineStr">
        <is>
          <t>20240706</t>
        </is>
      </c>
      <c r="Q106" t="inlineStr">
        <is>
          <t>20240814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6" customWidth="1" min="4" max="4"/>
    <col width="10" customWidth="1" min="5" max="5"/>
    <col width="6" customWidth="1" min="6" max="6"/>
    <col width="8" customWidth="1" min="7" max="7"/>
    <col width="45" customWidth="1" min="8" max="8"/>
  </cols>
  <sheetData>
    <row r="1">
      <c r="A1" s="3" t="inlineStr">
        <is>
          <t>Material</t>
        </is>
      </c>
      <c r="B1" s="3" t="inlineStr">
        <is>
          <t>TpMt</t>
        </is>
      </c>
      <c r="C1" s="3" t="inlineStr">
        <is>
          <t>Denom</t>
        </is>
      </c>
      <c r="D1" s="3" t="inlineStr">
        <is>
          <t>UMA</t>
        </is>
      </c>
      <c r="E1" s="3" t="inlineStr">
        <is>
          <t>Contador</t>
        </is>
      </c>
      <c r="F1" s="3" t="inlineStr">
        <is>
          <t>UMB</t>
        </is>
      </c>
      <c r="G1" s="3" t="inlineStr">
        <is>
          <t>PV</t>
        </is>
      </c>
      <c r="H1" s="3" t="inlineStr">
        <is>
          <t>Nombre Material</t>
        </is>
      </c>
    </row>
    <row r="2">
      <c r="A2" t="n">
        <v>10000001</v>
      </c>
      <c r="B2" t="inlineStr">
        <is>
          <t>ZFER</t>
        </is>
      </c>
      <c r="C2" t="inlineStr">
        <is>
          <t>1000</t>
        </is>
      </c>
      <c r="D2" t="inlineStr">
        <is>
          <t>M3</t>
        </is>
      </c>
      <c r="E2" t="n">
        <v>1000</v>
      </c>
      <c r="F2" t="inlineStr">
        <is>
          <t>TN</t>
        </is>
      </c>
      <c r="G2" t="n">
        <v>1262</v>
      </c>
      <c r="H2" t="inlineStr">
        <is>
          <t>GRAVA ANDESITA 10 MM (3/8")</t>
        </is>
      </c>
    </row>
    <row r="3">
      <c r="A3" t="n">
        <v>10000003</v>
      </c>
      <c r="B3" t="inlineStr">
        <is>
          <t>ZFER</t>
        </is>
      </c>
      <c r="C3" t="inlineStr">
        <is>
          <t>1000</t>
        </is>
      </c>
      <c r="D3" t="inlineStr">
        <is>
          <t>M3</t>
        </is>
      </c>
      <c r="E3" t="n">
        <v>1000</v>
      </c>
      <c r="F3" t="inlineStr">
        <is>
          <t>TN</t>
        </is>
      </c>
      <c r="G3" t="n">
        <v>1443</v>
      </c>
      <c r="H3" t="inlineStr">
        <is>
          <t>GRAVA CALIZA 10 MM (3/8")</t>
        </is>
      </c>
    </row>
    <row r="4">
      <c r="A4" t="n">
        <v>10000006</v>
      </c>
      <c r="B4" t="inlineStr">
        <is>
          <t>ZFER</t>
        </is>
      </c>
      <c r="C4" t="inlineStr">
        <is>
          <t>1000</t>
        </is>
      </c>
      <c r="D4" t="inlineStr">
        <is>
          <t>M3</t>
        </is>
      </c>
      <c r="E4" t="n">
        <v>1000</v>
      </c>
      <c r="F4" t="inlineStr">
        <is>
          <t>TN</t>
        </is>
      </c>
      <c r="G4" t="n">
        <v>1490</v>
      </c>
      <c r="H4" t="inlineStr">
        <is>
          <t>GRAVA RIO 10 MM (3/8")</t>
        </is>
      </c>
    </row>
    <row r="5">
      <c r="A5" t="n">
        <v>10000007</v>
      </c>
      <c r="B5" t="inlineStr">
        <is>
          <t>ZFER</t>
        </is>
      </c>
      <c r="C5" t="inlineStr">
        <is>
          <t>1000</t>
        </is>
      </c>
      <c r="D5" t="inlineStr">
        <is>
          <t>M3</t>
        </is>
      </c>
      <c r="E5" t="n">
        <v>1000</v>
      </c>
      <c r="F5" t="inlineStr">
        <is>
          <t>TN</t>
        </is>
      </c>
      <c r="G5" t="n">
        <v>1488</v>
      </c>
      <c r="H5" t="inlineStr">
        <is>
          <t>GRAVA BASALTO 13 MM (1/2")</t>
        </is>
      </c>
    </row>
    <row r="6">
      <c r="A6" t="n">
        <v>10000008</v>
      </c>
      <c r="B6" t="inlineStr">
        <is>
          <t>ZFER</t>
        </is>
      </c>
      <c r="C6" t="inlineStr">
        <is>
          <t>1000</t>
        </is>
      </c>
      <c r="D6" t="inlineStr">
        <is>
          <t>M3</t>
        </is>
      </c>
      <c r="E6" t="n">
        <v>1000</v>
      </c>
      <c r="F6" t="inlineStr">
        <is>
          <t>TN</t>
        </is>
      </c>
      <c r="G6" t="n">
        <v>1358</v>
      </c>
      <c r="H6" t="inlineStr">
        <is>
          <t>GRAVA CALIZA 13 MM (1/2")</t>
        </is>
      </c>
    </row>
    <row r="7">
      <c r="A7" t="n">
        <v>10000011</v>
      </c>
      <c r="B7" t="inlineStr">
        <is>
          <t>ZFER</t>
        </is>
      </c>
      <c r="C7" t="inlineStr">
        <is>
          <t>1000</t>
        </is>
      </c>
      <c r="D7" t="inlineStr">
        <is>
          <t>M3</t>
        </is>
      </c>
      <c r="E7" t="n">
        <v>1000</v>
      </c>
      <c r="F7" t="inlineStr">
        <is>
          <t>TN</t>
        </is>
      </c>
      <c r="G7" t="n">
        <v>1323</v>
      </c>
      <c r="H7" t="inlineStr">
        <is>
          <t>GRAVA ANDESITA 20 MM (3/4")</t>
        </is>
      </c>
    </row>
    <row r="8">
      <c r="A8" t="n">
        <v>10000013</v>
      </c>
      <c r="B8" t="inlineStr">
        <is>
          <t>ZFER</t>
        </is>
      </c>
      <c r="C8" t="inlineStr">
        <is>
          <t>1000</t>
        </is>
      </c>
      <c r="D8" t="inlineStr">
        <is>
          <t>M3</t>
        </is>
      </c>
      <c r="E8" t="n">
        <v>1000</v>
      </c>
      <c r="F8" t="inlineStr">
        <is>
          <t>TN</t>
        </is>
      </c>
      <c r="G8" t="n">
        <v>1514</v>
      </c>
      <c r="H8" t="inlineStr">
        <is>
          <t>GRAVA BASALTO 20 MM (3/4")</t>
        </is>
      </c>
    </row>
    <row r="9">
      <c r="A9" t="n">
        <v>10000014</v>
      </c>
      <c r="B9" t="inlineStr">
        <is>
          <t>ZFER</t>
        </is>
      </c>
      <c r="C9" t="inlineStr">
        <is>
          <t>1000</t>
        </is>
      </c>
      <c r="D9" t="inlineStr">
        <is>
          <t>M3</t>
        </is>
      </c>
      <c r="E9" t="n">
        <v>1000</v>
      </c>
      <c r="F9" t="inlineStr">
        <is>
          <t>TN</t>
        </is>
      </c>
      <c r="G9" t="n">
        <v>1400</v>
      </c>
      <c r="H9" t="inlineStr">
        <is>
          <t>GRAVA CALIZA 20 MM (3/4")</t>
        </is>
      </c>
    </row>
    <row r="10">
      <c r="A10" t="n">
        <v>10000015</v>
      </c>
      <c r="B10" t="inlineStr">
        <is>
          <t>ZFER</t>
        </is>
      </c>
      <c r="C10" t="inlineStr">
        <is>
          <t>1000</t>
        </is>
      </c>
      <c r="D10" t="inlineStr">
        <is>
          <t>M3</t>
        </is>
      </c>
      <c r="E10" t="n">
        <v>1000</v>
      </c>
      <c r="F10" t="inlineStr">
        <is>
          <t>TN</t>
        </is>
      </c>
      <c r="G10" t="n">
        <v>1410</v>
      </c>
      <c r="H10" t="inlineStr">
        <is>
          <t>GRAVA GRANITO 20 MM (3/4")</t>
        </is>
      </c>
    </row>
    <row r="11">
      <c r="A11" t="n">
        <v>10000017</v>
      </c>
      <c r="B11" t="inlineStr">
        <is>
          <t>ZFER</t>
        </is>
      </c>
      <c r="C11" t="inlineStr">
        <is>
          <t>1000</t>
        </is>
      </c>
      <c r="D11" t="inlineStr">
        <is>
          <t>M3</t>
        </is>
      </c>
      <c r="E11" t="n">
        <v>1000</v>
      </c>
      <c r="F11" t="inlineStr">
        <is>
          <t>TN</t>
        </is>
      </c>
      <c r="G11" t="n">
        <v>1475</v>
      </c>
      <c r="H11" t="inlineStr">
        <is>
          <t>GRAVA RIOLITA 20 MM (3/4")</t>
        </is>
      </c>
    </row>
    <row r="12">
      <c r="A12" t="n">
        <v>10000019</v>
      </c>
      <c r="B12" t="inlineStr">
        <is>
          <t>ZFER</t>
        </is>
      </c>
      <c r="C12" t="inlineStr">
        <is>
          <t>1000</t>
        </is>
      </c>
      <c r="D12" t="inlineStr">
        <is>
          <t>M3</t>
        </is>
      </c>
      <c r="E12" t="n">
        <v>1000</v>
      </c>
      <c r="F12" t="inlineStr">
        <is>
          <t>TN</t>
        </is>
      </c>
      <c r="G12" t="n">
        <v>1515</v>
      </c>
      <c r="H12" t="inlineStr">
        <is>
          <t>GRAVA RIO 20 MM (3/4")</t>
        </is>
      </c>
    </row>
    <row r="13">
      <c r="A13" t="n">
        <v>10000020</v>
      </c>
      <c r="B13" t="inlineStr">
        <is>
          <t>ZFER</t>
        </is>
      </c>
      <c r="C13" t="inlineStr">
        <is>
          <t>1000</t>
        </is>
      </c>
      <c r="D13" t="inlineStr">
        <is>
          <t>M3</t>
        </is>
      </c>
      <c r="E13" t="n">
        <v>1</v>
      </c>
      <c r="F13" t="inlineStr">
        <is>
          <t>TN</t>
        </is>
      </c>
      <c r="G13" t="n">
        <v>1</v>
      </c>
      <c r="H13" t="inlineStr">
        <is>
          <t>GRAVA MAQUILA 40MM (1 1/2")</t>
        </is>
      </c>
    </row>
    <row r="14">
      <c r="A14" t="n">
        <v>10000023</v>
      </c>
      <c r="B14" t="inlineStr">
        <is>
          <t>ZFER</t>
        </is>
      </c>
      <c r="C14" t="inlineStr">
        <is>
          <t>1000</t>
        </is>
      </c>
      <c r="D14" t="inlineStr">
        <is>
          <t>M3</t>
        </is>
      </c>
      <c r="E14" t="n">
        <v>1000</v>
      </c>
      <c r="F14" t="inlineStr">
        <is>
          <t>TN</t>
        </is>
      </c>
      <c r="G14" t="n">
        <v>1509</v>
      </c>
      <c r="H14" t="inlineStr">
        <is>
          <t>GRAVA RIOLITA 40 MM (1 1/2")</t>
        </is>
      </c>
    </row>
    <row r="15">
      <c r="A15" t="n">
        <v>10000024</v>
      </c>
      <c r="B15" t="inlineStr">
        <is>
          <t>ZFER</t>
        </is>
      </c>
      <c r="C15" t="inlineStr">
        <is>
          <t>1000</t>
        </is>
      </c>
      <c r="D15" t="inlineStr">
        <is>
          <t>M3</t>
        </is>
      </c>
      <c r="E15" t="n">
        <v>1000</v>
      </c>
      <c r="F15" t="inlineStr">
        <is>
          <t>TN</t>
        </is>
      </c>
      <c r="G15" t="n">
        <v>1397</v>
      </c>
      <c r="H15" t="inlineStr">
        <is>
          <t>GRAVA CALIZA 40 MM (1 1/2")</t>
        </is>
      </c>
    </row>
    <row r="16">
      <c r="A16" t="n">
        <v>10000025</v>
      </c>
      <c r="B16" t="inlineStr">
        <is>
          <t>ZFER</t>
        </is>
      </c>
      <c r="C16" t="inlineStr">
        <is>
          <t>1000</t>
        </is>
      </c>
      <c r="D16" t="inlineStr">
        <is>
          <t>M3</t>
        </is>
      </c>
      <c r="E16" t="n">
        <v>1000</v>
      </c>
      <c r="F16" t="inlineStr">
        <is>
          <t>TN</t>
        </is>
      </c>
      <c r="G16" t="n">
        <v>1550</v>
      </c>
      <c r="H16" t="inlineStr">
        <is>
          <t>GRAVA RIO 40 MM (1 1/2")</t>
        </is>
      </c>
    </row>
    <row r="17">
      <c r="A17" t="n">
        <v>10000026</v>
      </c>
      <c r="B17" t="inlineStr">
        <is>
          <t>ZFER</t>
        </is>
      </c>
      <c r="C17" t="inlineStr">
        <is>
          <t>1000</t>
        </is>
      </c>
      <c r="D17" t="inlineStr">
        <is>
          <t>M3</t>
        </is>
      </c>
      <c r="E17" t="n">
        <v>1000</v>
      </c>
      <c r="F17" t="inlineStr">
        <is>
          <t>TN</t>
        </is>
      </c>
      <c r="G17" t="n">
        <v>1586</v>
      </c>
      <c r="H17" t="inlineStr">
        <is>
          <t>GRAVA BASALTO 40 MM (1 1/2")</t>
        </is>
      </c>
    </row>
    <row r="18">
      <c r="A18" t="n">
        <v>10000027</v>
      </c>
      <c r="B18" t="inlineStr">
        <is>
          <t>ZFER</t>
        </is>
      </c>
      <c r="C18" t="inlineStr">
        <is>
          <t>1000</t>
        </is>
      </c>
      <c r="D18" t="inlineStr">
        <is>
          <t>M3</t>
        </is>
      </c>
      <c r="E18" t="n">
        <v>1000</v>
      </c>
      <c r="F18" t="inlineStr">
        <is>
          <t>TN</t>
        </is>
      </c>
      <c r="G18" t="n">
        <v>1469</v>
      </c>
      <c r="H18" t="inlineStr">
        <is>
          <t>ARENA ANDESITA No. 4</t>
        </is>
      </c>
    </row>
    <row r="19">
      <c r="A19" t="n">
        <v>10000030</v>
      </c>
      <c r="B19" t="inlineStr">
        <is>
          <t>ZFER</t>
        </is>
      </c>
      <c r="C19" t="inlineStr">
        <is>
          <t>1000</t>
        </is>
      </c>
      <c r="D19" t="inlineStr">
        <is>
          <t>M3</t>
        </is>
      </c>
      <c r="E19" t="n">
        <v>1000</v>
      </c>
      <c r="F19" t="inlineStr">
        <is>
          <t>TN</t>
        </is>
      </c>
      <c r="G19" t="n">
        <v>1760</v>
      </c>
      <c r="H19" t="inlineStr">
        <is>
          <t>ARENA BASALTO No. 4</t>
        </is>
      </c>
    </row>
    <row r="20">
      <c r="A20" t="n">
        <v>10000031</v>
      </c>
      <c r="B20" t="inlineStr">
        <is>
          <t>ZFER</t>
        </is>
      </c>
      <c r="C20" t="inlineStr">
        <is>
          <t>1000</t>
        </is>
      </c>
      <c r="D20" t="inlineStr">
        <is>
          <t>M3</t>
        </is>
      </c>
      <c r="E20" t="n">
        <v>1000</v>
      </c>
      <c r="F20" t="inlineStr">
        <is>
          <t>TN</t>
        </is>
      </c>
      <c r="G20" t="n">
        <v>1628</v>
      </c>
      <c r="H20" t="inlineStr">
        <is>
          <t>ARENA CALIZA No.4</t>
        </is>
      </c>
    </row>
    <row r="21">
      <c r="A21" t="n">
        <v>10000035</v>
      </c>
      <c r="B21" t="inlineStr">
        <is>
          <t>ZFER</t>
        </is>
      </c>
      <c r="C21" t="inlineStr">
        <is>
          <t>1000</t>
        </is>
      </c>
      <c r="D21" t="inlineStr">
        <is>
          <t>M3</t>
        </is>
      </c>
      <c r="E21" t="n">
        <v>1000</v>
      </c>
      <c r="F21" t="inlineStr">
        <is>
          <t>TN</t>
        </is>
      </c>
      <c r="G21" t="n">
        <v>1322</v>
      </c>
      <c r="H21" t="inlineStr">
        <is>
          <t>ARENA RIOLITA No. 4</t>
        </is>
      </c>
    </row>
    <row r="22">
      <c r="A22" t="n">
        <v>10000036</v>
      </c>
      <c r="B22" t="inlineStr">
        <is>
          <t>ZFER</t>
        </is>
      </c>
      <c r="C22" t="inlineStr">
        <is>
          <t>1000</t>
        </is>
      </c>
      <c r="D22" t="inlineStr">
        <is>
          <t>M3</t>
        </is>
      </c>
      <c r="E22" t="n">
        <v>100</v>
      </c>
      <c r="F22" t="inlineStr">
        <is>
          <t>TN</t>
        </is>
      </c>
      <c r="G22" t="n">
        <v>168</v>
      </c>
      <c r="H22" t="inlineStr">
        <is>
          <t>ARENA CALIZA LAVADA No.4</t>
        </is>
      </c>
    </row>
    <row r="23">
      <c r="A23" t="n">
        <v>10000039</v>
      </c>
      <c r="B23" t="inlineStr">
        <is>
          <t>ZFER</t>
        </is>
      </c>
      <c r="C23" t="inlineStr">
        <is>
          <t>1000</t>
        </is>
      </c>
      <c r="D23" t="inlineStr">
        <is>
          <t>M3</t>
        </is>
      </c>
      <c r="E23" t="n">
        <v>1000</v>
      </c>
      <c r="F23" t="inlineStr">
        <is>
          <t>TN</t>
        </is>
      </c>
      <c r="G23" t="n">
        <v>1502</v>
      </c>
      <c r="H23" t="inlineStr">
        <is>
          <t>ARENA VOLCANICA No.4</t>
        </is>
      </c>
    </row>
    <row r="24">
      <c r="A24" t="n">
        <v>10000040</v>
      </c>
      <c r="B24" t="inlineStr">
        <is>
          <t>ZFER</t>
        </is>
      </c>
      <c r="C24" t="inlineStr">
        <is>
          <t>1000</t>
        </is>
      </c>
      <c r="D24" t="inlineStr">
        <is>
          <t>M3</t>
        </is>
      </c>
      <c r="E24" t="n">
        <v>1000</v>
      </c>
      <c r="F24" t="inlineStr">
        <is>
          <t>TN</t>
        </is>
      </c>
      <c r="G24" t="n">
        <v>1390</v>
      </c>
      <c r="H24" t="inlineStr">
        <is>
          <t>ARENA VOLCANICA No.8</t>
        </is>
      </c>
    </row>
    <row r="25">
      <c r="A25" t="n">
        <v>10000041</v>
      </c>
      <c r="B25" t="inlineStr">
        <is>
          <t>ZFER</t>
        </is>
      </c>
      <c r="C25" t="inlineStr">
        <is>
          <t>1000</t>
        </is>
      </c>
      <c r="D25" t="inlineStr">
        <is>
          <t>M3</t>
        </is>
      </c>
      <c r="E25" t="n">
        <v>1000</v>
      </c>
      <c r="F25" t="inlineStr">
        <is>
          <t>TN</t>
        </is>
      </c>
      <c r="G25" t="n">
        <v>1380</v>
      </c>
      <c r="H25" t="inlineStr">
        <is>
          <t>ARENA DE RIO No.4</t>
        </is>
      </c>
    </row>
    <row r="26">
      <c r="A26" t="n">
        <v>10000042</v>
      </c>
      <c r="B26" t="inlineStr">
        <is>
          <t>ZFER</t>
        </is>
      </c>
      <c r="C26" t="inlineStr">
        <is>
          <t>1000</t>
        </is>
      </c>
      <c r="D26" t="inlineStr">
        <is>
          <t>M3</t>
        </is>
      </c>
      <c r="E26" t="n">
        <v>1000</v>
      </c>
      <c r="F26" t="inlineStr">
        <is>
          <t>TN</t>
        </is>
      </c>
      <c r="G26" t="n">
        <v>1573</v>
      </c>
      <c r="H26" t="inlineStr">
        <is>
          <t>ARENA MAQUILA No. 4</t>
        </is>
      </c>
    </row>
    <row r="27">
      <c r="A27" t="n">
        <v>10000043</v>
      </c>
      <c r="B27" t="inlineStr">
        <is>
          <t>ZFER</t>
        </is>
      </c>
      <c r="C27" t="inlineStr">
        <is>
          <t>1000</t>
        </is>
      </c>
      <c r="D27" t="inlineStr">
        <is>
          <t>M3</t>
        </is>
      </c>
      <c r="E27" t="n">
        <v>1000</v>
      </c>
      <c r="F27" t="inlineStr">
        <is>
          <t>TN</t>
        </is>
      </c>
      <c r="G27" t="n">
        <v>1570</v>
      </c>
      <c r="H27" t="inlineStr">
        <is>
          <t>ARENA DE RIO LAVADA No.4</t>
        </is>
      </c>
    </row>
    <row r="28">
      <c r="A28" t="n">
        <v>10000058</v>
      </c>
      <c r="B28" t="inlineStr">
        <is>
          <t>ZFER</t>
        </is>
      </c>
      <c r="C28" t="inlineStr">
        <is>
          <t>1000</t>
        </is>
      </c>
      <c r="D28" t="inlineStr">
        <is>
          <t>M3</t>
        </is>
      </c>
      <c r="E28" t="n">
        <v>1000</v>
      </c>
      <c r="F28" t="inlineStr">
        <is>
          <t>TN</t>
        </is>
      </c>
      <c r="G28" t="n">
        <v>1180</v>
      </c>
      <c r="H28" t="inlineStr">
        <is>
          <t>GRAVA MARMOL 20MM (3/4")</t>
        </is>
      </c>
    </row>
    <row r="29">
      <c r="A29" t="n">
        <v>10000090</v>
      </c>
      <c r="B29" t="inlineStr">
        <is>
          <t>ZFER</t>
        </is>
      </c>
      <c r="C29" t="inlineStr">
        <is>
          <t>1000</t>
        </is>
      </c>
      <c r="D29" t="inlineStr">
        <is>
          <t>M3</t>
        </is>
      </c>
      <c r="E29" t="n">
        <v>1000</v>
      </c>
      <c r="F29" t="inlineStr">
        <is>
          <t>TN</t>
        </is>
      </c>
      <c r="G29" t="n">
        <v>1520</v>
      </c>
      <c r="H29" t="inlineStr">
        <is>
          <t>Grava Triturada Granito 20 mm - 3/4"</t>
        </is>
      </c>
    </row>
    <row r="30">
      <c r="A30" t="n">
        <v>10000091</v>
      </c>
      <c r="B30" t="inlineStr">
        <is>
          <t>ZFER</t>
        </is>
      </c>
      <c r="C30" t="inlineStr">
        <is>
          <t>1000</t>
        </is>
      </c>
      <c r="D30" t="inlineStr">
        <is>
          <t>M3</t>
        </is>
      </c>
      <c r="E30" t="n">
        <v>1000</v>
      </c>
      <c r="F30" t="inlineStr">
        <is>
          <t>TN</t>
        </is>
      </c>
      <c r="G30" t="n">
        <v>1535</v>
      </c>
      <c r="H30" t="inlineStr">
        <is>
          <t>Grava Triturada Granito 40 mm - 1 1/2"</t>
        </is>
      </c>
    </row>
    <row r="31">
      <c r="A31" t="n">
        <v>10000092</v>
      </c>
      <c r="B31" t="inlineStr">
        <is>
          <t>ZFER</t>
        </is>
      </c>
      <c r="C31" t="inlineStr">
        <is>
          <t>1000</t>
        </is>
      </c>
      <c r="D31" t="inlineStr">
        <is>
          <t>M3</t>
        </is>
      </c>
      <c r="E31" t="n">
        <v>1000</v>
      </c>
      <c r="F31" t="inlineStr">
        <is>
          <t>TN</t>
        </is>
      </c>
      <c r="G31" t="n">
        <v>1300</v>
      </c>
      <c r="H31" t="inlineStr">
        <is>
          <t>Crudo Basalto</t>
        </is>
      </c>
    </row>
    <row r="32">
      <c r="A32" t="n">
        <v>10000094</v>
      </c>
      <c r="B32" t="inlineStr">
        <is>
          <t>ZFER</t>
        </is>
      </c>
      <c r="C32" t="inlineStr">
        <is>
          <t>1000</t>
        </is>
      </c>
      <c r="D32" t="inlineStr">
        <is>
          <t>M3</t>
        </is>
      </c>
      <c r="E32" t="n">
        <v>1000</v>
      </c>
      <c r="F32" t="inlineStr">
        <is>
          <t>TN</t>
        </is>
      </c>
      <c r="G32" t="n">
        <v>1375</v>
      </c>
      <c r="H32" t="inlineStr">
        <is>
          <t>Grava Triturada Basalto  20 mm - 3/4"</t>
        </is>
      </c>
    </row>
    <row r="33">
      <c r="A33" t="n">
        <v>10000095</v>
      </c>
      <c r="B33" t="inlineStr">
        <is>
          <t>ZFER</t>
        </is>
      </c>
      <c r="C33" t="inlineStr">
        <is>
          <t>1000</t>
        </is>
      </c>
      <c r="D33" t="inlineStr">
        <is>
          <t>M3</t>
        </is>
      </c>
      <c r="E33" t="n">
        <v>1000</v>
      </c>
      <c r="F33" t="inlineStr">
        <is>
          <t>TN</t>
        </is>
      </c>
      <c r="G33" t="n">
        <v>1527</v>
      </c>
      <c r="H33" t="inlineStr">
        <is>
          <t>No Clasificado Triturado Basalto</t>
        </is>
      </c>
    </row>
    <row r="34">
      <c r="A34" t="n">
        <v>10000097</v>
      </c>
      <c r="B34" t="inlineStr">
        <is>
          <t>ZFER</t>
        </is>
      </c>
      <c r="C34" t="inlineStr">
        <is>
          <t>1000</t>
        </is>
      </c>
      <c r="D34" t="inlineStr">
        <is>
          <t>M3</t>
        </is>
      </c>
      <c r="E34" t="n">
        <v>1000</v>
      </c>
      <c r="F34" t="inlineStr">
        <is>
          <t>TN</t>
        </is>
      </c>
      <c r="G34" t="n">
        <v>1600</v>
      </c>
      <c r="H34" t="inlineStr">
        <is>
          <t>Desperdicio Triturado Caliza</t>
        </is>
      </c>
    </row>
    <row r="35">
      <c r="A35" t="n">
        <v>10000099</v>
      </c>
      <c r="B35" t="inlineStr">
        <is>
          <t>ZFER</t>
        </is>
      </c>
      <c r="C35" t="inlineStr">
        <is>
          <t>1000</t>
        </is>
      </c>
      <c r="D35" t="inlineStr">
        <is>
          <t>M3</t>
        </is>
      </c>
      <c r="E35" t="n">
        <v>1000</v>
      </c>
      <c r="F35" t="inlineStr">
        <is>
          <t>TN</t>
        </is>
      </c>
      <c r="G35" t="n">
        <v>1671</v>
      </c>
      <c r="H35" t="inlineStr">
        <is>
          <t>No Clasificado Triturado Granito</t>
        </is>
      </c>
    </row>
    <row r="36">
      <c r="A36" t="n">
        <v>10000100</v>
      </c>
      <c r="B36" t="inlineStr">
        <is>
          <t>ZFER</t>
        </is>
      </c>
      <c r="C36" t="inlineStr">
        <is>
          <t>1000</t>
        </is>
      </c>
      <c r="D36" t="inlineStr">
        <is>
          <t>M3</t>
        </is>
      </c>
      <c r="E36" t="n">
        <v>1000</v>
      </c>
      <c r="F36" t="inlineStr">
        <is>
          <t>TN</t>
        </is>
      </c>
      <c r="G36" t="n">
        <v>1395</v>
      </c>
      <c r="H36" t="inlineStr">
        <is>
          <t>Arena Triturada Granito Malla 4</t>
        </is>
      </c>
    </row>
    <row r="37">
      <c r="A37" t="n">
        <v>10000101</v>
      </c>
      <c r="B37" t="inlineStr">
        <is>
          <t>ZFER</t>
        </is>
      </c>
      <c r="C37" t="inlineStr">
        <is>
          <t>1000</t>
        </is>
      </c>
      <c r="D37" t="inlineStr">
        <is>
          <t>M3</t>
        </is>
      </c>
      <c r="E37" t="n">
        <v>1000</v>
      </c>
      <c r="F37" t="inlineStr">
        <is>
          <t>TN</t>
        </is>
      </c>
      <c r="G37" t="n">
        <v>1417</v>
      </c>
      <c r="H37" t="inlineStr">
        <is>
          <t>Arena Triturada Caliza Malla 4 -Especial</t>
        </is>
      </c>
    </row>
    <row r="38">
      <c r="A38" t="n">
        <v>10000102</v>
      </c>
      <c r="B38" t="inlineStr">
        <is>
          <t>ZFER</t>
        </is>
      </c>
      <c r="C38" t="inlineStr">
        <is>
          <t>1000</t>
        </is>
      </c>
      <c r="D38" t="inlineStr">
        <is>
          <t>M3</t>
        </is>
      </c>
      <c r="E38" t="n">
        <v>1000</v>
      </c>
      <c r="F38" t="inlineStr">
        <is>
          <t>TN</t>
        </is>
      </c>
      <c r="G38" t="n">
        <v>1732</v>
      </c>
      <c r="H38" t="inlineStr">
        <is>
          <t>Desperdicio Triturado Granito</t>
        </is>
      </c>
    </row>
    <row r="39">
      <c r="A39" t="n">
        <v>10000103</v>
      </c>
      <c r="B39" t="inlineStr">
        <is>
          <t>ZFER</t>
        </is>
      </c>
      <c r="C39" t="inlineStr">
        <is>
          <t>1000</t>
        </is>
      </c>
      <c r="D39" t="inlineStr">
        <is>
          <t>M3</t>
        </is>
      </c>
      <c r="E39" t="n">
        <v>1000</v>
      </c>
      <c r="F39" t="inlineStr">
        <is>
          <t>TN</t>
        </is>
      </c>
      <c r="G39" t="n">
        <v>1462</v>
      </c>
      <c r="H39" t="inlineStr">
        <is>
          <t>Base H Triturada Caliza 1 1/2" a Finos</t>
        </is>
      </c>
    </row>
    <row r="40">
      <c r="A40" t="n">
        <v>10000104</v>
      </c>
      <c r="B40" t="inlineStr">
        <is>
          <t>ZFER</t>
        </is>
      </c>
      <c r="C40" t="inlineStr">
        <is>
          <t>1000</t>
        </is>
      </c>
      <c r="D40" t="inlineStr">
        <is>
          <t>M3</t>
        </is>
      </c>
      <c r="E40" t="n">
        <v>1000</v>
      </c>
      <c r="F40" t="inlineStr">
        <is>
          <t>TN</t>
        </is>
      </c>
      <c r="G40" t="n">
        <v>1465</v>
      </c>
      <c r="H40" t="inlineStr">
        <is>
          <t>Arena Triturada Basalto Malla 4</t>
        </is>
      </c>
    </row>
    <row r="41">
      <c r="A41" t="n">
        <v>10000106</v>
      </c>
      <c r="B41" t="inlineStr">
        <is>
          <t>ZFER</t>
        </is>
      </c>
      <c r="C41" t="inlineStr">
        <is>
          <t>1000</t>
        </is>
      </c>
      <c r="D41" t="inlineStr">
        <is>
          <t>M3</t>
        </is>
      </c>
      <c r="E41" t="n">
        <v>1000</v>
      </c>
      <c r="F41" t="inlineStr">
        <is>
          <t>TN</t>
        </is>
      </c>
      <c r="G41" t="n">
        <v>1300</v>
      </c>
      <c r="H41" t="inlineStr">
        <is>
          <t>Crudo Caliza</t>
        </is>
      </c>
    </row>
    <row r="42">
      <c r="A42" t="n">
        <v>10000107</v>
      </c>
      <c r="B42" t="inlineStr">
        <is>
          <t>ZFER</t>
        </is>
      </c>
      <c r="C42" t="inlineStr">
        <is>
          <t>1000</t>
        </is>
      </c>
      <c r="D42" t="inlineStr">
        <is>
          <t>M3</t>
        </is>
      </c>
      <c r="E42" t="n">
        <v>1000</v>
      </c>
      <c r="F42" t="inlineStr">
        <is>
          <t>TN</t>
        </is>
      </c>
      <c r="G42" t="n">
        <v>1450</v>
      </c>
      <c r="H42" t="inlineStr">
        <is>
          <t>Arena Clasificada Río Malla 4</t>
        </is>
      </c>
    </row>
    <row r="43">
      <c r="A43" t="n">
        <v>10000110</v>
      </c>
      <c r="B43" t="inlineStr">
        <is>
          <t>ZFER</t>
        </is>
      </c>
      <c r="C43" t="inlineStr">
        <is>
          <t>1000</t>
        </is>
      </c>
      <c r="D43" t="inlineStr">
        <is>
          <t>M3</t>
        </is>
      </c>
      <c r="E43" t="n">
        <v>1000</v>
      </c>
      <c r="F43" t="inlineStr">
        <is>
          <t>TN</t>
        </is>
      </c>
      <c r="G43" t="n">
        <v>1201</v>
      </c>
      <c r="H43" t="inlineStr">
        <is>
          <t>GRAVA TRITURADA CALIZA 20 MM “3/4"–INTEG</t>
        </is>
      </c>
    </row>
    <row r="44">
      <c r="A44" t="n">
        <v>10000111</v>
      </c>
      <c r="B44" t="inlineStr">
        <is>
          <t>ZFER</t>
        </is>
      </c>
      <c r="C44" t="inlineStr">
        <is>
          <t>1000</t>
        </is>
      </c>
      <c r="D44" t="inlineStr">
        <is>
          <t>M3</t>
        </is>
      </c>
      <c r="E44" t="n">
        <v>1000</v>
      </c>
      <c r="F44" t="inlineStr">
        <is>
          <t>TN</t>
        </is>
      </c>
      <c r="G44" t="n">
        <v>1387</v>
      </c>
      <c r="H44" t="inlineStr">
        <is>
          <t>Grava Triturada Caliza 40mm -1 1/2" -Esp</t>
        </is>
      </c>
    </row>
    <row r="45">
      <c r="A45" t="n">
        <v>10000112</v>
      </c>
      <c r="B45" t="inlineStr">
        <is>
          <t>ZFER</t>
        </is>
      </c>
      <c r="C45" t="inlineStr">
        <is>
          <t>1000</t>
        </is>
      </c>
      <c r="D45" t="inlineStr">
        <is>
          <t>M3</t>
        </is>
      </c>
      <c r="E45" t="n">
        <v>1000</v>
      </c>
      <c r="F45" t="inlineStr">
        <is>
          <t>TN</t>
        </is>
      </c>
      <c r="G45" t="n">
        <v>1194</v>
      </c>
      <c r="H45" t="inlineStr">
        <is>
          <t>Grava Triturada Caliza 13 mm -1/2" -Esp</t>
        </is>
      </c>
    </row>
    <row r="46">
      <c r="A46" t="n">
        <v>10000113</v>
      </c>
      <c r="B46" t="inlineStr">
        <is>
          <t>ZFER</t>
        </is>
      </c>
      <c r="C46" t="inlineStr">
        <is>
          <t>1000</t>
        </is>
      </c>
      <c r="D46" t="inlineStr">
        <is>
          <t>M3</t>
        </is>
      </c>
      <c r="E46" t="n">
        <v>1000</v>
      </c>
      <c r="F46" t="inlineStr">
        <is>
          <t>TN</t>
        </is>
      </c>
      <c r="G46" t="n">
        <v>1495</v>
      </c>
      <c r="H46" t="inlineStr">
        <is>
          <t>Arena Triturada Basalto Malla 4</t>
        </is>
      </c>
    </row>
    <row r="47">
      <c r="A47" t="n">
        <v>10000114</v>
      </c>
      <c r="B47" t="inlineStr">
        <is>
          <t>ZFER</t>
        </is>
      </c>
      <c r="C47" t="inlineStr">
        <is>
          <t>1000</t>
        </is>
      </c>
      <c r="D47" t="inlineStr">
        <is>
          <t>M3</t>
        </is>
      </c>
      <c r="E47" t="n">
        <v>1000</v>
      </c>
      <c r="F47" t="inlineStr">
        <is>
          <t>TN</t>
        </is>
      </c>
      <c r="G47" t="n">
        <v>1850</v>
      </c>
      <c r="H47" t="inlineStr">
        <is>
          <t>Base H Triturada Granito 1 1/2" a Finos</t>
        </is>
      </c>
    </row>
    <row r="48">
      <c r="A48" t="n">
        <v>10000115</v>
      </c>
      <c r="B48" t="inlineStr">
        <is>
          <t>ZFER</t>
        </is>
      </c>
      <c r="C48" t="inlineStr">
        <is>
          <t>1000</t>
        </is>
      </c>
      <c r="D48" t="inlineStr">
        <is>
          <t>M3</t>
        </is>
      </c>
      <c r="E48" t="n">
        <v>1000</v>
      </c>
      <c r="F48" t="inlineStr">
        <is>
          <t>TN</t>
        </is>
      </c>
      <c r="G48" t="n">
        <v>1156</v>
      </c>
      <c r="H48" t="inlineStr">
        <is>
          <t>Grava Triturada Caliza 10 mm -3/8" -Esp</t>
        </is>
      </c>
    </row>
    <row r="49">
      <c r="A49" t="n">
        <v>10000116</v>
      </c>
      <c r="B49" t="inlineStr">
        <is>
          <t>ZFER</t>
        </is>
      </c>
      <c r="C49" t="inlineStr">
        <is>
          <t>1000</t>
        </is>
      </c>
      <c r="D49" t="inlineStr">
        <is>
          <t>M3</t>
        </is>
      </c>
      <c r="E49" t="n">
        <v>1000</v>
      </c>
      <c r="F49" t="inlineStr">
        <is>
          <t>TN</t>
        </is>
      </c>
      <c r="G49" t="n">
        <v>1530</v>
      </c>
      <c r="H49" t="inlineStr">
        <is>
          <t>Grava Triturada Granito 13 mm - 1/2"</t>
        </is>
      </c>
    </row>
    <row r="50">
      <c r="A50" t="n">
        <v>10000117</v>
      </c>
      <c r="B50" t="inlineStr">
        <is>
          <t>ZFER</t>
        </is>
      </c>
      <c r="C50" t="inlineStr">
        <is>
          <t>1000</t>
        </is>
      </c>
      <c r="D50" t="inlineStr">
        <is>
          <t>M3</t>
        </is>
      </c>
      <c r="E50" t="n">
        <v>1000</v>
      </c>
      <c r="F50" t="inlineStr">
        <is>
          <t>TN</t>
        </is>
      </c>
      <c r="G50" t="n">
        <v>1392</v>
      </c>
      <c r="H50" t="inlineStr">
        <is>
          <t>Grava Triturada Caliza 13 mm - 1/2"</t>
        </is>
      </c>
    </row>
    <row r="51">
      <c r="A51" t="n">
        <v>10000118</v>
      </c>
      <c r="B51" t="inlineStr">
        <is>
          <t>ZFER</t>
        </is>
      </c>
      <c r="C51" t="inlineStr">
        <is>
          <t>1000</t>
        </is>
      </c>
      <c r="D51" t="inlineStr">
        <is>
          <t>M3</t>
        </is>
      </c>
      <c r="E51" t="n">
        <v>1000</v>
      </c>
      <c r="F51" t="inlineStr">
        <is>
          <t>TN</t>
        </is>
      </c>
      <c r="G51" t="n">
        <v>1476</v>
      </c>
      <c r="H51" t="inlineStr">
        <is>
          <t>Grava Triturada Granito 10 mm - 3/8"</t>
        </is>
      </c>
    </row>
    <row r="52">
      <c r="A52" t="n">
        <v>10000119</v>
      </c>
      <c r="B52" t="inlineStr">
        <is>
          <t>ZFER</t>
        </is>
      </c>
      <c r="C52" t="inlineStr">
        <is>
          <t>1000</t>
        </is>
      </c>
      <c r="D52" t="inlineStr">
        <is>
          <t>M3</t>
        </is>
      </c>
      <c r="E52" t="n">
        <v>1000</v>
      </c>
      <c r="F52" t="inlineStr">
        <is>
          <t>TN</t>
        </is>
      </c>
      <c r="G52" t="n">
        <v>1350</v>
      </c>
      <c r="H52" t="inlineStr">
        <is>
          <t>Grava Triturada Basalto  10 mm - 3/8"</t>
        </is>
      </c>
    </row>
    <row r="53">
      <c r="A53" t="n">
        <v>10000120</v>
      </c>
      <c r="B53" t="inlineStr">
        <is>
          <t>ZFER</t>
        </is>
      </c>
      <c r="C53" t="inlineStr">
        <is>
          <t>1000</t>
        </is>
      </c>
      <c r="D53" t="inlineStr">
        <is>
          <t>M3</t>
        </is>
      </c>
      <c r="E53" t="n">
        <v>1000</v>
      </c>
      <c r="F53" t="inlineStr">
        <is>
          <t>TN</t>
        </is>
      </c>
      <c r="G53" t="n">
        <v>1560</v>
      </c>
      <c r="H53" t="inlineStr">
        <is>
          <t>Grava Triturada Caliza 40 mm - 1 1/2"</t>
        </is>
      </c>
    </row>
    <row r="54">
      <c r="A54" t="n">
        <v>10000121</v>
      </c>
      <c r="B54" t="inlineStr">
        <is>
          <t>ZFER</t>
        </is>
      </c>
      <c r="C54" t="inlineStr">
        <is>
          <t>1000</t>
        </is>
      </c>
      <c r="D54" t="inlineStr">
        <is>
          <t>M3</t>
        </is>
      </c>
      <c r="E54" t="n">
        <v>1000</v>
      </c>
      <c r="F54" t="inlineStr">
        <is>
          <t>TN</t>
        </is>
      </c>
      <c r="G54" t="n">
        <v>1300</v>
      </c>
      <c r="H54" t="inlineStr">
        <is>
          <t>Grava Triturada Basalto  40 mm - 1 1/2"</t>
        </is>
      </c>
    </row>
    <row r="55">
      <c r="A55" t="n">
        <v>10000124</v>
      </c>
      <c r="B55" t="inlineStr">
        <is>
          <t>ZFER</t>
        </is>
      </c>
      <c r="C55" t="inlineStr">
        <is>
          <t>1000</t>
        </is>
      </c>
      <c r="D55" t="inlineStr">
        <is>
          <t>M3</t>
        </is>
      </c>
      <c r="E55" t="n">
        <v>1000</v>
      </c>
      <c r="F55" t="inlineStr">
        <is>
          <t>TN</t>
        </is>
      </c>
      <c r="G55" t="n">
        <v>1739</v>
      </c>
      <c r="H55" t="inlineStr">
        <is>
          <t>Arena Triturada Caliza Malla 4</t>
        </is>
      </c>
    </row>
    <row r="56">
      <c r="A56" t="n">
        <v>10000126</v>
      </c>
      <c r="B56" t="inlineStr">
        <is>
          <t>ZFER</t>
        </is>
      </c>
      <c r="C56" t="inlineStr">
        <is>
          <t>1000</t>
        </is>
      </c>
      <c r="D56" t="inlineStr">
        <is>
          <t>M3</t>
        </is>
      </c>
      <c r="E56" t="n">
        <v>1000</v>
      </c>
      <c r="F56" t="inlineStr">
        <is>
          <t>TN</t>
        </is>
      </c>
      <c r="G56" t="n">
        <v>1600</v>
      </c>
      <c r="H56" t="inlineStr">
        <is>
          <t>Base H Triturada Caliza 1 1/2" a Finos</t>
        </is>
      </c>
    </row>
    <row r="57">
      <c r="A57" t="n">
        <v>10000129</v>
      </c>
      <c r="B57" t="inlineStr">
        <is>
          <t>ZFER</t>
        </is>
      </c>
      <c r="C57" t="inlineStr">
        <is>
          <t>1000</t>
        </is>
      </c>
      <c r="D57" t="inlineStr">
        <is>
          <t>M3</t>
        </is>
      </c>
      <c r="E57" t="n">
        <v>1000</v>
      </c>
      <c r="F57" t="inlineStr">
        <is>
          <t>TN</t>
        </is>
      </c>
      <c r="G57" t="n">
        <v>907</v>
      </c>
      <c r="H57" t="inlineStr">
        <is>
          <t>Arena Clasificada Río Malla 8</t>
        </is>
      </c>
    </row>
    <row r="58">
      <c r="A58" t="n">
        <v>10000133</v>
      </c>
      <c r="B58" t="inlineStr">
        <is>
          <t>ZFER</t>
        </is>
      </c>
      <c r="C58" t="inlineStr">
        <is>
          <t>1000</t>
        </is>
      </c>
      <c r="D58" t="inlineStr">
        <is>
          <t>M3</t>
        </is>
      </c>
      <c r="E58" t="n">
        <v>1000</v>
      </c>
      <c r="F58" t="inlineStr">
        <is>
          <t>TN</t>
        </is>
      </c>
      <c r="G58" t="n">
        <v>1460</v>
      </c>
      <c r="H58" t="inlineStr">
        <is>
          <t>Grava Triturada Caliza 20 mm - 3/4"</t>
        </is>
      </c>
    </row>
    <row r="59">
      <c r="A59" t="n">
        <v>10000135</v>
      </c>
      <c r="B59" t="inlineStr">
        <is>
          <t>ZFER</t>
        </is>
      </c>
      <c r="C59" t="inlineStr">
        <is>
          <t>1000</t>
        </is>
      </c>
      <c r="D59" t="inlineStr">
        <is>
          <t>M3</t>
        </is>
      </c>
      <c r="E59" t="n">
        <v>1000</v>
      </c>
      <c r="F59" t="inlineStr">
        <is>
          <t>TN</t>
        </is>
      </c>
      <c r="G59" t="n">
        <v>1565</v>
      </c>
      <c r="H59" t="inlineStr">
        <is>
          <t>No Clasificado Caliza 1 1/2"" a Finos"</t>
        </is>
      </c>
    </row>
    <row r="60">
      <c r="A60" t="n">
        <v>10000136</v>
      </c>
      <c r="B60" t="inlineStr">
        <is>
          <t>ZFER</t>
        </is>
      </c>
      <c r="C60" t="inlineStr">
        <is>
          <t>1000</t>
        </is>
      </c>
      <c r="D60" t="inlineStr">
        <is>
          <t>M3</t>
        </is>
      </c>
      <c r="E60" t="n">
        <v>1000</v>
      </c>
      <c r="F60" t="inlineStr">
        <is>
          <t>TN</t>
        </is>
      </c>
      <c r="G60" t="n">
        <v>1700</v>
      </c>
      <c r="H60" t="inlineStr">
        <is>
          <t>Arena Triturada Caliza Malla 4</t>
        </is>
      </c>
    </row>
    <row r="61">
      <c r="A61" t="n">
        <v>10000137</v>
      </c>
      <c r="B61" t="inlineStr">
        <is>
          <t>ZFER</t>
        </is>
      </c>
      <c r="C61" t="inlineStr">
        <is>
          <t>1000</t>
        </is>
      </c>
      <c r="D61" t="inlineStr">
        <is>
          <t>M3</t>
        </is>
      </c>
      <c r="E61" t="n">
        <v>1000</v>
      </c>
      <c r="F61" t="inlineStr">
        <is>
          <t>TN</t>
        </is>
      </c>
      <c r="G61" t="n">
        <v>1700</v>
      </c>
      <c r="H61" t="inlineStr">
        <is>
          <t>Arena Triturada Basalto Malla 5</t>
        </is>
      </c>
    </row>
    <row r="62">
      <c r="A62" t="n">
        <v>10000139</v>
      </c>
      <c r="B62" t="inlineStr">
        <is>
          <t>ZFER</t>
        </is>
      </c>
      <c r="C62" t="inlineStr">
        <is>
          <t>1000</t>
        </is>
      </c>
      <c r="D62" t="inlineStr">
        <is>
          <t>M3</t>
        </is>
      </c>
      <c r="E62" t="n">
        <v>1000</v>
      </c>
      <c r="F62" t="inlineStr">
        <is>
          <t>TN</t>
        </is>
      </c>
      <c r="G62" t="n">
        <v>1311</v>
      </c>
      <c r="H62" t="inlineStr">
        <is>
          <t>Grava Triturada Andesita 20 mm - 3/4"</t>
        </is>
      </c>
    </row>
    <row r="63">
      <c r="A63" t="n">
        <v>10000140</v>
      </c>
      <c r="B63" t="inlineStr">
        <is>
          <t>ZFER</t>
        </is>
      </c>
      <c r="C63" t="inlineStr">
        <is>
          <t>1000</t>
        </is>
      </c>
      <c r="D63" t="inlineStr">
        <is>
          <t>M3</t>
        </is>
      </c>
      <c r="E63" t="n">
        <v>1000</v>
      </c>
      <c r="F63" t="inlineStr">
        <is>
          <t>TN</t>
        </is>
      </c>
      <c r="G63" t="n">
        <v>1290</v>
      </c>
      <c r="H63" t="inlineStr">
        <is>
          <t>Grava Triturada Andesita 40 mm - 1 1/2"</t>
        </is>
      </c>
    </row>
    <row r="64">
      <c r="A64" t="n">
        <v>10000141</v>
      </c>
      <c r="B64" t="inlineStr">
        <is>
          <t>ZFER</t>
        </is>
      </c>
      <c r="C64" t="inlineStr">
        <is>
          <t>1000</t>
        </is>
      </c>
      <c r="D64" t="inlineStr">
        <is>
          <t>M3</t>
        </is>
      </c>
      <c r="E64" t="n">
        <v>1000</v>
      </c>
      <c r="F64" t="inlineStr">
        <is>
          <t>TN</t>
        </is>
      </c>
      <c r="G64" t="n">
        <v>1400</v>
      </c>
      <c r="H64" t="inlineStr">
        <is>
          <t>Grava Triturada Caliza 40 mm - 1 1/2"</t>
        </is>
      </c>
    </row>
    <row r="65">
      <c r="A65" t="n">
        <v>10000142</v>
      </c>
      <c r="B65" t="inlineStr">
        <is>
          <t>ZFER</t>
        </is>
      </c>
      <c r="C65" t="inlineStr">
        <is>
          <t>1000</t>
        </is>
      </c>
      <c r="D65" t="inlineStr">
        <is>
          <t>M3</t>
        </is>
      </c>
      <c r="E65" t="n">
        <v>1000</v>
      </c>
      <c r="F65" t="inlineStr">
        <is>
          <t>TN</t>
        </is>
      </c>
      <c r="G65" t="n">
        <v>1481</v>
      </c>
      <c r="H65" t="inlineStr">
        <is>
          <t>Arena Triturada Caliza Malla 4</t>
        </is>
      </c>
    </row>
    <row r="66">
      <c r="A66" t="n">
        <v>10000143</v>
      </c>
      <c r="B66" t="inlineStr">
        <is>
          <t>ZFER</t>
        </is>
      </c>
      <c r="C66" t="inlineStr">
        <is>
          <t>1000</t>
        </is>
      </c>
      <c r="D66" t="inlineStr">
        <is>
          <t>M3</t>
        </is>
      </c>
      <c r="E66" t="n">
        <v>1000</v>
      </c>
      <c r="F66" t="inlineStr">
        <is>
          <t>TN</t>
        </is>
      </c>
      <c r="G66" t="n">
        <v>1380</v>
      </c>
      <c r="H66" t="inlineStr">
        <is>
          <t>Arena Clasificada Río Malla 5</t>
        </is>
      </c>
    </row>
    <row r="67">
      <c r="A67" t="n">
        <v>10000144</v>
      </c>
      <c r="B67" t="inlineStr">
        <is>
          <t>ZFER</t>
        </is>
      </c>
      <c r="C67" t="inlineStr">
        <is>
          <t>1000</t>
        </is>
      </c>
      <c r="D67" t="inlineStr">
        <is>
          <t>M3</t>
        </is>
      </c>
      <c r="E67" t="n">
        <v>1000</v>
      </c>
      <c r="F67" t="inlineStr">
        <is>
          <t>TN</t>
        </is>
      </c>
      <c r="G67" t="n">
        <v>1415</v>
      </c>
      <c r="H67" t="inlineStr">
        <is>
          <t>Grava Triturada Basalto  13 mm - 1/2"</t>
        </is>
      </c>
    </row>
    <row r="68">
      <c r="A68" t="n">
        <v>10000149</v>
      </c>
      <c r="B68" t="inlineStr">
        <is>
          <t>ZFER</t>
        </is>
      </c>
      <c r="C68" t="inlineStr">
        <is>
          <t>1000</t>
        </is>
      </c>
      <c r="D68" t="inlineStr">
        <is>
          <t>M3</t>
        </is>
      </c>
      <c r="E68" t="n">
        <v>1000</v>
      </c>
      <c r="F68" t="inlineStr">
        <is>
          <t>TN</t>
        </is>
      </c>
      <c r="G68" t="n">
        <v>1332</v>
      </c>
      <c r="H68" t="inlineStr">
        <is>
          <t>Grava Triturada Caliza 10 mm - 3/8"</t>
        </is>
      </c>
    </row>
    <row r="69">
      <c r="A69" t="n">
        <v>10000151</v>
      </c>
      <c r="B69" t="inlineStr">
        <is>
          <t>ZFER</t>
        </is>
      </c>
      <c r="C69" t="inlineStr">
        <is>
          <t>1000</t>
        </is>
      </c>
      <c r="D69" t="inlineStr">
        <is>
          <t>M3</t>
        </is>
      </c>
      <c r="E69" t="n">
        <v>1000</v>
      </c>
      <c r="F69" t="inlineStr">
        <is>
          <t>TN</t>
        </is>
      </c>
      <c r="G69" t="n">
        <v>1500</v>
      </c>
      <c r="H69" t="inlineStr">
        <is>
          <t>Grava Triturada Basalto 10 mm - 3/8"</t>
        </is>
      </c>
    </row>
    <row r="70">
      <c r="A70" t="n">
        <v>10000160</v>
      </c>
      <c r="B70" t="inlineStr">
        <is>
          <t>ZFER</t>
        </is>
      </c>
      <c r="C70" t="inlineStr">
        <is>
          <t>1000</t>
        </is>
      </c>
      <c r="D70" t="inlineStr">
        <is>
          <t>M3</t>
        </is>
      </c>
      <c r="E70" t="n">
        <v>1000</v>
      </c>
      <c r="F70" t="inlineStr">
        <is>
          <t>TN</t>
        </is>
      </c>
      <c r="G70" t="n">
        <v>1409</v>
      </c>
      <c r="H70" t="inlineStr">
        <is>
          <t>Arena Triturada Andesita Malla 4</t>
        </is>
      </c>
    </row>
    <row r="71">
      <c r="A71" t="n">
        <v>10000166</v>
      </c>
      <c r="B71" t="inlineStr">
        <is>
          <t>ZFER</t>
        </is>
      </c>
      <c r="C71" t="inlineStr">
        <is>
          <t>1000</t>
        </is>
      </c>
      <c r="D71" t="inlineStr">
        <is>
          <t>M3</t>
        </is>
      </c>
      <c r="E71" t="n">
        <v>1000</v>
      </c>
      <c r="F71" t="inlineStr">
        <is>
          <t>TN</t>
        </is>
      </c>
      <c r="G71" t="n">
        <v>1570</v>
      </c>
      <c r="H71" t="inlineStr">
        <is>
          <t>Arena Clasificada Río Malla 4</t>
        </is>
      </c>
    </row>
    <row r="72">
      <c r="A72" t="n">
        <v>10000169</v>
      </c>
      <c r="B72" t="inlineStr">
        <is>
          <t>ZFER</t>
        </is>
      </c>
      <c r="C72" t="inlineStr">
        <is>
          <t>1000</t>
        </is>
      </c>
      <c r="D72" t="inlineStr">
        <is>
          <t>M3</t>
        </is>
      </c>
      <c r="E72" t="n">
        <v>1000</v>
      </c>
      <c r="F72" t="inlineStr">
        <is>
          <t>TN</t>
        </is>
      </c>
      <c r="G72" t="n">
        <v>1171</v>
      </c>
      <c r="H72" t="inlineStr">
        <is>
          <t>Grava Triturada Caliza 10 mm - 3/8"</t>
        </is>
      </c>
    </row>
    <row r="73">
      <c r="A73" t="n">
        <v>10000175</v>
      </c>
      <c r="B73" t="inlineStr">
        <is>
          <t>ZFER</t>
        </is>
      </c>
      <c r="C73" t="inlineStr">
        <is>
          <t>1000</t>
        </is>
      </c>
      <c r="D73" t="inlineStr">
        <is>
          <t>M3</t>
        </is>
      </c>
      <c r="E73" t="n">
        <v>1000</v>
      </c>
      <c r="F73" t="inlineStr">
        <is>
          <t>TN</t>
        </is>
      </c>
      <c r="G73" t="n">
        <v>1550</v>
      </c>
      <c r="H73" t="inlineStr">
        <is>
          <t>Arena Triturada Caliza Malla 4</t>
        </is>
      </c>
    </row>
    <row r="74">
      <c r="A74" t="n">
        <v>10000176</v>
      </c>
      <c r="B74" t="inlineStr">
        <is>
          <t>ZFER</t>
        </is>
      </c>
      <c r="C74" t="inlineStr">
        <is>
          <t>1000</t>
        </is>
      </c>
      <c r="D74" t="inlineStr">
        <is>
          <t>M3</t>
        </is>
      </c>
      <c r="E74" t="n">
        <v>1000</v>
      </c>
      <c r="F74" t="inlineStr">
        <is>
          <t>TN</t>
        </is>
      </c>
      <c r="G74" t="n">
        <v>1600</v>
      </c>
      <c r="H74" t="inlineStr">
        <is>
          <t>Base H Clasificada Río  1 1/2" a Finos</t>
        </is>
      </c>
    </row>
    <row r="75">
      <c r="A75" t="n">
        <v>10000178</v>
      </c>
      <c r="B75" t="inlineStr">
        <is>
          <t>ZFER</t>
        </is>
      </c>
      <c r="C75" t="inlineStr">
        <is>
          <t>1000</t>
        </is>
      </c>
      <c r="D75" t="inlineStr">
        <is>
          <t>M3</t>
        </is>
      </c>
      <c r="E75" t="n">
        <v>1000</v>
      </c>
      <c r="F75" t="inlineStr">
        <is>
          <t>TN</t>
        </is>
      </c>
      <c r="G75" t="n">
        <v>1507</v>
      </c>
      <c r="H75" t="inlineStr">
        <is>
          <t>Grava Clasificada Río 20 mm - 3/4"</t>
        </is>
      </c>
    </row>
    <row r="76">
      <c r="A76" t="n">
        <v>10000182</v>
      </c>
      <c r="B76" t="inlineStr">
        <is>
          <t>ZFER</t>
        </is>
      </c>
      <c r="C76" t="inlineStr">
        <is>
          <t>1000</t>
        </is>
      </c>
      <c r="D76" t="inlineStr">
        <is>
          <t>M3</t>
        </is>
      </c>
      <c r="E76" t="n">
        <v>1000</v>
      </c>
      <c r="F76" t="inlineStr">
        <is>
          <t>TN</t>
        </is>
      </c>
      <c r="G76" t="n">
        <v>1427</v>
      </c>
      <c r="H76" t="inlineStr">
        <is>
          <t>Grava Triturada Basalto  20 mm - 3/4"</t>
        </is>
      </c>
    </row>
    <row r="77">
      <c r="A77" t="n">
        <v>10000189</v>
      </c>
      <c r="B77" t="inlineStr">
        <is>
          <t>ZFER</t>
        </is>
      </c>
      <c r="C77" t="inlineStr">
        <is>
          <t>1000</t>
        </is>
      </c>
      <c r="D77" t="inlineStr">
        <is>
          <t>M3</t>
        </is>
      </c>
      <c r="E77" t="n">
        <v>1000</v>
      </c>
      <c r="F77" t="inlineStr">
        <is>
          <t>TN</t>
        </is>
      </c>
      <c r="G77" t="n">
        <v>1480</v>
      </c>
      <c r="H77" t="inlineStr">
        <is>
          <t>Arena Triturada Riolita  Malla 4</t>
        </is>
      </c>
    </row>
    <row r="78">
      <c r="A78" t="n">
        <v>10000191</v>
      </c>
      <c r="B78" t="inlineStr">
        <is>
          <t>ZFER</t>
        </is>
      </c>
      <c r="C78" t="inlineStr">
        <is>
          <t>1000</t>
        </is>
      </c>
      <c r="D78" t="inlineStr">
        <is>
          <t>M3</t>
        </is>
      </c>
      <c r="E78" t="n">
        <v>1000</v>
      </c>
      <c r="F78" t="inlineStr">
        <is>
          <t>TN</t>
        </is>
      </c>
      <c r="G78" t="n">
        <v>1410</v>
      </c>
      <c r="H78" t="inlineStr">
        <is>
          <t>Grava Triturada Basalto 20 mm - 3/4"</t>
        </is>
      </c>
    </row>
    <row r="79">
      <c r="A79" t="n">
        <v>10000192</v>
      </c>
      <c r="B79" t="inlineStr">
        <is>
          <t>ZFER</t>
        </is>
      </c>
      <c r="C79" t="inlineStr">
        <is>
          <t>1000</t>
        </is>
      </c>
      <c r="D79" t="inlineStr">
        <is>
          <t>M3</t>
        </is>
      </c>
      <c r="E79" t="n">
        <v>1000</v>
      </c>
      <c r="F79" t="inlineStr">
        <is>
          <t>TN</t>
        </is>
      </c>
      <c r="G79" t="n">
        <v>1417</v>
      </c>
      <c r="H79" t="inlineStr">
        <is>
          <t>Arena Triturada Caliza Malla 4</t>
        </is>
      </c>
    </row>
    <row r="80">
      <c r="A80" t="n">
        <v>10000195</v>
      </c>
      <c r="B80" t="inlineStr">
        <is>
          <t>ZFER</t>
        </is>
      </c>
      <c r="C80" t="inlineStr">
        <is>
          <t>1000</t>
        </is>
      </c>
      <c r="D80" t="inlineStr">
        <is>
          <t>M3</t>
        </is>
      </c>
      <c r="E80" t="n">
        <v>1000</v>
      </c>
      <c r="F80" t="inlineStr">
        <is>
          <t>TN</t>
        </is>
      </c>
      <c r="G80" t="n">
        <v>1201</v>
      </c>
      <c r="H80" t="inlineStr">
        <is>
          <t>GRAVA TRITURADA CALIZA 20 MM - 3/4"–CAPA</t>
        </is>
      </c>
    </row>
    <row r="81">
      <c r="A81" t="n">
        <v>10000200</v>
      </c>
      <c r="B81" t="inlineStr">
        <is>
          <t>ZFER</t>
        </is>
      </c>
      <c r="C81" t="inlineStr">
        <is>
          <t>1000</t>
        </is>
      </c>
      <c r="D81" t="inlineStr">
        <is>
          <t>M3</t>
        </is>
      </c>
      <c r="E81" t="n">
        <v>1000</v>
      </c>
      <c r="F81" t="inlineStr">
        <is>
          <t>TN</t>
        </is>
      </c>
      <c r="G81" t="n">
        <v>826</v>
      </c>
      <c r="H81" t="inlineStr">
        <is>
          <t>Grava Triturada Pomez - Jal 20 mm - 3/4"</t>
        </is>
      </c>
    </row>
    <row r="82">
      <c r="A82" t="n">
        <v>10000201</v>
      </c>
      <c r="B82" t="inlineStr">
        <is>
          <t>ZFER</t>
        </is>
      </c>
      <c r="C82" t="inlineStr">
        <is>
          <t>1000</t>
        </is>
      </c>
      <c r="D82" t="inlineStr">
        <is>
          <t>M3</t>
        </is>
      </c>
      <c r="E82" t="n">
        <v>1000</v>
      </c>
      <c r="F82" t="inlineStr">
        <is>
          <t>TN</t>
        </is>
      </c>
      <c r="G82" t="n">
        <v>1380</v>
      </c>
      <c r="H82" t="inlineStr">
        <is>
          <t>Arena Clasificada Río Malla 4</t>
        </is>
      </c>
    </row>
    <row r="83">
      <c r="A83" t="n">
        <v>10000206</v>
      </c>
      <c r="B83" t="inlineStr">
        <is>
          <t>ZFER</t>
        </is>
      </c>
      <c r="C83" t="inlineStr">
        <is>
          <t>1000</t>
        </is>
      </c>
      <c r="D83" t="inlineStr">
        <is>
          <t>M3</t>
        </is>
      </c>
      <c r="E83" t="n">
        <v>1000</v>
      </c>
      <c r="F83" t="inlineStr">
        <is>
          <t>TN</t>
        </is>
      </c>
      <c r="G83" t="n">
        <v>1249</v>
      </c>
      <c r="H83" t="inlineStr">
        <is>
          <t>Tepetate Triturado Tierra NA</t>
        </is>
      </c>
    </row>
    <row r="84">
      <c r="A84" t="n">
        <v>10000211</v>
      </c>
      <c r="B84" t="inlineStr">
        <is>
          <t>ZFER</t>
        </is>
      </c>
      <c r="C84" t="inlineStr">
        <is>
          <t>1000</t>
        </is>
      </c>
      <c r="D84" t="inlineStr">
        <is>
          <t>M3</t>
        </is>
      </c>
      <c r="E84" t="n">
        <v>1000</v>
      </c>
      <c r="F84" t="inlineStr">
        <is>
          <t>TN</t>
        </is>
      </c>
      <c r="G84" t="n">
        <v>1507</v>
      </c>
      <c r="H84" t="inlineStr">
        <is>
          <t>Grava Clasificada Río 20 mm - 3/4"</t>
        </is>
      </c>
    </row>
    <row r="85">
      <c r="A85" t="n">
        <v>10000213</v>
      </c>
      <c r="B85" t="inlineStr">
        <is>
          <t>ZFER</t>
        </is>
      </c>
      <c r="C85" t="inlineStr">
        <is>
          <t>1000</t>
        </is>
      </c>
      <c r="D85" t="inlineStr">
        <is>
          <t>M3</t>
        </is>
      </c>
      <c r="E85" t="n">
        <v>1000</v>
      </c>
      <c r="F85" t="inlineStr">
        <is>
          <t>TN</t>
        </is>
      </c>
      <c r="G85" t="n">
        <v>1450</v>
      </c>
      <c r="H85" t="inlineStr">
        <is>
          <t>Arena Clasificada Río Malla 4</t>
        </is>
      </c>
    </row>
    <row r="86">
      <c r="A86" t="n">
        <v>10000219</v>
      </c>
      <c r="B86" t="inlineStr">
        <is>
          <t>ZFER</t>
        </is>
      </c>
      <c r="C86" t="inlineStr">
        <is>
          <t>1000</t>
        </is>
      </c>
      <c r="D86" t="inlineStr">
        <is>
          <t>M3</t>
        </is>
      </c>
      <c r="E86" t="n">
        <v>1000</v>
      </c>
      <c r="F86" t="inlineStr">
        <is>
          <t>TN</t>
        </is>
      </c>
      <c r="G86" t="n">
        <v>1500</v>
      </c>
      <c r="H86" t="inlineStr">
        <is>
          <t>No Clasificado Caliza 1 1/2"" a Finos"</t>
        </is>
      </c>
    </row>
    <row r="87">
      <c r="A87" t="n">
        <v>10000223</v>
      </c>
      <c r="B87" t="inlineStr">
        <is>
          <t>ZFER</t>
        </is>
      </c>
      <c r="C87" t="inlineStr">
        <is>
          <t>1000</t>
        </is>
      </c>
      <c r="D87" t="inlineStr">
        <is>
          <t>M3</t>
        </is>
      </c>
      <c r="E87" t="n">
        <v>1000</v>
      </c>
      <c r="F87" t="inlineStr">
        <is>
          <t>TN</t>
        </is>
      </c>
      <c r="G87" t="n">
        <v>1440</v>
      </c>
      <c r="H87" t="inlineStr">
        <is>
          <t>Grava Clasificada Río  20 mm - 3/4"</t>
        </is>
      </c>
    </row>
    <row r="88">
      <c r="A88" t="n">
        <v>10000229</v>
      </c>
      <c r="B88" t="inlineStr">
        <is>
          <t>ZFER</t>
        </is>
      </c>
      <c r="C88" t="inlineStr">
        <is>
          <t>1000</t>
        </is>
      </c>
      <c r="D88" t="inlineStr">
        <is>
          <t>M3</t>
        </is>
      </c>
      <c r="E88" t="n">
        <v>1000</v>
      </c>
      <c r="F88" t="inlineStr">
        <is>
          <t>TN</t>
        </is>
      </c>
      <c r="G88" t="n">
        <v>1522</v>
      </c>
      <c r="H88" t="inlineStr">
        <is>
          <t>Grava Triturada Basalto  10 mm - 3/8"</t>
        </is>
      </c>
    </row>
    <row r="89">
      <c r="A89" t="n">
        <v>10000231</v>
      </c>
      <c r="B89" t="inlineStr">
        <is>
          <t>ZFER</t>
        </is>
      </c>
      <c r="C89" t="inlineStr">
        <is>
          <t>1000</t>
        </is>
      </c>
      <c r="D89" t="inlineStr">
        <is>
          <t>M3</t>
        </is>
      </c>
      <c r="E89" t="n">
        <v>1000</v>
      </c>
      <c r="F89" t="inlineStr">
        <is>
          <t>TN</t>
        </is>
      </c>
      <c r="G89" t="n">
        <v>1565</v>
      </c>
      <c r="H89" t="inlineStr">
        <is>
          <t>Grava Triturada Basalto 20 mm - 3/4"</t>
        </is>
      </c>
    </row>
    <row r="90">
      <c r="A90" t="n">
        <v>10000233</v>
      </c>
      <c r="B90" t="inlineStr">
        <is>
          <t>ZFER</t>
        </is>
      </c>
      <c r="C90" t="inlineStr">
        <is>
          <t>1000</t>
        </is>
      </c>
      <c r="D90" t="inlineStr">
        <is>
          <t>M3</t>
        </is>
      </c>
      <c r="E90" t="n">
        <v>1000</v>
      </c>
      <c r="F90" t="inlineStr">
        <is>
          <t>TN</t>
        </is>
      </c>
      <c r="G90" t="n">
        <v>1456</v>
      </c>
      <c r="H90" t="inlineStr">
        <is>
          <t>Grava Triturada Basalto  40 mm - 1 1/2"</t>
        </is>
      </c>
    </row>
    <row r="91">
      <c r="A91" t="n">
        <v>10000234</v>
      </c>
      <c r="B91" t="inlineStr">
        <is>
          <t>ZFER</t>
        </is>
      </c>
      <c r="C91" t="inlineStr">
        <is>
          <t>1000</t>
        </is>
      </c>
      <c r="D91" t="inlineStr">
        <is>
          <t>M3</t>
        </is>
      </c>
      <c r="E91" t="n">
        <v>1000</v>
      </c>
      <c r="F91" t="inlineStr">
        <is>
          <t>TN</t>
        </is>
      </c>
      <c r="G91" t="n">
        <v>1779</v>
      </c>
      <c r="H91" t="inlineStr">
        <is>
          <t>Arena Triturada Basalto  Malla 4</t>
        </is>
      </c>
    </row>
    <row r="92">
      <c r="A92" t="n">
        <v>10000235</v>
      </c>
      <c r="B92" t="inlineStr">
        <is>
          <t>ZFER</t>
        </is>
      </c>
      <c r="C92" t="inlineStr">
        <is>
          <t>1000</t>
        </is>
      </c>
      <c r="D92" t="inlineStr">
        <is>
          <t>M3</t>
        </is>
      </c>
      <c r="E92" t="n">
        <v>1000</v>
      </c>
      <c r="F92" t="inlineStr">
        <is>
          <t>TN</t>
        </is>
      </c>
      <c r="G92" t="n">
        <v>1515</v>
      </c>
      <c r="H92" t="inlineStr">
        <is>
          <t>Arena Triturada Basalto  Malla 4</t>
        </is>
      </c>
    </row>
    <row r="93">
      <c r="A93" t="n">
        <v>10000236</v>
      </c>
      <c r="B93" t="inlineStr">
        <is>
          <t>ZFER</t>
        </is>
      </c>
      <c r="C93" t="inlineStr">
        <is>
          <t>1000</t>
        </is>
      </c>
      <c r="D93" t="inlineStr">
        <is>
          <t>M3</t>
        </is>
      </c>
      <c r="E93" t="n">
        <v>1000</v>
      </c>
      <c r="F93" t="inlineStr">
        <is>
          <t>TN</t>
        </is>
      </c>
      <c r="G93" t="n">
        <v>1410</v>
      </c>
      <c r="H93" t="inlineStr">
        <is>
          <t>Grava Triturada Caliza 10 mm - 3/8"</t>
        </is>
      </c>
    </row>
    <row r="94">
      <c r="A94" t="n">
        <v>10000237</v>
      </c>
      <c r="B94" t="inlineStr">
        <is>
          <t>ZFER</t>
        </is>
      </c>
      <c r="C94" t="inlineStr">
        <is>
          <t>1000</t>
        </is>
      </c>
      <c r="D94" t="inlineStr">
        <is>
          <t>M3</t>
        </is>
      </c>
      <c r="E94" t="n">
        <v>1000</v>
      </c>
      <c r="F94" t="inlineStr">
        <is>
          <t>TN</t>
        </is>
      </c>
      <c r="G94" t="n">
        <v>1562</v>
      </c>
      <c r="H94" t="inlineStr">
        <is>
          <t>Grava Triturada Caliza 10 mm - 3/8"</t>
        </is>
      </c>
    </row>
    <row r="95">
      <c r="A95" t="n">
        <v>10000238</v>
      </c>
      <c r="B95" t="inlineStr">
        <is>
          <t>ZFER</t>
        </is>
      </c>
      <c r="C95" t="inlineStr">
        <is>
          <t>1000</t>
        </is>
      </c>
      <c r="D95" t="inlineStr">
        <is>
          <t>M3</t>
        </is>
      </c>
      <c r="E95" t="n">
        <v>1000</v>
      </c>
      <c r="F95" t="inlineStr">
        <is>
          <t>TN</t>
        </is>
      </c>
      <c r="G95" t="n">
        <v>1500</v>
      </c>
      <c r="H95" t="inlineStr">
        <is>
          <t>Grava Triturada Caliza 10 mm - 3/8"</t>
        </is>
      </c>
    </row>
    <row r="96">
      <c r="A96" t="n">
        <v>10000239</v>
      </c>
      <c r="B96" t="inlineStr">
        <is>
          <t>ZFER</t>
        </is>
      </c>
      <c r="C96" t="inlineStr">
        <is>
          <t>1000</t>
        </is>
      </c>
      <c r="D96" t="inlineStr">
        <is>
          <t>M3</t>
        </is>
      </c>
      <c r="E96" t="n">
        <v>1000</v>
      </c>
      <c r="F96" t="inlineStr">
        <is>
          <t>TN</t>
        </is>
      </c>
      <c r="G96" t="n">
        <v>1400</v>
      </c>
      <c r="H96" t="inlineStr">
        <is>
          <t>Grava Triturada Caliza 20 mm - 3/4"</t>
        </is>
      </c>
    </row>
    <row r="97">
      <c r="A97" t="n">
        <v>10000240</v>
      </c>
      <c r="B97" t="inlineStr">
        <is>
          <t>ZFER</t>
        </is>
      </c>
      <c r="C97" t="inlineStr">
        <is>
          <t>1000</t>
        </is>
      </c>
      <c r="D97" t="inlineStr">
        <is>
          <t>M3</t>
        </is>
      </c>
      <c r="E97" t="n">
        <v>1000</v>
      </c>
      <c r="F97" t="inlineStr">
        <is>
          <t>TN</t>
        </is>
      </c>
      <c r="G97" t="n">
        <v>1462</v>
      </c>
      <c r="H97" t="inlineStr">
        <is>
          <t>Grava Triturada Caliza 20 mm - 3/4"</t>
        </is>
      </c>
    </row>
    <row r="98">
      <c r="A98" t="n">
        <v>10000241</v>
      </c>
      <c r="B98" t="inlineStr">
        <is>
          <t>ZFER</t>
        </is>
      </c>
      <c r="C98" t="inlineStr">
        <is>
          <t>1000</t>
        </is>
      </c>
      <c r="D98" t="inlineStr">
        <is>
          <t>M3</t>
        </is>
      </c>
      <c r="E98" t="n">
        <v>1000</v>
      </c>
      <c r="F98" t="inlineStr">
        <is>
          <t>TN</t>
        </is>
      </c>
      <c r="G98" t="n">
        <v>1430</v>
      </c>
      <c r="H98" t="inlineStr">
        <is>
          <t>Grava Triturada Caliza 20 mm - 3/4"</t>
        </is>
      </c>
    </row>
    <row r="99">
      <c r="A99" t="n">
        <v>10000242</v>
      </c>
      <c r="B99" t="inlineStr">
        <is>
          <t>ZFER</t>
        </is>
      </c>
      <c r="C99" t="inlineStr">
        <is>
          <t>1000</t>
        </is>
      </c>
      <c r="D99" t="inlineStr">
        <is>
          <t>M3</t>
        </is>
      </c>
      <c r="E99" t="n">
        <v>1000</v>
      </c>
      <c r="F99" t="inlineStr">
        <is>
          <t>TN</t>
        </is>
      </c>
      <c r="G99" t="n">
        <v>1473</v>
      </c>
      <c r="H99" t="inlineStr">
        <is>
          <t>Grava Triturada Caliza 40-20 mm - 1 1/2"</t>
        </is>
      </c>
    </row>
    <row r="100">
      <c r="A100" t="n">
        <v>10000244</v>
      </c>
      <c r="B100" t="inlineStr">
        <is>
          <t>ZFER</t>
        </is>
      </c>
      <c r="C100" t="inlineStr">
        <is>
          <t>1000</t>
        </is>
      </c>
      <c r="D100" t="inlineStr">
        <is>
          <t>M3</t>
        </is>
      </c>
      <c r="E100" t="n">
        <v>1000</v>
      </c>
      <c r="F100" t="inlineStr">
        <is>
          <t>TN</t>
        </is>
      </c>
      <c r="G100" t="n">
        <v>1370</v>
      </c>
      <c r="H100" t="inlineStr">
        <is>
          <t>Grava Triturada Caliza 40 mm - 1 1/2"</t>
        </is>
      </c>
    </row>
    <row r="101">
      <c r="A101" t="n">
        <v>10000245</v>
      </c>
      <c r="B101" t="inlineStr">
        <is>
          <t>ZFER</t>
        </is>
      </c>
      <c r="C101" t="inlineStr">
        <is>
          <t>1000</t>
        </is>
      </c>
      <c r="D101" t="inlineStr">
        <is>
          <t>M3</t>
        </is>
      </c>
      <c r="E101" t="n">
        <v>1000</v>
      </c>
      <c r="F101" t="inlineStr">
        <is>
          <t>TN</t>
        </is>
      </c>
      <c r="G101" t="n">
        <v>1560</v>
      </c>
      <c r="H101" t="inlineStr">
        <is>
          <t>Arena Triturada Caliza Malla 4</t>
        </is>
      </c>
    </row>
    <row r="102">
      <c r="A102" t="n">
        <v>10000247</v>
      </c>
      <c r="B102" t="inlineStr">
        <is>
          <t>ZFER</t>
        </is>
      </c>
      <c r="C102" t="inlineStr">
        <is>
          <t>1000</t>
        </is>
      </c>
      <c r="D102" t="inlineStr">
        <is>
          <t>M3</t>
        </is>
      </c>
      <c r="E102" t="n">
        <v>1000</v>
      </c>
      <c r="F102" t="inlineStr">
        <is>
          <t>TN</t>
        </is>
      </c>
      <c r="G102" t="n">
        <v>1600</v>
      </c>
      <c r="H102" t="inlineStr">
        <is>
          <t>Arena Triturada Caliza Malla 4</t>
        </is>
      </c>
    </row>
    <row r="103">
      <c r="A103" t="n">
        <v>10000248</v>
      </c>
      <c r="B103" t="inlineStr">
        <is>
          <t>ZFER</t>
        </is>
      </c>
      <c r="C103" t="inlineStr">
        <is>
          <t>1000</t>
        </is>
      </c>
      <c r="D103" t="inlineStr">
        <is>
          <t>M3</t>
        </is>
      </c>
      <c r="E103" t="n">
        <v>1000</v>
      </c>
      <c r="F103" t="inlineStr">
        <is>
          <t>TN</t>
        </is>
      </c>
      <c r="G103" t="n">
        <v>1821</v>
      </c>
      <c r="H103" t="inlineStr">
        <is>
          <t>Sub-base Triturado Caliza 1 1/2" a Finos</t>
        </is>
      </c>
    </row>
    <row r="104">
      <c r="A104" t="n">
        <v>10000249</v>
      </c>
      <c r="B104" t="inlineStr">
        <is>
          <t>ZFER</t>
        </is>
      </c>
      <c r="C104" t="inlineStr">
        <is>
          <t>1000</t>
        </is>
      </c>
      <c r="D104" t="inlineStr">
        <is>
          <t>M3</t>
        </is>
      </c>
      <c r="E104" t="n">
        <v>1000</v>
      </c>
      <c r="F104" t="inlineStr">
        <is>
          <t>TN</t>
        </is>
      </c>
      <c r="G104" t="n">
        <v>1800</v>
      </c>
      <c r="H104" t="inlineStr">
        <is>
          <t>Crudo Caliza</t>
        </is>
      </c>
    </row>
    <row r="105">
      <c r="A105" t="n">
        <v>10000252</v>
      </c>
      <c r="B105" t="inlineStr">
        <is>
          <t>ZFER</t>
        </is>
      </c>
      <c r="C105" t="inlineStr">
        <is>
          <t>1000</t>
        </is>
      </c>
      <c r="D105" t="inlineStr">
        <is>
          <t>M3</t>
        </is>
      </c>
      <c r="E105" t="n">
        <v>1000</v>
      </c>
      <c r="F105" t="inlineStr">
        <is>
          <t>TN</t>
        </is>
      </c>
      <c r="G105" t="n">
        <v>1234</v>
      </c>
      <c r="H105" t="inlineStr">
        <is>
          <t>Grava Triturada Andesita 10 mm - 3/8"</t>
        </is>
      </c>
    </row>
    <row r="106">
      <c r="A106" t="n">
        <v>10000253</v>
      </c>
      <c r="B106" t="inlineStr">
        <is>
          <t>ZFER</t>
        </is>
      </c>
      <c r="C106" t="inlineStr">
        <is>
          <t>1000</t>
        </is>
      </c>
      <c r="D106" t="inlineStr">
        <is>
          <t>M3</t>
        </is>
      </c>
      <c r="E106" t="n">
        <v>1000</v>
      </c>
      <c r="F106" t="inlineStr">
        <is>
          <t>TN</t>
        </is>
      </c>
      <c r="G106" t="n">
        <v>1385</v>
      </c>
      <c r="H106" t="inlineStr">
        <is>
          <t>Grava Triturada Andesita 20 mm - 3/4"</t>
        </is>
      </c>
    </row>
    <row r="107">
      <c r="A107" t="n">
        <v>10000255</v>
      </c>
      <c r="B107" t="inlineStr">
        <is>
          <t>ZFER</t>
        </is>
      </c>
      <c r="C107" t="inlineStr">
        <is>
          <t>1000</t>
        </is>
      </c>
      <c r="D107" t="inlineStr">
        <is>
          <t>M3</t>
        </is>
      </c>
      <c r="E107" t="n">
        <v>1000</v>
      </c>
      <c r="F107" t="inlineStr">
        <is>
          <t>TN</t>
        </is>
      </c>
      <c r="G107" t="n">
        <v>1535</v>
      </c>
      <c r="H107" t="inlineStr">
        <is>
          <t>Arena Triturada Andesita Malla 4</t>
        </is>
      </c>
    </row>
    <row r="108">
      <c r="A108" t="n">
        <v>10000257</v>
      </c>
      <c r="B108" t="inlineStr">
        <is>
          <t>ZFER</t>
        </is>
      </c>
      <c r="C108" t="inlineStr">
        <is>
          <t>1000</t>
        </is>
      </c>
      <c r="D108" t="inlineStr">
        <is>
          <t>M3</t>
        </is>
      </c>
      <c r="E108" t="n">
        <v>1000</v>
      </c>
      <c r="F108" t="inlineStr">
        <is>
          <t>TN</t>
        </is>
      </c>
      <c r="G108" t="n">
        <v>1616</v>
      </c>
      <c r="H108" t="inlineStr">
        <is>
          <t>Desperdicio Triturado Caliza</t>
        </is>
      </c>
    </row>
    <row r="109">
      <c r="A109" t="n">
        <v>10000259</v>
      </c>
      <c r="B109" t="inlineStr">
        <is>
          <t>ZFER</t>
        </is>
      </c>
      <c r="C109" t="inlineStr">
        <is>
          <t>1000</t>
        </is>
      </c>
      <c r="D109" t="inlineStr">
        <is>
          <t>M3</t>
        </is>
      </c>
      <c r="E109" t="n">
        <v>1000</v>
      </c>
      <c r="F109" t="inlineStr">
        <is>
          <t>TN</t>
        </is>
      </c>
      <c r="G109" t="n">
        <v>1739</v>
      </c>
      <c r="H109" t="inlineStr">
        <is>
          <t>Arena Triturada Caliza Malla 4 Lavado</t>
        </is>
      </c>
    </row>
    <row r="110">
      <c r="A110" t="n">
        <v>10000260</v>
      </c>
      <c r="B110" t="inlineStr">
        <is>
          <t>ZFER</t>
        </is>
      </c>
      <c r="C110" t="inlineStr">
        <is>
          <t>1000</t>
        </is>
      </c>
      <c r="D110" t="inlineStr">
        <is>
          <t>M3</t>
        </is>
      </c>
      <c r="E110" t="n">
        <v>1000</v>
      </c>
      <c r="F110" t="inlineStr">
        <is>
          <t>TN</t>
        </is>
      </c>
      <c r="G110" t="n">
        <v>1720</v>
      </c>
      <c r="H110" t="inlineStr">
        <is>
          <t>Arena Triturada Caliza Malla 5</t>
        </is>
      </c>
    </row>
    <row r="111">
      <c r="A111" t="n">
        <v>10000261</v>
      </c>
      <c r="B111" t="inlineStr">
        <is>
          <t>ZFER</t>
        </is>
      </c>
      <c r="C111" t="inlineStr">
        <is>
          <t>1000</t>
        </is>
      </c>
      <c r="D111" t="inlineStr">
        <is>
          <t>M3</t>
        </is>
      </c>
      <c r="E111" t="n">
        <v>1000</v>
      </c>
      <c r="F111" t="inlineStr">
        <is>
          <t>TN</t>
        </is>
      </c>
      <c r="G111" t="n">
        <v>1496</v>
      </c>
      <c r="H111" t="inlineStr">
        <is>
          <t>Grava Triturada Caliza 13 mm - 1/2"</t>
        </is>
      </c>
    </row>
    <row r="112">
      <c r="A112" t="n">
        <v>10000262</v>
      </c>
      <c r="B112" t="inlineStr">
        <is>
          <t>ZFER</t>
        </is>
      </c>
      <c r="C112" t="inlineStr">
        <is>
          <t>1000</t>
        </is>
      </c>
      <c r="D112" t="inlineStr">
        <is>
          <t>M3</t>
        </is>
      </c>
      <c r="E112" t="n">
        <v>1000</v>
      </c>
      <c r="F112" t="inlineStr">
        <is>
          <t>TN</t>
        </is>
      </c>
      <c r="G112" t="n">
        <v>1821</v>
      </c>
      <c r="H112" t="inlineStr">
        <is>
          <t>Base H Triturada Caliza 1 1/2" a Finos</t>
        </is>
      </c>
    </row>
    <row r="113">
      <c r="A113" t="n">
        <v>10000265</v>
      </c>
      <c r="B113" t="inlineStr">
        <is>
          <t>ZFER</t>
        </is>
      </c>
      <c r="C113" t="inlineStr">
        <is>
          <t>1000</t>
        </is>
      </c>
      <c r="D113" t="inlineStr">
        <is>
          <t>M3</t>
        </is>
      </c>
      <c r="E113" t="n">
        <v>1000</v>
      </c>
      <c r="F113" t="inlineStr">
        <is>
          <t>TN</t>
        </is>
      </c>
      <c r="G113" t="n">
        <v>1700</v>
      </c>
      <c r="H113" t="inlineStr">
        <is>
          <t>Crudo Andesita</t>
        </is>
      </c>
    </row>
    <row r="114">
      <c r="A114" t="n">
        <v>10000266</v>
      </c>
      <c r="B114" t="inlineStr">
        <is>
          <t>ZFER</t>
        </is>
      </c>
      <c r="C114" t="inlineStr">
        <is>
          <t>1000</t>
        </is>
      </c>
      <c r="D114" t="inlineStr">
        <is>
          <t>M3</t>
        </is>
      </c>
      <c r="E114" t="n">
        <v>1000</v>
      </c>
      <c r="F114" t="inlineStr">
        <is>
          <t>TN</t>
        </is>
      </c>
      <c r="G114" t="n">
        <v>1682</v>
      </c>
      <c r="H114" t="inlineStr">
        <is>
          <t>Arena Triturada Basalto Malla 5</t>
        </is>
      </c>
    </row>
    <row r="115">
      <c r="A115" t="n">
        <v>10000268</v>
      </c>
      <c r="B115" t="inlineStr">
        <is>
          <t>ZFER</t>
        </is>
      </c>
      <c r="C115" t="inlineStr">
        <is>
          <t>1000</t>
        </is>
      </c>
      <c r="D115" t="inlineStr">
        <is>
          <t>M3</t>
        </is>
      </c>
      <c r="E115" t="n">
        <v>1000</v>
      </c>
      <c r="F115" t="inlineStr">
        <is>
          <t>TN</t>
        </is>
      </c>
      <c r="G115" t="n">
        <v>1720</v>
      </c>
      <c r="H115" t="inlineStr">
        <is>
          <t>Arena Triturada Caliza Malla 5 Lavado</t>
        </is>
      </c>
    </row>
    <row r="116">
      <c r="A116" t="n">
        <v>10000269</v>
      </c>
      <c r="B116" t="inlineStr">
        <is>
          <t>ZFER</t>
        </is>
      </c>
      <c r="C116" t="inlineStr">
        <is>
          <t>1000</t>
        </is>
      </c>
      <c r="D116" t="inlineStr">
        <is>
          <t>M3</t>
        </is>
      </c>
      <c r="E116" t="n">
        <v>1000</v>
      </c>
      <c r="F116" t="inlineStr">
        <is>
          <t>TN</t>
        </is>
      </c>
      <c r="G116" t="n">
        <v>1423</v>
      </c>
      <c r="H116" t="inlineStr">
        <is>
          <t>Grava Triturada Caliza 13 mm - 1/2"</t>
        </is>
      </c>
    </row>
    <row r="117">
      <c r="A117" t="n">
        <v>10000270</v>
      </c>
      <c r="B117" t="inlineStr">
        <is>
          <t>ZFER</t>
        </is>
      </c>
      <c r="C117" t="inlineStr">
        <is>
          <t>1000</t>
        </is>
      </c>
      <c r="D117" t="inlineStr">
        <is>
          <t>M3</t>
        </is>
      </c>
      <c r="E117" t="n">
        <v>1000</v>
      </c>
      <c r="F117" t="inlineStr">
        <is>
          <t>TN</t>
        </is>
      </c>
      <c r="G117" t="n">
        <v>1490</v>
      </c>
      <c r="H117" t="inlineStr">
        <is>
          <t>Base H Triturada Basalto  1 1/2" a Finos</t>
        </is>
      </c>
    </row>
    <row r="118">
      <c r="A118" t="n">
        <v>10000273</v>
      </c>
      <c r="B118" t="inlineStr">
        <is>
          <t>ZFER</t>
        </is>
      </c>
      <c r="C118" t="inlineStr">
        <is>
          <t>1000</t>
        </is>
      </c>
      <c r="D118" t="inlineStr">
        <is>
          <t>M3</t>
        </is>
      </c>
      <c r="E118" t="n">
        <v>1000</v>
      </c>
      <c r="F118" t="inlineStr">
        <is>
          <t>TN</t>
        </is>
      </c>
      <c r="G118" t="n">
        <v>1690</v>
      </c>
      <c r="H118" t="inlineStr">
        <is>
          <t>Base H Triturada Caliza 3/4" a Finos</t>
        </is>
      </c>
    </row>
    <row r="119">
      <c r="A119" t="n">
        <v>10000274</v>
      </c>
      <c r="B119" t="inlineStr">
        <is>
          <t>ZFER</t>
        </is>
      </c>
      <c r="C119" t="inlineStr">
        <is>
          <t>1000</t>
        </is>
      </c>
      <c r="D119" t="inlineStr">
        <is>
          <t>M3</t>
        </is>
      </c>
      <c r="E119" t="n">
        <v>1000</v>
      </c>
      <c r="F119" t="inlineStr">
        <is>
          <t>TN</t>
        </is>
      </c>
      <c r="G119" t="n">
        <v>1471</v>
      </c>
      <c r="H119" t="inlineStr">
        <is>
          <t>Grava Triturada Basalto  20 mm - 3/4"</t>
        </is>
      </c>
    </row>
    <row r="120">
      <c r="A120" t="n">
        <v>10000275</v>
      </c>
      <c r="B120" t="inlineStr">
        <is>
          <t>ZFER</t>
        </is>
      </c>
      <c r="C120" t="inlineStr">
        <is>
          <t>1000</t>
        </is>
      </c>
      <c r="D120" t="inlineStr">
        <is>
          <t>M3</t>
        </is>
      </c>
      <c r="E120" t="n">
        <v>1000</v>
      </c>
      <c r="F120" t="inlineStr">
        <is>
          <t>TN</t>
        </is>
      </c>
      <c r="G120" t="n">
        <v>1560</v>
      </c>
      <c r="H120" t="inlineStr">
        <is>
          <t>Sello Triturado Caliza 6MM - 1/4"</t>
        </is>
      </c>
    </row>
    <row r="121">
      <c r="A121" t="n">
        <v>10000276</v>
      </c>
      <c r="B121" t="inlineStr">
        <is>
          <t>ZFER</t>
        </is>
      </c>
      <c r="C121" t="inlineStr">
        <is>
          <t>1000</t>
        </is>
      </c>
      <c r="D121" t="inlineStr">
        <is>
          <t>M3</t>
        </is>
      </c>
      <c r="E121" t="n">
        <v>1000</v>
      </c>
      <c r="F121" t="inlineStr">
        <is>
          <t>TN</t>
        </is>
      </c>
      <c r="G121" t="n">
        <v>1690</v>
      </c>
      <c r="H121" t="inlineStr">
        <is>
          <t>Base H Triturada Caliza 1 1/2" a Finos</t>
        </is>
      </c>
    </row>
    <row r="122">
      <c r="A122" t="n">
        <v>10000281</v>
      </c>
      <c r="B122" t="inlineStr">
        <is>
          <t>ZFER</t>
        </is>
      </c>
      <c r="C122" t="inlineStr">
        <is>
          <t>1000</t>
        </is>
      </c>
      <c r="D122" t="inlineStr">
        <is>
          <t>M3</t>
        </is>
      </c>
      <c r="E122" t="n">
        <v>1000</v>
      </c>
      <c r="F122" t="inlineStr">
        <is>
          <t>TN</t>
        </is>
      </c>
      <c r="G122" t="n">
        <v>1629</v>
      </c>
      <c r="H122" t="inlineStr">
        <is>
          <t>Arena Triturada Caliza Malla 8</t>
        </is>
      </c>
    </row>
    <row r="123">
      <c r="A123" t="n">
        <v>10000282</v>
      </c>
      <c r="B123" t="inlineStr">
        <is>
          <t>ZFER</t>
        </is>
      </c>
      <c r="C123" t="inlineStr">
        <is>
          <t>1000</t>
        </is>
      </c>
      <c r="D123" t="inlineStr">
        <is>
          <t>M3</t>
        </is>
      </c>
      <c r="E123" t="n">
        <v>1000</v>
      </c>
      <c r="F123" t="inlineStr">
        <is>
          <t>TN</t>
        </is>
      </c>
      <c r="G123" t="n">
        <v>1610</v>
      </c>
      <c r="H123" t="inlineStr">
        <is>
          <t>Arena Triturada Caliza Malla 4</t>
        </is>
      </c>
    </row>
    <row r="124">
      <c r="A124" t="n">
        <v>10000283</v>
      </c>
      <c r="B124" t="inlineStr">
        <is>
          <t>ZFER</t>
        </is>
      </c>
      <c r="C124" t="inlineStr">
        <is>
          <t>1000</t>
        </is>
      </c>
      <c r="D124" t="inlineStr">
        <is>
          <t>M3</t>
        </is>
      </c>
      <c r="E124" t="n">
        <v>1000</v>
      </c>
      <c r="F124" t="inlineStr">
        <is>
          <t>TN</t>
        </is>
      </c>
      <c r="G124" t="n">
        <v>1540</v>
      </c>
      <c r="H124" t="inlineStr">
        <is>
          <t>Grava Triturada Caliza 20 mm - 3/4"</t>
        </is>
      </c>
    </row>
    <row r="125">
      <c r="A125" t="n">
        <v>10000284</v>
      </c>
      <c r="B125" t="inlineStr">
        <is>
          <t>ZFER</t>
        </is>
      </c>
      <c r="C125" t="inlineStr">
        <is>
          <t>1000</t>
        </is>
      </c>
      <c r="D125" t="inlineStr">
        <is>
          <t>M3</t>
        </is>
      </c>
      <c r="E125" t="n">
        <v>1000</v>
      </c>
      <c r="F125" t="inlineStr">
        <is>
          <t>TN</t>
        </is>
      </c>
      <c r="G125" t="n">
        <v>1429</v>
      </c>
      <c r="H125" t="inlineStr">
        <is>
          <t>Grava Triturada Basalto  20 mm - 3/4"</t>
        </is>
      </c>
    </row>
    <row r="126">
      <c r="A126" t="n">
        <v>10000285</v>
      </c>
      <c r="B126" t="inlineStr">
        <is>
          <t>ZFER</t>
        </is>
      </c>
      <c r="C126" t="inlineStr">
        <is>
          <t>1000</t>
        </is>
      </c>
      <c r="D126" t="inlineStr">
        <is>
          <t>M3</t>
        </is>
      </c>
      <c r="E126" t="n">
        <v>1000</v>
      </c>
      <c r="F126" t="inlineStr">
        <is>
          <t>TN</t>
        </is>
      </c>
      <c r="G126" t="n">
        <v>1460</v>
      </c>
      <c r="H126" t="inlineStr">
        <is>
          <t>Grava Triturada Basalto  10 mm - 3/8"</t>
        </is>
      </c>
    </row>
    <row r="127">
      <c r="A127" t="n">
        <v>10000286</v>
      </c>
      <c r="B127" t="inlineStr">
        <is>
          <t>ZFER</t>
        </is>
      </c>
      <c r="C127" t="inlineStr">
        <is>
          <t>1000</t>
        </is>
      </c>
      <c r="D127" t="inlineStr">
        <is>
          <t>M3</t>
        </is>
      </c>
      <c r="E127" t="n">
        <v>1000</v>
      </c>
      <c r="F127" t="inlineStr">
        <is>
          <t>TN</t>
        </is>
      </c>
      <c r="G127" t="n">
        <v>1591</v>
      </c>
      <c r="H127" t="inlineStr">
        <is>
          <t>Arena Triturada Caliza Malla 8</t>
        </is>
      </c>
    </row>
    <row r="128">
      <c r="A128" t="n">
        <v>10000287</v>
      </c>
      <c r="B128" t="inlineStr">
        <is>
          <t>ZFER</t>
        </is>
      </c>
      <c r="C128" t="inlineStr">
        <is>
          <t>1000</t>
        </is>
      </c>
      <c r="D128" t="inlineStr">
        <is>
          <t>M3</t>
        </is>
      </c>
      <c r="E128" t="n">
        <v>1000</v>
      </c>
      <c r="F128" t="inlineStr">
        <is>
          <t>TN</t>
        </is>
      </c>
      <c r="G128" t="n">
        <v>1440</v>
      </c>
      <c r="H128" t="inlineStr">
        <is>
          <t>Grava Triturada Basalto  40 mm - 1 1/2"</t>
        </is>
      </c>
    </row>
    <row r="129">
      <c r="A129" t="n">
        <v>10000289</v>
      </c>
      <c r="B129" t="inlineStr">
        <is>
          <t>ZFER</t>
        </is>
      </c>
      <c r="C129" t="inlineStr">
        <is>
          <t>1000</t>
        </is>
      </c>
      <c r="D129" t="inlineStr">
        <is>
          <t>M3</t>
        </is>
      </c>
      <c r="E129" t="n">
        <v>1000</v>
      </c>
      <c r="F129" t="inlineStr">
        <is>
          <t>TN</t>
        </is>
      </c>
      <c r="G129" t="n">
        <v>1550</v>
      </c>
      <c r="H129" t="inlineStr">
        <is>
          <t>Desperdicio Triturado Basalto</t>
        </is>
      </c>
    </row>
    <row r="130">
      <c r="A130" t="n">
        <v>10000290</v>
      </c>
      <c r="B130" t="inlineStr">
        <is>
          <t>ZFER</t>
        </is>
      </c>
      <c r="C130" t="inlineStr">
        <is>
          <t>1000</t>
        </is>
      </c>
      <c r="D130" t="inlineStr">
        <is>
          <t>M3</t>
        </is>
      </c>
      <c r="E130" t="n">
        <v>1000</v>
      </c>
      <c r="F130" t="inlineStr">
        <is>
          <t>TN</t>
        </is>
      </c>
      <c r="G130" t="n">
        <v>1372</v>
      </c>
      <c r="H130" t="inlineStr">
        <is>
          <t>Polvos Triturado Basalto 3/4" a Finos</t>
        </is>
      </c>
    </row>
    <row r="131">
      <c r="A131" t="n">
        <v>10000293</v>
      </c>
      <c r="B131" t="inlineStr">
        <is>
          <t>ZFER</t>
        </is>
      </c>
      <c r="C131" t="inlineStr">
        <is>
          <t>1000</t>
        </is>
      </c>
      <c r="D131" t="inlineStr">
        <is>
          <t>M3</t>
        </is>
      </c>
      <c r="E131" t="n">
        <v>1000</v>
      </c>
      <c r="F131" t="inlineStr">
        <is>
          <t>TN</t>
        </is>
      </c>
      <c r="G131" t="n">
        <v>1555</v>
      </c>
      <c r="H131" t="inlineStr">
        <is>
          <t>Grava Triturada Basalto 10mm - 3/8</t>
        </is>
      </c>
    </row>
    <row r="132">
      <c r="A132" t="n">
        <v>10000296</v>
      </c>
      <c r="B132" t="inlineStr">
        <is>
          <t>ZFER</t>
        </is>
      </c>
      <c r="C132" t="inlineStr">
        <is>
          <t>1000</t>
        </is>
      </c>
      <c r="D132" t="inlineStr">
        <is>
          <t>M3</t>
        </is>
      </c>
      <c r="E132" t="n">
        <v>1000</v>
      </c>
      <c r="F132" t="inlineStr">
        <is>
          <t>TN</t>
        </is>
      </c>
      <c r="G132" t="n">
        <v>1380</v>
      </c>
      <c r="H132" t="inlineStr">
        <is>
          <t>Balasto Triturado Basalto  150 mm - 6"</t>
        </is>
      </c>
    </row>
    <row r="133">
      <c r="A133" t="n">
        <v>10000299</v>
      </c>
      <c r="B133" t="inlineStr">
        <is>
          <t>ZFER</t>
        </is>
      </c>
      <c r="C133" t="inlineStr">
        <is>
          <t>1000</t>
        </is>
      </c>
      <c r="D133" t="inlineStr">
        <is>
          <t>M3</t>
        </is>
      </c>
      <c r="E133" t="n">
        <v>1000</v>
      </c>
      <c r="F133" t="inlineStr">
        <is>
          <t>TN</t>
        </is>
      </c>
      <c r="G133" t="n">
        <v>1880</v>
      </c>
      <c r="H133" t="inlineStr">
        <is>
          <t>No Clasificado Triturado Caliza</t>
        </is>
      </c>
    </row>
    <row r="134">
      <c r="A134" t="n">
        <v>10000300</v>
      </c>
      <c r="B134" t="inlineStr">
        <is>
          <t>ZFER</t>
        </is>
      </c>
      <c r="C134" t="inlineStr">
        <is>
          <t>1000</t>
        </is>
      </c>
      <c r="D134" t="inlineStr">
        <is>
          <t>M3</t>
        </is>
      </c>
      <c r="E134" t="n">
        <v>1000</v>
      </c>
      <c r="F134" t="inlineStr">
        <is>
          <t>TN</t>
        </is>
      </c>
      <c r="G134" t="n">
        <v>1600</v>
      </c>
      <c r="H134" t="inlineStr">
        <is>
          <t>Base H Triturada Basalto  1 1/2" a Finos</t>
        </is>
      </c>
    </row>
    <row r="135">
      <c r="A135" t="n">
        <v>10000301</v>
      </c>
      <c r="B135" t="inlineStr">
        <is>
          <t>ZFER</t>
        </is>
      </c>
      <c r="C135" t="inlineStr">
        <is>
          <t>1000</t>
        </is>
      </c>
      <c r="D135" t="inlineStr">
        <is>
          <t>M3</t>
        </is>
      </c>
      <c r="E135" t="n">
        <v>1000</v>
      </c>
      <c r="F135" t="inlineStr">
        <is>
          <t>TN</t>
        </is>
      </c>
      <c r="G135" t="n">
        <v>1773</v>
      </c>
      <c r="H135" t="inlineStr">
        <is>
          <t>BALASTO DE 3 PULGADAS A FINOS</t>
        </is>
      </c>
    </row>
    <row r="136">
      <c r="A136" t="n">
        <v>10000302</v>
      </c>
      <c r="B136" t="inlineStr">
        <is>
          <t>ZFER</t>
        </is>
      </c>
      <c r="C136" t="inlineStr">
        <is>
          <t>1000</t>
        </is>
      </c>
      <c r="D136" t="inlineStr">
        <is>
          <t>M3</t>
        </is>
      </c>
      <c r="E136" t="n">
        <v>1000</v>
      </c>
      <c r="F136" t="inlineStr">
        <is>
          <t>TN</t>
        </is>
      </c>
      <c r="G136" t="n">
        <v>1290</v>
      </c>
      <c r="H136" t="inlineStr">
        <is>
          <t>Base H Triturada Andesita  1 1/2" a Fino</t>
        </is>
      </c>
    </row>
    <row r="137">
      <c r="A137" t="n">
        <v>10000304</v>
      </c>
      <c r="B137" t="inlineStr">
        <is>
          <t>ZFER</t>
        </is>
      </c>
      <c r="C137" t="inlineStr">
        <is>
          <t>1000</t>
        </is>
      </c>
      <c r="D137" t="inlineStr">
        <is>
          <t>M3</t>
        </is>
      </c>
      <c r="E137" t="n">
        <v>1000</v>
      </c>
      <c r="F137" t="inlineStr">
        <is>
          <t>TN</t>
        </is>
      </c>
      <c r="G137" t="n">
        <v>1357</v>
      </c>
      <c r="H137" t="inlineStr">
        <is>
          <t>Grava Triturada Andesita 40 mm - 1 1/2"</t>
        </is>
      </c>
    </row>
    <row r="138">
      <c r="A138" t="n">
        <v>10000305</v>
      </c>
      <c r="B138" t="inlineStr">
        <is>
          <t>ZFER</t>
        </is>
      </c>
      <c r="C138" t="inlineStr">
        <is>
          <t>1000</t>
        </is>
      </c>
      <c r="D138" t="inlineStr">
        <is>
          <t>M3</t>
        </is>
      </c>
      <c r="E138" t="n">
        <v>1000</v>
      </c>
      <c r="F138" t="inlineStr">
        <is>
          <t>TN</t>
        </is>
      </c>
      <c r="G138" t="n">
        <v>1300</v>
      </c>
      <c r="H138" t="inlineStr">
        <is>
          <t>Tepetate Clasificado Tierra</t>
        </is>
      </c>
    </row>
    <row r="139">
      <c r="A139" t="n">
        <v>10000306</v>
      </c>
      <c r="B139" t="inlineStr">
        <is>
          <t>ZFER</t>
        </is>
      </c>
      <c r="C139" t="inlineStr">
        <is>
          <t>1000</t>
        </is>
      </c>
      <c r="D139" t="inlineStr">
        <is>
          <t>M3</t>
        </is>
      </c>
      <c r="E139" t="n">
        <v>1000</v>
      </c>
      <c r="F139" t="inlineStr">
        <is>
          <t>TN</t>
        </is>
      </c>
      <c r="G139" t="n">
        <v>1520</v>
      </c>
      <c r="H139" t="inlineStr">
        <is>
          <t>Grava Triturada Caliza 10 mm - 3/8"</t>
        </is>
      </c>
    </row>
    <row r="140">
      <c r="A140" t="n">
        <v>10000307</v>
      </c>
      <c r="B140" t="inlineStr">
        <is>
          <t>ZFER</t>
        </is>
      </c>
      <c r="C140" t="inlineStr">
        <is>
          <t>1000</t>
        </is>
      </c>
      <c r="D140" t="inlineStr">
        <is>
          <t>M3</t>
        </is>
      </c>
      <c r="E140" t="n">
        <v>1000</v>
      </c>
      <c r="F140" t="inlineStr">
        <is>
          <t>TN</t>
        </is>
      </c>
      <c r="G140" t="n">
        <v>1621</v>
      </c>
      <c r="H140" t="inlineStr">
        <is>
          <t>Arena Triturada Basalto  Malla 8</t>
        </is>
      </c>
    </row>
    <row r="141">
      <c r="A141" t="n">
        <v>10000308</v>
      </c>
      <c r="B141" t="inlineStr">
        <is>
          <t>ZFER</t>
        </is>
      </c>
      <c r="C141" t="inlineStr">
        <is>
          <t>1000</t>
        </is>
      </c>
      <c r="D141" t="inlineStr">
        <is>
          <t>M3</t>
        </is>
      </c>
      <c r="E141" t="n">
        <v>1000</v>
      </c>
      <c r="F141" t="inlineStr">
        <is>
          <t>TN</t>
        </is>
      </c>
      <c r="G141" t="n">
        <v>1446</v>
      </c>
      <c r="H141" t="inlineStr">
        <is>
          <t>Grava Triturada Caliza 10 mm - 3/8" Lav</t>
        </is>
      </c>
    </row>
    <row r="142">
      <c r="A142" t="n">
        <v>10000309</v>
      </c>
      <c r="B142" t="inlineStr">
        <is>
          <t>ZFER</t>
        </is>
      </c>
      <c r="C142" t="inlineStr">
        <is>
          <t>1000</t>
        </is>
      </c>
      <c r="D142" t="inlineStr">
        <is>
          <t>M3</t>
        </is>
      </c>
      <c r="E142" t="n">
        <v>1000</v>
      </c>
      <c r="F142" t="inlineStr">
        <is>
          <t>TN</t>
        </is>
      </c>
      <c r="G142" t="n">
        <v>1384</v>
      </c>
      <c r="H142" t="inlineStr">
        <is>
          <t>Grava Triturada Caliza 10 mm - 3/8"</t>
        </is>
      </c>
    </row>
    <row r="143">
      <c r="A143" t="n">
        <v>10000310</v>
      </c>
      <c r="B143" t="inlineStr">
        <is>
          <t>ZFER</t>
        </is>
      </c>
      <c r="C143" t="inlineStr">
        <is>
          <t>1000</t>
        </is>
      </c>
      <c r="D143" t="inlineStr">
        <is>
          <t>M3</t>
        </is>
      </c>
      <c r="E143" t="n">
        <v>1000</v>
      </c>
      <c r="F143" t="inlineStr">
        <is>
          <t>TN</t>
        </is>
      </c>
      <c r="G143" t="n">
        <v>1600</v>
      </c>
      <c r="H143" t="inlineStr">
        <is>
          <t>Base H Triturada Caliza 3/4" a Finos</t>
        </is>
      </c>
    </row>
    <row r="144">
      <c r="A144" t="n">
        <v>10000311</v>
      </c>
      <c r="B144" t="inlineStr">
        <is>
          <t>ZFER</t>
        </is>
      </c>
      <c r="C144" t="inlineStr">
        <is>
          <t>1000</t>
        </is>
      </c>
      <c r="D144" t="inlineStr">
        <is>
          <t>M3</t>
        </is>
      </c>
      <c r="E144" t="n">
        <v>1000</v>
      </c>
      <c r="F144" t="inlineStr">
        <is>
          <t>TN</t>
        </is>
      </c>
      <c r="G144" t="n">
        <v>1651</v>
      </c>
      <c r="H144" t="inlineStr">
        <is>
          <t>Arena Triturada Basalto  Malla 4</t>
        </is>
      </c>
    </row>
    <row r="145">
      <c r="A145" t="n">
        <v>10000312</v>
      </c>
      <c r="B145" t="inlineStr">
        <is>
          <t>ZFER</t>
        </is>
      </c>
      <c r="C145" t="inlineStr">
        <is>
          <t>1000</t>
        </is>
      </c>
      <c r="D145" t="inlineStr">
        <is>
          <t>M3</t>
        </is>
      </c>
      <c r="E145" t="n">
        <v>1000</v>
      </c>
      <c r="F145" t="inlineStr">
        <is>
          <t>TN</t>
        </is>
      </c>
      <c r="G145" t="n">
        <v>1350</v>
      </c>
      <c r="H145" t="inlineStr">
        <is>
          <t>Polvos Triturado Basalto 3/8" a Finos</t>
        </is>
      </c>
    </row>
    <row r="146">
      <c r="A146" t="n">
        <v>10000313</v>
      </c>
      <c r="B146" t="inlineStr">
        <is>
          <t>ZFER</t>
        </is>
      </c>
      <c r="C146" t="inlineStr">
        <is>
          <t>1000</t>
        </is>
      </c>
      <c r="D146" t="inlineStr">
        <is>
          <t>M3</t>
        </is>
      </c>
      <c r="E146" t="n">
        <v>1000</v>
      </c>
      <c r="F146" t="inlineStr">
        <is>
          <t>TN</t>
        </is>
      </c>
      <c r="G146" t="n">
        <v>1320</v>
      </c>
      <c r="H146" t="inlineStr">
        <is>
          <t>Grava Triturada Basalto  10 mm - 3/8"</t>
        </is>
      </c>
    </row>
    <row r="147">
      <c r="A147" t="n">
        <v>10000315</v>
      </c>
      <c r="B147" t="inlineStr">
        <is>
          <t>ZFER</t>
        </is>
      </c>
      <c r="C147" t="inlineStr">
        <is>
          <t>1000</t>
        </is>
      </c>
      <c r="D147" t="inlineStr">
        <is>
          <t>M3</t>
        </is>
      </c>
      <c r="E147" t="n">
        <v>1000</v>
      </c>
      <c r="F147" t="inlineStr">
        <is>
          <t>TN</t>
        </is>
      </c>
      <c r="G147" t="n">
        <v>1277</v>
      </c>
      <c r="H147" t="inlineStr">
        <is>
          <t>Grava Triturada Basalto 40 mm - 1 1/2"</t>
        </is>
      </c>
    </row>
    <row r="148">
      <c r="A148" t="n">
        <v>10000317</v>
      </c>
      <c r="B148" t="inlineStr">
        <is>
          <t>ZFER</t>
        </is>
      </c>
      <c r="C148" t="inlineStr">
        <is>
          <t>1000</t>
        </is>
      </c>
      <c r="D148" t="inlineStr">
        <is>
          <t>M3</t>
        </is>
      </c>
      <c r="E148" t="n">
        <v>1000</v>
      </c>
      <c r="F148" t="inlineStr">
        <is>
          <t>TN</t>
        </is>
      </c>
      <c r="G148" t="n">
        <v>1500</v>
      </c>
      <c r="H148" t="inlineStr">
        <is>
          <t>Grava Triturada Caliza 10 mm - 3/8"</t>
        </is>
      </c>
    </row>
    <row r="149">
      <c r="A149" t="n">
        <v>10000318</v>
      </c>
      <c r="B149" t="inlineStr">
        <is>
          <t>ZFER</t>
        </is>
      </c>
      <c r="C149" t="inlineStr">
        <is>
          <t>1000</t>
        </is>
      </c>
      <c r="D149" t="inlineStr">
        <is>
          <t>M3</t>
        </is>
      </c>
      <c r="E149" t="n">
        <v>1000</v>
      </c>
      <c r="F149" t="inlineStr">
        <is>
          <t>TN</t>
        </is>
      </c>
      <c r="G149" t="n">
        <v>1350</v>
      </c>
      <c r="H149" t="inlineStr">
        <is>
          <t>Grava Triturada Caliza 20 mm - 3/4"</t>
        </is>
      </c>
    </row>
    <row r="150">
      <c r="A150" t="n">
        <v>10000319</v>
      </c>
      <c r="B150" t="inlineStr">
        <is>
          <t>ZFER</t>
        </is>
      </c>
      <c r="C150" t="inlineStr">
        <is>
          <t>1000</t>
        </is>
      </c>
      <c r="D150" t="inlineStr">
        <is>
          <t>M3</t>
        </is>
      </c>
      <c r="E150" t="n">
        <v>1000</v>
      </c>
      <c r="F150" t="inlineStr">
        <is>
          <t>TN</t>
        </is>
      </c>
      <c r="G150" t="n">
        <v>1444</v>
      </c>
      <c r="H150" t="inlineStr">
        <is>
          <t>Grava Triturada Caliza 40 mm - 1 1/2"</t>
        </is>
      </c>
    </row>
    <row r="151">
      <c r="A151" t="n">
        <v>10000320</v>
      </c>
      <c r="B151" t="inlineStr">
        <is>
          <t>ZFER</t>
        </is>
      </c>
      <c r="C151" t="inlineStr">
        <is>
          <t>1000</t>
        </is>
      </c>
      <c r="D151" t="inlineStr">
        <is>
          <t>M3</t>
        </is>
      </c>
      <c r="E151" t="n">
        <v>1000</v>
      </c>
      <c r="F151" t="inlineStr">
        <is>
          <t>TN</t>
        </is>
      </c>
      <c r="G151" t="n">
        <v>1512</v>
      </c>
      <c r="H151" t="inlineStr">
        <is>
          <t>Arena Triturada Caliza Malla 4</t>
        </is>
      </c>
    </row>
    <row r="152">
      <c r="A152" t="n">
        <v>10000322</v>
      </c>
      <c r="B152" t="inlineStr">
        <is>
          <t>ZFER</t>
        </is>
      </c>
      <c r="C152" t="inlineStr">
        <is>
          <t>1000</t>
        </is>
      </c>
      <c r="D152" t="inlineStr">
        <is>
          <t>M3</t>
        </is>
      </c>
      <c r="E152" t="n">
        <v>1000</v>
      </c>
      <c r="F152" t="inlineStr">
        <is>
          <t>TN</t>
        </is>
      </c>
      <c r="G152" t="n">
        <v>1250</v>
      </c>
      <c r="H152" t="inlineStr">
        <is>
          <t>Tepetate Clasificado Tierra NA</t>
        </is>
      </c>
    </row>
    <row r="153">
      <c r="A153" t="n">
        <v>10000323</v>
      </c>
      <c r="B153" t="inlineStr">
        <is>
          <t>ZFER</t>
        </is>
      </c>
      <c r="C153" t="inlineStr">
        <is>
          <t>1000</t>
        </is>
      </c>
      <c r="D153" t="inlineStr">
        <is>
          <t>M3</t>
        </is>
      </c>
      <c r="E153" t="n">
        <v>1000</v>
      </c>
      <c r="F153" t="inlineStr">
        <is>
          <t>TN</t>
        </is>
      </c>
      <c r="G153" t="n">
        <v>1360</v>
      </c>
      <c r="H153" t="inlineStr">
        <is>
          <t>Arena Triturada Caliza Malla 5</t>
        </is>
      </c>
    </row>
    <row r="154">
      <c r="A154" t="n">
        <v>10000324</v>
      </c>
      <c r="B154" t="inlineStr">
        <is>
          <t>ZFER</t>
        </is>
      </c>
      <c r="C154" t="inlineStr">
        <is>
          <t>1000</t>
        </is>
      </c>
      <c r="D154" t="inlineStr">
        <is>
          <t>M3</t>
        </is>
      </c>
      <c r="E154" t="n">
        <v>1000</v>
      </c>
      <c r="F154" t="inlineStr">
        <is>
          <t>TN</t>
        </is>
      </c>
      <c r="G154" t="n">
        <v>1189</v>
      </c>
      <c r="H154" t="inlineStr">
        <is>
          <t>Grava Triturada Caliza 20 mm - 3/4"</t>
        </is>
      </c>
    </row>
    <row r="155">
      <c r="A155" t="n">
        <v>10000327</v>
      </c>
      <c r="B155" t="inlineStr">
        <is>
          <t>ZFER</t>
        </is>
      </c>
      <c r="C155" t="inlineStr">
        <is>
          <t>1000</t>
        </is>
      </c>
      <c r="D155" t="inlineStr">
        <is>
          <t>M3</t>
        </is>
      </c>
      <c r="E155" t="n">
        <v>1000</v>
      </c>
      <c r="F155" t="inlineStr">
        <is>
          <t>TN</t>
        </is>
      </c>
      <c r="G155" t="n">
        <v>1500</v>
      </c>
      <c r="H155" t="inlineStr">
        <is>
          <t>Arena Triturada Caliza Malla 4</t>
        </is>
      </c>
    </row>
    <row r="156">
      <c r="A156" t="n">
        <v>10000328</v>
      </c>
      <c r="B156" t="inlineStr">
        <is>
          <t>ZFER</t>
        </is>
      </c>
      <c r="C156" t="inlineStr">
        <is>
          <t>1000</t>
        </is>
      </c>
      <c r="D156" t="inlineStr">
        <is>
          <t>M3</t>
        </is>
      </c>
      <c r="E156" t="n">
        <v>1000</v>
      </c>
      <c r="F156" t="inlineStr">
        <is>
          <t>TN</t>
        </is>
      </c>
      <c r="G156" t="n">
        <v>1489</v>
      </c>
      <c r="H156" t="inlineStr">
        <is>
          <t>Arena Triturada Caliza Malla 4 Lavado</t>
        </is>
      </c>
    </row>
    <row r="157">
      <c r="A157" t="n">
        <v>10000329</v>
      </c>
      <c r="B157" t="inlineStr">
        <is>
          <t>ZFER</t>
        </is>
      </c>
      <c r="C157" t="inlineStr">
        <is>
          <t>1000</t>
        </is>
      </c>
      <c r="D157" t="inlineStr">
        <is>
          <t>M3</t>
        </is>
      </c>
      <c r="E157" t="n">
        <v>1000</v>
      </c>
      <c r="F157" t="inlineStr">
        <is>
          <t>TN</t>
        </is>
      </c>
      <c r="G157" t="n">
        <v>1400</v>
      </c>
      <c r="H157" t="inlineStr">
        <is>
          <t>No Clasificado Caliza 40 mm - 1 1/2"</t>
        </is>
      </c>
    </row>
    <row r="158">
      <c r="A158" t="n">
        <v>10000330</v>
      </c>
      <c r="B158" t="inlineStr">
        <is>
          <t>ZFER</t>
        </is>
      </c>
      <c r="C158" t="inlineStr">
        <is>
          <t>1000</t>
        </is>
      </c>
      <c r="D158" t="inlineStr">
        <is>
          <t>M3</t>
        </is>
      </c>
      <c r="E158" t="n">
        <v>1000</v>
      </c>
      <c r="F158" t="inlineStr">
        <is>
          <t>TN</t>
        </is>
      </c>
      <c r="G158" t="n">
        <v>1700</v>
      </c>
      <c r="H158" t="inlineStr">
        <is>
          <t>Arena Triturada Caliza Malla 4</t>
        </is>
      </c>
    </row>
    <row r="159">
      <c r="A159" t="n">
        <v>10000332</v>
      </c>
      <c r="B159" t="inlineStr">
        <is>
          <t>ZFER</t>
        </is>
      </c>
      <c r="C159" t="inlineStr">
        <is>
          <t>1000</t>
        </is>
      </c>
      <c r="D159" t="inlineStr">
        <is>
          <t>M3</t>
        </is>
      </c>
      <c r="E159" t="n">
        <v>1000</v>
      </c>
      <c r="F159" t="inlineStr">
        <is>
          <t>TN</t>
        </is>
      </c>
      <c r="G159" t="n">
        <v>800</v>
      </c>
      <c r="H159" t="inlineStr">
        <is>
          <t>Grava Triturada Pomez - Jal 20 mm - 3/4"</t>
        </is>
      </c>
    </row>
    <row r="160">
      <c r="A160" t="n">
        <v>10000334</v>
      </c>
      <c r="B160" t="inlineStr">
        <is>
          <t>ZFER</t>
        </is>
      </c>
      <c r="C160" t="inlineStr">
        <is>
          <t>1000</t>
        </is>
      </c>
      <c r="D160" t="inlineStr">
        <is>
          <t>M3</t>
        </is>
      </c>
      <c r="E160" t="n">
        <v>1000</v>
      </c>
      <c r="F160" t="inlineStr">
        <is>
          <t>TN</t>
        </is>
      </c>
      <c r="G160" t="n">
        <v>1311</v>
      </c>
      <c r="H160" t="inlineStr">
        <is>
          <t>Grava Triturada Andesita 20 mm - 3/4"</t>
        </is>
      </c>
    </row>
    <row r="161">
      <c r="A161" t="n">
        <v>10000336</v>
      </c>
      <c r="B161" t="inlineStr">
        <is>
          <t>ZFER</t>
        </is>
      </c>
      <c r="C161" t="inlineStr">
        <is>
          <t>1000</t>
        </is>
      </c>
      <c r="D161" t="inlineStr">
        <is>
          <t>M3</t>
        </is>
      </c>
      <c r="E161" t="n">
        <v>1000</v>
      </c>
      <c r="F161" t="inlineStr">
        <is>
          <t>TN</t>
        </is>
      </c>
      <c r="G161" t="n">
        <v>1375</v>
      </c>
      <c r="H161" t="inlineStr">
        <is>
          <t>Grava Triturada Caliza 20 mm - 3/4"</t>
        </is>
      </c>
    </row>
    <row r="162">
      <c r="A162" t="n">
        <v>10000337</v>
      </c>
      <c r="B162" t="inlineStr">
        <is>
          <t>ZFER</t>
        </is>
      </c>
      <c r="C162" t="inlineStr">
        <is>
          <t>1000</t>
        </is>
      </c>
      <c r="D162" t="inlineStr">
        <is>
          <t>M3</t>
        </is>
      </c>
      <c r="E162" t="n">
        <v>1000</v>
      </c>
      <c r="F162" t="inlineStr">
        <is>
          <t>TN</t>
        </is>
      </c>
      <c r="G162" t="n">
        <v>1382</v>
      </c>
      <c r="H162" t="inlineStr">
        <is>
          <t>Arena Triturada Caliza Malla 5</t>
        </is>
      </c>
    </row>
    <row r="163">
      <c r="A163" t="n">
        <v>10000340</v>
      </c>
      <c r="B163" t="inlineStr">
        <is>
          <t>ZFER</t>
        </is>
      </c>
      <c r="C163" t="inlineStr">
        <is>
          <t>1000</t>
        </is>
      </c>
      <c r="D163" t="inlineStr">
        <is>
          <t>M3</t>
        </is>
      </c>
      <c r="E163" t="n">
        <v>1000</v>
      </c>
      <c r="F163" t="inlineStr">
        <is>
          <t>TN</t>
        </is>
      </c>
      <c r="G163" t="n">
        <v>1345</v>
      </c>
      <c r="H163" t="inlineStr">
        <is>
          <t>Grava Triturada Caliza 20 mm - 3/4"</t>
        </is>
      </c>
    </row>
    <row r="164">
      <c r="A164" t="n">
        <v>10000351</v>
      </c>
      <c r="B164" t="inlineStr">
        <is>
          <t>ZFER</t>
        </is>
      </c>
      <c r="C164" t="inlineStr">
        <is>
          <t>1000</t>
        </is>
      </c>
      <c r="D164" t="inlineStr">
        <is>
          <t>M3</t>
        </is>
      </c>
      <c r="E164" t="n">
        <v>1000</v>
      </c>
      <c r="F164" t="inlineStr">
        <is>
          <t>TN</t>
        </is>
      </c>
      <c r="G164" t="n">
        <v>1406</v>
      </c>
      <c r="H164" t="inlineStr">
        <is>
          <t>Grava Triturada Basalto 20 mm - 3/4"</t>
        </is>
      </c>
    </row>
    <row r="165">
      <c r="A165" t="n">
        <v>10000354</v>
      </c>
      <c r="B165" t="inlineStr">
        <is>
          <t>ZFER</t>
        </is>
      </c>
      <c r="C165" t="inlineStr">
        <is>
          <t>1000</t>
        </is>
      </c>
      <c r="D165" t="inlineStr">
        <is>
          <t>M3</t>
        </is>
      </c>
      <c r="E165" t="n">
        <v>1000</v>
      </c>
      <c r="F165" t="inlineStr">
        <is>
          <t>TN</t>
        </is>
      </c>
      <c r="G165" t="n">
        <v>1450</v>
      </c>
      <c r="H165" t="inlineStr">
        <is>
          <t>Arena Clasificada Río Malla 4</t>
        </is>
      </c>
    </row>
    <row r="166">
      <c r="A166" t="n">
        <v>10000355</v>
      </c>
      <c r="B166" t="inlineStr">
        <is>
          <t>ZFER</t>
        </is>
      </c>
      <c r="C166" t="inlineStr">
        <is>
          <t>1000</t>
        </is>
      </c>
      <c r="D166" t="inlineStr">
        <is>
          <t>M3</t>
        </is>
      </c>
      <c r="E166" t="n">
        <v>1000</v>
      </c>
      <c r="F166" t="inlineStr">
        <is>
          <t>TN</t>
        </is>
      </c>
      <c r="G166" t="n">
        <v>1194</v>
      </c>
      <c r="H166" t="inlineStr">
        <is>
          <t>Grava Triturada Caliza 13 mm - 1/2"</t>
        </is>
      </c>
    </row>
    <row r="167">
      <c r="A167" t="n">
        <v>10000357</v>
      </c>
      <c r="B167" t="inlineStr">
        <is>
          <t>ZFER</t>
        </is>
      </c>
      <c r="C167" t="inlineStr">
        <is>
          <t>1000</t>
        </is>
      </c>
      <c r="D167" t="inlineStr">
        <is>
          <t>M3</t>
        </is>
      </c>
      <c r="E167" t="n">
        <v>1000</v>
      </c>
      <c r="F167" t="inlineStr">
        <is>
          <t>TN</t>
        </is>
      </c>
      <c r="G167" t="n">
        <v>1326</v>
      </c>
      <c r="H167" t="inlineStr">
        <is>
          <t>Grava Triturada Andesita 20 mm - 3/4"</t>
        </is>
      </c>
    </row>
    <row r="168">
      <c r="A168" t="n">
        <v>10000359</v>
      </c>
      <c r="B168" t="inlineStr">
        <is>
          <t>ZFER</t>
        </is>
      </c>
      <c r="C168" t="inlineStr">
        <is>
          <t>1000</t>
        </is>
      </c>
      <c r="D168" t="inlineStr">
        <is>
          <t>M3</t>
        </is>
      </c>
      <c r="E168" t="n">
        <v>1000</v>
      </c>
      <c r="F168" t="inlineStr">
        <is>
          <t>TN</t>
        </is>
      </c>
      <c r="G168" t="n">
        <v>1500</v>
      </c>
      <c r="H168" t="inlineStr">
        <is>
          <t>Sello Triturado Caliza Sello 3-A</t>
        </is>
      </c>
    </row>
    <row r="169">
      <c r="A169" t="n">
        <v>10000360</v>
      </c>
      <c r="B169" t="inlineStr">
        <is>
          <t>ZFER</t>
        </is>
      </c>
      <c r="C169" t="inlineStr">
        <is>
          <t>1000</t>
        </is>
      </c>
      <c r="D169" t="inlineStr">
        <is>
          <t>M3</t>
        </is>
      </c>
      <c r="E169" t="n">
        <v>1000</v>
      </c>
      <c r="F169" t="inlineStr">
        <is>
          <t>TN</t>
        </is>
      </c>
      <c r="G169" t="n">
        <v>1500</v>
      </c>
      <c r="H169" t="inlineStr">
        <is>
          <t>Base H Triturada Caliza 1 1/2" a Finos</t>
        </is>
      </c>
    </row>
    <row r="170">
      <c r="A170" t="n">
        <v>10000363</v>
      </c>
      <c r="B170" t="inlineStr">
        <is>
          <t>ZFER</t>
        </is>
      </c>
      <c r="C170" t="inlineStr">
        <is>
          <t>1000</t>
        </is>
      </c>
      <c r="D170" t="inlineStr">
        <is>
          <t>M3</t>
        </is>
      </c>
      <c r="E170" t="n">
        <v>1000</v>
      </c>
      <c r="F170" t="inlineStr">
        <is>
          <t>TN</t>
        </is>
      </c>
      <c r="G170" t="n">
        <v>1530</v>
      </c>
      <c r="H170" t="inlineStr">
        <is>
          <t>Arena Clasificada Río Malla 4</t>
        </is>
      </c>
    </row>
    <row r="171">
      <c r="A171" t="n">
        <v>10000364</v>
      </c>
      <c r="B171" t="inlineStr">
        <is>
          <t>ZFER</t>
        </is>
      </c>
      <c r="C171" t="inlineStr">
        <is>
          <t>1000</t>
        </is>
      </c>
      <c r="D171" t="inlineStr">
        <is>
          <t>M3</t>
        </is>
      </c>
      <c r="E171" t="n">
        <v>1000</v>
      </c>
      <c r="F171" t="inlineStr">
        <is>
          <t>TN</t>
        </is>
      </c>
      <c r="G171" t="n">
        <v>1434</v>
      </c>
      <c r="H171" t="inlineStr">
        <is>
          <t>Arena Triturada Caliza Malla 4</t>
        </is>
      </c>
    </row>
    <row r="172">
      <c r="A172" t="n">
        <v>10000365</v>
      </c>
      <c r="B172" t="inlineStr">
        <is>
          <t>ZFER</t>
        </is>
      </c>
      <c r="C172" t="inlineStr">
        <is>
          <t>1000</t>
        </is>
      </c>
      <c r="D172" t="inlineStr">
        <is>
          <t>M3</t>
        </is>
      </c>
      <c r="E172" t="n">
        <v>1000</v>
      </c>
      <c r="F172" t="inlineStr">
        <is>
          <t>TN</t>
        </is>
      </c>
      <c r="G172" t="n">
        <v>1176</v>
      </c>
      <c r="H172" t="inlineStr">
        <is>
          <t>Grava Triturada Caliza 20 mm - 3/4"</t>
        </is>
      </c>
    </row>
    <row r="173">
      <c r="A173" t="n">
        <v>10000369</v>
      </c>
      <c r="B173" t="inlineStr">
        <is>
          <t>ZFER</t>
        </is>
      </c>
      <c r="C173" t="inlineStr">
        <is>
          <t>1000</t>
        </is>
      </c>
      <c r="D173" t="inlineStr">
        <is>
          <t>M3</t>
        </is>
      </c>
      <c r="E173" t="n">
        <v>1000</v>
      </c>
      <c r="F173" t="inlineStr">
        <is>
          <t>TN</t>
        </is>
      </c>
      <c r="G173" t="n">
        <v>1520</v>
      </c>
      <c r="H173" t="inlineStr">
        <is>
          <t>Arena Triturada Andesita Malla 4</t>
        </is>
      </c>
    </row>
    <row r="174">
      <c r="A174" t="n">
        <v>10000370</v>
      </c>
      <c r="B174" t="inlineStr">
        <is>
          <t>ZFER</t>
        </is>
      </c>
      <c r="C174" t="inlineStr">
        <is>
          <t>1000</t>
        </is>
      </c>
      <c r="D174" t="inlineStr">
        <is>
          <t>M3</t>
        </is>
      </c>
      <c r="E174" t="n">
        <v>1000</v>
      </c>
      <c r="F174" t="inlineStr">
        <is>
          <t>TN</t>
        </is>
      </c>
      <c r="G174" t="n">
        <v>1507</v>
      </c>
      <c r="H174" t="inlineStr">
        <is>
          <t>Grava Clasificada Río 20 mm - 3/4"</t>
        </is>
      </c>
    </row>
    <row r="175">
      <c r="A175" t="n">
        <v>10000372</v>
      </c>
      <c r="B175" t="inlineStr">
        <is>
          <t>ZFER</t>
        </is>
      </c>
      <c r="C175" t="inlineStr">
        <is>
          <t>1000</t>
        </is>
      </c>
      <c r="D175" t="inlineStr">
        <is>
          <t>M3</t>
        </is>
      </c>
      <c r="E175" t="n">
        <v>1000</v>
      </c>
      <c r="F175" t="inlineStr">
        <is>
          <t>TN</t>
        </is>
      </c>
      <c r="G175" t="n">
        <v>1448</v>
      </c>
      <c r="H175" t="inlineStr">
        <is>
          <t>Grava Triturada Caliza 20 mm - 3/4"</t>
        </is>
      </c>
    </row>
    <row r="176">
      <c r="A176" t="n">
        <v>10000373</v>
      </c>
      <c r="B176" t="inlineStr">
        <is>
          <t>ZFER</t>
        </is>
      </c>
      <c r="C176" t="inlineStr">
        <is>
          <t>1000</t>
        </is>
      </c>
      <c r="D176" t="inlineStr">
        <is>
          <t>M3</t>
        </is>
      </c>
      <c r="E176" t="n">
        <v>1000</v>
      </c>
      <c r="F176" t="inlineStr">
        <is>
          <t>TN</t>
        </is>
      </c>
      <c r="G176" t="n">
        <v>1395</v>
      </c>
      <c r="H176" t="inlineStr">
        <is>
          <t>Grava Triturada Caliza 13 mm - 1/2"</t>
        </is>
      </c>
    </row>
    <row r="177">
      <c r="A177" t="n">
        <v>10000375</v>
      </c>
      <c r="B177" t="inlineStr">
        <is>
          <t>ZFER</t>
        </is>
      </c>
      <c r="C177" t="inlineStr">
        <is>
          <t>1000</t>
        </is>
      </c>
      <c r="D177" t="inlineStr">
        <is>
          <t>M3</t>
        </is>
      </c>
      <c r="E177" t="n">
        <v>1000</v>
      </c>
      <c r="F177" t="inlineStr">
        <is>
          <t>TN</t>
        </is>
      </c>
      <c r="G177" t="n">
        <v>1460</v>
      </c>
      <c r="H177" t="inlineStr">
        <is>
          <t>Grava Triturada Granito 20 mm - 3/4"</t>
        </is>
      </c>
    </row>
    <row r="178">
      <c r="A178" t="n">
        <v>10000377</v>
      </c>
      <c r="B178" t="inlineStr">
        <is>
          <t>ZFER</t>
        </is>
      </c>
      <c r="C178" t="inlineStr">
        <is>
          <t>1000</t>
        </is>
      </c>
      <c r="D178" t="inlineStr">
        <is>
          <t>M3</t>
        </is>
      </c>
      <c r="E178" t="n">
        <v>1000</v>
      </c>
      <c r="F178" t="inlineStr">
        <is>
          <t>TN</t>
        </is>
      </c>
      <c r="G178" t="n">
        <v>1458</v>
      </c>
      <c r="H178" t="inlineStr">
        <is>
          <t>Grava Triturada Basalto 10 mm - 3/8"</t>
        </is>
      </c>
    </row>
    <row r="179">
      <c r="A179" t="n">
        <v>10000378</v>
      </c>
      <c r="B179" t="inlineStr">
        <is>
          <t>ZFER</t>
        </is>
      </c>
      <c r="C179" t="inlineStr">
        <is>
          <t>1000</t>
        </is>
      </c>
      <c r="D179" t="inlineStr">
        <is>
          <t>M3</t>
        </is>
      </c>
      <c r="E179" t="n">
        <v>1000</v>
      </c>
      <c r="F179" t="inlineStr">
        <is>
          <t>TN</t>
        </is>
      </c>
      <c r="G179" t="n">
        <v>1600</v>
      </c>
      <c r="H179" t="inlineStr">
        <is>
          <t>Grava Triturada Basalto  20 mm - 3/4"</t>
        </is>
      </c>
    </row>
    <row r="180">
      <c r="A180" t="n">
        <v>10000379</v>
      </c>
      <c r="B180" t="inlineStr">
        <is>
          <t>ZFER</t>
        </is>
      </c>
      <c r="C180" t="inlineStr">
        <is>
          <t>1000</t>
        </is>
      </c>
      <c r="D180" t="inlineStr">
        <is>
          <t>M3</t>
        </is>
      </c>
      <c r="E180" t="n">
        <v>1000</v>
      </c>
      <c r="F180" t="inlineStr">
        <is>
          <t>TN</t>
        </is>
      </c>
      <c r="G180" t="n">
        <v>1430</v>
      </c>
      <c r="H180" t="inlineStr">
        <is>
          <t>Grava Triturada Basalto 20 mm - 3/4"</t>
        </is>
      </c>
    </row>
    <row r="181">
      <c r="A181" t="n">
        <v>10000381</v>
      </c>
      <c r="B181" t="inlineStr">
        <is>
          <t>ZFER</t>
        </is>
      </c>
      <c r="C181" t="inlineStr">
        <is>
          <t>1000</t>
        </is>
      </c>
      <c r="D181" t="inlineStr">
        <is>
          <t>M3</t>
        </is>
      </c>
      <c r="E181" t="n">
        <v>1000</v>
      </c>
      <c r="F181" t="inlineStr">
        <is>
          <t>TN</t>
        </is>
      </c>
      <c r="G181" t="n">
        <v>1520</v>
      </c>
      <c r="H181" t="inlineStr">
        <is>
          <t>Arena Clasificada Río Malla 5</t>
        </is>
      </c>
    </row>
    <row r="182">
      <c r="A182" t="n">
        <v>10000382</v>
      </c>
      <c r="B182" t="inlineStr">
        <is>
          <t>ZFER</t>
        </is>
      </c>
      <c r="C182" t="inlineStr">
        <is>
          <t>1000</t>
        </is>
      </c>
      <c r="D182" t="inlineStr">
        <is>
          <t>M3</t>
        </is>
      </c>
      <c r="E182" t="n">
        <v>1000</v>
      </c>
      <c r="F182" t="inlineStr">
        <is>
          <t>TN</t>
        </is>
      </c>
      <c r="G182" t="n">
        <v>1323</v>
      </c>
      <c r="H182" t="inlineStr">
        <is>
          <t>Grava Triturada Basalto 20 mm - 3/4"</t>
        </is>
      </c>
    </row>
    <row r="183">
      <c r="A183" t="n">
        <v>10000383</v>
      </c>
      <c r="B183" t="inlineStr">
        <is>
          <t>ZFER</t>
        </is>
      </c>
      <c r="C183" t="inlineStr">
        <is>
          <t>1000</t>
        </is>
      </c>
      <c r="D183" t="inlineStr">
        <is>
          <t>M3</t>
        </is>
      </c>
      <c r="E183" t="n">
        <v>1000</v>
      </c>
      <c r="F183" t="inlineStr">
        <is>
          <t>TN</t>
        </is>
      </c>
      <c r="G183" t="n">
        <v>1359</v>
      </c>
      <c r="H183" t="inlineStr">
        <is>
          <t>Grava Triturada Basalto 40 mm - 1 1/2"</t>
        </is>
      </c>
    </row>
    <row r="184">
      <c r="A184" t="n">
        <v>10000384</v>
      </c>
      <c r="B184" t="inlineStr">
        <is>
          <t>ZFER</t>
        </is>
      </c>
      <c r="C184" t="inlineStr">
        <is>
          <t>1000</t>
        </is>
      </c>
      <c r="D184" t="inlineStr">
        <is>
          <t>M3</t>
        </is>
      </c>
      <c r="E184" t="n">
        <v>1000</v>
      </c>
      <c r="F184" t="inlineStr">
        <is>
          <t>TN</t>
        </is>
      </c>
      <c r="G184" t="n">
        <v>1610</v>
      </c>
      <c r="H184" t="inlineStr">
        <is>
          <t>Arena Triturada Basalto Malla 4</t>
        </is>
      </c>
    </row>
    <row r="185">
      <c r="A185" t="n">
        <v>10000385</v>
      </c>
      <c r="B185" t="inlineStr">
        <is>
          <t>ZFER</t>
        </is>
      </c>
      <c r="C185" t="inlineStr">
        <is>
          <t>1000</t>
        </is>
      </c>
      <c r="D185" t="inlineStr">
        <is>
          <t>M3</t>
        </is>
      </c>
      <c r="E185" t="n">
        <v>1000</v>
      </c>
      <c r="F185" t="inlineStr">
        <is>
          <t>TN</t>
        </is>
      </c>
      <c r="G185" t="n">
        <v>1320</v>
      </c>
      <c r="H185" t="inlineStr">
        <is>
          <t>Arena Clasificada Río Malla 4</t>
        </is>
      </c>
    </row>
    <row r="186">
      <c r="A186" t="n">
        <v>10000386</v>
      </c>
      <c r="B186" t="inlineStr">
        <is>
          <t>ZFER</t>
        </is>
      </c>
      <c r="C186" t="inlineStr">
        <is>
          <t>1000</t>
        </is>
      </c>
      <c r="D186" t="inlineStr">
        <is>
          <t>M3</t>
        </is>
      </c>
      <c r="E186" t="n">
        <v>1000</v>
      </c>
      <c r="F186" t="inlineStr">
        <is>
          <t>TN</t>
        </is>
      </c>
      <c r="G186" t="n">
        <v>1300</v>
      </c>
      <c r="H186" t="inlineStr">
        <is>
          <t>Arena Clasificada Río Malla 4</t>
        </is>
      </c>
    </row>
    <row r="187">
      <c r="A187" t="n">
        <v>10000388</v>
      </c>
      <c r="B187" t="inlineStr">
        <is>
          <t>ZFER</t>
        </is>
      </c>
      <c r="C187" t="inlineStr">
        <is>
          <t>1000</t>
        </is>
      </c>
      <c r="D187" t="inlineStr">
        <is>
          <t>M3</t>
        </is>
      </c>
      <c r="E187" t="n">
        <v>1000</v>
      </c>
      <c r="F187" t="inlineStr">
        <is>
          <t>TN</t>
        </is>
      </c>
      <c r="G187" t="n">
        <v>1395</v>
      </c>
      <c r="H187" t="inlineStr">
        <is>
          <t>Grava Triturada Basalto  40 mm - 1 1/2"</t>
        </is>
      </c>
    </row>
    <row r="188">
      <c r="A188" t="n">
        <v>10000390</v>
      </c>
      <c r="B188" t="inlineStr">
        <is>
          <t>ZFER</t>
        </is>
      </c>
      <c r="C188" t="inlineStr">
        <is>
          <t>1000</t>
        </is>
      </c>
      <c r="D188" t="inlineStr">
        <is>
          <t>M3</t>
        </is>
      </c>
      <c r="E188" t="n">
        <v>1000</v>
      </c>
      <c r="F188" t="inlineStr">
        <is>
          <t>TN</t>
        </is>
      </c>
      <c r="G188" t="n">
        <v>1415</v>
      </c>
      <c r="H188" t="inlineStr">
        <is>
          <t>Grava Triturada Caliza 20 mm - 3/4"</t>
        </is>
      </c>
    </row>
    <row r="189">
      <c r="A189" t="n">
        <v>10000391</v>
      </c>
      <c r="B189" t="inlineStr">
        <is>
          <t>ZFER</t>
        </is>
      </c>
      <c r="C189" t="inlineStr">
        <is>
          <t>1000</t>
        </is>
      </c>
      <c r="D189" t="inlineStr">
        <is>
          <t>M3</t>
        </is>
      </c>
      <c r="E189" t="n">
        <v>1000</v>
      </c>
      <c r="F189" t="inlineStr">
        <is>
          <t>TN</t>
        </is>
      </c>
      <c r="G189" t="n">
        <v>1560</v>
      </c>
      <c r="H189" t="inlineStr">
        <is>
          <t>Grava Triturada Granito 10 mm - 3/8"</t>
        </is>
      </c>
    </row>
    <row r="190">
      <c r="A190" t="n">
        <v>10000393</v>
      </c>
      <c r="B190" t="inlineStr">
        <is>
          <t>ZFER</t>
        </is>
      </c>
      <c r="C190" t="inlineStr">
        <is>
          <t>1000</t>
        </is>
      </c>
      <c r="D190" t="inlineStr">
        <is>
          <t>M3</t>
        </is>
      </c>
      <c r="E190" t="n">
        <v>1000</v>
      </c>
      <c r="F190" t="inlineStr">
        <is>
          <t>TN</t>
        </is>
      </c>
      <c r="G190" t="n">
        <v>1500</v>
      </c>
      <c r="H190" t="inlineStr">
        <is>
          <t>Grava Triturada Caliza 40 mm - 1 1/2"</t>
        </is>
      </c>
    </row>
    <row r="191">
      <c r="A191" t="n">
        <v>10000394</v>
      </c>
      <c r="B191" t="inlineStr">
        <is>
          <t>ZFER</t>
        </is>
      </c>
      <c r="C191" t="inlineStr">
        <is>
          <t>1000</t>
        </is>
      </c>
      <c r="D191" t="inlineStr">
        <is>
          <t>M3</t>
        </is>
      </c>
      <c r="E191" t="n">
        <v>1000</v>
      </c>
      <c r="F191" t="inlineStr">
        <is>
          <t>TN</t>
        </is>
      </c>
      <c r="G191" t="n">
        <v>1410</v>
      </c>
      <c r="H191" t="inlineStr">
        <is>
          <t>Arena Triturada Andesita Malla 4</t>
        </is>
      </c>
    </row>
    <row r="192">
      <c r="A192" t="n">
        <v>10000396</v>
      </c>
      <c r="B192" t="inlineStr">
        <is>
          <t>ZFER</t>
        </is>
      </c>
      <c r="C192" t="inlineStr">
        <is>
          <t>1000</t>
        </is>
      </c>
      <c r="D192" t="inlineStr">
        <is>
          <t>M3</t>
        </is>
      </c>
      <c r="E192" t="n">
        <v>1000</v>
      </c>
      <c r="F192" t="inlineStr">
        <is>
          <t>TN</t>
        </is>
      </c>
      <c r="G192" t="n">
        <v>1382</v>
      </c>
      <c r="H192" t="inlineStr">
        <is>
          <t>Grava Triturada Caliza 20 mm - 3/4"</t>
        </is>
      </c>
    </row>
    <row r="193">
      <c r="A193" t="n">
        <v>10000397</v>
      </c>
      <c r="B193" t="inlineStr">
        <is>
          <t>ZFER</t>
        </is>
      </c>
      <c r="C193" t="inlineStr">
        <is>
          <t>1000</t>
        </is>
      </c>
      <c r="D193" t="inlineStr">
        <is>
          <t>M3</t>
        </is>
      </c>
      <c r="E193" t="n">
        <v>1000</v>
      </c>
      <c r="F193" t="inlineStr">
        <is>
          <t>TN</t>
        </is>
      </c>
      <c r="G193" t="n">
        <v>1315</v>
      </c>
      <c r="H193" t="inlineStr">
        <is>
          <t>Grava Triturada Andesita 10 mm - 3/8"</t>
        </is>
      </c>
    </row>
    <row r="194">
      <c r="A194" t="n">
        <v>10000398</v>
      </c>
      <c r="B194" t="inlineStr">
        <is>
          <t>ZFER</t>
        </is>
      </c>
      <c r="C194" t="inlineStr">
        <is>
          <t>1000</t>
        </is>
      </c>
      <c r="D194" t="inlineStr">
        <is>
          <t>M3</t>
        </is>
      </c>
      <c r="E194" t="n">
        <v>1000</v>
      </c>
      <c r="F194" t="inlineStr">
        <is>
          <t>TN</t>
        </is>
      </c>
      <c r="G194" t="n">
        <v>1311</v>
      </c>
      <c r="H194" t="inlineStr">
        <is>
          <t>Grava Triturada Andesita 20 mm - 3/4"</t>
        </is>
      </c>
    </row>
    <row r="195">
      <c r="A195" t="n">
        <v>10000399</v>
      </c>
      <c r="B195" t="inlineStr">
        <is>
          <t>ZFER</t>
        </is>
      </c>
      <c r="C195" t="inlineStr">
        <is>
          <t>1000</t>
        </is>
      </c>
      <c r="D195" t="inlineStr">
        <is>
          <t>M3</t>
        </is>
      </c>
      <c r="E195" t="n">
        <v>1000</v>
      </c>
      <c r="F195" t="inlineStr">
        <is>
          <t>TN</t>
        </is>
      </c>
      <c r="G195" t="n">
        <v>1290</v>
      </c>
      <c r="H195" t="inlineStr">
        <is>
          <t>Grava Triturada Andesita 40 mm - 1 1/2"</t>
        </is>
      </c>
    </row>
    <row r="196">
      <c r="A196" t="n">
        <v>10000400</v>
      </c>
      <c r="B196" t="inlineStr">
        <is>
          <t>ZFER</t>
        </is>
      </c>
      <c r="C196" t="inlineStr">
        <is>
          <t>1000</t>
        </is>
      </c>
      <c r="D196" t="inlineStr">
        <is>
          <t>M3</t>
        </is>
      </c>
      <c r="E196" t="n">
        <v>1000</v>
      </c>
      <c r="F196" t="inlineStr">
        <is>
          <t>TN</t>
        </is>
      </c>
      <c r="G196" t="n">
        <v>1389</v>
      </c>
      <c r="H196" t="inlineStr">
        <is>
          <t>Arena Clasificada Río Malla 4</t>
        </is>
      </c>
    </row>
    <row r="197">
      <c r="A197" t="n">
        <v>10000402</v>
      </c>
      <c r="B197" t="inlineStr">
        <is>
          <t>ZFER</t>
        </is>
      </c>
      <c r="C197" t="inlineStr">
        <is>
          <t>1000</t>
        </is>
      </c>
      <c r="D197" t="inlineStr">
        <is>
          <t>M3</t>
        </is>
      </c>
      <c r="E197" t="n">
        <v>1000</v>
      </c>
      <c r="F197" t="inlineStr">
        <is>
          <t>TN</t>
        </is>
      </c>
      <c r="G197" t="n">
        <v>1610</v>
      </c>
      <c r="H197" t="inlineStr">
        <is>
          <t>Arena Triturada Caliza Malla 4</t>
        </is>
      </c>
    </row>
    <row r="198">
      <c r="A198" t="n">
        <v>10000403</v>
      </c>
      <c r="B198" t="inlineStr">
        <is>
          <t>ZFER</t>
        </is>
      </c>
      <c r="C198" t="inlineStr">
        <is>
          <t>1000</t>
        </is>
      </c>
      <c r="D198" t="inlineStr">
        <is>
          <t>M3</t>
        </is>
      </c>
      <c r="E198" t="n">
        <v>1000</v>
      </c>
      <c r="F198" t="inlineStr">
        <is>
          <t>TN</t>
        </is>
      </c>
      <c r="G198" t="n">
        <v>1560</v>
      </c>
      <c r="H198" t="inlineStr">
        <is>
          <t>Arena Triturada Caliza Malla 4</t>
        </is>
      </c>
    </row>
    <row r="199">
      <c r="A199" t="n">
        <v>10000404</v>
      </c>
      <c r="B199" t="inlineStr">
        <is>
          <t>ZFER</t>
        </is>
      </c>
      <c r="C199" t="inlineStr">
        <is>
          <t>1000</t>
        </is>
      </c>
      <c r="D199" t="inlineStr">
        <is>
          <t>M3</t>
        </is>
      </c>
      <c r="E199" t="n">
        <v>1000</v>
      </c>
      <c r="F199" t="inlineStr">
        <is>
          <t>TN</t>
        </is>
      </c>
      <c r="G199" t="n">
        <v>1450</v>
      </c>
      <c r="H199" t="inlineStr">
        <is>
          <t>Grava Triturada Caliza 20 mm - 3/4"</t>
        </is>
      </c>
    </row>
    <row r="200">
      <c r="A200" t="n">
        <v>10000405</v>
      </c>
      <c r="B200" t="inlineStr">
        <is>
          <t>ZFER</t>
        </is>
      </c>
      <c r="C200" t="inlineStr">
        <is>
          <t>1000</t>
        </is>
      </c>
      <c r="D200" t="inlineStr">
        <is>
          <t>M3</t>
        </is>
      </c>
      <c r="E200" t="n">
        <v>1000</v>
      </c>
      <c r="F200" t="inlineStr">
        <is>
          <t>TN</t>
        </is>
      </c>
      <c r="G200" t="n">
        <v>1400</v>
      </c>
      <c r="H200" t="inlineStr">
        <is>
          <t>Grava Triturada Caliza 20 mm - 3/4"</t>
        </is>
      </c>
    </row>
    <row r="201">
      <c r="A201" t="n">
        <v>10000406</v>
      </c>
      <c r="B201" t="inlineStr">
        <is>
          <t>ZFER</t>
        </is>
      </c>
      <c r="C201" t="inlineStr">
        <is>
          <t>1000</t>
        </is>
      </c>
      <c r="D201" t="inlineStr">
        <is>
          <t>M3</t>
        </is>
      </c>
      <c r="E201" t="n">
        <v>1000</v>
      </c>
      <c r="F201" t="inlineStr">
        <is>
          <t>TN</t>
        </is>
      </c>
      <c r="G201" t="n">
        <v>1400</v>
      </c>
      <c r="H201" t="inlineStr">
        <is>
          <t>Grava Triturada Caliza 40 mm - 1 1/2"</t>
        </is>
      </c>
    </row>
    <row r="202">
      <c r="A202" t="n">
        <v>10000407</v>
      </c>
      <c r="B202" t="inlineStr">
        <is>
          <t>ZFER</t>
        </is>
      </c>
      <c r="C202" t="inlineStr">
        <is>
          <t>1000</t>
        </is>
      </c>
      <c r="D202" t="inlineStr">
        <is>
          <t>M3</t>
        </is>
      </c>
      <c r="E202" t="n">
        <v>1000</v>
      </c>
      <c r="F202" t="inlineStr">
        <is>
          <t>TN</t>
        </is>
      </c>
      <c r="G202" t="n">
        <v>1400</v>
      </c>
      <c r="H202" t="inlineStr">
        <is>
          <t>Grava Triturada Caliza 10 mm - 3/8"</t>
        </is>
      </c>
    </row>
    <row r="203">
      <c r="A203" t="n">
        <v>10000413</v>
      </c>
      <c r="B203" t="inlineStr">
        <is>
          <t>ZFER</t>
        </is>
      </c>
      <c r="C203" t="inlineStr">
        <is>
          <t>1000</t>
        </is>
      </c>
      <c r="D203" t="inlineStr">
        <is>
          <t>M3</t>
        </is>
      </c>
      <c r="E203" t="n">
        <v>1000</v>
      </c>
      <c r="F203" t="inlineStr">
        <is>
          <t>TN</t>
        </is>
      </c>
      <c r="G203" t="n">
        <v>1500</v>
      </c>
      <c r="H203" t="inlineStr">
        <is>
          <t>Grava Triturada Basalto 40 mm - 1 1/2"</t>
        </is>
      </c>
    </row>
    <row r="204">
      <c r="A204" t="n">
        <v>10000416</v>
      </c>
      <c r="B204" t="inlineStr">
        <is>
          <t>ZFER</t>
        </is>
      </c>
      <c r="C204" t="inlineStr">
        <is>
          <t>1000</t>
        </is>
      </c>
      <c r="D204" t="inlineStr">
        <is>
          <t>M3</t>
        </is>
      </c>
      <c r="E204" t="n">
        <v>1000</v>
      </c>
      <c r="F204" t="inlineStr">
        <is>
          <t>TN</t>
        </is>
      </c>
      <c r="G204" t="n">
        <v>1434</v>
      </c>
      <c r="H204" t="inlineStr">
        <is>
          <t>Polvos Triturado Caliza &lt; 03 mm</t>
        </is>
      </c>
    </row>
    <row r="205">
      <c r="A205" t="n">
        <v>10000417</v>
      </c>
      <c r="B205" t="inlineStr">
        <is>
          <t>ZFER</t>
        </is>
      </c>
      <c r="C205" t="inlineStr">
        <is>
          <t>1000</t>
        </is>
      </c>
      <c r="D205" t="inlineStr">
        <is>
          <t>M3</t>
        </is>
      </c>
      <c r="E205" t="n">
        <v>1000</v>
      </c>
      <c r="F205" t="inlineStr">
        <is>
          <t>TN</t>
        </is>
      </c>
      <c r="G205" t="n">
        <v>1194</v>
      </c>
      <c r="H205" t="inlineStr">
        <is>
          <t>Grava Triturada Caliza 20 mm - 3/4"</t>
        </is>
      </c>
    </row>
    <row r="206">
      <c r="A206" t="n">
        <v>10000421</v>
      </c>
      <c r="B206" t="inlineStr">
        <is>
          <t>ZFER</t>
        </is>
      </c>
      <c r="C206" t="inlineStr">
        <is>
          <t>1000</t>
        </is>
      </c>
      <c r="D206" t="inlineStr">
        <is>
          <t>M3</t>
        </is>
      </c>
      <c r="E206" t="n">
        <v>1000</v>
      </c>
      <c r="F206" t="inlineStr">
        <is>
          <t>TN</t>
        </is>
      </c>
      <c r="G206" t="n">
        <v>1496</v>
      </c>
      <c r="H206" t="inlineStr">
        <is>
          <t>Grava Triturada Caliza 40 mm - 1 1/2"</t>
        </is>
      </c>
    </row>
    <row r="207">
      <c r="A207" t="n">
        <v>10000426</v>
      </c>
      <c r="B207" t="inlineStr">
        <is>
          <t>ZFER</t>
        </is>
      </c>
      <c r="C207" t="inlineStr">
        <is>
          <t>1000</t>
        </is>
      </c>
      <c r="D207" t="inlineStr">
        <is>
          <t>M3</t>
        </is>
      </c>
      <c r="E207" t="n">
        <v>1000</v>
      </c>
      <c r="F207" t="inlineStr">
        <is>
          <t>TN</t>
        </is>
      </c>
      <c r="G207" t="n">
        <v>1700</v>
      </c>
      <c r="H207" t="inlineStr">
        <is>
          <t>Arena Triturada Caliza Malla 4</t>
        </is>
      </c>
    </row>
    <row r="208">
      <c r="A208" t="n">
        <v>10000427</v>
      </c>
      <c r="B208" t="inlineStr">
        <is>
          <t>ZFER</t>
        </is>
      </c>
      <c r="C208" t="inlineStr">
        <is>
          <t>1000</t>
        </is>
      </c>
      <c r="D208" t="inlineStr">
        <is>
          <t>M3</t>
        </is>
      </c>
      <c r="E208" t="n">
        <v>1000</v>
      </c>
      <c r="F208" t="inlineStr">
        <is>
          <t>TN</t>
        </is>
      </c>
      <c r="G208" t="n">
        <v>1472</v>
      </c>
      <c r="H208" t="inlineStr">
        <is>
          <t>Grava Triturada Caliza 20 mm - 3/4"</t>
        </is>
      </c>
    </row>
    <row r="209">
      <c r="A209" t="n">
        <v>10000430</v>
      </c>
      <c r="B209" t="inlineStr">
        <is>
          <t>ZFER</t>
        </is>
      </c>
      <c r="C209" t="inlineStr">
        <is>
          <t>1000</t>
        </is>
      </c>
      <c r="D209" t="inlineStr">
        <is>
          <t>M3</t>
        </is>
      </c>
      <c r="E209" t="n">
        <v>1000</v>
      </c>
      <c r="F209" t="inlineStr">
        <is>
          <t>TN</t>
        </is>
      </c>
      <c r="G209" t="n">
        <v>1500</v>
      </c>
      <c r="H209" t="inlineStr">
        <is>
          <t>Grava Triturada Caliza 20 mm - 3/4"</t>
        </is>
      </c>
    </row>
    <row r="210">
      <c r="A210" t="n">
        <v>10000432</v>
      </c>
      <c r="B210" t="inlineStr">
        <is>
          <t>ZFER</t>
        </is>
      </c>
      <c r="C210" t="inlineStr">
        <is>
          <t>1000</t>
        </is>
      </c>
      <c r="D210" t="inlineStr">
        <is>
          <t>M3</t>
        </is>
      </c>
      <c r="E210" t="n">
        <v>1000</v>
      </c>
      <c r="F210" t="inlineStr">
        <is>
          <t>TN</t>
        </is>
      </c>
      <c r="G210" t="n">
        <v>1600</v>
      </c>
      <c r="H210" t="inlineStr">
        <is>
          <t>Base H Triturada Basalto  1 1/2" a Finos</t>
        </is>
      </c>
    </row>
    <row r="211">
      <c r="A211" t="n">
        <v>10000433</v>
      </c>
      <c r="B211" t="inlineStr">
        <is>
          <t>ZFER</t>
        </is>
      </c>
      <c r="C211" t="inlineStr">
        <is>
          <t>1000</t>
        </is>
      </c>
      <c r="D211" t="inlineStr">
        <is>
          <t>M3</t>
        </is>
      </c>
      <c r="E211" t="n">
        <v>1000</v>
      </c>
      <c r="F211" t="inlineStr">
        <is>
          <t>TN</t>
        </is>
      </c>
      <c r="G211" t="n">
        <v>1380</v>
      </c>
      <c r="H211" t="inlineStr">
        <is>
          <t>Grava Triturada Caliza 40 mm - 1 1/2"</t>
        </is>
      </c>
    </row>
    <row r="212">
      <c r="A212" t="n">
        <v>10000436</v>
      </c>
      <c r="B212" t="inlineStr">
        <is>
          <t>ZFER</t>
        </is>
      </c>
      <c r="C212" t="inlineStr">
        <is>
          <t>1000</t>
        </is>
      </c>
      <c r="D212" t="inlineStr">
        <is>
          <t>M3</t>
        </is>
      </c>
      <c r="E212" t="n">
        <v>1000</v>
      </c>
      <c r="F212" t="inlineStr">
        <is>
          <t>TN</t>
        </is>
      </c>
      <c r="G212" t="n">
        <v>1500</v>
      </c>
      <c r="H212" t="inlineStr">
        <is>
          <t>Arena Triturada Caliza Malla 5</t>
        </is>
      </c>
    </row>
    <row r="213">
      <c r="A213" t="n">
        <v>10000437</v>
      </c>
      <c r="B213" t="inlineStr">
        <is>
          <t>ZFER</t>
        </is>
      </c>
      <c r="C213" t="inlineStr">
        <is>
          <t>1000</t>
        </is>
      </c>
      <c r="D213" t="inlineStr">
        <is>
          <t>M3</t>
        </is>
      </c>
      <c r="E213" t="n">
        <v>1000</v>
      </c>
      <c r="F213" t="inlineStr">
        <is>
          <t>TN</t>
        </is>
      </c>
      <c r="G213" t="n">
        <v>1505</v>
      </c>
      <c r="H213" t="inlineStr">
        <is>
          <t>Grava Triturada Basalto 20 mm - 3/4"</t>
        </is>
      </c>
    </row>
    <row r="214">
      <c r="A214" t="n">
        <v>10000439</v>
      </c>
      <c r="B214" t="inlineStr">
        <is>
          <t>ZFER</t>
        </is>
      </c>
      <c r="C214" t="inlineStr">
        <is>
          <t>1000</t>
        </is>
      </c>
      <c r="D214" t="inlineStr">
        <is>
          <t>M3</t>
        </is>
      </c>
      <c r="E214" t="n">
        <v>1000</v>
      </c>
      <c r="F214" t="inlineStr">
        <is>
          <t>TN</t>
        </is>
      </c>
      <c r="G214" t="n">
        <v>1437</v>
      </c>
      <c r="H214" t="inlineStr">
        <is>
          <t>Grava Triturada Basalto 10 mm - 3/8"</t>
        </is>
      </c>
    </row>
    <row r="215">
      <c r="A215" t="n">
        <v>10000441</v>
      </c>
      <c r="B215" t="inlineStr">
        <is>
          <t>ZFER</t>
        </is>
      </c>
      <c r="C215" t="inlineStr">
        <is>
          <t>1000</t>
        </is>
      </c>
      <c r="D215" t="inlineStr">
        <is>
          <t>M3</t>
        </is>
      </c>
      <c r="E215" t="n">
        <v>1000</v>
      </c>
      <c r="F215" t="inlineStr">
        <is>
          <t>TN</t>
        </is>
      </c>
      <c r="G215" t="n">
        <v>1415</v>
      </c>
      <c r="H215" t="inlineStr">
        <is>
          <t>Grava Triturada Andesita 40 mm - 1 1/2"</t>
        </is>
      </c>
    </row>
    <row r="216">
      <c r="A216" t="n">
        <v>10000444</v>
      </c>
      <c r="B216" t="inlineStr">
        <is>
          <t>ZFER</t>
        </is>
      </c>
      <c r="C216" t="inlineStr">
        <is>
          <t>1000</t>
        </is>
      </c>
      <c r="D216" t="inlineStr">
        <is>
          <t>M3</t>
        </is>
      </c>
      <c r="E216" t="n">
        <v>1000</v>
      </c>
      <c r="F216" t="inlineStr">
        <is>
          <t>TN</t>
        </is>
      </c>
      <c r="G216" t="n">
        <v>1473</v>
      </c>
      <c r="H216" t="inlineStr">
        <is>
          <t>Arena Triturada Andesita Malla 4</t>
        </is>
      </c>
    </row>
    <row r="217">
      <c r="A217" t="n">
        <v>10000445</v>
      </c>
      <c r="B217" t="inlineStr">
        <is>
          <t>ZFER</t>
        </is>
      </c>
      <c r="C217" t="inlineStr">
        <is>
          <t>1000</t>
        </is>
      </c>
      <c r="D217" t="inlineStr">
        <is>
          <t>M3</t>
        </is>
      </c>
      <c r="E217" t="n">
        <v>1000</v>
      </c>
      <c r="F217" t="inlineStr">
        <is>
          <t>TN</t>
        </is>
      </c>
      <c r="G217" t="n">
        <v>1545</v>
      </c>
      <c r="H217" t="inlineStr">
        <is>
          <t>Arena Triturada Caliza Malla 4</t>
        </is>
      </c>
    </row>
    <row r="218">
      <c r="A218" t="n">
        <v>10000452</v>
      </c>
      <c r="B218" t="inlineStr">
        <is>
          <t>ZFER</t>
        </is>
      </c>
      <c r="C218" t="inlineStr">
        <is>
          <t>1000</t>
        </is>
      </c>
      <c r="D218" t="inlineStr">
        <is>
          <t>M3</t>
        </is>
      </c>
      <c r="E218" t="n">
        <v>1000</v>
      </c>
      <c r="F218" t="inlineStr">
        <is>
          <t>TN</t>
        </is>
      </c>
      <c r="G218" t="n">
        <v>1466</v>
      </c>
      <c r="H218" t="inlineStr">
        <is>
          <t>Grava Clasificada Río  20 mm - 3/4"</t>
        </is>
      </c>
    </row>
    <row r="219">
      <c r="A219" t="n">
        <v>10000453</v>
      </c>
      <c r="B219" t="inlineStr">
        <is>
          <t>ZFER</t>
        </is>
      </c>
      <c r="C219" t="inlineStr">
        <is>
          <t>1000</t>
        </is>
      </c>
      <c r="D219" t="inlineStr">
        <is>
          <t>M3</t>
        </is>
      </c>
      <c r="E219" t="n">
        <v>1000</v>
      </c>
      <c r="F219" t="inlineStr">
        <is>
          <t>TN</t>
        </is>
      </c>
      <c r="G219" t="n">
        <v>1361</v>
      </c>
      <c r="H219" t="inlineStr">
        <is>
          <t>Grava Triturada Caliza 20 mm - 3/4"</t>
        </is>
      </c>
    </row>
    <row r="220">
      <c r="A220" t="n">
        <v>10000458</v>
      </c>
      <c r="B220" t="inlineStr">
        <is>
          <t>ZFER</t>
        </is>
      </c>
      <c r="C220" t="inlineStr">
        <is>
          <t>1000</t>
        </is>
      </c>
      <c r="D220" t="inlineStr">
        <is>
          <t>M3</t>
        </is>
      </c>
      <c r="E220" t="n">
        <v>1000</v>
      </c>
      <c r="F220" t="inlineStr">
        <is>
          <t>TN</t>
        </is>
      </c>
      <c r="G220" t="n">
        <v>1287</v>
      </c>
      <c r="H220" t="inlineStr">
        <is>
          <t>Grava Clasificada Río 10 mm - 3/8"</t>
        </is>
      </c>
    </row>
    <row r="221">
      <c r="A221" t="n">
        <v>10000460</v>
      </c>
      <c r="B221" t="inlineStr">
        <is>
          <t>ZFER</t>
        </is>
      </c>
      <c r="C221" t="inlineStr">
        <is>
          <t>1000</t>
        </is>
      </c>
      <c r="D221" t="inlineStr">
        <is>
          <t>M3</t>
        </is>
      </c>
      <c r="E221" t="n">
        <v>1000</v>
      </c>
      <c r="F221" t="inlineStr">
        <is>
          <t>TN</t>
        </is>
      </c>
      <c r="G221" t="n">
        <v>1500</v>
      </c>
      <c r="H221" t="inlineStr">
        <is>
          <t>Grava Clasificada Río 20 mm - 3/4"</t>
        </is>
      </c>
    </row>
    <row r="222">
      <c r="A222" t="n">
        <v>10000462</v>
      </c>
      <c r="B222" t="inlineStr">
        <is>
          <t>ZFER</t>
        </is>
      </c>
      <c r="C222" t="inlineStr">
        <is>
          <t>1000</t>
        </is>
      </c>
      <c r="D222" t="inlineStr">
        <is>
          <t>M3</t>
        </is>
      </c>
      <c r="E222" t="n">
        <v>1000</v>
      </c>
      <c r="F222" t="inlineStr">
        <is>
          <t>TN</t>
        </is>
      </c>
      <c r="G222" t="n">
        <v>1525</v>
      </c>
      <c r="H222" t="inlineStr">
        <is>
          <t>Arena Triturada Rio Malla 4</t>
        </is>
      </c>
    </row>
    <row r="223">
      <c r="A223" t="n">
        <v>10000465</v>
      </c>
      <c r="B223" t="inlineStr">
        <is>
          <t>ZFER</t>
        </is>
      </c>
      <c r="C223" t="inlineStr">
        <is>
          <t>1000</t>
        </is>
      </c>
      <c r="D223" t="inlineStr">
        <is>
          <t>M3</t>
        </is>
      </c>
      <c r="E223" t="n">
        <v>1000</v>
      </c>
      <c r="F223" t="inlineStr">
        <is>
          <t>TN</t>
        </is>
      </c>
      <c r="G223" t="n">
        <v>1428</v>
      </c>
      <c r="H223" t="inlineStr">
        <is>
          <t>Grava Clasificada Río  40 mm - 1 1/2"</t>
        </is>
      </c>
    </row>
    <row r="224">
      <c r="A224" t="n">
        <v>10000475</v>
      </c>
      <c r="B224" t="inlineStr">
        <is>
          <t>ZFER</t>
        </is>
      </c>
      <c r="C224" t="inlineStr">
        <is>
          <t>1000</t>
        </is>
      </c>
      <c r="D224" t="inlineStr">
        <is>
          <t>M3</t>
        </is>
      </c>
      <c r="E224" t="n">
        <v>1000</v>
      </c>
      <c r="F224" t="inlineStr">
        <is>
          <t>TN</t>
        </is>
      </c>
      <c r="G224" t="n">
        <v>1111</v>
      </c>
      <c r="H224" t="inlineStr">
        <is>
          <t>Grava Triturada Caliza 13 mm - 1/2"</t>
        </is>
      </c>
    </row>
    <row r="225">
      <c r="A225" t="n">
        <v>10000476</v>
      </c>
      <c r="B225" t="inlineStr">
        <is>
          <t>ZFER</t>
        </is>
      </c>
      <c r="C225" t="inlineStr">
        <is>
          <t>1000</t>
        </is>
      </c>
      <c r="D225" t="inlineStr">
        <is>
          <t>M3</t>
        </is>
      </c>
      <c r="E225" t="n">
        <v>1000</v>
      </c>
      <c r="F225" t="inlineStr">
        <is>
          <t>TN</t>
        </is>
      </c>
      <c r="G225" t="n">
        <v>1280</v>
      </c>
      <c r="H225" t="inlineStr">
        <is>
          <t>Grava Triturada Caliza 10 mm - 3/8"</t>
        </is>
      </c>
    </row>
    <row r="226">
      <c r="A226" t="n">
        <v>10000480</v>
      </c>
      <c r="B226" t="inlineStr">
        <is>
          <t>ZFER</t>
        </is>
      </c>
      <c r="C226" t="inlineStr">
        <is>
          <t>1000</t>
        </is>
      </c>
      <c r="D226" t="inlineStr">
        <is>
          <t>M3</t>
        </is>
      </c>
      <c r="E226" t="n">
        <v>1000</v>
      </c>
      <c r="F226" t="inlineStr">
        <is>
          <t>TN</t>
        </is>
      </c>
      <c r="G226" t="n">
        <v>1404</v>
      </c>
      <c r="H226" t="inlineStr">
        <is>
          <t>Arena Clasificada Río Malla 4</t>
        </is>
      </c>
    </row>
    <row r="227">
      <c r="A227" t="n">
        <v>10000481</v>
      </c>
      <c r="B227" t="inlineStr">
        <is>
          <t>ZFER</t>
        </is>
      </c>
      <c r="C227" t="inlineStr">
        <is>
          <t>1000</t>
        </is>
      </c>
      <c r="D227" t="inlineStr">
        <is>
          <t>M3</t>
        </is>
      </c>
      <c r="E227" t="n">
        <v>1000</v>
      </c>
      <c r="F227" t="inlineStr">
        <is>
          <t>TN</t>
        </is>
      </c>
      <c r="G227" t="n">
        <v>1400</v>
      </c>
      <c r="H227" t="inlineStr">
        <is>
          <t>Grava Triturada Basalto  40 mm - 1 1/2"</t>
        </is>
      </c>
    </row>
    <row r="228">
      <c r="A228" t="n">
        <v>10000488</v>
      </c>
      <c r="B228" t="inlineStr">
        <is>
          <t>ZFER</t>
        </is>
      </c>
      <c r="C228" t="inlineStr">
        <is>
          <t>1000</t>
        </is>
      </c>
      <c r="D228" t="inlineStr">
        <is>
          <t>M3</t>
        </is>
      </c>
      <c r="E228" t="n">
        <v>1000</v>
      </c>
      <c r="F228" t="inlineStr">
        <is>
          <t>TN</t>
        </is>
      </c>
      <c r="G228" t="n">
        <v>1136</v>
      </c>
      <c r="H228" t="inlineStr">
        <is>
          <t>Grava Triturada Caliza 20 mm - 3/4"</t>
        </is>
      </c>
    </row>
    <row r="229">
      <c r="A229" t="n">
        <v>10000489</v>
      </c>
      <c r="B229" t="inlineStr">
        <is>
          <t>ZFER</t>
        </is>
      </c>
      <c r="C229" t="inlineStr">
        <is>
          <t>1000</t>
        </is>
      </c>
      <c r="D229" t="inlineStr">
        <is>
          <t>M3</t>
        </is>
      </c>
      <c r="E229" t="n">
        <v>1000</v>
      </c>
      <c r="F229" t="inlineStr">
        <is>
          <t>TN</t>
        </is>
      </c>
      <c r="G229" t="n">
        <v>1700</v>
      </c>
      <c r="H229" t="inlineStr">
        <is>
          <t>Arena Triturada Caliza Malla 8</t>
        </is>
      </c>
    </row>
    <row r="230">
      <c r="A230" t="n">
        <v>10000492</v>
      </c>
      <c r="B230" t="inlineStr">
        <is>
          <t>ZFER</t>
        </is>
      </c>
      <c r="C230" t="inlineStr">
        <is>
          <t>1000</t>
        </is>
      </c>
      <c r="D230" t="inlineStr">
        <is>
          <t>M3</t>
        </is>
      </c>
      <c r="E230" t="n">
        <v>1000</v>
      </c>
      <c r="F230" t="inlineStr">
        <is>
          <t>TN</t>
        </is>
      </c>
      <c r="G230" t="n">
        <v>1266</v>
      </c>
      <c r="H230" t="inlineStr">
        <is>
          <t>Grava Triturada Caliza 10 mm - 3/8"</t>
        </is>
      </c>
    </row>
    <row r="231">
      <c r="A231" t="n">
        <v>10000500</v>
      </c>
      <c r="B231" t="inlineStr">
        <is>
          <t>ZFER</t>
        </is>
      </c>
      <c r="C231" t="inlineStr">
        <is>
          <t>1000</t>
        </is>
      </c>
      <c r="D231" t="inlineStr">
        <is>
          <t>M3</t>
        </is>
      </c>
      <c r="E231" t="n">
        <v>1000</v>
      </c>
      <c r="F231" t="inlineStr">
        <is>
          <t>TN</t>
        </is>
      </c>
      <c r="G231" t="n">
        <v>1400</v>
      </c>
      <c r="H231" t="inlineStr">
        <is>
          <t>Arena Triturada Riolita Malla 4</t>
        </is>
      </c>
    </row>
    <row r="232">
      <c r="A232" t="n">
        <v>10000504</v>
      </c>
      <c r="B232" t="inlineStr">
        <is>
          <t>ZFER</t>
        </is>
      </c>
      <c r="C232" t="inlineStr">
        <is>
          <t>1000</t>
        </is>
      </c>
      <c r="D232" t="inlineStr">
        <is>
          <t>M3</t>
        </is>
      </c>
      <c r="E232" t="n">
        <v>1000</v>
      </c>
      <c r="F232" t="inlineStr">
        <is>
          <t>TN</t>
        </is>
      </c>
      <c r="G232" t="n">
        <v>1390</v>
      </c>
      <c r="H232" t="inlineStr">
        <is>
          <t>Grava Clasificada Río 20 mm - 3/4"</t>
        </is>
      </c>
    </row>
    <row r="233">
      <c r="A233" t="n">
        <v>10000505</v>
      </c>
      <c r="B233" t="inlineStr">
        <is>
          <t>ZFER</t>
        </is>
      </c>
      <c r="C233" t="inlineStr">
        <is>
          <t>1000</t>
        </is>
      </c>
      <c r="D233" t="inlineStr">
        <is>
          <t>M3</t>
        </is>
      </c>
      <c r="E233" t="n">
        <v>1000</v>
      </c>
      <c r="F233" t="inlineStr">
        <is>
          <t>TN</t>
        </is>
      </c>
      <c r="G233" t="n">
        <v>1505</v>
      </c>
      <c r="H233" t="inlineStr">
        <is>
          <t>Arena Clasificada Río Malla 4</t>
        </is>
      </c>
    </row>
    <row r="234">
      <c r="A234" t="n">
        <v>10000511</v>
      </c>
      <c r="B234" t="inlineStr">
        <is>
          <t>ZFER</t>
        </is>
      </c>
      <c r="C234" t="inlineStr">
        <is>
          <t>1000</t>
        </is>
      </c>
      <c r="D234" t="inlineStr">
        <is>
          <t>M3</t>
        </is>
      </c>
      <c r="E234" t="n">
        <v>1000</v>
      </c>
      <c r="F234" t="inlineStr">
        <is>
          <t>TN</t>
        </is>
      </c>
      <c r="G234" t="n">
        <v>1500</v>
      </c>
      <c r="H234" t="inlineStr">
        <is>
          <t>Arena Triturada Andesita Malla 4</t>
        </is>
      </c>
    </row>
    <row r="235">
      <c r="A235" t="n">
        <v>10000517</v>
      </c>
      <c r="B235" t="inlineStr">
        <is>
          <t>ZFER</t>
        </is>
      </c>
      <c r="C235" t="inlineStr">
        <is>
          <t>1000</t>
        </is>
      </c>
      <c r="D235" t="inlineStr">
        <is>
          <t>M3</t>
        </is>
      </c>
      <c r="E235" t="n">
        <v>1000</v>
      </c>
      <c r="F235" t="inlineStr">
        <is>
          <t>TN</t>
        </is>
      </c>
      <c r="G235" t="n">
        <v>1700</v>
      </c>
      <c r="H235" t="inlineStr">
        <is>
          <t>Base H Triturada Caliza 1 1/2" a Finos</t>
        </is>
      </c>
    </row>
    <row r="236">
      <c r="A236" t="n">
        <v>10000519</v>
      </c>
      <c r="B236" t="inlineStr">
        <is>
          <t>ZFER</t>
        </is>
      </c>
      <c r="C236" t="inlineStr">
        <is>
          <t>1000</t>
        </is>
      </c>
      <c r="D236" t="inlineStr">
        <is>
          <t>M3</t>
        </is>
      </c>
      <c r="E236" t="n">
        <v>1000</v>
      </c>
      <c r="F236" t="inlineStr">
        <is>
          <t>TN</t>
        </is>
      </c>
      <c r="G236" t="n">
        <v>1447</v>
      </c>
      <c r="H236" t="inlineStr">
        <is>
          <t>Arena Clasificada Río Malla 4</t>
        </is>
      </c>
    </row>
    <row r="237">
      <c r="A237" t="n">
        <v>10000520</v>
      </c>
      <c r="B237" t="inlineStr">
        <is>
          <t>ZFER</t>
        </is>
      </c>
      <c r="C237" t="inlineStr">
        <is>
          <t>1000</t>
        </is>
      </c>
      <c r="D237" t="inlineStr">
        <is>
          <t>M3</t>
        </is>
      </c>
      <c r="E237" t="n">
        <v>1000</v>
      </c>
      <c r="F237" t="inlineStr">
        <is>
          <t>TN</t>
        </is>
      </c>
      <c r="G237" t="n">
        <v>1432</v>
      </c>
      <c r="H237" t="inlineStr">
        <is>
          <t>Arena Clasificada Río Malla 4</t>
        </is>
      </c>
    </row>
    <row r="238">
      <c r="A238" t="n">
        <v>10000521</v>
      </c>
      <c r="B238" t="inlineStr">
        <is>
          <t>ZFER</t>
        </is>
      </c>
      <c r="C238" t="inlineStr">
        <is>
          <t>1000</t>
        </is>
      </c>
      <c r="D238" t="inlineStr">
        <is>
          <t>M3</t>
        </is>
      </c>
      <c r="E238" t="n">
        <v>1000</v>
      </c>
      <c r="F238" t="inlineStr">
        <is>
          <t>TN</t>
        </is>
      </c>
      <c r="G238" t="n">
        <v>1350</v>
      </c>
      <c r="H238" t="inlineStr">
        <is>
          <t>Grava Triturada Basalto 20 mm - 3/4"</t>
        </is>
      </c>
    </row>
    <row r="239">
      <c r="A239" t="n">
        <v>10000522</v>
      </c>
      <c r="B239" t="inlineStr">
        <is>
          <t>ZFER</t>
        </is>
      </c>
      <c r="C239" t="inlineStr">
        <is>
          <t>1000</t>
        </is>
      </c>
      <c r="D239" t="inlineStr">
        <is>
          <t>M3</t>
        </is>
      </c>
      <c r="E239" t="n">
        <v>1000</v>
      </c>
      <c r="F239" t="inlineStr">
        <is>
          <t>TN</t>
        </is>
      </c>
      <c r="G239" t="n">
        <v>1320</v>
      </c>
      <c r="H239" t="inlineStr">
        <is>
          <t>Grava Triturada Basalto 10 mm - 3/8"</t>
        </is>
      </c>
    </row>
    <row r="240">
      <c r="A240" t="n">
        <v>10000523</v>
      </c>
      <c r="B240" t="inlineStr">
        <is>
          <t>ZFER</t>
        </is>
      </c>
      <c r="C240" t="inlineStr">
        <is>
          <t>1000</t>
        </is>
      </c>
      <c r="D240" t="inlineStr">
        <is>
          <t>M3</t>
        </is>
      </c>
      <c r="E240" t="n">
        <v>1000</v>
      </c>
      <c r="F240" t="inlineStr">
        <is>
          <t>TN</t>
        </is>
      </c>
      <c r="G240" t="n">
        <v>1400</v>
      </c>
      <c r="H240" t="inlineStr">
        <is>
          <t>Grava Triturada Basalto 40 mm - 1 1/2"</t>
        </is>
      </c>
    </row>
    <row r="241">
      <c r="A241" t="n">
        <v>10000530</v>
      </c>
      <c r="B241" t="inlineStr">
        <is>
          <t>ZFER</t>
        </is>
      </c>
      <c r="C241" t="inlineStr">
        <is>
          <t>1000</t>
        </is>
      </c>
      <c r="D241" t="inlineStr">
        <is>
          <t>M3</t>
        </is>
      </c>
      <c r="E241" t="n">
        <v>1000</v>
      </c>
      <c r="F241" t="inlineStr">
        <is>
          <t>TN</t>
        </is>
      </c>
      <c r="G241" t="n">
        <v>1317</v>
      </c>
      <c r="H241" t="inlineStr">
        <is>
          <t>Grava Clasificada Río 40 mm - 1 1/2"</t>
        </is>
      </c>
    </row>
    <row r="242">
      <c r="A242" t="n">
        <v>10000531</v>
      </c>
      <c r="B242" t="inlineStr">
        <is>
          <t>ZFER</t>
        </is>
      </c>
      <c r="C242" t="inlineStr">
        <is>
          <t>1000</t>
        </is>
      </c>
      <c r="D242" t="inlineStr">
        <is>
          <t>M3</t>
        </is>
      </c>
      <c r="E242" t="n">
        <v>1000</v>
      </c>
      <c r="F242" t="inlineStr">
        <is>
          <t>TN</t>
        </is>
      </c>
      <c r="G242" t="n">
        <v>1540</v>
      </c>
      <c r="H242" t="inlineStr">
        <is>
          <t>Grava Clasificada Río 10 mm - 3/8"</t>
        </is>
      </c>
    </row>
    <row r="243">
      <c r="A243" t="n">
        <v>10000532</v>
      </c>
      <c r="B243" t="inlineStr">
        <is>
          <t>ZFER</t>
        </is>
      </c>
      <c r="C243" t="inlineStr">
        <is>
          <t>1000</t>
        </is>
      </c>
      <c r="D243" t="inlineStr">
        <is>
          <t>M3</t>
        </is>
      </c>
      <c r="E243" t="n">
        <v>1000</v>
      </c>
      <c r="F243" t="inlineStr">
        <is>
          <t>TN</t>
        </is>
      </c>
      <c r="G243" t="n">
        <v>1429</v>
      </c>
      <c r="H243" t="inlineStr">
        <is>
          <t>Grava Triturada Basalto 20 mm - 3/4"</t>
        </is>
      </c>
    </row>
    <row r="244">
      <c r="A244" t="n">
        <v>10000536</v>
      </c>
      <c r="B244" t="inlineStr">
        <is>
          <t>ZFER</t>
        </is>
      </c>
      <c r="C244" t="inlineStr">
        <is>
          <t>1000</t>
        </is>
      </c>
      <c r="D244" t="inlineStr">
        <is>
          <t>M3</t>
        </is>
      </c>
      <c r="E244" t="n">
        <v>1000</v>
      </c>
      <c r="F244" t="inlineStr">
        <is>
          <t>TN</t>
        </is>
      </c>
      <c r="G244" t="n">
        <v>1326</v>
      </c>
      <c r="H244" t="inlineStr">
        <is>
          <t>Grava Triturada Caliza 40 mm - 1 1/2"</t>
        </is>
      </c>
    </row>
    <row r="245">
      <c r="A245" t="n">
        <v>10000537</v>
      </c>
      <c r="B245" t="inlineStr">
        <is>
          <t>ZFER</t>
        </is>
      </c>
      <c r="C245" t="inlineStr">
        <is>
          <t>1000</t>
        </is>
      </c>
      <c r="D245" t="inlineStr">
        <is>
          <t>M3</t>
        </is>
      </c>
      <c r="E245" t="n">
        <v>1000</v>
      </c>
      <c r="F245" t="inlineStr">
        <is>
          <t>TN</t>
        </is>
      </c>
      <c r="G245" t="n">
        <v>1361</v>
      </c>
      <c r="H245" t="inlineStr">
        <is>
          <t>Arena Clasificada Río Malla 4</t>
        </is>
      </c>
    </row>
    <row r="246">
      <c r="A246" t="n">
        <v>10000539</v>
      </c>
      <c r="B246" t="inlineStr">
        <is>
          <t>ZFER</t>
        </is>
      </c>
      <c r="C246" t="inlineStr">
        <is>
          <t>1000</t>
        </is>
      </c>
      <c r="D246" t="inlineStr">
        <is>
          <t>M3</t>
        </is>
      </c>
      <c r="E246" t="n">
        <v>1000</v>
      </c>
      <c r="F246" t="inlineStr">
        <is>
          <t>TN</t>
        </is>
      </c>
      <c r="G246" t="n">
        <v>1360</v>
      </c>
      <c r="H246" t="inlineStr">
        <is>
          <t>Grava Triturada Basalto  40 mm - 1 1/2"</t>
        </is>
      </c>
    </row>
    <row r="247">
      <c r="A247" t="n">
        <v>10000541</v>
      </c>
      <c r="B247" t="inlineStr">
        <is>
          <t>ZFER</t>
        </is>
      </c>
      <c r="C247" t="inlineStr">
        <is>
          <t>1000</t>
        </is>
      </c>
      <c r="D247" t="inlineStr">
        <is>
          <t>M3</t>
        </is>
      </c>
      <c r="E247" t="n">
        <v>1000</v>
      </c>
      <c r="F247" t="inlineStr">
        <is>
          <t>TN</t>
        </is>
      </c>
      <c r="G247" t="n">
        <v>1528</v>
      </c>
      <c r="H247" t="inlineStr">
        <is>
          <t>Grava Clasificada Río 10 mm - 3/8"</t>
        </is>
      </c>
    </row>
    <row r="248">
      <c r="A248" t="n">
        <v>10000548</v>
      </c>
      <c r="B248" t="inlineStr">
        <is>
          <t>ZFER</t>
        </is>
      </c>
      <c r="C248" t="inlineStr">
        <is>
          <t>1000</t>
        </is>
      </c>
      <c r="D248" t="inlineStr">
        <is>
          <t>M3</t>
        </is>
      </c>
      <c r="E248" t="n">
        <v>1000</v>
      </c>
      <c r="F248" t="inlineStr">
        <is>
          <t>TN</t>
        </is>
      </c>
      <c r="G248" t="n">
        <v>1315</v>
      </c>
      <c r="H248" t="inlineStr">
        <is>
          <t>Grava Triturada Andesita 10 mm - 3/8"</t>
        </is>
      </c>
    </row>
    <row r="249">
      <c r="A249" t="n">
        <v>10000550</v>
      </c>
      <c r="B249" t="inlineStr">
        <is>
          <t>ZFER</t>
        </is>
      </c>
      <c r="C249" t="inlineStr">
        <is>
          <t>1000</t>
        </is>
      </c>
      <c r="D249" t="inlineStr">
        <is>
          <t>M3</t>
        </is>
      </c>
      <c r="E249" t="n">
        <v>1000</v>
      </c>
      <c r="F249" t="inlineStr">
        <is>
          <t>TN</t>
        </is>
      </c>
      <c r="G249" t="n">
        <v>1460</v>
      </c>
      <c r="H249" t="inlineStr">
        <is>
          <t>Grava Clasificada Río 10 mm - 3/8"</t>
        </is>
      </c>
    </row>
    <row r="250">
      <c r="A250" t="n">
        <v>10000551</v>
      </c>
      <c r="B250" t="inlineStr">
        <is>
          <t>ZFER</t>
        </is>
      </c>
      <c r="C250" t="inlineStr">
        <is>
          <t>1000</t>
        </is>
      </c>
      <c r="D250" t="inlineStr">
        <is>
          <t>M3</t>
        </is>
      </c>
      <c r="E250" t="n">
        <v>1000</v>
      </c>
      <c r="F250" t="inlineStr">
        <is>
          <t>TN</t>
        </is>
      </c>
      <c r="G250" t="n">
        <v>1340</v>
      </c>
      <c r="H250" t="inlineStr">
        <is>
          <t>Grava Clasificada Río 20 mm - 3/4"</t>
        </is>
      </c>
    </row>
    <row r="251">
      <c r="A251" t="n">
        <v>10000552</v>
      </c>
      <c r="B251" t="inlineStr">
        <is>
          <t>ZFER</t>
        </is>
      </c>
      <c r="C251" t="inlineStr">
        <is>
          <t>1000</t>
        </is>
      </c>
      <c r="D251" t="inlineStr">
        <is>
          <t>M3</t>
        </is>
      </c>
      <c r="E251" t="n">
        <v>1000</v>
      </c>
      <c r="F251" t="inlineStr">
        <is>
          <t>TN</t>
        </is>
      </c>
      <c r="G251" t="n">
        <v>1490</v>
      </c>
      <c r="H251" t="inlineStr">
        <is>
          <t>Arena Clasificada Río Malla 4</t>
        </is>
      </c>
    </row>
    <row r="252">
      <c r="A252" t="n">
        <v>10000553</v>
      </c>
      <c r="B252" t="inlineStr">
        <is>
          <t>ZFER</t>
        </is>
      </c>
      <c r="C252" t="inlineStr">
        <is>
          <t>1000</t>
        </is>
      </c>
      <c r="D252" t="inlineStr">
        <is>
          <t>M3</t>
        </is>
      </c>
      <c r="E252" t="n">
        <v>1000</v>
      </c>
      <c r="F252" t="inlineStr">
        <is>
          <t>TN</t>
        </is>
      </c>
      <c r="G252" t="n">
        <v>1370</v>
      </c>
      <c r="H252" t="inlineStr">
        <is>
          <t>Grava Triturada Caliza 20 mm - 3/4"</t>
        </is>
      </c>
    </row>
    <row r="253">
      <c r="A253" t="n">
        <v>10000554</v>
      </c>
      <c r="B253" t="inlineStr">
        <is>
          <t>ZFER</t>
        </is>
      </c>
      <c r="C253" t="inlineStr">
        <is>
          <t>1000</t>
        </is>
      </c>
      <c r="D253" t="inlineStr">
        <is>
          <t>M3</t>
        </is>
      </c>
      <c r="E253" t="n">
        <v>1000</v>
      </c>
      <c r="F253" t="inlineStr">
        <is>
          <t>TN</t>
        </is>
      </c>
      <c r="G253" t="n">
        <v>1370</v>
      </c>
      <c r="H253" t="inlineStr">
        <is>
          <t>Grava Triturada Caliza 40 mm - 1 1/2"</t>
        </is>
      </c>
    </row>
    <row r="254">
      <c r="A254" t="n">
        <v>10000555</v>
      </c>
      <c r="B254" t="inlineStr">
        <is>
          <t>ZFER</t>
        </is>
      </c>
      <c r="C254" t="inlineStr">
        <is>
          <t>1000</t>
        </is>
      </c>
      <c r="D254" t="inlineStr">
        <is>
          <t>M3</t>
        </is>
      </c>
      <c r="E254" t="n">
        <v>1000</v>
      </c>
      <c r="F254" t="inlineStr">
        <is>
          <t>TN</t>
        </is>
      </c>
      <c r="G254" t="n">
        <v>1652</v>
      </c>
      <c r="H254" t="inlineStr">
        <is>
          <t>Arena Triturada Caliza Malla 4</t>
        </is>
      </c>
    </row>
    <row r="255">
      <c r="A255" t="n">
        <v>10000561</v>
      </c>
      <c r="B255" t="inlineStr">
        <is>
          <t>ZFER</t>
        </is>
      </c>
      <c r="C255" t="inlineStr">
        <is>
          <t>1000</t>
        </is>
      </c>
      <c r="D255" t="inlineStr">
        <is>
          <t>M3</t>
        </is>
      </c>
      <c r="E255" t="n">
        <v>1000</v>
      </c>
      <c r="F255" t="inlineStr">
        <is>
          <t>TN</t>
        </is>
      </c>
      <c r="G255" t="n">
        <v>1430</v>
      </c>
      <c r="H255" t="inlineStr">
        <is>
          <t>Grava Triturada Caliza 20 mm - 3/4"</t>
        </is>
      </c>
    </row>
    <row r="256">
      <c r="A256" t="n">
        <v>10000566</v>
      </c>
      <c r="B256" t="inlineStr">
        <is>
          <t>ZFER</t>
        </is>
      </c>
      <c r="C256" t="inlineStr">
        <is>
          <t>1000</t>
        </is>
      </c>
      <c r="D256" t="inlineStr">
        <is>
          <t>M3</t>
        </is>
      </c>
      <c r="E256" t="n">
        <v>1000</v>
      </c>
      <c r="F256" t="inlineStr">
        <is>
          <t>TN</t>
        </is>
      </c>
      <c r="G256" t="n">
        <v>1421</v>
      </c>
      <c r="H256" t="inlineStr">
        <is>
          <t>Grava Triturada Caliza 20 mm - 3/4"</t>
        </is>
      </c>
    </row>
    <row r="257">
      <c r="A257" t="n">
        <v>10000568</v>
      </c>
      <c r="B257" t="inlineStr">
        <is>
          <t>ZFER</t>
        </is>
      </c>
      <c r="C257" t="inlineStr">
        <is>
          <t>1000</t>
        </is>
      </c>
      <c r="D257" t="inlineStr">
        <is>
          <t>M3</t>
        </is>
      </c>
      <c r="E257" t="n">
        <v>1000</v>
      </c>
      <c r="F257" t="inlineStr">
        <is>
          <t>TN</t>
        </is>
      </c>
      <c r="G257" t="n">
        <v>1643</v>
      </c>
      <c r="H257" t="inlineStr">
        <is>
          <t>Arena Clasificada Río Malla 4</t>
        </is>
      </c>
    </row>
    <row r="258">
      <c r="A258" t="n">
        <v>10000570</v>
      </c>
      <c r="B258" t="inlineStr">
        <is>
          <t>ZFER</t>
        </is>
      </c>
      <c r="C258" t="inlineStr">
        <is>
          <t>1000</t>
        </is>
      </c>
      <c r="D258" t="inlineStr">
        <is>
          <t>M3</t>
        </is>
      </c>
      <c r="E258" t="n">
        <v>1000</v>
      </c>
      <c r="F258" t="inlineStr">
        <is>
          <t>TN</t>
        </is>
      </c>
      <c r="G258" t="n">
        <v>1500</v>
      </c>
      <c r="H258" t="inlineStr">
        <is>
          <t>Grava Triturada Basalto 40 mm - 1 1/2"</t>
        </is>
      </c>
    </row>
    <row r="259">
      <c r="A259" t="n">
        <v>10000572</v>
      </c>
      <c r="B259" t="inlineStr">
        <is>
          <t>ZFER</t>
        </is>
      </c>
      <c r="C259" t="inlineStr">
        <is>
          <t>1000</t>
        </is>
      </c>
      <c r="D259" t="inlineStr">
        <is>
          <t>M3</t>
        </is>
      </c>
      <c r="E259" t="n">
        <v>1000</v>
      </c>
      <c r="F259" t="inlineStr">
        <is>
          <t>TN</t>
        </is>
      </c>
      <c r="G259" t="n">
        <v>1540</v>
      </c>
      <c r="H259" t="inlineStr">
        <is>
          <t>Arena Triturada Caliza Malla 4</t>
        </is>
      </c>
    </row>
    <row r="260">
      <c r="A260" t="n">
        <v>10000576</v>
      </c>
      <c r="B260" t="inlineStr">
        <is>
          <t>ZFER</t>
        </is>
      </c>
      <c r="C260" t="inlineStr">
        <is>
          <t>1000</t>
        </is>
      </c>
      <c r="D260" t="inlineStr">
        <is>
          <t>M3</t>
        </is>
      </c>
      <c r="E260" t="n">
        <v>1000</v>
      </c>
      <c r="F260" t="inlineStr">
        <is>
          <t>TN</t>
        </is>
      </c>
      <c r="G260" t="n">
        <v>1455</v>
      </c>
      <c r="H260" t="inlineStr">
        <is>
          <t>Arena Clasificada Río Malla 4</t>
        </is>
      </c>
    </row>
    <row r="261">
      <c r="A261" t="n">
        <v>10000578</v>
      </c>
      <c r="B261" t="inlineStr">
        <is>
          <t>ZFER</t>
        </is>
      </c>
      <c r="C261" t="inlineStr">
        <is>
          <t>1000</t>
        </is>
      </c>
      <c r="D261" t="inlineStr">
        <is>
          <t>M3</t>
        </is>
      </c>
      <c r="E261" t="n">
        <v>1000</v>
      </c>
      <c r="F261" t="inlineStr">
        <is>
          <t>TN</t>
        </is>
      </c>
      <c r="G261" t="n">
        <v>1541</v>
      </c>
      <c r="H261" t="inlineStr">
        <is>
          <t>Grava Triturada Caliza 20 mm - 3/4"</t>
        </is>
      </c>
    </row>
    <row r="262">
      <c r="A262" t="n">
        <v>10000579</v>
      </c>
      <c r="B262" t="inlineStr">
        <is>
          <t>ZFER</t>
        </is>
      </c>
      <c r="C262" t="inlineStr">
        <is>
          <t>1000</t>
        </is>
      </c>
      <c r="D262" t="inlineStr">
        <is>
          <t>M3</t>
        </is>
      </c>
      <c r="E262" t="n">
        <v>1000</v>
      </c>
      <c r="F262" t="inlineStr">
        <is>
          <t>TN</t>
        </is>
      </c>
      <c r="G262" t="n">
        <v>1387</v>
      </c>
      <c r="H262" t="inlineStr">
        <is>
          <t>Grava Triturada Caliza 40 mm - 1 1/2"</t>
        </is>
      </c>
    </row>
    <row r="263">
      <c r="A263" t="n">
        <v>10000580</v>
      </c>
      <c r="B263" t="inlineStr">
        <is>
          <t>ZFER</t>
        </is>
      </c>
      <c r="C263" t="inlineStr">
        <is>
          <t>1000</t>
        </is>
      </c>
      <c r="D263" t="inlineStr">
        <is>
          <t>M3</t>
        </is>
      </c>
      <c r="E263" t="n">
        <v>1000</v>
      </c>
      <c r="F263" t="inlineStr">
        <is>
          <t>TN</t>
        </is>
      </c>
      <c r="G263" t="n">
        <v>1505</v>
      </c>
      <c r="H263" t="inlineStr">
        <is>
          <t>Arena Clasificada Río Malla 4</t>
        </is>
      </c>
    </row>
    <row r="264">
      <c r="A264" t="n">
        <v>10000581</v>
      </c>
      <c r="B264" t="inlineStr">
        <is>
          <t>ZFER</t>
        </is>
      </c>
      <c r="C264" t="inlineStr">
        <is>
          <t>1000</t>
        </is>
      </c>
      <c r="D264" t="inlineStr">
        <is>
          <t>M3</t>
        </is>
      </c>
      <c r="E264" t="n">
        <v>1000</v>
      </c>
      <c r="F264" t="inlineStr">
        <is>
          <t>TN</t>
        </is>
      </c>
      <c r="G264" t="n">
        <v>1408</v>
      </c>
      <c r="H264" t="inlineStr">
        <is>
          <t>Grava Triturada Granito 20 mm - 3/4"</t>
        </is>
      </c>
    </row>
    <row r="265">
      <c r="A265" t="n">
        <v>10000583</v>
      </c>
      <c r="B265" t="inlineStr">
        <is>
          <t>ZFER</t>
        </is>
      </c>
      <c r="C265" t="inlineStr">
        <is>
          <t>1000</t>
        </is>
      </c>
      <c r="D265" t="inlineStr">
        <is>
          <t>M3</t>
        </is>
      </c>
      <c r="E265" t="n">
        <v>1000</v>
      </c>
      <c r="F265" t="inlineStr">
        <is>
          <t>TN</t>
        </is>
      </c>
      <c r="G265" t="n">
        <v>1156</v>
      </c>
      <c r="H265" t="inlineStr">
        <is>
          <t>Grava Triturada Caliza 20 mm - 3/4"</t>
        </is>
      </c>
    </row>
    <row r="266">
      <c r="A266" t="n">
        <v>10000585</v>
      </c>
      <c r="B266" t="inlineStr">
        <is>
          <t>ZFER</t>
        </is>
      </c>
      <c r="C266" t="inlineStr">
        <is>
          <t>1000</t>
        </is>
      </c>
      <c r="D266" t="inlineStr">
        <is>
          <t>M3</t>
        </is>
      </c>
      <c r="E266" t="n">
        <v>1000</v>
      </c>
      <c r="F266" t="inlineStr">
        <is>
          <t>TN</t>
        </is>
      </c>
      <c r="G266" t="n">
        <v>1350</v>
      </c>
      <c r="H266" t="inlineStr">
        <is>
          <t>Grava Triturada Marmol 20 mm - 3/4"</t>
        </is>
      </c>
    </row>
    <row r="267">
      <c r="A267" t="n">
        <v>10000586</v>
      </c>
      <c r="B267" t="inlineStr">
        <is>
          <t>ZFER</t>
        </is>
      </c>
      <c r="C267" t="inlineStr">
        <is>
          <t>1000</t>
        </is>
      </c>
      <c r="D267" t="inlineStr">
        <is>
          <t>M3</t>
        </is>
      </c>
      <c r="E267" t="n">
        <v>1000</v>
      </c>
      <c r="F267" t="inlineStr">
        <is>
          <t>TN</t>
        </is>
      </c>
      <c r="G267" t="n">
        <v>1900</v>
      </c>
      <c r="H267" t="inlineStr">
        <is>
          <t>Arena Triturada Marmol Malla 4</t>
        </is>
      </c>
    </row>
    <row r="268">
      <c r="A268" t="n">
        <v>10000587</v>
      </c>
      <c r="B268" t="inlineStr">
        <is>
          <t>ZFER</t>
        </is>
      </c>
      <c r="C268" t="inlineStr">
        <is>
          <t>1000</t>
        </is>
      </c>
      <c r="D268" t="inlineStr">
        <is>
          <t>M3</t>
        </is>
      </c>
      <c r="E268" t="n">
        <v>1000</v>
      </c>
      <c r="F268" t="inlineStr">
        <is>
          <t>TN</t>
        </is>
      </c>
      <c r="G268" t="n">
        <v>1500</v>
      </c>
      <c r="H268" t="inlineStr">
        <is>
          <t>BASE HIDRÁULICA SE DE 1 ½  A FINOS</t>
        </is>
      </c>
    </row>
    <row r="269">
      <c r="A269" t="n">
        <v>10000589</v>
      </c>
      <c r="B269" t="inlineStr">
        <is>
          <t>ZFER</t>
        </is>
      </c>
      <c r="C269" t="inlineStr">
        <is>
          <t>1000</t>
        </is>
      </c>
      <c r="D269" t="inlineStr">
        <is>
          <t>M3</t>
        </is>
      </c>
      <c r="E269" t="n">
        <v>1000</v>
      </c>
      <c r="F269" t="inlineStr">
        <is>
          <t>TN</t>
        </is>
      </c>
      <c r="G269" t="n">
        <v>1450</v>
      </c>
      <c r="H269" t="inlineStr">
        <is>
          <t>Grava Triturada Basalto 40 mm - 1 1/2"</t>
        </is>
      </c>
    </row>
    <row r="270">
      <c r="A270" t="n">
        <v>10000593</v>
      </c>
      <c r="B270" t="inlineStr">
        <is>
          <t>ZFER</t>
        </is>
      </c>
      <c r="C270" t="inlineStr">
        <is>
          <t>1000</t>
        </is>
      </c>
      <c r="D270" t="inlineStr">
        <is>
          <t>M3</t>
        </is>
      </c>
      <c r="E270" t="n">
        <v>1000</v>
      </c>
      <c r="F270" t="inlineStr">
        <is>
          <t>TN</t>
        </is>
      </c>
      <c r="G270" t="n">
        <v>1400</v>
      </c>
      <c r="H270" t="inlineStr">
        <is>
          <t>Arena Triturada Andesita Malla 4</t>
        </is>
      </c>
    </row>
    <row r="271">
      <c r="A271" t="n">
        <v>10000594</v>
      </c>
      <c r="B271" t="inlineStr">
        <is>
          <t>ZFER</t>
        </is>
      </c>
      <c r="C271" t="inlineStr">
        <is>
          <t>1000</t>
        </is>
      </c>
      <c r="D271" t="inlineStr">
        <is>
          <t>M3</t>
        </is>
      </c>
      <c r="E271" t="n">
        <v>1000</v>
      </c>
      <c r="F271" t="inlineStr">
        <is>
          <t>TN</t>
        </is>
      </c>
      <c r="G271" t="n">
        <v>1274</v>
      </c>
      <c r="H271" t="inlineStr">
        <is>
          <t>Grava Triturada Basalto 20 mm - 3/4"</t>
        </is>
      </c>
    </row>
    <row r="272">
      <c r="A272" t="n">
        <v>10000596</v>
      </c>
      <c r="B272" t="inlineStr">
        <is>
          <t>ZFER</t>
        </is>
      </c>
      <c r="C272" t="inlineStr">
        <is>
          <t>1000</t>
        </is>
      </c>
      <c r="D272" t="inlineStr">
        <is>
          <t>M3</t>
        </is>
      </c>
      <c r="E272" t="n">
        <v>1000</v>
      </c>
      <c r="F272" t="inlineStr">
        <is>
          <t>TN</t>
        </is>
      </c>
      <c r="G272" t="n">
        <v>1415</v>
      </c>
      <c r="H272" t="inlineStr">
        <is>
          <t>Grava Triturada Basalto 20 mm - 3/4"</t>
        </is>
      </c>
    </row>
    <row r="273">
      <c r="A273" t="n">
        <v>10000598</v>
      </c>
      <c r="B273" t="inlineStr">
        <is>
          <t>ZFER</t>
        </is>
      </c>
      <c r="C273" t="inlineStr">
        <is>
          <t>1000</t>
        </is>
      </c>
      <c r="D273" t="inlineStr">
        <is>
          <t>M3</t>
        </is>
      </c>
      <c r="E273" t="n">
        <v>1000</v>
      </c>
      <c r="F273" t="inlineStr">
        <is>
          <t>TN</t>
        </is>
      </c>
      <c r="G273" t="n">
        <v>1469</v>
      </c>
      <c r="H273" t="inlineStr">
        <is>
          <t>Arena Triturada Basalto  Malla 4</t>
        </is>
      </c>
    </row>
    <row r="274">
      <c r="A274" t="n">
        <v>10000602</v>
      </c>
      <c r="B274" t="inlineStr">
        <is>
          <t>ZFER</t>
        </is>
      </c>
      <c r="C274" t="inlineStr">
        <is>
          <t>1000</t>
        </is>
      </c>
      <c r="D274" t="inlineStr">
        <is>
          <t>M3</t>
        </is>
      </c>
      <c r="E274" t="n">
        <v>1000</v>
      </c>
      <c r="F274" t="inlineStr">
        <is>
          <t>TN</t>
        </is>
      </c>
      <c r="G274" t="n">
        <v>1593</v>
      </c>
      <c r="H274" t="inlineStr">
        <is>
          <t>Arena Triturada Caliza Malla 4</t>
        </is>
      </c>
    </row>
    <row r="275">
      <c r="A275" t="n">
        <v>10000603</v>
      </c>
      <c r="B275" t="inlineStr">
        <is>
          <t>ZFER</t>
        </is>
      </c>
      <c r="C275" t="inlineStr">
        <is>
          <t>1000</t>
        </is>
      </c>
      <c r="D275" t="inlineStr">
        <is>
          <t>M3</t>
        </is>
      </c>
      <c r="E275" t="n">
        <v>1000</v>
      </c>
      <c r="F275" t="inlineStr">
        <is>
          <t>TN</t>
        </is>
      </c>
      <c r="G275" t="n">
        <v>1413</v>
      </c>
      <c r="H275" t="inlineStr">
        <is>
          <t>Grava Clasificada Río  40 mm - 1 1/2"</t>
        </is>
      </c>
    </row>
    <row r="276">
      <c r="A276" t="n">
        <v>10000604</v>
      </c>
      <c r="B276" t="inlineStr">
        <is>
          <t>ZFER</t>
        </is>
      </c>
      <c r="C276" t="inlineStr">
        <is>
          <t>1000</t>
        </is>
      </c>
      <c r="D276" t="inlineStr">
        <is>
          <t>M3</t>
        </is>
      </c>
      <c r="E276" t="n">
        <v>1000</v>
      </c>
      <c r="F276" t="inlineStr">
        <is>
          <t>TN</t>
        </is>
      </c>
      <c r="G276" t="n">
        <v>1500</v>
      </c>
      <c r="H276" t="inlineStr">
        <is>
          <t>No Clasificado Caliza 3/4" a Finos</t>
        </is>
      </c>
    </row>
    <row r="277">
      <c r="A277" t="n">
        <v>10000606</v>
      </c>
      <c r="B277" t="inlineStr">
        <is>
          <t>ZFER</t>
        </is>
      </c>
      <c r="C277" t="inlineStr">
        <is>
          <t>1000</t>
        </is>
      </c>
      <c r="D277" t="inlineStr">
        <is>
          <t>M3</t>
        </is>
      </c>
      <c r="E277" t="n">
        <v>1000</v>
      </c>
      <c r="F277" t="inlineStr">
        <is>
          <t>TN</t>
        </is>
      </c>
      <c r="G277" t="n">
        <v>1440</v>
      </c>
      <c r="H277" t="inlineStr">
        <is>
          <t>Arena Triturada Caliza Malla 5</t>
        </is>
      </c>
    </row>
    <row r="278">
      <c r="A278" t="n">
        <v>10000607</v>
      </c>
      <c r="B278" t="inlineStr">
        <is>
          <t>ZFER</t>
        </is>
      </c>
      <c r="C278" t="inlineStr">
        <is>
          <t>1000</t>
        </is>
      </c>
      <c r="D278" t="inlineStr">
        <is>
          <t>M3</t>
        </is>
      </c>
      <c r="E278" t="n">
        <v>1000</v>
      </c>
      <c r="F278" t="inlineStr">
        <is>
          <t>TN</t>
        </is>
      </c>
      <c r="G278" t="n">
        <v>1480</v>
      </c>
      <c r="H278" t="inlineStr">
        <is>
          <t>No Clasificado Río  20 mm - 3/4"</t>
        </is>
      </c>
    </row>
    <row r="279">
      <c r="A279" t="n">
        <v>10000609</v>
      </c>
      <c r="B279" t="inlineStr">
        <is>
          <t>ZFER</t>
        </is>
      </c>
      <c r="C279" t="inlineStr">
        <is>
          <t>1000</t>
        </is>
      </c>
      <c r="D279" t="inlineStr">
        <is>
          <t>M3</t>
        </is>
      </c>
      <c r="E279" t="n">
        <v>1000</v>
      </c>
      <c r="F279" t="inlineStr">
        <is>
          <t>TN</t>
        </is>
      </c>
      <c r="G279" t="n">
        <v>1383</v>
      </c>
      <c r="H279" t="inlineStr">
        <is>
          <t>Arena Clasificado Río  3/8" a Finos</t>
        </is>
      </c>
    </row>
    <row r="280">
      <c r="A280" t="n">
        <v>10000613</v>
      </c>
      <c r="B280" t="inlineStr">
        <is>
          <t>ZFER</t>
        </is>
      </c>
      <c r="C280" t="inlineStr">
        <is>
          <t>1000</t>
        </is>
      </c>
      <c r="D280" t="inlineStr">
        <is>
          <t>M3</t>
        </is>
      </c>
      <c r="E280" t="n">
        <v>1000</v>
      </c>
      <c r="F280" t="inlineStr">
        <is>
          <t>TN</t>
        </is>
      </c>
      <c r="G280" t="n">
        <v>1293</v>
      </c>
      <c r="H280" t="inlineStr">
        <is>
          <t>Grava Triturada Caliza 10 mm - 3/8"</t>
        </is>
      </c>
    </row>
    <row r="281">
      <c r="A281" t="n">
        <v>10000617</v>
      </c>
      <c r="B281" t="inlineStr">
        <is>
          <t>ZFER</t>
        </is>
      </c>
      <c r="C281" t="inlineStr">
        <is>
          <t>1000</t>
        </is>
      </c>
      <c r="D281" t="inlineStr">
        <is>
          <t>M3</t>
        </is>
      </c>
      <c r="E281" t="n">
        <v>1000</v>
      </c>
      <c r="F281" t="inlineStr">
        <is>
          <t>TN</t>
        </is>
      </c>
      <c r="G281" t="n">
        <v>1560</v>
      </c>
      <c r="H281" t="inlineStr">
        <is>
          <t>Arena Triturada Caliza Malla 5</t>
        </is>
      </c>
    </row>
    <row r="282">
      <c r="A282" t="n">
        <v>10000618</v>
      </c>
      <c r="B282" t="inlineStr">
        <is>
          <t>ZFER</t>
        </is>
      </c>
      <c r="C282" t="inlineStr">
        <is>
          <t>1000</t>
        </is>
      </c>
      <c r="D282" t="inlineStr">
        <is>
          <t>M3</t>
        </is>
      </c>
      <c r="E282" t="n">
        <v>1000</v>
      </c>
      <c r="F282" t="inlineStr">
        <is>
          <t>TN</t>
        </is>
      </c>
      <c r="G282" t="n">
        <v>1300</v>
      </c>
      <c r="H282" t="inlineStr">
        <is>
          <t>Arena Clasificada Volcanica Malla 4</t>
        </is>
      </c>
    </row>
    <row r="283">
      <c r="A283" t="n">
        <v>10000619</v>
      </c>
      <c r="B283" t="inlineStr">
        <is>
          <t>ZFER</t>
        </is>
      </c>
      <c r="C283" t="inlineStr">
        <is>
          <t>1000</t>
        </is>
      </c>
      <c r="D283" t="inlineStr">
        <is>
          <t>M3</t>
        </is>
      </c>
      <c r="E283" t="n">
        <v>1000</v>
      </c>
      <c r="F283" t="inlineStr">
        <is>
          <t>TN</t>
        </is>
      </c>
      <c r="G283" t="n">
        <v>1361</v>
      </c>
      <c r="H283" t="inlineStr">
        <is>
          <t>Arena Clasificada Río Malla 4</t>
        </is>
      </c>
    </row>
    <row r="284">
      <c r="A284" t="n">
        <v>10000621</v>
      </c>
      <c r="B284" t="inlineStr">
        <is>
          <t>ZFER</t>
        </is>
      </c>
      <c r="C284" t="inlineStr">
        <is>
          <t>1000</t>
        </is>
      </c>
      <c r="D284" t="inlineStr">
        <is>
          <t>M3</t>
        </is>
      </c>
      <c r="E284" t="n">
        <v>1000</v>
      </c>
      <c r="F284" t="inlineStr">
        <is>
          <t>TN</t>
        </is>
      </c>
      <c r="G284" t="n">
        <v>1490</v>
      </c>
      <c r="H284" t="inlineStr">
        <is>
          <t>Grava Triturada Caliza 40 mm - 1 1/2"</t>
        </is>
      </c>
    </row>
    <row r="285">
      <c r="A285" t="n">
        <v>10000623</v>
      </c>
      <c r="B285" t="inlineStr">
        <is>
          <t>ZFER</t>
        </is>
      </c>
      <c r="C285" t="inlineStr">
        <is>
          <t>1000</t>
        </is>
      </c>
      <c r="D285" t="inlineStr">
        <is>
          <t>M3</t>
        </is>
      </c>
      <c r="E285" t="n">
        <v>1000</v>
      </c>
      <c r="F285" t="inlineStr">
        <is>
          <t>TN</t>
        </is>
      </c>
      <c r="G285" t="n">
        <v>1410</v>
      </c>
      <c r="H285" t="inlineStr">
        <is>
          <t>Grava Triturada Caliza 10 mm - 3/8"</t>
        </is>
      </c>
    </row>
    <row r="286">
      <c r="A286" t="n">
        <v>10000624</v>
      </c>
      <c r="B286" t="inlineStr">
        <is>
          <t>ZFER</t>
        </is>
      </c>
      <c r="C286" t="inlineStr">
        <is>
          <t>1000</t>
        </is>
      </c>
      <c r="D286" t="inlineStr">
        <is>
          <t>M3</t>
        </is>
      </c>
      <c r="E286" t="n">
        <v>1000</v>
      </c>
      <c r="F286" t="inlineStr">
        <is>
          <t>TN</t>
        </is>
      </c>
      <c r="G286" t="n">
        <v>1450</v>
      </c>
      <c r="H286" t="inlineStr">
        <is>
          <t>Grava Triturada Caliza 40 mm - 1 1/2"</t>
        </is>
      </c>
    </row>
    <row r="287">
      <c r="A287" t="n">
        <v>10000625</v>
      </c>
      <c r="B287" t="inlineStr">
        <is>
          <t>ZFER</t>
        </is>
      </c>
      <c r="C287" t="inlineStr">
        <is>
          <t>1000</t>
        </is>
      </c>
      <c r="D287" t="inlineStr">
        <is>
          <t>M3</t>
        </is>
      </c>
      <c r="E287" t="n">
        <v>1000</v>
      </c>
      <c r="F287" t="inlineStr">
        <is>
          <t>TN</t>
        </is>
      </c>
      <c r="G287" t="n">
        <v>1450</v>
      </c>
      <c r="H287" t="inlineStr">
        <is>
          <t>Arena Triturada Andesita Malla 4</t>
        </is>
      </c>
    </row>
    <row r="288">
      <c r="A288" t="n">
        <v>10000627</v>
      </c>
      <c r="B288" t="inlineStr">
        <is>
          <t>ZFER</t>
        </is>
      </c>
      <c r="C288" t="inlineStr">
        <is>
          <t>1000</t>
        </is>
      </c>
      <c r="D288" t="inlineStr">
        <is>
          <t>M3</t>
        </is>
      </c>
      <c r="E288" t="n">
        <v>1000</v>
      </c>
      <c r="F288" t="inlineStr">
        <is>
          <t>TN</t>
        </is>
      </c>
      <c r="G288" t="n">
        <v>1330</v>
      </c>
      <c r="H288" t="inlineStr">
        <is>
          <t>Grava Triturada Andesita 10 mm - 3/8"</t>
        </is>
      </c>
    </row>
    <row r="289">
      <c r="A289" t="n">
        <v>10000630</v>
      </c>
      <c r="B289" t="inlineStr">
        <is>
          <t>ZFER</t>
        </is>
      </c>
      <c r="C289" t="inlineStr">
        <is>
          <t>1000</t>
        </is>
      </c>
      <c r="D289" t="inlineStr">
        <is>
          <t>M3</t>
        </is>
      </c>
      <c r="E289" t="n">
        <v>1000</v>
      </c>
      <c r="F289" t="inlineStr">
        <is>
          <t>TN</t>
        </is>
      </c>
      <c r="G289" t="n">
        <v>1400</v>
      </c>
      <c r="H289" t="inlineStr">
        <is>
          <t>Grava Triturada Caliza 13 mm - 1/2"</t>
        </is>
      </c>
    </row>
    <row r="290">
      <c r="A290" t="n">
        <v>10000631</v>
      </c>
      <c r="B290" t="inlineStr">
        <is>
          <t>ZFER</t>
        </is>
      </c>
      <c r="C290" t="inlineStr">
        <is>
          <t>1000</t>
        </is>
      </c>
      <c r="D290" t="inlineStr">
        <is>
          <t>M3</t>
        </is>
      </c>
      <c r="E290" t="n">
        <v>1000</v>
      </c>
      <c r="F290" t="inlineStr">
        <is>
          <t>TN</t>
        </is>
      </c>
      <c r="G290" t="n">
        <v>1500</v>
      </c>
      <c r="H290" t="inlineStr">
        <is>
          <t>Grava Triturada Caliza 40 mm - 1 1/2"</t>
        </is>
      </c>
    </row>
    <row r="291">
      <c r="A291" t="n">
        <v>10000632</v>
      </c>
      <c r="B291" t="inlineStr">
        <is>
          <t>ZFER</t>
        </is>
      </c>
      <c r="C291" t="inlineStr">
        <is>
          <t>1000</t>
        </is>
      </c>
      <c r="D291" t="inlineStr">
        <is>
          <t>M3</t>
        </is>
      </c>
      <c r="E291" t="n">
        <v>1000</v>
      </c>
      <c r="F291" t="inlineStr">
        <is>
          <t>TN</t>
        </is>
      </c>
      <c r="G291" t="n">
        <v>1533</v>
      </c>
      <c r="H291" t="inlineStr">
        <is>
          <t>Grava Triturada Caliza 20 mm - 3/4"</t>
        </is>
      </c>
    </row>
    <row r="292">
      <c r="A292" t="n">
        <v>10000633</v>
      </c>
      <c r="B292" t="inlineStr">
        <is>
          <t>ZFER</t>
        </is>
      </c>
      <c r="C292" t="inlineStr">
        <is>
          <t>1000</t>
        </is>
      </c>
      <c r="D292" t="inlineStr">
        <is>
          <t>M3</t>
        </is>
      </c>
      <c r="E292" t="n">
        <v>1000</v>
      </c>
      <c r="F292" t="inlineStr">
        <is>
          <t>TN</t>
        </is>
      </c>
      <c r="G292" t="n">
        <v>1450</v>
      </c>
      <c r="H292" t="inlineStr">
        <is>
          <t>Arena Clasificada Río Malla 4</t>
        </is>
      </c>
    </row>
    <row r="293">
      <c r="A293" t="n">
        <v>10000635</v>
      </c>
      <c r="B293" t="inlineStr">
        <is>
          <t>ZFER</t>
        </is>
      </c>
      <c r="C293" t="inlineStr">
        <is>
          <t>1000</t>
        </is>
      </c>
      <c r="D293" t="inlineStr">
        <is>
          <t>M3</t>
        </is>
      </c>
      <c r="E293" t="n">
        <v>1000</v>
      </c>
      <c r="F293" t="inlineStr">
        <is>
          <t>TN</t>
        </is>
      </c>
      <c r="G293" t="n">
        <v>1650</v>
      </c>
      <c r="H293" t="inlineStr">
        <is>
          <t>Arena Triturada Marmol Malla 4</t>
        </is>
      </c>
    </row>
    <row r="294">
      <c r="A294" t="n">
        <v>10000643</v>
      </c>
      <c r="B294" t="inlineStr">
        <is>
          <t>ZFER</t>
        </is>
      </c>
      <c r="C294" t="inlineStr">
        <is>
          <t>1000</t>
        </is>
      </c>
      <c r="D294" t="inlineStr">
        <is>
          <t>M3</t>
        </is>
      </c>
      <c r="E294" t="n">
        <v>1000</v>
      </c>
      <c r="F294" t="inlineStr">
        <is>
          <t>TN</t>
        </is>
      </c>
      <c r="G294" t="n">
        <v>1600</v>
      </c>
      <c r="H294" t="inlineStr">
        <is>
          <t>Grava Triturada Marmol 20 mm - 3/4"</t>
        </is>
      </c>
    </row>
    <row r="295">
      <c r="A295" t="n">
        <v>10000645</v>
      </c>
      <c r="B295" t="inlineStr">
        <is>
          <t>ZFER</t>
        </is>
      </c>
      <c r="C295" t="inlineStr">
        <is>
          <t>1000</t>
        </is>
      </c>
      <c r="D295" t="inlineStr">
        <is>
          <t>M3</t>
        </is>
      </c>
      <c r="E295" t="n">
        <v>1000</v>
      </c>
      <c r="F295" t="inlineStr">
        <is>
          <t>TN</t>
        </is>
      </c>
      <c r="G295" t="n">
        <v>1620</v>
      </c>
      <c r="H295" t="inlineStr">
        <is>
          <t>Arena Clasificada Río Malla 4</t>
        </is>
      </c>
    </row>
    <row r="296">
      <c r="A296" t="n">
        <v>10000646</v>
      </c>
      <c r="B296" t="inlineStr">
        <is>
          <t>ZFER</t>
        </is>
      </c>
      <c r="C296" t="inlineStr">
        <is>
          <t>1000</t>
        </is>
      </c>
      <c r="D296" t="inlineStr">
        <is>
          <t>M3</t>
        </is>
      </c>
      <c r="E296" t="n">
        <v>1000</v>
      </c>
      <c r="F296" t="inlineStr">
        <is>
          <t>TN</t>
        </is>
      </c>
      <c r="G296" t="n">
        <v>1440</v>
      </c>
      <c r="H296" t="inlineStr">
        <is>
          <t>Grava Triturada Caliza 20 mm - 3/4"</t>
        </is>
      </c>
    </row>
    <row r="297">
      <c r="A297" t="n">
        <v>10000647</v>
      </c>
      <c r="B297" t="inlineStr">
        <is>
          <t>ZFER</t>
        </is>
      </c>
      <c r="C297" t="inlineStr">
        <is>
          <t>1000</t>
        </is>
      </c>
      <c r="D297" t="inlineStr">
        <is>
          <t>M3</t>
        </is>
      </c>
      <c r="E297" t="n">
        <v>1000</v>
      </c>
      <c r="F297" t="inlineStr">
        <is>
          <t>TN</t>
        </is>
      </c>
      <c r="G297" t="n">
        <v>1465</v>
      </c>
      <c r="H297" t="inlineStr">
        <is>
          <t>Arena Triturada Andesita Malla 4</t>
        </is>
      </c>
    </row>
    <row r="298">
      <c r="A298" t="n">
        <v>10000649</v>
      </c>
      <c r="B298" t="inlineStr">
        <is>
          <t>ZFER</t>
        </is>
      </c>
      <c r="C298" t="inlineStr">
        <is>
          <t>1000</t>
        </is>
      </c>
      <c r="D298" t="inlineStr">
        <is>
          <t>M3</t>
        </is>
      </c>
      <c r="E298" t="n">
        <v>1000</v>
      </c>
      <c r="F298" t="inlineStr">
        <is>
          <t>TN</t>
        </is>
      </c>
      <c r="G298" t="n">
        <v>1315</v>
      </c>
      <c r="H298" t="inlineStr">
        <is>
          <t>Grava Triturada Andesita 10 mm - 3/8"</t>
        </is>
      </c>
    </row>
    <row r="299">
      <c r="A299" t="n">
        <v>10000650</v>
      </c>
      <c r="B299" t="inlineStr">
        <is>
          <t>ZFER</t>
        </is>
      </c>
      <c r="C299" t="inlineStr">
        <is>
          <t>1000</t>
        </is>
      </c>
      <c r="D299" t="inlineStr">
        <is>
          <t>M3</t>
        </is>
      </c>
      <c r="E299" t="n">
        <v>1000</v>
      </c>
      <c r="F299" t="inlineStr">
        <is>
          <t>TN</t>
        </is>
      </c>
      <c r="G299" t="n">
        <v>1355</v>
      </c>
      <c r="H299" t="inlineStr">
        <is>
          <t>Grava Triturada Andesita 20 mm - 3/4"</t>
        </is>
      </c>
    </row>
    <row r="300">
      <c r="A300" t="n">
        <v>10000651</v>
      </c>
      <c r="B300" t="inlineStr">
        <is>
          <t>ZFER</t>
        </is>
      </c>
      <c r="C300" t="inlineStr">
        <is>
          <t>1000</t>
        </is>
      </c>
      <c r="D300" t="inlineStr">
        <is>
          <t>M3</t>
        </is>
      </c>
      <c r="E300" t="n">
        <v>1000</v>
      </c>
      <c r="F300" t="inlineStr">
        <is>
          <t>TN</t>
        </is>
      </c>
      <c r="G300" t="n">
        <v>1350</v>
      </c>
      <c r="H300" t="inlineStr">
        <is>
          <t>Arena Triturada Andesita Malla 8</t>
        </is>
      </c>
    </row>
    <row r="301">
      <c r="A301" t="n">
        <v>10000655</v>
      </c>
      <c r="B301" t="inlineStr">
        <is>
          <t>ZFER</t>
        </is>
      </c>
      <c r="C301" t="inlineStr">
        <is>
          <t>1000</t>
        </is>
      </c>
      <c r="D301" t="inlineStr">
        <is>
          <t>M3</t>
        </is>
      </c>
      <c r="E301" t="n">
        <v>1000</v>
      </c>
      <c r="F301" t="inlineStr">
        <is>
          <t>TN</t>
        </is>
      </c>
      <c r="G301" t="n">
        <v>1400</v>
      </c>
      <c r="H301" t="inlineStr">
        <is>
          <t>Grava Triturada Marmol 10 mm - 3/8"</t>
        </is>
      </c>
    </row>
    <row r="302">
      <c r="A302" t="n">
        <v>10000656</v>
      </c>
      <c r="B302" t="inlineStr">
        <is>
          <t>ZFER</t>
        </is>
      </c>
      <c r="C302" t="inlineStr">
        <is>
          <t>1000</t>
        </is>
      </c>
      <c r="D302" t="inlineStr">
        <is>
          <t>M3</t>
        </is>
      </c>
      <c r="E302" t="n">
        <v>1000</v>
      </c>
      <c r="F302" t="inlineStr">
        <is>
          <t>TN</t>
        </is>
      </c>
      <c r="G302" t="n">
        <v>1400</v>
      </c>
      <c r="H302" t="inlineStr">
        <is>
          <t>Grava Triturada Caliza 10 mm - 3/8"</t>
        </is>
      </c>
    </row>
    <row r="303">
      <c r="A303" t="n">
        <v>10000657</v>
      </c>
      <c r="B303" t="inlineStr">
        <is>
          <t>ZFER</t>
        </is>
      </c>
      <c r="C303" t="inlineStr">
        <is>
          <t>1000</t>
        </is>
      </c>
      <c r="D303" t="inlineStr">
        <is>
          <t>M3</t>
        </is>
      </c>
      <c r="E303" t="n">
        <v>1000</v>
      </c>
      <c r="F303" t="inlineStr">
        <is>
          <t>TN</t>
        </is>
      </c>
      <c r="G303" t="n">
        <v>1294</v>
      </c>
      <c r="H303" t="inlineStr">
        <is>
          <t>Arena Clasificada Río Malla 4</t>
        </is>
      </c>
    </row>
    <row r="304">
      <c r="A304" t="n">
        <v>10000661</v>
      </c>
      <c r="B304" t="inlineStr">
        <is>
          <t>ZFER</t>
        </is>
      </c>
      <c r="C304" t="inlineStr">
        <is>
          <t>1000</t>
        </is>
      </c>
      <c r="D304" t="inlineStr">
        <is>
          <t>M3</t>
        </is>
      </c>
      <c r="E304" t="n">
        <v>1000</v>
      </c>
      <c r="F304" t="inlineStr">
        <is>
          <t>TN</t>
        </is>
      </c>
      <c r="G304" t="n">
        <v>1470</v>
      </c>
      <c r="H304" t="inlineStr">
        <is>
          <t>Sobretamaño Triturado Basalto</t>
        </is>
      </c>
    </row>
    <row r="305">
      <c r="A305" t="n">
        <v>10000662</v>
      </c>
      <c r="B305" t="inlineStr">
        <is>
          <t>ZFER</t>
        </is>
      </c>
      <c r="C305" t="inlineStr">
        <is>
          <t>1000</t>
        </is>
      </c>
      <c r="D305" t="inlineStr">
        <is>
          <t>M3</t>
        </is>
      </c>
      <c r="E305" t="n">
        <v>1000</v>
      </c>
      <c r="F305" t="inlineStr">
        <is>
          <t>TN</t>
        </is>
      </c>
      <c r="G305" t="n">
        <v>1440</v>
      </c>
      <c r="H305" t="inlineStr">
        <is>
          <t>Sobretamaño Triturado Basalto</t>
        </is>
      </c>
    </row>
    <row r="306">
      <c r="A306" t="n">
        <v>10000663</v>
      </c>
      <c r="B306" t="inlineStr">
        <is>
          <t>ZFER</t>
        </is>
      </c>
      <c r="C306" t="inlineStr">
        <is>
          <t>1000</t>
        </is>
      </c>
      <c r="D306" t="inlineStr">
        <is>
          <t>M3</t>
        </is>
      </c>
      <c r="E306" t="n">
        <v>1000</v>
      </c>
      <c r="F306" t="inlineStr">
        <is>
          <t>TN</t>
        </is>
      </c>
      <c r="G306" t="n">
        <v>1350</v>
      </c>
      <c r="H306" t="inlineStr">
        <is>
          <t>Grava Clasificada Río  20 mm - 3/4"</t>
        </is>
      </c>
    </row>
    <row r="307">
      <c r="A307" t="n">
        <v>10000664</v>
      </c>
      <c r="B307" t="inlineStr">
        <is>
          <t>ZFER</t>
        </is>
      </c>
      <c r="C307" t="inlineStr">
        <is>
          <t>1000</t>
        </is>
      </c>
      <c r="D307" t="inlineStr">
        <is>
          <t>M3</t>
        </is>
      </c>
      <c r="E307" t="n">
        <v>1000</v>
      </c>
      <c r="F307" t="inlineStr">
        <is>
          <t>TN</t>
        </is>
      </c>
      <c r="G307" t="n">
        <v>1500</v>
      </c>
      <c r="H307" t="inlineStr">
        <is>
          <t>ARENA CLASIFICADA VOLCANICA MALLA 4</t>
        </is>
      </c>
    </row>
    <row r="308">
      <c r="A308" t="n">
        <v>10000666</v>
      </c>
      <c r="B308" t="inlineStr">
        <is>
          <t>ZFER</t>
        </is>
      </c>
      <c r="C308" t="inlineStr">
        <is>
          <t>1000</t>
        </is>
      </c>
      <c r="D308" t="inlineStr">
        <is>
          <t>M3</t>
        </is>
      </c>
      <c r="E308" t="n">
        <v>1000</v>
      </c>
      <c r="F308" t="inlineStr">
        <is>
          <t>TN</t>
        </is>
      </c>
      <c r="G308" t="n">
        <v>1330</v>
      </c>
      <c r="H308" t="inlineStr">
        <is>
          <t>Grava Triturada Basalto  40 mm - 1 1/2"</t>
        </is>
      </c>
    </row>
    <row r="309">
      <c r="A309" t="n">
        <v>10000669</v>
      </c>
      <c r="B309" t="inlineStr">
        <is>
          <t>ZFER</t>
        </is>
      </c>
      <c r="C309" t="inlineStr">
        <is>
          <t>1000</t>
        </is>
      </c>
      <c r="D309" t="inlineStr">
        <is>
          <t>M3</t>
        </is>
      </c>
      <c r="E309" t="n">
        <v>1000</v>
      </c>
      <c r="F309" t="inlineStr">
        <is>
          <t>TN</t>
        </is>
      </c>
      <c r="G309" t="n">
        <v>1312</v>
      </c>
      <c r="H309" t="inlineStr">
        <is>
          <t>Arena Clasificada Río Malla 4</t>
        </is>
      </c>
    </row>
    <row r="310">
      <c r="A310" t="n">
        <v>10000671</v>
      </c>
      <c r="B310" t="inlineStr">
        <is>
          <t>ZFER</t>
        </is>
      </c>
      <c r="C310" t="inlineStr">
        <is>
          <t>1000</t>
        </is>
      </c>
      <c r="D310" t="inlineStr">
        <is>
          <t>M3</t>
        </is>
      </c>
      <c r="E310" t="n">
        <v>1000</v>
      </c>
      <c r="F310" t="inlineStr">
        <is>
          <t>TN</t>
        </is>
      </c>
      <c r="G310" t="n">
        <v>1476</v>
      </c>
      <c r="H310" t="inlineStr">
        <is>
          <t>Arena Triturada Caliza Malla 4</t>
        </is>
      </c>
    </row>
    <row r="311">
      <c r="A311" t="n">
        <v>10000673</v>
      </c>
      <c r="B311" t="inlineStr">
        <is>
          <t>ZFER</t>
        </is>
      </c>
      <c r="C311" t="inlineStr">
        <is>
          <t>1000</t>
        </is>
      </c>
      <c r="D311" t="inlineStr">
        <is>
          <t>M3</t>
        </is>
      </c>
      <c r="E311" t="n">
        <v>1000</v>
      </c>
      <c r="F311" t="inlineStr">
        <is>
          <t>TN</t>
        </is>
      </c>
      <c r="G311" t="n">
        <v>1375</v>
      </c>
      <c r="H311" t="inlineStr">
        <is>
          <t>Grava Triturada Caliza 10 mm - 3/8"</t>
        </is>
      </c>
    </row>
    <row r="312">
      <c r="A312" t="n">
        <v>10000675</v>
      </c>
      <c r="B312" t="inlineStr">
        <is>
          <t>ZFER</t>
        </is>
      </c>
      <c r="C312" t="inlineStr">
        <is>
          <t>1000</t>
        </is>
      </c>
      <c r="D312" t="inlineStr">
        <is>
          <t>M3</t>
        </is>
      </c>
      <c r="E312" t="n">
        <v>1000</v>
      </c>
      <c r="F312" t="inlineStr">
        <is>
          <t>TN</t>
        </is>
      </c>
      <c r="G312" t="n">
        <v>1311</v>
      </c>
      <c r="H312" t="inlineStr">
        <is>
          <t>Grava Triturada Andesita 20 mm - 3/4"</t>
        </is>
      </c>
    </row>
    <row r="313">
      <c r="A313" t="n">
        <v>10000677</v>
      </c>
      <c r="B313" t="inlineStr">
        <is>
          <t>ZFER</t>
        </is>
      </c>
      <c r="C313" t="inlineStr">
        <is>
          <t>1000</t>
        </is>
      </c>
      <c r="D313" t="inlineStr">
        <is>
          <t>M3</t>
        </is>
      </c>
      <c r="E313" t="n">
        <v>1000</v>
      </c>
      <c r="F313" t="inlineStr">
        <is>
          <t>TN</t>
        </is>
      </c>
      <c r="G313" t="n">
        <v>1164</v>
      </c>
      <c r="H313" t="inlineStr">
        <is>
          <t>Grava Triturada Caliza 20 mm - 3/4"</t>
        </is>
      </c>
    </row>
    <row r="314">
      <c r="A314" t="n">
        <v>10000689</v>
      </c>
      <c r="B314" t="inlineStr">
        <is>
          <t>ZFER</t>
        </is>
      </c>
      <c r="C314" t="inlineStr">
        <is>
          <t>1000</t>
        </is>
      </c>
      <c r="D314" t="inlineStr">
        <is>
          <t>M3</t>
        </is>
      </c>
      <c r="E314" t="n">
        <v>1000</v>
      </c>
      <c r="F314" t="inlineStr">
        <is>
          <t>TN</t>
        </is>
      </c>
      <c r="G314" t="n">
        <v>1404</v>
      </c>
      <c r="H314" t="inlineStr">
        <is>
          <t>Grava Triturada Caliza 13 mm - 1/2"</t>
        </is>
      </c>
    </row>
    <row r="315">
      <c r="A315" t="n">
        <v>10000712</v>
      </c>
      <c r="B315" t="inlineStr">
        <is>
          <t>ZFER</t>
        </is>
      </c>
      <c r="C315" t="inlineStr">
        <is>
          <t>1000</t>
        </is>
      </c>
      <c r="D315" t="inlineStr">
        <is>
          <t>M3</t>
        </is>
      </c>
      <c r="E315" t="n">
        <v>1000</v>
      </c>
      <c r="F315" t="inlineStr">
        <is>
          <t>TN</t>
        </is>
      </c>
      <c r="G315" t="n">
        <v>1361</v>
      </c>
      <c r="H315" t="inlineStr">
        <is>
          <t>Grava Triturada Caliza 10 mm - 3/8"</t>
        </is>
      </c>
    </row>
    <row r="316">
      <c r="A316" t="n">
        <v>10000716</v>
      </c>
      <c r="B316" t="inlineStr">
        <is>
          <t>ZFER</t>
        </is>
      </c>
      <c r="C316" t="inlineStr">
        <is>
          <t>1000</t>
        </is>
      </c>
      <c r="D316" t="inlineStr">
        <is>
          <t>M3</t>
        </is>
      </c>
      <c r="E316" t="n">
        <v>1000</v>
      </c>
      <c r="F316" t="inlineStr">
        <is>
          <t>TN</t>
        </is>
      </c>
      <c r="G316" t="n">
        <v>1182</v>
      </c>
      <c r="H316" t="inlineStr">
        <is>
          <t>Grava Triturada Caliza 13 mm - 1/2"</t>
        </is>
      </c>
    </row>
    <row r="317">
      <c r="A317" t="n">
        <v>10000719</v>
      </c>
      <c r="B317" t="inlineStr">
        <is>
          <t>ZFER</t>
        </is>
      </c>
      <c r="C317" t="inlineStr">
        <is>
          <t>1000</t>
        </is>
      </c>
      <c r="D317" t="inlineStr">
        <is>
          <t>M3</t>
        </is>
      </c>
      <c r="E317" t="n">
        <v>1000</v>
      </c>
      <c r="F317" t="inlineStr">
        <is>
          <t>TN</t>
        </is>
      </c>
      <c r="G317" t="n">
        <v>1442</v>
      </c>
      <c r="H317" t="inlineStr">
        <is>
          <t>Arena Clasificada Río Malla 8</t>
        </is>
      </c>
    </row>
    <row r="318">
      <c r="A318" t="n">
        <v>10000722</v>
      </c>
      <c r="B318" t="inlineStr">
        <is>
          <t>ZFER</t>
        </is>
      </c>
      <c r="C318" t="inlineStr">
        <is>
          <t>1000</t>
        </is>
      </c>
      <c r="D318" t="inlineStr">
        <is>
          <t>M3</t>
        </is>
      </c>
      <c r="E318" t="n">
        <v>1000</v>
      </c>
      <c r="F318" t="inlineStr">
        <is>
          <t>TN</t>
        </is>
      </c>
      <c r="G318" t="n">
        <v>1440</v>
      </c>
      <c r="H318" t="inlineStr">
        <is>
          <t>Grava Triturada Caliza 20 mm - 3/4"</t>
        </is>
      </c>
    </row>
    <row r="319">
      <c r="A319" t="n">
        <v>10000723</v>
      </c>
      <c r="B319" t="inlineStr">
        <is>
          <t>ZFER</t>
        </is>
      </c>
      <c r="C319" t="inlineStr">
        <is>
          <t>1000</t>
        </is>
      </c>
      <c r="D319" t="inlineStr">
        <is>
          <t>M3</t>
        </is>
      </c>
      <c r="E319" t="n">
        <v>1000</v>
      </c>
      <c r="F319" t="inlineStr">
        <is>
          <t>TN</t>
        </is>
      </c>
      <c r="G319" t="n">
        <v>1700</v>
      </c>
      <c r="H319" t="inlineStr">
        <is>
          <t>No Clasificado Basalto  3/4" a Finos</t>
        </is>
      </c>
    </row>
    <row r="320">
      <c r="A320" t="n">
        <v>10000726</v>
      </c>
      <c r="B320" t="inlineStr">
        <is>
          <t>ZFER</t>
        </is>
      </c>
      <c r="C320" t="inlineStr">
        <is>
          <t>1000</t>
        </is>
      </c>
      <c r="D320" t="inlineStr">
        <is>
          <t>M3</t>
        </is>
      </c>
      <c r="E320" t="n">
        <v>1000</v>
      </c>
      <c r="F320" t="inlineStr">
        <is>
          <t>TN</t>
        </is>
      </c>
      <c r="G320" t="n">
        <v>1333</v>
      </c>
      <c r="H320" t="inlineStr">
        <is>
          <t>Grava Triturada Basalto  13 mm - 1/2"</t>
        </is>
      </c>
    </row>
    <row r="321">
      <c r="A321" t="n">
        <v>10000729</v>
      </c>
      <c r="B321" t="inlineStr">
        <is>
          <t>ZFER</t>
        </is>
      </c>
      <c r="C321" t="inlineStr">
        <is>
          <t>1000</t>
        </is>
      </c>
      <c r="D321" t="inlineStr">
        <is>
          <t>M3</t>
        </is>
      </c>
      <c r="E321" t="n">
        <v>1000</v>
      </c>
      <c r="F321" t="inlineStr">
        <is>
          <t>TN</t>
        </is>
      </c>
      <c r="G321" t="n">
        <v>1440</v>
      </c>
      <c r="H321" t="inlineStr">
        <is>
          <t>Grava Triturada Caliza  40 mm - 1 1/2"</t>
        </is>
      </c>
    </row>
    <row r="322">
      <c r="A322" t="n">
        <v>10000730</v>
      </c>
      <c r="B322" t="inlineStr">
        <is>
          <t>ZFER</t>
        </is>
      </c>
      <c r="C322" t="inlineStr">
        <is>
          <t>1000</t>
        </is>
      </c>
      <c r="D322" t="inlineStr">
        <is>
          <t>M3</t>
        </is>
      </c>
      <c r="E322" t="n">
        <v>1000</v>
      </c>
      <c r="F322" t="inlineStr">
        <is>
          <t>TN</t>
        </is>
      </c>
      <c r="G322" t="n">
        <v>1456</v>
      </c>
      <c r="H322" t="inlineStr">
        <is>
          <t>Grava Clasificada Río  20 mm - 3/4"</t>
        </is>
      </c>
    </row>
    <row r="323">
      <c r="A323" t="n">
        <v>10000732</v>
      </c>
      <c r="B323" t="inlineStr">
        <is>
          <t>ZFER</t>
        </is>
      </c>
      <c r="C323" t="inlineStr">
        <is>
          <t>1000</t>
        </is>
      </c>
      <c r="D323" t="inlineStr">
        <is>
          <t>M3</t>
        </is>
      </c>
      <c r="E323" t="n">
        <v>1000</v>
      </c>
      <c r="F323" t="inlineStr">
        <is>
          <t>TN</t>
        </is>
      </c>
      <c r="G323" t="n">
        <v>1248</v>
      </c>
      <c r="H323" t="inlineStr">
        <is>
          <t>Tepetate Clasificado Tierra NA</t>
        </is>
      </c>
    </row>
    <row r="324">
      <c r="A324" t="n">
        <v>10000733</v>
      </c>
      <c r="B324" t="inlineStr">
        <is>
          <t>ZFER</t>
        </is>
      </c>
      <c r="C324" t="inlineStr">
        <is>
          <t>1000</t>
        </is>
      </c>
      <c r="D324" t="inlineStr">
        <is>
          <t>M3</t>
        </is>
      </c>
      <c r="E324" t="n">
        <v>1000</v>
      </c>
      <c r="F324" t="inlineStr">
        <is>
          <t>TN</t>
        </is>
      </c>
      <c r="G324" t="n">
        <v>1500</v>
      </c>
      <c r="H324" t="inlineStr">
        <is>
          <t>No Clasificado Caliza 40 mm - 1 1/2"</t>
        </is>
      </c>
    </row>
    <row r="325">
      <c r="A325" t="n">
        <v>10000735</v>
      </c>
      <c r="B325" t="inlineStr">
        <is>
          <t>ZFER</t>
        </is>
      </c>
      <c r="C325" t="inlineStr">
        <is>
          <t>1000</t>
        </is>
      </c>
      <c r="D325" t="inlineStr">
        <is>
          <t>M3</t>
        </is>
      </c>
      <c r="E325" t="n">
        <v>1000</v>
      </c>
      <c r="F325" t="inlineStr">
        <is>
          <t>TN</t>
        </is>
      </c>
      <c r="G325" t="n">
        <v>1410</v>
      </c>
      <c r="H325" t="inlineStr">
        <is>
          <t>Grava Triturada Caliza 10 mm - 3/8"</t>
        </is>
      </c>
    </row>
    <row r="326">
      <c r="A326" t="n">
        <v>10000737</v>
      </c>
      <c r="B326" t="inlineStr">
        <is>
          <t>ZFER</t>
        </is>
      </c>
      <c r="C326" t="inlineStr">
        <is>
          <t>1000</t>
        </is>
      </c>
      <c r="D326" t="inlineStr">
        <is>
          <t>M3</t>
        </is>
      </c>
      <c r="E326" t="n">
        <v>1000</v>
      </c>
      <c r="F326" t="inlineStr">
        <is>
          <t>TN</t>
        </is>
      </c>
      <c r="G326" t="n">
        <v>1360</v>
      </c>
      <c r="H326" t="inlineStr">
        <is>
          <t>Grava Triturada Granito 40 mm - 1 1/2"</t>
        </is>
      </c>
    </row>
    <row r="327">
      <c r="A327" t="n">
        <v>10000742</v>
      </c>
      <c r="B327" t="inlineStr">
        <is>
          <t>ZFER</t>
        </is>
      </c>
      <c r="C327" t="inlineStr">
        <is>
          <t>1000</t>
        </is>
      </c>
      <c r="D327" t="inlineStr">
        <is>
          <t>M3</t>
        </is>
      </c>
      <c r="E327" t="n">
        <v>1000</v>
      </c>
      <c r="F327" t="inlineStr">
        <is>
          <t>TN</t>
        </is>
      </c>
      <c r="G327" t="n">
        <v>1375</v>
      </c>
      <c r="H327" t="inlineStr">
        <is>
          <t>Arena Triturada Caliza Malla 4</t>
        </is>
      </c>
    </row>
    <row r="328">
      <c r="A328" t="n">
        <v>10000752</v>
      </c>
      <c r="B328" t="inlineStr">
        <is>
          <t>ZFER</t>
        </is>
      </c>
      <c r="C328" t="inlineStr">
        <is>
          <t>1000</t>
        </is>
      </c>
      <c r="D328" t="inlineStr">
        <is>
          <t>M3</t>
        </is>
      </c>
      <c r="E328" t="n">
        <v>1000</v>
      </c>
      <c r="F328" t="inlineStr">
        <is>
          <t>TN</t>
        </is>
      </c>
      <c r="G328" t="n">
        <v>1310</v>
      </c>
      <c r="H328" t="inlineStr">
        <is>
          <t>Grava Triturada Caliza 20 mm - 3/4"</t>
        </is>
      </c>
    </row>
    <row r="329">
      <c r="A329" t="n">
        <v>10000754</v>
      </c>
      <c r="B329" t="inlineStr">
        <is>
          <t>ZFER</t>
        </is>
      </c>
      <c r="C329" t="inlineStr">
        <is>
          <t>1000</t>
        </is>
      </c>
      <c r="D329" t="inlineStr">
        <is>
          <t>M3</t>
        </is>
      </c>
      <c r="E329" t="n">
        <v>1000</v>
      </c>
      <c r="F329" t="inlineStr">
        <is>
          <t>TN</t>
        </is>
      </c>
      <c r="G329" t="n">
        <v>1400</v>
      </c>
      <c r="H329" t="inlineStr">
        <is>
          <t>Grava Triturada Basalto 20 mm - 3/4"</t>
        </is>
      </c>
    </row>
    <row r="330">
      <c r="A330" t="n">
        <v>10000755</v>
      </c>
      <c r="B330" t="inlineStr">
        <is>
          <t>ZFER</t>
        </is>
      </c>
      <c r="C330" t="inlineStr">
        <is>
          <t>1000</t>
        </is>
      </c>
      <c r="D330" t="inlineStr">
        <is>
          <t>M3</t>
        </is>
      </c>
      <c r="E330" t="n">
        <v>1000</v>
      </c>
      <c r="F330" t="inlineStr">
        <is>
          <t>TN</t>
        </is>
      </c>
      <c r="G330" t="n">
        <v>1330</v>
      </c>
      <c r="H330" t="inlineStr">
        <is>
          <t>Grava Triturada Basalto  20 mm - 3/4"</t>
        </is>
      </c>
    </row>
    <row r="331">
      <c r="A331" t="n">
        <v>10000757</v>
      </c>
      <c r="B331" t="inlineStr">
        <is>
          <t>ZFER</t>
        </is>
      </c>
      <c r="C331" t="inlineStr">
        <is>
          <t>1000</t>
        </is>
      </c>
      <c r="D331" t="inlineStr">
        <is>
          <t>M3</t>
        </is>
      </c>
      <c r="E331" t="n">
        <v>1000</v>
      </c>
      <c r="F331" t="inlineStr">
        <is>
          <t>TN</t>
        </is>
      </c>
      <c r="G331" t="n">
        <v>1600</v>
      </c>
      <c r="H331" t="inlineStr">
        <is>
          <t>Base H Triturada Caliza 1 1/2" a Finos</t>
        </is>
      </c>
    </row>
    <row r="332">
      <c r="A332" t="n">
        <v>10000759</v>
      </c>
      <c r="B332" t="inlineStr">
        <is>
          <t>ZFER</t>
        </is>
      </c>
      <c r="C332" t="inlineStr">
        <is>
          <t>1000</t>
        </is>
      </c>
      <c r="D332" t="inlineStr">
        <is>
          <t>M3</t>
        </is>
      </c>
      <c r="E332" t="n">
        <v>1000</v>
      </c>
      <c r="F332" t="inlineStr">
        <is>
          <t>TN</t>
        </is>
      </c>
      <c r="G332" t="n">
        <v>1500</v>
      </c>
      <c r="H332" t="inlineStr">
        <is>
          <t>Base H Triturado Caliza 3/4"" a Finos"</t>
        </is>
      </c>
    </row>
    <row r="333">
      <c r="A333" t="n">
        <v>10000760</v>
      </c>
      <c r="B333" t="inlineStr">
        <is>
          <t>ZFER</t>
        </is>
      </c>
      <c r="C333" t="inlineStr">
        <is>
          <t>1000</t>
        </is>
      </c>
      <c r="D333" t="inlineStr">
        <is>
          <t>M3</t>
        </is>
      </c>
      <c r="E333" t="n">
        <v>1000</v>
      </c>
      <c r="F333" t="inlineStr">
        <is>
          <t>TN</t>
        </is>
      </c>
      <c r="G333" t="n">
        <v>1500</v>
      </c>
      <c r="H333" t="inlineStr">
        <is>
          <t>No Clasificado Triturado Caliza NA</t>
        </is>
      </c>
    </row>
    <row r="334">
      <c r="A334" t="n">
        <v>10000762</v>
      </c>
      <c r="B334" t="inlineStr">
        <is>
          <t>ZFER</t>
        </is>
      </c>
      <c r="C334" t="inlineStr">
        <is>
          <t>1000</t>
        </is>
      </c>
      <c r="D334" t="inlineStr">
        <is>
          <t>M3</t>
        </is>
      </c>
      <c r="E334" t="n">
        <v>1000</v>
      </c>
      <c r="F334" t="inlineStr">
        <is>
          <t>TN</t>
        </is>
      </c>
      <c r="G334" t="n">
        <v>1325</v>
      </c>
      <c r="H334" t="inlineStr">
        <is>
          <t>Grava Triturada Caliza 20 mm - 3/4"</t>
        </is>
      </c>
    </row>
    <row r="335">
      <c r="A335" t="n">
        <v>10000769</v>
      </c>
      <c r="B335" t="inlineStr">
        <is>
          <t>ZFER</t>
        </is>
      </c>
      <c r="C335" t="inlineStr">
        <is>
          <t>1000</t>
        </is>
      </c>
      <c r="D335" t="inlineStr">
        <is>
          <t>M3</t>
        </is>
      </c>
      <c r="E335" t="n">
        <v>1000</v>
      </c>
      <c r="F335" t="inlineStr">
        <is>
          <t>TN</t>
        </is>
      </c>
      <c r="G335" t="n">
        <v>1200</v>
      </c>
      <c r="H335" t="inlineStr">
        <is>
          <t>Subproducto Arena Trit Pomez - Amarilla</t>
        </is>
      </c>
    </row>
    <row r="336">
      <c r="A336" t="n">
        <v>10000774</v>
      </c>
      <c r="B336" t="inlineStr">
        <is>
          <t>ZFER</t>
        </is>
      </c>
      <c r="C336" t="inlineStr">
        <is>
          <t>1000</t>
        </is>
      </c>
      <c r="D336" t="inlineStr">
        <is>
          <t>M3</t>
        </is>
      </c>
      <c r="E336" t="n">
        <v>1000</v>
      </c>
      <c r="F336" t="inlineStr">
        <is>
          <t>TN</t>
        </is>
      </c>
      <c r="G336" t="n">
        <v>1325</v>
      </c>
      <c r="H336" t="inlineStr">
        <is>
          <t>Grava Triturada Caliza 40 mm - 1 1/2"</t>
        </is>
      </c>
    </row>
    <row r="337">
      <c r="A337" t="n">
        <v>10000775</v>
      </c>
      <c r="B337" t="inlineStr">
        <is>
          <t>ZFER</t>
        </is>
      </c>
      <c r="C337" t="inlineStr">
        <is>
          <t>1000</t>
        </is>
      </c>
      <c r="D337" t="inlineStr">
        <is>
          <t>M3</t>
        </is>
      </c>
      <c r="E337" t="n">
        <v>1000</v>
      </c>
      <c r="F337" t="inlineStr">
        <is>
          <t>TN</t>
        </is>
      </c>
      <c r="G337" t="n">
        <v>1325</v>
      </c>
      <c r="H337" t="inlineStr">
        <is>
          <t>Grava Triturada Caliza 20 mm - 3/4"</t>
        </is>
      </c>
    </row>
    <row r="338">
      <c r="A338" t="n">
        <v>10000780</v>
      </c>
      <c r="B338" t="inlineStr">
        <is>
          <t>ZFER</t>
        </is>
      </c>
      <c r="C338" t="inlineStr">
        <is>
          <t>1000</t>
        </is>
      </c>
      <c r="D338" t="inlineStr">
        <is>
          <t>M3</t>
        </is>
      </c>
      <c r="E338" t="n">
        <v>1000</v>
      </c>
      <c r="F338" t="inlineStr">
        <is>
          <t>TN</t>
        </is>
      </c>
      <c r="G338" t="n">
        <v>1600</v>
      </c>
      <c r="H338" t="inlineStr">
        <is>
          <t>Arena Triturada Basalto  Malla 4</t>
        </is>
      </c>
    </row>
    <row r="339">
      <c r="A339" t="n">
        <v>10000781</v>
      </c>
      <c r="B339" t="inlineStr">
        <is>
          <t>ZFER</t>
        </is>
      </c>
      <c r="C339" t="inlineStr">
        <is>
          <t>1000</t>
        </is>
      </c>
      <c r="D339" t="inlineStr">
        <is>
          <t>M3</t>
        </is>
      </c>
      <c r="E339" t="n">
        <v>1000</v>
      </c>
      <c r="F339" t="inlineStr">
        <is>
          <t>TN</t>
        </is>
      </c>
      <c r="G339" t="n">
        <v>1429</v>
      </c>
      <c r="H339" t="inlineStr">
        <is>
          <t>Grava Triturada Basalto  20 mm - 3/4"</t>
        </is>
      </c>
    </row>
    <row r="340">
      <c r="A340" t="n">
        <v>10000786</v>
      </c>
      <c r="B340" t="inlineStr">
        <is>
          <t>ZFER</t>
        </is>
      </c>
      <c r="C340" t="inlineStr">
        <is>
          <t>1000</t>
        </is>
      </c>
      <c r="D340" t="inlineStr">
        <is>
          <t>M3</t>
        </is>
      </c>
      <c r="E340" t="n">
        <v>1000</v>
      </c>
      <c r="F340" t="inlineStr">
        <is>
          <t>TN</t>
        </is>
      </c>
      <c r="G340" t="n">
        <v>1180</v>
      </c>
      <c r="H340" t="inlineStr">
        <is>
          <t>Arena Clasificada Río Malla 4</t>
        </is>
      </c>
    </row>
    <row r="341">
      <c r="A341" t="n">
        <v>10000791</v>
      </c>
      <c r="B341" t="inlineStr">
        <is>
          <t>ZFER</t>
        </is>
      </c>
      <c r="C341" t="inlineStr">
        <is>
          <t>1000</t>
        </is>
      </c>
      <c r="D341" t="inlineStr">
        <is>
          <t>M3</t>
        </is>
      </c>
      <c r="E341" t="n">
        <v>1000</v>
      </c>
      <c r="F341" t="inlineStr">
        <is>
          <t>TN</t>
        </is>
      </c>
      <c r="G341" t="n">
        <v>1408</v>
      </c>
      <c r="H341" t="inlineStr">
        <is>
          <t>Arena Triturada Caliza Malla 4</t>
        </is>
      </c>
    </row>
    <row r="342">
      <c r="A342" t="n">
        <v>10000802</v>
      </c>
      <c r="B342" t="inlineStr">
        <is>
          <t>ZFER</t>
        </is>
      </c>
      <c r="C342" t="inlineStr">
        <is>
          <t>1000</t>
        </is>
      </c>
      <c r="D342" t="inlineStr">
        <is>
          <t>M3</t>
        </is>
      </c>
      <c r="E342" t="n">
        <v>1000</v>
      </c>
      <c r="F342" t="inlineStr">
        <is>
          <t>TN</t>
        </is>
      </c>
      <c r="G342" t="n">
        <v>1400</v>
      </c>
      <c r="H342" t="inlineStr">
        <is>
          <t>Base H Triturada Caliza 3/4"" a Finos"</t>
        </is>
      </c>
    </row>
    <row r="343">
      <c r="A343" t="n">
        <v>10000804</v>
      </c>
      <c r="B343" t="inlineStr">
        <is>
          <t>ZFER</t>
        </is>
      </c>
      <c r="C343" t="inlineStr">
        <is>
          <t>1000</t>
        </is>
      </c>
      <c r="D343" t="inlineStr">
        <is>
          <t>M3</t>
        </is>
      </c>
      <c r="E343" t="n">
        <v>1000</v>
      </c>
      <c r="F343" t="inlineStr">
        <is>
          <t>TN</t>
        </is>
      </c>
      <c r="G343" t="n">
        <v>1378</v>
      </c>
      <c r="H343" t="inlineStr">
        <is>
          <t>Grava Triturada Marmol 20 mm - 3/4"</t>
        </is>
      </c>
    </row>
    <row r="344">
      <c r="A344" t="n">
        <v>10000807</v>
      </c>
      <c r="B344" t="inlineStr">
        <is>
          <t>ZFER</t>
        </is>
      </c>
      <c r="C344" t="inlineStr">
        <is>
          <t>1000</t>
        </is>
      </c>
      <c r="D344" t="inlineStr">
        <is>
          <t>M3</t>
        </is>
      </c>
      <c r="E344" t="n">
        <v>1000</v>
      </c>
      <c r="F344" t="inlineStr">
        <is>
          <t>TN</t>
        </is>
      </c>
      <c r="G344" t="n">
        <v>1327</v>
      </c>
      <c r="H344" t="inlineStr">
        <is>
          <t>Grava Triturada Basalto  20 mm - 3/4"</t>
        </is>
      </c>
    </row>
    <row r="345">
      <c r="A345" t="n">
        <v>10000811</v>
      </c>
      <c r="B345" t="inlineStr">
        <is>
          <t>ZFER</t>
        </is>
      </c>
      <c r="C345" t="inlineStr">
        <is>
          <t>1000</t>
        </is>
      </c>
      <c r="D345" t="inlineStr">
        <is>
          <t>M3</t>
        </is>
      </c>
      <c r="E345" t="n">
        <v>1000</v>
      </c>
      <c r="F345" t="inlineStr">
        <is>
          <t>TN</t>
        </is>
      </c>
      <c r="G345" t="n">
        <v>1447</v>
      </c>
      <c r="H345" t="inlineStr">
        <is>
          <t>Grava Triturada Caliza 20 mm - 3/4"</t>
        </is>
      </c>
    </row>
    <row r="346">
      <c r="A346" t="n">
        <v>10000815</v>
      </c>
      <c r="B346" t="inlineStr">
        <is>
          <t>ZFER</t>
        </is>
      </c>
      <c r="C346" t="inlineStr">
        <is>
          <t>1000</t>
        </is>
      </c>
      <c r="D346" t="inlineStr">
        <is>
          <t>M3</t>
        </is>
      </c>
      <c r="E346" t="n">
        <v>1000</v>
      </c>
      <c r="F346" t="inlineStr">
        <is>
          <t>TN</t>
        </is>
      </c>
      <c r="G346" t="n">
        <v>1450</v>
      </c>
      <c r="H346" t="inlineStr">
        <is>
          <t>No Clasificado Caliza 1 1/2"" a Finos"</t>
        </is>
      </c>
    </row>
    <row r="347">
      <c r="A347" t="n">
        <v>10000826</v>
      </c>
      <c r="B347" t="inlineStr">
        <is>
          <t>ZFER</t>
        </is>
      </c>
      <c r="C347" t="inlineStr">
        <is>
          <t>1000</t>
        </is>
      </c>
      <c r="D347" t="inlineStr">
        <is>
          <t>M3</t>
        </is>
      </c>
      <c r="E347" t="n">
        <v>1000</v>
      </c>
      <c r="F347" t="inlineStr">
        <is>
          <t>TN</t>
        </is>
      </c>
      <c r="G347" t="n">
        <v>1450</v>
      </c>
      <c r="H347" t="inlineStr">
        <is>
          <t>Arena Clasificada Río Malla 4</t>
        </is>
      </c>
    </row>
    <row r="348">
      <c r="A348" t="n">
        <v>10000829</v>
      </c>
      <c r="B348" t="inlineStr">
        <is>
          <t>ZFER</t>
        </is>
      </c>
      <c r="C348" t="inlineStr">
        <is>
          <t>1000</t>
        </is>
      </c>
      <c r="D348" t="inlineStr">
        <is>
          <t>M3</t>
        </is>
      </c>
      <c r="E348" t="n">
        <v>1000</v>
      </c>
      <c r="F348" t="inlineStr">
        <is>
          <t>TN</t>
        </is>
      </c>
      <c r="G348" t="n">
        <v>1430</v>
      </c>
      <c r="H348" t="inlineStr">
        <is>
          <t>Arena Triturada Basalto  Malla 5</t>
        </is>
      </c>
    </row>
    <row r="349">
      <c r="A349" t="n">
        <v>10000833</v>
      </c>
      <c r="B349" t="inlineStr">
        <is>
          <t>ZFER</t>
        </is>
      </c>
      <c r="C349" t="inlineStr">
        <is>
          <t>1000</t>
        </is>
      </c>
      <c r="D349" t="inlineStr">
        <is>
          <t>M3</t>
        </is>
      </c>
      <c r="E349" t="n">
        <v>1000</v>
      </c>
      <c r="F349" t="inlineStr">
        <is>
          <t>TN</t>
        </is>
      </c>
      <c r="G349" t="n">
        <v>1400</v>
      </c>
      <c r="H349" t="inlineStr">
        <is>
          <t>Grava Triturada Caliza 40 mm - 1 1/2"</t>
        </is>
      </c>
    </row>
    <row r="350">
      <c r="A350" t="n">
        <v>10000834</v>
      </c>
      <c r="B350" t="inlineStr">
        <is>
          <t>ZFER</t>
        </is>
      </c>
      <c r="C350" t="inlineStr">
        <is>
          <t>1000</t>
        </is>
      </c>
      <c r="D350" t="inlineStr">
        <is>
          <t>M3</t>
        </is>
      </c>
      <c r="E350" t="n">
        <v>1000</v>
      </c>
      <c r="F350" t="inlineStr">
        <is>
          <t>TN</t>
        </is>
      </c>
      <c r="G350" t="n">
        <v>1273</v>
      </c>
      <c r="H350" t="inlineStr">
        <is>
          <t>Arena Clasificada Río Malla 4</t>
        </is>
      </c>
    </row>
    <row r="351">
      <c r="A351" t="n">
        <v>10000835</v>
      </c>
      <c r="B351" t="inlineStr">
        <is>
          <t>ZFER</t>
        </is>
      </c>
      <c r="C351" t="inlineStr">
        <is>
          <t>1000</t>
        </is>
      </c>
      <c r="D351" t="inlineStr">
        <is>
          <t>M3</t>
        </is>
      </c>
      <c r="E351" t="n">
        <v>1000</v>
      </c>
      <c r="F351" t="inlineStr">
        <is>
          <t>TN</t>
        </is>
      </c>
      <c r="G351" t="n">
        <v>1180</v>
      </c>
      <c r="H351" t="inlineStr">
        <is>
          <t>Arena Clasificada Río Malla 4</t>
        </is>
      </c>
    </row>
    <row r="352">
      <c r="A352" t="n">
        <v>10000840</v>
      </c>
      <c r="B352" t="inlineStr">
        <is>
          <t>ZFER</t>
        </is>
      </c>
      <c r="C352" t="inlineStr">
        <is>
          <t>1000</t>
        </is>
      </c>
      <c r="D352" t="inlineStr">
        <is>
          <t>M3</t>
        </is>
      </c>
      <c r="E352" t="n">
        <v>1000</v>
      </c>
      <c r="F352" t="inlineStr">
        <is>
          <t>TN</t>
        </is>
      </c>
      <c r="G352" t="n">
        <v>1442</v>
      </c>
      <c r="H352" t="inlineStr">
        <is>
          <t>Arena Triturada Andesita Malla 4</t>
        </is>
      </c>
    </row>
    <row r="353">
      <c r="A353" t="n">
        <v>10000842</v>
      </c>
      <c r="B353" t="inlineStr">
        <is>
          <t>ZFER</t>
        </is>
      </c>
      <c r="C353" t="inlineStr">
        <is>
          <t>1000</t>
        </is>
      </c>
      <c r="D353" t="inlineStr">
        <is>
          <t>M3</t>
        </is>
      </c>
      <c r="E353" t="n">
        <v>1000</v>
      </c>
      <c r="F353" t="inlineStr">
        <is>
          <t>TN</t>
        </is>
      </c>
      <c r="G353" t="n">
        <v>1085</v>
      </c>
      <c r="H353" t="inlineStr">
        <is>
          <t>Grava Triturada Caliza 20 mm - 3/4"</t>
        </is>
      </c>
    </row>
    <row r="354">
      <c r="A354" t="n">
        <v>10000846</v>
      </c>
      <c r="B354" t="inlineStr">
        <is>
          <t>ZFER</t>
        </is>
      </c>
      <c r="C354" t="inlineStr">
        <is>
          <t>1000</t>
        </is>
      </c>
      <c r="D354" t="inlineStr">
        <is>
          <t>M3</t>
        </is>
      </c>
      <c r="E354" t="n">
        <v>1000</v>
      </c>
      <c r="F354" t="inlineStr">
        <is>
          <t>TN</t>
        </is>
      </c>
      <c r="G354" t="n">
        <v>1480</v>
      </c>
      <c r="H354" t="inlineStr">
        <is>
          <t>Polvos Triturado Basalto Polvos &lt; 03 mm</t>
        </is>
      </c>
    </row>
    <row r="355">
      <c r="A355" t="n">
        <v>10000848</v>
      </c>
      <c r="B355" t="inlineStr">
        <is>
          <t>ZFER</t>
        </is>
      </c>
      <c r="C355" t="inlineStr">
        <is>
          <t>1000</t>
        </is>
      </c>
      <c r="D355" t="inlineStr">
        <is>
          <t>M3</t>
        </is>
      </c>
      <c r="E355" t="n">
        <v>1000</v>
      </c>
      <c r="F355" t="inlineStr">
        <is>
          <t>TN</t>
        </is>
      </c>
      <c r="G355" t="n">
        <v>1476</v>
      </c>
      <c r="H355" t="inlineStr">
        <is>
          <t>Arena Triturada Caliza Malla 4</t>
        </is>
      </c>
    </row>
    <row r="356">
      <c r="A356" t="n">
        <v>10000850</v>
      </c>
      <c r="B356" t="inlineStr">
        <is>
          <t>ZFER</t>
        </is>
      </c>
      <c r="C356" t="inlineStr">
        <is>
          <t>1000</t>
        </is>
      </c>
      <c r="D356" t="inlineStr">
        <is>
          <t>M3</t>
        </is>
      </c>
      <c r="E356" t="n">
        <v>1000</v>
      </c>
      <c r="F356" t="inlineStr">
        <is>
          <t>TN</t>
        </is>
      </c>
      <c r="G356" t="n">
        <v>1356</v>
      </c>
      <c r="H356" t="inlineStr">
        <is>
          <t>Arena Clasificada Río Malla 4</t>
        </is>
      </c>
    </row>
    <row r="357">
      <c r="A357" t="n">
        <v>10000855</v>
      </c>
      <c r="B357" t="inlineStr">
        <is>
          <t>ZFER</t>
        </is>
      </c>
      <c r="C357" t="inlineStr">
        <is>
          <t>1000</t>
        </is>
      </c>
      <c r="D357" t="inlineStr">
        <is>
          <t>M3</t>
        </is>
      </c>
      <c r="E357" t="n">
        <v>1000</v>
      </c>
      <c r="F357" t="inlineStr">
        <is>
          <t>TN</t>
        </is>
      </c>
      <c r="G357" t="n">
        <v>1328</v>
      </c>
      <c r="H357" t="inlineStr">
        <is>
          <t>Grava Triturada Basalto  40 mm - 1 1/2"</t>
        </is>
      </c>
    </row>
    <row r="358">
      <c r="A358" t="n">
        <v>10000857</v>
      </c>
      <c r="B358" t="inlineStr">
        <is>
          <t>ZFER</t>
        </is>
      </c>
      <c r="C358" t="inlineStr">
        <is>
          <t>1000</t>
        </is>
      </c>
      <c r="D358" t="inlineStr">
        <is>
          <t>M3</t>
        </is>
      </c>
      <c r="E358" t="n">
        <v>1000</v>
      </c>
      <c r="F358" t="inlineStr">
        <is>
          <t>TN</t>
        </is>
      </c>
      <c r="G358" t="n">
        <v>1510</v>
      </c>
      <c r="H358" t="inlineStr">
        <is>
          <t>Arena Triturada Basalto  Malla 4</t>
        </is>
      </c>
    </row>
    <row r="359">
      <c r="A359" t="n">
        <v>10000859</v>
      </c>
      <c r="B359" t="inlineStr">
        <is>
          <t>ZFER</t>
        </is>
      </c>
      <c r="C359" t="inlineStr">
        <is>
          <t>1000</t>
        </is>
      </c>
      <c r="D359" t="inlineStr">
        <is>
          <t>M3</t>
        </is>
      </c>
      <c r="E359" t="n">
        <v>1000</v>
      </c>
      <c r="F359" t="inlineStr">
        <is>
          <t>TN</t>
        </is>
      </c>
      <c r="G359" t="n">
        <v>1600</v>
      </c>
      <c r="H359" t="inlineStr">
        <is>
          <t>Arena Triturada Caliza Malla 5</t>
        </is>
      </c>
    </row>
    <row r="360">
      <c r="A360" t="n">
        <v>10000860</v>
      </c>
      <c r="B360" t="inlineStr">
        <is>
          <t>ZFER</t>
        </is>
      </c>
      <c r="C360" t="inlineStr">
        <is>
          <t>1000</t>
        </is>
      </c>
      <c r="D360" t="inlineStr">
        <is>
          <t>M3</t>
        </is>
      </c>
      <c r="E360" t="n">
        <v>1000</v>
      </c>
      <c r="F360" t="inlineStr">
        <is>
          <t>TN</t>
        </is>
      </c>
      <c r="G360" t="n">
        <v>1650</v>
      </c>
      <c r="H360" t="inlineStr">
        <is>
          <t>Arena Triturada Caliza Malla 5</t>
        </is>
      </c>
    </row>
    <row r="361">
      <c r="A361" t="n">
        <v>10000861</v>
      </c>
      <c r="B361" t="inlineStr">
        <is>
          <t>ZFER</t>
        </is>
      </c>
      <c r="C361" t="inlineStr">
        <is>
          <t>1000</t>
        </is>
      </c>
      <c r="D361" t="inlineStr">
        <is>
          <t>M3</t>
        </is>
      </c>
      <c r="E361" t="n">
        <v>1000</v>
      </c>
      <c r="F361" t="inlineStr">
        <is>
          <t>TN</t>
        </is>
      </c>
      <c r="G361" t="n">
        <v>1520</v>
      </c>
      <c r="H361" t="inlineStr">
        <is>
          <t>Base H Triturada Caliza 1 1/2" a Finos</t>
        </is>
      </c>
    </row>
    <row r="362">
      <c r="A362" t="n">
        <v>10000864</v>
      </c>
      <c r="B362" t="inlineStr">
        <is>
          <t>ZFER</t>
        </is>
      </c>
      <c r="C362" t="inlineStr">
        <is>
          <t>1000</t>
        </is>
      </c>
      <c r="D362" t="inlineStr">
        <is>
          <t>M3</t>
        </is>
      </c>
      <c r="E362" t="n">
        <v>1000</v>
      </c>
      <c r="F362" t="inlineStr">
        <is>
          <t>TN</t>
        </is>
      </c>
      <c r="G362" t="n">
        <v>1500</v>
      </c>
      <c r="H362" t="inlineStr">
        <is>
          <t>Grava Triturada Caliza 40- 4mm - 1 1/2-4</t>
        </is>
      </c>
    </row>
    <row r="363">
      <c r="A363" t="n">
        <v>10000868</v>
      </c>
      <c r="B363" t="inlineStr">
        <is>
          <t>ZFER</t>
        </is>
      </c>
      <c r="C363" t="inlineStr">
        <is>
          <t>1000</t>
        </is>
      </c>
      <c r="D363" t="inlineStr">
        <is>
          <t>M3</t>
        </is>
      </c>
      <c r="E363" t="n">
        <v>1000</v>
      </c>
      <c r="F363" t="inlineStr">
        <is>
          <t>TN</t>
        </is>
      </c>
      <c r="G363" t="n">
        <v>1350</v>
      </c>
      <c r="H363" t="inlineStr">
        <is>
          <t>Caliza Nat de Banco Gris Propia</t>
        </is>
      </c>
    </row>
    <row r="364">
      <c r="A364" t="n">
        <v>10001073</v>
      </c>
      <c r="B364" t="inlineStr">
        <is>
          <t>ZFER</t>
        </is>
      </c>
      <c r="C364" t="inlineStr">
        <is>
          <t>1000</t>
        </is>
      </c>
      <c r="D364" t="inlineStr">
        <is>
          <t>M3</t>
        </is>
      </c>
      <c r="E364" t="n">
        <v>1000</v>
      </c>
      <c r="F364" t="inlineStr">
        <is>
          <t>TN</t>
        </is>
      </c>
      <c r="G364" t="n">
        <v>1560</v>
      </c>
      <c r="H364" t="inlineStr">
        <is>
          <t>Arena Triturada Caliza Malla 4</t>
        </is>
      </c>
    </row>
    <row r="365">
      <c r="A365" t="n">
        <v>10001074</v>
      </c>
      <c r="B365" t="inlineStr">
        <is>
          <t>ZFER</t>
        </is>
      </c>
      <c r="C365" t="inlineStr">
        <is>
          <t>1000</t>
        </is>
      </c>
      <c r="D365" t="inlineStr">
        <is>
          <t>M3</t>
        </is>
      </c>
      <c r="E365" t="n">
        <v>1000</v>
      </c>
      <c r="F365" t="inlineStr">
        <is>
          <t>TN</t>
        </is>
      </c>
      <c r="G365" t="n">
        <v>1400</v>
      </c>
      <c r="H365" t="inlineStr">
        <is>
          <t>Grava Triturada Caliza 40 mm - 1 1/2"</t>
        </is>
      </c>
    </row>
    <row r="366">
      <c r="A366" t="n">
        <v>10001076</v>
      </c>
      <c r="B366" t="inlineStr">
        <is>
          <t>ZFER</t>
        </is>
      </c>
      <c r="C366" t="inlineStr">
        <is>
          <t>1000</t>
        </is>
      </c>
      <c r="D366" t="inlineStr">
        <is>
          <t>M3</t>
        </is>
      </c>
      <c r="E366" t="n">
        <v>1000</v>
      </c>
      <c r="F366" t="inlineStr">
        <is>
          <t>TN</t>
        </is>
      </c>
      <c r="G366" t="n">
        <v>1240</v>
      </c>
      <c r="H366" t="inlineStr">
        <is>
          <t>Desperdicio Triturado Basalto</t>
        </is>
      </c>
    </row>
    <row r="367">
      <c r="A367" t="n">
        <v>10001077</v>
      </c>
      <c r="B367" t="inlineStr">
        <is>
          <t>ZFER</t>
        </is>
      </c>
      <c r="C367" t="inlineStr">
        <is>
          <t>1000</t>
        </is>
      </c>
      <c r="D367" t="inlineStr">
        <is>
          <t>M3</t>
        </is>
      </c>
      <c r="E367" t="n">
        <v>1000</v>
      </c>
      <c r="F367" t="inlineStr">
        <is>
          <t>TN</t>
        </is>
      </c>
      <c r="G367" t="n">
        <v>1350</v>
      </c>
      <c r="H367" t="inlineStr">
        <is>
          <t>Crudo Basalto</t>
        </is>
      </c>
    </row>
    <row r="368">
      <c r="A368" t="n">
        <v>10001078</v>
      </c>
      <c r="B368" t="inlineStr">
        <is>
          <t>ZFER</t>
        </is>
      </c>
      <c r="C368" t="inlineStr">
        <is>
          <t>1000</t>
        </is>
      </c>
      <c r="D368" t="inlineStr">
        <is>
          <t>M3</t>
        </is>
      </c>
      <c r="E368" t="n">
        <v>1000</v>
      </c>
      <c r="F368" t="inlineStr">
        <is>
          <t>TN</t>
        </is>
      </c>
      <c r="G368" t="n">
        <v>1600</v>
      </c>
      <c r="H368" t="inlineStr">
        <is>
          <t>Crudo Granito</t>
        </is>
      </c>
    </row>
    <row r="369">
      <c r="A369" t="n">
        <v>10001079</v>
      </c>
      <c r="B369" t="inlineStr">
        <is>
          <t>ZFER</t>
        </is>
      </c>
      <c r="C369" t="inlineStr">
        <is>
          <t>1000</t>
        </is>
      </c>
      <c r="D369" t="inlineStr">
        <is>
          <t>M3</t>
        </is>
      </c>
      <c r="E369" t="n">
        <v>1000</v>
      </c>
      <c r="F369" t="inlineStr">
        <is>
          <t>TN</t>
        </is>
      </c>
      <c r="G369" t="n">
        <v>1350</v>
      </c>
      <c r="H369" t="inlineStr">
        <is>
          <t>Crudo Caliza</t>
        </is>
      </c>
    </row>
    <row r="370">
      <c r="A370" t="n">
        <v>10001080</v>
      </c>
      <c r="B370" t="inlineStr">
        <is>
          <t>ZFER</t>
        </is>
      </c>
      <c r="C370" t="inlineStr">
        <is>
          <t>1000</t>
        </is>
      </c>
      <c r="D370" t="inlineStr">
        <is>
          <t>M3</t>
        </is>
      </c>
      <c r="E370" t="n">
        <v>1000</v>
      </c>
      <c r="F370" t="inlineStr">
        <is>
          <t>TN</t>
        </is>
      </c>
      <c r="G370" t="n">
        <v>1350</v>
      </c>
      <c r="H370" t="inlineStr">
        <is>
          <t>Sello Triturado Basalto 3-E - 3/8"</t>
        </is>
      </c>
    </row>
    <row r="371">
      <c r="A371" t="n">
        <v>10001081</v>
      </c>
      <c r="B371" t="inlineStr">
        <is>
          <t>ZFER</t>
        </is>
      </c>
      <c r="C371" t="inlineStr">
        <is>
          <t>1000</t>
        </is>
      </c>
      <c r="D371" t="inlineStr">
        <is>
          <t>M3</t>
        </is>
      </c>
      <c r="E371" t="n">
        <v>1000</v>
      </c>
      <c r="F371" t="inlineStr">
        <is>
          <t>TN</t>
        </is>
      </c>
      <c r="G371" t="n">
        <v>1670</v>
      </c>
      <c r="H371" t="inlineStr">
        <is>
          <t>Crudo Basalto</t>
        </is>
      </c>
    </row>
    <row r="372">
      <c r="A372" t="n">
        <v>10001082</v>
      </c>
      <c r="B372" t="inlineStr">
        <is>
          <t>ZFER</t>
        </is>
      </c>
      <c r="C372" t="inlineStr">
        <is>
          <t>1000</t>
        </is>
      </c>
      <c r="D372" t="inlineStr">
        <is>
          <t>M3</t>
        </is>
      </c>
      <c r="E372" t="n">
        <v>1000</v>
      </c>
      <c r="F372" t="inlineStr">
        <is>
          <t>TN</t>
        </is>
      </c>
      <c r="G372" t="n">
        <v>1670</v>
      </c>
      <c r="H372" t="inlineStr">
        <is>
          <t>Sobretamaño Basalto</t>
        </is>
      </c>
    </row>
    <row r="373">
      <c r="A373" t="n">
        <v>10001083</v>
      </c>
      <c r="B373" t="inlineStr">
        <is>
          <t>ZFER</t>
        </is>
      </c>
      <c r="C373" t="inlineStr">
        <is>
          <t>1000</t>
        </is>
      </c>
      <c r="D373" t="inlineStr">
        <is>
          <t>M3</t>
        </is>
      </c>
      <c r="E373" t="n">
        <v>1000</v>
      </c>
      <c r="F373" t="inlineStr">
        <is>
          <t>TN</t>
        </is>
      </c>
      <c r="G373" t="n">
        <v>1550</v>
      </c>
      <c r="H373" t="inlineStr">
        <is>
          <t>Crudo Basalto</t>
        </is>
      </c>
    </row>
    <row r="374">
      <c r="A374" t="n">
        <v>10001085</v>
      </c>
      <c r="B374" t="inlineStr">
        <is>
          <t>ZFER</t>
        </is>
      </c>
      <c r="C374" t="inlineStr">
        <is>
          <t>1000</t>
        </is>
      </c>
      <c r="D374" t="inlineStr">
        <is>
          <t>M3</t>
        </is>
      </c>
      <c r="E374" t="n">
        <v>1000</v>
      </c>
      <c r="F374" t="inlineStr">
        <is>
          <t>TN</t>
        </is>
      </c>
      <c r="G374" t="n">
        <v>1490</v>
      </c>
      <c r="H374" t="inlineStr">
        <is>
          <t>Base H Triturada Andesita 3/4" a Finos</t>
        </is>
      </c>
    </row>
    <row r="375">
      <c r="A375" t="n">
        <v>10001086</v>
      </c>
      <c r="B375" t="inlineStr">
        <is>
          <t>ZFER</t>
        </is>
      </c>
      <c r="C375" t="inlineStr">
        <is>
          <t>1000</t>
        </is>
      </c>
      <c r="D375" t="inlineStr">
        <is>
          <t>M3</t>
        </is>
      </c>
      <c r="E375" t="n">
        <v>1000</v>
      </c>
      <c r="F375" t="inlineStr">
        <is>
          <t>TN</t>
        </is>
      </c>
      <c r="G375" t="n">
        <v>1350</v>
      </c>
      <c r="H375" t="inlineStr">
        <is>
          <t>Sobretamaño Caliza</t>
        </is>
      </c>
    </row>
    <row r="376">
      <c r="A376" t="n">
        <v>10001087</v>
      </c>
      <c r="B376" t="inlineStr">
        <is>
          <t>ZFER</t>
        </is>
      </c>
      <c r="C376" t="inlineStr">
        <is>
          <t>1000</t>
        </is>
      </c>
      <c r="D376" t="inlineStr">
        <is>
          <t>M3</t>
        </is>
      </c>
      <c r="E376" t="n">
        <v>1000</v>
      </c>
      <c r="F376" t="inlineStr">
        <is>
          <t>TN</t>
        </is>
      </c>
      <c r="G376" t="n">
        <v>1515</v>
      </c>
      <c r="H376" t="inlineStr">
        <is>
          <t>Arena Triturada Basalto  Malla 4</t>
        </is>
      </c>
    </row>
    <row r="377">
      <c r="A377" t="n">
        <v>10001088</v>
      </c>
      <c r="B377" t="inlineStr">
        <is>
          <t>ZFER</t>
        </is>
      </c>
      <c r="C377" t="inlineStr">
        <is>
          <t>1000</t>
        </is>
      </c>
      <c r="D377" t="inlineStr">
        <is>
          <t>M3</t>
        </is>
      </c>
      <c r="E377" t="n">
        <v>1000</v>
      </c>
      <c r="F377" t="inlineStr">
        <is>
          <t>TN</t>
        </is>
      </c>
      <c r="G377" t="n">
        <v>1438</v>
      </c>
      <c r="H377" t="inlineStr">
        <is>
          <t>Desperdicio Triturado Basalto</t>
        </is>
      </c>
    </row>
    <row r="378">
      <c r="A378" t="n">
        <v>10001089</v>
      </c>
      <c r="B378" t="inlineStr">
        <is>
          <t>ZFER</t>
        </is>
      </c>
      <c r="C378" t="inlineStr">
        <is>
          <t>1000</t>
        </is>
      </c>
      <c r="D378" t="inlineStr">
        <is>
          <t>M3</t>
        </is>
      </c>
      <c r="E378" t="n">
        <v>1000</v>
      </c>
      <c r="F378" t="inlineStr">
        <is>
          <t>TN</t>
        </is>
      </c>
      <c r="G378" t="n">
        <v>1460</v>
      </c>
      <c r="H378" t="inlineStr">
        <is>
          <t>Grava Triturada Basalto  20 mm - 3/4"</t>
        </is>
      </c>
    </row>
    <row r="379">
      <c r="A379" t="n">
        <v>10001090</v>
      </c>
      <c r="B379" t="inlineStr">
        <is>
          <t>ZFER</t>
        </is>
      </c>
      <c r="C379" t="inlineStr">
        <is>
          <t>1000</t>
        </is>
      </c>
      <c r="D379" t="inlineStr">
        <is>
          <t>M3</t>
        </is>
      </c>
      <c r="E379" t="n">
        <v>1000</v>
      </c>
      <c r="F379" t="inlineStr">
        <is>
          <t>TN</t>
        </is>
      </c>
      <c r="G379" t="n">
        <v>1350</v>
      </c>
      <c r="H379" t="inlineStr">
        <is>
          <t>Crudo Caliza</t>
        </is>
      </c>
    </row>
    <row r="380">
      <c r="A380" t="n">
        <v>10001091</v>
      </c>
      <c r="B380" t="inlineStr">
        <is>
          <t>ZFER</t>
        </is>
      </c>
      <c r="C380" t="inlineStr">
        <is>
          <t>1000</t>
        </is>
      </c>
      <c r="D380" t="inlineStr">
        <is>
          <t>M3</t>
        </is>
      </c>
      <c r="E380" t="n">
        <v>1000</v>
      </c>
      <c r="F380" t="inlineStr">
        <is>
          <t>TN</t>
        </is>
      </c>
      <c r="G380" t="n">
        <v>1400</v>
      </c>
      <c r="H380" t="inlineStr">
        <is>
          <t>Balasto Triturado Andesita 150 mm - 6"</t>
        </is>
      </c>
    </row>
    <row r="381">
      <c r="A381" t="n">
        <v>10001110</v>
      </c>
      <c r="B381" t="inlineStr">
        <is>
          <t>ZFER</t>
        </is>
      </c>
      <c r="C381" t="inlineStr">
        <is>
          <t>1000</t>
        </is>
      </c>
      <c r="D381" t="inlineStr">
        <is>
          <t>M3</t>
        </is>
      </c>
      <c r="E381" t="n">
        <v>1000</v>
      </c>
      <c r="F381" t="inlineStr">
        <is>
          <t>TN</t>
        </is>
      </c>
      <c r="G381" t="n">
        <v>1550</v>
      </c>
      <c r="H381" t="inlineStr">
        <is>
          <t>GRAVA ANDESITA 13 MM (1/2")</t>
        </is>
      </c>
    </row>
    <row r="382">
      <c r="A382" t="n">
        <v>10001113</v>
      </c>
      <c r="B382" t="inlineStr">
        <is>
          <t>ZFER</t>
        </is>
      </c>
      <c r="C382" t="inlineStr">
        <is>
          <t>1000</t>
        </is>
      </c>
      <c r="D382" t="inlineStr">
        <is>
          <t>M3</t>
        </is>
      </c>
      <c r="E382" t="n">
        <v>1</v>
      </c>
      <c r="F382" t="inlineStr">
        <is>
          <t>TN</t>
        </is>
      </c>
      <c r="G382" t="n">
        <v>1</v>
      </c>
      <c r="H382" t="inlineStr">
        <is>
          <t>GRAVA, TRITURADA, 1/2", HUMEDAD 1.34</t>
        </is>
      </c>
    </row>
    <row r="383">
      <c r="A383" t="n">
        <v>10001135</v>
      </c>
      <c r="B383" t="inlineStr">
        <is>
          <t>ZFER</t>
        </is>
      </c>
      <c r="C383" t="inlineStr">
        <is>
          <t>1000</t>
        </is>
      </c>
      <c r="D383" t="inlineStr">
        <is>
          <t>M3</t>
        </is>
      </c>
      <c r="E383" t="n">
        <v>1</v>
      </c>
      <c r="F383" t="inlineStr">
        <is>
          <t>M3</t>
        </is>
      </c>
      <c r="G383" t="n">
        <v>1</v>
      </c>
      <c r="H383" t="inlineStr">
        <is>
          <t>ARENA, RIO, NO.4, &gt;60%SIO2, HUMEDAD 2-12</t>
        </is>
      </c>
    </row>
    <row r="384">
      <c r="A384" t="n">
        <v>10001137</v>
      </c>
      <c r="B384" t="inlineStr">
        <is>
          <t>ZFER</t>
        </is>
      </c>
      <c r="C384" t="inlineStr">
        <is>
          <t>1000</t>
        </is>
      </c>
      <c r="D384" t="inlineStr">
        <is>
          <t>M3</t>
        </is>
      </c>
      <c r="E384" t="n">
        <v>1</v>
      </c>
      <c r="F384" t="inlineStr">
        <is>
          <t>M3</t>
        </is>
      </c>
      <c r="G384" t="n">
        <v>1</v>
      </c>
      <c r="H384" t="inlineStr">
        <is>
          <t>GRAVA, PRODUCTOS PETREOS DE SONORA SA DE</t>
        </is>
      </c>
    </row>
    <row r="385">
      <c r="A385" t="n">
        <v>10001170</v>
      </c>
      <c r="B385" t="inlineStr">
        <is>
          <t>ZFER</t>
        </is>
      </c>
      <c r="C385" t="inlineStr">
        <is>
          <t>1000</t>
        </is>
      </c>
      <c r="D385" t="inlineStr">
        <is>
          <t>M3</t>
        </is>
      </c>
      <c r="E385" t="n">
        <v>1000</v>
      </c>
      <c r="F385" t="inlineStr">
        <is>
          <t>TN</t>
        </is>
      </c>
      <c r="G385" t="n">
        <v>1771</v>
      </c>
      <c r="H385" t="inlineStr">
        <is>
          <t>Arena Triturada Caliza Block</t>
        </is>
      </c>
    </row>
    <row r="386">
      <c r="A386" t="n">
        <v>10001171</v>
      </c>
      <c r="B386" t="inlineStr">
        <is>
          <t>ZFER</t>
        </is>
      </c>
      <c r="C386" t="inlineStr">
        <is>
          <t>1000</t>
        </is>
      </c>
      <c r="D386" t="inlineStr">
        <is>
          <t>M3</t>
        </is>
      </c>
      <c r="E386" t="n">
        <v>1000</v>
      </c>
      <c r="F386" t="inlineStr">
        <is>
          <t>TN</t>
        </is>
      </c>
      <c r="G386" t="n">
        <v>1600</v>
      </c>
      <c r="H386" t="inlineStr">
        <is>
          <t>Arena Triturada Caliza Block</t>
        </is>
      </c>
    </row>
    <row r="387">
      <c r="A387" t="n">
        <v>10001180</v>
      </c>
      <c r="B387" t="inlineStr">
        <is>
          <t>ZFER</t>
        </is>
      </c>
      <c r="C387" t="inlineStr">
        <is>
          <t>1000</t>
        </is>
      </c>
      <c r="D387" t="inlineStr">
        <is>
          <t>M3</t>
        </is>
      </c>
      <c r="E387" t="n">
        <v>1000</v>
      </c>
      <c r="F387" t="inlineStr">
        <is>
          <t>TN</t>
        </is>
      </c>
      <c r="G387" t="n">
        <v>1395</v>
      </c>
      <c r="H387" t="inlineStr">
        <is>
          <t>Grava Triturada Basalto  40 mm - 1 1/2"</t>
        </is>
      </c>
    </row>
    <row r="388">
      <c r="A388" t="n">
        <v>10001181</v>
      </c>
      <c r="B388" t="inlineStr">
        <is>
          <t>ZFER</t>
        </is>
      </c>
      <c r="C388" t="inlineStr">
        <is>
          <t>1000</t>
        </is>
      </c>
      <c r="D388" t="inlineStr">
        <is>
          <t>M3</t>
        </is>
      </c>
      <c r="E388" t="n">
        <v>1000</v>
      </c>
      <c r="F388" t="inlineStr">
        <is>
          <t>TN</t>
        </is>
      </c>
      <c r="G388" t="n">
        <v>1380</v>
      </c>
      <c r="H388" t="inlineStr">
        <is>
          <t>Polvos Triturado Basalto 1/2" a Finos</t>
        </is>
      </c>
    </row>
    <row r="389">
      <c r="A389" t="n">
        <v>10001183</v>
      </c>
      <c r="B389" t="inlineStr">
        <is>
          <t>ZFER</t>
        </is>
      </c>
      <c r="C389" t="inlineStr">
        <is>
          <t>1000</t>
        </is>
      </c>
      <c r="D389" t="inlineStr">
        <is>
          <t>M3</t>
        </is>
      </c>
      <c r="E389" t="n">
        <v>1000</v>
      </c>
      <c r="F389" t="inlineStr">
        <is>
          <t>TN</t>
        </is>
      </c>
      <c r="G389" t="n">
        <v>1374</v>
      </c>
      <c r="H389" t="inlineStr">
        <is>
          <t>Arena Clasificada Mezclada Malla 4</t>
        </is>
      </c>
    </row>
    <row r="390">
      <c r="A390" t="n">
        <v>10001201</v>
      </c>
      <c r="B390" t="inlineStr">
        <is>
          <t>ZFE3</t>
        </is>
      </c>
      <c r="C390" t="inlineStr">
        <is>
          <t>1000</t>
        </is>
      </c>
      <c r="D390" t="inlineStr">
        <is>
          <t>M3</t>
        </is>
      </c>
      <c r="E390" t="n">
        <v>1000</v>
      </c>
      <c r="F390" t="inlineStr">
        <is>
          <t>TN</t>
        </is>
      </c>
      <c r="G390" t="n">
        <v>1698</v>
      </c>
      <c r="H390" t="inlineStr">
        <is>
          <t>No Clasificado Triturado Caliza</t>
        </is>
      </c>
    </row>
    <row r="391">
      <c r="A391" t="n">
        <v>10001202</v>
      </c>
      <c r="B391" t="inlineStr">
        <is>
          <t>ZFE3</t>
        </is>
      </c>
      <c r="C391" t="inlineStr">
        <is>
          <t>1000</t>
        </is>
      </c>
      <c r="D391" t="inlineStr">
        <is>
          <t>M3</t>
        </is>
      </c>
      <c r="E391" t="n">
        <v>1000</v>
      </c>
      <c r="F391" t="inlineStr">
        <is>
          <t>TN</t>
        </is>
      </c>
      <c r="G391" t="n">
        <v>1350</v>
      </c>
      <c r="H391" t="inlineStr">
        <is>
          <t>Desperdicio Triturado Caliza</t>
        </is>
      </c>
    </row>
    <row r="392">
      <c r="A392" t="n">
        <v>10001203</v>
      </c>
      <c r="B392" t="inlineStr">
        <is>
          <t>ZFE3</t>
        </is>
      </c>
      <c r="C392" t="inlineStr">
        <is>
          <t>1000</t>
        </is>
      </c>
      <c r="D392" t="inlineStr">
        <is>
          <t>M3</t>
        </is>
      </c>
      <c r="E392" t="n">
        <v>1000</v>
      </c>
      <c r="F392" t="inlineStr">
        <is>
          <t>TN</t>
        </is>
      </c>
      <c r="G392" t="n">
        <v>1665</v>
      </c>
      <c r="H392" t="inlineStr">
        <is>
          <t>Desperdicio Triturado Caliza</t>
        </is>
      </c>
    </row>
    <row r="393">
      <c r="A393" t="n">
        <v>10001204</v>
      </c>
      <c r="B393" t="inlineStr">
        <is>
          <t>ZFE3</t>
        </is>
      </c>
      <c r="C393" t="inlineStr">
        <is>
          <t>1000</t>
        </is>
      </c>
      <c r="D393" t="inlineStr">
        <is>
          <t>M3</t>
        </is>
      </c>
      <c r="E393" t="n">
        <v>1000</v>
      </c>
      <c r="F393" t="inlineStr">
        <is>
          <t>TN</t>
        </is>
      </c>
      <c r="G393" t="n">
        <v>1880</v>
      </c>
      <c r="H393" t="inlineStr">
        <is>
          <t>Desperdicio Triturado Caliza</t>
        </is>
      </c>
    </row>
    <row r="394">
      <c r="A394" t="n">
        <v>10001208</v>
      </c>
      <c r="B394" t="inlineStr">
        <is>
          <t>ZFER</t>
        </is>
      </c>
      <c r="C394" t="inlineStr">
        <is>
          <t>1000</t>
        </is>
      </c>
      <c r="D394" t="inlineStr">
        <is>
          <t>M3</t>
        </is>
      </c>
      <c r="E394" t="n">
        <v>1000</v>
      </c>
      <c r="F394" t="inlineStr">
        <is>
          <t>TN</t>
        </is>
      </c>
      <c r="G394" t="n">
        <v>1401</v>
      </c>
      <c r="H394" t="inlineStr">
        <is>
          <t>Desperdicio Triturado Andesita</t>
        </is>
      </c>
    </row>
    <row r="395">
      <c r="A395" t="n">
        <v>10001209</v>
      </c>
      <c r="B395" t="inlineStr">
        <is>
          <t>ZFER</t>
        </is>
      </c>
      <c r="C395" t="inlineStr">
        <is>
          <t>1000</t>
        </is>
      </c>
      <c r="D395" t="inlineStr">
        <is>
          <t>M3</t>
        </is>
      </c>
      <c r="E395" t="n">
        <v>1000</v>
      </c>
      <c r="F395" t="inlineStr">
        <is>
          <t>TN</t>
        </is>
      </c>
      <c r="G395" t="n">
        <v>1600</v>
      </c>
      <c r="H395" t="inlineStr">
        <is>
          <t>Arena Triturada Caliza Block</t>
        </is>
      </c>
    </row>
    <row r="396">
      <c r="A396" t="n">
        <v>10001212</v>
      </c>
      <c r="B396" t="inlineStr">
        <is>
          <t>ZFER</t>
        </is>
      </c>
      <c r="C396" t="inlineStr">
        <is>
          <t>1000</t>
        </is>
      </c>
      <c r="D396" t="inlineStr">
        <is>
          <t>M3</t>
        </is>
      </c>
      <c r="E396" t="n">
        <v>1000</v>
      </c>
      <c r="F396" t="inlineStr">
        <is>
          <t>TN</t>
        </is>
      </c>
      <c r="G396" t="n">
        <v>1532</v>
      </c>
      <c r="H396" t="inlineStr">
        <is>
          <t>Grava Triturada Rio 20 mm - 3/4"</t>
        </is>
      </c>
    </row>
    <row r="397">
      <c r="A397" t="n">
        <v>10001222</v>
      </c>
      <c r="B397" t="inlineStr">
        <is>
          <t>ZFER</t>
        </is>
      </c>
      <c r="C397" t="inlineStr">
        <is>
          <t>1000</t>
        </is>
      </c>
      <c r="D397" t="inlineStr">
        <is>
          <t>M3</t>
        </is>
      </c>
      <c r="E397" t="n">
        <v>1000</v>
      </c>
      <c r="F397" t="inlineStr">
        <is>
          <t>TN</t>
        </is>
      </c>
      <c r="G397" t="n">
        <v>1613</v>
      </c>
      <c r="H397" t="inlineStr">
        <is>
          <t>Mixto Grava 3/4 - Arena 4</t>
        </is>
      </c>
    </row>
    <row r="398">
      <c r="A398" t="n">
        <v>10001225</v>
      </c>
      <c r="B398" t="inlineStr">
        <is>
          <t>ZFER</t>
        </is>
      </c>
      <c r="C398" t="inlineStr">
        <is>
          <t>1000</t>
        </is>
      </c>
      <c r="D398" t="inlineStr">
        <is>
          <t>M3</t>
        </is>
      </c>
      <c r="E398" t="n">
        <v>1000</v>
      </c>
      <c r="F398" t="inlineStr">
        <is>
          <t>TN</t>
        </is>
      </c>
      <c r="G398" t="n">
        <v>1660</v>
      </c>
      <c r="H398" t="inlineStr">
        <is>
          <t>Arena Andesita Malla 8</t>
        </is>
      </c>
    </row>
    <row r="399">
      <c r="A399" t="n">
        <v>10001248</v>
      </c>
      <c r="B399" t="inlineStr">
        <is>
          <t>ZFER</t>
        </is>
      </c>
      <c r="C399" t="inlineStr">
        <is>
          <t>1000</t>
        </is>
      </c>
      <c r="D399" t="inlineStr">
        <is>
          <t>M3</t>
        </is>
      </c>
      <c r="E399" t="n">
        <v>1000</v>
      </c>
      <c r="F399" t="inlineStr">
        <is>
          <t>TN</t>
        </is>
      </c>
      <c r="G399" t="n">
        <v>1430</v>
      </c>
      <c r="H399" t="inlineStr">
        <is>
          <t>Grava Triturada Caliza 20 mm - 3/4" Lav</t>
        </is>
      </c>
    </row>
    <row r="400">
      <c r="A400" t="n">
        <v>10001282</v>
      </c>
      <c r="B400" t="inlineStr">
        <is>
          <t>ZFER</t>
        </is>
      </c>
      <c r="C400" t="inlineStr">
        <is>
          <t>1000</t>
        </is>
      </c>
      <c r="D400" t="inlineStr">
        <is>
          <t>M3</t>
        </is>
      </c>
      <c r="E400" t="n">
        <v>1000</v>
      </c>
      <c r="F400" t="inlineStr">
        <is>
          <t>TN</t>
        </is>
      </c>
      <c r="G400" t="n">
        <v>1620</v>
      </c>
      <c r="H400" t="inlineStr">
        <is>
          <t>Arena Triturada Caliza Malla 4</t>
        </is>
      </c>
    </row>
    <row r="401">
      <c r="A401" t="n">
        <v>10001351</v>
      </c>
      <c r="B401" t="inlineStr">
        <is>
          <t>ZFER</t>
        </is>
      </c>
      <c r="C401" t="inlineStr">
        <is>
          <t>1000</t>
        </is>
      </c>
      <c r="D401" t="inlineStr">
        <is>
          <t>M3</t>
        </is>
      </c>
      <c r="E401" t="n">
        <v>1000</v>
      </c>
      <c r="F401" t="inlineStr">
        <is>
          <t>TN</t>
        </is>
      </c>
      <c r="G401" t="n">
        <v>1420</v>
      </c>
      <c r="H401" t="inlineStr">
        <is>
          <t>GRAVA GRANITO 40 MM (1 1/2")</t>
        </is>
      </c>
    </row>
    <row r="402">
      <c r="A402" t="n">
        <v>10001352</v>
      </c>
      <c r="B402" t="inlineStr">
        <is>
          <t>ZFER</t>
        </is>
      </c>
      <c r="C402" t="inlineStr">
        <is>
          <t>1000</t>
        </is>
      </c>
      <c r="D402" t="inlineStr">
        <is>
          <t>M3</t>
        </is>
      </c>
      <c r="E402" t="n">
        <v>1000</v>
      </c>
      <c r="F402" t="inlineStr">
        <is>
          <t>TN</t>
        </is>
      </c>
      <c r="G402" t="n">
        <v>1374</v>
      </c>
      <c r="H402" t="inlineStr">
        <is>
          <t>Arena Clasificada Rio Malla 4</t>
        </is>
      </c>
    </row>
    <row r="403">
      <c r="A403" t="n">
        <v>10001353</v>
      </c>
      <c r="B403" t="inlineStr">
        <is>
          <t>ZFER</t>
        </is>
      </c>
      <c r="C403" t="inlineStr">
        <is>
          <t>1000</t>
        </is>
      </c>
      <c r="D403" t="inlineStr">
        <is>
          <t>M3</t>
        </is>
      </c>
      <c r="E403" t="n">
        <v>1000</v>
      </c>
      <c r="F403" t="inlineStr">
        <is>
          <t>TN</t>
        </is>
      </c>
      <c r="G403" t="n">
        <v>1490</v>
      </c>
      <c r="H403" t="inlineStr">
        <is>
          <t>Arena Triturada Andesita Malla 4-AB</t>
        </is>
      </c>
    </row>
    <row r="404">
      <c r="A404" t="n">
        <v>10001354</v>
      </c>
      <c r="B404" t="inlineStr">
        <is>
          <t>ZFER</t>
        </is>
      </c>
      <c r="C404" t="inlineStr">
        <is>
          <t>1000</t>
        </is>
      </c>
      <c r="D404" t="inlineStr">
        <is>
          <t>M3</t>
        </is>
      </c>
      <c r="E404" t="n">
        <v>1000</v>
      </c>
      <c r="F404" t="inlineStr">
        <is>
          <t>TN</t>
        </is>
      </c>
      <c r="G404" t="n">
        <v>1290</v>
      </c>
      <c r="H404" t="inlineStr">
        <is>
          <t>Grava Triturada Andesita 20 mm - 3/4"-AB</t>
        </is>
      </c>
    </row>
    <row r="405">
      <c r="A405" t="n">
        <v>10001399</v>
      </c>
      <c r="B405" t="inlineStr">
        <is>
          <t>ZFER</t>
        </is>
      </c>
      <c r="C405" t="inlineStr">
        <is>
          <t>1000</t>
        </is>
      </c>
      <c r="D405" t="inlineStr">
        <is>
          <t>M3</t>
        </is>
      </c>
      <c r="E405" t="n">
        <v>1</v>
      </c>
      <c r="F405" t="inlineStr">
        <is>
          <t>TN</t>
        </is>
      </c>
      <c r="G405" t="n">
        <v>1</v>
      </c>
      <c r="H405" t="inlineStr">
        <is>
          <t>Crudo Caliza</t>
        </is>
      </c>
    </row>
    <row r="406">
      <c r="A406" t="n">
        <v>10001418</v>
      </c>
      <c r="B406" t="inlineStr">
        <is>
          <t>ZFER</t>
        </is>
      </c>
      <c r="C406" t="inlineStr">
        <is>
          <t>1000</t>
        </is>
      </c>
      <c r="D406" t="inlineStr">
        <is>
          <t>M3</t>
        </is>
      </c>
      <c r="E406" t="n">
        <v>1000</v>
      </c>
      <c r="F406" t="inlineStr">
        <is>
          <t>TN</t>
        </is>
      </c>
      <c r="G406" t="n">
        <v>1480</v>
      </c>
      <c r="H406" t="inlineStr">
        <is>
          <t>Sello Caliza 3/8"</t>
        </is>
      </c>
    </row>
    <row r="407">
      <c r="A407" t="n">
        <v>10001420</v>
      </c>
      <c r="B407" t="inlineStr">
        <is>
          <t>ZFER</t>
        </is>
      </c>
      <c r="C407" t="inlineStr">
        <is>
          <t>1000</t>
        </is>
      </c>
      <c r="D407" t="inlineStr">
        <is>
          <t>M3</t>
        </is>
      </c>
      <c r="E407" t="n">
        <v>1000</v>
      </c>
      <c r="F407" t="inlineStr">
        <is>
          <t>TN</t>
        </is>
      </c>
      <c r="G407" t="n">
        <v>1140</v>
      </c>
      <c r="H407" t="inlineStr">
        <is>
          <t>Tepetate Tierra</t>
        </is>
      </c>
    </row>
    <row r="408">
      <c r="A408" t="n">
        <v>10001424</v>
      </c>
      <c r="B408" t="inlineStr">
        <is>
          <t>ZFER</t>
        </is>
      </c>
      <c r="C408" t="inlineStr">
        <is>
          <t>1000</t>
        </is>
      </c>
      <c r="D408" t="inlineStr">
        <is>
          <t>M3</t>
        </is>
      </c>
      <c r="E408" t="n">
        <v>1000</v>
      </c>
      <c r="F408" t="inlineStr">
        <is>
          <t>TN</t>
        </is>
      </c>
      <c r="G408" t="n">
        <v>1005</v>
      </c>
      <c r="H408" t="inlineStr">
        <is>
          <t>No Clasificado Basalto</t>
        </is>
      </c>
    </row>
    <row r="409">
      <c r="A409" t="n">
        <v>10001436</v>
      </c>
      <c r="B409" t="inlineStr">
        <is>
          <t>ZFER</t>
        </is>
      </c>
      <c r="C409" t="inlineStr">
        <is>
          <t>1000</t>
        </is>
      </c>
      <c r="D409" t="inlineStr">
        <is>
          <t>M3</t>
        </is>
      </c>
      <c r="E409" t="n">
        <v>1000</v>
      </c>
      <c r="F409" t="inlineStr">
        <is>
          <t>TN</t>
        </is>
      </c>
      <c r="G409" t="n">
        <v>1262</v>
      </c>
      <c r="H409" t="inlineStr">
        <is>
          <t>Grava Triturada Andesita 10 mm - 3/8"</t>
        </is>
      </c>
    </row>
    <row r="410">
      <c r="A410" t="n">
        <v>10001445</v>
      </c>
      <c r="B410" t="inlineStr">
        <is>
          <t>ZFER</t>
        </is>
      </c>
      <c r="C410" t="inlineStr">
        <is>
          <t>1000</t>
        </is>
      </c>
      <c r="D410" t="inlineStr">
        <is>
          <t>M3</t>
        </is>
      </c>
      <c r="E410" t="n">
        <v>1000</v>
      </c>
      <c r="F410" t="inlineStr">
        <is>
          <t>TN</t>
        </is>
      </c>
      <c r="G410" t="n">
        <v>1509</v>
      </c>
      <c r="H410" t="inlineStr">
        <is>
          <t>GRAVA CLASIFICADA RIO  10 mm 3/8</t>
        </is>
      </c>
    </row>
    <row r="411">
      <c r="A411" t="n">
        <v>10001450</v>
      </c>
      <c r="B411" t="inlineStr">
        <is>
          <t>ZFER</t>
        </is>
      </c>
      <c r="C411" t="inlineStr">
        <is>
          <t>1000</t>
        </is>
      </c>
      <c r="D411" t="inlineStr">
        <is>
          <t>M3</t>
        </is>
      </c>
      <c r="E411" t="n">
        <v>1000</v>
      </c>
      <c r="F411" t="inlineStr">
        <is>
          <t>TN</t>
        </is>
      </c>
      <c r="G411" t="n">
        <v>1749</v>
      </c>
      <c r="H411" t="inlineStr">
        <is>
          <t>Base Hidraúlica Basalto de 1 1/2 a finos</t>
        </is>
      </c>
    </row>
    <row r="412">
      <c r="A412" t="n">
        <v>10001454</v>
      </c>
      <c r="B412" t="inlineStr">
        <is>
          <t>ZFER</t>
        </is>
      </c>
      <c r="C412" t="inlineStr">
        <is>
          <t>1000</t>
        </is>
      </c>
      <c r="D412" t="inlineStr">
        <is>
          <t>M3</t>
        </is>
      </c>
      <c r="E412" t="n">
        <v>1000</v>
      </c>
      <c r="F412" t="inlineStr">
        <is>
          <t>TN</t>
        </is>
      </c>
      <c r="G412" t="n">
        <v>1470</v>
      </c>
      <c r="H412" t="inlineStr">
        <is>
          <t>GRAVA GRANITO 10 MM 3/8</t>
        </is>
      </c>
    </row>
    <row r="413">
      <c r="A413" t="n">
        <v>10001455</v>
      </c>
      <c r="B413" t="inlineStr">
        <is>
          <t>ZFER</t>
        </is>
      </c>
      <c r="C413" t="inlineStr">
        <is>
          <t>1000</t>
        </is>
      </c>
      <c r="D413" t="inlineStr">
        <is>
          <t>M3</t>
        </is>
      </c>
      <c r="E413" t="n">
        <v>1000</v>
      </c>
      <c r="F413" t="inlineStr">
        <is>
          <t>TN</t>
        </is>
      </c>
      <c r="G413" t="n">
        <v>1730</v>
      </c>
      <c r="H413" t="inlineStr">
        <is>
          <t>Arena Clasificada Río Malla 4</t>
        </is>
      </c>
    </row>
    <row r="414">
      <c r="A414" t="n">
        <v>10001456</v>
      </c>
      <c r="B414" t="inlineStr">
        <is>
          <t>ZFER</t>
        </is>
      </c>
      <c r="C414" t="inlineStr">
        <is>
          <t>1000</t>
        </is>
      </c>
      <c r="D414" t="inlineStr">
        <is>
          <t>M3</t>
        </is>
      </c>
      <c r="E414" t="n">
        <v>1000</v>
      </c>
      <c r="F414" t="inlineStr">
        <is>
          <t>TN</t>
        </is>
      </c>
      <c r="G414" t="n">
        <v>1520</v>
      </c>
      <c r="H414" t="inlineStr">
        <is>
          <t>Grava Triturada Marmol 40 mm - 1 1/2"</t>
        </is>
      </c>
    </row>
    <row r="415">
      <c r="A415" t="n">
        <v>10001620</v>
      </c>
      <c r="B415" t="inlineStr">
        <is>
          <t>ZFER</t>
        </is>
      </c>
      <c r="C415" t="inlineStr">
        <is>
          <t>1000</t>
        </is>
      </c>
      <c r="D415" t="inlineStr">
        <is>
          <t>M3</t>
        </is>
      </c>
      <c r="E415" t="n">
        <v>1000</v>
      </c>
      <c r="F415" t="inlineStr">
        <is>
          <t>TN</t>
        </is>
      </c>
      <c r="G415" t="n">
        <v>1560</v>
      </c>
      <c r="H415" t="inlineStr">
        <is>
          <t>Arena Triturada Basalto  6mm - 1/4"</t>
        </is>
      </c>
    </row>
    <row r="416">
      <c r="A416" t="n">
        <v>10001643</v>
      </c>
      <c r="B416" t="inlineStr">
        <is>
          <t>ZFER</t>
        </is>
      </c>
      <c r="C416" t="inlineStr">
        <is>
          <t>1000</t>
        </is>
      </c>
      <c r="D416" t="inlineStr">
        <is>
          <t>M3</t>
        </is>
      </c>
      <c r="E416" t="n">
        <v>1000</v>
      </c>
      <c r="F416" t="inlineStr">
        <is>
          <t>TN</t>
        </is>
      </c>
      <c r="G416" t="n">
        <v>1480</v>
      </c>
      <c r="H416" t="inlineStr">
        <is>
          <t>Crudo Clasificado Río</t>
        </is>
      </c>
    </row>
    <row r="417">
      <c r="A417" t="n">
        <v>10001652</v>
      </c>
      <c r="B417" t="inlineStr">
        <is>
          <t>ZFER</t>
        </is>
      </c>
      <c r="C417" t="inlineStr">
        <is>
          <t>1000</t>
        </is>
      </c>
      <c r="D417" t="inlineStr">
        <is>
          <t>M3</t>
        </is>
      </c>
      <c r="E417" t="n">
        <v>1000</v>
      </c>
      <c r="F417" t="inlineStr">
        <is>
          <t>TN</t>
        </is>
      </c>
      <c r="G417" t="n">
        <v>1234</v>
      </c>
      <c r="H417" t="inlineStr">
        <is>
          <t>Grava Triturada Andesita 13 mm - 1/2"</t>
        </is>
      </c>
    </row>
    <row r="418">
      <c r="A418" t="n">
        <v>10001656</v>
      </c>
      <c r="B418" t="inlineStr">
        <is>
          <t>ZFE3</t>
        </is>
      </c>
      <c r="C418" t="inlineStr">
        <is>
          <t>1000</t>
        </is>
      </c>
      <c r="D418" t="inlineStr">
        <is>
          <t>M3</t>
        </is>
      </c>
      <c r="E418" t="n">
        <v>1000</v>
      </c>
      <c r="F418" t="inlineStr">
        <is>
          <t>TN</t>
        </is>
      </c>
      <c r="G418" t="n">
        <v>1436</v>
      </c>
      <c r="H418" t="inlineStr">
        <is>
          <t>GRAVA RIO 25 MM (1")</t>
        </is>
      </c>
    </row>
    <row r="419">
      <c r="A419" t="n">
        <v>10001724</v>
      </c>
      <c r="B419" t="inlineStr">
        <is>
          <t>ZFE3</t>
        </is>
      </c>
      <c r="C419" t="inlineStr">
        <is>
          <t>1000</t>
        </is>
      </c>
      <c r="D419" t="inlineStr">
        <is>
          <t>M3</t>
        </is>
      </c>
      <c r="E419" t="n">
        <v>100</v>
      </c>
      <c r="F419" t="inlineStr">
        <is>
          <t>TN</t>
        </is>
      </c>
      <c r="G419" t="n">
        <v>144</v>
      </c>
      <c r="H419" t="inlineStr">
        <is>
          <t>SF-0680 ARENA DE RÍO LAVADA ( DE 0 MM A</t>
        </is>
      </c>
    </row>
    <row r="420">
      <c r="A420" t="n">
        <v>10001726</v>
      </c>
      <c r="B420" t="inlineStr">
        <is>
          <t>ZFE3</t>
        </is>
      </c>
      <c r="C420" t="inlineStr">
        <is>
          <t>1000</t>
        </is>
      </c>
      <c r="D420" t="inlineStr">
        <is>
          <t>M3</t>
        </is>
      </c>
      <c r="E420" t="n">
        <v>100</v>
      </c>
      <c r="F420" t="inlineStr">
        <is>
          <t>TN</t>
        </is>
      </c>
      <c r="G420" t="n">
        <v>141</v>
      </c>
      <c r="H420" t="inlineStr">
        <is>
          <t>SF-2744 PIEDRA CUARTA (MÁXIMO DE 19 MM)</t>
        </is>
      </c>
    </row>
    <row r="421">
      <c r="A421" t="n">
        <v>10001727</v>
      </c>
      <c r="B421" t="inlineStr">
        <is>
          <t>ZFE3</t>
        </is>
      </c>
      <c r="C421" t="inlineStr">
        <is>
          <t>1000</t>
        </is>
      </c>
      <c r="D421" t="inlineStr">
        <is>
          <t>M3</t>
        </is>
      </c>
      <c r="E421" t="n">
        <v>100</v>
      </c>
      <c r="F421" t="inlineStr">
        <is>
          <t>TN</t>
        </is>
      </c>
      <c r="G421" t="n">
        <v>140</v>
      </c>
      <c r="H421" t="inlineStr">
        <is>
          <t>SF-2744 PIEDRA QUINTILLA (MAXIMO DE 12 M</t>
        </is>
      </c>
    </row>
    <row r="422">
      <c r="A422" t="n">
        <v>10001728</v>
      </c>
      <c r="B422" t="inlineStr">
        <is>
          <t>ZFE3</t>
        </is>
      </c>
      <c r="C422" t="inlineStr">
        <is>
          <t>1000</t>
        </is>
      </c>
      <c r="D422" t="inlineStr">
        <is>
          <t>M3</t>
        </is>
      </c>
      <c r="E422" t="n">
        <v>100</v>
      </c>
      <c r="F422" t="inlineStr">
        <is>
          <t>TN</t>
        </is>
      </c>
      <c r="G422" t="n">
        <v>161</v>
      </c>
      <c r="H422" t="inlineStr">
        <is>
          <t>SF-2744 ARENA DE RÍO LAVADA (DE 0 MM A 8</t>
        </is>
      </c>
    </row>
    <row r="423">
      <c r="A423" t="n">
        <v>10001841</v>
      </c>
      <c r="B423" t="inlineStr">
        <is>
          <t>ZFE3</t>
        </is>
      </c>
      <c r="C423" t="inlineStr">
        <is>
          <t>1000</t>
        </is>
      </c>
      <c r="D423" t="inlineStr">
        <is>
          <t>M3</t>
        </is>
      </c>
      <c r="E423" t="n">
        <v>1000</v>
      </c>
      <c r="F423" t="inlineStr">
        <is>
          <t>TN</t>
        </is>
      </c>
      <c r="G423" t="n">
        <v>1436</v>
      </c>
      <c r="H423" t="inlineStr">
        <is>
          <t>GRAVA CALIZA 1"</t>
        </is>
      </c>
    </row>
    <row r="424">
      <c r="A424" t="n">
        <v>10001864</v>
      </c>
      <c r="B424" t="inlineStr">
        <is>
          <t>ZFER</t>
        </is>
      </c>
      <c r="C424" t="inlineStr">
        <is>
          <t>1000</t>
        </is>
      </c>
      <c r="D424" t="inlineStr">
        <is>
          <t>M3</t>
        </is>
      </c>
      <c r="E424" t="n">
        <v>1000</v>
      </c>
      <c r="F424" t="inlineStr">
        <is>
          <t>TN</t>
        </is>
      </c>
      <c r="G424" t="n">
        <v>1739</v>
      </c>
      <c r="H424" t="inlineStr">
        <is>
          <t>Arena Triturada Caliza Malla 4 Dist</t>
        </is>
      </c>
    </row>
    <row r="425">
      <c r="A425" t="n">
        <v>10001865</v>
      </c>
      <c r="B425" t="inlineStr">
        <is>
          <t>ZFER</t>
        </is>
      </c>
      <c r="C425" t="inlineStr">
        <is>
          <t>1000</t>
        </is>
      </c>
      <c r="D425" t="inlineStr">
        <is>
          <t>M3</t>
        </is>
      </c>
      <c r="E425" t="n">
        <v>1000</v>
      </c>
      <c r="F425" t="inlineStr">
        <is>
          <t>TN</t>
        </is>
      </c>
      <c r="G425" t="n">
        <v>1430</v>
      </c>
      <c r="H425" t="inlineStr">
        <is>
          <t>Grava Triturada Caliza 20 mm - 3/4" Dist</t>
        </is>
      </c>
    </row>
    <row r="426">
      <c r="A426" t="n">
        <v>10001867</v>
      </c>
      <c r="B426" t="inlineStr">
        <is>
          <t>ZFER</t>
        </is>
      </c>
      <c r="C426" t="inlineStr">
        <is>
          <t>1000</t>
        </is>
      </c>
      <c r="D426" t="inlineStr">
        <is>
          <t>M3</t>
        </is>
      </c>
      <c r="E426" t="n">
        <v>1000</v>
      </c>
      <c r="F426" t="inlineStr">
        <is>
          <t>TN</t>
        </is>
      </c>
      <c r="G426" t="n">
        <v>1337</v>
      </c>
      <c r="H426" t="inlineStr">
        <is>
          <t>GRAVA TRITURADA MARMOL 10 MM - 3/8"</t>
        </is>
      </c>
    </row>
    <row r="427">
      <c r="A427" t="n">
        <v>10001942</v>
      </c>
      <c r="B427" t="inlineStr">
        <is>
          <t>ZFE3</t>
        </is>
      </c>
      <c r="C427" t="inlineStr">
        <is>
          <t>1000</t>
        </is>
      </c>
      <c r="D427" t="inlineStr">
        <is>
          <t>M3</t>
        </is>
      </c>
      <c r="E427" t="n">
        <v>1000</v>
      </c>
      <c r="F427" t="inlineStr">
        <is>
          <t>TN</t>
        </is>
      </c>
      <c r="G427" t="n">
        <v>1407</v>
      </c>
      <c r="H427" t="inlineStr">
        <is>
          <t>PIEDRA #56 (1"-3/8")- CO CO</t>
        </is>
      </c>
    </row>
    <row r="428">
      <c r="A428" t="n">
        <v>10001943</v>
      </c>
      <c r="B428" t="inlineStr">
        <is>
          <t>ZFE3</t>
        </is>
      </c>
      <c r="C428" t="inlineStr">
        <is>
          <t>1000</t>
        </is>
      </c>
      <c r="D428" t="inlineStr">
        <is>
          <t>M3</t>
        </is>
      </c>
      <c r="E428" t="n">
        <v>1000</v>
      </c>
      <c r="F428" t="inlineStr">
        <is>
          <t>TN</t>
        </is>
      </c>
      <c r="G428" t="n">
        <v>1371</v>
      </c>
      <c r="H428" t="inlineStr">
        <is>
          <t>PIEDRA NO.7 (1/2 - NO.4)  CO</t>
        </is>
      </c>
    </row>
    <row r="429">
      <c r="A429" t="n">
        <v>10001944</v>
      </c>
      <c r="B429" t="inlineStr">
        <is>
          <t>ZFE3</t>
        </is>
      </c>
      <c r="C429" t="inlineStr">
        <is>
          <t>1000</t>
        </is>
      </c>
      <c r="D429" t="inlineStr">
        <is>
          <t>M3</t>
        </is>
      </c>
      <c r="E429" t="n">
        <v>1000</v>
      </c>
      <c r="F429" t="inlineStr">
        <is>
          <t>TN</t>
        </is>
      </c>
      <c r="G429" t="n">
        <v>1501</v>
      </c>
      <c r="H429" t="inlineStr">
        <is>
          <t>CAPA BASE (1 1/2 - 0) CO</t>
        </is>
      </c>
    </row>
    <row r="430">
      <c r="A430" t="n">
        <v>10001950</v>
      </c>
      <c r="B430" t="inlineStr">
        <is>
          <t>ZFE3</t>
        </is>
      </c>
      <c r="C430" t="inlineStr">
        <is>
          <t>1000</t>
        </is>
      </c>
      <c r="D430" t="inlineStr">
        <is>
          <t>M3</t>
        </is>
      </c>
      <c r="E430" t="n">
        <v>1000</v>
      </c>
      <c r="F430" t="inlineStr">
        <is>
          <t>TN</t>
        </is>
      </c>
      <c r="G430" t="n">
        <v>1338</v>
      </c>
      <c r="H430" t="inlineStr">
        <is>
          <t>PIEDRA NO.56 (1-3/8) VAL CO.</t>
        </is>
      </c>
    </row>
    <row r="431">
      <c r="A431" t="n">
        <v>10001951</v>
      </c>
      <c r="B431" t="inlineStr">
        <is>
          <t>ZFE3</t>
        </is>
      </c>
      <c r="C431" t="inlineStr">
        <is>
          <t>1000</t>
        </is>
      </c>
      <c r="D431" t="inlineStr">
        <is>
          <t>M3</t>
        </is>
      </c>
      <c r="E431" t="n">
        <v>1000</v>
      </c>
      <c r="F431" t="inlineStr">
        <is>
          <t>TN</t>
        </is>
      </c>
      <c r="G431" t="n">
        <v>1374</v>
      </c>
      <c r="H431" t="inlineStr">
        <is>
          <t>PIEDRA NO.7 (1/2 - NO.4) VAL-VSI</t>
        </is>
      </c>
    </row>
    <row r="432">
      <c r="A432" t="n">
        <v>10001952</v>
      </c>
      <c r="B432" t="inlineStr">
        <is>
          <t>ZFE3</t>
        </is>
      </c>
      <c r="C432" t="inlineStr">
        <is>
          <t>1000</t>
        </is>
      </c>
      <c r="D432" t="inlineStr">
        <is>
          <t>M3</t>
        </is>
      </c>
      <c r="E432" t="n">
        <v>1000</v>
      </c>
      <c r="F432" t="inlineStr">
        <is>
          <t>TN</t>
        </is>
      </c>
      <c r="G432" t="n">
        <v>1495</v>
      </c>
      <c r="H432" t="inlineStr">
        <is>
          <t>CAPA BASE (1 1/2 - 0) VAL</t>
        </is>
      </c>
    </row>
    <row r="433">
      <c r="A433" t="n">
        <v>10001974</v>
      </c>
      <c r="B433" t="inlineStr">
        <is>
          <t>ZFE3</t>
        </is>
      </c>
      <c r="C433" t="inlineStr">
        <is>
          <t>1000</t>
        </is>
      </c>
      <c r="D433" t="inlineStr">
        <is>
          <t>M3</t>
        </is>
      </c>
      <c r="E433" t="n">
        <v>1000</v>
      </c>
      <c r="F433" t="inlineStr">
        <is>
          <t>TN</t>
        </is>
      </c>
      <c r="G433" t="n">
        <v>1476</v>
      </c>
      <c r="H433" t="inlineStr">
        <is>
          <t>ARENA PARA CONCRETO-BAL CO</t>
        </is>
      </c>
    </row>
    <row r="434">
      <c r="A434" t="n">
        <v>10001975</v>
      </c>
      <c r="B434" t="inlineStr">
        <is>
          <t>ZFE3</t>
        </is>
      </c>
      <c r="C434" t="inlineStr">
        <is>
          <t>1000</t>
        </is>
      </c>
      <c r="D434" t="inlineStr">
        <is>
          <t>M3</t>
        </is>
      </c>
      <c r="E434" t="n">
        <v>1000</v>
      </c>
      <c r="F434" t="inlineStr">
        <is>
          <t>TN</t>
        </is>
      </c>
      <c r="G434" t="n">
        <v>1514</v>
      </c>
      <c r="H434" t="inlineStr">
        <is>
          <t>ARENA DE MAR BAL - CH</t>
        </is>
      </c>
    </row>
    <row r="435">
      <c r="A435" t="n">
        <v>10001978</v>
      </c>
      <c r="B435" t="inlineStr">
        <is>
          <t>ZFE3</t>
        </is>
      </c>
      <c r="C435" t="inlineStr">
        <is>
          <t>1000</t>
        </is>
      </c>
      <c r="D435" t="inlineStr">
        <is>
          <t>M3</t>
        </is>
      </c>
      <c r="E435" t="n">
        <v>1000</v>
      </c>
      <c r="F435" t="inlineStr">
        <is>
          <t>TN</t>
        </is>
      </c>
      <c r="G435" t="n">
        <v>1476</v>
      </c>
      <c r="H435" t="inlineStr">
        <is>
          <t>ARENA PARA CONCRETO - BAL - VAC CO</t>
        </is>
      </c>
    </row>
    <row r="436">
      <c r="A436" t="n">
        <v>10001979</v>
      </c>
      <c r="B436" t="inlineStr">
        <is>
          <t>ZFE3</t>
        </is>
      </c>
      <c r="C436" t="inlineStr">
        <is>
          <t>1000</t>
        </is>
      </c>
      <c r="D436" t="inlineStr">
        <is>
          <t>M3</t>
        </is>
      </c>
      <c r="E436" t="n">
        <v>1000</v>
      </c>
      <c r="F436" t="inlineStr">
        <is>
          <t>TN</t>
        </is>
      </c>
      <c r="G436" t="n">
        <v>1514</v>
      </c>
      <c r="H436" t="inlineStr">
        <is>
          <t>ARENA DE MAR BAL - VAC</t>
        </is>
      </c>
    </row>
    <row r="437">
      <c r="A437" t="n">
        <v>10001983</v>
      </c>
      <c r="B437" t="inlineStr">
        <is>
          <t>ZFE3</t>
        </is>
      </c>
      <c r="C437" t="inlineStr">
        <is>
          <t>1000</t>
        </is>
      </c>
      <c r="D437" t="inlineStr">
        <is>
          <t>M3</t>
        </is>
      </c>
      <c r="E437" t="n">
        <v>1000</v>
      </c>
      <c r="F437" t="inlineStr">
        <is>
          <t>TN</t>
        </is>
      </c>
      <c r="G437" t="n">
        <v>1432</v>
      </c>
      <c r="H437" t="inlineStr">
        <is>
          <t>PIEDRA NO.56 (1 - 3/8") CO</t>
        </is>
      </c>
    </row>
    <row r="438">
      <c r="A438" t="n">
        <v>10001984</v>
      </c>
      <c r="B438" t="inlineStr">
        <is>
          <t>ZFE3</t>
        </is>
      </c>
      <c r="C438" t="inlineStr">
        <is>
          <t>1000</t>
        </is>
      </c>
      <c r="D438" t="inlineStr">
        <is>
          <t>M3</t>
        </is>
      </c>
      <c r="E438" t="n">
        <v>1000</v>
      </c>
      <c r="F438" t="inlineStr">
        <is>
          <t>TN</t>
        </is>
      </c>
      <c r="G438" t="n">
        <v>1338</v>
      </c>
      <c r="H438" t="inlineStr">
        <is>
          <t>PIEDRA NO.56 (1-3/8) V</t>
        </is>
      </c>
    </row>
    <row r="439">
      <c r="A439" t="n">
        <v>10002012</v>
      </c>
      <c r="B439" t="inlineStr">
        <is>
          <t>ZFE3</t>
        </is>
      </c>
      <c r="C439" t="inlineStr">
        <is>
          <t>1000</t>
        </is>
      </c>
      <c r="D439" t="inlineStr">
        <is>
          <t>M3</t>
        </is>
      </c>
      <c r="E439" t="n">
        <v>1000</v>
      </c>
      <c r="F439" t="inlineStr">
        <is>
          <t>TN</t>
        </is>
      </c>
      <c r="G439" t="n">
        <v>1670</v>
      </c>
      <c r="H439" t="inlineStr">
        <is>
          <t>NI Grava TMA 1/2" San Cristobal</t>
        </is>
      </c>
    </row>
    <row r="440">
      <c r="A440" t="n">
        <v>10002013</v>
      </c>
      <c r="B440" t="inlineStr">
        <is>
          <t>ZFE3</t>
        </is>
      </c>
      <c r="C440" t="inlineStr">
        <is>
          <t>1000</t>
        </is>
      </c>
      <c r="D440" t="inlineStr">
        <is>
          <t>M3</t>
        </is>
      </c>
      <c r="E440" t="n">
        <v>1000</v>
      </c>
      <c r="F440" t="inlineStr">
        <is>
          <t>TN</t>
        </is>
      </c>
      <c r="G440" t="n">
        <v>1535</v>
      </c>
      <c r="H440" t="inlineStr">
        <is>
          <t>NI Grava TMA 3/4" San Cristobal</t>
        </is>
      </c>
    </row>
    <row r="441">
      <c r="A441" t="n">
        <v>10002016</v>
      </c>
      <c r="B441" t="inlineStr">
        <is>
          <t>ZFE3</t>
        </is>
      </c>
      <c r="C441" t="inlineStr">
        <is>
          <t>1000</t>
        </is>
      </c>
      <c r="D441" t="inlineStr">
        <is>
          <t>M3</t>
        </is>
      </c>
      <c r="E441" t="n">
        <v>1000</v>
      </c>
      <c r="F441" t="inlineStr">
        <is>
          <t>TN</t>
        </is>
      </c>
      <c r="G441" t="n">
        <v>1665</v>
      </c>
      <c r="H441" t="inlineStr">
        <is>
          <t>NI Grava TMA 3/8" San Cristobal</t>
        </is>
      </c>
    </row>
    <row r="442">
      <c r="A442" t="n">
        <v>10002017</v>
      </c>
      <c r="B442" t="inlineStr">
        <is>
          <t>ZFE3</t>
        </is>
      </c>
      <c r="C442" t="inlineStr">
        <is>
          <t>1000</t>
        </is>
      </c>
      <c r="D442" t="inlineStr">
        <is>
          <t>M3</t>
        </is>
      </c>
      <c r="E442" t="n">
        <v>1000</v>
      </c>
      <c r="F442" t="inlineStr">
        <is>
          <t>TN</t>
        </is>
      </c>
      <c r="G442" t="n">
        <v>840</v>
      </c>
      <c r="H442" t="inlineStr">
        <is>
          <t>PIEDRA HORMIGON</t>
        </is>
      </c>
    </row>
    <row r="443">
      <c r="A443" t="n">
        <v>10002018</v>
      </c>
      <c r="B443" t="inlineStr">
        <is>
          <t>ZFE3</t>
        </is>
      </c>
      <c r="C443" t="inlineStr">
        <is>
          <t>1000</t>
        </is>
      </c>
      <c r="D443" t="inlineStr">
        <is>
          <t>M3</t>
        </is>
      </c>
      <c r="E443" t="n">
        <v>1000</v>
      </c>
      <c r="F443" t="inlineStr">
        <is>
          <t>TN</t>
        </is>
      </c>
      <c r="G443" t="n">
        <v>1625</v>
      </c>
      <c r="H443" t="inlineStr">
        <is>
          <t>NI Grava TMA 1 1/2" San Cristobal</t>
        </is>
      </c>
    </row>
    <row r="444">
      <c r="A444" t="n">
        <v>10002043</v>
      </c>
      <c r="B444" t="inlineStr">
        <is>
          <t>ZFER</t>
        </is>
      </c>
      <c r="C444" t="inlineStr">
        <is>
          <t>1000</t>
        </is>
      </c>
      <c r="D444" t="inlineStr">
        <is>
          <t>M3</t>
        </is>
      </c>
      <c r="E444" t="n">
        <v>1000</v>
      </c>
      <c r="F444" t="inlineStr">
        <is>
          <t>TN</t>
        </is>
      </c>
      <c r="G444" t="n">
        <v>1600</v>
      </c>
      <c r="H444" t="inlineStr">
        <is>
          <t>Arena Triturada Granito Malla 4</t>
        </is>
      </c>
    </row>
    <row r="445">
      <c r="A445" t="n">
        <v>10002077</v>
      </c>
      <c r="B445" t="inlineStr">
        <is>
          <t>ZFE3</t>
        </is>
      </c>
      <c r="C445" t="inlineStr">
        <is>
          <t>1000</t>
        </is>
      </c>
      <c r="D445" t="inlineStr">
        <is>
          <t>M3</t>
        </is>
      </c>
      <c r="E445" t="n">
        <v>1000</v>
      </c>
      <c r="F445" t="inlineStr">
        <is>
          <t>TN</t>
        </is>
      </c>
      <c r="G445" t="n">
        <v>1841</v>
      </c>
      <c r="H445" t="inlineStr">
        <is>
          <t>NI Arena Material Cero San Cristobal</t>
        </is>
      </c>
    </row>
    <row r="446">
      <c r="A446" t="n">
        <v>10002093</v>
      </c>
      <c r="B446" t="inlineStr">
        <is>
          <t>ZFE3</t>
        </is>
      </c>
      <c r="C446" t="inlineStr">
        <is>
          <t>1000</t>
        </is>
      </c>
      <c r="D446" t="inlineStr">
        <is>
          <t>M3</t>
        </is>
      </c>
      <c r="E446" t="n">
        <v>1000</v>
      </c>
      <c r="F446" t="inlineStr">
        <is>
          <t>TN</t>
        </is>
      </c>
      <c r="G446" t="n">
        <v>1427</v>
      </c>
      <c r="H446" t="inlineStr">
        <is>
          <t>GRAVA CALIZA 10 MM (3/8") (AGU)</t>
        </is>
      </c>
    </row>
    <row r="447">
      <c r="A447" t="n">
        <v>10002094</v>
      </c>
      <c r="B447" t="inlineStr">
        <is>
          <t>ZFE3</t>
        </is>
      </c>
      <c r="C447" t="inlineStr">
        <is>
          <t>1000</t>
        </is>
      </c>
      <c r="D447" t="inlineStr">
        <is>
          <t>M3</t>
        </is>
      </c>
      <c r="E447" t="n">
        <v>1000</v>
      </c>
      <c r="F447" t="inlineStr">
        <is>
          <t>TN</t>
        </is>
      </c>
      <c r="G447" t="n">
        <v>1427</v>
      </c>
      <c r="H447" t="inlineStr">
        <is>
          <t>GRAVA CALIZA 10 MM (3/8") (ROC)</t>
        </is>
      </c>
    </row>
    <row r="448">
      <c r="A448" t="n">
        <v>10002097</v>
      </c>
      <c r="B448" t="inlineStr">
        <is>
          <t>ZFE3</t>
        </is>
      </c>
      <c r="C448" t="inlineStr">
        <is>
          <t>1000</t>
        </is>
      </c>
      <c r="D448" t="inlineStr">
        <is>
          <t>M3</t>
        </is>
      </c>
      <c r="E448" t="n">
        <v>1000</v>
      </c>
      <c r="F448" t="inlineStr">
        <is>
          <t>TN</t>
        </is>
      </c>
      <c r="G448" t="n">
        <v>1422</v>
      </c>
      <c r="H448" t="inlineStr">
        <is>
          <t>GRAVA CALIZA 40 MM (1 1/2") (ROC)</t>
        </is>
      </c>
    </row>
    <row r="449">
      <c r="A449" t="n">
        <v>10002109</v>
      </c>
      <c r="B449" t="inlineStr">
        <is>
          <t>ZFE3</t>
        </is>
      </c>
      <c r="C449" t="inlineStr">
        <is>
          <t>1000</t>
        </is>
      </c>
      <c r="D449" t="inlineStr">
        <is>
          <t>M3</t>
        </is>
      </c>
      <c r="E449" t="n">
        <v>1000</v>
      </c>
      <c r="F449" t="inlineStr">
        <is>
          <t>TN</t>
        </is>
      </c>
      <c r="G449" t="n">
        <v>1482</v>
      </c>
      <c r="H449" t="inlineStr">
        <is>
          <t>NI GRAVA TMA 3/4" LEON</t>
        </is>
      </c>
    </row>
    <row r="450">
      <c r="A450" t="n">
        <v>10002116</v>
      </c>
      <c r="B450" t="inlineStr">
        <is>
          <t>ZFE3</t>
        </is>
      </c>
      <c r="C450" t="inlineStr">
        <is>
          <t>1000</t>
        </is>
      </c>
      <c r="D450" t="inlineStr">
        <is>
          <t>M3</t>
        </is>
      </c>
      <c r="E450" t="n">
        <v>1000</v>
      </c>
      <c r="F450" t="inlineStr">
        <is>
          <t>TN</t>
        </is>
      </c>
      <c r="G450" t="n">
        <v>1748</v>
      </c>
      <c r="H450" t="inlineStr">
        <is>
          <t>NI ARENA MATERIAL CERO LEON</t>
        </is>
      </c>
    </row>
    <row r="451">
      <c r="A451" t="n">
        <v>10002119</v>
      </c>
      <c r="B451" t="inlineStr">
        <is>
          <t>ZFE3</t>
        </is>
      </c>
      <c r="C451" t="inlineStr">
        <is>
          <t>1000</t>
        </is>
      </c>
      <c r="D451" t="inlineStr">
        <is>
          <t>M3</t>
        </is>
      </c>
      <c r="E451" t="n">
        <v>1000</v>
      </c>
      <c r="F451" t="inlineStr">
        <is>
          <t>TN</t>
        </is>
      </c>
      <c r="G451" t="n">
        <v>1716</v>
      </c>
      <c r="H451" t="inlineStr">
        <is>
          <t>NI Arena Material Cero Izapa-Nejapa</t>
        </is>
      </c>
    </row>
    <row r="452">
      <c r="A452" t="n">
        <v>10002132</v>
      </c>
      <c r="B452" t="inlineStr">
        <is>
          <t>ZFE3</t>
        </is>
      </c>
      <c r="C452" t="inlineStr">
        <is>
          <t>1000</t>
        </is>
      </c>
      <c r="D452" t="inlineStr">
        <is>
          <t>M3</t>
        </is>
      </c>
      <c r="E452" t="n">
        <v>1000</v>
      </c>
      <c r="F452" t="inlineStr">
        <is>
          <t>TN</t>
        </is>
      </c>
      <c r="G452" t="n">
        <v>1609</v>
      </c>
      <c r="H452" t="inlineStr">
        <is>
          <t>ARENA CALIZA No.4 (ROC)</t>
        </is>
      </c>
    </row>
    <row r="453">
      <c r="A453" t="n">
        <v>10002133</v>
      </c>
      <c r="B453" t="inlineStr">
        <is>
          <t>ZFE3</t>
        </is>
      </c>
      <c r="C453" t="inlineStr">
        <is>
          <t>1000</t>
        </is>
      </c>
      <c r="D453" t="inlineStr">
        <is>
          <t>M3</t>
        </is>
      </c>
      <c r="E453" t="n">
        <v>1000</v>
      </c>
      <c r="F453" t="inlineStr">
        <is>
          <t>TN</t>
        </is>
      </c>
      <c r="G453" t="n">
        <v>1639</v>
      </c>
      <c r="H453" t="inlineStr">
        <is>
          <t>ARENA CALIZA LAVADA No.4 (AGU)</t>
        </is>
      </c>
    </row>
    <row r="454">
      <c r="A454" t="n">
        <v>10002134</v>
      </c>
      <c r="B454" t="inlineStr">
        <is>
          <t>ZFE3</t>
        </is>
      </c>
      <c r="C454" t="inlineStr">
        <is>
          <t>1000</t>
        </is>
      </c>
      <c r="D454" t="inlineStr">
        <is>
          <t>M3</t>
        </is>
      </c>
      <c r="E454" t="n">
        <v>1000</v>
      </c>
      <c r="F454" t="inlineStr">
        <is>
          <t>TN</t>
        </is>
      </c>
      <c r="G454" t="n">
        <v>1277</v>
      </c>
      <c r="H454" t="inlineStr">
        <is>
          <t>ARENA DE RIO No.4 (MED)</t>
        </is>
      </c>
    </row>
    <row r="455">
      <c r="A455" t="n">
        <v>10002161</v>
      </c>
      <c r="B455" t="inlineStr">
        <is>
          <t>ZFE3</t>
        </is>
      </c>
      <c r="C455" t="inlineStr">
        <is>
          <t>1000</t>
        </is>
      </c>
      <c r="D455" t="inlineStr">
        <is>
          <t>M3</t>
        </is>
      </c>
      <c r="E455" t="n">
        <v>1000</v>
      </c>
      <c r="F455" t="inlineStr">
        <is>
          <t>TN</t>
        </is>
      </c>
      <c r="G455" t="n">
        <v>1452</v>
      </c>
      <c r="H455" t="inlineStr">
        <is>
          <t>GRAVA, CALIZA, 25MM, 1" (AGU)</t>
        </is>
      </c>
    </row>
    <row r="456">
      <c r="A456" t="n">
        <v>10002162</v>
      </c>
      <c r="B456" t="inlineStr">
        <is>
          <t>ZFE3</t>
        </is>
      </c>
      <c r="C456" t="inlineStr">
        <is>
          <t>1000</t>
        </is>
      </c>
      <c r="D456" t="inlineStr">
        <is>
          <t>M3</t>
        </is>
      </c>
      <c r="E456" t="n">
        <v>1000</v>
      </c>
      <c r="F456" t="inlineStr">
        <is>
          <t>TN</t>
        </is>
      </c>
      <c r="G456" t="n">
        <v>1452</v>
      </c>
      <c r="H456" t="inlineStr">
        <is>
          <t>GRAVA, CALIZA, 25MM, 1" (ROC)</t>
        </is>
      </c>
    </row>
    <row r="457">
      <c r="A457" t="n">
        <v>10002212</v>
      </c>
      <c r="B457" t="inlineStr">
        <is>
          <t>ZFER</t>
        </is>
      </c>
      <c r="C457" t="inlineStr">
        <is>
          <t>1000</t>
        </is>
      </c>
      <c r="D457" t="inlineStr">
        <is>
          <t>M3</t>
        </is>
      </c>
      <c r="E457" t="n">
        <v>1000</v>
      </c>
      <c r="F457" t="inlineStr">
        <is>
          <t>TN</t>
        </is>
      </c>
      <c r="G457" t="n">
        <v>1600</v>
      </c>
      <c r="H457" t="inlineStr">
        <is>
          <t>Grava Triturada Basalto 1 1/2"" a Finos"</t>
        </is>
      </c>
    </row>
    <row r="458">
      <c r="A458" t="n">
        <v>10002213</v>
      </c>
      <c r="B458" t="inlineStr">
        <is>
          <t>ZFER</t>
        </is>
      </c>
      <c r="C458" t="inlineStr">
        <is>
          <t>1000</t>
        </is>
      </c>
      <c r="D458" t="inlineStr">
        <is>
          <t>M3</t>
        </is>
      </c>
      <c r="E458" t="n">
        <v>1000</v>
      </c>
      <c r="F458" t="inlineStr">
        <is>
          <t>TN</t>
        </is>
      </c>
      <c r="G458" t="n">
        <v>1515</v>
      </c>
      <c r="H458" t="inlineStr">
        <is>
          <t>Arena Triturada Basalto  Malla 4  -Block</t>
        </is>
      </c>
    </row>
    <row r="459">
      <c r="A459" t="n">
        <v>10002236</v>
      </c>
      <c r="B459" t="inlineStr">
        <is>
          <t>ZFE3</t>
        </is>
      </c>
      <c r="C459" t="inlineStr">
        <is>
          <t>1000</t>
        </is>
      </c>
      <c r="D459" t="inlineStr">
        <is>
          <t>M3</t>
        </is>
      </c>
      <c r="E459" t="n">
        <v>1000</v>
      </c>
      <c r="F459" t="inlineStr">
        <is>
          <t>TN</t>
        </is>
      </c>
      <c r="G459" t="n">
        <v>1500</v>
      </c>
      <c r="H459" t="inlineStr">
        <is>
          <t>GRAVA,ALUVIAL,60-80 (3/4-1" ),65 SIO2,HU</t>
        </is>
      </c>
    </row>
    <row r="460">
      <c r="A460" t="n">
        <v>10002287</v>
      </c>
      <c r="B460" t="inlineStr">
        <is>
          <t>ZFE3</t>
        </is>
      </c>
      <c r="C460" t="inlineStr">
        <is>
          <t>1000</t>
        </is>
      </c>
      <c r="D460" t="inlineStr">
        <is>
          <t>M3</t>
        </is>
      </c>
      <c r="E460" t="n">
        <v>100</v>
      </c>
      <c r="F460" t="inlineStr">
        <is>
          <t>TN</t>
        </is>
      </c>
      <c r="G460" t="n">
        <v>164</v>
      </c>
      <c r="H460" t="inlineStr">
        <is>
          <t>ARENA TRITURADA LAVADA ALBANIA UNE</t>
        </is>
      </c>
    </row>
    <row r="461">
      <c r="A461" t="n">
        <v>10002289</v>
      </c>
      <c r="B461" t="inlineStr">
        <is>
          <t>ZFE3</t>
        </is>
      </c>
      <c r="C461" t="inlineStr">
        <is>
          <t>1000</t>
        </is>
      </c>
      <c r="D461" t="inlineStr">
        <is>
          <t>M3</t>
        </is>
      </c>
      <c r="E461" t="n">
        <v>100</v>
      </c>
      <c r="F461" t="inlineStr">
        <is>
          <t>TN</t>
        </is>
      </c>
      <c r="G461" t="n">
        <v>143</v>
      </c>
      <c r="H461" t="inlineStr">
        <is>
          <t>Grava Aluvial de 1" Albania</t>
        </is>
      </c>
    </row>
    <row r="462">
      <c r="A462" t="n">
        <v>10002321</v>
      </c>
      <c r="B462" t="inlineStr">
        <is>
          <t>ZFE3</t>
        </is>
      </c>
      <c r="C462" t="inlineStr">
        <is>
          <t>1000</t>
        </is>
      </c>
      <c r="D462" t="inlineStr">
        <is>
          <t>M3</t>
        </is>
      </c>
      <c r="E462" t="n">
        <v>1000</v>
      </c>
      <c r="F462" t="inlineStr">
        <is>
          <t>TN</t>
        </is>
      </c>
      <c r="G462" t="n">
        <v>1548</v>
      </c>
      <c r="H462" t="inlineStr">
        <is>
          <t>ARENA DE MAR SER.</t>
        </is>
      </c>
    </row>
    <row r="463">
      <c r="A463" t="n">
        <v>10002322</v>
      </c>
      <c r="B463" t="inlineStr">
        <is>
          <t>ZFE3</t>
        </is>
      </c>
      <c r="C463" t="inlineStr">
        <is>
          <t>1000</t>
        </is>
      </c>
      <c r="D463" t="inlineStr">
        <is>
          <t>M3</t>
        </is>
      </c>
      <c r="E463" t="n">
        <v>1000</v>
      </c>
      <c r="F463" t="inlineStr">
        <is>
          <t>TN</t>
        </is>
      </c>
      <c r="G463" t="n">
        <v>1477</v>
      </c>
      <c r="H463" t="inlineStr">
        <is>
          <t>ARENA PARA CONCRETO-SER. CO</t>
        </is>
      </c>
    </row>
    <row r="464">
      <c r="A464" t="n">
        <v>10002350</v>
      </c>
      <c r="B464" t="inlineStr">
        <is>
          <t>ZFER</t>
        </is>
      </c>
      <c r="C464" t="inlineStr">
        <is>
          <t>1000</t>
        </is>
      </c>
      <c r="D464" t="inlineStr">
        <is>
          <t>M3</t>
        </is>
      </c>
      <c r="E464" t="n">
        <v>1000</v>
      </c>
      <c r="F464" t="inlineStr">
        <is>
          <t>TN</t>
        </is>
      </c>
      <c r="G464" t="n">
        <v>1246</v>
      </c>
      <c r="H464" t="inlineStr">
        <is>
          <t>Grava Triturada Andesita 10mm-3/8"-Block</t>
        </is>
      </c>
    </row>
    <row r="465">
      <c r="A465" t="n">
        <v>10002381</v>
      </c>
      <c r="B465" t="inlineStr">
        <is>
          <t>ZFER</t>
        </is>
      </c>
      <c r="C465" t="inlineStr">
        <is>
          <t>1000</t>
        </is>
      </c>
      <c r="D465" t="inlineStr">
        <is>
          <t>M3</t>
        </is>
      </c>
      <c r="E465" t="n">
        <v>1000</v>
      </c>
      <c r="F465" t="inlineStr">
        <is>
          <t>TN</t>
        </is>
      </c>
      <c r="G465" t="n">
        <v>1380</v>
      </c>
      <c r="H465" t="inlineStr">
        <is>
          <t>Base H Trit. Andesita 1 1/2"a Fino Tepet</t>
        </is>
      </c>
    </row>
    <row r="466">
      <c r="A466" t="n">
        <v>10002421</v>
      </c>
      <c r="B466" t="inlineStr">
        <is>
          <t>ZFE3</t>
        </is>
      </c>
      <c r="C466" t="inlineStr">
        <is>
          <t>1000</t>
        </is>
      </c>
      <c r="D466" t="inlineStr">
        <is>
          <t>M3</t>
        </is>
      </c>
      <c r="E466" t="n">
        <v>1000</v>
      </c>
      <c r="F466" t="inlineStr">
        <is>
          <t>TN</t>
        </is>
      </c>
      <c r="G466" t="n">
        <v>1600</v>
      </c>
      <c r="H466" t="inlineStr">
        <is>
          <t>Arena de Rio Gruesa Conconcreto</t>
        </is>
      </c>
    </row>
    <row r="467">
      <c r="A467" t="n">
        <v>10002422</v>
      </c>
      <c r="B467" t="inlineStr">
        <is>
          <t>ZFE3</t>
        </is>
      </c>
      <c r="C467" t="inlineStr">
        <is>
          <t>1000</t>
        </is>
      </c>
      <c r="D467" t="inlineStr">
        <is>
          <t>M3</t>
        </is>
      </c>
      <c r="E467" t="n">
        <v>100</v>
      </c>
      <c r="F467" t="inlineStr">
        <is>
          <t>TN</t>
        </is>
      </c>
      <c r="G467" t="n">
        <v>150</v>
      </c>
      <c r="H467" t="inlineStr">
        <is>
          <t>Grava de Rio de 3/8" Conconcreto</t>
        </is>
      </c>
    </row>
    <row r="468">
      <c r="A468" t="n">
        <v>10002424</v>
      </c>
      <c r="B468" t="inlineStr">
        <is>
          <t>ZFE3</t>
        </is>
      </c>
      <c r="C468" t="inlineStr">
        <is>
          <t>1000</t>
        </is>
      </c>
      <c r="D468" t="inlineStr">
        <is>
          <t>M3</t>
        </is>
      </c>
      <c r="E468" t="n">
        <v>1000</v>
      </c>
      <c r="F468" t="inlineStr">
        <is>
          <t>TN</t>
        </is>
      </c>
      <c r="G468" t="n">
        <v>1500</v>
      </c>
      <c r="H468" t="inlineStr">
        <is>
          <t>Grava Aluvial de 1" Conconcreto</t>
        </is>
      </c>
    </row>
    <row r="469">
      <c r="A469" t="n">
        <v>10002425</v>
      </c>
      <c r="B469" t="inlineStr">
        <is>
          <t>ZFE3</t>
        </is>
      </c>
      <c r="C469" t="inlineStr">
        <is>
          <t>1000</t>
        </is>
      </c>
      <c r="D469" t="inlineStr">
        <is>
          <t>M3</t>
        </is>
      </c>
      <c r="E469" t="n">
        <v>1000</v>
      </c>
      <c r="F469" t="inlineStr">
        <is>
          <t>TN</t>
        </is>
      </c>
      <c r="G469" t="n">
        <v>1500</v>
      </c>
      <c r="H469" t="inlineStr">
        <is>
          <t>Grava Diabasa de 1/2" Cachibi</t>
        </is>
      </c>
    </row>
    <row r="470">
      <c r="A470" t="n">
        <v>10002426</v>
      </c>
      <c r="B470" t="inlineStr">
        <is>
          <t>ZFE3</t>
        </is>
      </c>
      <c r="C470" t="inlineStr">
        <is>
          <t>1000</t>
        </is>
      </c>
      <c r="D470" t="inlineStr">
        <is>
          <t>M3</t>
        </is>
      </c>
      <c r="E470" t="n">
        <v>1000</v>
      </c>
      <c r="F470" t="inlineStr">
        <is>
          <t>TN</t>
        </is>
      </c>
      <c r="G470" t="n">
        <v>1500</v>
      </c>
      <c r="H470" t="inlineStr">
        <is>
          <t>Grava Diabasa de 1" Cachibi</t>
        </is>
      </c>
    </row>
    <row r="471">
      <c r="A471" t="n">
        <v>10002497</v>
      </c>
      <c r="B471" t="inlineStr">
        <is>
          <t>ZFER</t>
        </is>
      </c>
      <c r="C471" t="inlineStr">
        <is>
          <t>1000</t>
        </is>
      </c>
      <c r="D471" t="inlineStr">
        <is>
          <t>M3</t>
        </is>
      </c>
      <c r="E471" t="n">
        <v>1000</v>
      </c>
      <c r="F471" t="inlineStr">
        <is>
          <t>TN</t>
        </is>
      </c>
      <c r="G471" t="n">
        <v>1567</v>
      </c>
      <c r="H471" t="inlineStr">
        <is>
          <t>Grava Triturada Basalto 20 mm - 3/4"-Puq</t>
        </is>
      </c>
    </row>
    <row r="472">
      <c r="A472" t="n">
        <v>10002498</v>
      </c>
      <c r="B472" t="inlineStr">
        <is>
          <t>ZFER</t>
        </is>
      </c>
      <c r="C472" t="inlineStr">
        <is>
          <t>1000</t>
        </is>
      </c>
      <c r="D472" t="inlineStr">
        <is>
          <t>M3</t>
        </is>
      </c>
      <c r="E472" t="n">
        <v>1000</v>
      </c>
      <c r="F472" t="inlineStr">
        <is>
          <t>TN</t>
        </is>
      </c>
      <c r="G472" t="n">
        <v>1552</v>
      </c>
      <c r="H472" t="inlineStr">
        <is>
          <t>Grava Triturada Basalto 20 mm - 3/4"-D</t>
        </is>
      </c>
    </row>
    <row r="473">
      <c r="A473" t="n">
        <v>10002499</v>
      </c>
      <c r="B473" t="inlineStr">
        <is>
          <t>ZFER</t>
        </is>
      </c>
      <c r="C473" t="inlineStr">
        <is>
          <t>1000</t>
        </is>
      </c>
      <c r="D473" t="inlineStr">
        <is>
          <t>M3</t>
        </is>
      </c>
      <c r="E473" t="n">
        <v>1000</v>
      </c>
      <c r="F473" t="inlineStr">
        <is>
          <t>TN</t>
        </is>
      </c>
      <c r="G473" t="n">
        <v>1666</v>
      </c>
      <c r="H473" t="inlineStr">
        <is>
          <t>Arena Triturada Basalto Malla 4  -Mezcla</t>
        </is>
      </c>
    </row>
    <row r="474">
      <c r="A474" t="n">
        <v>10002519</v>
      </c>
      <c r="B474" t="inlineStr">
        <is>
          <t>ZFE3</t>
        </is>
      </c>
      <c r="C474" t="inlineStr">
        <is>
          <t>1000</t>
        </is>
      </c>
      <c r="D474" t="inlineStr">
        <is>
          <t>M3</t>
        </is>
      </c>
      <c r="E474" t="n">
        <v>1</v>
      </c>
      <c r="F474" t="inlineStr">
        <is>
          <t>TN</t>
        </is>
      </c>
      <c r="G474" t="n">
        <v>1</v>
      </c>
      <c r="H474" t="inlineStr">
        <is>
          <t>ARENA CALIZA TIPO S1</t>
        </is>
      </c>
    </row>
    <row r="475">
      <c r="A475" t="n">
        <v>10002521</v>
      </c>
      <c r="B475" t="inlineStr">
        <is>
          <t>ZFE7</t>
        </is>
      </c>
      <c r="C475" t="inlineStr">
        <is>
          <t>1000</t>
        </is>
      </c>
      <c r="D475" t="inlineStr">
        <is>
          <t>M3</t>
        </is>
      </c>
      <c r="E475" t="n">
        <v>1</v>
      </c>
      <c r="F475" t="inlineStr">
        <is>
          <t>TN</t>
        </is>
      </c>
      <c r="G475" t="n">
        <v>1</v>
      </c>
      <c r="H475" t="inlineStr">
        <is>
          <t>Talco</t>
        </is>
      </c>
    </row>
    <row r="476">
      <c r="A476" t="n">
        <v>10002525</v>
      </c>
      <c r="B476" t="inlineStr">
        <is>
          <t>ZFE3</t>
        </is>
      </c>
      <c r="C476" t="inlineStr">
        <is>
          <t>1000</t>
        </is>
      </c>
      <c r="D476" t="inlineStr">
        <is>
          <t>M3</t>
        </is>
      </c>
      <c r="E476" t="n">
        <v>1</v>
      </c>
      <c r="F476" t="inlineStr">
        <is>
          <t>TN</t>
        </is>
      </c>
      <c r="G476" t="n">
        <v>1</v>
      </c>
      <c r="H476" t="inlineStr">
        <is>
          <t>Piedra Caliza 3/4"</t>
        </is>
      </c>
    </row>
    <row r="477">
      <c r="A477" t="n">
        <v>10002538</v>
      </c>
      <c r="B477" t="inlineStr">
        <is>
          <t>ZFE3</t>
        </is>
      </c>
      <c r="C477" t="inlineStr">
        <is>
          <t>1000</t>
        </is>
      </c>
      <c r="D477" t="inlineStr">
        <is>
          <t>M3</t>
        </is>
      </c>
      <c r="E477" t="n">
        <v>1</v>
      </c>
      <c r="F477" t="inlineStr">
        <is>
          <t>TN</t>
        </is>
      </c>
      <c r="G477" t="n">
        <v>1</v>
      </c>
      <c r="H477" t="inlineStr">
        <is>
          <t>Gravilla Caliza 1/4" Tipo M2</t>
        </is>
      </c>
    </row>
    <row r="478">
      <c r="A478" t="n">
        <v>10002699</v>
      </c>
      <c r="B478" t="inlineStr">
        <is>
          <t>ZFE3</t>
        </is>
      </c>
      <c r="C478" t="inlineStr">
        <is>
          <t>1000</t>
        </is>
      </c>
      <c r="D478" t="inlineStr">
        <is>
          <t>M3</t>
        </is>
      </c>
      <c r="E478" t="n">
        <v>1000</v>
      </c>
      <c r="F478" t="inlineStr">
        <is>
          <t>TN</t>
        </is>
      </c>
      <c r="G478" t="n">
        <v>1708</v>
      </c>
      <c r="H478" t="inlineStr">
        <is>
          <t>Arena Aluvial Gruesa Pavcol</t>
        </is>
      </c>
    </row>
    <row r="479">
      <c r="A479" t="n">
        <v>10002702</v>
      </c>
      <c r="B479" t="inlineStr">
        <is>
          <t>ZFE3</t>
        </is>
      </c>
      <c r="C479" t="inlineStr">
        <is>
          <t>1000</t>
        </is>
      </c>
      <c r="D479" t="inlineStr">
        <is>
          <t>M3</t>
        </is>
      </c>
      <c r="E479" t="n">
        <v>1000</v>
      </c>
      <c r="F479" t="inlineStr">
        <is>
          <t>TN</t>
        </is>
      </c>
      <c r="G479" t="n">
        <v>1641</v>
      </c>
      <c r="H479" t="inlineStr">
        <is>
          <t>Arena Aluvial Gruesa A&amp;G Cucuana</t>
        </is>
      </c>
    </row>
    <row r="480">
      <c r="A480" t="n">
        <v>10002708</v>
      </c>
      <c r="B480" t="inlineStr">
        <is>
          <t>ZFE3</t>
        </is>
      </c>
      <c r="C480" t="inlineStr">
        <is>
          <t>1000</t>
        </is>
      </c>
      <c r="D480" t="inlineStr">
        <is>
          <t>M3</t>
        </is>
      </c>
      <c r="E480" t="n">
        <v>1000</v>
      </c>
      <c r="F480" t="inlineStr">
        <is>
          <t>TN</t>
        </is>
      </c>
      <c r="G480" t="n">
        <v>1533</v>
      </c>
      <c r="H480" t="inlineStr">
        <is>
          <t>Grava Aluvial de 3/4" Ingecos</t>
        </is>
      </c>
    </row>
    <row r="481">
      <c r="A481" t="n">
        <v>10002711</v>
      </c>
      <c r="B481" t="inlineStr">
        <is>
          <t>ZFE3</t>
        </is>
      </c>
      <c r="C481" t="inlineStr">
        <is>
          <t>1000</t>
        </is>
      </c>
      <c r="D481" t="inlineStr">
        <is>
          <t>M3</t>
        </is>
      </c>
      <c r="E481" t="n">
        <v>100</v>
      </c>
      <c r="F481" t="inlineStr">
        <is>
          <t>TN</t>
        </is>
      </c>
      <c r="G481" t="n">
        <v>149</v>
      </c>
      <c r="H481" t="inlineStr">
        <is>
          <t>Grava Aluvial de 1/2" Ingecos</t>
        </is>
      </c>
    </row>
    <row r="482">
      <c r="A482" t="n">
        <v>10002718</v>
      </c>
      <c r="B482" t="inlineStr">
        <is>
          <t>ZFE3</t>
        </is>
      </c>
      <c r="C482" t="inlineStr">
        <is>
          <t>1000</t>
        </is>
      </c>
      <c r="D482" t="inlineStr">
        <is>
          <t>M3</t>
        </is>
      </c>
      <c r="E482" t="n">
        <v>100</v>
      </c>
      <c r="F482" t="inlineStr">
        <is>
          <t>TN</t>
        </is>
      </c>
      <c r="G482" t="n">
        <v>150</v>
      </c>
      <c r="H482" t="inlineStr">
        <is>
          <t>Grava Aluvial de 3/8" Chicamocha</t>
        </is>
      </c>
    </row>
    <row r="483">
      <c r="A483" t="n">
        <v>10002719</v>
      </c>
      <c r="B483" t="inlineStr">
        <is>
          <t>ZFE3</t>
        </is>
      </c>
      <c r="C483" t="inlineStr">
        <is>
          <t>1000</t>
        </is>
      </c>
      <c r="D483" t="inlineStr">
        <is>
          <t>M3</t>
        </is>
      </c>
      <c r="E483" t="n">
        <v>1000</v>
      </c>
      <c r="F483" t="inlineStr">
        <is>
          <t>TN</t>
        </is>
      </c>
      <c r="G483" t="n">
        <v>1584</v>
      </c>
      <c r="H483" t="inlineStr">
        <is>
          <t>Grava Aluvial de 3/4" Chicamocha</t>
        </is>
      </c>
    </row>
    <row r="484">
      <c r="A484" t="n">
        <v>10002723</v>
      </c>
      <c r="B484" t="inlineStr">
        <is>
          <t>ZFE3</t>
        </is>
      </c>
      <c r="C484" t="inlineStr">
        <is>
          <t>1000</t>
        </is>
      </c>
      <c r="D484" t="inlineStr">
        <is>
          <t>M3</t>
        </is>
      </c>
      <c r="E484" t="n">
        <v>1000</v>
      </c>
      <c r="F484" t="inlineStr">
        <is>
          <t>TN</t>
        </is>
      </c>
      <c r="G484" t="n">
        <v>1500</v>
      </c>
      <c r="H484" t="inlineStr">
        <is>
          <t>Grava Diabasa de 1/2" Ingeocc</t>
        </is>
      </c>
    </row>
    <row r="485">
      <c r="A485" t="n">
        <v>10002725</v>
      </c>
      <c r="B485" t="inlineStr">
        <is>
          <t>ZFE3</t>
        </is>
      </c>
      <c r="C485" t="inlineStr">
        <is>
          <t>1000</t>
        </is>
      </c>
      <c r="D485" t="inlineStr">
        <is>
          <t>M3</t>
        </is>
      </c>
      <c r="E485" t="n">
        <v>1000</v>
      </c>
      <c r="F485" t="inlineStr">
        <is>
          <t>TN</t>
        </is>
      </c>
      <c r="G485" t="n">
        <v>1569</v>
      </c>
      <c r="H485" t="inlineStr">
        <is>
          <t>Arena de Rio Gruesa Casa Blanca</t>
        </is>
      </c>
    </row>
    <row r="486">
      <c r="A486" t="n">
        <v>10002727</v>
      </c>
      <c r="B486" t="inlineStr">
        <is>
          <t>ZFE3</t>
        </is>
      </c>
      <c r="C486" t="inlineStr">
        <is>
          <t>1000</t>
        </is>
      </c>
      <c r="D486" t="inlineStr">
        <is>
          <t>M3</t>
        </is>
      </c>
      <c r="E486" t="n">
        <v>1000</v>
      </c>
      <c r="F486" t="inlineStr">
        <is>
          <t>TN</t>
        </is>
      </c>
      <c r="G486" t="n">
        <v>1582</v>
      </c>
      <c r="H486" t="inlineStr">
        <is>
          <t>Arena Gruesa de Rio ATC</t>
        </is>
      </c>
    </row>
    <row r="487">
      <c r="A487" t="n">
        <v>10002728</v>
      </c>
      <c r="B487" t="inlineStr">
        <is>
          <t>ZFE3</t>
        </is>
      </c>
      <c r="C487" t="inlineStr">
        <is>
          <t>1000</t>
        </is>
      </c>
      <c r="D487" t="inlineStr">
        <is>
          <t>M3</t>
        </is>
      </c>
      <c r="E487" t="n">
        <v>1000</v>
      </c>
      <c r="F487" t="inlineStr">
        <is>
          <t>TN</t>
        </is>
      </c>
      <c r="G487" t="n">
        <v>1633</v>
      </c>
      <c r="H487" t="inlineStr">
        <is>
          <t>Grava Aluvial de 3/4" El Cairo</t>
        </is>
      </c>
    </row>
    <row r="488">
      <c r="A488" t="n">
        <v>10002729</v>
      </c>
      <c r="B488" t="inlineStr">
        <is>
          <t>ZFE3</t>
        </is>
      </c>
      <c r="C488" t="inlineStr">
        <is>
          <t>1000</t>
        </is>
      </c>
      <c r="D488" t="inlineStr">
        <is>
          <t>M3</t>
        </is>
      </c>
      <c r="E488" t="n">
        <v>1000</v>
      </c>
      <c r="F488" t="inlineStr">
        <is>
          <t>TN</t>
        </is>
      </c>
      <c r="G488" t="n">
        <v>1592</v>
      </c>
      <c r="H488" t="inlineStr">
        <is>
          <t>Grava Aluvial de 1" El Cairo</t>
        </is>
      </c>
    </row>
    <row r="489">
      <c r="A489" t="n">
        <v>10002730</v>
      </c>
      <c r="B489" t="inlineStr">
        <is>
          <t>ZFE3</t>
        </is>
      </c>
      <c r="C489" t="inlineStr">
        <is>
          <t>1000</t>
        </is>
      </c>
      <c r="D489" t="inlineStr">
        <is>
          <t>M3</t>
        </is>
      </c>
      <c r="E489" t="n">
        <v>1000</v>
      </c>
      <c r="F489" t="inlineStr">
        <is>
          <t>TN</t>
        </is>
      </c>
      <c r="G489" t="n">
        <v>1600</v>
      </c>
      <c r="H489" t="inlineStr">
        <is>
          <t>Arena Aluvial Gruesa El Cairo</t>
        </is>
      </c>
    </row>
    <row r="490">
      <c r="A490" t="n">
        <v>10002738</v>
      </c>
      <c r="B490" t="inlineStr">
        <is>
          <t>ZFE3</t>
        </is>
      </c>
      <c r="C490" t="inlineStr">
        <is>
          <t>1000</t>
        </is>
      </c>
      <c r="D490" t="inlineStr">
        <is>
          <t>M3</t>
        </is>
      </c>
      <c r="E490" t="n">
        <v>1000</v>
      </c>
      <c r="F490" t="inlineStr">
        <is>
          <t>TN</t>
        </is>
      </c>
      <c r="G490" t="n">
        <v>1500</v>
      </c>
      <c r="H490" t="inlineStr">
        <is>
          <t>Grava Diabasa de 1" Ingeocc</t>
        </is>
      </c>
    </row>
    <row r="491">
      <c r="A491" t="n">
        <v>10002739</v>
      </c>
      <c r="B491" t="inlineStr">
        <is>
          <t>ZFE3</t>
        </is>
      </c>
      <c r="C491" t="inlineStr">
        <is>
          <t>1000</t>
        </is>
      </c>
      <c r="D491" t="inlineStr">
        <is>
          <t>M3</t>
        </is>
      </c>
      <c r="E491" t="n">
        <v>1000</v>
      </c>
      <c r="F491" t="inlineStr">
        <is>
          <t>TN</t>
        </is>
      </c>
      <c r="G491" t="n">
        <v>1538</v>
      </c>
      <c r="H491" t="inlineStr">
        <is>
          <t>Arena Aluvial Gruesa Chicamocha</t>
        </is>
      </c>
    </row>
    <row r="492">
      <c r="A492" t="n">
        <v>10002742</v>
      </c>
      <c r="B492" t="inlineStr">
        <is>
          <t>ZFE3</t>
        </is>
      </c>
      <c r="C492" t="inlineStr">
        <is>
          <t>1000</t>
        </is>
      </c>
      <c r="D492" t="inlineStr">
        <is>
          <t>M3</t>
        </is>
      </c>
      <c r="E492" t="n">
        <v>1000</v>
      </c>
      <c r="F492" t="inlineStr">
        <is>
          <t>TN</t>
        </is>
      </c>
      <c r="G492" t="n">
        <v>1496</v>
      </c>
      <c r="H492" t="inlineStr">
        <is>
          <t>Grava de Rio de 3/4" AGG Johan</t>
        </is>
      </c>
    </row>
    <row r="493">
      <c r="A493" t="n">
        <v>10002751</v>
      </c>
      <c r="B493" t="inlineStr">
        <is>
          <t>ZFE3</t>
        </is>
      </c>
      <c r="C493" t="inlineStr">
        <is>
          <t>1000</t>
        </is>
      </c>
      <c r="D493" t="inlineStr">
        <is>
          <t>M3</t>
        </is>
      </c>
      <c r="E493" t="n">
        <v>1000</v>
      </c>
      <c r="F493" t="inlineStr">
        <is>
          <t>TN</t>
        </is>
      </c>
      <c r="G493" t="n">
        <v>1580</v>
      </c>
      <c r="H493" t="inlineStr">
        <is>
          <t>Arena de Rio Gruesa Risaralda</t>
        </is>
      </c>
    </row>
    <row r="494">
      <c r="A494" t="n">
        <v>10002752</v>
      </c>
      <c r="B494" t="inlineStr">
        <is>
          <t>ZFE3</t>
        </is>
      </c>
      <c r="C494" t="inlineStr">
        <is>
          <t>1000</t>
        </is>
      </c>
      <c r="D494" t="inlineStr">
        <is>
          <t>M3</t>
        </is>
      </c>
      <c r="E494" t="n">
        <v>1000</v>
      </c>
      <c r="F494" t="inlineStr">
        <is>
          <t>TN</t>
        </is>
      </c>
      <c r="G494" t="n">
        <v>1460</v>
      </c>
      <c r="H494" t="inlineStr">
        <is>
          <t>Grava Silica de 3/4" Risaralda</t>
        </is>
      </c>
    </row>
    <row r="495">
      <c r="A495" t="n">
        <v>10002753</v>
      </c>
      <c r="B495" t="inlineStr">
        <is>
          <t>ZFE3</t>
        </is>
      </c>
      <c r="C495" t="inlineStr">
        <is>
          <t>1000</t>
        </is>
      </c>
      <c r="D495" t="inlineStr">
        <is>
          <t>M3</t>
        </is>
      </c>
      <c r="E495" t="n">
        <v>1000</v>
      </c>
      <c r="F495" t="inlineStr">
        <is>
          <t>TN</t>
        </is>
      </c>
      <c r="G495" t="n">
        <v>1430</v>
      </c>
      <c r="H495" t="inlineStr">
        <is>
          <t>Grava de Rio de 1" Risaralda</t>
        </is>
      </c>
    </row>
    <row r="496">
      <c r="A496" t="n">
        <v>10002763</v>
      </c>
      <c r="B496" t="inlineStr">
        <is>
          <t>ZFE3</t>
        </is>
      </c>
      <c r="C496" t="inlineStr">
        <is>
          <t>1000</t>
        </is>
      </c>
      <c r="D496" t="inlineStr">
        <is>
          <t>M3</t>
        </is>
      </c>
      <c r="E496" t="n">
        <v>100</v>
      </c>
      <c r="F496" t="inlineStr">
        <is>
          <t>TN</t>
        </is>
      </c>
      <c r="G496" t="n">
        <v>155</v>
      </c>
      <c r="H496" t="inlineStr">
        <is>
          <t>Grava Caliza de 1/2" Ciprecon</t>
        </is>
      </c>
    </row>
    <row r="497">
      <c r="A497" t="n">
        <v>10002780</v>
      </c>
      <c r="B497" t="inlineStr">
        <is>
          <t>ZFE3</t>
        </is>
      </c>
      <c r="C497" t="inlineStr">
        <is>
          <t>1000</t>
        </is>
      </c>
      <c r="D497" t="inlineStr">
        <is>
          <t>M3</t>
        </is>
      </c>
      <c r="E497" t="n">
        <v>1000</v>
      </c>
      <c r="F497" t="inlineStr">
        <is>
          <t>TN</t>
        </is>
      </c>
      <c r="G497" t="n">
        <v>1640</v>
      </c>
      <c r="H497" t="inlineStr">
        <is>
          <t>Arena Aluvial Gruesa AGG Nacionales</t>
        </is>
      </c>
    </row>
    <row r="498">
      <c r="A498" t="n">
        <v>10002782</v>
      </c>
      <c r="B498" t="inlineStr">
        <is>
          <t>ZFE3</t>
        </is>
      </c>
      <c r="C498" t="inlineStr">
        <is>
          <t>1000</t>
        </is>
      </c>
      <c r="D498" t="inlineStr">
        <is>
          <t>M3</t>
        </is>
      </c>
      <c r="E498" t="n">
        <v>1000</v>
      </c>
      <c r="F498" t="inlineStr">
        <is>
          <t>TN</t>
        </is>
      </c>
      <c r="G498" t="n">
        <v>1500</v>
      </c>
      <c r="H498" t="inlineStr">
        <is>
          <t>Grava Aluvial de 1" AGG Nacionales</t>
        </is>
      </c>
    </row>
    <row r="499">
      <c r="A499" t="n">
        <v>10002784</v>
      </c>
      <c r="B499" t="inlineStr">
        <is>
          <t>ZFE3</t>
        </is>
      </c>
      <c r="C499" t="inlineStr">
        <is>
          <t>1000</t>
        </is>
      </c>
      <c r="D499" t="inlineStr">
        <is>
          <t>M3</t>
        </is>
      </c>
      <c r="E499" t="n">
        <v>1000</v>
      </c>
      <c r="F499" t="inlineStr">
        <is>
          <t>TN</t>
        </is>
      </c>
      <c r="G499" t="n">
        <v>1510</v>
      </c>
      <c r="H499" t="inlineStr">
        <is>
          <t>Grava Aluvial de 1/2" AGG Nacionales</t>
        </is>
      </c>
    </row>
    <row r="500">
      <c r="A500" t="n">
        <v>10002802</v>
      </c>
      <c r="B500" t="inlineStr">
        <is>
          <t>ZFER</t>
        </is>
      </c>
      <c r="C500" t="inlineStr">
        <is>
          <t>1000</t>
        </is>
      </c>
      <c r="D500" t="inlineStr">
        <is>
          <t>M3</t>
        </is>
      </c>
      <c r="E500" t="n">
        <v>1000</v>
      </c>
      <c r="F500" t="inlineStr">
        <is>
          <t>TN</t>
        </is>
      </c>
      <c r="G500" t="n">
        <v>1463</v>
      </c>
      <c r="H500" t="inlineStr">
        <is>
          <t>Arena Clasificada Río Malla 4 Lavado</t>
        </is>
      </c>
    </row>
    <row r="501">
      <c r="A501" t="n">
        <v>10002901</v>
      </c>
      <c r="B501" t="inlineStr">
        <is>
          <t>ZFE3</t>
        </is>
      </c>
      <c r="C501" t="inlineStr">
        <is>
          <t>1000</t>
        </is>
      </c>
      <c r="D501" t="inlineStr">
        <is>
          <t>M3</t>
        </is>
      </c>
      <c r="E501" t="n">
        <v>1000</v>
      </c>
      <c r="F501" t="inlineStr">
        <is>
          <t>TN</t>
        </is>
      </c>
      <c r="G501" t="n">
        <v>1347</v>
      </c>
      <c r="H501" t="inlineStr">
        <is>
          <t>Grava Arenisca dura 1" Cn Cx</t>
        </is>
      </c>
    </row>
    <row r="502">
      <c r="A502" t="n">
        <v>10002902</v>
      </c>
      <c r="B502" t="inlineStr">
        <is>
          <t>ZFE3</t>
        </is>
      </c>
      <c r="C502" t="inlineStr">
        <is>
          <t>1000</t>
        </is>
      </c>
      <c r="D502" t="inlineStr">
        <is>
          <t>M3</t>
        </is>
      </c>
      <c r="E502" t="n">
        <v>1000</v>
      </c>
      <c r="F502" t="inlineStr">
        <is>
          <t>TN</t>
        </is>
      </c>
      <c r="G502" t="n">
        <v>1340</v>
      </c>
      <c r="H502" t="inlineStr">
        <is>
          <t>Grava Arenisca dura 1/2" Cn Cx</t>
        </is>
      </c>
    </row>
    <row r="503">
      <c r="A503" t="n">
        <v>10002904</v>
      </c>
      <c r="B503" t="inlineStr">
        <is>
          <t>ZFE3</t>
        </is>
      </c>
      <c r="C503" t="inlineStr">
        <is>
          <t>1000</t>
        </is>
      </c>
      <c r="D503" t="inlineStr">
        <is>
          <t>M3</t>
        </is>
      </c>
      <c r="E503" t="n">
        <v>1000</v>
      </c>
      <c r="F503" t="inlineStr">
        <is>
          <t>TN</t>
        </is>
      </c>
      <c r="G503" t="n">
        <v>1549</v>
      </c>
      <c r="H503" t="inlineStr">
        <is>
          <t>GRAVA DE RIO 1/2" A&amp;G CUCUANA</t>
        </is>
      </c>
    </row>
    <row r="504">
      <c r="A504" t="n">
        <v>10002905</v>
      </c>
      <c r="B504" t="inlineStr">
        <is>
          <t>ZFE3</t>
        </is>
      </c>
      <c r="C504" t="inlineStr">
        <is>
          <t>1000</t>
        </is>
      </c>
      <c r="D504" t="inlineStr">
        <is>
          <t>M3</t>
        </is>
      </c>
      <c r="E504" t="n">
        <v>1000</v>
      </c>
      <c r="F504" t="inlineStr">
        <is>
          <t>TN</t>
        </is>
      </c>
      <c r="G504" t="n">
        <v>1213</v>
      </c>
      <c r="H504" t="inlineStr">
        <is>
          <t>GRAVA DE RIO 1" A&amp;G CUCUANA</t>
        </is>
      </c>
    </row>
    <row r="505">
      <c r="A505" t="n">
        <v>10002906</v>
      </c>
      <c r="B505" t="inlineStr">
        <is>
          <t>ZFER</t>
        </is>
      </c>
      <c r="C505" t="inlineStr">
        <is>
          <t>1000</t>
        </is>
      </c>
      <c r="D505" t="inlineStr">
        <is>
          <t>M3</t>
        </is>
      </c>
      <c r="E505" t="n">
        <v>1000</v>
      </c>
      <c r="F505" t="inlineStr">
        <is>
          <t>TN</t>
        </is>
      </c>
      <c r="G505" t="n">
        <v>1440</v>
      </c>
      <c r="H505" t="inlineStr">
        <is>
          <t>Grava Triturada Caliza 20 mm - 3/4" -Cap</t>
        </is>
      </c>
    </row>
    <row r="506">
      <c r="A506" t="n">
        <v>10002943</v>
      </c>
      <c r="B506" t="inlineStr">
        <is>
          <t>ZFER</t>
        </is>
      </c>
      <c r="C506" t="inlineStr">
        <is>
          <t>1000</t>
        </is>
      </c>
      <c r="D506" t="inlineStr">
        <is>
          <t>M3</t>
        </is>
      </c>
      <c r="E506" t="n">
        <v>1000</v>
      </c>
      <c r="F506" t="inlineStr">
        <is>
          <t>TN</t>
        </is>
      </c>
      <c r="G506" t="n">
        <v>1300</v>
      </c>
      <c r="H506" t="inlineStr">
        <is>
          <t>Grava Triturada Caliza 40 mm-11/2-1"-Cap</t>
        </is>
      </c>
    </row>
    <row r="507">
      <c r="A507" t="n">
        <v>10002973</v>
      </c>
      <c r="B507" t="inlineStr">
        <is>
          <t>ZFE3</t>
        </is>
      </c>
      <c r="C507" t="inlineStr">
        <is>
          <t>1000</t>
        </is>
      </c>
      <c r="D507" t="inlineStr">
        <is>
          <t>M3</t>
        </is>
      </c>
      <c r="E507" t="n">
        <v>1</v>
      </c>
      <c r="F507" t="inlineStr">
        <is>
          <t>TN</t>
        </is>
      </c>
      <c r="G507" t="n">
        <v>1</v>
      </c>
      <c r="H507" t="inlineStr">
        <is>
          <t>Arena Caliza Tipo S2</t>
        </is>
      </c>
    </row>
    <row r="508">
      <c r="A508" t="n">
        <v>10002975</v>
      </c>
      <c r="B508" t="inlineStr">
        <is>
          <t>ZFER</t>
        </is>
      </c>
      <c r="C508" t="inlineStr">
        <is>
          <t>1000</t>
        </is>
      </c>
      <c r="D508" t="inlineStr">
        <is>
          <t>M3</t>
        </is>
      </c>
      <c r="E508" t="n">
        <v>1000</v>
      </c>
      <c r="F508" t="inlineStr">
        <is>
          <t>TN</t>
        </is>
      </c>
      <c r="G508" t="n">
        <v>1400</v>
      </c>
      <c r="H508" t="inlineStr">
        <is>
          <t>Arena Triturada Andesita Malla 4 - Lav</t>
        </is>
      </c>
    </row>
    <row r="509">
      <c r="A509" t="n">
        <v>10002976</v>
      </c>
      <c r="B509" t="inlineStr">
        <is>
          <t>ZFER</t>
        </is>
      </c>
      <c r="C509" t="inlineStr">
        <is>
          <t>1000</t>
        </is>
      </c>
      <c r="D509" t="inlineStr">
        <is>
          <t>M3</t>
        </is>
      </c>
      <c r="E509" t="n">
        <v>1000</v>
      </c>
      <c r="F509" t="inlineStr">
        <is>
          <t>TN</t>
        </is>
      </c>
      <c r="G509" t="n">
        <v>1370</v>
      </c>
      <c r="H509" t="inlineStr">
        <is>
          <t>Grava Triturada Andesita 25 mm - 1"</t>
        </is>
      </c>
    </row>
    <row r="510">
      <c r="A510" t="n">
        <v>10003005</v>
      </c>
      <c r="B510" t="inlineStr">
        <is>
          <t>ZFE3</t>
        </is>
      </c>
      <c r="C510" t="inlineStr">
        <is>
          <t>1000</t>
        </is>
      </c>
      <c r="D510" t="inlineStr">
        <is>
          <t>M3</t>
        </is>
      </c>
      <c r="E510" t="n">
        <v>1000</v>
      </c>
      <c r="F510" t="inlineStr">
        <is>
          <t>TN</t>
        </is>
      </c>
      <c r="G510" t="n">
        <v>1633</v>
      </c>
      <c r="H510" t="inlineStr">
        <is>
          <t>Arena Cribada Gold Mark 50kg</t>
        </is>
      </c>
    </row>
    <row r="511">
      <c r="A511" t="n">
        <v>10003014</v>
      </c>
      <c r="B511" t="inlineStr">
        <is>
          <t>ZFER</t>
        </is>
      </c>
      <c r="C511" t="inlineStr">
        <is>
          <t>1000</t>
        </is>
      </c>
      <c r="D511" t="inlineStr">
        <is>
          <t>M3</t>
        </is>
      </c>
      <c r="E511" t="n">
        <v>1000</v>
      </c>
      <c r="F511" t="inlineStr">
        <is>
          <t>TN</t>
        </is>
      </c>
      <c r="G511" t="n">
        <v>1450</v>
      </c>
      <c r="H511" t="inlineStr">
        <is>
          <t>Arena Clasificada Río Malla 4</t>
        </is>
      </c>
    </row>
    <row r="512">
      <c r="A512" t="n">
        <v>10003015</v>
      </c>
      <c r="B512" t="inlineStr">
        <is>
          <t>ZFER</t>
        </is>
      </c>
      <c r="C512" t="inlineStr">
        <is>
          <t>1000</t>
        </is>
      </c>
      <c r="D512" t="inlineStr">
        <is>
          <t>M3</t>
        </is>
      </c>
      <c r="E512" t="n">
        <v>1000</v>
      </c>
      <c r="F512" t="inlineStr">
        <is>
          <t>TN</t>
        </is>
      </c>
      <c r="G512" t="n">
        <v>1250</v>
      </c>
      <c r="H512" t="inlineStr">
        <is>
          <t>Balasto Triturado Andesita 150 mm - 6"</t>
        </is>
      </c>
    </row>
    <row r="513">
      <c r="A513" t="n">
        <v>10003022</v>
      </c>
      <c r="B513" t="inlineStr">
        <is>
          <t>ZFE3</t>
        </is>
      </c>
      <c r="C513" t="inlineStr">
        <is>
          <t>1000</t>
        </is>
      </c>
      <c r="D513" t="inlineStr">
        <is>
          <t>M3</t>
        </is>
      </c>
      <c r="E513" t="n">
        <v>1000</v>
      </c>
      <c r="F513" t="inlineStr">
        <is>
          <t>TN</t>
        </is>
      </c>
      <c r="G513" t="n">
        <v>1342</v>
      </c>
      <c r="H513" t="inlineStr">
        <is>
          <t>Grava Triturada Caliza 40 mm - 1 1/2"</t>
        </is>
      </c>
    </row>
    <row r="514">
      <c r="A514" t="n">
        <v>10003023</v>
      </c>
      <c r="B514" t="inlineStr">
        <is>
          <t>ZFE3</t>
        </is>
      </c>
      <c r="C514" t="inlineStr">
        <is>
          <t>1000</t>
        </is>
      </c>
      <c r="D514" t="inlineStr">
        <is>
          <t>M3</t>
        </is>
      </c>
      <c r="E514" t="n">
        <v>1000</v>
      </c>
      <c r="F514" t="inlineStr">
        <is>
          <t>TN</t>
        </is>
      </c>
      <c r="G514" t="n">
        <v>1367</v>
      </c>
      <c r="H514" t="inlineStr">
        <is>
          <t>Arena Clasificada Rio Malla 4</t>
        </is>
      </c>
    </row>
    <row r="515">
      <c r="A515" t="n">
        <v>10003034</v>
      </c>
      <c r="B515" t="inlineStr">
        <is>
          <t>ZFER</t>
        </is>
      </c>
      <c r="C515" t="inlineStr">
        <is>
          <t>1000</t>
        </is>
      </c>
      <c r="D515" t="inlineStr">
        <is>
          <t>M3</t>
        </is>
      </c>
      <c r="E515" t="n">
        <v>1000</v>
      </c>
      <c r="F515" t="inlineStr">
        <is>
          <t>TN</t>
        </is>
      </c>
      <c r="G515" t="n">
        <v>1274</v>
      </c>
      <c r="H515" t="inlineStr">
        <is>
          <t>ARENA DE RIO LAVADA No.4</t>
        </is>
      </c>
    </row>
    <row r="516">
      <c r="A516" t="n">
        <v>10003050</v>
      </c>
      <c r="B516" t="inlineStr">
        <is>
          <t>ZFER</t>
        </is>
      </c>
      <c r="C516" t="inlineStr">
        <is>
          <t>1000</t>
        </is>
      </c>
      <c r="D516" t="inlineStr">
        <is>
          <t>M3</t>
        </is>
      </c>
      <c r="E516" t="n">
        <v>1000</v>
      </c>
      <c r="F516" t="inlineStr">
        <is>
          <t>TN</t>
        </is>
      </c>
      <c r="G516" t="n">
        <v>1600</v>
      </c>
      <c r="H516" t="inlineStr">
        <is>
          <t>Crudo Río</t>
        </is>
      </c>
    </row>
    <row r="517">
      <c r="A517" t="n">
        <v>10003056</v>
      </c>
      <c r="B517" t="inlineStr">
        <is>
          <t>ZFE3</t>
        </is>
      </c>
      <c r="C517" t="inlineStr">
        <is>
          <t>1000</t>
        </is>
      </c>
      <c r="D517" t="inlineStr">
        <is>
          <t>M3</t>
        </is>
      </c>
      <c r="E517" t="n">
        <v>1000</v>
      </c>
      <c r="F517" t="inlineStr">
        <is>
          <t>TN</t>
        </is>
      </c>
      <c r="G517" t="n">
        <v>1280</v>
      </c>
      <c r="H517" t="inlineStr">
        <is>
          <t>Rajon 15/30 Vinculo</t>
        </is>
      </c>
    </row>
    <row r="518">
      <c r="A518" t="n">
        <v>10003063</v>
      </c>
      <c r="B518" t="inlineStr">
        <is>
          <t>ZFER</t>
        </is>
      </c>
      <c r="C518" t="inlineStr">
        <is>
          <t>1000</t>
        </is>
      </c>
      <c r="D518" t="inlineStr">
        <is>
          <t>M3</t>
        </is>
      </c>
      <c r="E518" t="n">
        <v>1000</v>
      </c>
      <c r="F518" t="inlineStr">
        <is>
          <t>TN</t>
        </is>
      </c>
      <c r="G518" t="n">
        <v>1410</v>
      </c>
      <c r="H518" t="inlineStr">
        <is>
          <t>Grava Triturada Basalto 20mm-3/4"20-10mm</t>
        </is>
      </c>
    </row>
    <row r="519">
      <c r="A519" t="n">
        <v>10003064</v>
      </c>
      <c r="B519" t="inlineStr">
        <is>
          <t>ZFER</t>
        </is>
      </c>
      <c r="C519" t="inlineStr">
        <is>
          <t>1000</t>
        </is>
      </c>
      <c r="D519" t="inlineStr">
        <is>
          <t>M3</t>
        </is>
      </c>
      <c r="E519" t="n">
        <v>1000</v>
      </c>
      <c r="F519" t="inlineStr">
        <is>
          <t>TN</t>
        </is>
      </c>
      <c r="G519" t="n">
        <v>1515</v>
      </c>
      <c r="H519" t="inlineStr">
        <is>
          <t>Arena Triturada Basalto Malla 5 -Pref</t>
        </is>
      </c>
    </row>
    <row r="520">
      <c r="A520" t="n">
        <v>10003084</v>
      </c>
      <c r="B520" t="inlineStr">
        <is>
          <t>ZFE3</t>
        </is>
      </c>
      <c r="C520" t="inlineStr">
        <is>
          <t>1000</t>
        </is>
      </c>
      <c r="D520" t="inlineStr">
        <is>
          <t>M3</t>
        </is>
      </c>
      <c r="E520" t="n">
        <v>100</v>
      </c>
      <c r="F520" t="inlineStr">
        <is>
          <t>TN</t>
        </is>
      </c>
      <c r="G520" t="n">
        <v>160</v>
      </c>
      <c r="H520" t="inlineStr">
        <is>
          <t>SF-1051 ARENA INDUSTRIAL</t>
        </is>
      </c>
    </row>
    <row r="521">
      <c r="A521" t="n">
        <v>10003085</v>
      </c>
      <c r="B521" t="inlineStr">
        <is>
          <t>ZFE3</t>
        </is>
      </c>
      <c r="C521" t="inlineStr">
        <is>
          <t>1000</t>
        </is>
      </c>
      <c r="D521" t="inlineStr">
        <is>
          <t>M3</t>
        </is>
      </c>
      <c r="E521" t="n">
        <v>100</v>
      </c>
      <c r="F521" t="inlineStr">
        <is>
          <t>TN</t>
        </is>
      </c>
      <c r="G521" t="n">
        <v>153</v>
      </c>
      <c r="H521" t="inlineStr">
        <is>
          <t>SF-1051 PIEDRA CALIZA (MÁXIMO DE 12MM)</t>
        </is>
      </c>
    </row>
    <row r="522">
      <c r="A522" t="n">
        <v>10003086</v>
      </c>
      <c r="B522" t="inlineStr">
        <is>
          <t>ZFE3</t>
        </is>
      </c>
      <c r="C522" t="inlineStr">
        <is>
          <t>1000</t>
        </is>
      </c>
      <c r="D522" t="inlineStr">
        <is>
          <t>M3</t>
        </is>
      </c>
      <c r="E522" t="n">
        <v>100</v>
      </c>
      <c r="F522" t="inlineStr">
        <is>
          <t>TN</t>
        </is>
      </c>
      <c r="G522" t="n">
        <v>148</v>
      </c>
      <c r="H522" t="inlineStr">
        <is>
          <t>SF-1051 PIEDRA CALIZA (DE 12MM A 19 MM)</t>
        </is>
      </c>
    </row>
    <row r="523">
      <c r="A523" t="n">
        <v>10003129</v>
      </c>
      <c r="B523" t="inlineStr">
        <is>
          <t>ZFE3</t>
        </is>
      </c>
      <c r="C523" t="inlineStr">
        <is>
          <t>1000</t>
        </is>
      </c>
      <c r="D523" t="inlineStr">
        <is>
          <t>M3</t>
        </is>
      </c>
      <c r="E523" t="n">
        <v>1000</v>
      </c>
      <c r="F523" t="inlineStr">
        <is>
          <t>TN</t>
        </is>
      </c>
      <c r="G523" t="n">
        <v>1700</v>
      </c>
      <c r="H523" t="inlineStr">
        <is>
          <t>SABLE LAVE 0/6 MM LE</t>
        </is>
      </c>
    </row>
    <row r="524">
      <c r="A524" t="n">
        <v>10003131</v>
      </c>
      <c r="B524" t="inlineStr">
        <is>
          <t>ZFER</t>
        </is>
      </c>
      <c r="C524" t="inlineStr">
        <is>
          <t>1000</t>
        </is>
      </c>
      <c r="D524" t="inlineStr">
        <is>
          <t>M3</t>
        </is>
      </c>
      <c r="E524" t="n">
        <v>1000</v>
      </c>
      <c r="F524" t="inlineStr">
        <is>
          <t>TN</t>
        </is>
      </c>
      <c r="G524" t="n">
        <v>1400</v>
      </c>
      <c r="H524" t="inlineStr">
        <is>
          <t>Arena Triturada Andesita Malla 4 -Mez</t>
        </is>
      </c>
    </row>
    <row r="525">
      <c r="A525" t="n">
        <v>10003132</v>
      </c>
      <c r="B525" t="inlineStr">
        <is>
          <t>ZFER</t>
        </is>
      </c>
      <c r="C525" t="inlineStr">
        <is>
          <t>1000</t>
        </is>
      </c>
      <c r="D525" t="inlineStr">
        <is>
          <t>M3</t>
        </is>
      </c>
      <c r="E525" t="n">
        <v>1000</v>
      </c>
      <c r="F525" t="inlineStr">
        <is>
          <t>TN</t>
        </is>
      </c>
      <c r="G525" t="n">
        <v>1290</v>
      </c>
      <c r="H525" t="inlineStr">
        <is>
          <t>Base H Triturada Andesita  1 1/2" a Fino</t>
        </is>
      </c>
    </row>
    <row r="526">
      <c r="A526" t="n">
        <v>10003135</v>
      </c>
      <c r="B526" t="inlineStr">
        <is>
          <t>ZFER</t>
        </is>
      </c>
      <c r="C526" t="inlineStr">
        <is>
          <t>1000</t>
        </is>
      </c>
      <c r="D526" t="inlineStr">
        <is>
          <t>M3</t>
        </is>
      </c>
      <c r="E526" t="n">
        <v>1000</v>
      </c>
      <c r="F526" t="inlineStr">
        <is>
          <t>TN</t>
        </is>
      </c>
      <c r="G526" t="n">
        <v>1406</v>
      </c>
      <c r="H526" t="inlineStr">
        <is>
          <t>Grava Triturada Basalto 40 mm - 1 1/2"</t>
        </is>
      </c>
    </row>
    <row r="527">
      <c r="A527" t="n">
        <v>10003136</v>
      </c>
      <c r="B527" t="inlineStr">
        <is>
          <t>ZFER</t>
        </is>
      </c>
      <c r="C527" t="inlineStr">
        <is>
          <t>1000</t>
        </is>
      </c>
      <c r="D527" t="inlineStr">
        <is>
          <t>M3</t>
        </is>
      </c>
      <c r="E527" t="n">
        <v>1000</v>
      </c>
      <c r="F527" t="inlineStr">
        <is>
          <t>TN</t>
        </is>
      </c>
      <c r="G527" t="n">
        <v>1471</v>
      </c>
      <c r="H527" t="inlineStr">
        <is>
          <t>ARENA BASALTO BC No. 4</t>
        </is>
      </c>
    </row>
    <row r="528">
      <c r="A528" t="n">
        <v>10003139</v>
      </c>
      <c r="B528" t="inlineStr">
        <is>
          <t>ZFER</t>
        </is>
      </c>
      <c r="C528" t="inlineStr">
        <is>
          <t>1000</t>
        </is>
      </c>
      <c r="D528" t="inlineStr">
        <is>
          <t>M3</t>
        </is>
      </c>
      <c r="E528" t="n">
        <v>1000</v>
      </c>
      <c r="F528" t="inlineStr">
        <is>
          <t>TN</t>
        </is>
      </c>
      <c r="G528" t="n">
        <v>1515</v>
      </c>
      <c r="H528" t="inlineStr">
        <is>
          <t>Arena Triturada Basalto Malla 8</t>
        </is>
      </c>
    </row>
    <row r="529">
      <c r="A529" t="n">
        <v>10003153</v>
      </c>
      <c r="B529" t="inlineStr">
        <is>
          <t>ZFER</t>
        </is>
      </c>
      <c r="C529" t="inlineStr">
        <is>
          <t>1000</t>
        </is>
      </c>
      <c r="D529" t="inlineStr">
        <is>
          <t>M3</t>
        </is>
      </c>
      <c r="E529" t="n">
        <v>1000</v>
      </c>
      <c r="F529" t="inlineStr">
        <is>
          <t>TN</t>
        </is>
      </c>
      <c r="G529" t="n">
        <v>1546</v>
      </c>
      <c r="H529" t="inlineStr">
        <is>
          <t>Grava Triturada Basalto 13 mm - 1/2"</t>
        </is>
      </c>
    </row>
    <row r="530">
      <c r="A530" t="n">
        <v>10003204</v>
      </c>
      <c r="B530" t="inlineStr">
        <is>
          <t>ZFE3</t>
        </is>
      </c>
      <c r="C530" t="inlineStr">
        <is>
          <t>1000</t>
        </is>
      </c>
      <c r="D530" t="inlineStr">
        <is>
          <t>M3</t>
        </is>
      </c>
      <c r="E530" t="n">
        <v>1000</v>
      </c>
      <c r="F530" t="inlineStr">
        <is>
          <t>TN</t>
        </is>
      </c>
      <c r="G530" t="n">
        <v>1490</v>
      </c>
      <c r="H530" t="inlineStr">
        <is>
          <t>GRAVEL 3/4" (12/20MM) VINCI</t>
        </is>
      </c>
    </row>
    <row r="531">
      <c r="A531" t="n">
        <v>10003205</v>
      </c>
      <c r="B531" t="inlineStr">
        <is>
          <t>ZFE3</t>
        </is>
      </c>
      <c r="C531" t="inlineStr">
        <is>
          <t>1000</t>
        </is>
      </c>
      <c r="D531" t="inlineStr">
        <is>
          <t>M3</t>
        </is>
      </c>
      <c r="E531" t="n">
        <v>100</v>
      </c>
      <c r="F531" t="inlineStr">
        <is>
          <t>TN</t>
        </is>
      </c>
      <c r="G531" t="n">
        <v>153</v>
      </c>
      <c r="H531" t="inlineStr">
        <is>
          <t>GRAVIER 6/12 MM VFM</t>
        </is>
      </c>
    </row>
    <row r="532">
      <c r="A532" t="n">
        <v>10003210</v>
      </c>
      <c r="B532" t="inlineStr">
        <is>
          <t>ZFER</t>
        </is>
      </c>
      <c r="C532" t="inlineStr">
        <is>
          <t>1000</t>
        </is>
      </c>
      <c r="D532" t="inlineStr">
        <is>
          <t>M3</t>
        </is>
      </c>
      <c r="E532" t="n">
        <v>1000</v>
      </c>
      <c r="F532" t="inlineStr">
        <is>
          <t>TN</t>
        </is>
      </c>
      <c r="G532" t="n">
        <v>1661</v>
      </c>
      <c r="H532" t="inlineStr">
        <is>
          <t>Arena Triturada Caliza Malla 5</t>
        </is>
      </c>
    </row>
    <row r="533">
      <c r="A533" t="n">
        <v>10003213</v>
      </c>
      <c r="B533" t="inlineStr">
        <is>
          <t>ZFE3</t>
        </is>
      </c>
      <c r="C533" t="inlineStr">
        <is>
          <t>1000</t>
        </is>
      </c>
      <c r="D533" t="inlineStr">
        <is>
          <t>M3</t>
        </is>
      </c>
      <c r="E533" t="n">
        <v>1210</v>
      </c>
      <c r="F533" t="inlineStr">
        <is>
          <t>TN</t>
        </is>
      </c>
      <c r="G533" t="n">
        <v>1000</v>
      </c>
      <c r="H533" t="inlineStr">
        <is>
          <t>Small Kiln Stone  2*1''</t>
        </is>
      </c>
    </row>
    <row r="534">
      <c r="A534" t="n">
        <v>10003220</v>
      </c>
      <c r="B534" t="inlineStr">
        <is>
          <t>ZFE3</t>
        </is>
      </c>
      <c r="C534" t="inlineStr">
        <is>
          <t>1000</t>
        </is>
      </c>
      <c r="D534" t="inlineStr">
        <is>
          <t>M3</t>
        </is>
      </c>
      <c r="E534" t="n">
        <v>1000</v>
      </c>
      <c r="F534" t="inlineStr">
        <is>
          <t>TN</t>
        </is>
      </c>
      <c r="G534" t="n">
        <v>1590</v>
      </c>
      <c r="H534" t="inlineStr">
        <is>
          <t>SABLE 0/6 MM (1/4"IN, MINUS SAND) TA</t>
        </is>
      </c>
    </row>
    <row r="535">
      <c r="A535" t="n">
        <v>10003222</v>
      </c>
      <c r="B535" t="inlineStr">
        <is>
          <t>ZFE3</t>
        </is>
      </c>
      <c r="C535" t="inlineStr">
        <is>
          <t>1000</t>
        </is>
      </c>
      <c r="D535" t="inlineStr">
        <is>
          <t>M3</t>
        </is>
      </c>
      <c r="E535" t="n">
        <v>1000</v>
      </c>
      <c r="F535" t="inlineStr">
        <is>
          <t>TN</t>
        </is>
      </c>
      <c r="G535" t="n">
        <v>1420</v>
      </c>
      <c r="H535" t="inlineStr">
        <is>
          <t>GRAVIER 6/25 MM(1/4" TO 1" IN.CRUSHED TA</t>
        </is>
      </c>
    </row>
    <row r="536">
      <c r="A536" t="n">
        <v>10003224</v>
      </c>
      <c r="B536" t="inlineStr">
        <is>
          <t>ZFE3</t>
        </is>
      </c>
      <c r="C536" t="inlineStr">
        <is>
          <t>1000</t>
        </is>
      </c>
      <c r="D536" t="inlineStr">
        <is>
          <t>M3</t>
        </is>
      </c>
      <c r="E536" t="n">
        <v>1000</v>
      </c>
      <c r="F536" t="inlineStr">
        <is>
          <t>TN</t>
        </is>
      </c>
      <c r="G536" t="n">
        <v>1340</v>
      </c>
      <c r="H536" t="inlineStr">
        <is>
          <t>GRAVIER 6/12 MM(1/4" TO 1/2"IN.CRUSHE TA</t>
        </is>
      </c>
    </row>
    <row r="537">
      <c r="A537" t="n">
        <v>10003240</v>
      </c>
      <c r="B537" t="inlineStr">
        <is>
          <t>ZFER</t>
        </is>
      </c>
      <c r="C537" t="inlineStr">
        <is>
          <t>1000</t>
        </is>
      </c>
      <c r="D537" t="inlineStr">
        <is>
          <t>M3</t>
        </is>
      </c>
      <c r="E537" t="n">
        <v>1000</v>
      </c>
      <c r="F537" t="inlineStr">
        <is>
          <t>TN</t>
        </is>
      </c>
      <c r="G537" t="n">
        <v>1406</v>
      </c>
      <c r="H537" t="inlineStr">
        <is>
          <t>Grava Triturada Basalto  40 mm - 1 1/2"</t>
        </is>
      </c>
    </row>
    <row r="538">
      <c r="A538" t="n">
        <v>10003243</v>
      </c>
      <c r="B538" t="inlineStr">
        <is>
          <t>ZFER</t>
        </is>
      </c>
      <c r="C538" t="inlineStr">
        <is>
          <t>1000</t>
        </is>
      </c>
      <c r="D538" t="inlineStr">
        <is>
          <t>M3</t>
        </is>
      </c>
      <c r="E538" t="n">
        <v>1000</v>
      </c>
      <c r="F538" t="inlineStr">
        <is>
          <t>TN</t>
        </is>
      </c>
      <c r="G538" t="n">
        <v>1440</v>
      </c>
      <c r="H538" t="inlineStr">
        <is>
          <t>Grava Triturada Caliza 20 mm - 3/4"</t>
        </is>
      </c>
    </row>
    <row r="539">
      <c r="A539" t="n">
        <v>10003252</v>
      </c>
      <c r="B539" t="inlineStr">
        <is>
          <t>ZFER</t>
        </is>
      </c>
      <c r="C539" t="inlineStr">
        <is>
          <t>1000</t>
        </is>
      </c>
      <c r="D539" t="inlineStr">
        <is>
          <t>M3</t>
        </is>
      </c>
      <c r="E539" t="n">
        <v>1000</v>
      </c>
      <c r="F539" t="inlineStr">
        <is>
          <t>TN</t>
        </is>
      </c>
      <c r="G539" t="n">
        <v>1510</v>
      </c>
      <c r="H539" t="inlineStr">
        <is>
          <t>Sello Triturado Caliza 6mm - 1/4"</t>
        </is>
      </c>
    </row>
    <row r="540">
      <c r="A540" t="n">
        <v>10003260</v>
      </c>
      <c r="B540" t="inlineStr">
        <is>
          <t>ZFE3</t>
        </is>
      </c>
      <c r="C540" t="inlineStr">
        <is>
          <t>1000</t>
        </is>
      </c>
      <c r="D540" t="inlineStr">
        <is>
          <t>M3</t>
        </is>
      </c>
      <c r="E540" t="n">
        <v>1000</v>
      </c>
      <c r="F540" t="inlineStr">
        <is>
          <t>TN</t>
        </is>
      </c>
      <c r="G540" t="n">
        <v>1739</v>
      </c>
      <c r="H540" t="inlineStr">
        <is>
          <t>Arena No. 4  Saco Agg  - 50kg</t>
        </is>
      </c>
    </row>
    <row r="541">
      <c r="A541" t="n">
        <v>10003261</v>
      </c>
      <c r="B541" t="inlineStr">
        <is>
          <t>ZFE3</t>
        </is>
      </c>
      <c r="C541" t="inlineStr">
        <is>
          <t>1000</t>
        </is>
      </c>
      <c r="D541" t="inlineStr">
        <is>
          <t>M3</t>
        </is>
      </c>
      <c r="E541" t="n">
        <v>1000</v>
      </c>
      <c r="F541" t="inlineStr">
        <is>
          <t>TN</t>
        </is>
      </c>
      <c r="G541" t="n">
        <v>1720</v>
      </c>
      <c r="H541" t="inlineStr">
        <is>
          <t>Arena No. 5  Saco Agg - 50kg</t>
        </is>
      </c>
    </row>
    <row r="542">
      <c r="A542" t="n">
        <v>10003262</v>
      </c>
      <c r="B542" t="inlineStr">
        <is>
          <t>ZFE3</t>
        </is>
      </c>
      <c r="C542" t="inlineStr">
        <is>
          <t>1000</t>
        </is>
      </c>
      <c r="D542" t="inlineStr">
        <is>
          <t>M3</t>
        </is>
      </c>
      <c r="E542" t="n">
        <v>1000</v>
      </c>
      <c r="F542" t="inlineStr">
        <is>
          <t>TN</t>
        </is>
      </c>
      <c r="G542" t="n">
        <v>1633</v>
      </c>
      <c r="H542" t="inlineStr">
        <is>
          <t>Arena Cribada Saco Agg  - 50kg</t>
        </is>
      </c>
    </row>
    <row r="543">
      <c r="A543" t="n">
        <v>10003263</v>
      </c>
      <c r="B543" t="inlineStr">
        <is>
          <t>ZFE3</t>
        </is>
      </c>
      <c r="C543" t="inlineStr">
        <is>
          <t>1000</t>
        </is>
      </c>
      <c r="D543" t="inlineStr">
        <is>
          <t>M3</t>
        </is>
      </c>
      <c r="E543" t="n">
        <v>1000</v>
      </c>
      <c r="F543" t="inlineStr">
        <is>
          <t>TN</t>
        </is>
      </c>
      <c r="G543" t="n">
        <v>1613</v>
      </c>
      <c r="H543" t="inlineStr">
        <is>
          <t>Mixto Saco Agg - 50kg</t>
        </is>
      </c>
    </row>
    <row r="544">
      <c r="A544" t="n">
        <v>10003295</v>
      </c>
      <c r="B544" t="inlineStr">
        <is>
          <t>ZFER</t>
        </is>
      </c>
      <c r="C544" t="inlineStr">
        <is>
          <t>1000</t>
        </is>
      </c>
      <c r="D544" t="inlineStr">
        <is>
          <t>M3</t>
        </is>
      </c>
      <c r="E544" t="n">
        <v>1000</v>
      </c>
      <c r="F544" t="inlineStr">
        <is>
          <t>TN</t>
        </is>
      </c>
      <c r="G544" t="n">
        <v>1375</v>
      </c>
      <c r="H544" t="inlineStr">
        <is>
          <t>Grava Triturada Basalto 20mm - 3/4" -B</t>
        </is>
      </c>
    </row>
    <row r="545">
      <c r="A545" t="n">
        <v>10003310</v>
      </c>
      <c r="B545" t="inlineStr">
        <is>
          <t>ZFER</t>
        </is>
      </c>
      <c r="C545" t="inlineStr">
        <is>
          <t>1000</t>
        </is>
      </c>
      <c r="D545" t="inlineStr">
        <is>
          <t>M3</t>
        </is>
      </c>
      <c r="E545" t="n">
        <v>200</v>
      </c>
      <c r="F545" t="inlineStr">
        <is>
          <t>TN</t>
        </is>
      </c>
      <c r="G545" t="n">
        <v>237</v>
      </c>
      <c r="H545" t="inlineStr">
        <is>
          <t>Grava Triturada Caliza 40 mm - 1 1/2"</t>
        </is>
      </c>
    </row>
    <row r="546">
      <c r="A546" t="n">
        <v>10003312</v>
      </c>
      <c r="B546" t="inlineStr">
        <is>
          <t>ZFER</t>
        </is>
      </c>
      <c r="C546" t="inlineStr">
        <is>
          <t>1000</t>
        </is>
      </c>
      <c r="D546" t="inlineStr">
        <is>
          <t>M3</t>
        </is>
      </c>
      <c r="E546" t="n">
        <v>1000</v>
      </c>
      <c r="F546" t="inlineStr">
        <is>
          <t>TN</t>
        </is>
      </c>
      <c r="G546" t="n">
        <v>1440</v>
      </c>
      <c r="H546" t="inlineStr">
        <is>
          <t>Grava Triturada Caliza 10 mm - 3/8"</t>
        </is>
      </c>
    </row>
    <row r="547">
      <c r="A547" t="n">
        <v>10003344</v>
      </c>
      <c r="B547" t="inlineStr">
        <is>
          <t>ZFER</t>
        </is>
      </c>
      <c r="C547" t="inlineStr">
        <is>
          <t>1000</t>
        </is>
      </c>
      <c r="D547" t="inlineStr">
        <is>
          <t>M3</t>
        </is>
      </c>
      <c r="E547" t="n">
        <v>1000</v>
      </c>
      <c r="F547" t="inlineStr">
        <is>
          <t>TN</t>
        </is>
      </c>
      <c r="G547" t="n">
        <v>1376</v>
      </c>
      <c r="H547" t="inlineStr">
        <is>
          <t>Grava Clasificada Río 20 mm - 3/4"</t>
        </is>
      </c>
    </row>
    <row r="548">
      <c r="A548" t="n">
        <v>10003345</v>
      </c>
      <c r="B548" t="inlineStr">
        <is>
          <t>ZFER</t>
        </is>
      </c>
      <c r="C548" t="inlineStr">
        <is>
          <t>1000</t>
        </is>
      </c>
      <c r="D548" t="inlineStr">
        <is>
          <t>M3</t>
        </is>
      </c>
      <c r="E548" t="n">
        <v>1000</v>
      </c>
      <c r="F548" t="inlineStr">
        <is>
          <t>TN</t>
        </is>
      </c>
      <c r="G548" t="n">
        <v>1314</v>
      </c>
      <c r="H548" t="inlineStr">
        <is>
          <t>Grava Clasificada Río 40 mm - 1 1/2"</t>
        </is>
      </c>
    </row>
    <row r="549">
      <c r="A549" t="n">
        <v>10004235</v>
      </c>
      <c r="B549" t="inlineStr">
        <is>
          <t>ZFE3</t>
        </is>
      </c>
      <c r="C549" t="inlineStr">
        <is>
          <t>1000</t>
        </is>
      </c>
      <c r="D549" t="inlineStr">
        <is>
          <t>M3</t>
        </is>
      </c>
      <c r="E549" t="n">
        <v>1000</v>
      </c>
      <c r="F549" t="inlineStr">
        <is>
          <t>TN</t>
        </is>
      </c>
      <c r="G549" t="n">
        <v>1720</v>
      </c>
      <c r="H549" t="inlineStr">
        <is>
          <t>Sable 0/6 mm (1/4"in, minus sand) LE</t>
        </is>
      </c>
    </row>
    <row r="550">
      <c r="A550" t="n">
        <v>10004236</v>
      </c>
      <c r="B550" t="inlineStr">
        <is>
          <t>ZFE3</t>
        </is>
      </c>
      <c r="C550" t="inlineStr">
        <is>
          <t>1000</t>
        </is>
      </c>
      <c r="D550" t="inlineStr">
        <is>
          <t>M3</t>
        </is>
      </c>
      <c r="E550" t="n">
        <v>1000</v>
      </c>
      <c r="F550" t="inlineStr">
        <is>
          <t>TN</t>
        </is>
      </c>
      <c r="G550" t="n">
        <v>1710</v>
      </c>
      <c r="H550" t="inlineStr">
        <is>
          <t>SABLE LAVE VFM</t>
        </is>
      </c>
    </row>
    <row r="551">
      <c r="A551" t="n">
        <v>10004237</v>
      </c>
      <c r="B551" t="inlineStr">
        <is>
          <t>ZFE3</t>
        </is>
      </c>
      <c r="C551" t="inlineStr">
        <is>
          <t>1000</t>
        </is>
      </c>
      <c r="D551" t="inlineStr">
        <is>
          <t>M3</t>
        </is>
      </c>
      <c r="E551" t="n">
        <v>1000</v>
      </c>
      <c r="F551" t="inlineStr">
        <is>
          <t>TN</t>
        </is>
      </c>
      <c r="G551" t="n">
        <v>1510</v>
      </c>
      <c r="H551" t="inlineStr">
        <is>
          <t>Gravier 12/25 mm KEMPIECES</t>
        </is>
      </c>
    </row>
    <row r="552">
      <c r="A552" t="n">
        <v>10004258</v>
      </c>
      <c r="B552" t="inlineStr">
        <is>
          <t>ZFER</t>
        </is>
      </c>
      <c r="C552" t="inlineStr">
        <is>
          <t>1000</t>
        </is>
      </c>
      <c r="D552" t="inlineStr">
        <is>
          <t>M3</t>
        </is>
      </c>
      <c r="E552" t="n">
        <v>1000</v>
      </c>
      <c r="F552" t="inlineStr">
        <is>
          <t>TN</t>
        </is>
      </c>
      <c r="G552" t="n">
        <v>1530</v>
      </c>
      <c r="H552" t="inlineStr">
        <is>
          <t>Sello Triturado Basalto 10 mm - 3/8"</t>
        </is>
      </c>
    </row>
    <row r="553">
      <c r="A553" t="n">
        <v>10004326</v>
      </c>
      <c r="B553" t="inlineStr">
        <is>
          <t>ZFER</t>
        </is>
      </c>
      <c r="C553" t="inlineStr">
        <is>
          <t>1000</t>
        </is>
      </c>
      <c r="D553" t="inlineStr">
        <is>
          <t>M3</t>
        </is>
      </c>
      <c r="E553" t="n">
        <v>1000</v>
      </c>
      <c r="F553" t="inlineStr">
        <is>
          <t>TN</t>
        </is>
      </c>
      <c r="G553" t="n">
        <v>1650</v>
      </c>
      <c r="H553" t="inlineStr">
        <is>
          <t>SubBalasto Trit. Caliza 31.5mm a Finos</t>
        </is>
      </c>
    </row>
    <row r="554">
      <c r="A554" t="n">
        <v>10004380</v>
      </c>
      <c r="B554" t="inlineStr">
        <is>
          <t>ZFER</t>
        </is>
      </c>
      <c r="C554" t="inlineStr">
        <is>
          <t>1000</t>
        </is>
      </c>
      <c r="D554" t="inlineStr">
        <is>
          <t>M3</t>
        </is>
      </c>
      <c r="E554" t="n">
        <v>1000</v>
      </c>
      <c r="F554" t="inlineStr">
        <is>
          <t>TN</t>
        </is>
      </c>
      <c r="G554" t="n">
        <v>1500</v>
      </c>
      <c r="H554" t="inlineStr">
        <is>
          <t>Tepetate Clasificado Tierra</t>
        </is>
      </c>
    </row>
    <row r="555">
      <c r="A555" t="n">
        <v>10004400</v>
      </c>
      <c r="B555" t="inlineStr">
        <is>
          <t>ZFE3</t>
        </is>
      </c>
      <c r="C555" t="inlineStr">
        <is>
          <t>1000</t>
        </is>
      </c>
      <c r="D555" t="inlineStr">
        <is>
          <t>M3</t>
        </is>
      </c>
      <c r="E555" t="n">
        <v>1000</v>
      </c>
      <c r="F555" t="inlineStr">
        <is>
          <t>TN</t>
        </is>
      </c>
      <c r="G555" t="n">
        <v>1500</v>
      </c>
      <c r="H555" t="inlineStr">
        <is>
          <t>Arena Transmateriales</t>
        </is>
      </c>
    </row>
    <row r="556">
      <c r="A556" t="n">
        <v>10004418</v>
      </c>
      <c r="B556" t="inlineStr">
        <is>
          <t>ZFER</t>
        </is>
      </c>
      <c r="C556" t="inlineStr">
        <is>
          <t>1000</t>
        </is>
      </c>
      <c r="D556" t="inlineStr">
        <is>
          <t>M3</t>
        </is>
      </c>
      <c r="E556" t="n">
        <v>1000</v>
      </c>
      <c r="F556" t="inlineStr">
        <is>
          <t>TN</t>
        </is>
      </c>
      <c r="G556" t="n">
        <v>1490</v>
      </c>
      <c r="H556" t="inlineStr">
        <is>
          <t>Base H Triturada Caliza 3/4" a Finos</t>
        </is>
      </c>
    </row>
    <row r="557">
      <c r="A557" t="n">
        <v>10004425</v>
      </c>
      <c r="B557" t="inlineStr">
        <is>
          <t>ZFER</t>
        </is>
      </c>
      <c r="C557" t="inlineStr">
        <is>
          <t>1000</t>
        </is>
      </c>
      <c r="D557" t="inlineStr">
        <is>
          <t>M3</t>
        </is>
      </c>
      <c r="E557" t="n">
        <v>1000</v>
      </c>
      <c r="F557" t="inlineStr">
        <is>
          <t>TN</t>
        </is>
      </c>
      <c r="G557" t="n">
        <v>1500</v>
      </c>
      <c r="H557" t="inlineStr">
        <is>
          <t>Balasto Triturado Caliza - Cimentación</t>
        </is>
      </c>
    </row>
    <row r="558">
      <c r="A558" t="n">
        <v>10004431</v>
      </c>
      <c r="B558" t="inlineStr">
        <is>
          <t>ZFER</t>
        </is>
      </c>
      <c r="C558" t="inlineStr">
        <is>
          <t>1000</t>
        </is>
      </c>
      <c r="D558" t="inlineStr">
        <is>
          <t>M3</t>
        </is>
      </c>
      <c r="E558" t="n">
        <v>1000</v>
      </c>
      <c r="F558" t="inlineStr">
        <is>
          <t>TN</t>
        </is>
      </c>
      <c r="G558" t="n">
        <v>1440</v>
      </c>
      <c r="H558" t="inlineStr">
        <is>
          <t>Grava Triturada Caliza 20 mm - 3/4" -Mez</t>
        </is>
      </c>
    </row>
    <row r="559">
      <c r="A559" t="n">
        <v>10004432</v>
      </c>
      <c r="B559" t="inlineStr">
        <is>
          <t>ZFER</t>
        </is>
      </c>
      <c r="C559" t="inlineStr">
        <is>
          <t>1000</t>
        </is>
      </c>
      <c r="D559" t="inlineStr">
        <is>
          <t>M3</t>
        </is>
      </c>
      <c r="E559" t="n">
        <v>1000</v>
      </c>
      <c r="F559" t="inlineStr">
        <is>
          <t>TN</t>
        </is>
      </c>
      <c r="G559" t="n">
        <v>2525</v>
      </c>
      <c r="H559" t="inlineStr">
        <is>
          <t>Grava Triturada Barita 20 mm - 3/4"</t>
        </is>
      </c>
    </row>
    <row r="560">
      <c r="A560" t="n">
        <v>10004435</v>
      </c>
      <c r="B560" t="inlineStr">
        <is>
          <t>ZFE3</t>
        </is>
      </c>
      <c r="C560" t="inlineStr">
        <is>
          <t>1000</t>
        </is>
      </c>
      <c r="D560" t="inlineStr">
        <is>
          <t>M3</t>
        </is>
      </c>
      <c r="E560" t="n">
        <v>1000</v>
      </c>
      <c r="F560" t="inlineStr">
        <is>
          <t>TN</t>
        </is>
      </c>
      <c r="G560" t="n">
        <v>1294</v>
      </c>
      <c r="H560" t="inlineStr">
        <is>
          <t>PIEDRA #8 (3/8"-1/4")-VAL CO.</t>
        </is>
      </c>
    </row>
    <row r="561">
      <c r="A561" t="n">
        <v>10004481</v>
      </c>
      <c r="B561" t="inlineStr">
        <is>
          <t>ZFE3</t>
        </is>
      </c>
      <c r="C561" t="inlineStr">
        <is>
          <t>1000</t>
        </is>
      </c>
      <c r="D561" t="inlineStr">
        <is>
          <t>M3</t>
        </is>
      </c>
      <c r="E561" t="n">
        <v>1000</v>
      </c>
      <c r="F561" t="inlineStr">
        <is>
          <t>TN</t>
        </is>
      </c>
      <c r="G561" t="n">
        <v>1430</v>
      </c>
      <c r="H561" t="inlineStr">
        <is>
          <t>Grava 1" Caliza CMC</t>
        </is>
      </c>
    </row>
    <row r="562">
      <c r="A562" t="n">
        <v>10004482</v>
      </c>
      <c r="B562" t="inlineStr">
        <is>
          <t>ZFE3</t>
        </is>
      </c>
      <c r="C562" t="inlineStr">
        <is>
          <t>1000</t>
        </is>
      </c>
      <c r="D562" t="inlineStr">
        <is>
          <t>M3</t>
        </is>
      </c>
      <c r="E562" t="n">
        <v>1000</v>
      </c>
      <c r="F562" t="inlineStr">
        <is>
          <t>TN</t>
        </is>
      </c>
      <c r="G562" t="n">
        <v>1440</v>
      </c>
      <c r="H562" t="inlineStr">
        <is>
          <t>Grava 3/4" Caliza  CMC</t>
        </is>
      </c>
    </row>
    <row r="563">
      <c r="A563" t="n">
        <v>10004483</v>
      </c>
      <c r="B563" t="inlineStr">
        <is>
          <t>ZFE3</t>
        </is>
      </c>
      <c r="C563" t="inlineStr">
        <is>
          <t>1000</t>
        </is>
      </c>
      <c r="D563" t="inlineStr">
        <is>
          <t>M3</t>
        </is>
      </c>
      <c r="E563" t="n">
        <v>1000</v>
      </c>
      <c r="F563" t="inlineStr">
        <is>
          <t>TN</t>
        </is>
      </c>
      <c r="G563" t="n">
        <v>1790</v>
      </c>
      <c r="H563" t="inlineStr">
        <is>
          <t>Arena Gruesa Caliza CMC</t>
        </is>
      </c>
    </row>
    <row r="564">
      <c r="A564" t="n">
        <v>10005958</v>
      </c>
      <c r="B564" t="inlineStr">
        <is>
          <t>ZFER</t>
        </is>
      </c>
      <c r="C564" t="inlineStr">
        <is>
          <t>1000</t>
        </is>
      </c>
      <c r="D564" t="inlineStr">
        <is>
          <t>M3</t>
        </is>
      </c>
      <c r="E564" t="n">
        <v>1000</v>
      </c>
      <c r="F564" t="inlineStr">
        <is>
          <t>TN</t>
        </is>
      </c>
      <c r="G564" t="n">
        <v>1550</v>
      </c>
      <c r="H564" t="inlineStr">
        <is>
          <t>Arena Triturada Caliza Malla 8</t>
        </is>
      </c>
    </row>
    <row r="565">
      <c r="A565" t="n">
        <v>10006008</v>
      </c>
      <c r="B565" t="inlineStr">
        <is>
          <t>ZFE3</t>
        </is>
      </c>
      <c r="C565" t="inlineStr">
        <is>
          <t>1000</t>
        </is>
      </c>
      <c r="D565" t="inlineStr">
        <is>
          <t>M3</t>
        </is>
      </c>
      <c r="E565" t="n">
        <v>1000</v>
      </c>
      <c r="F565" t="inlineStr">
        <is>
          <t>TN</t>
        </is>
      </c>
      <c r="G565" t="n">
        <v>1510</v>
      </c>
      <c r="H565" t="inlineStr">
        <is>
          <t>ARENA CALIZA No. 3/16"</t>
        </is>
      </c>
    </row>
    <row r="566">
      <c r="A566" t="n">
        <v>10006142</v>
      </c>
      <c r="B566" t="inlineStr">
        <is>
          <t>ZFER</t>
        </is>
      </c>
      <c r="C566" t="inlineStr">
        <is>
          <t>1000</t>
        </is>
      </c>
      <c r="D566" t="inlineStr">
        <is>
          <t>M3</t>
        </is>
      </c>
      <c r="E566" t="n">
        <v>1000</v>
      </c>
      <c r="F566" t="inlineStr">
        <is>
          <t>TN</t>
        </is>
      </c>
      <c r="G566" t="n">
        <v>1413</v>
      </c>
      <c r="H566" t="inlineStr">
        <is>
          <t>Grava Triturada Basalto 10 mm - 3/8"</t>
        </is>
      </c>
    </row>
    <row r="567">
      <c r="A567" t="n">
        <v>10006150</v>
      </c>
      <c r="B567" t="inlineStr">
        <is>
          <t>ZFER</t>
        </is>
      </c>
      <c r="C567" t="inlineStr">
        <is>
          <t>1000</t>
        </is>
      </c>
      <c r="D567" t="inlineStr">
        <is>
          <t>M3</t>
        </is>
      </c>
      <c r="E567" t="n">
        <v>1000</v>
      </c>
      <c r="F567" t="inlineStr">
        <is>
          <t>TN</t>
        </is>
      </c>
      <c r="G567" t="n">
        <v>1387</v>
      </c>
      <c r="H567" t="inlineStr">
        <is>
          <t>Grava Triturada Caliza 20 mm - 3/4"</t>
        </is>
      </c>
    </row>
    <row r="568">
      <c r="A568" t="n">
        <v>10006481</v>
      </c>
      <c r="B568" t="inlineStr">
        <is>
          <t>ZFER</t>
        </is>
      </c>
      <c r="C568" t="inlineStr">
        <is>
          <t>1000</t>
        </is>
      </c>
      <c r="D568" t="inlineStr">
        <is>
          <t>M3</t>
        </is>
      </c>
      <c r="E568" t="n">
        <v>1000</v>
      </c>
      <c r="F568" t="inlineStr">
        <is>
          <t>TN</t>
        </is>
      </c>
      <c r="G568" t="n">
        <v>1330</v>
      </c>
      <c r="H568" t="inlineStr">
        <is>
          <t>Base H Triturada Basalto 1 1/2" a Finos</t>
        </is>
      </c>
    </row>
    <row r="569">
      <c r="A569" t="n">
        <v>10006588</v>
      </c>
      <c r="B569" t="inlineStr">
        <is>
          <t>ZFE3</t>
        </is>
      </c>
      <c r="C569" t="inlineStr">
        <is>
          <t>1000</t>
        </is>
      </c>
      <c r="D569" t="inlineStr">
        <is>
          <t>M3</t>
        </is>
      </c>
      <c r="E569" t="n">
        <v>1000</v>
      </c>
      <c r="F569" t="inlineStr">
        <is>
          <t>TN</t>
        </is>
      </c>
      <c r="G569" t="n">
        <v>1442</v>
      </c>
      <c r="H569" t="inlineStr">
        <is>
          <t>NI Grava TMA 1" San Cristobal</t>
        </is>
      </c>
    </row>
    <row r="570">
      <c r="A570" t="n">
        <v>10006589</v>
      </c>
      <c r="B570" t="inlineStr">
        <is>
          <t>ZFE3</t>
        </is>
      </c>
      <c r="C570" t="inlineStr">
        <is>
          <t>1000</t>
        </is>
      </c>
      <c r="D570" t="inlineStr">
        <is>
          <t>M3</t>
        </is>
      </c>
      <c r="E570" t="n">
        <v>1000</v>
      </c>
      <c r="F570" t="inlineStr">
        <is>
          <t>TN</t>
        </is>
      </c>
      <c r="G570" t="n">
        <v>1416</v>
      </c>
      <c r="H570" t="inlineStr">
        <is>
          <t>NI Base Granular Tipo D San Cristobal</t>
        </is>
      </c>
    </row>
    <row r="571">
      <c r="A571" t="n">
        <v>10007640</v>
      </c>
      <c r="B571" t="inlineStr">
        <is>
          <t>ZFER</t>
        </is>
      </c>
      <c r="C571" t="inlineStr">
        <is>
          <t>1000</t>
        </is>
      </c>
      <c r="D571" t="inlineStr">
        <is>
          <t>M3</t>
        </is>
      </c>
      <c r="E571" t="n">
        <v>1000</v>
      </c>
      <c r="F571" t="inlineStr">
        <is>
          <t>TN</t>
        </is>
      </c>
      <c r="G571" t="n">
        <v>1881</v>
      </c>
      <c r="H571" t="inlineStr">
        <is>
          <t>ARENA CALIZA No.5</t>
        </is>
      </c>
    </row>
    <row r="572">
      <c r="A572" t="n">
        <v>10007650</v>
      </c>
      <c r="B572" t="inlineStr">
        <is>
          <t>ZFER</t>
        </is>
      </c>
      <c r="C572" t="inlineStr">
        <is>
          <t>1000</t>
        </is>
      </c>
      <c r="D572" t="inlineStr">
        <is>
          <t>M3</t>
        </is>
      </c>
      <c r="E572" t="n">
        <v>1000</v>
      </c>
      <c r="F572" t="inlineStr">
        <is>
          <t>TN</t>
        </is>
      </c>
      <c r="G572" t="n">
        <v>1353</v>
      </c>
      <c r="H572" t="inlineStr">
        <is>
          <t>Grava Clasificada Río 20 mm - 3/4"</t>
        </is>
      </c>
    </row>
    <row r="573">
      <c r="A573" t="n">
        <v>10007880</v>
      </c>
      <c r="B573" t="inlineStr">
        <is>
          <t>ZFE3</t>
        </is>
      </c>
      <c r="C573" t="inlineStr">
        <is>
          <t>1000</t>
        </is>
      </c>
      <c r="D573" t="inlineStr">
        <is>
          <t>M3</t>
        </is>
      </c>
      <c r="E573" t="n">
        <v>1000</v>
      </c>
      <c r="F573" t="inlineStr">
        <is>
          <t>TN</t>
        </is>
      </c>
      <c r="G573" t="n">
        <v>1535</v>
      </c>
      <c r="H573" t="inlineStr">
        <is>
          <t>NI Grava TMA 1/2" Izapa-Nejapa</t>
        </is>
      </c>
    </row>
    <row r="574">
      <c r="A574" t="n">
        <v>10007882</v>
      </c>
      <c r="B574" t="inlineStr">
        <is>
          <t>ZFE3</t>
        </is>
      </c>
      <c r="C574" t="inlineStr">
        <is>
          <t>1000</t>
        </is>
      </c>
      <c r="D574" t="inlineStr">
        <is>
          <t>M3</t>
        </is>
      </c>
      <c r="E574" t="n">
        <v>1000</v>
      </c>
      <c r="F574" t="inlineStr">
        <is>
          <t>TN</t>
        </is>
      </c>
      <c r="G574" t="n">
        <v>1603</v>
      </c>
      <c r="H574" t="inlineStr">
        <is>
          <t>NI GRAVA TMA 1/2" LEON</t>
        </is>
      </c>
    </row>
    <row r="575">
      <c r="A575" t="n">
        <v>10007884</v>
      </c>
      <c r="B575" t="inlineStr">
        <is>
          <t>ZFE3</t>
        </is>
      </c>
      <c r="C575" t="inlineStr">
        <is>
          <t>1000</t>
        </is>
      </c>
      <c r="D575" t="inlineStr">
        <is>
          <t>M3</t>
        </is>
      </c>
      <c r="E575" t="n">
        <v>1000</v>
      </c>
      <c r="F575" t="inlineStr">
        <is>
          <t>TN</t>
        </is>
      </c>
      <c r="G575" t="n">
        <v>1586</v>
      </c>
      <c r="H575" t="inlineStr">
        <is>
          <t>NI GRAVA TMA 1 1/2" LEON</t>
        </is>
      </c>
    </row>
    <row r="576">
      <c r="A576" t="n">
        <v>10008901</v>
      </c>
      <c r="B576" t="inlineStr">
        <is>
          <t>ZFER</t>
        </is>
      </c>
      <c r="C576" t="inlineStr">
        <is>
          <t>1000</t>
        </is>
      </c>
      <c r="D576" t="inlineStr">
        <is>
          <t>M3</t>
        </is>
      </c>
      <c r="E576" t="n">
        <v>1000</v>
      </c>
      <c r="F576" t="inlineStr">
        <is>
          <t>TN</t>
        </is>
      </c>
      <c r="G576" t="n">
        <v>1540</v>
      </c>
      <c r="H576" t="inlineStr">
        <is>
          <t>Arena Clasificada Río Malla 4</t>
        </is>
      </c>
    </row>
    <row r="577">
      <c r="A577" t="n">
        <v>10008960</v>
      </c>
      <c r="B577" t="inlineStr">
        <is>
          <t>ZFE3</t>
        </is>
      </c>
      <c r="C577" t="inlineStr">
        <is>
          <t>1000</t>
        </is>
      </c>
      <c r="D577" t="inlineStr">
        <is>
          <t>M3</t>
        </is>
      </c>
      <c r="E577" t="n">
        <v>1000</v>
      </c>
      <c r="F577" t="inlineStr">
        <is>
          <t>TN</t>
        </is>
      </c>
      <c r="G577" t="n">
        <v>1471</v>
      </c>
      <c r="H577" t="inlineStr">
        <is>
          <t>ARENA BASALTO No. 4</t>
        </is>
      </c>
    </row>
    <row r="578">
      <c r="A578" t="n">
        <v>10009436</v>
      </c>
      <c r="B578" t="inlineStr">
        <is>
          <t>ZFER</t>
        </is>
      </c>
      <c r="C578" t="inlineStr">
        <is>
          <t>1000</t>
        </is>
      </c>
      <c r="D578" t="inlineStr">
        <is>
          <t>M3</t>
        </is>
      </c>
      <c r="E578" t="n">
        <v>1000</v>
      </c>
      <c r="F578" t="inlineStr">
        <is>
          <t>TN</t>
        </is>
      </c>
      <c r="G578" t="n">
        <v>1286</v>
      </c>
      <c r="H578" t="inlineStr">
        <is>
          <t>Arena Triturada Caliza Malla 4 Lavado</t>
        </is>
      </c>
    </row>
    <row r="579">
      <c r="A579" t="n">
        <v>10011226</v>
      </c>
      <c r="B579" t="inlineStr">
        <is>
          <t>ZFE3</t>
        </is>
      </c>
      <c r="C579" t="inlineStr">
        <is>
          <t>1000</t>
        </is>
      </c>
      <c r="D579" t="inlineStr">
        <is>
          <t>M3</t>
        </is>
      </c>
      <c r="E579" t="n">
        <v>1000</v>
      </c>
      <c r="F579" t="inlineStr">
        <is>
          <t>TN</t>
        </is>
      </c>
      <c r="G579" t="n">
        <v>1440</v>
      </c>
      <c r="H579" t="inlineStr">
        <is>
          <t>Grava Caliza 1/2" CMC</t>
        </is>
      </c>
    </row>
    <row r="580">
      <c r="A580" t="n">
        <v>10013096</v>
      </c>
      <c r="B580" t="inlineStr">
        <is>
          <t>ZFER</t>
        </is>
      </c>
      <c r="C580" t="inlineStr">
        <is>
          <t>1000</t>
        </is>
      </c>
      <c r="D580" t="inlineStr">
        <is>
          <t>M3</t>
        </is>
      </c>
      <c r="E580" t="n">
        <v>1000</v>
      </c>
      <c r="F580" t="inlineStr">
        <is>
          <t>TN</t>
        </is>
      </c>
      <c r="G580" t="n">
        <v>1490</v>
      </c>
      <c r="H580" t="inlineStr">
        <is>
          <t>Base HCA Basalto  1 1/2" a Finos 60-40</t>
        </is>
      </c>
    </row>
    <row r="581">
      <c r="A581" t="n">
        <v>10017264</v>
      </c>
      <c r="B581" t="inlineStr">
        <is>
          <t>ZFE3</t>
        </is>
      </c>
      <c r="C581" t="inlineStr">
        <is>
          <t>1000</t>
        </is>
      </c>
      <c r="D581" t="inlineStr">
        <is>
          <t>M3</t>
        </is>
      </c>
      <c r="E581" t="n">
        <v>1000</v>
      </c>
      <c r="F581" t="inlineStr">
        <is>
          <t>TN</t>
        </is>
      </c>
      <c r="G581" t="n">
        <v>1600</v>
      </c>
      <c r="H581" t="inlineStr">
        <is>
          <t>ARENA GRUESA A&amp;G COL SAN LUIS</t>
        </is>
      </c>
    </row>
    <row r="582">
      <c r="A582" t="n">
        <v>10017363</v>
      </c>
      <c r="B582" t="inlineStr">
        <is>
          <t>ZFE3</t>
        </is>
      </c>
      <c r="C582" t="inlineStr">
        <is>
          <t>1000</t>
        </is>
      </c>
      <c r="D582" t="inlineStr">
        <is>
          <t>M3</t>
        </is>
      </c>
      <c r="E582" t="n">
        <v>1000</v>
      </c>
      <c r="F582" t="inlineStr">
        <is>
          <t>TN</t>
        </is>
      </c>
      <c r="G582" t="n">
        <v>1362</v>
      </c>
      <c r="H582" t="inlineStr">
        <is>
          <t>PIEDRA NO.7 (1/2 - NO.4) ROCK CO.</t>
        </is>
      </c>
    </row>
    <row r="583">
      <c r="A583" t="n">
        <v>10017364</v>
      </c>
      <c r="B583" t="inlineStr">
        <is>
          <t>ZFE3</t>
        </is>
      </c>
      <c r="C583" t="inlineStr">
        <is>
          <t>1000</t>
        </is>
      </c>
      <c r="D583" t="inlineStr">
        <is>
          <t>M3</t>
        </is>
      </c>
      <c r="E583" t="n">
        <v>1000</v>
      </c>
      <c r="F583" t="inlineStr">
        <is>
          <t>TN</t>
        </is>
      </c>
      <c r="G583" t="n">
        <v>1362</v>
      </c>
      <c r="H583" t="inlineStr">
        <is>
          <t>PIEDRA NO.7 (1/2 - NO.4) ROCK</t>
        </is>
      </c>
    </row>
    <row r="584">
      <c r="A584" t="n">
        <v>10017365</v>
      </c>
      <c r="B584" t="inlineStr">
        <is>
          <t>ZFE3</t>
        </is>
      </c>
      <c r="C584" t="inlineStr">
        <is>
          <t>1000</t>
        </is>
      </c>
      <c r="D584" t="inlineStr">
        <is>
          <t>M3</t>
        </is>
      </c>
      <c r="E584" t="n">
        <v>1000</v>
      </c>
      <c r="F584" t="inlineStr">
        <is>
          <t>TN</t>
        </is>
      </c>
      <c r="G584" t="n">
        <v>1200</v>
      </c>
      <c r="H584" t="inlineStr">
        <is>
          <t>PIEDRA NO.4  (1-1/2" - 3/4") ROCK</t>
        </is>
      </c>
    </row>
    <row r="585">
      <c r="A585" t="n">
        <v>10017374</v>
      </c>
      <c r="B585" t="inlineStr">
        <is>
          <t>ZFER</t>
        </is>
      </c>
      <c r="C585" t="inlineStr">
        <is>
          <t>1000</t>
        </is>
      </c>
      <c r="D585" t="inlineStr">
        <is>
          <t>M3</t>
        </is>
      </c>
      <c r="E585" t="n">
        <v>1000</v>
      </c>
      <c r="F585" t="inlineStr">
        <is>
          <t>TN</t>
        </is>
      </c>
      <c r="G585" t="n">
        <v>1379</v>
      </c>
      <c r="H585" t="inlineStr">
        <is>
          <t>Grava Triturada Caliza 20 mm - 3/4"</t>
        </is>
      </c>
    </row>
    <row r="586">
      <c r="A586" t="n">
        <v>10017387</v>
      </c>
      <c r="B586" t="inlineStr">
        <is>
          <t>ZFER</t>
        </is>
      </c>
      <c r="C586" t="inlineStr">
        <is>
          <t>1000</t>
        </is>
      </c>
      <c r="D586" t="inlineStr">
        <is>
          <t>M3</t>
        </is>
      </c>
      <c r="E586" t="n">
        <v>1000</v>
      </c>
      <c r="F586" t="inlineStr">
        <is>
          <t>TN</t>
        </is>
      </c>
      <c r="G586" t="n">
        <v>1280</v>
      </c>
      <c r="H586" t="inlineStr">
        <is>
          <t>Arena Triturada Marmol Malla 4  -Oax</t>
        </is>
      </c>
    </row>
    <row r="587">
      <c r="A587" t="n">
        <v>10017451</v>
      </c>
      <c r="B587" t="inlineStr">
        <is>
          <t>ZFER</t>
        </is>
      </c>
      <c r="C587" t="inlineStr">
        <is>
          <t>1000</t>
        </is>
      </c>
      <c r="D587" t="inlineStr">
        <is>
          <t>M3</t>
        </is>
      </c>
      <c r="E587" t="n">
        <v>1000</v>
      </c>
      <c r="F587" t="inlineStr">
        <is>
          <t>TN</t>
        </is>
      </c>
      <c r="G587" t="n">
        <v>1415</v>
      </c>
      <c r="H587" t="inlineStr">
        <is>
          <t>Grava Triturada Basalto  10 mm - 3/8"</t>
        </is>
      </c>
    </row>
    <row r="588">
      <c r="A588" t="n">
        <v>10017461</v>
      </c>
      <c r="B588" t="inlineStr">
        <is>
          <t>ZFER</t>
        </is>
      </c>
      <c r="C588" t="inlineStr">
        <is>
          <t>1000</t>
        </is>
      </c>
      <c r="D588" t="inlineStr">
        <is>
          <t>M3</t>
        </is>
      </c>
      <c r="E588" t="n">
        <v>1000</v>
      </c>
      <c r="F588" t="inlineStr">
        <is>
          <t>TN</t>
        </is>
      </c>
      <c r="G588" t="n">
        <v>1360</v>
      </c>
      <c r="H588" t="inlineStr">
        <is>
          <t>Grava Triturada Marmol 10 mm - 3/8" -Oax</t>
        </is>
      </c>
    </row>
    <row r="589">
      <c r="A589" t="n">
        <v>10017630</v>
      </c>
      <c r="B589" t="inlineStr">
        <is>
          <t>ZFE3</t>
        </is>
      </c>
      <c r="C589" t="inlineStr">
        <is>
          <t>1000</t>
        </is>
      </c>
      <c r="D589" t="inlineStr">
        <is>
          <t>M3</t>
        </is>
      </c>
      <c r="E589" t="n">
        <v>1000</v>
      </c>
      <c r="F589" t="inlineStr">
        <is>
          <t>TN</t>
        </is>
      </c>
      <c r="G589" t="n">
        <v>1470</v>
      </c>
      <c r="H589" t="inlineStr">
        <is>
          <t>Grava Aluvial 1/2" Oriente</t>
        </is>
      </c>
    </row>
    <row r="590">
      <c r="A590" t="n">
        <v>10017632</v>
      </c>
      <c r="B590" t="inlineStr">
        <is>
          <t>ZFE3</t>
        </is>
      </c>
      <c r="C590" t="inlineStr">
        <is>
          <t>1000</t>
        </is>
      </c>
      <c r="D590" t="inlineStr">
        <is>
          <t>M3</t>
        </is>
      </c>
      <c r="E590" t="n">
        <v>1000</v>
      </c>
      <c r="F590" t="inlineStr">
        <is>
          <t>TN</t>
        </is>
      </c>
      <c r="G590" t="n">
        <v>1460</v>
      </c>
      <c r="H590" t="inlineStr">
        <is>
          <t>Grava Aluvial 1" Oriente</t>
        </is>
      </c>
    </row>
    <row r="591">
      <c r="A591" t="n">
        <v>10017640</v>
      </c>
      <c r="B591" t="inlineStr">
        <is>
          <t>ZFER</t>
        </is>
      </c>
      <c r="C591" t="inlineStr">
        <is>
          <t>1000</t>
        </is>
      </c>
      <c r="D591" t="inlineStr">
        <is>
          <t>M3</t>
        </is>
      </c>
      <c r="E591" t="n">
        <v>1000</v>
      </c>
      <c r="F591" t="inlineStr">
        <is>
          <t>TN</t>
        </is>
      </c>
      <c r="G591" t="n">
        <v>1615</v>
      </c>
      <c r="H591" t="inlineStr">
        <is>
          <t>Arena Clasificada Río Malla 4</t>
        </is>
      </c>
    </row>
    <row r="592">
      <c r="A592" t="n">
        <v>10017641</v>
      </c>
      <c r="B592" t="inlineStr">
        <is>
          <t>ZFER</t>
        </is>
      </c>
      <c r="C592" t="inlineStr">
        <is>
          <t>1000</t>
        </is>
      </c>
      <c r="D592" t="inlineStr">
        <is>
          <t>M3</t>
        </is>
      </c>
      <c r="E592" t="n">
        <v>1000</v>
      </c>
      <c r="F592" t="inlineStr">
        <is>
          <t>TN</t>
        </is>
      </c>
      <c r="G592" t="n">
        <v>1514</v>
      </c>
      <c r="H592" t="inlineStr">
        <is>
          <t>Grava Clasificada Río 20 mm - 3/4"</t>
        </is>
      </c>
    </row>
    <row r="593">
      <c r="A593" t="n">
        <v>10018375</v>
      </c>
      <c r="B593" t="inlineStr">
        <is>
          <t>ZFER</t>
        </is>
      </c>
      <c r="C593" t="inlineStr">
        <is>
          <t>1000</t>
        </is>
      </c>
      <c r="D593" t="inlineStr">
        <is>
          <t>M3</t>
        </is>
      </c>
      <c r="E593" t="n">
        <v>1000</v>
      </c>
      <c r="F593" t="inlineStr">
        <is>
          <t>TN</t>
        </is>
      </c>
      <c r="G593" t="n">
        <v>1390</v>
      </c>
      <c r="H593" t="inlineStr">
        <is>
          <t>Arena Triturada Basalto Malla 4 - BC</t>
        </is>
      </c>
    </row>
    <row r="594">
      <c r="A594" t="n">
        <v>10019035</v>
      </c>
      <c r="B594" t="inlineStr">
        <is>
          <t>ZFE3</t>
        </is>
      </c>
      <c r="C594" t="inlineStr">
        <is>
          <t>1000</t>
        </is>
      </c>
      <c r="D594" t="inlineStr">
        <is>
          <t>M3</t>
        </is>
      </c>
      <c r="E594" t="n">
        <v>1000</v>
      </c>
      <c r="F594" t="inlineStr">
        <is>
          <t>TN</t>
        </is>
      </c>
      <c r="G594" t="n">
        <v>1602</v>
      </c>
      <c r="H594" t="inlineStr">
        <is>
          <t>Arena Gruesa Aluvial Gn Cx</t>
        </is>
      </c>
    </row>
    <row r="595">
      <c r="A595" t="n">
        <v>10019036</v>
      </c>
      <c r="B595" t="inlineStr">
        <is>
          <t>ZFE3</t>
        </is>
      </c>
      <c r="C595" t="inlineStr">
        <is>
          <t>1000</t>
        </is>
      </c>
      <c r="D595" t="inlineStr">
        <is>
          <t>M3</t>
        </is>
      </c>
      <c r="E595" t="n">
        <v>1000</v>
      </c>
      <c r="F595" t="inlineStr">
        <is>
          <t>TN</t>
        </is>
      </c>
      <c r="G595" t="n">
        <v>1493</v>
      </c>
      <c r="H595" t="inlineStr">
        <is>
          <t>Grava Aluvial 1/2" Gn Cx</t>
        </is>
      </c>
    </row>
    <row r="596">
      <c r="A596" t="n">
        <v>10019038</v>
      </c>
      <c r="B596" t="inlineStr">
        <is>
          <t>ZFE3</t>
        </is>
      </c>
      <c r="C596" t="inlineStr">
        <is>
          <t>1000</t>
        </is>
      </c>
      <c r="D596" t="inlineStr">
        <is>
          <t>M3</t>
        </is>
      </c>
      <c r="E596" t="n">
        <v>1000</v>
      </c>
      <c r="F596" t="inlineStr">
        <is>
          <t>TN</t>
        </is>
      </c>
      <c r="G596" t="n">
        <v>1440</v>
      </c>
      <c r="H596" t="inlineStr">
        <is>
          <t>Grava Aluvial 3/4" Gravicon</t>
        </is>
      </c>
    </row>
    <row r="597">
      <c r="A597" t="n">
        <v>10019039</v>
      </c>
      <c r="B597" t="inlineStr">
        <is>
          <t>ZFE3</t>
        </is>
      </c>
      <c r="C597" t="inlineStr">
        <is>
          <t>1000</t>
        </is>
      </c>
      <c r="D597" t="inlineStr">
        <is>
          <t>M3</t>
        </is>
      </c>
      <c r="E597" t="n">
        <v>1000</v>
      </c>
      <c r="F597" t="inlineStr">
        <is>
          <t>TN</t>
        </is>
      </c>
      <c r="G597" t="n">
        <v>1476</v>
      </c>
      <c r="H597" t="inlineStr">
        <is>
          <t>Grava Aluvial 1" Gn Cx</t>
        </is>
      </c>
    </row>
    <row r="598">
      <c r="A598" t="n">
        <v>10019127</v>
      </c>
      <c r="B598" t="inlineStr">
        <is>
          <t>ZFER</t>
        </is>
      </c>
      <c r="C598" t="inlineStr">
        <is>
          <t>1000</t>
        </is>
      </c>
      <c r="D598" t="inlineStr">
        <is>
          <t>M3</t>
        </is>
      </c>
      <c r="E598" t="n">
        <v>1000</v>
      </c>
      <c r="F598" t="inlineStr">
        <is>
          <t>TN</t>
        </is>
      </c>
      <c r="G598" t="n">
        <v>1536</v>
      </c>
      <c r="H598" t="inlineStr">
        <is>
          <t>Grava Triturada Basalto 20mm - 3/4" -B</t>
        </is>
      </c>
    </row>
    <row r="599">
      <c r="A599" t="n">
        <v>10019515</v>
      </c>
      <c r="B599" t="inlineStr">
        <is>
          <t>ZFER</t>
        </is>
      </c>
      <c r="C599" t="inlineStr">
        <is>
          <t>1000</t>
        </is>
      </c>
      <c r="D599" t="inlineStr">
        <is>
          <t>M3</t>
        </is>
      </c>
      <c r="E599" t="n">
        <v>1000</v>
      </c>
      <c r="F599" t="inlineStr">
        <is>
          <t>TN</t>
        </is>
      </c>
      <c r="G599" t="n">
        <v>1300</v>
      </c>
      <c r="H599" t="inlineStr">
        <is>
          <t>Grava Triturada Tezontle 20mm - 3/4"</t>
        </is>
      </c>
    </row>
    <row r="600">
      <c r="A600" t="n">
        <v>10019516</v>
      </c>
      <c r="B600" t="inlineStr">
        <is>
          <t>ZFER</t>
        </is>
      </c>
      <c r="C600" t="inlineStr">
        <is>
          <t>1000</t>
        </is>
      </c>
      <c r="D600" t="inlineStr">
        <is>
          <t>M3</t>
        </is>
      </c>
      <c r="E600" t="n">
        <v>1000</v>
      </c>
      <c r="F600" t="inlineStr">
        <is>
          <t>TN</t>
        </is>
      </c>
      <c r="G600" t="n">
        <v>1300</v>
      </c>
      <c r="H600" t="inlineStr">
        <is>
          <t>Grava Triturada Tezontle 3 a 1 1/2"</t>
        </is>
      </c>
    </row>
    <row r="601">
      <c r="A601" t="n">
        <v>10019947</v>
      </c>
      <c r="B601" t="inlineStr">
        <is>
          <t>ZFER</t>
        </is>
      </c>
      <c r="C601" t="inlineStr">
        <is>
          <t>1000</t>
        </is>
      </c>
      <c r="D601" t="inlineStr">
        <is>
          <t>M3</t>
        </is>
      </c>
      <c r="E601" t="n">
        <v>1000</v>
      </c>
      <c r="F601" t="inlineStr">
        <is>
          <t>TN</t>
        </is>
      </c>
      <c r="G601" t="n">
        <v>1395</v>
      </c>
      <c r="H601" t="inlineStr">
        <is>
          <t>Grava Triturada Basalto 1 1/2" -Tipo B</t>
        </is>
      </c>
    </row>
    <row r="602">
      <c r="A602" t="n">
        <v>10020174</v>
      </c>
      <c r="B602" t="inlineStr">
        <is>
          <t>ZFE3</t>
        </is>
      </c>
      <c r="C602" t="inlineStr">
        <is>
          <t>1000</t>
        </is>
      </c>
      <c r="D602" t="inlineStr">
        <is>
          <t>M3</t>
        </is>
      </c>
      <c r="E602" t="n">
        <v>1000</v>
      </c>
      <c r="F602" t="inlineStr">
        <is>
          <t>TN</t>
        </is>
      </c>
      <c r="G602" t="n">
        <v>1484</v>
      </c>
      <c r="H602" t="inlineStr">
        <is>
          <t>NI GRAVA TMA 1/2" (B) SAN CRISTOBAL</t>
        </is>
      </c>
    </row>
    <row r="603">
      <c r="A603" t="n">
        <v>10020175</v>
      </c>
      <c r="B603" t="inlineStr">
        <is>
          <t>ZFE3</t>
        </is>
      </c>
      <c r="C603" t="inlineStr">
        <is>
          <t>1000</t>
        </is>
      </c>
      <c r="D603" t="inlineStr">
        <is>
          <t>M3</t>
        </is>
      </c>
      <c r="E603" t="n">
        <v>1000</v>
      </c>
      <c r="F603" t="inlineStr">
        <is>
          <t>TN</t>
        </is>
      </c>
      <c r="G603" t="n">
        <v>1442</v>
      </c>
      <c r="H603" t="inlineStr">
        <is>
          <t>NI GRAVA TMA 3/4" SAN CRISTOBAL</t>
        </is>
      </c>
    </row>
    <row r="604">
      <c r="A604" t="n">
        <v>10020707</v>
      </c>
      <c r="B604" t="inlineStr">
        <is>
          <t>ZFER</t>
        </is>
      </c>
      <c r="C604" t="inlineStr">
        <is>
          <t>1000</t>
        </is>
      </c>
      <c r="D604" t="inlineStr">
        <is>
          <t>M3</t>
        </is>
      </c>
      <c r="E604" t="n">
        <v>1000</v>
      </c>
      <c r="F604" t="inlineStr">
        <is>
          <t>TN</t>
        </is>
      </c>
      <c r="G604" t="n">
        <v>1619</v>
      </c>
      <c r="H604" t="inlineStr">
        <is>
          <t>Base H Triturada Basalto  1 1/2" a Finos</t>
        </is>
      </c>
    </row>
    <row r="605">
      <c r="A605" t="n">
        <v>10020754</v>
      </c>
      <c r="B605" t="inlineStr">
        <is>
          <t>ZFER</t>
        </is>
      </c>
      <c r="C605" t="inlineStr">
        <is>
          <t>1000</t>
        </is>
      </c>
      <c r="D605" t="inlineStr">
        <is>
          <t>M3</t>
        </is>
      </c>
      <c r="E605" t="n">
        <v>1000</v>
      </c>
      <c r="F605" t="inlineStr">
        <is>
          <t>TN</t>
        </is>
      </c>
      <c r="G605" t="n">
        <v>1550</v>
      </c>
      <c r="H605" t="inlineStr">
        <is>
          <t>Arena Clasificada Río Malla 4</t>
        </is>
      </c>
    </row>
    <row r="606">
      <c r="A606" t="n">
        <v>10020865</v>
      </c>
      <c r="B606" t="inlineStr">
        <is>
          <t>ZFE3</t>
        </is>
      </c>
      <c r="C606" t="inlineStr">
        <is>
          <t>1000</t>
        </is>
      </c>
      <c r="D606" t="inlineStr">
        <is>
          <t>M3</t>
        </is>
      </c>
      <c r="E606" t="n">
        <v>1000</v>
      </c>
      <c r="F606" t="inlineStr">
        <is>
          <t>TN</t>
        </is>
      </c>
      <c r="G606" t="n">
        <v>1450</v>
      </c>
      <c r="H606" t="inlineStr">
        <is>
          <t>Grava Aluvial 3/4" Transmateriales</t>
        </is>
      </c>
    </row>
    <row r="607">
      <c r="A607" t="n">
        <v>10022275</v>
      </c>
      <c r="B607" t="inlineStr">
        <is>
          <t>ZFER</t>
        </is>
      </c>
      <c r="C607" t="inlineStr">
        <is>
          <t>1000</t>
        </is>
      </c>
      <c r="D607" t="inlineStr">
        <is>
          <t>M3</t>
        </is>
      </c>
      <c r="E607" t="n">
        <v>1000</v>
      </c>
      <c r="F607" t="inlineStr">
        <is>
          <t>TN</t>
        </is>
      </c>
      <c r="G607" t="n">
        <v>1430</v>
      </c>
      <c r="H607" t="inlineStr">
        <is>
          <t>Grava Triturada Granito 20 mm - 3/4"</t>
        </is>
      </c>
    </row>
    <row r="608">
      <c r="A608" t="n">
        <v>10022708</v>
      </c>
      <c r="B608" t="inlineStr">
        <is>
          <t>ZFER</t>
        </is>
      </c>
      <c r="C608" t="inlineStr">
        <is>
          <t>1000</t>
        </is>
      </c>
      <c r="D608" t="inlineStr">
        <is>
          <t>M3</t>
        </is>
      </c>
      <c r="E608" t="n">
        <v>1000</v>
      </c>
      <c r="F608" t="inlineStr">
        <is>
          <t>TN</t>
        </is>
      </c>
      <c r="G608" t="n">
        <v>1410</v>
      </c>
      <c r="H608" t="inlineStr">
        <is>
          <t>Grava Triturada Granito 20 mm - 3/4"</t>
        </is>
      </c>
    </row>
    <row r="609">
      <c r="A609" t="n">
        <v>10023006</v>
      </c>
      <c r="B609" t="inlineStr">
        <is>
          <t>ZFER</t>
        </is>
      </c>
      <c r="C609" t="inlineStr">
        <is>
          <t>1000</t>
        </is>
      </c>
      <c r="D609" t="inlineStr">
        <is>
          <t>M3</t>
        </is>
      </c>
      <c r="E609" t="n">
        <v>1000</v>
      </c>
      <c r="F609" t="inlineStr">
        <is>
          <t>TN</t>
        </is>
      </c>
      <c r="G609" t="n">
        <v>1670</v>
      </c>
      <c r="H609" t="inlineStr">
        <is>
          <t>Arena Triturada Caliza Malla 4</t>
        </is>
      </c>
    </row>
    <row r="610">
      <c r="A610" t="n">
        <v>10023063</v>
      </c>
      <c r="B610" t="inlineStr">
        <is>
          <t>ZFE3</t>
        </is>
      </c>
      <c r="C610" t="inlineStr">
        <is>
          <t>1000</t>
        </is>
      </c>
      <c r="D610" t="inlineStr">
        <is>
          <t>M3</t>
        </is>
      </c>
      <c r="E610" t="n">
        <v>100</v>
      </c>
      <c r="F610" t="inlineStr">
        <is>
          <t>TN</t>
        </is>
      </c>
      <c r="G610" t="n">
        <v>150</v>
      </c>
      <c r="H610" t="inlineStr">
        <is>
          <t>SF-4081 ARENA INDUSTRIAL</t>
        </is>
      </c>
    </row>
    <row r="611">
      <c r="A611" t="n">
        <v>10023066</v>
      </c>
      <c r="B611" t="inlineStr">
        <is>
          <t>ZFE3</t>
        </is>
      </c>
      <c r="C611" t="inlineStr">
        <is>
          <t>1000</t>
        </is>
      </c>
      <c r="D611" t="inlineStr">
        <is>
          <t>M3</t>
        </is>
      </c>
      <c r="E611" t="n">
        <v>100</v>
      </c>
      <c r="F611" t="inlineStr">
        <is>
          <t>TN</t>
        </is>
      </c>
      <c r="G611" t="n">
        <v>165</v>
      </c>
      <c r="H611" t="inlineStr">
        <is>
          <t>SF-1051 POLVO DE PIEDRA 6.35MM</t>
        </is>
      </c>
    </row>
    <row r="612">
      <c r="A612" t="n">
        <v>10023108</v>
      </c>
      <c r="B612" t="inlineStr">
        <is>
          <t>ZFER</t>
        </is>
      </c>
      <c r="C612" t="inlineStr">
        <is>
          <t>1000</t>
        </is>
      </c>
      <c r="D612" t="inlineStr">
        <is>
          <t>M3</t>
        </is>
      </c>
      <c r="E612" t="n">
        <v>1000</v>
      </c>
      <c r="F612" t="inlineStr">
        <is>
          <t>TN</t>
        </is>
      </c>
      <c r="G612" t="n">
        <v>1969</v>
      </c>
      <c r="H612" t="inlineStr">
        <is>
          <t>Base H Triturada Basalto  1 1/2" a Finos</t>
        </is>
      </c>
    </row>
    <row r="613">
      <c r="A613" t="n">
        <v>10023356</v>
      </c>
      <c r="B613" t="inlineStr">
        <is>
          <t>ZFER</t>
        </is>
      </c>
      <c r="C613" t="inlineStr">
        <is>
          <t>1000</t>
        </is>
      </c>
      <c r="D613" t="inlineStr">
        <is>
          <t>M3</t>
        </is>
      </c>
      <c r="E613" t="n">
        <v>1000</v>
      </c>
      <c r="F613" t="inlineStr">
        <is>
          <t>TN</t>
        </is>
      </c>
      <c r="G613" t="n">
        <v>1515</v>
      </c>
      <c r="H613" t="inlineStr">
        <is>
          <t>No Clasificado Triturado Basalto</t>
        </is>
      </c>
    </row>
    <row r="614">
      <c r="A614" t="n">
        <v>10023592</v>
      </c>
      <c r="B614" t="inlineStr">
        <is>
          <t>ZFER</t>
        </is>
      </c>
      <c r="C614" t="inlineStr">
        <is>
          <t>1000</t>
        </is>
      </c>
      <c r="D614" t="inlineStr">
        <is>
          <t>M3</t>
        </is>
      </c>
      <c r="E614" t="n">
        <v>1000</v>
      </c>
      <c r="F614" t="inlineStr">
        <is>
          <t>TN</t>
        </is>
      </c>
      <c r="G614" t="n">
        <v>1356</v>
      </c>
      <c r="H614" t="inlineStr">
        <is>
          <t>Arena Triturada Caliza Malla 4</t>
        </is>
      </c>
    </row>
    <row r="615">
      <c r="A615" t="n">
        <v>10023900</v>
      </c>
      <c r="B615" t="inlineStr">
        <is>
          <t>ZFER</t>
        </is>
      </c>
      <c r="C615" t="inlineStr">
        <is>
          <t>1000</t>
        </is>
      </c>
      <c r="D615" t="inlineStr">
        <is>
          <t>M3</t>
        </is>
      </c>
      <c r="E615" t="n">
        <v>1000</v>
      </c>
      <c r="F615" t="inlineStr">
        <is>
          <t>TN</t>
        </is>
      </c>
      <c r="G615" t="n">
        <v>1388</v>
      </c>
      <c r="H615" t="inlineStr">
        <is>
          <t>Grava Triturada Basalto 20 mm - 3/4"</t>
        </is>
      </c>
    </row>
    <row r="616">
      <c r="A616" t="n">
        <v>10023908</v>
      </c>
      <c r="B616" t="inlineStr">
        <is>
          <t>ZFER</t>
        </is>
      </c>
      <c r="C616" t="inlineStr">
        <is>
          <t>1000</t>
        </is>
      </c>
      <c r="D616" t="inlineStr">
        <is>
          <t>M3</t>
        </is>
      </c>
      <c r="E616" t="n">
        <v>1000</v>
      </c>
      <c r="F616" t="inlineStr">
        <is>
          <t>TN</t>
        </is>
      </c>
      <c r="G616" t="n">
        <v>1500</v>
      </c>
      <c r="H616" t="inlineStr">
        <is>
          <t>Grava Triturada Andesita 75 mm - 1 1/2"</t>
        </is>
      </c>
    </row>
    <row r="617">
      <c r="A617" t="n">
        <v>10024167</v>
      </c>
      <c r="B617" t="inlineStr">
        <is>
          <t>ZFE3</t>
        </is>
      </c>
      <c r="C617" t="inlineStr">
        <is>
          <t>1000</t>
        </is>
      </c>
      <c r="D617" t="inlineStr">
        <is>
          <t>M3</t>
        </is>
      </c>
      <c r="E617" t="n">
        <v>1000</v>
      </c>
      <c r="F617" t="inlineStr">
        <is>
          <t>TN</t>
        </is>
      </c>
      <c r="G617" t="n">
        <v>1553</v>
      </c>
      <c r="H617" t="inlineStr">
        <is>
          <t>Arena Aluvial Gruesa Extraboqueron</t>
        </is>
      </c>
    </row>
    <row r="618">
      <c r="A618" t="n">
        <v>10024168</v>
      </c>
      <c r="B618" t="inlineStr">
        <is>
          <t>ZFE3</t>
        </is>
      </c>
      <c r="C618" t="inlineStr">
        <is>
          <t>1000</t>
        </is>
      </c>
      <c r="D618" t="inlineStr">
        <is>
          <t>M3</t>
        </is>
      </c>
      <c r="E618" t="n">
        <v>1000</v>
      </c>
      <c r="F618" t="inlineStr">
        <is>
          <t>TN</t>
        </is>
      </c>
      <c r="G618" t="n">
        <v>1392</v>
      </c>
      <c r="H618" t="inlineStr">
        <is>
          <t>Grava Aluvial 1" Extraboqueron</t>
        </is>
      </c>
    </row>
    <row r="619">
      <c r="A619" t="n">
        <v>10024169</v>
      </c>
      <c r="B619" t="inlineStr">
        <is>
          <t>ZFE3</t>
        </is>
      </c>
      <c r="C619" t="inlineStr">
        <is>
          <t>1000</t>
        </is>
      </c>
      <c r="D619" t="inlineStr">
        <is>
          <t>M3</t>
        </is>
      </c>
      <c r="E619" t="n">
        <v>1000</v>
      </c>
      <c r="F619" t="inlineStr">
        <is>
          <t>TN</t>
        </is>
      </c>
      <c r="G619" t="n">
        <v>1394</v>
      </c>
      <c r="H619" t="inlineStr">
        <is>
          <t>Grava Aluvial 1/2" Extraboqueron</t>
        </is>
      </c>
    </row>
    <row r="620">
      <c r="A620" t="n">
        <v>10024360</v>
      </c>
      <c r="B620" t="inlineStr">
        <is>
          <t>ZFE3</t>
        </is>
      </c>
      <c r="C620" t="inlineStr">
        <is>
          <t>1000</t>
        </is>
      </c>
      <c r="D620" t="inlineStr">
        <is>
          <t>M3</t>
        </is>
      </c>
      <c r="E620" t="n">
        <v>1000</v>
      </c>
      <c r="F620" t="inlineStr">
        <is>
          <t>TN</t>
        </is>
      </c>
      <c r="G620" t="n">
        <v>1503</v>
      </c>
      <c r="H620" t="inlineStr">
        <is>
          <t>NI Grava TMA 1/2"</t>
        </is>
      </c>
    </row>
    <row r="621">
      <c r="A621" t="n">
        <v>10024382</v>
      </c>
      <c r="B621" t="inlineStr">
        <is>
          <t>ZFER</t>
        </is>
      </c>
      <c r="C621" t="inlineStr">
        <is>
          <t>1000</t>
        </is>
      </c>
      <c r="D621" t="inlineStr">
        <is>
          <t>M3</t>
        </is>
      </c>
      <c r="E621" t="n">
        <v>1000</v>
      </c>
      <c r="F621" t="inlineStr">
        <is>
          <t>TN</t>
        </is>
      </c>
      <c r="G621" t="n">
        <v>1457</v>
      </c>
      <c r="H621" t="inlineStr">
        <is>
          <t>Grava Triturada Basalto  20 mm - 3/4"</t>
        </is>
      </c>
    </row>
    <row r="622">
      <c r="A622" t="n">
        <v>10026013</v>
      </c>
      <c r="B622" t="inlineStr">
        <is>
          <t>ZFE3</t>
        </is>
      </c>
      <c r="C622" t="inlineStr">
        <is>
          <t>1000</t>
        </is>
      </c>
      <c r="D622" t="inlineStr">
        <is>
          <t>M3</t>
        </is>
      </c>
      <c r="E622" t="n">
        <v>1000</v>
      </c>
      <c r="F622" t="inlineStr">
        <is>
          <t>TN</t>
        </is>
      </c>
      <c r="G622" t="n">
        <v>1432</v>
      </c>
      <c r="H622" t="inlineStr">
        <is>
          <t>Grava 3/8" Tayrona</t>
        </is>
      </c>
    </row>
    <row r="623">
      <c r="A623" t="n">
        <v>10026014</v>
      </c>
      <c r="B623" t="inlineStr">
        <is>
          <t>ZFE3</t>
        </is>
      </c>
      <c r="C623" t="inlineStr">
        <is>
          <t>1000</t>
        </is>
      </c>
      <c r="D623" t="inlineStr">
        <is>
          <t>M3</t>
        </is>
      </c>
      <c r="E623" t="n">
        <v>1000</v>
      </c>
      <c r="F623" t="inlineStr">
        <is>
          <t>TN</t>
        </is>
      </c>
      <c r="G623" t="n">
        <v>1420</v>
      </c>
      <c r="H623" t="inlineStr">
        <is>
          <t>Grava 1" Tayrona</t>
        </is>
      </c>
    </row>
    <row r="624">
      <c r="A624" t="n">
        <v>10026015</v>
      </c>
      <c r="B624" t="inlineStr">
        <is>
          <t>ZFE3</t>
        </is>
      </c>
      <c r="C624" t="inlineStr">
        <is>
          <t>1000</t>
        </is>
      </c>
      <c r="D624" t="inlineStr">
        <is>
          <t>M3</t>
        </is>
      </c>
      <c r="E624" t="n">
        <v>1000</v>
      </c>
      <c r="F624" t="inlineStr">
        <is>
          <t>TN</t>
        </is>
      </c>
      <c r="G624" t="n">
        <v>1410</v>
      </c>
      <c r="H624" t="inlineStr">
        <is>
          <t>Grava 1/2" Tayrona</t>
        </is>
      </c>
    </row>
    <row r="625">
      <c r="A625" t="n">
        <v>10026017</v>
      </c>
      <c r="B625" t="inlineStr">
        <is>
          <t>ZFE3</t>
        </is>
      </c>
      <c r="C625" t="inlineStr">
        <is>
          <t>1000</t>
        </is>
      </c>
      <c r="D625" t="inlineStr">
        <is>
          <t>M3</t>
        </is>
      </c>
      <c r="E625" t="n">
        <v>1000</v>
      </c>
      <c r="F625" t="inlineStr">
        <is>
          <t>TN</t>
        </is>
      </c>
      <c r="G625" t="n">
        <v>1432</v>
      </c>
      <c r="H625" t="inlineStr">
        <is>
          <t>Grava 3/4" Tayrona</t>
        </is>
      </c>
    </row>
    <row r="626">
      <c r="A626" t="n">
        <v>10026097</v>
      </c>
      <c r="B626" t="inlineStr">
        <is>
          <t>ZFER</t>
        </is>
      </c>
      <c r="C626" t="inlineStr">
        <is>
          <t>1000</t>
        </is>
      </c>
      <c r="D626" t="inlineStr">
        <is>
          <t>M3</t>
        </is>
      </c>
      <c r="E626" t="n">
        <v>1000</v>
      </c>
      <c r="F626" t="inlineStr">
        <is>
          <t>TN</t>
        </is>
      </c>
      <c r="G626" t="n">
        <v>1532</v>
      </c>
      <c r="H626" t="inlineStr">
        <is>
          <t>Grava Triturada Granito 20 mm - 3/4"</t>
        </is>
      </c>
    </row>
    <row r="627">
      <c r="A627" t="n">
        <v>10026100</v>
      </c>
      <c r="B627" t="inlineStr">
        <is>
          <t>ZFER</t>
        </is>
      </c>
      <c r="C627" t="inlineStr">
        <is>
          <t>1000</t>
        </is>
      </c>
      <c r="D627" t="inlineStr">
        <is>
          <t>M3</t>
        </is>
      </c>
      <c r="E627" t="n">
        <v>1000</v>
      </c>
      <c r="F627" t="inlineStr">
        <is>
          <t>TN</t>
        </is>
      </c>
      <c r="G627" t="n">
        <v>1650</v>
      </c>
      <c r="H627" t="inlineStr">
        <is>
          <t>Base H Triturada Caliza 1 1/2" a Finos</t>
        </is>
      </c>
    </row>
    <row r="628">
      <c r="A628" t="n">
        <v>10026279</v>
      </c>
      <c r="B628" t="inlineStr">
        <is>
          <t>ZFER</t>
        </is>
      </c>
      <c r="C628" t="inlineStr">
        <is>
          <t>1000</t>
        </is>
      </c>
      <c r="D628" t="inlineStr">
        <is>
          <t>M3</t>
        </is>
      </c>
      <c r="E628" t="n">
        <v>1000</v>
      </c>
      <c r="F628" t="inlineStr">
        <is>
          <t>TN</t>
        </is>
      </c>
      <c r="G628" t="n">
        <v>1650</v>
      </c>
      <c r="H628" t="inlineStr">
        <is>
          <t>Base H Triturada Andesita 1 1/2" a Finos</t>
        </is>
      </c>
    </row>
    <row r="629">
      <c r="A629" t="n">
        <v>10027912</v>
      </c>
      <c r="B629" t="inlineStr">
        <is>
          <t>ZFER</t>
        </is>
      </c>
      <c r="C629" t="inlineStr">
        <is>
          <t>1000</t>
        </is>
      </c>
      <c r="D629" t="inlineStr">
        <is>
          <t>M3</t>
        </is>
      </c>
      <c r="E629" t="n">
        <v>1000</v>
      </c>
      <c r="F629" t="inlineStr">
        <is>
          <t>TN</t>
        </is>
      </c>
      <c r="G629" t="n">
        <v>1420</v>
      </c>
      <c r="H629" t="inlineStr">
        <is>
          <t>Grava Triturada Basalto 20mm - 3/4" -B</t>
        </is>
      </c>
    </row>
    <row r="630">
      <c r="A630" t="n">
        <v>10028433</v>
      </c>
      <c r="B630" t="inlineStr">
        <is>
          <t>ZFER</t>
        </is>
      </c>
      <c r="C630" t="inlineStr">
        <is>
          <t>1000</t>
        </is>
      </c>
      <c r="D630" t="inlineStr">
        <is>
          <t>M3</t>
        </is>
      </c>
      <c r="E630" t="n">
        <v>1000</v>
      </c>
      <c r="F630" t="inlineStr">
        <is>
          <t>TN</t>
        </is>
      </c>
      <c r="G630" t="n">
        <v>1539</v>
      </c>
      <c r="H630" t="inlineStr">
        <is>
          <t>Arena Triturada Caliza Malla 4</t>
        </is>
      </c>
    </row>
    <row r="631">
      <c r="A631" t="n">
        <v>10028434</v>
      </c>
      <c r="B631" t="inlineStr">
        <is>
          <t>ZFER</t>
        </is>
      </c>
      <c r="C631" t="inlineStr">
        <is>
          <t>1000</t>
        </is>
      </c>
      <c r="D631" t="inlineStr">
        <is>
          <t>M3</t>
        </is>
      </c>
      <c r="E631" t="n">
        <v>1000</v>
      </c>
      <c r="F631" t="inlineStr">
        <is>
          <t>TN</t>
        </is>
      </c>
      <c r="G631" t="n">
        <v>1253</v>
      </c>
      <c r="H631" t="inlineStr">
        <is>
          <t>Grava Triturada Caliza 20 mm - 3/4"</t>
        </is>
      </c>
    </row>
    <row r="632">
      <c r="A632" t="n">
        <v>10028438</v>
      </c>
      <c r="B632" t="inlineStr">
        <is>
          <t>ZFE3</t>
        </is>
      </c>
      <c r="C632" t="inlineStr">
        <is>
          <t>1000</t>
        </is>
      </c>
      <c r="D632" t="inlineStr">
        <is>
          <t>M3</t>
        </is>
      </c>
      <c r="E632" t="n">
        <v>1000</v>
      </c>
      <c r="F632" t="inlineStr">
        <is>
          <t>TN</t>
        </is>
      </c>
      <c r="G632" t="n">
        <v>2600</v>
      </c>
      <c r="H632" t="inlineStr">
        <is>
          <t>Barita CMC</t>
        </is>
      </c>
    </row>
    <row r="633">
      <c r="A633" t="n">
        <v>10029320</v>
      </c>
      <c r="B633" t="inlineStr">
        <is>
          <t>ZFE3</t>
        </is>
      </c>
      <c r="C633" t="inlineStr">
        <is>
          <t>1000</t>
        </is>
      </c>
      <c r="D633" t="inlineStr">
        <is>
          <t>M3</t>
        </is>
      </c>
      <c r="E633" t="n">
        <v>1000</v>
      </c>
      <c r="F633" t="inlineStr">
        <is>
          <t>TN</t>
        </is>
      </c>
      <c r="G633" t="n">
        <v>4200</v>
      </c>
      <c r="H633" t="inlineStr">
        <is>
          <t>ARENA BARITADA 4.76MM</t>
        </is>
      </c>
    </row>
    <row r="634">
      <c r="A634" t="n">
        <v>10029327</v>
      </c>
      <c r="B634" t="inlineStr">
        <is>
          <t>ZFER</t>
        </is>
      </c>
      <c r="C634" t="inlineStr">
        <is>
          <t>1000</t>
        </is>
      </c>
      <c r="D634" t="inlineStr">
        <is>
          <t>M3</t>
        </is>
      </c>
      <c r="E634" t="n">
        <v>1000</v>
      </c>
      <c r="F634" t="inlineStr">
        <is>
          <t>TN</t>
        </is>
      </c>
      <c r="G634" t="n">
        <v>1390</v>
      </c>
      <c r="H634" t="inlineStr">
        <is>
          <t>Grava Triturada Basalto 20 mm - 3/4</t>
        </is>
      </c>
    </row>
    <row r="635">
      <c r="A635" t="n">
        <v>10029333</v>
      </c>
      <c r="B635" t="inlineStr">
        <is>
          <t>ZFER</t>
        </is>
      </c>
      <c r="C635" t="inlineStr">
        <is>
          <t>1000</t>
        </is>
      </c>
      <c r="D635" t="inlineStr">
        <is>
          <t>M3</t>
        </is>
      </c>
      <c r="E635" t="n">
        <v>1000</v>
      </c>
      <c r="F635" t="inlineStr">
        <is>
          <t>TN</t>
        </is>
      </c>
      <c r="G635" t="n">
        <v>1391</v>
      </c>
      <c r="H635" t="inlineStr">
        <is>
          <t>Grava Triturada Caliza 40 mm - 11/2"</t>
        </is>
      </c>
    </row>
    <row r="636">
      <c r="A636" t="n">
        <v>10029674</v>
      </c>
      <c r="B636" t="inlineStr">
        <is>
          <t>ZFER</t>
        </is>
      </c>
      <c r="C636" t="inlineStr">
        <is>
          <t>1000</t>
        </is>
      </c>
      <c r="D636" t="inlineStr">
        <is>
          <t>M3</t>
        </is>
      </c>
      <c r="E636" t="n">
        <v>1000</v>
      </c>
      <c r="F636" t="inlineStr">
        <is>
          <t>TN</t>
        </is>
      </c>
      <c r="G636" t="n">
        <v>1555</v>
      </c>
      <c r="H636" t="inlineStr">
        <is>
          <t>Arena Clasificada Río Malla 4 Lavado</t>
        </is>
      </c>
    </row>
    <row r="637">
      <c r="A637" t="n">
        <v>10029712</v>
      </c>
      <c r="B637" t="inlineStr">
        <is>
          <t>ZFER</t>
        </is>
      </c>
      <c r="C637" t="inlineStr">
        <is>
          <t>1000</t>
        </is>
      </c>
      <c r="D637" t="inlineStr">
        <is>
          <t>M3</t>
        </is>
      </c>
      <c r="E637" t="n">
        <v>1000</v>
      </c>
      <c r="F637" t="inlineStr">
        <is>
          <t>TN</t>
        </is>
      </c>
      <c r="G637" t="n">
        <v>1200</v>
      </c>
      <c r="H637" t="inlineStr">
        <is>
          <t>Grava Triturada Tepojal 20 mm - 3/4"</t>
        </is>
      </c>
    </row>
    <row r="638">
      <c r="A638" t="n">
        <v>10029946</v>
      </c>
      <c r="B638" t="inlineStr">
        <is>
          <t>ZFER</t>
        </is>
      </c>
      <c r="C638" t="inlineStr">
        <is>
          <t>1000</t>
        </is>
      </c>
      <c r="D638" t="inlineStr">
        <is>
          <t>M3</t>
        </is>
      </c>
      <c r="E638" t="n">
        <v>1000</v>
      </c>
      <c r="F638" t="inlineStr">
        <is>
          <t>TN</t>
        </is>
      </c>
      <c r="G638" t="n">
        <v>1494</v>
      </c>
      <c r="H638" t="inlineStr">
        <is>
          <t>Arena Triturada Andesita Malla 8</t>
        </is>
      </c>
    </row>
    <row r="639">
      <c r="A639" t="n">
        <v>10030010</v>
      </c>
      <c r="B639" t="inlineStr">
        <is>
          <t>ZFE3</t>
        </is>
      </c>
      <c r="C639" t="inlineStr">
        <is>
          <t>1000</t>
        </is>
      </c>
      <c r="D639" t="inlineStr">
        <is>
          <t>M3</t>
        </is>
      </c>
      <c r="E639" t="n">
        <v>1000</v>
      </c>
      <c r="F639" t="inlineStr">
        <is>
          <t>TN</t>
        </is>
      </c>
      <c r="G639" t="n">
        <v>1470</v>
      </c>
      <c r="H639" t="inlineStr">
        <is>
          <t>Grava Aluvial 3/8" Transmateriales</t>
        </is>
      </c>
    </row>
    <row r="640">
      <c r="A640" t="n">
        <v>10030634</v>
      </c>
      <c r="B640" t="inlineStr">
        <is>
          <t>ZFER</t>
        </is>
      </c>
      <c r="C640" t="inlineStr">
        <is>
          <t>1000</t>
        </is>
      </c>
      <c r="D640" t="inlineStr">
        <is>
          <t>M3</t>
        </is>
      </c>
      <c r="E640" t="n">
        <v>1000</v>
      </c>
      <c r="F640" t="inlineStr">
        <is>
          <t>TN</t>
        </is>
      </c>
      <c r="G640" t="n">
        <v>2400</v>
      </c>
      <c r="H640" t="inlineStr">
        <is>
          <t>Arena Clasificada Río 1813</t>
        </is>
      </c>
    </row>
    <row r="641">
      <c r="A641" t="n">
        <v>10030664</v>
      </c>
      <c r="B641" t="inlineStr">
        <is>
          <t>ZFER</t>
        </is>
      </c>
      <c r="C641" t="inlineStr">
        <is>
          <t>1000</t>
        </is>
      </c>
      <c r="D641" t="inlineStr">
        <is>
          <t>M3</t>
        </is>
      </c>
      <c r="E641" t="n">
        <v>1000</v>
      </c>
      <c r="F641" t="inlineStr">
        <is>
          <t>TN</t>
        </is>
      </c>
      <c r="G641" t="n">
        <v>1340</v>
      </c>
      <c r="H641" t="inlineStr">
        <is>
          <t>Grava Triturada Granito 40 mm - 1 1/2"</t>
        </is>
      </c>
    </row>
    <row r="642">
      <c r="A642" t="n">
        <v>10031020</v>
      </c>
      <c r="B642" t="inlineStr">
        <is>
          <t>ZFER</t>
        </is>
      </c>
      <c r="C642" t="inlineStr">
        <is>
          <t>1000</t>
        </is>
      </c>
      <c r="D642" t="inlineStr">
        <is>
          <t>M3</t>
        </is>
      </c>
      <c r="E642" t="n">
        <v>1000</v>
      </c>
      <c r="F642" t="inlineStr">
        <is>
          <t>TN</t>
        </is>
      </c>
      <c r="G642" t="n">
        <v>1670</v>
      </c>
      <c r="H642" t="inlineStr">
        <is>
          <t>Arena Gruesa Caliza Tayrona</t>
        </is>
      </c>
    </row>
    <row r="643">
      <c r="A643" t="n">
        <v>10031022</v>
      </c>
      <c r="B643" t="inlineStr">
        <is>
          <t>ZFER</t>
        </is>
      </c>
      <c r="C643" t="inlineStr">
        <is>
          <t>1000</t>
        </is>
      </c>
      <c r="D643" t="inlineStr">
        <is>
          <t>M3</t>
        </is>
      </c>
      <c r="E643" t="n">
        <v>1000</v>
      </c>
      <c r="F643" t="inlineStr">
        <is>
          <t>TN</t>
        </is>
      </c>
      <c r="G643" t="n">
        <v>1350</v>
      </c>
      <c r="H643" t="inlineStr">
        <is>
          <t>Balasto Triturado Basalto 8" a Finos</t>
        </is>
      </c>
    </row>
    <row r="644">
      <c r="A644" t="n">
        <v>10031041</v>
      </c>
      <c r="B644" t="inlineStr">
        <is>
          <t>ZFER</t>
        </is>
      </c>
      <c r="C644" t="inlineStr">
        <is>
          <t>1000</t>
        </is>
      </c>
      <c r="D644" t="inlineStr">
        <is>
          <t>M3</t>
        </is>
      </c>
      <c r="E644" t="n">
        <v>1000</v>
      </c>
      <c r="F644" t="inlineStr">
        <is>
          <t>TN</t>
        </is>
      </c>
      <c r="G644" t="n">
        <v>1137</v>
      </c>
      <c r="H644" t="inlineStr">
        <is>
          <t>Arena Triturada Andesita Malla 4 -Rec</t>
        </is>
      </c>
    </row>
    <row r="645">
      <c r="A645" t="n">
        <v>10031092</v>
      </c>
      <c r="B645" t="inlineStr">
        <is>
          <t>ZFER</t>
        </is>
      </c>
      <c r="C645" t="inlineStr">
        <is>
          <t>1000</t>
        </is>
      </c>
      <c r="D645" t="inlineStr">
        <is>
          <t>M3</t>
        </is>
      </c>
      <c r="E645" t="n">
        <v>1000</v>
      </c>
      <c r="F645" t="inlineStr">
        <is>
          <t>TN</t>
        </is>
      </c>
      <c r="G645" t="n">
        <v>1395</v>
      </c>
      <c r="H645" t="inlineStr">
        <is>
          <t>Grava Clasificada Río 13 mm - 1/2"</t>
        </is>
      </c>
    </row>
    <row r="646">
      <c r="A646" t="n">
        <v>10031155</v>
      </c>
      <c r="B646" t="inlineStr">
        <is>
          <t>ZFER</t>
        </is>
      </c>
      <c r="C646" t="inlineStr">
        <is>
          <t>1000</t>
        </is>
      </c>
      <c r="D646" t="inlineStr">
        <is>
          <t>M3</t>
        </is>
      </c>
      <c r="E646" t="n">
        <v>1000</v>
      </c>
      <c r="F646" t="inlineStr">
        <is>
          <t>TN</t>
        </is>
      </c>
      <c r="G646" t="n">
        <v>1643</v>
      </c>
      <c r="H646" t="inlineStr">
        <is>
          <t>Arena Triturada Caliza Malla 4</t>
        </is>
      </c>
    </row>
    <row r="647">
      <c r="A647" t="n">
        <v>10031158</v>
      </c>
      <c r="B647" t="inlineStr">
        <is>
          <t>ZFER</t>
        </is>
      </c>
      <c r="C647" t="inlineStr">
        <is>
          <t>1000</t>
        </is>
      </c>
      <c r="D647" t="inlineStr">
        <is>
          <t>M3</t>
        </is>
      </c>
      <c r="E647" t="n">
        <v>1000</v>
      </c>
      <c r="F647" t="inlineStr">
        <is>
          <t>TN</t>
        </is>
      </c>
      <c r="G647" t="n">
        <v>1356</v>
      </c>
      <c r="H647" t="inlineStr">
        <is>
          <t>Grava Triturada Caliza 20 mm - 3/4"</t>
        </is>
      </c>
    </row>
    <row r="648">
      <c r="A648" t="n">
        <v>10031379</v>
      </c>
      <c r="B648" t="inlineStr">
        <is>
          <t>ZFER</t>
        </is>
      </c>
      <c r="C648" t="inlineStr">
        <is>
          <t>1000</t>
        </is>
      </c>
      <c r="D648" t="inlineStr">
        <is>
          <t>M3</t>
        </is>
      </c>
      <c r="E648" t="n">
        <v>1000</v>
      </c>
      <c r="F648" t="inlineStr">
        <is>
          <t>TN</t>
        </is>
      </c>
      <c r="G648" t="n">
        <v>1591</v>
      </c>
      <c r="H648" t="inlineStr">
        <is>
          <t>No Clasificado Triturado Caliza</t>
        </is>
      </c>
    </row>
    <row r="649">
      <c r="A649" t="n">
        <v>10031434</v>
      </c>
      <c r="B649" t="inlineStr">
        <is>
          <t>ZFE3</t>
        </is>
      </c>
      <c r="C649" t="inlineStr">
        <is>
          <t>1000</t>
        </is>
      </c>
      <c r="D649" t="inlineStr">
        <is>
          <t>M3</t>
        </is>
      </c>
      <c r="E649" t="n">
        <v>1000</v>
      </c>
      <c r="F649" t="inlineStr">
        <is>
          <t>TN</t>
        </is>
      </c>
      <c r="G649" t="n">
        <v>1516</v>
      </c>
      <c r="H649" t="inlineStr">
        <is>
          <t>Arena Clasificada Río Malla 5</t>
        </is>
      </c>
    </row>
    <row r="650">
      <c r="A650" t="n">
        <v>10031595</v>
      </c>
      <c r="B650" t="inlineStr">
        <is>
          <t>ZFER</t>
        </is>
      </c>
      <c r="C650" t="inlineStr">
        <is>
          <t>1000</t>
        </is>
      </c>
      <c r="D650" t="inlineStr">
        <is>
          <t>M3</t>
        </is>
      </c>
      <c r="E650" t="n">
        <v>1000</v>
      </c>
      <c r="F650" t="inlineStr">
        <is>
          <t>TN</t>
        </is>
      </c>
      <c r="G650" t="n">
        <v>1373</v>
      </c>
      <c r="H650" t="inlineStr">
        <is>
          <t>Grava Triturada Caliza 8 mm - 5/16"</t>
        </is>
      </c>
    </row>
    <row r="651">
      <c r="A651" t="n">
        <v>10031606</v>
      </c>
      <c r="B651" t="inlineStr">
        <is>
          <t>ZFER</t>
        </is>
      </c>
      <c r="C651" t="inlineStr">
        <is>
          <t>1000</t>
        </is>
      </c>
      <c r="D651" t="inlineStr">
        <is>
          <t>M3</t>
        </is>
      </c>
      <c r="E651" t="n">
        <v>1000</v>
      </c>
      <c r="F651" t="inlineStr">
        <is>
          <t>TN</t>
        </is>
      </c>
      <c r="G651" t="n">
        <v>1122</v>
      </c>
      <c r="H651" t="inlineStr">
        <is>
          <t>Grava Triturada Andesita 10 mm -3/8"-Rec</t>
        </is>
      </c>
    </row>
    <row r="652">
      <c r="A652" t="n">
        <v>10031860</v>
      </c>
      <c r="B652" t="inlineStr">
        <is>
          <t>ZFE3</t>
        </is>
      </c>
      <c r="C652" t="inlineStr">
        <is>
          <t>1000</t>
        </is>
      </c>
      <c r="D652" t="inlineStr">
        <is>
          <t>M3</t>
        </is>
      </c>
      <c r="E652" t="n">
        <v>1000</v>
      </c>
      <c r="F652" t="inlineStr">
        <is>
          <t>TN</t>
        </is>
      </c>
      <c r="G652" t="n">
        <v>1360</v>
      </c>
      <c r="H652" t="inlineStr">
        <is>
          <t>GRAVA ALUVIAL 1/2" FLORESTA CX</t>
        </is>
      </c>
    </row>
    <row r="653">
      <c r="A653" t="n">
        <v>10031864</v>
      </c>
      <c r="B653" t="inlineStr">
        <is>
          <t>ZFER</t>
        </is>
      </c>
      <c r="C653" t="inlineStr">
        <is>
          <t>1000</t>
        </is>
      </c>
      <c r="D653" t="inlineStr">
        <is>
          <t>M3</t>
        </is>
      </c>
      <c r="E653" t="n">
        <v>1000</v>
      </c>
      <c r="F653" t="inlineStr">
        <is>
          <t>TN</t>
        </is>
      </c>
      <c r="G653" t="n">
        <v>1400</v>
      </c>
      <c r="H653" t="inlineStr">
        <is>
          <t>Arena Clasificada Río Malla 4</t>
        </is>
      </c>
    </row>
    <row r="654">
      <c r="A654" t="n">
        <v>10031870</v>
      </c>
      <c r="B654" t="inlineStr">
        <is>
          <t>ZFE3</t>
        </is>
      </c>
      <c r="C654" t="inlineStr">
        <is>
          <t>1000</t>
        </is>
      </c>
      <c r="D654" t="inlineStr">
        <is>
          <t>M3</t>
        </is>
      </c>
      <c r="E654" t="n">
        <v>1000</v>
      </c>
      <c r="F654" t="inlineStr">
        <is>
          <t>TN</t>
        </is>
      </c>
      <c r="G654" t="n">
        <v>1408</v>
      </c>
      <c r="H654" t="inlineStr">
        <is>
          <t>GRAVA ALUVIAL 1"  FLORESTA CX</t>
        </is>
      </c>
    </row>
    <row r="655">
      <c r="A655" t="n">
        <v>10031878</v>
      </c>
      <c r="B655" t="inlineStr">
        <is>
          <t>ZFER</t>
        </is>
      </c>
      <c r="C655" t="inlineStr">
        <is>
          <t>1000</t>
        </is>
      </c>
      <c r="D655" t="inlineStr">
        <is>
          <t>M3</t>
        </is>
      </c>
      <c r="E655" t="n">
        <v>1000</v>
      </c>
      <c r="F655" t="inlineStr">
        <is>
          <t>TN</t>
        </is>
      </c>
      <c r="G655" t="n">
        <v>1115</v>
      </c>
      <c r="H655" t="inlineStr">
        <is>
          <t>Grava Triturada Caliza 20 mm - 3/4"</t>
        </is>
      </c>
    </row>
    <row r="656">
      <c r="A656" t="n">
        <v>10031879</v>
      </c>
      <c r="B656" t="inlineStr">
        <is>
          <t>ZFER</t>
        </is>
      </c>
      <c r="C656" t="inlineStr">
        <is>
          <t>1000</t>
        </is>
      </c>
      <c r="D656" t="inlineStr">
        <is>
          <t>M3</t>
        </is>
      </c>
      <c r="E656" t="n">
        <v>1000</v>
      </c>
      <c r="F656" t="inlineStr">
        <is>
          <t>TN</t>
        </is>
      </c>
      <c r="G656" t="n">
        <v>2100</v>
      </c>
      <c r="H656" t="inlineStr">
        <is>
          <t>Grava Triturada Andesita 4" a 8""</t>
        </is>
      </c>
    </row>
    <row r="657">
      <c r="A657" t="n">
        <v>10032115</v>
      </c>
      <c r="B657" t="inlineStr">
        <is>
          <t>ZFER</t>
        </is>
      </c>
      <c r="C657" t="inlineStr">
        <is>
          <t>1000</t>
        </is>
      </c>
      <c r="D657" t="inlineStr">
        <is>
          <t>M3</t>
        </is>
      </c>
      <c r="E657" t="n">
        <v>1000</v>
      </c>
      <c r="F657" t="inlineStr">
        <is>
          <t>TN</t>
        </is>
      </c>
      <c r="G657" t="n">
        <v>1165</v>
      </c>
      <c r="H657" t="inlineStr">
        <is>
          <t>Grava Triturada Caliza 10 mm - 3/8"</t>
        </is>
      </c>
    </row>
    <row r="658">
      <c r="A658" t="n">
        <v>10032164</v>
      </c>
      <c r="B658" t="inlineStr">
        <is>
          <t>ZFER</t>
        </is>
      </c>
      <c r="C658" t="inlineStr">
        <is>
          <t>1000</t>
        </is>
      </c>
      <c r="D658" t="inlineStr">
        <is>
          <t>M3</t>
        </is>
      </c>
      <c r="E658" t="n">
        <v>1000</v>
      </c>
      <c r="F658" t="inlineStr">
        <is>
          <t>TN</t>
        </is>
      </c>
      <c r="G658" t="n">
        <v>1169</v>
      </c>
      <c r="H658" t="inlineStr">
        <is>
          <t>Grava Triturada Caliza 13 mm - 1/2"</t>
        </is>
      </c>
    </row>
    <row r="659">
      <c r="A659" t="n">
        <v>10032185</v>
      </c>
      <c r="B659" t="inlineStr">
        <is>
          <t>ZFER</t>
        </is>
      </c>
      <c r="C659" t="inlineStr">
        <is>
          <t>1000</t>
        </is>
      </c>
      <c r="D659" t="inlineStr">
        <is>
          <t>M3</t>
        </is>
      </c>
      <c r="E659" t="n">
        <v>100</v>
      </c>
      <c r="F659" t="inlineStr">
        <is>
          <t>TN</t>
        </is>
      </c>
      <c r="G659" t="n">
        <v>168</v>
      </c>
      <c r="H659" t="inlineStr">
        <is>
          <t>Arena Caliza Malla No 16</t>
        </is>
      </c>
    </row>
    <row r="660">
      <c r="A660" t="n">
        <v>10032325</v>
      </c>
      <c r="B660" t="inlineStr">
        <is>
          <t>ZFER</t>
        </is>
      </c>
      <c r="C660" t="inlineStr">
        <is>
          <t>1000</t>
        </is>
      </c>
      <c r="D660" t="inlineStr">
        <is>
          <t>M3</t>
        </is>
      </c>
      <c r="E660" t="n">
        <v>1000</v>
      </c>
      <c r="F660" t="inlineStr">
        <is>
          <t>TN</t>
        </is>
      </c>
      <c r="G660" t="n">
        <v>540</v>
      </c>
      <c r="H660" t="inlineStr">
        <is>
          <t>Grava Clasificada Volcanica 20 mm - 3/4"</t>
        </is>
      </c>
    </row>
    <row r="661">
      <c r="A661" t="n">
        <v>10032876</v>
      </c>
      <c r="B661" t="inlineStr">
        <is>
          <t>ZFER</t>
        </is>
      </c>
      <c r="C661" t="inlineStr">
        <is>
          <t>1000</t>
        </is>
      </c>
      <c r="D661" t="inlineStr">
        <is>
          <t>M3</t>
        </is>
      </c>
      <c r="E661" t="n">
        <v>1000</v>
      </c>
      <c r="F661" t="inlineStr">
        <is>
          <t>TN</t>
        </is>
      </c>
      <c r="G661" t="n">
        <v>1419</v>
      </c>
      <c r="H661" t="inlineStr">
        <is>
          <t>Grava Triturada Basalto 20 mm - 3/4"</t>
        </is>
      </c>
    </row>
    <row r="662">
      <c r="A662" t="n">
        <v>10032877</v>
      </c>
      <c r="B662" t="inlineStr">
        <is>
          <t>ZFER</t>
        </is>
      </c>
      <c r="C662" t="inlineStr">
        <is>
          <t>1000</t>
        </is>
      </c>
      <c r="D662" t="inlineStr">
        <is>
          <t>M3</t>
        </is>
      </c>
      <c r="E662" t="n">
        <v>1000</v>
      </c>
      <c r="F662" t="inlineStr">
        <is>
          <t>TN</t>
        </is>
      </c>
      <c r="G662" t="n">
        <v>1525</v>
      </c>
      <c r="H662" t="inlineStr">
        <is>
          <t>Arena Clasificada Río Malla 4</t>
        </is>
      </c>
    </row>
    <row r="663">
      <c r="A663" t="n">
        <v>10032932</v>
      </c>
      <c r="B663" t="inlineStr">
        <is>
          <t>ZFER</t>
        </is>
      </c>
      <c r="C663" t="inlineStr">
        <is>
          <t>1000</t>
        </is>
      </c>
      <c r="D663" t="inlineStr">
        <is>
          <t>M3</t>
        </is>
      </c>
      <c r="E663" t="n">
        <v>1000</v>
      </c>
      <c r="F663" t="inlineStr">
        <is>
          <t>TN</t>
        </is>
      </c>
      <c r="G663" t="n">
        <v>1167</v>
      </c>
      <c r="H663" t="inlineStr">
        <is>
          <t>Grava Triturada Caliza 20 mm - 3/4"</t>
        </is>
      </c>
    </row>
    <row r="664">
      <c r="A664" t="n">
        <v>10032933</v>
      </c>
      <c r="B664" t="inlineStr">
        <is>
          <t>ZFER</t>
        </is>
      </c>
      <c r="C664" t="inlineStr">
        <is>
          <t>1000</t>
        </is>
      </c>
      <c r="D664" t="inlineStr">
        <is>
          <t>M3</t>
        </is>
      </c>
      <c r="E664" t="n">
        <v>1000</v>
      </c>
      <c r="F664" t="inlineStr">
        <is>
          <t>TN</t>
        </is>
      </c>
      <c r="G664" t="n">
        <v>1108</v>
      </c>
      <c r="H664" t="inlineStr">
        <is>
          <t>Grava Triturada Caliza 40 mm -1 1/2"</t>
        </is>
      </c>
    </row>
    <row r="665">
      <c r="A665" t="n">
        <v>10032959</v>
      </c>
      <c r="B665" t="inlineStr">
        <is>
          <t>ZFER</t>
        </is>
      </c>
      <c r="C665" t="inlineStr">
        <is>
          <t>1000</t>
        </is>
      </c>
      <c r="D665" t="inlineStr">
        <is>
          <t>M3</t>
        </is>
      </c>
      <c r="E665" t="n">
        <v>1000</v>
      </c>
      <c r="F665" t="inlineStr">
        <is>
          <t>TN</t>
        </is>
      </c>
      <c r="G665" t="n">
        <v>1279</v>
      </c>
      <c r="H665" t="inlineStr">
        <is>
          <t>Grava Triturada Andesita 50 mm - 2</t>
        </is>
      </c>
    </row>
    <row r="666">
      <c r="A666" t="n">
        <v>10033488</v>
      </c>
      <c r="B666" t="inlineStr">
        <is>
          <t>ZFER</t>
        </is>
      </c>
      <c r="C666" t="inlineStr">
        <is>
          <t>1000</t>
        </is>
      </c>
      <c r="D666" t="inlineStr">
        <is>
          <t>M3</t>
        </is>
      </c>
      <c r="E666" t="n">
        <v>40</v>
      </c>
      <c r="F666" t="inlineStr">
        <is>
          <t>TN</t>
        </is>
      </c>
      <c r="G666" t="n">
        <v>57</v>
      </c>
      <c r="H666" t="inlineStr">
        <is>
          <t>Grava Triturada Caliza 10 mm - 3/8"</t>
        </is>
      </c>
    </row>
    <row r="667">
      <c r="A667" t="n">
        <v>10033503</v>
      </c>
      <c r="B667" t="inlineStr">
        <is>
          <t>ZFER</t>
        </is>
      </c>
      <c r="C667" t="inlineStr">
        <is>
          <t>1000</t>
        </is>
      </c>
      <c r="D667" t="inlineStr">
        <is>
          <t>M3</t>
        </is>
      </c>
      <c r="E667" t="n">
        <v>1000</v>
      </c>
      <c r="F667" t="inlineStr">
        <is>
          <t>TN</t>
        </is>
      </c>
      <c r="G667" t="n">
        <v>1515</v>
      </c>
      <c r="H667" t="inlineStr">
        <is>
          <t>Polvos Triturado Basalto 1/4" a Finos</t>
        </is>
      </c>
    </row>
    <row r="668">
      <c r="A668" t="n">
        <v>10033532</v>
      </c>
      <c r="B668" t="inlineStr">
        <is>
          <t>ZFER</t>
        </is>
      </c>
      <c r="C668" t="inlineStr">
        <is>
          <t>1000</t>
        </is>
      </c>
      <c r="D668" t="inlineStr">
        <is>
          <t>M3</t>
        </is>
      </c>
      <c r="E668" t="n">
        <v>1000</v>
      </c>
      <c r="F668" t="inlineStr">
        <is>
          <t>TN</t>
        </is>
      </c>
      <c r="G668" t="n">
        <v>1500</v>
      </c>
      <c r="H668" t="inlineStr">
        <is>
          <t>Polvo Triturado Río</t>
        </is>
      </c>
    </row>
    <row r="669">
      <c r="A669" t="n">
        <v>10034701</v>
      </c>
      <c r="B669" t="inlineStr">
        <is>
          <t>ZFER</t>
        </is>
      </c>
      <c r="C669" t="inlineStr">
        <is>
          <t>1000</t>
        </is>
      </c>
      <c r="D669" t="inlineStr">
        <is>
          <t>M3</t>
        </is>
      </c>
      <c r="E669" t="n">
        <v>1000</v>
      </c>
      <c r="F669" t="inlineStr">
        <is>
          <t>TN</t>
        </is>
      </c>
      <c r="G669" t="n">
        <v>1375</v>
      </c>
      <c r="H669" t="inlineStr">
        <is>
          <t>Grava Triturada Basalto  20 mm - 3/4</t>
        </is>
      </c>
    </row>
    <row r="670">
      <c r="A670" t="n">
        <v>10034969</v>
      </c>
      <c r="B670" t="inlineStr">
        <is>
          <t>ZFER</t>
        </is>
      </c>
      <c r="C670" t="inlineStr">
        <is>
          <t>1000</t>
        </is>
      </c>
      <c r="D670" t="inlineStr">
        <is>
          <t>M3</t>
        </is>
      </c>
      <c r="E670" t="n">
        <v>1000</v>
      </c>
      <c r="F670" t="inlineStr">
        <is>
          <t>TN</t>
        </is>
      </c>
      <c r="G670" t="n">
        <v>1580</v>
      </c>
      <c r="H670" t="inlineStr">
        <is>
          <t>Arena Clasificada Río Malla 4 Lavado</t>
        </is>
      </c>
    </row>
    <row r="671">
      <c r="A671" t="n">
        <v>10035042</v>
      </c>
      <c r="B671" t="inlineStr">
        <is>
          <t>ZFER</t>
        </is>
      </c>
      <c r="C671" t="inlineStr">
        <is>
          <t>1000</t>
        </is>
      </c>
      <c r="D671" t="inlineStr">
        <is>
          <t>M3</t>
        </is>
      </c>
      <c r="E671" t="n">
        <v>1000</v>
      </c>
      <c r="F671" t="inlineStr">
        <is>
          <t>TN</t>
        </is>
      </c>
      <c r="G671" t="n">
        <v>1267</v>
      </c>
      <c r="H671" t="inlineStr">
        <is>
          <t>Arena Triturada Andesita Malla 4</t>
        </is>
      </c>
    </row>
    <row r="672">
      <c r="A672" t="n">
        <v>10035045</v>
      </c>
      <c r="B672" t="inlineStr">
        <is>
          <t>ZFER</t>
        </is>
      </c>
      <c r="C672" t="inlineStr">
        <is>
          <t>1000</t>
        </is>
      </c>
      <c r="D672" t="inlineStr">
        <is>
          <t>M3</t>
        </is>
      </c>
      <c r="E672" t="n">
        <v>1000</v>
      </c>
      <c r="F672" t="inlineStr">
        <is>
          <t>TN</t>
        </is>
      </c>
      <c r="G672" t="n">
        <v>1545</v>
      </c>
      <c r="H672" t="inlineStr">
        <is>
          <t>Grava Clasificada Río 20 mm - 3/4" -Crib</t>
        </is>
      </c>
    </row>
    <row r="673">
      <c r="A673" t="n">
        <v>10035053</v>
      </c>
      <c r="B673" t="inlineStr">
        <is>
          <t>ZFER</t>
        </is>
      </c>
      <c r="C673" t="inlineStr">
        <is>
          <t>1000</t>
        </is>
      </c>
      <c r="D673" t="inlineStr">
        <is>
          <t>M3</t>
        </is>
      </c>
      <c r="E673" t="n">
        <v>1000</v>
      </c>
      <c r="F673" t="inlineStr">
        <is>
          <t>TN</t>
        </is>
      </c>
      <c r="G673" t="n">
        <v>1337</v>
      </c>
      <c r="H673" t="inlineStr">
        <is>
          <t>Grava Triturada Basalto  40 mm - 1 1/2</t>
        </is>
      </c>
    </row>
    <row r="674">
      <c r="A674" t="n">
        <v>10036203</v>
      </c>
      <c r="B674" t="inlineStr">
        <is>
          <t>ZFE3</t>
        </is>
      </c>
      <c r="C674" t="inlineStr">
        <is>
          <t>1000</t>
        </is>
      </c>
      <c r="D674" t="inlineStr">
        <is>
          <t>M3</t>
        </is>
      </c>
      <c r="E674" t="n">
        <v>1000</v>
      </c>
      <c r="F674" t="inlineStr">
        <is>
          <t>TN</t>
        </is>
      </c>
      <c r="G674" t="n">
        <v>1622</v>
      </c>
      <c r="H674" t="inlineStr">
        <is>
          <t>Arena Fina Rinagui</t>
        </is>
      </c>
    </row>
    <row r="675">
      <c r="A675" t="n">
        <v>10036239</v>
      </c>
      <c r="B675" t="inlineStr">
        <is>
          <t>ZFER</t>
        </is>
      </c>
      <c r="C675" t="inlineStr">
        <is>
          <t>1000</t>
        </is>
      </c>
      <c r="D675" t="inlineStr">
        <is>
          <t>M3</t>
        </is>
      </c>
      <c r="E675" t="n">
        <v>1000</v>
      </c>
      <c r="F675" t="inlineStr">
        <is>
          <t>TN</t>
        </is>
      </c>
      <c r="G675" t="n">
        <v>1366</v>
      </c>
      <c r="H675" t="inlineStr">
        <is>
          <t>Grava Triturada Granito 10 mm - 3/8"</t>
        </is>
      </c>
    </row>
    <row r="676">
      <c r="A676" t="n">
        <v>10036355</v>
      </c>
      <c r="B676" t="inlineStr">
        <is>
          <t>ZFER</t>
        </is>
      </c>
      <c r="C676" t="inlineStr">
        <is>
          <t>1000</t>
        </is>
      </c>
      <c r="D676" t="inlineStr">
        <is>
          <t>M3</t>
        </is>
      </c>
      <c r="E676" t="n">
        <v>1000</v>
      </c>
      <c r="F676" t="inlineStr">
        <is>
          <t>TN</t>
        </is>
      </c>
      <c r="G676" t="n">
        <v>1362</v>
      </c>
      <c r="H676" t="inlineStr">
        <is>
          <t>Arena Triturada Andesita Malla 4 - Dist</t>
        </is>
      </c>
    </row>
    <row r="677">
      <c r="A677" t="n">
        <v>10036356</v>
      </c>
      <c r="B677" t="inlineStr">
        <is>
          <t>ZFER</t>
        </is>
      </c>
      <c r="C677" t="inlineStr">
        <is>
          <t>1000</t>
        </is>
      </c>
      <c r="D677" t="inlineStr">
        <is>
          <t>M3</t>
        </is>
      </c>
      <c r="E677" t="n">
        <v>1000</v>
      </c>
      <c r="F677" t="inlineStr">
        <is>
          <t>TN</t>
        </is>
      </c>
      <c r="G677" t="n">
        <v>1270</v>
      </c>
      <c r="H677" t="inlineStr">
        <is>
          <t>Grava Triturada Andesita 20 mm-3/4"-Dist</t>
        </is>
      </c>
    </row>
    <row r="678">
      <c r="A678" t="n">
        <v>10036357</v>
      </c>
      <c r="B678" t="inlineStr">
        <is>
          <t>ZFER</t>
        </is>
      </c>
      <c r="C678" t="inlineStr">
        <is>
          <t>1000</t>
        </is>
      </c>
      <c r="D678" t="inlineStr">
        <is>
          <t>M3</t>
        </is>
      </c>
      <c r="E678" t="n">
        <v>1000</v>
      </c>
      <c r="F678" t="inlineStr">
        <is>
          <t>TN</t>
        </is>
      </c>
      <c r="G678" t="n">
        <v>1528</v>
      </c>
      <c r="H678" t="inlineStr">
        <is>
          <t>Arena Triturada Basalto Malla 4 - Block</t>
        </is>
      </c>
    </row>
    <row r="679">
      <c r="A679" t="n">
        <v>10036488</v>
      </c>
      <c r="B679" t="inlineStr">
        <is>
          <t>ZFER</t>
        </is>
      </c>
      <c r="C679" t="inlineStr">
        <is>
          <t>1000</t>
        </is>
      </c>
      <c r="D679" t="inlineStr">
        <is>
          <t>M3</t>
        </is>
      </c>
      <c r="E679" t="n">
        <v>1000</v>
      </c>
      <c r="F679" t="inlineStr">
        <is>
          <t>TN</t>
        </is>
      </c>
      <c r="G679" t="n">
        <v>1780</v>
      </c>
      <c r="H679" t="inlineStr">
        <is>
          <t>Base H Trit Caliza 3/4" a Finos</t>
        </is>
      </c>
    </row>
    <row r="680">
      <c r="A680" t="n">
        <v>10036489</v>
      </c>
      <c r="B680" t="inlineStr">
        <is>
          <t>ZFER</t>
        </is>
      </c>
      <c r="C680" t="inlineStr">
        <is>
          <t>1000</t>
        </is>
      </c>
      <c r="D680" t="inlineStr">
        <is>
          <t>M3</t>
        </is>
      </c>
      <c r="E680" t="n">
        <v>1000</v>
      </c>
      <c r="F680" t="inlineStr">
        <is>
          <t>TN</t>
        </is>
      </c>
      <c r="G680" t="n">
        <v>1780</v>
      </c>
      <c r="H680" t="inlineStr">
        <is>
          <t>Base H Trit Caliza Hum 3/4" a Finos</t>
        </is>
      </c>
    </row>
    <row r="681">
      <c r="A681" t="n">
        <v>10036580</v>
      </c>
      <c r="B681" t="inlineStr">
        <is>
          <t>ZFER</t>
        </is>
      </c>
      <c r="C681" t="inlineStr">
        <is>
          <t>1000</t>
        </is>
      </c>
      <c r="D681" t="inlineStr">
        <is>
          <t>M3</t>
        </is>
      </c>
      <c r="E681" t="n">
        <v>1000</v>
      </c>
      <c r="F681" t="inlineStr">
        <is>
          <t>TN</t>
        </is>
      </c>
      <c r="G681" t="n">
        <v>1780</v>
      </c>
      <c r="H681" t="inlineStr">
        <is>
          <t>Base H Trit Caliza Hum 1 1/2" a Finos</t>
        </is>
      </c>
    </row>
    <row r="682">
      <c r="A682" t="n">
        <v>10036581</v>
      </c>
      <c r="B682" t="inlineStr">
        <is>
          <t>ZFER</t>
        </is>
      </c>
      <c r="C682" t="inlineStr">
        <is>
          <t>1000</t>
        </is>
      </c>
      <c r="D682" t="inlineStr">
        <is>
          <t>M3</t>
        </is>
      </c>
      <c r="E682" t="n">
        <v>1000</v>
      </c>
      <c r="F682" t="inlineStr">
        <is>
          <t>TN</t>
        </is>
      </c>
      <c r="G682" t="n">
        <v>1780</v>
      </c>
      <c r="H682" t="inlineStr">
        <is>
          <t>Base H Trit Caliza Cem 3% 3/4" a Finos</t>
        </is>
      </c>
    </row>
    <row r="683">
      <c r="A683" t="n">
        <v>10036582</v>
      </c>
      <c r="B683" t="inlineStr">
        <is>
          <t>ZFER</t>
        </is>
      </c>
      <c r="C683" t="inlineStr">
        <is>
          <t>1000</t>
        </is>
      </c>
      <c r="D683" t="inlineStr">
        <is>
          <t>M3</t>
        </is>
      </c>
      <c r="E683" t="n">
        <v>1000</v>
      </c>
      <c r="F683" t="inlineStr">
        <is>
          <t>TN</t>
        </is>
      </c>
      <c r="G683" t="n">
        <v>1780</v>
      </c>
      <c r="H683" t="inlineStr">
        <is>
          <t>Base H Trit Caliza Cem 3% 1 1/2" a Finos</t>
        </is>
      </c>
    </row>
    <row r="684">
      <c r="A684" t="n">
        <v>10036583</v>
      </c>
      <c r="B684" t="inlineStr">
        <is>
          <t>ZFER</t>
        </is>
      </c>
      <c r="C684" t="inlineStr">
        <is>
          <t>1000</t>
        </is>
      </c>
      <c r="D684" t="inlineStr">
        <is>
          <t>M3</t>
        </is>
      </c>
      <c r="E684" t="n">
        <v>1000</v>
      </c>
      <c r="F684" t="inlineStr">
        <is>
          <t>TN</t>
        </is>
      </c>
      <c r="G684" t="n">
        <v>1143</v>
      </c>
      <c r="H684" t="inlineStr">
        <is>
          <t>Grava Triturada Caliza 25 mm -1"</t>
        </is>
      </c>
    </row>
    <row r="685">
      <c r="A685" t="n">
        <v>10036584</v>
      </c>
      <c r="B685" t="inlineStr">
        <is>
          <t>ZFER</t>
        </is>
      </c>
      <c r="C685" t="inlineStr">
        <is>
          <t>1000</t>
        </is>
      </c>
      <c r="D685" t="inlineStr">
        <is>
          <t>M3</t>
        </is>
      </c>
      <c r="E685" t="n">
        <v>1000</v>
      </c>
      <c r="F685" t="inlineStr">
        <is>
          <t>TN</t>
        </is>
      </c>
      <c r="G685" t="n">
        <v>1470</v>
      </c>
      <c r="H685" t="inlineStr">
        <is>
          <t>Grava Triturada Caliza 10 mm - 3/8"</t>
        </is>
      </c>
    </row>
    <row r="686">
      <c r="A686" t="n">
        <v>10036759</v>
      </c>
      <c r="B686" t="inlineStr">
        <is>
          <t>ZFER</t>
        </is>
      </c>
      <c r="C686" t="inlineStr">
        <is>
          <t>1000</t>
        </is>
      </c>
      <c r="D686" t="inlineStr">
        <is>
          <t>M3</t>
        </is>
      </c>
      <c r="E686" t="n">
        <v>1000</v>
      </c>
      <c r="F686" t="inlineStr">
        <is>
          <t>TN</t>
        </is>
      </c>
      <c r="G686" t="n">
        <v>1398</v>
      </c>
      <c r="H686" t="inlineStr">
        <is>
          <t>GRAVA BAS 20 MM (3/4")</t>
        </is>
      </c>
    </row>
    <row r="687">
      <c r="A687" t="n">
        <v>10037590</v>
      </c>
      <c r="B687" t="inlineStr">
        <is>
          <t>ZFER</t>
        </is>
      </c>
      <c r="C687" t="inlineStr">
        <is>
          <t>1000</t>
        </is>
      </c>
      <c r="D687" t="inlineStr">
        <is>
          <t>M3</t>
        </is>
      </c>
      <c r="E687" t="n">
        <v>1000</v>
      </c>
      <c r="F687" t="inlineStr">
        <is>
          <t>TN</t>
        </is>
      </c>
      <c r="G687" t="n">
        <v>1262</v>
      </c>
      <c r="H687" t="inlineStr">
        <is>
          <t>Grava Triturada Andesita 13 mm - 1/2"</t>
        </is>
      </c>
    </row>
    <row r="688">
      <c r="A688" t="n">
        <v>10037830</v>
      </c>
      <c r="B688" t="inlineStr">
        <is>
          <t>ZFER</t>
        </is>
      </c>
      <c r="C688" t="inlineStr">
        <is>
          <t>1000</t>
        </is>
      </c>
      <c r="D688" t="inlineStr">
        <is>
          <t>M3</t>
        </is>
      </c>
      <c r="E688" t="n">
        <v>1000</v>
      </c>
      <c r="F688" t="inlineStr">
        <is>
          <t>TN</t>
        </is>
      </c>
      <c r="G688" t="n">
        <v>1400</v>
      </c>
      <c r="H688" t="inlineStr">
        <is>
          <t>GRAVA BAS 40 MM (1 1/2")</t>
        </is>
      </c>
    </row>
    <row r="689">
      <c r="A689" t="n">
        <v>10037884</v>
      </c>
      <c r="B689" t="inlineStr">
        <is>
          <t>ZFE3</t>
        </is>
      </c>
      <c r="C689" t="inlineStr">
        <is>
          <t>1000</t>
        </is>
      </c>
      <c r="D689" t="inlineStr">
        <is>
          <t>M3</t>
        </is>
      </c>
      <c r="E689" t="n">
        <v>1000</v>
      </c>
      <c r="F689" t="inlineStr">
        <is>
          <t>TN</t>
        </is>
      </c>
      <c r="G689" t="n">
        <v>1339</v>
      </c>
      <c r="H689" t="inlineStr">
        <is>
          <t>Grava Triturada Basalto  20 mm - 3/4"</t>
        </is>
      </c>
    </row>
    <row r="690">
      <c r="A690" t="n">
        <v>10037885</v>
      </c>
      <c r="B690" t="inlineStr">
        <is>
          <t>ZFE3</t>
        </is>
      </c>
      <c r="C690" t="inlineStr">
        <is>
          <t>1000</t>
        </is>
      </c>
      <c r="D690" t="inlineStr">
        <is>
          <t>M3</t>
        </is>
      </c>
      <c r="E690" t="n">
        <v>1000</v>
      </c>
      <c r="F690" t="inlineStr">
        <is>
          <t>TN</t>
        </is>
      </c>
      <c r="G690" t="n">
        <v>1349</v>
      </c>
      <c r="H690" t="inlineStr">
        <is>
          <t>Grava Triturada Basalto  40 mm - 1 1/2"</t>
        </is>
      </c>
    </row>
    <row r="691">
      <c r="A691" t="n">
        <v>10037886</v>
      </c>
      <c r="B691" t="inlineStr">
        <is>
          <t>ZFE3</t>
        </is>
      </c>
      <c r="C691" t="inlineStr">
        <is>
          <t>1000</t>
        </is>
      </c>
      <c r="D691" t="inlineStr">
        <is>
          <t>M3</t>
        </is>
      </c>
      <c r="E691" t="n">
        <v>1000</v>
      </c>
      <c r="F691" t="inlineStr">
        <is>
          <t>TN</t>
        </is>
      </c>
      <c r="G691" t="n">
        <v>1399</v>
      </c>
      <c r="H691" t="inlineStr">
        <is>
          <t>Arena Triturada Basalto  Malla 4</t>
        </is>
      </c>
    </row>
    <row r="692">
      <c r="A692" t="n">
        <v>10037912</v>
      </c>
      <c r="B692" t="inlineStr">
        <is>
          <t>ZFE3</t>
        </is>
      </c>
      <c r="C692" t="inlineStr">
        <is>
          <t>1000</t>
        </is>
      </c>
      <c r="D692" t="inlineStr">
        <is>
          <t>M3</t>
        </is>
      </c>
      <c r="E692" t="n">
        <v>1000</v>
      </c>
      <c r="F692" t="inlineStr">
        <is>
          <t>TN</t>
        </is>
      </c>
      <c r="G692" t="n">
        <v>1398</v>
      </c>
      <c r="H692" t="inlineStr">
        <is>
          <t>Grava Clasificada Río 13 mm - 1/2"</t>
        </is>
      </c>
    </row>
    <row r="693">
      <c r="A693" t="n">
        <v>10037960</v>
      </c>
      <c r="B693" t="inlineStr">
        <is>
          <t>ZFE3</t>
        </is>
      </c>
      <c r="C693" t="inlineStr">
        <is>
          <t>1000</t>
        </is>
      </c>
      <c r="D693" t="inlineStr">
        <is>
          <t>M3</t>
        </is>
      </c>
      <c r="E693" t="n">
        <v>1000</v>
      </c>
      <c r="F693" t="inlineStr">
        <is>
          <t>TN</t>
        </is>
      </c>
      <c r="G693" t="n">
        <v>1780</v>
      </c>
      <c r="H693" t="inlineStr">
        <is>
          <t>Base H Trit Caliza Hum 3/4" a Finos</t>
        </is>
      </c>
    </row>
    <row r="694">
      <c r="A694" t="n">
        <v>10037961</v>
      </c>
      <c r="B694" t="inlineStr">
        <is>
          <t>ZFE3</t>
        </is>
      </c>
      <c r="C694" t="inlineStr">
        <is>
          <t>1000</t>
        </is>
      </c>
      <c r="D694" t="inlineStr">
        <is>
          <t>M3</t>
        </is>
      </c>
      <c r="E694" t="n">
        <v>1000</v>
      </c>
      <c r="F694" t="inlineStr">
        <is>
          <t>TN</t>
        </is>
      </c>
      <c r="G694" t="n">
        <v>1780</v>
      </c>
      <c r="H694" t="inlineStr">
        <is>
          <t>Base H Trit Caliza Hum 1 1/2" a Finos</t>
        </is>
      </c>
    </row>
    <row r="695">
      <c r="A695" t="n">
        <v>10037962</v>
      </c>
      <c r="B695" t="inlineStr">
        <is>
          <t>ZFE3</t>
        </is>
      </c>
      <c r="C695" t="inlineStr">
        <is>
          <t>1000</t>
        </is>
      </c>
      <c r="D695" t="inlineStr">
        <is>
          <t>M3</t>
        </is>
      </c>
      <c r="E695" t="n">
        <v>1000</v>
      </c>
      <c r="F695" t="inlineStr">
        <is>
          <t>TN</t>
        </is>
      </c>
      <c r="G695" t="n">
        <v>1780</v>
      </c>
      <c r="H695" t="inlineStr">
        <is>
          <t>Base H Trit Caliza Cem 3% 3/4" a Finos</t>
        </is>
      </c>
    </row>
    <row r="696">
      <c r="A696" t="n">
        <v>10037963</v>
      </c>
      <c r="B696" t="inlineStr">
        <is>
          <t>ZFE3</t>
        </is>
      </c>
      <c r="C696" t="inlineStr">
        <is>
          <t>1000</t>
        </is>
      </c>
      <c r="D696" t="inlineStr">
        <is>
          <t>M3</t>
        </is>
      </c>
      <c r="E696" t="n">
        <v>1000</v>
      </c>
      <c r="F696" t="inlineStr">
        <is>
          <t>TN</t>
        </is>
      </c>
      <c r="G696" t="n">
        <v>1780</v>
      </c>
      <c r="H696" t="inlineStr">
        <is>
          <t>Base H Trit Caliza Cem 3% 1 1/2" a Finos</t>
        </is>
      </c>
    </row>
    <row r="697">
      <c r="A697" t="n">
        <v>10037964</v>
      </c>
      <c r="B697" t="inlineStr">
        <is>
          <t>ZFE3</t>
        </is>
      </c>
      <c r="C697" t="inlineStr">
        <is>
          <t>1000</t>
        </is>
      </c>
      <c r="D697" t="inlineStr">
        <is>
          <t>M3</t>
        </is>
      </c>
      <c r="E697" t="n">
        <v>1000</v>
      </c>
      <c r="F697" t="inlineStr">
        <is>
          <t>TN</t>
        </is>
      </c>
      <c r="G697" t="n">
        <v>1430</v>
      </c>
      <c r="H697" t="inlineStr">
        <is>
          <t>Grava Triturada Caliza 20 mm - 3/4"</t>
        </is>
      </c>
    </row>
    <row r="698">
      <c r="A698" t="n">
        <v>10037965</v>
      </c>
      <c r="B698" t="inlineStr">
        <is>
          <t>ZFE3</t>
        </is>
      </c>
      <c r="C698" t="inlineStr">
        <is>
          <t>1000</t>
        </is>
      </c>
      <c r="D698" t="inlineStr">
        <is>
          <t>M3</t>
        </is>
      </c>
      <c r="E698" t="n">
        <v>1000</v>
      </c>
      <c r="F698" t="inlineStr">
        <is>
          <t>TN</t>
        </is>
      </c>
      <c r="G698" t="n">
        <v>1739</v>
      </c>
      <c r="H698" t="inlineStr">
        <is>
          <t>Arena Triturada Caliza Malla 4</t>
        </is>
      </c>
    </row>
    <row r="699">
      <c r="A699" t="n">
        <v>10037966</v>
      </c>
      <c r="B699" t="inlineStr">
        <is>
          <t>ZFE3</t>
        </is>
      </c>
      <c r="C699" t="inlineStr">
        <is>
          <t>1000</t>
        </is>
      </c>
      <c r="D699" t="inlineStr">
        <is>
          <t>M3</t>
        </is>
      </c>
      <c r="E699" t="n">
        <v>1000</v>
      </c>
      <c r="F699" t="inlineStr">
        <is>
          <t>TN</t>
        </is>
      </c>
      <c r="G699" t="n">
        <v>1698</v>
      </c>
      <c r="H699" t="inlineStr">
        <is>
          <t>No Clasificado Triturado Caliza</t>
        </is>
      </c>
    </row>
    <row r="700">
      <c r="A700" t="n">
        <v>10038021</v>
      </c>
      <c r="B700" t="inlineStr">
        <is>
          <t>ZFE3</t>
        </is>
      </c>
      <c r="C700" t="inlineStr">
        <is>
          <t>1000</t>
        </is>
      </c>
      <c r="D700" t="inlineStr">
        <is>
          <t>M3</t>
        </is>
      </c>
      <c r="E700" t="n">
        <v>1000</v>
      </c>
      <c r="F700" t="inlineStr">
        <is>
          <t>TN</t>
        </is>
      </c>
      <c r="G700" t="n">
        <v>1780</v>
      </c>
      <c r="H700" t="inlineStr">
        <is>
          <t>Base H Trit Caliza Cem 6% 1 1/2" a Finos</t>
        </is>
      </c>
    </row>
    <row r="701">
      <c r="A701" t="n">
        <v>10038365</v>
      </c>
      <c r="B701" t="inlineStr">
        <is>
          <t>ZFE3</t>
        </is>
      </c>
      <c r="C701" t="inlineStr">
        <is>
          <t>1000</t>
        </is>
      </c>
      <c r="D701" t="inlineStr">
        <is>
          <t>M3</t>
        </is>
      </c>
      <c r="E701" t="n">
        <v>1000</v>
      </c>
      <c r="F701" t="inlineStr">
        <is>
          <t>TN</t>
        </is>
      </c>
      <c r="G701" t="n">
        <v>1762</v>
      </c>
      <c r="H701" t="inlineStr">
        <is>
          <t>Sub-base Triturado Caliza 2 1/2" a Finos</t>
        </is>
      </c>
    </row>
    <row r="702">
      <c r="A702" t="n">
        <v>10038625</v>
      </c>
      <c r="B702" t="inlineStr">
        <is>
          <t>ZFE3</t>
        </is>
      </c>
      <c r="C702" t="inlineStr">
        <is>
          <t>1000</t>
        </is>
      </c>
      <c r="D702" t="inlineStr">
        <is>
          <t>M3</t>
        </is>
      </c>
      <c r="E702" t="n">
        <v>1000</v>
      </c>
      <c r="F702" t="inlineStr">
        <is>
          <t>TN</t>
        </is>
      </c>
      <c r="G702" t="n">
        <v>1361</v>
      </c>
      <c r="H702" t="inlineStr">
        <is>
          <t>PIEDRA NO.56 (1 - 3/8") ROCK CO.</t>
        </is>
      </c>
    </row>
    <row r="703">
      <c r="A703" t="n">
        <v>10038627</v>
      </c>
      <c r="B703" t="inlineStr">
        <is>
          <t>ZFE3</t>
        </is>
      </c>
      <c r="C703" t="inlineStr">
        <is>
          <t>1000</t>
        </is>
      </c>
      <c r="D703" t="inlineStr">
        <is>
          <t>M3</t>
        </is>
      </c>
      <c r="E703" t="n">
        <v>1000</v>
      </c>
      <c r="F703" t="inlineStr">
        <is>
          <t>TN</t>
        </is>
      </c>
      <c r="G703" t="n">
        <v>1361</v>
      </c>
      <c r="H703" t="inlineStr">
        <is>
          <t>PIEDRA NO.56 (1 - 3/8") ROCK</t>
        </is>
      </c>
    </row>
    <row r="704">
      <c r="A704" t="n">
        <v>10038659</v>
      </c>
      <c r="B704" t="inlineStr">
        <is>
          <t>ZFE3</t>
        </is>
      </c>
      <c r="C704" t="inlineStr">
        <is>
          <t>1000</t>
        </is>
      </c>
      <c r="D704" t="inlineStr">
        <is>
          <t>M3</t>
        </is>
      </c>
      <c r="E704" t="n">
        <v>1000</v>
      </c>
      <c r="F704" t="inlineStr">
        <is>
          <t>TN</t>
        </is>
      </c>
      <c r="G704" t="n">
        <v>1560</v>
      </c>
      <c r="H704" t="inlineStr">
        <is>
          <t>Grava Triturada Caliza 40 mm - 1 1/2"</t>
        </is>
      </c>
    </row>
    <row r="705">
      <c r="A705" t="n">
        <v>10038935</v>
      </c>
      <c r="B705" t="inlineStr">
        <is>
          <t>ZFE3</t>
        </is>
      </c>
      <c r="C705" t="inlineStr">
        <is>
          <t>1000</t>
        </is>
      </c>
      <c r="D705" t="inlineStr">
        <is>
          <t>M3</t>
        </is>
      </c>
      <c r="E705" t="n">
        <v>1000</v>
      </c>
      <c r="F705" t="inlineStr">
        <is>
          <t>TN</t>
        </is>
      </c>
      <c r="G705" t="n">
        <v>1637</v>
      </c>
      <c r="H705" t="inlineStr">
        <is>
          <t>Arena Clasificada Río Malla 4</t>
        </is>
      </c>
    </row>
    <row r="706">
      <c r="A706" t="n">
        <v>10038936</v>
      </c>
      <c r="B706" t="inlineStr">
        <is>
          <t>ZFE3</t>
        </is>
      </c>
      <c r="C706" t="inlineStr">
        <is>
          <t>1000</t>
        </is>
      </c>
      <c r="D706" t="inlineStr">
        <is>
          <t>M3</t>
        </is>
      </c>
      <c r="E706" t="n">
        <v>1000</v>
      </c>
      <c r="F706" t="inlineStr">
        <is>
          <t>TN</t>
        </is>
      </c>
      <c r="G706" t="n">
        <v>1661</v>
      </c>
      <c r="H706" t="inlineStr">
        <is>
          <t>Grava Clasificada Río  20 mm - 3/4"</t>
        </is>
      </c>
    </row>
    <row r="707">
      <c r="A707" t="n">
        <v>10038940</v>
      </c>
      <c r="B707" t="inlineStr">
        <is>
          <t>ZFE3</t>
        </is>
      </c>
      <c r="C707" t="inlineStr">
        <is>
          <t>1000</t>
        </is>
      </c>
      <c r="D707" t="inlineStr">
        <is>
          <t>M3</t>
        </is>
      </c>
      <c r="E707" t="n">
        <v>1000</v>
      </c>
      <c r="F707" t="inlineStr">
        <is>
          <t>TN</t>
        </is>
      </c>
      <c r="G707" t="n">
        <v>1560</v>
      </c>
      <c r="H707" t="inlineStr">
        <is>
          <t>Sello Triturado Caliza 6MM - 1/4"</t>
        </is>
      </c>
    </row>
    <row r="708">
      <c r="A708" t="n">
        <v>10038941</v>
      </c>
      <c r="B708" t="inlineStr">
        <is>
          <t>ZFE3</t>
        </is>
      </c>
      <c r="C708" t="inlineStr">
        <is>
          <t>1000</t>
        </is>
      </c>
      <c r="D708" t="inlineStr">
        <is>
          <t>M3</t>
        </is>
      </c>
      <c r="E708" t="n">
        <v>1000</v>
      </c>
      <c r="F708" t="inlineStr">
        <is>
          <t>TN</t>
        </is>
      </c>
      <c r="G708" t="n">
        <v>1880</v>
      </c>
      <c r="H708" t="inlineStr">
        <is>
          <t>Desperdicio Triturado Caliza</t>
        </is>
      </c>
    </row>
    <row r="709">
      <c r="A709" t="n">
        <v>10038942</v>
      </c>
      <c r="B709" t="inlineStr">
        <is>
          <t>ZFE3</t>
        </is>
      </c>
      <c r="C709" t="inlineStr">
        <is>
          <t>1000</t>
        </is>
      </c>
      <c r="D709" t="inlineStr">
        <is>
          <t>M3</t>
        </is>
      </c>
      <c r="E709" t="n">
        <v>1000</v>
      </c>
      <c r="F709" t="inlineStr">
        <is>
          <t>TN</t>
        </is>
      </c>
      <c r="G709" t="n">
        <v>1629</v>
      </c>
      <c r="H709" t="inlineStr">
        <is>
          <t>Arena Triturada Caliza Malla 8</t>
        </is>
      </c>
    </row>
    <row r="710">
      <c r="A710" t="n">
        <v>10038943</v>
      </c>
      <c r="B710" t="inlineStr">
        <is>
          <t>ZFE3</t>
        </is>
      </c>
      <c r="C710" t="inlineStr">
        <is>
          <t>1000</t>
        </is>
      </c>
      <c r="D710" t="inlineStr">
        <is>
          <t>M3</t>
        </is>
      </c>
      <c r="E710" t="n">
        <v>1000</v>
      </c>
      <c r="F710" t="inlineStr">
        <is>
          <t>TN</t>
        </is>
      </c>
      <c r="G710" t="n">
        <v>1610</v>
      </c>
      <c r="H710" t="inlineStr">
        <is>
          <t>Arena Triturada Caliza Malla 4</t>
        </is>
      </c>
    </row>
    <row r="711">
      <c r="A711" t="n">
        <v>10038945</v>
      </c>
      <c r="B711" t="inlineStr">
        <is>
          <t>ZFE3</t>
        </is>
      </c>
      <c r="C711" t="inlineStr">
        <is>
          <t>1000</t>
        </is>
      </c>
      <c r="D711" t="inlineStr">
        <is>
          <t>M3</t>
        </is>
      </c>
      <c r="E711" t="n">
        <v>1000</v>
      </c>
      <c r="F711" t="inlineStr">
        <is>
          <t>TN</t>
        </is>
      </c>
      <c r="G711" t="n">
        <v>1540</v>
      </c>
      <c r="H711" t="inlineStr">
        <is>
          <t>Grava Triturada Caliza 20 mm - 3/4"</t>
        </is>
      </c>
    </row>
    <row r="712">
      <c r="A712" t="n">
        <v>10038946</v>
      </c>
      <c r="B712" t="inlineStr">
        <is>
          <t>ZFE3</t>
        </is>
      </c>
      <c r="C712" t="inlineStr">
        <is>
          <t>1000</t>
        </is>
      </c>
      <c r="D712" t="inlineStr">
        <is>
          <t>M3</t>
        </is>
      </c>
      <c r="E712" t="n">
        <v>1000</v>
      </c>
      <c r="F712" t="inlineStr">
        <is>
          <t>TN</t>
        </is>
      </c>
      <c r="G712" t="n">
        <v>1880</v>
      </c>
      <c r="H712" t="inlineStr">
        <is>
          <t>No Clasificado Triturado Caliza</t>
        </is>
      </c>
    </row>
    <row r="713">
      <c r="A713" t="n">
        <v>10038947</v>
      </c>
      <c r="B713" t="inlineStr">
        <is>
          <t>ZFE3</t>
        </is>
      </c>
      <c r="C713" t="inlineStr">
        <is>
          <t>1000</t>
        </is>
      </c>
      <c r="D713" t="inlineStr">
        <is>
          <t>M3</t>
        </is>
      </c>
      <c r="E713" t="n">
        <v>1000</v>
      </c>
      <c r="F713" t="inlineStr">
        <is>
          <t>TN</t>
        </is>
      </c>
      <c r="G713" t="n">
        <v>1520</v>
      </c>
      <c r="H713" t="inlineStr">
        <is>
          <t>Grava Triturada Caliza 10 mm - 3/8"</t>
        </is>
      </c>
    </row>
    <row r="714">
      <c r="A714" t="n">
        <v>10038948</v>
      </c>
      <c r="B714" t="inlineStr">
        <is>
          <t>ZFE3</t>
        </is>
      </c>
      <c r="C714" t="inlineStr">
        <is>
          <t>1000</t>
        </is>
      </c>
      <c r="D714" t="inlineStr">
        <is>
          <t>M3</t>
        </is>
      </c>
      <c r="E714" t="n">
        <v>1000</v>
      </c>
      <c r="F714" t="inlineStr">
        <is>
          <t>TN</t>
        </is>
      </c>
      <c r="G714" t="n">
        <v>1600</v>
      </c>
      <c r="H714" t="inlineStr">
        <is>
          <t>Desperdicio Triturado Caliza</t>
        </is>
      </c>
    </row>
    <row r="715">
      <c r="A715" t="n">
        <v>10038949</v>
      </c>
      <c r="B715" t="inlineStr">
        <is>
          <t>ZFE3</t>
        </is>
      </c>
      <c r="C715" t="inlineStr">
        <is>
          <t>1000</t>
        </is>
      </c>
      <c r="D715" t="inlineStr">
        <is>
          <t>M3</t>
        </is>
      </c>
      <c r="E715" t="n">
        <v>1000</v>
      </c>
      <c r="F715" t="inlineStr">
        <is>
          <t>TN</t>
        </is>
      </c>
      <c r="G715" t="n">
        <v>1500</v>
      </c>
      <c r="H715" t="inlineStr">
        <is>
          <t>Grava Triturada Caliza 10 mm - 3/8"</t>
        </is>
      </c>
    </row>
    <row r="716">
      <c r="A716" t="n">
        <v>10038950</v>
      </c>
      <c r="B716" t="inlineStr">
        <is>
          <t>ZFE3</t>
        </is>
      </c>
      <c r="C716" t="inlineStr">
        <is>
          <t>1000</t>
        </is>
      </c>
      <c r="D716" t="inlineStr">
        <is>
          <t>M3</t>
        </is>
      </c>
      <c r="E716" t="n">
        <v>1000</v>
      </c>
      <c r="F716" t="inlineStr">
        <is>
          <t>TN</t>
        </is>
      </c>
      <c r="G716" t="n">
        <v>1474</v>
      </c>
      <c r="H716" t="inlineStr">
        <is>
          <t>Grava Triturada Caliza 20 mm - 3/4"</t>
        </is>
      </c>
    </row>
    <row r="717">
      <c r="A717" t="n">
        <v>10038951</v>
      </c>
      <c r="B717" t="inlineStr">
        <is>
          <t>ZFE3</t>
        </is>
      </c>
      <c r="C717" t="inlineStr">
        <is>
          <t>1000</t>
        </is>
      </c>
      <c r="D717" t="inlineStr">
        <is>
          <t>M3</t>
        </is>
      </c>
      <c r="E717" t="n">
        <v>1000</v>
      </c>
      <c r="F717" t="inlineStr">
        <is>
          <t>TN</t>
        </is>
      </c>
      <c r="G717" t="n">
        <v>1370</v>
      </c>
      <c r="H717" t="inlineStr">
        <is>
          <t>Grava Triturada Caliza 40 mm - 1 1/2"</t>
        </is>
      </c>
    </row>
    <row r="718">
      <c r="A718" t="n">
        <v>10038952</v>
      </c>
      <c r="B718" t="inlineStr">
        <is>
          <t>ZFE3</t>
        </is>
      </c>
      <c r="C718" t="inlineStr">
        <is>
          <t>1000</t>
        </is>
      </c>
      <c r="D718" t="inlineStr">
        <is>
          <t>M3</t>
        </is>
      </c>
      <c r="E718" t="n">
        <v>1000</v>
      </c>
      <c r="F718" t="inlineStr">
        <is>
          <t>TN</t>
        </is>
      </c>
      <c r="G718" t="n">
        <v>1600</v>
      </c>
      <c r="H718" t="inlineStr">
        <is>
          <t>Arena Triturada Caliza Malla 4</t>
        </is>
      </c>
    </row>
    <row r="719">
      <c r="A719" t="n">
        <v>10038953</v>
      </c>
      <c r="B719" t="inlineStr">
        <is>
          <t>ZFE3</t>
        </is>
      </c>
      <c r="C719" t="inlineStr">
        <is>
          <t>1000</t>
        </is>
      </c>
      <c r="D719" t="inlineStr">
        <is>
          <t>M3</t>
        </is>
      </c>
      <c r="E719" t="n">
        <v>1000</v>
      </c>
      <c r="F719" t="inlineStr">
        <is>
          <t>TN</t>
        </is>
      </c>
      <c r="G719" t="n">
        <v>1690</v>
      </c>
      <c r="H719" t="inlineStr">
        <is>
          <t>Base H Triturada Caliza 3/4" a Finos</t>
        </is>
      </c>
    </row>
    <row r="720">
      <c r="A720" t="n">
        <v>10038955</v>
      </c>
      <c r="B720" t="inlineStr">
        <is>
          <t>ZFE3</t>
        </is>
      </c>
      <c r="C720" t="inlineStr">
        <is>
          <t>1000</t>
        </is>
      </c>
      <c r="D720" t="inlineStr">
        <is>
          <t>M3</t>
        </is>
      </c>
      <c r="E720" t="n">
        <v>1000</v>
      </c>
      <c r="F720" t="inlineStr">
        <is>
          <t>TN</t>
        </is>
      </c>
      <c r="G720" t="n">
        <v>1925</v>
      </c>
      <c r="H720" t="inlineStr">
        <is>
          <t>Base H Triturada Caliza 1 1/2" a Finos</t>
        </is>
      </c>
    </row>
    <row r="721">
      <c r="A721" t="n">
        <v>10038956</v>
      </c>
      <c r="B721" t="inlineStr">
        <is>
          <t>ZFE3</t>
        </is>
      </c>
      <c r="C721" t="inlineStr">
        <is>
          <t>1000</t>
        </is>
      </c>
      <c r="D721" t="inlineStr">
        <is>
          <t>M3</t>
        </is>
      </c>
      <c r="E721" t="n">
        <v>1000</v>
      </c>
      <c r="F721" t="inlineStr">
        <is>
          <t>TN</t>
        </is>
      </c>
      <c r="G721" t="n">
        <v>1350</v>
      </c>
      <c r="H721" t="inlineStr">
        <is>
          <t>Sobretamaño Caliza</t>
        </is>
      </c>
    </row>
    <row r="722">
      <c r="A722" t="n">
        <v>10038957</v>
      </c>
      <c r="B722" t="inlineStr">
        <is>
          <t>ZFE3</t>
        </is>
      </c>
      <c r="C722" t="inlineStr">
        <is>
          <t>1000</t>
        </is>
      </c>
      <c r="D722" t="inlineStr">
        <is>
          <t>M3</t>
        </is>
      </c>
      <c r="E722" t="n">
        <v>1000</v>
      </c>
      <c r="F722" t="inlineStr">
        <is>
          <t>TN</t>
        </is>
      </c>
      <c r="G722" t="n">
        <v>1687</v>
      </c>
      <c r="H722" t="inlineStr">
        <is>
          <t>Arena Triturada Caliza Block</t>
        </is>
      </c>
    </row>
    <row r="723">
      <c r="A723" t="n">
        <v>10038958</v>
      </c>
      <c r="B723" t="inlineStr">
        <is>
          <t>ZFE3</t>
        </is>
      </c>
      <c r="C723" t="inlineStr">
        <is>
          <t>1000</t>
        </is>
      </c>
      <c r="D723" t="inlineStr">
        <is>
          <t>M3</t>
        </is>
      </c>
      <c r="E723" t="n">
        <v>1000</v>
      </c>
      <c r="F723" t="inlineStr">
        <is>
          <t>TN</t>
        </is>
      </c>
      <c r="G723" t="n">
        <v>1661</v>
      </c>
      <c r="H723" t="inlineStr">
        <is>
          <t>Arena Triturada Caliza Malla 5</t>
        </is>
      </c>
    </row>
    <row r="724">
      <c r="A724" t="n">
        <v>10039082</v>
      </c>
      <c r="B724" t="inlineStr">
        <is>
          <t>ZFE3</t>
        </is>
      </c>
      <c r="C724" t="inlineStr">
        <is>
          <t>1000</t>
        </is>
      </c>
      <c r="D724" t="inlineStr">
        <is>
          <t>M3</t>
        </is>
      </c>
      <c r="E724" t="n">
        <v>1000</v>
      </c>
      <c r="F724" t="inlineStr">
        <is>
          <t>TN</t>
        </is>
      </c>
      <c r="G724" t="n">
        <v>1530</v>
      </c>
      <c r="H724" t="inlineStr">
        <is>
          <t>Caliza Bca. Explotada Prd.</t>
        </is>
      </c>
    </row>
    <row r="725">
      <c r="A725" t="n">
        <v>10039672</v>
      </c>
      <c r="B725" t="inlineStr">
        <is>
          <t>ZFE3</t>
        </is>
      </c>
      <c r="C725" t="inlineStr">
        <is>
          <t>1000</t>
        </is>
      </c>
      <c r="D725" t="inlineStr">
        <is>
          <t>M3</t>
        </is>
      </c>
      <c r="E725" t="n">
        <v>1000</v>
      </c>
      <c r="F725" t="inlineStr">
        <is>
          <t>TN</t>
        </is>
      </c>
      <c r="G725" t="n">
        <v>1514</v>
      </c>
      <c r="H725" t="inlineStr">
        <is>
          <t>Arena Triturada Caliza Malla 4</t>
        </is>
      </c>
    </row>
    <row r="726">
      <c r="A726" t="n">
        <v>10039802</v>
      </c>
      <c r="B726" t="inlineStr">
        <is>
          <t>ZFE3</t>
        </is>
      </c>
      <c r="C726" t="inlineStr">
        <is>
          <t>1000</t>
        </is>
      </c>
      <c r="D726" t="inlineStr">
        <is>
          <t>M3</t>
        </is>
      </c>
      <c r="E726" t="n">
        <v>1000</v>
      </c>
      <c r="F726" t="inlineStr">
        <is>
          <t>TN</t>
        </is>
      </c>
      <c r="G726" t="n">
        <v>1450</v>
      </c>
      <c r="H726" t="inlineStr">
        <is>
          <t>No Clasificado Caliza 15"</t>
        </is>
      </c>
    </row>
    <row r="727">
      <c r="A727" t="n">
        <v>10040020</v>
      </c>
      <c r="B727" t="inlineStr">
        <is>
          <t>ZFE3</t>
        </is>
      </c>
      <c r="C727" t="inlineStr">
        <is>
          <t>1000</t>
        </is>
      </c>
      <c r="D727" t="inlineStr">
        <is>
          <t>M3</t>
        </is>
      </c>
      <c r="E727" t="n">
        <v>1000</v>
      </c>
      <c r="F727" t="inlineStr">
        <is>
          <t>TN</t>
        </is>
      </c>
      <c r="G727" t="n">
        <v>1600</v>
      </c>
      <c r="H727" t="inlineStr">
        <is>
          <t>No Clasificado Río</t>
        </is>
      </c>
    </row>
    <row r="728">
      <c r="A728" t="n">
        <v>10040500</v>
      </c>
      <c r="B728" t="inlineStr">
        <is>
          <t>ZFE3</t>
        </is>
      </c>
      <c r="C728" t="inlineStr">
        <is>
          <t>1000</t>
        </is>
      </c>
      <c r="D728" t="inlineStr">
        <is>
          <t>M3</t>
        </is>
      </c>
      <c r="E728" t="n">
        <v>1000</v>
      </c>
      <c r="F728" t="inlineStr">
        <is>
          <t>TN</t>
        </is>
      </c>
      <c r="G728" t="n">
        <v>1400</v>
      </c>
      <c r="H728" t="inlineStr">
        <is>
          <t>Gravier 6/20 mm (1/4" to 1") TA</t>
        </is>
      </c>
    </row>
    <row r="729">
      <c r="A729" t="n">
        <v>10040581</v>
      </c>
      <c r="B729" t="inlineStr">
        <is>
          <t>ZFE3</t>
        </is>
      </c>
      <c r="C729" t="inlineStr">
        <is>
          <t>1000</t>
        </is>
      </c>
      <c r="D729" t="inlineStr">
        <is>
          <t>M3</t>
        </is>
      </c>
      <c r="E729" t="n">
        <v>1000</v>
      </c>
      <c r="F729" t="inlineStr">
        <is>
          <t>TN</t>
        </is>
      </c>
      <c r="G729" t="n">
        <v>1480</v>
      </c>
      <c r="H729" t="inlineStr">
        <is>
          <t>Gravier 6/20 mm (1/4" to 1") LE</t>
        </is>
      </c>
    </row>
    <row r="730">
      <c r="A730" t="n">
        <v>10040708</v>
      </c>
      <c r="B730" t="inlineStr">
        <is>
          <t>ZFER</t>
        </is>
      </c>
      <c r="C730" t="inlineStr">
        <is>
          <t>1000</t>
        </is>
      </c>
      <c r="D730" t="inlineStr">
        <is>
          <t>M3</t>
        </is>
      </c>
      <c r="E730" t="n">
        <v>1000</v>
      </c>
      <c r="F730" t="inlineStr">
        <is>
          <t>TN</t>
        </is>
      </c>
      <c r="G730" t="n">
        <v>1398</v>
      </c>
      <c r="H730" t="inlineStr">
        <is>
          <t>GR BASALTO 20MM</t>
        </is>
      </c>
    </row>
    <row r="731">
      <c r="A731" t="n">
        <v>10040834</v>
      </c>
      <c r="B731" t="inlineStr">
        <is>
          <t>ZFE3</t>
        </is>
      </c>
      <c r="C731" t="inlineStr">
        <is>
          <t>1000</t>
        </is>
      </c>
      <c r="D731" t="inlineStr">
        <is>
          <t>M3</t>
        </is>
      </c>
      <c r="E731" t="n">
        <v>1000</v>
      </c>
      <c r="F731" t="inlineStr">
        <is>
          <t>TN</t>
        </is>
      </c>
      <c r="G731" t="n">
        <v>1500</v>
      </c>
      <c r="H731" t="inlineStr">
        <is>
          <t>Arena Clasificada Río Malla 4</t>
        </is>
      </c>
    </row>
    <row r="732">
      <c r="A732" t="n">
        <v>10041771</v>
      </c>
      <c r="B732" t="inlineStr">
        <is>
          <t>ZFE3</t>
        </is>
      </c>
      <c r="C732" t="inlineStr">
        <is>
          <t>1000</t>
        </is>
      </c>
      <c r="D732" t="inlineStr">
        <is>
          <t>M3</t>
        </is>
      </c>
      <c r="E732" t="n">
        <v>1000</v>
      </c>
      <c r="F732" t="inlineStr">
        <is>
          <t>TN</t>
        </is>
      </c>
      <c r="G732" t="n">
        <v>1600</v>
      </c>
      <c r="H732" t="inlineStr">
        <is>
          <t>Arena Triturada Basalto  Malla 4</t>
        </is>
      </c>
    </row>
    <row r="733">
      <c r="A733" t="n">
        <v>10042164</v>
      </c>
      <c r="B733" t="inlineStr">
        <is>
          <t>ZFE3</t>
        </is>
      </c>
      <c r="C733" t="inlineStr">
        <is>
          <t>1000</t>
        </is>
      </c>
      <c r="D733" t="inlineStr">
        <is>
          <t>M3</t>
        </is>
      </c>
      <c r="E733" t="n">
        <v>1000</v>
      </c>
      <c r="F733" t="inlineStr">
        <is>
          <t>TN</t>
        </is>
      </c>
      <c r="G733" t="n">
        <v>1800</v>
      </c>
      <c r="H733" t="inlineStr">
        <is>
          <t>Crudo Intermedio</t>
        </is>
      </c>
    </row>
    <row r="734">
      <c r="A734" t="n">
        <v>10042165</v>
      </c>
      <c r="B734" t="inlineStr">
        <is>
          <t>ZFE3</t>
        </is>
      </c>
      <c r="C734" t="inlineStr">
        <is>
          <t>1000</t>
        </is>
      </c>
      <c r="D734" t="inlineStr">
        <is>
          <t>M3</t>
        </is>
      </c>
      <c r="E734" t="n">
        <v>1000</v>
      </c>
      <c r="F734" t="inlineStr">
        <is>
          <t>TN</t>
        </is>
      </c>
      <c r="G734" t="n">
        <v>1350</v>
      </c>
      <c r="H734" t="inlineStr">
        <is>
          <t>Crudo Intermedio</t>
        </is>
      </c>
    </row>
    <row r="735">
      <c r="A735" t="n">
        <v>10042203</v>
      </c>
      <c r="B735" t="inlineStr">
        <is>
          <t>ZFE3</t>
        </is>
      </c>
      <c r="C735" t="inlineStr">
        <is>
          <t>1000</t>
        </is>
      </c>
      <c r="D735" t="inlineStr">
        <is>
          <t>M3</t>
        </is>
      </c>
      <c r="E735" t="n">
        <v>1000</v>
      </c>
      <c r="F735" t="inlineStr">
        <is>
          <t>TN</t>
        </is>
      </c>
      <c r="G735" t="n">
        <v>1189</v>
      </c>
      <c r="H735" t="inlineStr">
        <is>
          <t>Grava Triturada Caliza 20 mm - 3/4"</t>
        </is>
      </c>
    </row>
    <row r="736">
      <c r="A736" t="n">
        <v>10042204</v>
      </c>
      <c r="B736" t="inlineStr">
        <is>
          <t>ZFE3</t>
        </is>
      </c>
      <c r="C736" t="inlineStr">
        <is>
          <t>1000</t>
        </is>
      </c>
      <c r="D736" t="inlineStr">
        <is>
          <t>M3</t>
        </is>
      </c>
      <c r="E736" t="n">
        <v>1000</v>
      </c>
      <c r="F736" t="inlineStr">
        <is>
          <t>TN</t>
        </is>
      </c>
      <c r="G736" t="n">
        <v>1117</v>
      </c>
      <c r="H736" t="inlineStr">
        <is>
          <t>Grava Triturada Caliza 10 mm - 3/8"</t>
        </is>
      </c>
    </row>
    <row r="737">
      <c r="A737" t="n">
        <v>10042205</v>
      </c>
      <c r="B737" t="inlineStr">
        <is>
          <t>ZFE3</t>
        </is>
      </c>
      <c r="C737" t="inlineStr">
        <is>
          <t>1000</t>
        </is>
      </c>
      <c r="D737" t="inlineStr">
        <is>
          <t>M3</t>
        </is>
      </c>
      <c r="E737" t="n">
        <v>1000</v>
      </c>
      <c r="F737" t="inlineStr">
        <is>
          <t>TN</t>
        </is>
      </c>
      <c r="G737" t="n">
        <v>1165</v>
      </c>
      <c r="H737" t="inlineStr">
        <is>
          <t>Grava Triturada Balastro #4</t>
        </is>
      </c>
    </row>
    <row r="738">
      <c r="A738" t="n">
        <v>10042206</v>
      </c>
      <c r="B738" t="inlineStr">
        <is>
          <t>ZFE3</t>
        </is>
      </c>
      <c r="C738" t="inlineStr">
        <is>
          <t>1000</t>
        </is>
      </c>
      <c r="D738" t="inlineStr">
        <is>
          <t>M3</t>
        </is>
      </c>
      <c r="E738" t="n">
        <v>1000</v>
      </c>
      <c r="F738" t="inlineStr">
        <is>
          <t>TN</t>
        </is>
      </c>
      <c r="G738" t="n">
        <v>1117</v>
      </c>
      <c r="H738" t="inlineStr">
        <is>
          <t>Grava Triturada Caliza 13 mm - 1/2"</t>
        </is>
      </c>
    </row>
    <row r="739">
      <c r="A739" t="n">
        <v>10042207</v>
      </c>
      <c r="B739" t="inlineStr">
        <is>
          <t>ZFE3</t>
        </is>
      </c>
      <c r="C739" t="inlineStr">
        <is>
          <t>1000</t>
        </is>
      </c>
      <c r="D739" t="inlineStr">
        <is>
          <t>M3</t>
        </is>
      </c>
      <c r="E739" t="n">
        <v>1000</v>
      </c>
      <c r="F739" t="inlineStr">
        <is>
          <t>TN</t>
        </is>
      </c>
      <c r="G739" t="n">
        <v>1489</v>
      </c>
      <c r="H739" t="inlineStr">
        <is>
          <t>Arena Triturada Caliza Malla 5</t>
        </is>
      </c>
    </row>
    <row r="740">
      <c r="A740" t="n">
        <v>10042208</v>
      </c>
      <c r="B740" t="inlineStr">
        <is>
          <t>ZFE3</t>
        </is>
      </c>
      <c r="C740" t="inlineStr">
        <is>
          <t>1000</t>
        </is>
      </c>
      <c r="D740" t="inlineStr">
        <is>
          <t>M3</t>
        </is>
      </c>
      <c r="E740" t="n">
        <v>1000</v>
      </c>
      <c r="F740" t="inlineStr">
        <is>
          <t>TN</t>
        </is>
      </c>
      <c r="G740" t="n">
        <v>1565</v>
      </c>
      <c r="H740" t="inlineStr">
        <is>
          <t>Base H Triturada Caliza 1 1/2" a Finos</t>
        </is>
      </c>
    </row>
    <row r="741">
      <c r="A741" t="n">
        <v>10042209</v>
      </c>
      <c r="B741" t="inlineStr">
        <is>
          <t>ZFE3</t>
        </is>
      </c>
      <c r="C741" t="inlineStr">
        <is>
          <t>1000</t>
        </is>
      </c>
      <c r="D741" t="inlineStr">
        <is>
          <t>M3</t>
        </is>
      </c>
      <c r="E741" t="n">
        <v>1000</v>
      </c>
      <c r="F741" t="inlineStr">
        <is>
          <t>TN</t>
        </is>
      </c>
      <c r="G741" t="n">
        <v>1300</v>
      </c>
      <c r="H741" t="inlineStr">
        <is>
          <t>Crudo Caliza</t>
        </is>
      </c>
    </row>
    <row r="742">
      <c r="A742" t="n">
        <v>10042369</v>
      </c>
      <c r="B742" t="inlineStr">
        <is>
          <t>ZFE3</t>
        </is>
      </c>
      <c r="C742" t="inlineStr">
        <is>
          <t>1000</t>
        </is>
      </c>
      <c r="D742" t="inlineStr">
        <is>
          <t>M3</t>
        </is>
      </c>
      <c r="E742" t="n">
        <v>1000</v>
      </c>
      <c r="F742" t="inlineStr">
        <is>
          <t>TN</t>
        </is>
      </c>
      <c r="G742" t="n">
        <v>1334</v>
      </c>
      <c r="H742" t="inlineStr">
        <is>
          <t>Grava Triturada Basalto 20 mm-3/4"-Dist</t>
        </is>
      </c>
    </row>
    <row r="743">
      <c r="A743" t="n">
        <v>10042394</v>
      </c>
      <c r="B743" t="inlineStr">
        <is>
          <t>ZFE3</t>
        </is>
      </c>
      <c r="C743" t="inlineStr">
        <is>
          <t>1000</t>
        </is>
      </c>
      <c r="D743" t="inlineStr">
        <is>
          <t>M3</t>
        </is>
      </c>
      <c r="E743" t="n">
        <v>1000</v>
      </c>
      <c r="F743" t="inlineStr">
        <is>
          <t>TN</t>
        </is>
      </c>
      <c r="G743" t="n">
        <v>1441</v>
      </c>
      <c r="H743" t="inlineStr">
        <is>
          <t>Arena Clasificada Río Malla 4</t>
        </is>
      </c>
    </row>
    <row r="744">
      <c r="A744" t="n">
        <v>10042396</v>
      </c>
      <c r="B744" t="inlineStr">
        <is>
          <t>ZFE3</t>
        </is>
      </c>
      <c r="C744" t="inlineStr">
        <is>
          <t>1000</t>
        </is>
      </c>
      <c r="D744" t="inlineStr">
        <is>
          <t>M3</t>
        </is>
      </c>
      <c r="E744" t="n">
        <v>1000</v>
      </c>
      <c r="F744" t="inlineStr">
        <is>
          <t>TN</t>
        </is>
      </c>
      <c r="G744" t="n">
        <v>1325</v>
      </c>
      <c r="H744" t="inlineStr">
        <is>
          <t>Grava Clasificada Río 20 mm - 3/4"</t>
        </is>
      </c>
    </row>
    <row r="745">
      <c r="A745" t="n">
        <v>10042994</v>
      </c>
      <c r="B745" t="inlineStr">
        <is>
          <t>ZFER</t>
        </is>
      </c>
      <c r="C745" t="inlineStr">
        <is>
          <t>1000</t>
        </is>
      </c>
      <c r="D745" t="inlineStr">
        <is>
          <t>M3</t>
        </is>
      </c>
      <c r="E745" t="n">
        <v>1000</v>
      </c>
      <c r="F745" t="inlineStr">
        <is>
          <t>TN</t>
        </is>
      </c>
      <c r="G745" t="n">
        <v>1400</v>
      </c>
      <c r="H745" t="inlineStr">
        <is>
          <t>GRAVA CAL 20 mm (3/4)</t>
        </is>
      </c>
    </row>
    <row r="746">
      <c r="A746" t="n">
        <v>10042995</v>
      </c>
      <c r="B746" t="inlineStr">
        <is>
          <t>ZFER</t>
        </is>
      </c>
      <c r="C746" t="inlineStr">
        <is>
          <t>1000</t>
        </is>
      </c>
      <c r="D746" t="inlineStr">
        <is>
          <t>M3</t>
        </is>
      </c>
      <c r="E746" t="n">
        <v>1000</v>
      </c>
      <c r="F746" t="inlineStr">
        <is>
          <t>TN</t>
        </is>
      </c>
      <c r="G746" t="n">
        <v>1400</v>
      </c>
      <c r="H746" t="inlineStr">
        <is>
          <t>GC CALIZA 20 mm</t>
        </is>
      </c>
    </row>
    <row r="747">
      <c r="A747" t="n">
        <v>10043200</v>
      </c>
      <c r="B747" t="inlineStr">
        <is>
          <t>ZFE3</t>
        </is>
      </c>
      <c r="C747" t="inlineStr">
        <is>
          <t>1000</t>
        </is>
      </c>
      <c r="D747" t="inlineStr">
        <is>
          <t>M3</t>
        </is>
      </c>
      <c r="E747" t="n">
        <v>1000</v>
      </c>
      <c r="F747" t="inlineStr">
        <is>
          <t>TN</t>
        </is>
      </c>
      <c r="G747" t="n">
        <v>1560</v>
      </c>
      <c r="H747" t="inlineStr">
        <is>
          <t>Grava Triturada Granito 10 mm - 3/8"</t>
        </is>
      </c>
    </row>
    <row r="748">
      <c r="A748" t="n">
        <v>10043202</v>
      </c>
      <c r="B748" t="inlineStr">
        <is>
          <t>ZFE3</t>
        </is>
      </c>
      <c r="C748" t="inlineStr">
        <is>
          <t>1000</t>
        </is>
      </c>
      <c r="D748" t="inlineStr">
        <is>
          <t>M3</t>
        </is>
      </c>
      <c r="E748" t="n">
        <v>1000</v>
      </c>
      <c r="F748" t="inlineStr">
        <is>
          <t>TN</t>
        </is>
      </c>
      <c r="G748" t="n">
        <v>1355</v>
      </c>
      <c r="H748" t="inlineStr">
        <is>
          <t>Grava Triturada Caliza 10 mm - 3/8"</t>
        </is>
      </c>
    </row>
    <row r="749">
      <c r="A749" t="n">
        <v>10043251</v>
      </c>
      <c r="B749" t="inlineStr">
        <is>
          <t>ZFE3</t>
        </is>
      </c>
      <c r="C749" t="inlineStr">
        <is>
          <t>1000</t>
        </is>
      </c>
      <c r="D749" t="inlineStr">
        <is>
          <t>M3</t>
        </is>
      </c>
      <c r="E749" t="n">
        <v>1000</v>
      </c>
      <c r="F749" t="inlineStr">
        <is>
          <t>TN</t>
        </is>
      </c>
      <c r="G749" t="n">
        <v>1500</v>
      </c>
      <c r="H749" t="inlineStr">
        <is>
          <t>Base Estabilizada - Tepetate</t>
        </is>
      </c>
    </row>
    <row r="750">
      <c r="A750" t="n">
        <v>10043253</v>
      </c>
      <c r="B750" t="inlineStr">
        <is>
          <t>ZFE3</t>
        </is>
      </c>
      <c r="C750" t="inlineStr">
        <is>
          <t>1000</t>
        </is>
      </c>
      <c r="D750" t="inlineStr">
        <is>
          <t>M3</t>
        </is>
      </c>
      <c r="E750" t="n">
        <v>1000</v>
      </c>
      <c r="F750" t="inlineStr">
        <is>
          <t>TN</t>
        </is>
      </c>
      <c r="G750" t="n">
        <v>1400</v>
      </c>
      <c r="H750" t="inlineStr">
        <is>
          <t>Grava Triturada Basalto 13 mm -  1/2"</t>
        </is>
      </c>
    </row>
    <row r="751">
      <c r="A751" t="n">
        <v>10043600</v>
      </c>
      <c r="B751" t="inlineStr">
        <is>
          <t>ZFE3</t>
        </is>
      </c>
      <c r="C751" t="inlineStr">
        <is>
          <t>1000</t>
        </is>
      </c>
      <c r="D751" t="inlineStr">
        <is>
          <t>M3</t>
        </is>
      </c>
      <c r="E751" t="n">
        <v>1000</v>
      </c>
      <c r="F751" t="inlineStr">
        <is>
          <t>TN</t>
        </is>
      </c>
      <c r="G751" t="n">
        <v>1177</v>
      </c>
      <c r="H751" t="inlineStr">
        <is>
          <t>Grava Triturada Caliza 13 mm - 1/2"</t>
        </is>
      </c>
    </row>
    <row r="752">
      <c r="A752" t="n">
        <v>10043601</v>
      </c>
      <c r="B752" t="inlineStr">
        <is>
          <t>ZFE3</t>
        </is>
      </c>
      <c r="C752" t="inlineStr">
        <is>
          <t>1000</t>
        </is>
      </c>
      <c r="D752" t="inlineStr">
        <is>
          <t>M3</t>
        </is>
      </c>
      <c r="E752" t="n">
        <v>1000</v>
      </c>
      <c r="F752" t="inlineStr">
        <is>
          <t>TN</t>
        </is>
      </c>
      <c r="G752" t="n">
        <v>1175</v>
      </c>
      <c r="H752" t="inlineStr">
        <is>
          <t>Grava Triturada Caliza 20 mm - 3/4"</t>
        </is>
      </c>
    </row>
    <row r="753">
      <c r="A753" t="n">
        <v>10043607</v>
      </c>
      <c r="B753" t="inlineStr">
        <is>
          <t>ZFE3</t>
        </is>
      </c>
      <c r="C753" t="inlineStr">
        <is>
          <t>1000</t>
        </is>
      </c>
      <c r="D753" t="inlineStr">
        <is>
          <t>M3</t>
        </is>
      </c>
      <c r="E753" t="n">
        <v>1000</v>
      </c>
      <c r="F753" t="inlineStr">
        <is>
          <t>TN</t>
        </is>
      </c>
      <c r="G753" t="n">
        <v>1500</v>
      </c>
      <c r="H753" t="inlineStr">
        <is>
          <t>Sub Base Especial 8.5</t>
        </is>
      </c>
    </row>
    <row r="754">
      <c r="A754" t="n">
        <v>10044820</v>
      </c>
      <c r="B754" t="inlineStr">
        <is>
          <t>ZFER</t>
        </is>
      </c>
      <c r="C754" t="inlineStr">
        <is>
          <t>1000</t>
        </is>
      </c>
      <c r="D754" t="inlineStr">
        <is>
          <t>M3</t>
        </is>
      </c>
      <c r="E754" t="n">
        <v>1000</v>
      </c>
      <c r="F754" t="inlineStr">
        <is>
          <t>TN</t>
        </is>
      </c>
      <c r="G754" t="n">
        <v>1630</v>
      </c>
      <c r="H754" t="inlineStr">
        <is>
          <t>ARENA RIO LAVADA NO.4</t>
        </is>
      </c>
    </row>
    <row r="755">
      <c r="A755" t="n">
        <v>10044821</v>
      </c>
      <c r="B755" t="inlineStr">
        <is>
          <t>ZFER</t>
        </is>
      </c>
      <c r="C755" t="inlineStr">
        <is>
          <t>1000</t>
        </is>
      </c>
      <c r="D755" t="inlineStr">
        <is>
          <t>M3</t>
        </is>
      </c>
      <c r="E755" t="n">
        <v>1000</v>
      </c>
      <c r="F755" t="inlineStr">
        <is>
          <t>TN</t>
        </is>
      </c>
      <c r="G755" t="n">
        <v>1570</v>
      </c>
      <c r="H755" t="inlineStr">
        <is>
          <t>AR DE RIO</t>
        </is>
      </c>
    </row>
    <row r="756">
      <c r="A756" t="n">
        <v>10045015</v>
      </c>
      <c r="B756" t="inlineStr">
        <is>
          <t>ZFE3</t>
        </is>
      </c>
      <c r="C756" t="inlineStr">
        <is>
          <t>1000</t>
        </is>
      </c>
      <c r="D756" t="inlineStr">
        <is>
          <t>M3</t>
        </is>
      </c>
      <c r="E756" t="n">
        <v>1000</v>
      </c>
      <c r="F756" t="inlineStr">
        <is>
          <t>TN</t>
        </is>
      </c>
      <c r="G756" t="n">
        <v>1430</v>
      </c>
      <c r="H756" t="inlineStr">
        <is>
          <t>Sello Triturado Caliza 13 mm - 1/2"</t>
        </is>
      </c>
    </row>
    <row r="757">
      <c r="A757" t="n">
        <v>10045092</v>
      </c>
      <c r="B757" t="inlineStr">
        <is>
          <t>ZFE3</t>
        </is>
      </c>
      <c r="C757" t="inlineStr">
        <is>
          <t>1000</t>
        </is>
      </c>
      <c r="D757" t="inlineStr">
        <is>
          <t>M3</t>
        </is>
      </c>
      <c r="E757" t="n">
        <v>1000</v>
      </c>
      <c r="F757" t="inlineStr">
        <is>
          <t>TN</t>
        </is>
      </c>
      <c r="G757" t="n">
        <v>1524</v>
      </c>
      <c r="H757" t="inlineStr">
        <is>
          <t>Arena Clasificada Río Malla 4</t>
        </is>
      </c>
    </row>
    <row r="758">
      <c r="A758" t="n">
        <v>10045539</v>
      </c>
      <c r="B758" t="inlineStr">
        <is>
          <t>ZFE3</t>
        </is>
      </c>
      <c r="C758" t="inlineStr">
        <is>
          <t>1000</t>
        </is>
      </c>
      <c r="D758" t="inlineStr">
        <is>
          <t>M3</t>
        </is>
      </c>
      <c r="E758" t="n">
        <v>1000</v>
      </c>
      <c r="F758" t="inlineStr">
        <is>
          <t>TN</t>
        </is>
      </c>
      <c r="G758" t="n">
        <v>1273</v>
      </c>
      <c r="H758" t="inlineStr">
        <is>
          <t>PIEDRA NO.56 (1 - 3/8") MSC CO.</t>
        </is>
      </c>
    </row>
    <row r="759">
      <c r="A759" t="n">
        <v>10045547</v>
      </c>
      <c r="B759" t="inlineStr">
        <is>
          <t>ZFE3</t>
        </is>
      </c>
      <c r="C759" t="inlineStr">
        <is>
          <t>1000</t>
        </is>
      </c>
      <c r="D759" t="inlineStr">
        <is>
          <t>M3</t>
        </is>
      </c>
      <c r="E759" t="n">
        <v>1000</v>
      </c>
      <c r="F759" t="inlineStr">
        <is>
          <t>TN</t>
        </is>
      </c>
      <c r="G759" t="n">
        <v>1490</v>
      </c>
      <c r="H759" t="inlineStr">
        <is>
          <t>Arena Fina Prieto</t>
        </is>
      </c>
    </row>
    <row r="760">
      <c r="A760" t="n">
        <v>10045642</v>
      </c>
      <c r="B760" t="inlineStr">
        <is>
          <t>ZFE3</t>
        </is>
      </c>
      <c r="C760" t="inlineStr">
        <is>
          <t>1000</t>
        </is>
      </c>
      <c r="D760" t="inlineStr">
        <is>
          <t>M3</t>
        </is>
      </c>
      <c r="E760" t="n">
        <v>1000</v>
      </c>
      <c r="F760" t="inlineStr">
        <is>
          <t>TN</t>
        </is>
      </c>
      <c r="G760" t="n">
        <v>1471</v>
      </c>
      <c r="H760" t="inlineStr">
        <is>
          <t>Arena Triturada Caliza Malla 4</t>
        </is>
      </c>
    </row>
    <row r="761">
      <c r="A761" t="n">
        <v>10045643</v>
      </c>
      <c r="B761" t="inlineStr">
        <is>
          <t>ZFER</t>
        </is>
      </c>
      <c r="C761" t="inlineStr">
        <is>
          <t>1000</t>
        </is>
      </c>
      <c r="D761" t="inlineStr">
        <is>
          <t>M3</t>
        </is>
      </c>
      <c r="E761" t="n">
        <v>1000</v>
      </c>
      <c r="F761" t="inlineStr">
        <is>
          <t>TN</t>
        </is>
      </c>
      <c r="G761" t="n">
        <v>1380</v>
      </c>
      <c r="H761" t="inlineStr">
        <is>
          <t>Arena Rio</t>
        </is>
      </c>
    </row>
    <row r="762">
      <c r="A762" t="n">
        <v>10045645</v>
      </c>
      <c r="B762" t="inlineStr">
        <is>
          <t>ZFE3</t>
        </is>
      </c>
      <c r="C762" t="inlineStr">
        <is>
          <t>1000</t>
        </is>
      </c>
      <c r="D762" t="inlineStr">
        <is>
          <t>M3</t>
        </is>
      </c>
      <c r="E762" t="n">
        <v>1000</v>
      </c>
      <c r="F762" t="inlineStr">
        <is>
          <t>TN</t>
        </is>
      </c>
      <c r="G762" t="n">
        <v>1548</v>
      </c>
      <c r="H762" t="inlineStr">
        <is>
          <t>Grava Clasificada Río  20 mm - 3/4"</t>
        </is>
      </c>
    </row>
    <row r="763">
      <c r="A763" t="n">
        <v>10045647</v>
      </c>
      <c r="B763" t="inlineStr">
        <is>
          <t>ZFE3</t>
        </is>
      </c>
      <c r="C763" t="inlineStr">
        <is>
          <t>1000</t>
        </is>
      </c>
      <c r="D763" t="inlineStr">
        <is>
          <t>M3</t>
        </is>
      </c>
      <c r="E763" t="n">
        <v>1000</v>
      </c>
      <c r="F763" t="inlineStr">
        <is>
          <t>TN</t>
        </is>
      </c>
      <c r="G763" t="n">
        <v>1487</v>
      </c>
      <c r="H763" t="inlineStr">
        <is>
          <t>Grava Clasificada Río 40 mm - 1 1/2"</t>
        </is>
      </c>
    </row>
    <row r="764">
      <c r="A764" t="n">
        <v>10045686</v>
      </c>
      <c r="B764" t="inlineStr">
        <is>
          <t>ZFER</t>
        </is>
      </c>
      <c r="C764" t="inlineStr">
        <is>
          <t>1000</t>
        </is>
      </c>
      <c r="D764" t="inlineStr">
        <is>
          <t>M3</t>
        </is>
      </c>
      <c r="E764" t="n">
        <v>1000</v>
      </c>
      <c r="F764" t="inlineStr">
        <is>
          <t>TN</t>
        </is>
      </c>
      <c r="G764" t="n">
        <v>1560</v>
      </c>
      <c r="H764" t="inlineStr">
        <is>
          <t>RIO 20 mm (3/4)</t>
        </is>
      </c>
    </row>
    <row r="765">
      <c r="A765" t="n">
        <v>10045688</v>
      </c>
      <c r="B765" t="inlineStr">
        <is>
          <t>ZFER</t>
        </is>
      </c>
      <c r="C765" t="inlineStr">
        <is>
          <t>1000</t>
        </is>
      </c>
      <c r="D765" t="inlineStr">
        <is>
          <t>M3</t>
        </is>
      </c>
      <c r="E765" t="n">
        <v>1000</v>
      </c>
      <c r="F765" t="inlineStr">
        <is>
          <t>TN</t>
        </is>
      </c>
      <c r="G765" t="n">
        <v>1515</v>
      </c>
      <c r="H765" t="inlineStr">
        <is>
          <t>GR RIO 20 mm</t>
        </is>
      </c>
    </row>
    <row r="766">
      <c r="A766" t="n">
        <v>10045699</v>
      </c>
      <c r="B766" t="inlineStr">
        <is>
          <t>ZFER</t>
        </is>
      </c>
      <c r="C766" t="inlineStr">
        <is>
          <t>1000</t>
        </is>
      </c>
      <c r="D766" t="inlineStr">
        <is>
          <t>M3</t>
        </is>
      </c>
      <c r="E766" t="n">
        <v>1000</v>
      </c>
      <c r="F766" t="inlineStr">
        <is>
          <t>TN</t>
        </is>
      </c>
      <c r="G766" t="n">
        <v>1358</v>
      </c>
      <c r="H766" t="inlineStr">
        <is>
          <t>GRAVA CAL 13 mm (1/2")</t>
        </is>
      </c>
    </row>
    <row r="767">
      <c r="A767" t="n">
        <v>10045795</v>
      </c>
      <c r="B767" t="inlineStr">
        <is>
          <t>ZFE3</t>
        </is>
      </c>
      <c r="C767" t="inlineStr">
        <is>
          <t>1000</t>
        </is>
      </c>
      <c r="D767" t="inlineStr">
        <is>
          <t>M3</t>
        </is>
      </c>
      <c r="E767" t="n">
        <v>1000</v>
      </c>
      <c r="F767" t="inlineStr">
        <is>
          <t>TN</t>
        </is>
      </c>
      <c r="G767" t="n">
        <v>1397</v>
      </c>
      <c r="H767" t="inlineStr">
        <is>
          <t>GRAVA CAL 40 mm (1/2")</t>
        </is>
      </c>
    </row>
    <row r="768">
      <c r="A768" t="n">
        <v>10045798</v>
      </c>
      <c r="B768" t="inlineStr">
        <is>
          <t>ZFE3</t>
        </is>
      </c>
      <c r="C768" t="inlineStr">
        <is>
          <t>1000</t>
        </is>
      </c>
      <c r="D768" t="inlineStr">
        <is>
          <t>M3</t>
        </is>
      </c>
      <c r="E768" t="n">
        <v>1000</v>
      </c>
      <c r="F768" t="inlineStr">
        <is>
          <t>TN</t>
        </is>
      </c>
      <c r="G768" t="n">
        <v>1550</v>
      </c>
      <c r="H768" t="inlineStr">
        <is>
          <t>RIO 40 MM (1 1/2")</t>
        </is>
      </c>
    </row>
    <row r="769">
      <c r="A769" t="n">
        <v>10045980</v>
      </c>
      <c r="B769" t="inlineStr">
        <is>
          <t>ZFE3</t>
        </is>
      </c>
      <c r="C769" t="inlineStr">
        <is>
          <t>1000</t>
        </is>
      </c>
      <c r="D769" t="inlineStr">
        <is>
          <t>M3</t>
        </is>
      </c>
      <c r="E769" t="n">
        <v>1000</v>
      </c>
      <c r="F769" t="inlineStr">
        <is>
          <t>TN</t>
        </is>
      </c>
      <c r="G769" t="n">
        <v>1273</v>
      </c>
      <c r="H769" t="inlineStr">
        <is>
          <t>PIEDRA NO.56 (1 - 3/8") MSC</t>
        </is>
      </c>
    </row>
    <row r="770">
      <c r="A770" t="n">
        <v>10045981</v>
      </c>
      <c r="B770" t="inlineStr">
        <is>
          <t>ZFE3</t>
        </is>
      </c>
      <c r="C770" t="inlineStr">
        <is>
          <t>1000</t>
        </is>
      </c>
      <c r="D770" t="inlineStr">
        <is>
          <t>M3</t>
        </is>
      </c>
      <c r="E770" t="n">
        <v>1000</v>
      </c>
      <c r="F770" t="inlineStr">
        <is>
          <t>TN</t>
        </is>
      </c>
      <c r="G770" t="n">
        <v>1227</v>
      </c>
      <c r="H770" t="inlineStr">
        <is>
          <t>PIEDRA NO.7 (1/2 - NO.4) MSC CO.</t>
        </is>
      </c>
    </row>
    <row r="771">
      <c r="A771" t="n">
        <v>10045984</v>
      </c>
      <c r="B771" t="inlineStr">
        <is>
          <t>ZFE3</t>
        </is>
      </c>
      <c r="C771" t="inlineStr">
        <is>
          <t>1000</t>
        </is>
      </c>
      <c r="D771" t="inlineStr">
        <is>
          <t>M3</t>
        </is>
      </c>
      <c r="E771" t="n">
        <v>1000</v>
      </c>
      <c r="F771" t="inlineStr">
        <is>
          <t>TN</t>
        </is>
      </c>
      <c r="G771" t="n">
        <v>937</v>
      </c>
      <c r="H771" t="inlineStr">
        <is>
          <t>PIEDRA NO.7 (1/2 - NO.4) MSC</t>
        </is>
      </c>
    </row>
    <row r="772">
      <c r="A772" t="n">
        <v>10046034</v>
      </c>
      <c r="B772" t="inlineStr">
        <is>
          <t>ZFE3</t>
        </is>
      </c>
      <c r="C772" t="inlineStr">
        <is>
          <t>1000</t>
        </is>
      </c>
      <c r="D772" t="inlineStr">
        <is>
          <t>M3</t>
        </is>
      </c>
      <c r="E772" t="n">
        <v>1000</v>
      </c>
      <c r="F772" t="inlineStr">
        <is>
          <t>TN</t>
        </is>
      </c>
      <c r="G772" t="n">
        <v>1406</v>
      </c>
      <c r="H772" t="inlineStr">
        <is>
          <t>Grava Triturada Basalto 20 mm - 3/4"-A</t>
        </is>
      </c>
    </row>
    <row r="773">
      <c r="A773" t="n">
        <v>10046100</v>
      </c>
      <c r="B773" t="inlineStr">
        <is>
          <t>ZFE3</t>
        </is>
      </c>
      <c r="C773" t="inlineStr">
        <is>
          <t>1000</t>
        </is>
      </c>
      <c r="D773" t="inlineStr">
        <is>
          <t>M3</t>
        </is>
      </c>
      <c r="E773" t="n">
        <v>1000</v>
      </c>
      <c r="F773" t="inlineStr">
        <is>
          <t>TN</t>
        </is>
      </c>
      <c r="G773" t="n">
        <v>1426</v>
      </c>
      <c r="H773" t="inlineStr">
        <is>
          <t>Grava Clasificada Río 13 mm - 1/2"</t>
        </is>
      </c>
    </row>
    <row r="774">
      <c r="A774" t="n">
        <v>10046611</v>
      </c>
      <c r="B774" t="inlineStr">
        <is>
          <t>ZFE3</t>
        </is>
      </c>
      <c r="C774" t="inlineStr">
        <is>
          <t>1000</t>
        </is>
      </c>
      <c r="D774" t="inlineStr">
        <is>
          <t>M3</t>
        </is>
      </c>
      <c r="E774" t="n">
        <v>1000</v>
      </c>
      <c r="F774" t="inlineStr">
        <is>
          <t>TN</t>
        </is>
      </c>
      <c r="G774" t="n">
        <v>1577</v>
      </c>
      <c r="H774" t="inlineStr">
        <is>
          <t>Grava de Rio de 1/2" Risaralda</t>
        </is>
      </c>
    </row>
    <row r="775">
      <c r="A775" t="n">
        <v>10047545</v>
      </c>
      <c r="B775" t="inlineStr">
        <is>
          <t>ZFE3</t>
        </is>
      </c>
      <c r="C775" t="inlineStr">
        <is>
          <t>1000</t>
        </is>
      </c>
      <c r="D775" t="inlineStr">
        <is>
          <t>M3</t>
        </is>
      </c>
      <c r="E775" t="n">
        <v>1000</v>
      </c>
      <c r="F775" t="inlineStr">
        <is>
          <t>TN</t>
        </is>
      </c>
      <c r="G775" t="n">
        <v>1460</v>
      </c>
      <c r="H775" t="inlineStr">
        <is>
          <t>Grava Triturada Caliza 20 mm - 3/4" -B</t>
        </is>
      </c>
    </row>
    <row r="776">
      <c r="A776" t="n">
        <v>10047573</v>
      </c>
      <c r="B776" t="inlineStr">
        <is>
          <t>ZFE3</t>
        </is>
      </c>
      <c r="C776" t="inlineStr">
        <is>
          <t>1000</t>
        </is>
      </c>
      <c r="D776" t="inlineStr">
        <is>
          <t>M3</t>
        </is>
      </c>
      <c r="E776" t="n">
        <v>1000</v>
      </c>
      <c r="F776" t="inlineStr">
        <is>
          <t>TN</t>
        </is>
      </c>
      <c r="G776" t="n">
        <v>1607</v>
      </c>
      <c r="H776" t="inlineStr">
        <is>
          <t>Arena Triturada Caliza Malla 4</t>
        </is>
      </c>
    </row>
    <row r="777">
      <c r="A777" t="n">
        <v>10047581</v>
      </c>
      <c r="B777" t="inlineStr">
        <is>
          <t>ZFE3</t>
        </is>
      </c>
      <c r="C777" t="inlineStr">
        <is>
          <t>1000</t>
        </is>
      </c>
      <c r="D777" t="inlineStr">
        <is>
          <t>M3</t>
        </is>
      </c>
      <c r="E777" t="n">
        <v>1000</v>
      </c>
      <c r="F777" t="inlineStr">
        <is>
          <t>TN</t>
        </is>
      </c>
      <c r="G777" t="n">
        <v>1444</v>
      </c>
      <c r="H777" t="inlineStr">
        <is>
          <t>Grava Triturada Caliza 40mm-1 1/2" -40-4</t>
        </is>
      </c>
    </row>
    <row r="778">
      <c r="A778" t="n">
        <v>10048106</v>
      </c>
      <c r="B778" t="inlineStr">
        <is>
          <t>ZFE3</t>
        </is>
      </c>
      <c r="C778" t="inlineStr">
        <is>
          <t>1000</t>
        </is>
      </c>
      <c r="D778" t="inlineStr">
        <is>
          <t>M3</t>
        </is>
      </c>
      <c r="E778" t="n">
        <v>1000</v>
      </c>
      <c r="F778" t="inlineStr">
        <is>
          <t>TN</t>
        </is>
      </c>
      <c r="G778" t="n">
        <v>1400</v>
      </c>
      <c r="H778" t="inlineStr">
        <is>
          <t>Arena Clasificada Río Malla 4</t>
        </is>
      </c>
    </row>
    <row r="779">
      <c r="A779" t="n">
        <v>10048271</v>
      </c>
      <c r="B779" t="inlineStr">
        <is>
          <t>ZFE3</t>
        </is>
      </c>
      <c r="C779" t="inlineStr">
        <is>
          <t>1000</t>
        </is>
      </c>
      <c r="D779" t="inlineStr">
        <is>
          <t>M3</t>
        </is>
      </c>
      <c r="E779" t="n">
        <v>1000</v>
      </c>
      <c r="F779" t="inlineStr">
        <is>
          <t>TN</t>
        </is>
      </c>
      <c r="G779" t="n">
        <v>1504</v>
      </c>
      <c r="H779" t="inlineStr">
        <is>
          <t>Grava Triturada Granito 10 mm - 3/8"</t>
        </is>
      </c>
    </row>
    <row r="780">
      <c r="A780" t="n">
        <v>10048387</v>
      </c>
      <c r="B780" t="inlineStr">
        <is>
          <t>ZFE3</t>
        </is>
      </c>
      <c r="C780" t="inlineStr">
        <is>
          <t>1000</t>
        </is>
      </c>
      <c r="D780" t="inlineStr">
        <is>
          <t>M3</t>
        </is>
      </c>
      <c r="E780" t="n">
        <v>1000</v>
      </c>
      <c r="F780" t="inlineStr">
        <is>
          <t>TN</t>
        </is>
      </c>
      <c r="G780" t="n">
        <v>1430</v>
      </c>
      <c r="H780" t="inlineStr">
        <is>
          <t>Grava Triturada Granito 10 mm - 3/8"</t>
        </is>
      </c>
    </row>
    <row r="781">
      <c r="A781" t="n">
        <v>10048920</v>
      </c>
      <c r="B781" t="inlineStr">
        <is>
          <t>ZFE3</t>
        </is>
      </c>
      <c r="C781" t="inlineStr">
        <is>
          <t>1000</t>
        </is>
      </c>
      <c r="D781" t="inlineStr">
        <is>
          <t>M3</t>
        </is>
      </c>
      <c r="E781" t="n">
        <v>1000</v>
      </c>
      <c r="F781" t="inlineStr">
        <is>
          <t>TN</t>
        </is>
      </c>
      <c r="G781" t="n">
        <v>1308</v>
      </c>
      <c r="H781" t="inlineStr">
        <is>
          <t>Grava Triturada Caliza 20 mm - 3/4"</t>
        </is>
      </c>
    </row>
    <row r="782">
      <c r="A782" t="n">
        <v>10049213</v>
      </c>
      <c r="B782" t="inlineStr">
        <is>
          <t>ZFE3</t>
        </is>
      </c>
      <c r="C782" t="inlineStr">
        <is>
          <t>1000</t>
        </is>
      </c>
      <c r="D782" t="inlineStr">
        <is>
          <t>M3</t>
        </is>
      </c>
      <c r="E782" t="n">
        <v>1000</v>
      </c>
      <c r="F782" t="inlineStr">
        <is>
          <t>TN</t>
        </is>
      </c>
      <c r="G782" t="n">
        <v>1420</v>
      </c>
      <c r="H782" t="inlineStr">
        <is>
          <t>Arena Clasificada Río Malla 4</t>
        </is>
      </c>
    </row>
    <row r="783">
      <c r="A783" t="n">
        <v>10049215</v>
      </c>
      <c r="B783" t="inlineStr">
        <is>
          <t>ZFE3</t>
        </is>
      </c>
      <c r="C783" t="inlineStr">
        <is>
          <t>1000</t>
        </is>
      </c>
      <c r="D783" t="inlineStr">
        <is>
          <t>M3</t>
        </is>
      </c>
      <c r="E783" t="n">
        <v>1000</v>
      </c>
      <c r="F783" t="inlineStr">
        <is>
          <t>TN</t>
        </is>
      </c>
      <c r="G783" t="n">
        <v>1490</v>
      </c>
      <c r="H783" t="inlineStr">
        <is>
          <t>Grava Clasificada Río  10 mm -  3/8"</t>
        </is>
      </c>
    </row>
    <row r="784">
      <c r="A784" t="n">
        <v>10049216</v>
      </c>
      <c r="B784" t="inlineStr">
        <is>
          <t>ZFE3</t>
        </is>
      </c>
      <c r="C784" t="inlineStr">
        <is>
          <t>1000</t>
        </is>
      </c>
      <c r="D784" t="inlineStr">
        <is>
          <t>M3</t>
        </is>
      </c>
      <c r="E784" t="n">
        <v>1000</v>
      </c>
      <c r="F784" t="inlineStr">
        <is>
          <t>TN</t>
        </is>
      </c>
      <c r="G784" t="n">
        <v>1557</v>
      </c>
      <c r="H784" t="inlineStr">
        <is>
          <t>Grava Clasificada Rio 20 mm - 3/4"</t>
        </is>
      </c>
    </row>
    <row r="785">
      <c r="A785" t="n">
        <v>10049217</v>
      </c>
      <c r="B785" t="inlineStr">
        <is>
          <t>ZFE3</t>
        </is>
      </c>
      <c r="C785" t="inlineStr">
        <is>
          <t>1000</t>
        </is>
      </c>
      <c r="D785" t="inlineStr">
        <is>
          <t>M3</t>
        </is>
      </c>
      <c r="E785" t="n">
        <v>1000</v>
      </c>
      <c r="F785" t="inlineStr">
        <is>
          <t>TN</t>
        </is>
      </c>
      <c r="G785" t="n">
        <v>1550</v>
      </c>
      <c r="H785" t="inlineStr">
        <is>
          <t>Grava Clasificada Rio 40 mm - 1 1/2"</t>
        </is>
      </c>
    </row>
    <row r="786">
      <c r="A786" t="n">
        <v>10049554</v>
      </c>
      <c r="B786" t="inlineStr">
        <is>
          <t>ZFE3</t>
        </is>
      </c>
      <c r="C786" t="inlineStr">
        <is>
          <t>1000</t>
        </is>
      </c>
      <c r="D786" t="inlineStr">
        <is>
          <t>M3</t>
        </is>
      </c>
      <c r="E786" t="n">
        <v>1000</v>
      </c>
      <c r="F786" t="inlineStr">
        <is>
          <t>TN</t>
        </is>
      </c>
      <c r="G786" t="n">
        <v>1278</v>
      </c>
      <c r="H786" t="inlineStr">
        <is>
          <t>Grava Triturada Basalto 20 mm - 3/4"</t>
        </is>
      </c>
    </row>
    <row r="787">
      <c r="A787" t="n">
        <v>10049556</v>
      </c>
      <c r="B787" t="inlineStr">
        <is>
          <t>ZFE3</t>
        </is>
      </c>
      <c r="C787" t="inlineStr">
        <is>
          <t>1000</t>
        </is>
      </c>
      <c r="D787" t="inlineStr">
        <is>
          <t>M3</t>
        </is>
      </c>
      <c r="E787" t="n">
        <v>1000</v>
      </c>
      <c r="F787" t="inlineStr">
        <is>
          <t>TN</t>
        </is>
      </c>
      <c r="G787" t="n">
        <v>1328</v>
      </c>
      <c r="H787" t="inlineStr">
        <is>
          <t>Grava Triturada Basalto 10 mm - 3/8"</t>
        </is>
      </c>
    </row>
    <row r="788">
      <c r="A788" t="n">
        <v>10049558</v>
      </c>
      <c r="B788" t="inlineStr">
        <is>
          <t>ZFE3</t>
        </is>
      </c>
      <c r="C788" t="inlineStr">
        <is>
          <t>1000</t>
        </is>
      </c>
      <c r="D788" t="inlineStr">
        <is>
          <t>M3</t>
        </is>
      </c>
      <c r="E788" t="n">
        <v>1000</v>
      </c>
      <c r="F788" t="inlineStr">
        <is>
          <t>TN</t>
        </is>
      </c>
      <c r="G788" t="n">
        <v>1487</v>
      </c>
      <c r="H788" t="inlineStr">
        <is>
          <t>Arena Clasificada Río Malla 4</t>
        </is>
      </c>
    </row>
    <row r="789">
      <c r="A789" t="n">
        <v>10049559</v>
      </c>
      <c r="B789" t="inlineStr">
        <is>
          <t>ZFE3</t>
        </is>
      </c>
      <c r="C789" t="inlineStr">
        <is>
          <t>1000</t>
        </is>
      </c>
      <c r="D789" t="inlineStr">
        <is>
          <t>M3</t>
        </is>
      </c>
      <c r="E789" t="n">
        <v>1000</v>
      </c>
      <c r="F789" t="inlineStr">
        <is>
          <t>TN</t>
        </is>
      </c>
      <c r="G789" t="n">
        <v>1342</v>
      </c>
      <c r="H789" t="inlineStr">
        <is>
          <t>Grava Triturada Caliza 20 mm - 3/4"</t>
        </is>
      </c>
    </row>
    <row r="790">
      <c r="A790" t="n">
        <v>10049672</v>
      </c>
      <c r="B790" t="inlineStr">
        <is>
          <t>ZFE3</t>
        </is>
      </c>
      <c r="C790" t="inlineStr">
        <is>
          <t>1000</t>
        </is>
      </c>
      <c r="D790" t="inlineStr">
        <is>
          <t>M3</t>
        </is>
      </c>
      <c r="E790" t="n">
        <v>1000</v>
      </c>
      <c r="F790" t="inlineStr">
        <is>
          <t>TN</t>
        </is>
      </c>
      <c r="G790" t="n">
        <v>1625</v>
      </c>
      <c r="H790" t="inlineStr">
        <is>
          <t>Grava Triturada Caliza 40- 4mm - 1 1/2-4</t>
        </is>
      </c>
    </row>
    <row r="791">
      <c r="A791" t="n">
        <v>10049812</v>
      </c>
      <c r="B791" t="inlineStr">
        <is>
          <t>ZFE3</t>
        </is>
      </c>
      <c r="C791" t="inlineStr">
        <is>
          <t>1000</t>
        </is>
      </c>
      <c r="D791" t="inlineStr">
        <is>
          <t>M3</t>
        </is>
      </c>
      <c r="E791" t="n">
        <v>1000</v>
      </c>
      <c r="F791" t="inlineStr">
        <is>
          <t>TN</t>
        </is>
      </c>
      <c r="G791" t="n">
        <v>1350</v>
      </c>
      <c r="H791" t="inlineStr">
        <is>
          <t>Grava Triturada Basalto 20 mm - 3/4"</t>
        </is>
      </c>
    </row>
    <row r="792">
      <c r="A792" t="n">
        <v>10051292</v>
      </c>
      <c r="B792" t="inlineStr">
        <is>
          <t>ZFE3</t>
        </is>
      </c>
      <c r="C792" t="inlineStr">
        <is>
          <t>1000</t>
        </is>
      </c>
      <c r="D792" t="inlineStr">
        <is>
          <t>M3</t>
        </is>
      </c>
      <c r="E792" t="n">
        <v>1000</v>
      </c>
      <c r="F792" t="inlineStr">
        <is>
          <t>TN</t>
        </is>
      </c>
      <c r="G792" t="n">
        <v>1537</v>
      </c>
      <c r="H792" t="inlineStr">
        <is>
          <t>Arena Triturada Basalto Malla 4</t>
        </is>
      </c>
    </row>
    <row r="793">
      <c r="A793" t="n">
        <v>10051293</v>
      </c>
      <c r="B793" t="inlineStr">
        <is>
          <t>ZFE3</t>
        </is>
      </c>
      <c r="C793" t="inlineStr">
        <is>
          <t>1000</t>
        </is>
      </c>
      <c r="D793" t="inlineStr">
        <is>
          <t>M3</t>
        </is>
      </c>
      <c r="E793" t="n">
        <v>1000</v>
      </c>
      <c r="F793" t="inlineStr">
        <is>
          <t>TN</t>
        </is>
      </c>
      <c r="G793" t="n">
        <v>1403</v>
      </c>
      <c r="H793" t="inlineStr">
        <is>
          <t>Grava Triturada Basalto 20 mm - 3/4"</t>
        </is>
      </c>
    </row>
    <row r="794">
      <c r="A794" t="n">
        <v>10051294</v>
      </c>
      <c r="B794" t="inlineStr">
        <is>
          <t>ZFE3</t>
        </is>
      </c>
      <c r="C794" t="inlineStr">
        <is>
          <t>1000</t>
        </is>
      </c>
      <c r="D794" t="inlineStr">
        <is>
          <t>M3</t>
        </is>
      </c>
      <c r="E794" t="n">
        <v>1000</v>
      </c>
      <c r="F794" t="inlineStr">
        <is>
          <t>TN</t>
        </is>
      </c>
      <c r="G794" t="n">
        <v>1438</v>
      </c>
      <c r="H794" t="inlineStr">
        <is>
          <t>Grava Triturada Basalto 40 mm - 1 1/2"</t>
        </is>
      </c>
    </row>
    <row r="795">
      <c r="A795" t="n">
        <v>10051295</v>
      </c>
      <c r="B795" t="inlineStr">
        <is>
          <t>ZFE3</t>
        </is>
      </c>
      <c r="C795" t="inlineStr">
        <is>
          <t>1000</t>
        </is>
      </c>
      <c r="D795" t="inlineStr">
        <is>
          <t>M3</t>
        </is>
      </c>
      <c r="E795" t="n">
        <v>1000</v>
      </c>
      <c r="F795" t="inlineStr">
        <is>
          <t>TN</t>
        </is>
      </c>
      <c r="G795" t="n">
        <v>1253</v>
      </c>
      <c r="H795" t="inlineStr">
        <is>
          <t>Grava Triturada Basalto 10 mm - 3/8"</t>
        </is>
      </c>
    </row>
    <row r="796">
      <c r="A796" t="n">
        <v>10051296</v>
      </c>
      <c r="B796" t="inlineStr">
        <is>
          <t>ZFE3</t>
        </is>
      </c>
      <c r="C796" t="inlineStr">
        <is>
          <t>1000</t>
        </is>
      </c>
      <c r="D796" t="inlineStr">
        <is>
          <t>M3</t>
        </is>
      </c>
      <c r="E796" t="n">
        <v>1000</v>
      </c>
      <c r="F796" t="inlineStr">
        <is>
          <t>TN</t>
        </is>
      </c>
      <c r="G796" t="n">
        <v>1406</v>
      </c>
      <c r="H796" t="inlineStr">
        <is>
          <t>Grava Triturada Basalto 20 mm - 3/4"-A</t>
        </is>
      </c>
    </row>
    <row r="797">
      <c r="A797" t="n">
        <v>10051297</v>
      </c>
      <c r="B797" t="inlineStr">
        <is>
          <t>ZFE3</t>
        </is>
      </c>
      <c r="C797" t="inlineStr">
        <is>
          <t>1000</t>
        </is>
      </c>
      <c r="D797" t="inlineStr">
        <is>
          <t>M3</t>
        </is>
      </c>
      <c r="E797" t="n">
        <v>1000</v>
      </c>
      <c r="F797" t="inlineStr">
        <is>
          <t>TN</t>
        </is>
      </c>
      <c r="G797" t="n">
        <v>1700</v>
      </c>
      <c r="H797" t="inlineStr">
        <is>
          <t>Base H Triturada Basalto 1 1/2" a Finos</t>
        </is>
      </c>
    </row>
    <row r="798">
      <c r="A798" t="n">
        <v>10051623</v>
      </c>
      <c r="B798" t="inlineStr">
        <is>
          <t>ZFE3</t>
        </is>
      </c>
      <c r="C798" t="inlineStr">
        <is>
          <t>1000</t>
        </is>
      </c>
      <c r="D798" t="inlineStr">
        <is>
          <t>M3</t>
        </is>
      </c>
      <c r="E798" t="n">
        <v>1000</v>
      </c>
      <c r="F798" t="inlineStr">
        <is>
          <t>TN</t>
        </is>
      </c>
      <c r="G798" t="n">
        <v>1682</v>
      </c>
      <c r="H798" t="inlineStr">
        <is>
          <t>Arena Triturada Basalto Malla 4 "B"</t>
        </is>
      </c>
    </row>
    <row r="799">
      <c r="A799" t="n">
        <v>10051845</v>
      </c>
      <c r="B799" t="inlineStr">
        <is>
          <t>ZFE3</t>
        </is>
      </c>
      <c r="C799" t="inlineStr">
        <is>
          <t>1000</t>
        </is>
      </c>
      <c r="D799" t="inlineStr">
        <is>
          <t>M3</t>
        </is>
      </c>
      <c r="E799" t="n">
        <v>1000</v>
      </c>
      <c r="F799" t="inlineStr">
        <is>
          <t>TN</t>
        </is>
      </c>
      <c r="G799" t="n">
        <v>1734</v>
      </c>
      <c r="H799" t="inlineStr">
        <is>
          <t>ARENA TRITURADA CACHIBI</t>
        </is>
      </c>
    </row>
    <row r="800">
      <c r="A800" t="n">
        <v>10051978</v>
      </c>
      <c r="B800" t="inlineStr">
        <is>
          <t>ZFE3</t>
        </is>
      </c>
      <c r="C800" t="inlineStr">
        <is>
          <t>1000</t>
        </is>
      </c>
      <c r="D800" t="inlineStr">
        <is>
          <t>M3</t>
        </is>
      </c>
      <c r="E800" t="n">
        <v>1000</v>
      </c>
      <c r="F800" t="inlineStr">
        <is>
          <t>TN</t>
        </is>
      </c>
      <c r="G800" t="n">
        <v>1680</v>
      </c>
      <c r="H800" t="inlineStr">
        <is>
          <t>Crudo Basalto</t>
        </is>
      </c>
    </row>
    <row r="801">
      <c r="A801" t="n">
        <v>10052363</v>
      </c>
      <c r="B801" t="inlineStr">
        <is>
          <t>ZFE3</t>
        </is>
      </c>
      <c r="C801" t="inlineStr">
        <is>
          <t>1000</t>
        </is>
      </c>
      <c r="D801" t="inlineStr">
        <is>
          <t>M3</t>
        </is>
      </c>
      <c r="E801" t="n">
        <v>1000</v>
      </c>
      <c r="F801" t="inlineStr">
        <is>
          <t>TN</t>
        </is>
      </c>
      <c r="G801" t="n">
        <v>1589</v>
      </c>
      <c r="H801" t="inlineStr">
        <is>
          <t>Arena Clasificada Río Malla 4 - Lavado</t>
        </is>
      </c>
    </row>
    <row r="802">
      <c r="A802" t="n">
        <v>10052364</v>
      </c>
      <c r="B802" t="inlineStr">
        <is>
          <t>ZFE3</t>
        </is>
      </c>
      <c r="C802" t="inlineStr">
        <is>
          <t>1000</t>
        </is>
      </c>
      <c r="D802" t="inlineStr">
        <is>
          <t>M3</t>
        </is>
      </c>
      <c r="E802" t="n">
        <v>1000</v>
      </c>
      <c r="F802" t="inlineStr">
        <is>
          <t>TN</t>
        </is>
      </c>
      <c r="G802" t="n">
        <v>1166</v>
      </c>
      <c r="H802" t="inlineStr">
        <is>
          <t>Grava Triturada Caliza 10 mm - 3/8"</t>
        </is>
      </c>
    </row>
    <row r="803">
      <c r="A803" t="n">
        <v>10052365</v>
      </c>
      <c r="B803" t="inlineStr">
        <is>
          <t>ZFE3</t>
        </is>
      </c>
      <c r="C803" t="inlineStr">
        <is>
          <t>1000</t>
        </is>
      </c>
      <c r="D803" t="inlineStr">
        <is>
          <t>M3</t>
        </is>
      </c>
      <c r="E803" t="n">
        <v>1000</v>
      </c>
      <c r="F803" t="inlineStr">
        <is>
          <t>TN</t>
        </is>
      </c>
      <c r="G803" t="n">
        <v>1285</v>
      </c>
      <c r="H803" t="inlineStr">
        <is>
          <t>Grava Triturada Caliza 20 mm - 3/4"</t>
        </is>
      </c>
    </row>
    <row r="804">
      <c r="A804" t="n">
        <v>10052366</v>
      </c>
      <c r="B804" t="inlineStr">
        <is>
          <t>ZFE3</t>
        </is>
      </c>
      <c r="C804" t="inlineStr">
        <is>
          <t>1000</t>
        </is>
      </c>
      <c r="D804" t="inlineStr">
        <is>
          <t>M3</t>
        </is>
      </c>
      <c r="E804" t="n">
        <v>1000</v>
      </c>
      <c r="F804" t="inlineStr">
        <is>
          <t>TN</t>
        </is>
      </c>
      <c r="G804" t="n">
        <v>1249</v>
      </c>
      <c r="H804" t="inlineStr">
        <is>
          <t>Grava Triturada Caliza  40 mm - 1 1/2"</t>
        </is>
      </c>
    </row>
    <row r="805">
      <c r="A805" t="n">
        <v>10052400</v>
      </c>
      <c r="B805" t="inlineStr">
        <is>
          <t>ZFE3</t>
        </is>
      </c>
      <c r="C805" t="inlineStr">
        <is>
          <t>1000</t>
        </is>
      </c>
      <c r="D805" t="inlineStr">
        <is>
          <t>M3</t>
        </is>
      </c>
      <c r="E805" t="n">
        <v>1000</v>
      </c>
      <c r="F805" t="inlineStr">
        <is>
          <t>TN</t>
        </is>
      </c>
      <c r="G805" t="n">
        <v>1655</v>
      </c>
      <c r="H805" t="inlineStr">
        <is>
          <t>Arena Clasificada Río Malla 4 - Lavado</t>
        </is>
      </c>
    </row>
    <row r="806">
      <c r="A806" t="n">
        <v>10052402</v>
      </c>
      <c r="B806" t="inlineStr">
        <is>
          <t>ZFE3</t>
        </is>
      </c>
      <c r="C806" t="inlineStr">
        <is>
          <t>1000</t>
        </is>
      </c>
      <c r="D806" t="inlineStr">
        <is>
          <t>M3</t>
        </is>
      </c>
      <c r="E806" t="n">
        <v>1000</v>
      </c>
      <c r="F806" t="inlineStr">
        <is>
          <t>TN</t>
        </is>
      </c>
      <c r="G806" t="n">
        <v>1431</v>
      </c>
      <c r="H806" t="inlineStr">
        <is>
          <t>Grava Riolita 10 MM (3/8")</t>
        </is>
      </c>
    </row>
    <row r="807">
      <c r="A807" t="n">
        <v>10052404</v>
      </c>
      <c r="B807" t="inlineStr">
        <is>
          <t>ZFE3</t>
        </is>
      </c>
      <c r="C807" t="inlineStr">
        <is>
          <t>1000</t>
        </is>
      </c>
      <c r="D807" t="inlineStr">
        <is>
          <t>M3</t>
        </is>
      </c>
      <c r="E807" t="n">
        <v>1000</v>
      </c>
      <c r="F807" t="inlineStr">
        <is>
          <t>TN</t>
        </is>
      </c>
      <c r="G807" t="n">
        <v>1445</v>
      </c>
      <c r="H807" t="inlineStr">
        <is>
          <t>Grava Riolita 20 MM (3/4")</t>
        </is>
      </c>
    </row>
    <row r="808">
      <c r="A808" t="n">
        <v>10052405</v>
      </c>
      <c r="B808" t="inlineStr">
        <is>
          <t>ZFE3</t>
        </is>
      </c>
      <c r="C808" t="inlineStr">
        <is>
          <t>1000</t>
        </is>
      </c>
      <c r="D808" t="inlineStr">
        <is>
          <t>M3</t>
        </is>
      </c>
      <c r="E808" t="n">
        <v>1000</v>
      </c>
      <c r="F808" t="inlineStr">
        <is>
          <t>TN</t>
        </is>
      </c>
      <c r="G808" t="n">
        <v>1480</v>
      </c>
      <c r="H808" t="inlineStr">
        <is>
          <t>Grava Riolita 40 MM (1 1/2")</t>
        </is>
      </c>
    </row>
    <row r="809">
      <c r="A809" t="n">
        <v>10052407</v>
      </c>
      <c r="B809" t="inlineStr">
        <is>
          <t>ZFE3</t>
        </is>
      </c>
      <c r="C809" t="inlineStr">
        <is>
          <t>1000</t>
        </is>
      </c>
      <c r="D809" t="inlineStr">
        <is>
          <t>M3</t>
        </is>
      </c>
      <c r="E809" t="n">
        <v>1000</v>
      </c>
      <c r="F809" t="inlineStr">
        <is>
          <t>TN</t>
        </is>
      </c>
      <c r="G809" t="n">
        <v>1510</v>
      </c>
      <c r="H809" t="inlineStr">
        <is>
          <t>Arena Triturada Rio Malla 4</t>
        </is>
      </c>
    </row>
    <row r="810">
      <c r="A810" t="n">
        <v>10052411</v>
      </c>
      <c r="B810" t="inlineStr">
        <is>
          <t>ZFE3</t>
        </is>
      </c>
      <c r="C810" t="inlineStr">
        <is>
          <t>1000</t>
        </is>
      </c>
      <c r="D810" t="inlineStr">
        <is>
          <t>M3</t>
        </is>
      </c>
      <c r="E810" t="n">
        <v>1000</v>
      </c>
      <c r="F810" t="inlineStr">
        <is>
          <t>TN</t>
        </is>
      </c>
      <c r="G810" t="n">
        <v>1261</v>
      </c>
      <c r="H810" t="inlineStr">
        <is>
          <t>Grava Triturada Caliza 10 mm - 3/8"</t>
        </is>
      </c>
    </row>
    <row r="811">
      <c r="A811" t="n">
        <v>10052413</v>
      </c>
      <c r="B811" t="inlineStr">
        <is>
          <t>ZFE3</t>
        </is>
      </c>
      <c r="C811" t="inlineStr">
        <is>
          <t>1000</t>
        </is>
      </c>
      <c r="D811" t="inlineStr">
        <is>
          <t>M3</t>
        </is>
      </c>
      <c r="E811" t="n">
        <v>1000</v>
      </c>
      <c r="F811" t="inlineStr">
        <is>
          <t>TN</t>
        </is>
      </c>
      <c r="G811" t="n">
        <v>1220</v>
      </c>
      <c r="H811" t="inlineStr">
        <is>
          <t>Grava Triturada Caliza 20 mm - 3/4"</t>
        </is>
      </c>
    </row>
    <row r="812">
      <c r="A812" t="n">
        <v>10052414</v>
      </c>
      <c r="B812" t="inlineStr">
        <is>
          <t>ZFE3</t>
        </is>
      </c>
      <c r="C812" t="inlineStr">
        <is>
          <t>1000</t>
        </is>
      </c>
      <c r="D812" t="inlineStr">
        <is>
          <t>M3</t>
        </is>
      </c>
      <c r="E812" t="n">
        <v>1000</v>
      </c>
      <c r="F812" t="inlineStr">
        <is>
          <t>TN</t>
        </is>
      </c>
      <c r="G812" t="n">
        <v>1275</v>
      </c>
      <c r="H812" t="inlineStr">
        <is>
          <t>Grava Triturada Caliza  40 mm - 1 1/2"</t>
        </is>
      </c>
    </row>
    <row r="813">
      <c r="A813" t="n">
        <v>10052415</v>
      </c>
      <c r="B813" t="inlineStr">
        <is>
          <t>ZFE3</t>
        </is>
      </c>
      <c r="C813" t="inlineStr">
        <is>
          <t>1000</t>
        </is>
      </c>
      <c r="D813" t="inlineStr">
        <is>
          <t>M3</t>
        </is>
      </c>
      <c r="E813" t="n">
        <v>1000</v>
      </c>
      <c r="F813" t="inlineStr">
        <is>
          <t>TN</t>
        </is>
      </c>
      <c r="G813" t="n">
        <v>1378</v>
      </c>
      <c r="H813" t="inlineStr">
        <is>
          <t>Grava Triturada Caliza 20 mm - 3/4"</t>
        </is>
      </c>
    </row>
    <row r="814">
      <c r="A814" t="n">
        <v>10052416</v>
      </c>
      <c r="B814" t="inlineStr">
        <is>
          <t>ZFE3</t>
        </is>
      </c>
      <c r="C814" t="inlineStr">
        <is>
          <t>1000</t>
        </is>
      </c>
      <c r="D814" t="inlineStr">
        <is>
          <t>M3</t>
        </is>
      </c>
      <c r="E814" t="n">
        <v>1000</v>
      </c>
      <c r="F814" t="inlineStr">
        <is>
          <t>TN</t>
        </is>
      </c>
      <c r="G814" t="n">
        <v>1334</v>
      </c>
      <c r="H814" t="inlineStr">
        <is>
          <t>Grava Triturada Caliza  40 mm - 1 1/2"</t>
        </is>
      </c>
    </row>
    <row r="815">
      <c r="A815" t="n">
        <v>10052418</v>
      </c>
      <c r="B815" t="inlineStr">
        <is>
          <t>ZFE3</t>
        </is>
      </c>
      <c r="C815" t="inlineStr">
        <is>
          <t>1000</t>
        </is>
      </c>
      <c r="D815" t="inlineStr">
        <is>
          <t>M3</t>
        </is>
      </c>
      <c r="E815" t="n">
        <v>1000</v>
      </c>
      <c r="F815" t="inlineStr">
        <is>
          <t>TN</t>
        </is>
      </c>
      <c r="G815" t="n">
        <v>1539</v>
      </c>
      <c r="H815" t="inlineStr">
        <is>
          <t>Grava Clasificada Río  10 mm -  3/8"</t>
        </is>
      </c>
    </row>
    <row r="816">
      <c r="A816" t="n">
        <v>10052421</v>
      </c>
      <c r="B816" t="inlineStr">
        <is>
          <t>ZFE3</t>
        </is>
      </c>
      <c r="C816" t="inlineStr">
        <is>
          <t>1000</t>
        </is>
      </c>
      <c r="D816" t="inlineStr">
        <is>
          <t>M3</t>
        </is>
      </c>
      <c r="E816" t="n">
        <v>1000</v>
      </c>
      <c r="F816" t="inlineStr">
        <is>
          <t>TN</t>
        </is>
      </c>
      <c r="G816" t="n">
        <v>1250</v>
      </c>
      <c r="H816" t="inlineStr">
        <is>
          <t>Arena Clasificada Río Malla 4 - Lavado</t>
        </is>
      </c>
    </row>
    <row r="817">
      <c r="A817" t="n">
        <v>10052422</v>
      </c>
      <c r="B817" t="inlineStr">
        <is>
          <t>ZFE3</t>
        </is>
      </c>
      <c r="C817" t="inlineStr">
        <is>
          <t>1000</t>
        </is>
      </c>
      <c r="D817" t="inlineStr">
        <is>
          <t>M3</t>
        </is>
      </c>
      <c r="E817" t="n">
        <v>1000</v>
      </c>
      <c r="F817" t="inlineStr">
        <is>
          <t>TN</t>
        </is>
      </c>
      <c r="G817" t="n">
        <v>1437</v>
      </c>
      <c r="H817" t="inlineStr">
        <is>
          <t>Arena Clasificada Río Malla 4</t>
        </is>
      </c>
    </row>
    <row r="818">
      <c r="A818" t="n">
        <v>10052425</v>
      </c>
      <c r="B818" t="inlineStr">
        <is>
          <t>ZFE3</t>
        </is>
      </c>
      <c r="C818" t="inlineStr">
        <is>
          <t>1000</t>
        </is>
      </c>
      <c r="D818" t="inlineStr">
        <is>
          <t>M3</t>
        </is>
      </c>
      <c r="E818" t="n">
        <v>1000</v>
      </c>
      <c r="F818" t="inlineStr">
        <is>
          <t>TN</t>
        </is>
      </c>
      <c r="G818" t="n">
        <v>1364</v>
      </c>
      <c r="H818" t="inlineStr">
        <is>
          <t>Arena Triturada Caliza Malla 4</t>
        </is>
      </c>
    </row>
    <row r="819">
      <c r="A819" t="n">
        <v>10053281</v>
      </c>
      <c r="B819" t="inlineStr">
        <is>
          <t>ZFE3</t>
        </is>
      </c>
      <c r="C819" t="inlineStr">
        <is>
          <t>1000</t>
        </is>
      </c>
      <c r="D819" t="inlineStr">
        <is>
          <t>M3</t>
        </is>
      </c>
      <c r="E819" t="n">
        <v>1000</v>
      </c>
      <c r="F819" t="inlineStr">
        <is>
          <t>TN</t>
        </is>
      </c>
      <c r="G819" t="n">
        <v>1375</v>
      </c>
      <c r="H819" t="inlineStr">
        <is>
          <t>Grava Triturada Caliza 20 mm - 3/4"</t>
        </is>
      </c>
    </row>
    <row r="820">
      <c r="A820" t="n">
        <v>10053287</v>
      </c>
      <c r="B820" t="inlineStr">
        <is>
          <t>ZFE3</t>
        </is>
      </c>
      <c r="C820" t="inlineStr">
        <is>
          <t>1000</t>
        </is>
      </c>
      <c r="D820" t="inlineStr">
        <is>
          <t>M3</t>
        </is>
      </c>
      <c r="E820" t="n">
        <v>1000</v>
      </c>
      <c r="F820" t="inlineStr">
        <is>
          <t>TN</t>
        </is>
      </c>
      <c r="G820" t="n">
        <v>1593</v>
      </c>
      <c r="H820" t="inlineStr">
        <is>
          <t>Arena Aluvial JPMC La Sierra</t>
        </is>
      </c>
    </row>
    <row r="821">
      <c r="A821" t="n">
        <v>10053330</v>
      </c>
      <c r="B821" t="inlineStr">
        <is>
          <t>ZFER</t>
        </is>
      </c>
      <c r="C821" t="inlineStr">
        <is>
          <t>1000</t>
        </is>
      </c>
      <c r="D821" t="inlineStr">
        <is>
          <t>M3</t>
        </is>
      </c>
      <c r="E821" t="n">
        <v>1000</v>
      </c>
      <c r="F821" t="inlineStr">
        <is>
          <t>TN</t>
        </is>
      </c>
      <c r="G821" t="n">
        <v>1400</v>
      </c>
      <c r="H821" t="inlineStr">
        <is>
          <t>GR Basalto 40 mm (1 1/2")</t>
        </is>
      </c>
    </row>
    <row r="822">
      <c r="A822" t="n">
        <v>10053338</v>
      </c>
      <c r="B822" t="inlineStr">
        <is>
          <t>ZFE3</t>
        </is>
      </c>
      <c r="C822" t="inlineStr">
        <is>
          <t>1000</t>
        </is>
      </c>
      <c r="D822" t="inlineStr">
        <is>
          <t>M3</t>
        </is>
      </c>
      <c r="E822" t="n">
        <v>1000</v>
      </c>
      <c r="F822" t="inlineStr">
        <is>
          <t>TN</t>
        </is>
      </c>
      <c r="G822" t="n">
        <v>1510</v>
      </c>
      <c r="H822" t="inlineStr">
        <is>
          <t>GRAVIER 10/20 MM VFM</t>
        </is>
      </c>
    </row>
    <row r="823">
      <c r="A823" t="n">
        <v>10053339</v>
      </c>
      <c r="B823" t="inlineStr">
        <is>
          <t>ZFE3</t>
        </is>
      </c>
      <c r="C823" t="inlineStr">
        <is>
          <t>1000</t>
        </is>
      </c>
      <c r="D823" t="inlineStr">
        <is>
          <t>M3</t>
        </is>
      </c>
      <c r="E823" t="n">
        <v>1000</v>
      </c>
      <c r="F823" t="inlineStr">
        <is>
          <t>TN</t>
        </is>
      </c>
      <c r="G823" t="n">
        <v>1530</v>
      </c>
      <c r="H823" t="inlineStr">
        <is>
          <t>Gravier 6/12 mm KEMPIECES</t>
        </is>
      </c>
    </row>
    <row r="824">
      <c r="A824" t="n">
        <v>10056764</v>
      </c>
      <c r="B824" t="inlineStr">
        <is>
          <t>ZFE3</t>
        </is>
      </c>
      <c r="C824" t="inlineStr">
        <is>
          <t>1000</t>
        </is>
      </c>
      <c r="D824" t="inlineStr">
        <is>
          <t>M3</t>
        </is>
      </c>
      <c r="E824" t="n">
        <v>1000</v>
      </c>
      <c r="F824" t="inlineStr">
        <is>
          <t>TN</t>
        </is>
      </c>
      <c r="G824" t="n">
        <v>1376</v>
      </c>
      <c r="H824" t="inlineStr">
        <is>
          <t>PIEDRA NO.7 (1/2 - NO.4) VAL</t>
        </is>
      </c>
    </row>
    <row r="825">
      <c r="A825" t="n">
        <v>10057619</v>
      </c>
      <c r="B825" t="inlineStr">
        <is>
          <t>ZFE3</t>
        </is>
      </c>
      <c r="C825" t="inlineStr">
        <is>
          <t>1000</t>
        </is>
      </c>
      <c r="D825" t="inlineStr">
        <is>
          <t>M3</t>
        </is>
      </c>
      <c r="E825" t="n">
        <v>1000</v>
      </c>
      <c r="F825" t="inlineStr">
        <is>
          <t>TN</t>
        </is>
      </c>
      <c r="G825" t="n">
        <v>1504</v>
      </c>
      <c r="H825" t="inlineStr">
        <is>
          <t>Grava Triturada Basalto 13mm - 1/2"</t>
        </is>
      </c>
    </row>
    <row r="826">
      <c r="A826" t="n">
        <v>10057633</v>
      </c>
      <c r="B826" t="inlineStr">
        <is>
          <t>ZFE3</t>
        </is>
      </c>
      <c r="C826" t="inlineStr">
        <is>
          <t>1000</t>
        </is>
      </c>
      <c r="D826" t="inlineStr">
        <is>
          <t>M3</t>
        </is>
      </c>
      <c r="E826" t="n">
        <v>1000</v>
      </c>
      <c r="F826" t="inlineStr">
        <is>
          <t>TN</t>
        </is>
      </c>
      <c r="G826" t="n">
        <v>1292</v>
      </c>
      <c r="H826" t="inlineStr">
        <is>
          <t>Grava Triturada Basalto 10 mm - 3/8"</t>
        </is>
      </c>
    </row>
    <row r="827">
      <c r="A827" t="n">
        <v>10058345</v>
      </c>
      <c r="B827" t="inlineStr">
        <is>
          <t>ZFE3</t>
        </is>
      </c>
      <c r="C827" t="inlineStr">
        <is>
          <t>1000</t>
        </is>
      </c>
      <c r="D827" t="inlineStr">
        <is>
          <t>M3</t>
        </is>
      </c>
      <c r="E827" t="n">
        <v>1000</v>
      </c>
      <c r="F827" t="inlineStr">
        <is>
          <t>TN</t>
        </is>
      </c>
      <c r="G827" t="n">
        <v>1575</v>
      </c>
      <c r="H827" t="inlineStr">
        <is>
          <t>Arena Triturada Caliza Malla 4</t>
        </is>
      </c>
    </row>
    <row r="828">
      <c r="A828" t="n">
        <v>10058363</v>
      </c>
      <c r="B828" t="inlineStr">
        <is>
          <t>ZFE3</t>
        </is>
      </c>
      <c r="C828" t="inlineStr">
        <is>
          <t>1000</t>
        </is>
      </c>
      <c r="D828" t="inlineStr">
        <is>
          <t>M3</t>
        </is>
      </c>
      <c r="E828" t="n">
        <v>1000</v>
      </c>
      <c r="F828" t="inlineStr">
        <is>
          <t>TN</t>
        </is>
      </c>
      <c r="G828" t="n">
        <v>1511</v>
      </c>
      <c r="H828" t="inlineStr">
        <is>
          <t>ARENA BASALTO SÍLICE/CUARZO BLOCK</t>
        </is>
      </c>
    </row>
    <row r="829">
      <c r="A829" t="n">
        <v>10058501</v>
      </c>
      <c r="B829" t="inlineStr">
        <is>
          <t>ZFER</t>
        </is>
      </c>
      <c r="C829" t="inlineStr">
        <is>
          <t>1000</t>
        </is>
      </c>
      <c r="D829" t="inlineStr">
        <is>
          <t>M3</t>
        </is>
      </c>
      <c r="E829" t="n">
        <v>1000</v>
      </c>
      <c r="F829" t="inlineStr">
        <is>
          <t>TN</t>
        </is>
      </c>
      <c r="G829" t="n">
        <v>1630</v>
      </c>
      <c r="H829" t="inlineStr">
        <is>
          <t>Base H Triturada Caliza 1 1/2" a Finos</t>
        </is>
      </c>
    </row>
    <row r="830">
      <c r="A830" t="n">
        <v>10058507</v>
      </c>
      <c r="B830" t="inlineStr">
        <is>
          <t>ZFE3</t>
        </is>
      </c>
      <c r="C830" t="inlineStr">
        <is>
          <t>1000</t>
        </is>
      </c>
      <c r="D830" t="inlineStr">
        <is>
          <t>M3</t>
        </is>
      </c>
      <c r="E830" t="n">
        <v>1000</v>
      </c>
      <c r="F830" t="inlineStr">
        <is>
          <t>TN</t>
        </is>
      </c>
      <c r="G830" t="n">
        <v>1850</v>
      </c>
      <c r="H830" t="inlineStr">
        <is>
          <t>Base H Triturada Basalto 1 1/2" a Finos</t>
        </is>
      </c>
    </row>
    <row r="831">
      <c r="A831" t="n">
        <v>10058838</v>
      </c>
      <c r="B831" t="inlineStr">
        <is>
          <t>ZFE3</t>
        </is>
      </c>
      <c r="C831" t="inlineStr">
        <is>
          <t>1000</t>
        </is>
      </c>
      <c r="D831" t="inlineStr">
        <is>
          <t>M3</t>
        </is>
      </c>
      <c r="E831" t="n">
        <v>1000</v>
      </c>
      <c r="F831" t="inlineStr">
        <is>
          <t>TN</t>
        </is>
      </c>
      <c r="G831" t="n">
        <v>1323</v>
      </c>
      <c r="H831" t="inlineStr">
        <is>
          <t>ANDESITA 20MM (3/4'')</t>
        </is>
      </c>
    </row>
    <row r="832">
      <c r="A832" t="n">
        <v>10059058</v>
      </c>
      <c r="B832" t="inlineStr">
        <is>
          <t>ZFE3</t>
        </is>
      </c>
      <c r="C832" t="inlineStr">
        <is>
          <t>1000</t>
        </is>
      </c>
      <c r="D832" t="inlineStr">
        <is>
          <t>M3</t>
        </is>
      </c>
      <c r="E832" t="n">
        <v>1000</v>
      </c>
      <c r="F832" t="inlineStr">
        <is>
          <t>TN</t>
        </is>
      </c>
      <c r="G832" t="n">
        <v>1950</v>
      </c>
      <c r="H832" t="inlineStr">
        <is>
          <t>Crudo Caliza Mina</t>
        </is>
      </c>
    </row>
    <row r="833">
      <c r="A833" t="n">
        <v>10059180</v>
      </c>
      <c r="B833" t="inlineStr">
        <is>
          <t>ZFE3</t>
        </is>
      </c>
      <c r="C833" t="inlineStr">
        <is>
          <t>1000</t>
        </is>
      </c>
      <c r="D833" t="inlineStr">
        <is>
          <t>M3</t>
        </is>
      </c>
      <c r="E833" t="n">
        <v>1000</v>
      </c>
      <c r="F833" t="inlineStr">
        <is>
          <t>TN</t>
        </is>
      </c>
      <c r="G833" t="n">
        <v>1511</v>
      </c>
      <c r="H833" t="inlineStr">
        <is>
          <t>Arena Triturada Caliza Malla 4</t>
        </is>
      </c>
    </row>
    <row r="834">
      <c r="A834" t="n">
        <v>10059181</v>
      </c>
      <c r="B834" t="inlineStr">
        <is>
          <t>ZFE3</t>
        </is>
      </c>
      <c r="C834" t="inlineStr">
        <is>
          <t>1000</t>
        </is>
      </c>
      <c r="D834" t="inlineStr">
        <is>
          <t>M3</t>
        </is>
      </c>
      <c r="E834" t="n">
        <v>1000</v>
      </c>
      <c r="F834" t="inlineStr">
        <is>
          <t>TN</t>
        </is>
      </c>
      <c r="G834" t="n">
        <v>1221</v>
      </c>
      <c r="H834" t="inlineStr">
        <is>
          <t>Arena Triturada Andesita Malla 4</t>
        </is>
      </c>
    </row>
    <row r="835">
      <c r="A835" t="n">
        <v>10059522</v>
      </c>
      <c r="B835" t="inlineStr">
        <is>
          <t>ZFE3</t>
        </is>
      </c>
      <c r="C835" t="inlineStr">
        <is>
          <t>1000</t>
        </is>
      </c>
      <c r="D835" t="inlineStr">
        <is>
          <t>M3</t>
        </is>
      </c>
      <c r="E835" t="n">
        <v>1000</v>
      </c>
      <c r="F835" t="inlineStr">
        <is>
          <t>TN</t>
        </is>
      </c>
      <c r="G835" t="n">
        <v>1560</v>
      </c>
      <c r="H835" t="inlineStr">
        <is>
          <t>Desperdicio Triturado Basalto</t>
        </is>
      </c>
    </row>
    <row r="836">
      <c r="A836" t="n">
        <v>10059526</v>
      </c>
      <c r="B836" t="inlineStr">
        <is>
          <t>ZFE3</t>
        </is>
      </c>
      <c r="C836" t="inlineStr">
        <is>
          <t>1000</t>
        </is>
      </c>
      <c r="D836" t="inlineStr">
        <is>
          <t>M3</t>
        </is>
      </c>
      <c r="E836" t="n">
        <v>1000</v>
      </c>
      <c r="F836" t="inlineStr">
        <is>
          <t>TN</t>
        </is>
      </c>
      <c r="G836" t="n">
        <v>1606</v>
      </c>
      <c r="H836" t="inlineStr">
        <is>
          <t>Material para subdren de 1  1/2" a finos</t>
        </is>
      </c>
    </row>
    <row r="837">
      <c r="A837" t="n">
        <v>10059527</v>
      </c>
      <c r="B837" t="inlineStr">
        <is>
          <t>ZFE3</t>
        </is>
      </c>
      <c r="C837" t="inlineStr">
        <is>
          <t>1000</t>
        </is>
      </c>
      <c r="D837" t="inlineStr">
        <is>
          <t>M3</t>
        </is>
      </c>
      <c r="E837" t="n">
        <v>1000</v>
      </c>
      <c r="F837" t="inlineStr">
        <is>
          <t>TN</t>
        </is>
      </c>
      <c r="G837" t="n">
        <v>1623</v>
      </c>
      <c r="H837" t="inlineStr">
        <is>
          <t>Grava Triturada Basalto 40 mm - #4</t>
        </is>
      </c>
    </row>
    <row r="838">
      <c r="A838" t="n">
        <v>10059563</v>
      </c>
      <c r="B838" t="inlineStr">
        <is>
          <t>ZFE3</t>
        </is>
      </c>
      <c r="C838" t="inlineStr">
        <is>
          <t>1000</t>
        </is>
      </c>
      <c r="D838" t="inlineStr">
        <is>
          <t>M3</t>
        </is>
      </c>
      <c r="E838" t="n">
        <v>1000</v>
      </c>
      <c r="F838" t="inlineStr">
        <is>
          <t>TN</t>
        </is>
      </c>
      <c r="G838" t="n">
        <v>1190</v>
      </c>
      <c r="H838" t="inlineStr">
        <is>
          <t>Grava Triturada Caliza 20 mm - 3/4"</t>
        </is>
      </c>
    </row>
    <row r="839">
      <c r="A839" t="n">
        <v>10059800</v>
      </c>
      <c r="B839" t="inlineStr">
        <is>
          <t>ZFE3</t>
        </is>
      </c>
      <c r="C839" t="inlineStr">
        <is>
          <t>1000</t>
        </is>
      </c>
      <c r="D839" t="inlineStr">
        <is>
          <t>M3</t>
        </is>
      </c>
      <c r="E839" t="n">
        <v>1000</v>
      </c>
      <c r="F839" t="inlineStr">
        <is>
          <t>TN</t>
        </is>
      </c>
      <c r="G839" t="n">
        <v>1312</v>
      </c>
      <c r="H839" t="inlineStr">
        <is>
          <t>Grava Clasificada Río 10 mm - 3/8"</t>
        </is>
      </c>
    </row>
    <row r="840">
      <c r="A840" t="n">
        <v>10059801</v>
      </c>
      <c r="B840" t="inlineStr">
        <is>
          <t>ZFE3</t>
        </is>
      </c>
      <c r="C840" t="inlineStr">
        <is>
          <t>1000</t>
        </is>
      </c>
      <c r="D840" t="inlineStr">
        <is>
          <t>M3</t>
        </is>
      </c>
      <c r="E840" t="n">
        <v>1000</v>
      </c>
      <c r="F840" t="inlineStr">
        <is>
          <t>TN</t>
        </is>
      </c>
      <c r="G840" t="n">
        <v>1314</v>
      </c>
      <c r="H840" t="inlineStr">
        <is>
          <t>Grava Triturada Caliza 10 mm - 3/8"</t>
        </is>
      </c>
    </row>
    <row r="841">
      <c r="A841" t="n">
        <v>10059804</v>
      </c>
      <c r="B841" t="inlineStr">
        <is>
          <t>ZFE3</t>
        </is>
      </c>
      <c r="C841" t="inlineStr">
        <is>
          <t>1000</t>
        </is>
      </c>
      <c r="D841" t="inlineStr">
        <is>
          <t>M3</t>
        </is>
      </c>
      <c r="E841" t="n">
        <v>1000</v>
      </c>
      <c r="F841" t="inlineStr">
        <is>
          <t>TN</t>
        </is>
      </c>
      <c r="G841" t="n">
        <v>1306</v>
      </c>
      <c r="H841" t="inlineStr">
        <is>
          <t>Grava Triturada Caliza 40 mm - 1 1/2"</t>
        </is>
      </c>
    </row>
    <row r="842">
      <c r="A842" t="n">
        <v>10059805</v>
      </c>
      <c r="B842" t="inlineStr">
        <is>
          <t>ZFE3</t>
        </is>
      </c>
      <c r="C842" t="inlineStr">
        <is>
          <t>1000</t>
        </is>
      </c>
      <c r="D842" t="inlineStr">
        <is>
          <t>M3</t>
        </is>
      </c>
      <c r="E842" t="n">
        <v>1000</v>
      </c>
      <c r="F842" t="inlineStr">
        <is>
          <t>TN</t>
        </is>
      </c>
      <c r="G842" t="n">
        <v>1337</v>
      </c>
      <c r="H842" t="inlineStr">
        <is>
          <t>Grava Triturada Caliza 20 mm - 3/4"</t>
        </is>
      </c>
    </row>
    <row r="843">
      <c r="A843" t="n">
        <v>10059806</v>
      </c>
      <c r="B843" t="inlineStr">
        <is>
          <t>ZFE3</t>
        </is>
      </c>
      <c r="C843" t="inlineStr">
        <is>
          <t>1000</t>
        </is>
      </c>
      <c r="D843" t="inlineStr">
        <is>
          <t>M3</t>
        </is>
      </c>
      <c r="E843" t="n">
        <v>1000</v>
      </c>
      <c r="F843" t="inlineStr">
        <is>
          <t>TN</t>
        </is>
      </c>
      <c r="G843" t="n">
        <v>1395</v>
      </c>
      <c r="H843" t="inlineStr">
        <is>
          <t>Grava Triturada Caliza 13 mm - 1/2"</t>
        </is>
      </c>
    </row>
    <row r="844">
      <c r="A844" t="n">
        <v>10059807</v>
      </c>
      <c r="B844" t="inlineStr">
        <is>
          <t>ZFE3</t>
        </is>
      </c>
      <c r="C844" t="inlineStr">
        <is>
          <t>1000</t>
        </is>
      </c>
      <c r="D844" t="inlineStr">
        <is>
          <t>M3</t>
        </is>
      </c>
      <c r="E844" t="n">
        <v>1000</v>
      </c>
      <c r="F844" t="inlineStr">
        <is>
          <t>TN</t>
        </is>
      </c>
      <c r="G844" t="n">
        <v>1520</v>
      </c>
      <c r="H844" t="inlineStr">
        <is>
          <t>Arena Caliza Malla 4</t>
        </is>
      </c>
    </row>
    <row r="845">
      <c r="A845" t="n">
        <v>10059808</v>
      </c>
      <c r="B845" t="inlineStr">
        <is>
          <t>ZFE3</t>
        </is>
      </c>
      <c r="C845" t="inlineStr">
        <is>
          <t>1000</t>
        </is>
      </c>
      <c r="D845" t="inlineStr">
        <is>
          <t>M3</t>
        </is>
      </c>
      <c r="E845" t="n">
        <v>1000</v>
      </c>
      <c r="F845" t="inlineStr">
        <is>
          <t>TN</t>
        </is>
      </c>
      <c r="G845" t="n">
        <v>1650</v>
      </c>
      <c r="H845" t="inlineStr">
        <is>
          <t>SUB-BASE DE 1 ½# A FINOS</t>
        </is>
      </c>
    </row>
    <row r="846">
      <c r="A846" t="n">
        <v>10059809</v>
      </c>
      <c r="B846" t="inlineStr">
        <is>
          <t>ZFE3</t>
        </is>
      </c>
      <c r="C846" t="inlineStr">
        <is>
          <t>1000</t>
        </is>
      </c>
      <c r="D846" t="inlineStr">
        <is>
          <t>M3</t>
        </is>
      </c>
      <c r="E846" t="n">
        <v>1000</v>
      </c>
      <c r="F846" t="inlineStr">
        <is>
          <t>TN</t>
        </is>
      </c>
      <c r="G846" t="n">
        <v>1300</v>
      </c>
      <c r="H846" t="inlineStr">
        <is>
          <t>Crudo Caliza</t>
        </is>
      </c>
    </row>
    <row r="847">
      <c r="A847" t="n">
        <v>10059930</v>
      </c>
      <c r="B847" t="inlineStr">
        <is>
          <t>ZFE3</t>
        </is>
      </c>
      <c r="C847" t="inlineStr">
        <is>
          <t>1000</t>
        </is>
      </c>
      <c r="D847" t="inlineStr">
        <is>
          <t>M3</t>
        </is>
      </c>
      <c r="E847" t="n">
        <v>1000</v>
      </c>
      <c r="F847" t="inlineStr">
        <is>
          <t>TN</t>
        </is>
      </c>
      <c r="G847" t="n">
        <v>1700</v>
      </c>
      <c r="H847" t="inlineStr">
        <is>
          <t>Balastro Basaltico 1"-21/2"</t>
        </is>
      </c>
    </row>
    <row r="848">
      <c r="A848" t="n">
        <v>10060661</v>
      </c>
      <c r="B848" t="inlineStr">
        <is>
          <t>ZFE3</t>
        </is>
      </c>
      <c r="C848" t="inlineStr">
        <is>
          <t>1000</t>
        </is>
      </c>
      <c r="D848" t="inlineStr">
        <is>
          <t>M3</t>
        </is>
      </c>
      <c r="E848" t="n">
        <v>1000</v>
      </c>
      <c r="F848" t="inlineStr">
        <is>
          <t>TN</t>
        </is>
      </c>
      <c r="G848" t="n">
        <v>1441</v>
      </c>
      <c r="H848" t="inlineStr">
        <is>
          <t>Arena de Trituración Avensa</t>
        </is>
      </c>
    </row>
    <row r="849">
      <c r="A849" t="n">
        <v>10060663</v>
      </c>
      <c r="B849" t="inlineStr">
        <is>
          <t>ZFE3</t>
        </is>
      </c>
      <c r="C849" t="inlineStr">
        <is>
          <t>1000</t>
        </is>
      </c>
      <c r="D849" t="inlineStr">
        <is>
          <t>M3</t>
        </is>
      </c>
      <c r="E849" t="n">
        <v>1000</v>
      </c>
      <c r="F849" t="inlineStr">
        <is>
          <t>TN</t>
        </is>
      </c>
      <c r="G849" t="n">
        <v>1455</v>
      </c>
      <c r="H849" t="inlineStr">
        <is>
          <t>Grava Aluvial 3/4" Avensa</t>
        </is>
      </c>
    </row>
    <row r="850">
      <c r="A850" t="n">
        <v>10060664</v>
      </c>
      <c r="B850" t="inlineStr">
        <is>
          <t>ZFE3</t>
        </is>
      </c>
      <c r="C850" t="inlineStr">
        <is>
          <t>1000</t>
        </is>
      </c>
      <c r="D850" t="inlineStr">
        <is>
          <t>M3</t>
        </is>
      </c>
      <c r="E850" t="n">
        <v>1000</v>
      </c>
      <c r="F850" t="inlineStr">
        <is>
          <t>TN</t>
        </is>
      </c>
      <c r="G850" t="n">
        <v>1557</v>
      </c>
      <c r="H850" t="inlineStr">
        <is>
          <t>Grava Aluvial 1" Avensa</t>
        </is>
      </c>
    </row>
    <row r="851">
      <c r="A851" t="n">
        <v>10060689</v>
      </c>
      <c r="B851" t="inlineStr">
        <is>
          <t>ZFE3</t>
        </is>
      </c>
      <c r="C851" t="inlineStr">
        <is>
          <t>1000</t>
        </is>
      </c>
      <c r="D851" t="inlineStr">
        <is>
          <t>M3</t>
        </is>
      </c>
      <c r="E851" t="n">
        <v>1000</v>
      </c>
      <c r="F851" t="inlineStr">
        <is>
          <t>TN</t>
        </is>
      </c>
      <c r="G851" t="n">
        <v>1650</v>
      </c>
      <c r="H851" t="inlineStr">
        <is>
          <t>BASE HIDRAULICA ESTABILIZADA 1 1/2" A FI</t>
        </is>
      </c>
    </row>
    <row r="852">
      <c r="A852" t="n">
        <v>10060960</v>
      </c>
      <c r="B852" t="inlineStr">
        <is>
          <t>ZFER</t>
        </is>
      </c>
      <c r="C852" t="inlineStr">
        <is>
          <t>1000</t>
        </is>
      </c>
      <c r="D852" t="inlineStr">
        <is>
          <t>M3</t>
        </is>
      </c>
      <c r="E852" t="n">
        <v>1000</v>
      </c>
      <c r="F852" t="inlineStr">
        <is>
          <t>TN</t>
        </is>
      </c>
      <c r="G852" t="n">
        <v>1443</v>
      </c>
      <c r="H852" t="inlineStr">
        <is>
          <t>Caliza 10 mm (3/8")</t>
        </is>
      </c>
    </row>
    <row r="853">
      <c r="A853" t="n">
        <v>10062252</v>
      </c>
      <c r="B853" t="inlineStr">
        <is>
          <t>ZFE3</t>
        </is>
      </c>
      <c r="C853" t="inlineStr">
        <is>
          <t>1000</t>
        </is>
      </c>
      <c r="D853" t="inlineStr">
        <is>
          <t>M3</t>
        </is>
      </c>
      <c r="E853" t="n">
        <v>1000</v>
      </c>
      <c r="F853" t="inlineStr">
        <is>
          <t>TN</t>
        </is>
      </c>
      <c r="G853" t="n">
        <v>1380</v>
      </c>
      <c r="H853" t="inlineStr">
        <is>
          <t>GRAVA TRITURADA BASALTO 40 MM - 1 1/2"</t>
        </is>
      </c>
    </row>
    <row r="854">
      <c r="A854" t="n">
        <v>10062253</v>
      </c>
      <c r="B854" t="inlineStr">
        <is>
          <t>ZFE3</t>
        </is>
      </c>
      <c r="C854" t="inlineStr">
        <is>
          <t>1000</t>
        </is>
      </c>
      <c r="D854" t="inlineStr">
        <is>
          <t>M3</t>
        </is>
      </c>
      <c r="E854" t="n">
        <v>1000</v>
      </c>
      <c r="F854" t="inlineStr">
        <is>
          <t>TN</t>
        </is>
      </c>
      <c r="G854" t="n">
        <v>1515</v>
      </c>
      <c r="H854" t="inlineStr">
        <is>
          <t>ARENA CLASIFICADA BASALTO MALLA 4</t>
        </is>
      </c>
    </row>
    <row r="855">
      <c r="A855" t="n">
        <v>10062295</v>
      </c>
      <c r="B855" t="inlineStr">
        <is>
          <t>ZFE3</t>
        </is>
      </c>
      <c r="C855" t="inlineStr">
        <is>
          <t>1000</t>
        </is>
      </c>
      <c r="D855" t="inlineStr">
        <is>
          <t>M3</t>
        </is>
      </c>
      <c r="E855" t="n">
        <v>1000</v>
      </c>
      <c r="F855" t="inlineStr">
        <is>
          <t>TN</t>
        </is>
      </c>
      <c r="G855" t="n">
        <v>1539</v>
      </c>
      <c r="H855" t="inlineStr">
        <is>
          <t>GRAVA TRITURADA BASALTO 10 MM - 3/8"</t>
        </is>
      </c>
    </row>
    <row r="856">
      <c r="A856" t="n">
        <v>10062296</v>
      </c>
      <c r="B856" t="inlineStr">
        <is>
          <t>ZFE3</t>
        </is>
      </c>
      <c r="C856" t="inlineStr">
        <is>
          <t>1000</t>
        </is>
      </c>
      <c r="D856" t="inlineStr">
        <is>
          <t>M3</t>
        </is>
      </c>
      <c r="E856" t="n">
        <v>1000</v>
      </c>
      <c r="F856" t="inlineStr">
        <is>
          <t>TN</t>
        </is>
      </c>
      <c r="G856" t="n">
        <v>1517</v>
      </c>
      <c r="H856" t="inlineStr">
        <is>
          <t>GRAVA TRITURADA CALIZA 20 MM - 3/4"</t>
        </is>
      </c>
    </row>
    <row r="857">
      <c r="A857" t="n">
        <v>10062482</v>
      </c>
      <c r="B857" t="inlineStr">
        <is>
          <t>ZFE3</t>
        </is>
      </c>
      <c r="C857" t="inlineStr">
        <is>
          <t>1000</t>
        </is>
      </c>
      <c r="D857" t="inlineStr">
        <is>
          <t>M3</t>
        </is>
      </c>
      <c r="E857" t="n">
        <v>1000</v>
      </c>
      <c r="F857" t="inlineStr">
        <is>
          <t>TN</t>
        </is>
      </c>
      <c r="G857" t="n">
        <v>1503</v>
      </c>
      <c r="H857" t="inlineStr">
        <is>
          <t>CAPA BASE (1-1/2 - 0) ROCK</t>
        </is>
      </c>
    </row>
    <row r="858">
      <c r="A858" t="n">
        <v>10063060</v>
      </c>
      <c r="B858" t="inlineStr">
        <is>
          <t>ZFE3</t>
        </is>
      </c>
      <c r="C858" t="inlineStr">
        <is>
          <t>1000</t>
        </is>
      </c>
      <c r="D858" t="inlineStr">
        <is>
          <t>M3</t>
        </is>
      </c>
      <c r="E858" t="n">
        <v>1000</v>
      </c>
      <c r="F858" t="inlineStr">
        <is>
          <t>TN</t>
        </is>
      </c>
      <c r="G858" t="n">
        <v>1780</v>
      </c>
      <c r="H858" t="inlineStr">
        <is>
          <t>BASE H TRITURADA CALIZA CEMENTADA (5%)3/</t>
        </is>
      </c>
    </row>
    <row r="859">
      <c r="A859" t="n">
        <v>10063450</v>
      </c>
      <c r="B859" t="inlineStr">
        <is>
          <t>ZFE3</t>
        </is>
      </c>
      <c r="C859" t="inlineStr">
        <is>
          <t>1000</t>
        </is>
      </c>
      <c r="D859" t="inlineStr">
        <is>
          <t>M3</t>
        </is>
      </c>
      <c r="E859" t="n">
        <v>1000</v>
      </c>
      <c r="F859" t="inlineStr">
        <is>
          <t>TN</t>
        </is>
      </c>
      <c r="G859" t="n">
        <v>1780</v>
      </c>
      <c r="H859" t="inlineStr">
        <is>
          <t>BASE H TRITURADA CALIZA CEMENTADA (5%)1</t>
        </is>
      </c>
    </row>
    <row r="860">
      <c r="A860" t="n">
        <v>10064436</v>
      </c>
      <c r="B860" t="inlineStr">
        <is>
          <t>ZFE3</t>
        </is>
      </c>
      <c r="C860" t="inlineStr">
        <is>
          <t>1000</t>
        </is>
      </c>
      <c r="D860" t="inlineStr">
        <is>
          <t>M3</t>
        </is>
      </c>
      <c r="E860" t="n">
        <v>1000</v>
      </c>
      <c r="F860" t="inlineStr">
        <is>
          <t>TN</t>
        </is>
      </c>
      <c r="G860" t="n">
        <v>1780</v>
      </c>
      <c r="H860" t="inlineStr">
        <is>
          <t>BASE H TRIT CALIZA CEM 2% 3/4" A FINOS</t>
        </is>
      </c>
    </row>
    <row r="861">
      <c r="A861" t="n">
        <v>10064437</v>
      </c>
      <c r="B861" t="inlineStr">
        <is>
          <t>ZFE3</t>
        </is>
      </c>
      <c r="C861" t="inlineStr">
        <is>
          <t>1000</t>
        </is>
      </c>
      <c r="D861" t="inlineStr">
        <is>
          <t>M3</t>
        </is>
      </c>
      <c r="E861" t="n">
        <v>1000</v>
      </c>
      <c r="F861" t="inlineStr">
        <is>
          <t>TN</t>
        </is>
      </c>
      <c r="G861" t="n">
        <v>1821</v>
      </c>
      <c r="H861" t="inlineStr">
        <is>
          <t>BASE H TRIT CALIZA CEM 2% 1 1/2" A FINOS</t>
        </is>
      </c>
    </row>
    <row r="862">
      <c r="A862" t="n">
        <v>10064632</v>
      </c>
      <c r="B862" t="inlineStr">
        <is>
          <t>ZFE3</t>
        </is>
      </c>
      <c r="C862" t="inlineStr">
        <is>
          <t>1000</t>
        </is>
      </c>
      <c r="D862" t="inlineStr">
        <is>
          <t>M3</t>
        </is>
      </c>
      <c r="E862" t="n">
        <v>1000</v>
      </c>
      <c r="F862" t="inlineStr">
        <is>
          <t>TN</t>
        </is>
      </c>
      <c r="G862" t="n">
        <v>1480</v>
      </c>
      <c r="H862" t="inlineStr">
        <is>
          <t>GRAVA TRITURADA BASALTO 3/4" A FINOS</t>
        </is>
      </c>
    </row>
    <row r="863">
      <c r="A863" t="n">
        <v>10064746</v>
      </c>
      <c r="B863" t="inlineStr">
        <is>
          <t>ZFE3</t>
        </is>
      </c>
      <c r="C863" t="inlineStr">
        <is>
          <t>1000</t>
        </is>
      </c>
      <c r="D863" t="inlineStr">
        <is>
          <t>M3</t>
        </is>
      </c>
      <c r="E863" t="n">
        <v>1000</v>
      </c>
      <c r="F863" t="inlineStr">
        <is>
          <t>TN</t>
        </is>
      </c>
      <c r="G863" t="n">
        <v>1532</v>
      </c>
      <c r="H863" t="inlineStr">
        <is>
          <t>DESPERDICIO TRITURADO CALIZA</t>
        </is>
      </c>
    </row>
    <row r="864">
      <c r="A864" t="n">
        <v>10064990</v>
      </c>
      <c r="B864" t="inlineStr">
        <is>
          <t>ZFE3</t>
        </is>
      </c>
      <c r="C864" t="inlineStr">
        <is>
          <t>1000</t>
        </is>
      </c>
      <c r="D864" t="inlineStr">
        <is>
          <t>M3</t>
        </is>
      </c>
      <c r="E864" t="n">
        <v>1000</v>
      </c>
      <c r="F864" t="inlineStr">
        <is>
          <t>TN</t>
        </is>
      </c>
      <c r="G864" t="n">
        <v>1450</v>
      </c>
      <c r="H864" t="inlineStr">
        <is>
          <t>ARENA CLASIFICADA RÍO MALLA 4 - B</t>
        </is>
      </c>
    </row>
    <row r="865">
      <c r="A865" t="n">
        <v>10064998</v>
      </c>
      <c r="B865" t="inlineStr">
        <is>
          <t>ZFER</t>
        </is>
      </c>
      <c r="C865" t="inlineStr">
        <is>
          <t>1000</t>
        </is>
      </c>
      <c r="D865" t="inlineStr">
        <is>
          <t>M3</t>
        </is>
      </c>
      <c r="E865" t="n">
        <v>1000</v>
      </c>
      <c r="F865" t="inlineStr">
        <is>
          <t>TN</t>
        </is>
      </c>
      <c r="G865" t="n">
        <v>1628</v>
      </c>
      <c r="H865" t="inlineStr">
        <is>
          <t>Caliza No 4</t>
        </is>
      </c>
    </row>
    <row r="866">
      <c r="A866" t="n">
        <v>10065029</v>
      </c>
      <c r="B866" t="inlineStr">
        <is>
          <t>ZFE3</t>
        </is>
      </c>
      <c r="C866" t="inlineStr">
        <is>
          <t>1000</t>
        </is>
      </c>
      <c r="D866" t="inlineStr">
        <is>
          <t>M3</t>
        </is>
      </c>
      <c r="E866" t="n">
        <v>1000</v>
      </c>
      <c r="F866" t="inlineStr">
        <is>
          <t>TN</t>
        </is>
      </c>
      <c r="G866" t="n">
        <v>1479</v>
      </c>
      <c r="H866" t="inlineStr">
        <is>
          <t>GRAVA TRITURADA CALIZA 10 MM - 3/8"</t>
        </is>
      </c>
    </row>
    <row r="867">
      <c r="A867" t="n">
        <v>10065154</v>
      </c>
      <c r="B867" t="inlineStr">
        <is>
          <t>ZFE3</t>
        </is>
      </c>
      <c r="C867" t="inlineStr">
        <is>
          <t>1000</t>
        </is>
      </c>
      <c r="D867" t="inlineStr">
        <is>
          <t>M3</t>
        </is>
      </c>
      <c r="E867" t="n">
        <v>1000</v>
      </c>
      <c r="F867" t="inlineStr">
        <is>
          <t>TN</t>
        </is>
      </c>
      <c r="G867" t="n">
        <v>1350</v>
      </c>
      <c r="H867" t="inlineStr">
        <is>
          <t>SELLO 3-A TRITURADO BASALTO</t>
        </is>
      </c>
    </row>
    <row r="868">
      <c r="A868" t="n">
        <v>10065192</v>
      </c>
      <c r="B868" t="inlineStr">
        <is>
          <t>ZFE3</t>
        </is>
      </c>
      <c r="C868" t="inlineStr">
        <is>
          <t>1000</t>
        </is>
      </c>
      <c r="D868" t="inlineStr">
        <is>
          <t>M3</t>
        </is>
      </c>
      <c r="E868" t="n">
        <v>1000</v>
      </c>
      <c r="F868" t="inlineStr">
        <is>
          <t>TN</t>
        </is>
      </c>
      <c r="G868" t="n">
        <v>1494</v>
      </c>
      <c r="H868" t="inlineStr">
        <is>
          <t>BASALTO SELECCIONADO</t>
        </is>
      </c>
    </row>
    <row r="869">
      <c r="A869" t="n">
        <v>10065403</v>
      </c>
      <c r="B869" t="inlineStr">
        <is>
          <t>ZFE3</t>
        </is>
      </c>
      <c r="C869" t="inlineStr">
        <is>
          <t>1000</t>
        </is>
      </c>
      <c r="D869" t="inlineStr">
        <is>
          <t>M3</t>
        </is>
      </c>
      <c r="E869" t="n">
        <v>1000</v>
      </c>
      <c r="F869" t="inlineStr">
        <is>
          <t>TN</t>
        </is>
      </c>
      <c r="G869" t="n">
        <v>1445</v>
      </c>
      <c r="H869" t="inlineStr">
        <is>
          <t>GRAVA TRITURADA GRANITO 40 MM - 1 1/2"</t>
        </is>
      </c>
    </row>
    <row r="870">
      <c r="A870" t="n">
        <v>10065494</v>
      </c>
      <c r="B870" t="inlineStr">
        <is>
          <t>ZFE3</t>
        </is>
      </c>
      <c r="C870" t="inlineStr">
        <is>
          <t>1000</t>
        </is>
      </c>
      <c r="D870" t="inlineStr">
        <is>
          <t>M3</t>
        </is>
      </c>
      <c r="E870" t="n">
        <v>1000</v>
      </c>
      <c r="F870" t="inlineStr">
        <is>
          <t>TN</t>
        </is>
      </c>
      <c r="G870" t="n">
        <v>1450</v>
      </c>
      <c r="H870" t="inlineStr">
        <is>
          <t>GRAVA TRITURADA GRANITO 20 MM - 3/4"</t>
        </is>
      </c>
    </row>
    <row r="871">
      <c r="A871" t="n">
        <v>10065500</v>
      </c>
      <c r="B871" t="inlineStr">
        <is>
          <t>ZFE3</t>
        </is>
      </c>
      <c r="C871" t="inlineStr">
        <is>
          <t>1000</t>
        </is>
      </c>
      <c r="D871" t="inlineStr">
        <is>
          <t>M3</t>
        </is>
      </c>
      <c r="E871" t="n">
        <v>1000</v>
      </c>
      <c r="F871" t="inlineStr">
        <is>
          <t>TN</t>
        </is>
      </c>
      <c r="G871" t="n">
        <v>1194</v>
      </c>
      <c r="H871" t="inlineStr">
        <is>
          <t>GRAVA BASALTO 20 MM (3/4")</t>
        </is>
      </c>
    </row>
    <row r="872">
      <c r="A872" t="n">
        <v>10066081</v>
      </c>
      <c r="B872" t="inlineStr">
        <is>
          <t>ZFE3</t>
        </is>
      </c>
      <c r="C872" t="inlineStr">
        <is>
          <t>1000</t>
        </is>
      </c>
      <c r="D872" t="inlineStr">
        <is>
          <t>M3</t>
        </is>
      </c>
      <c r="E872" t="n">
        <v>1000</v>
      </c>
      <c r="F872" t="inlineStr">
        <is>
          <t>TN</t>
        </is>
      </c>
      <c r="G872" t="n">
        <v>1343</v>
      </c>
      <c r="H872" t="inlineStr">
        <is>
          <t>GRAVA GRANITO 20 MM (3/4")</t>
        </is>
      </c>
    </row>
    <row r="873">
      <c r="A873" t="n">
        <v>10066082</v>
      </c>
      <c r="B873" t="inlineStr">
        <is>
          <t>ZFE3</t>
        </is>
      </c>
      <c r="C873" t="inlineStr">
        <is>
          <t>1000</t>
        </is>
      </c>
      <c r="D873" t="inlineStr">
        <is>
          <t>M3</t>
        </is>
      </c>
      <c r="E873" t="n">
        <v>1000</v>
      </c>
      <c r="F873" t="inlineStr">
        <is>
          <t>TN</t>
        </is>
      </c>
      <c r="G873" t="n">
        <v>1487</v>
      </c>
      <c r="H873" t="inlineStr">
        <is>
          <t>ARENA TRITURADA BASALTO MALLA 4</t>
        </is>
      </c>
    </row>
    <row r="874">
      <c r="A874" t="n">
        <v>10066103</v>
      </c>
      <c r="B874" t="inlineStr">
        <is>
          <t>ZFE3</t>
        </is>
      </c>
      <c r="C874" t="inlineStr">
        <is>
          <t>1000</t>
        </is>
      </c>
      <c r="D874" t="inlineStr">
        <is>
          <t>M3</t>
        </is>
      </c>
      <c r="E874" t="n">
        <v>1000</v>
      </c>
      <c r="F874" t="inlineStr">
        <is>
          <t>TN</t>
        </is>
      </c>
      <c r="G874" t="n">
        <v>1541</v>
      </c>
      <c r="H874" t="inlineStr">
        <is>
          <t>ARENA CLASIFICADA RÍO MALLA 4</t>
        </is>
      </c>
    </row>
    <row r="875">
      <c r="A875" t="n">
        <v>10066861</v>
      </c>
      <c r="B875" t="inlineStr">
        <is>
          <t>ZFE3</t>
        </is>
      </c>
      <c r="C875" t="inlineStr">
        <is>
          <t>1000</t>
        </is>
      </c>
      <c r="D875" t="inlineStr">
        <is>
          <t>M3</t>
        </is>
      </c>
      <c r="E875" t="n">
        <v>1000</v>
      </c>
      <c r="F875" t="inlineStr">
        <is>
          <t>TN</t>
        </is>
      </c>
      <c r="G875" t="n">
        <v>1464</v>
      </c>
      <c r="H875" t="inlineStr">
        <is>
          <t>GRAVA TRITURADA BASALTO DE 40 A 4 MM</t>
        </is>
      </c>
    </row>
    <row r="876">
      <c r="A876" t="n">
        <v>10067273</v>
      </c>
      <c r="B876" t="inlineStr">
        <is>
          <t>ZFE3</t>
        </is>
      </c>
      <c r="C876" t="inlineStr">
        <is>
          <t>1000</t>
        </is>
      </c>
      <c r="D876" t="inlineStr">
        <is>
          <t>M3</t>
        </is>
      </c>
      <c r="E876" t="n">
        <v>1000</v>
      </c>
      <c r="F876" t="inlineStr">
        <is>
          <t>TN</t>
        </is>
      </c>
      <c r="G876" t="n">
        <v>1500</v>
      </c>
      <c r="H876" t="inlineStr">
        <is>
          <t>GRAVA TRITURADA GRANITO 20 MM - 3/4"</t>
        </is>
      </c>
    </row>
    <row r="877">
      <c r="A877" t="n">
        <v>10067274</v>
      </c>
      <c r="B877" t="inlineStr">
        <is>
          <t>ZFE3</t>
        </is>
      </c>
      <c r="C877" t="inlineStr">
        <is>
          <t>1000</t>
        </is>
      </c>
      <c r="D877" t="inlineStr">
        <is>
          <t>M3</t>
        </is>
      </c>
      <c r="E877" t="n">
        <v>1000</v>
      </c>
      <c r="F877" t="inlineStr">
        <is>
          <t>TN</t>
        </is>
      </c>
      <c r="G877" t="n">
        <v>1500</v>
      </c>
      <c r="H877" t="inlineStr">
        <is>
          <t>GRAVA TRITURADA GRANITO 40 MM -1 1/2"</t>
        </is>
      </c>
    </row>
    <row r="878">
      <c r="A878" t="n">
        <v>10069534</v>
      </c>
      <c r="B878" t="inlineStr">
        <is>
          <t>ZFE3</t>
        </is>
      </c>
      <c r="C878" t="inlineStr">
        <is>
          <t>1000</t>
        </is>
      </c>
      <c r="D878" t="inlineStr">
        <is>
          <t>M3</t>
        </is>
      </c>
      <c r="E878" t="n">
        <v>1000</v>
      </c>
      <c r="F878" t="inlineStr">
        <is>
          <t>TN</t>
        </is>
      </c>
      <c r="G878" t="n">
        <v>1498</v>
      </c>
      <c r="H878" t="inlineStr">
        <is>
          <t>ARENA CLASIFICADA BASALTO MALLA 4</t>
        </is>
      </c>
    </row>
    <row r="879">
      <c r="A879" t="n">
        <v>10070027</v>
      </c>
      <c r="B879" t="inlineStr">
        <is>
          <t>ZFE3</t>
        </is>
      </c>
      <c r="C879" t="inlineStr">
        <is>
          <t>1000</t>
        </is>
      </c>
      <c r="D879" t="inlineStr">
        <is>
          <t>M3</t>
        </is>
      </c>
      <c r="E879" t="n">
        <v>1000</v>
      </c>
      <c r="F879" t="inlineStr">
        <is>
          <t>TN</t>
        </is>
      </c>
      <c r="G879" t="n">
        <v>1300</v>
      </c>
      <c r="H879" t="inlineStr">
        <is>
          <t>BALASTO TRITURADO CALIZA 6"</t>
        </is>
      </c>
    </row>
    <row r="880">
      <c r="A880" t="n">
        <v>10070235</v>
      </c>
      <c r="B880" t="inlineStr">
        <is>
          <t>ZFE3</t>
        </is>
      </c>
      <c r="C880" t="inlineStr">
        <is>
          <t>1000</t>
        </is>
      </c>
      <c r="D880" t="inlineStr">
        <is>
          <t>M3</t>
        </is>
      </c>
      <c r="E880" t="n">
        <v>1000</v>
      </c>
      <c r="F880" t="inlineStr">
        <is>
          <t>TN</t>
        </is>
      </c>
      <c r="G880" t="n">
        <v>1228</v>
      </c>
      <c r="H880" t="inlineStr">
        <is>
          <t>GRAVA TRITURADA CALIZA 10 MM - 3/8"</t>
        </is>
      </c>
    </row>
    <row r="881">
      <c r="A881" t="n">
        <v>10072653</v>
      </c>
      <c r="B881" t="inlineStr">
        <is>
          <t>ZFE3</t>
        </is>
      </c>
      <c r="C881" t="inlineStr">
        <is>
          <t>1000</t>
        </is>
      </c>
      <c r="D881" t="inlineStr">
        <is>
          <t>M3</t>
        </is>
      </c>
      <c r="E881" t="n">
        <v>1000</v>
      </c>
      <c r="F881" t="inlineStr">
        <is>
          <t>TN</t>
        </is>
      </c>
      <c r="G881" t="n">
        <v>1123</v>
      </c>
      <c r="H881" t="inlineStr">
        <is>
          <t>GRAVA TRITURADA CALIZA 10 MM - 3/8"</t>
        </is>
      </c>
    </row>
    <row r="882">
      <c r="A882" t="n">
        <v>10074117</v>
      </c>
      <c r="B882" t="inlineStr">
        <is>
          <t>ZFE3</t>
        </is>
      </c>
      <c r="C882" t="inlineStr">
        <is>
          <t>1000</t>
        </is>
      </c>
      <c r="D882" t="inlineStr">
        <is>
          <t>M3</t>
        </is>
      </c>
      <c r="E882" t="n">
        <v>1000</v>
      </c>
      <c r="F882" t="inlineStr">
        <is>
          <t>TN</t>
        </is>
      </c>
      <c r="G882" t="n">
        <v>1561</v>
      </c>
      <c r="H882" t="inlineStr">
        <is>
          <t>GRAVA CLASIFICADA RÍO 40 MM - 1 1/2"</t>
        </is>
      </c>
    </row>
    <row r="883">
      <c r="A883" t="n">
        <v>10075646</v>
      </c>
      <c r="B883" t="inlineStr">
        <is>
          <t>ZFE3</t>
        </is>
      </c>
      <c r="C883" t="inlineStr">
        <is>
          <t>1000</t>
        </is>
      </c>
      <c r="D883" t="inlineStr">
        <is>
          <t>M3</t>
        </is>
      </c>
      <c r="E883" t="n">
        <v>1000</v>
      </c>
      <c r="F883" t="inlineStr">
        <is>
          <t>TN</t>
        </is>
      </c>
      <c r="G883" t="n">
        <v>1217</v>
      </c>
      <c r="H883" t="inlineStr">
        <is>
          <t>GRAVA TRITURADA CALIZA 20MM -3/4</t>
        </is>
      </c>
    </row>
    <row r="884">
      <c r="A884" t="n">
        <v>10076522</v>
      </c>
      <c r="B884" t="inlineStr">
        <is>
          <t>ZFE3</t>
        </is>
      </c>
      <c r="C884" t="inlineStr">
        <is>
          <t>1000</t>
        </is>
      </c>
      <c r="D884" t="inlineStr">
        <is>
          <t>M3</t>
        </is>
      </c>
      <c r="E884" t="n">
        <v>1000</v>
      </c>
      <c r="F884" t="inlineStr">
        <is>
          <t>TN</t>
        </is>
      </c>
      <c r="G884" t="n">
        <v>1604</v>
      </c>
      <c r="H884" t="inlineStr">
        <is>
          <t>ARENA TRITURADA CALIZA MALLA 5</t>
        </is>
      </c>
    </row>
    <row r="885">
      <c r="A885" t="n">
        <v>10076888</v>
      </c>
      <c r="B885" t="inlineStr">
        <is>
          <t>ZFE3</t>
        </is>
      </c>
      <c r="C885" t="inlineStr">
        <is>
          <t>1000</t>
        </is>
      </c>
      <c r="D885" t="inlineStr">
        <is>
          <t>M3</t>
        </is>
      </c>
      <c r="E885" t="n">
        <v>1000</v>
      </c>
      <c r="F885" t="inlineStr">
        <is>
          <t>TN</t>
        </is>
      </c>
      <c r="G885" t="n">
        <v>1478</v>
      </c>
      <c r="H885" t="inlineStr">
        <is>
          <t>ARENA DE BASALTO LAVADA VAL CO.</t>
        </is>
      </c>
    </row>
    <row r="886">
      <c r="A886" t="n">
        <v>10077215</v>
      </c>
      <c r="B886" t="inlineStr">
        <is>
          <t>ZFE3</t>
        </is>
      </c>
      <c r="C886" t="inlineStr">
        <is>
          <t>1000</t>
        </is>
      </c>
      <c r="D886" t="inlineStr">
        <is>
          <t>M3</t>
        </is>
      </c>
      <c r="E886" t="n">
        <v>1000</v>
      </c>
      <c r="F886" t="inlineStr">
        <is>
          <t>TN</t>
        </is>
      </c>
      <c r="G886" t="n">
        <v>1379</v>
      </c>
      <c r="H886" t="inlineStr">
        <is>
          <t>PIEDRA NO.56 (1 - 3/8")  BI CO.</t>
        </is>
      </c>
    </row>
    <row r="887">
      <c r="A887" t="n">
        <v>10077216</v>
      </c>
      <c r="B887" t="inlineStr">
        <is>
          <t>ZFE3</t>
        </is>
      </c>
      <c r="C887" t="inlineStr">
        <is>
          <t>1000</t>
        </is>
      </c>
      <c r="D887" t="inlineStr">
        <is>
          <t>M3</t>
        </is>
      </c>
      <c r="E887" t="n">
        <v>1000</v>
      </c>
      <c r="F887" t="inlineStr">
        <is>
          <t>TN</t>
        </is>
      </c>
      <c r="G887" t="n">
        <v>1684</v>
      </c>
      <c r="H887" t="inlineStr">
        <is>
          <t>ARENA TRITURADA CALIZA MALLA 4</t>
        </is>
      </c>
    </row>
    <row r="888">
      <c r="A888" t="n">
        <v>10077332</v>
      </c>
      <c r="B888" t="inlineStr">
        <is>
          <t>ZFE3</t>
        </is>
      </c>
      <c r="C888" t="inlineStr">
        <is>
          <t>1000</t>
        </is>
      </c>
      <c r="D888" t="inlineStr">
        <is>
          <t>M3</t>
        </is>
      </c>
      <c r="E888" t="n">
        <v>1000</v>
      </c>
      <c r="F888" t="inlineStr">
        <is>
          <t>TN</t>
        </is>
      </c>
      <c r="G888" t="n">
        <v>1457</v>
      </c>
      <c r="H888" t="inlineStr">
        <is>
          <t>PIEDRA NO.7 (1/2 - NO.4) BI CO.</t>
        </is>
      </c>
    </row>
    <row r="889">
      <c r="A889" t="n">
        <v>10077638</v>
      </c>
      <c r="B889" t="inlineStr">
        <is>
          <t>ZFE3</t>
        </is>
      </c>
      <c r="C889" t="inlineStr">
        <is>
          <t>1000</t>
        </is>
      </c>
      <c r="D889" t="inlineStr">
        <is>
          <t>M3</t>
        </is>
      </c>
      <c r="E889" t="n">
        <v>1000</v>
      </c>
      <c r="F889" t="inlineStr">
        <is>
          <t>TN</t>
        </is>
      </c>
      <c r="G889" t="n">
        <v>1503</v>
      </c>
      <c r="H889" t="inlineStr">
        <is>
          <t>Grava De 1/2 Petreotec</t>
        </is>
      </c>
    </row>
    <row r="890">
      <c r="A890" t="n">
        <v>10077639</v>
      </c>
      <c r="B890" t="inlineStr">
        <is>
          <t>ZFE3</t>
        </is>
      </c>
      <c r="C890" t="inlineStr">
        <is>
          <t>1000</t>
        </is>
      </c>
      <c r="D890" t="inlineStr">
        <is>
          <t>M3</t>
        </is>
      </c>
      <c r="E890" t="n">
        <v>1000</v>
      </c>
      <c r="F890" t="inlineStr">
        <is>
          <t>TN</t>
        </is>
      </c>
      <c r="G890" t="n">
        <v>1748</v>
      </c>
      <c r="H890" t="inlineStr">
        <is>
          <t>Arena Aluvial Petreotec</t>
        </is>
      </c>
    </row>
    <row r="891">
      <c r="A891" t="n">
        <v>10078052</v>
      </c>
      <c r="B891" t="inlineStr">
        <is>
          <t>ZFE3</t>
        </is>
      </c>
      <c r="C891" t="inlineStr">
        <is>
          <t>1000</t>
        </is>
      </c>
      <c r="D891" t="inlineStr">
        <is>
          <t>M3</t>
        </is>
      </c>
      <c r="E891" t="n">
        <v>1000</v>
      </c>
      <c r="F891" t="inlineStr">
        <is>
          <t>TN</t>
        </is>
      </c>
      <c r="G891" t="n">
        <v>1310</v>
      </c>
      <c r="H891" t="inlineStr">
        <is>
          <t>GRAVA DE 1 TRITUCAR</t>
        </is>
      </c>
    </row>
    <row r="892">
      <c r="A892" t="n">
        <v>10078660</v>
      </c>
      <c r="B892" t="inlineStr">
        <is>
          <t>ZFE3</t>
        </is>
      </c>
      <c r="C892" t="inlineStr">
        <is>
          <t>1000</t>
        </is>
      </c>
      <c r="D892" t="inlineStr">
        <is>
          <t>M3</t>
        </is>
      </c>
      <c r="E892" t="n">
        <v>1000</v>
      </c>
      <c r="F892" t="inlineStr">
        <is>
          <t>TN</t>
        </is>
      </c>
      <c r="G892" t="n">
        <v>1375</v>
      </c>
      <c r="H892" t="inlineStr">
        <is>
          <t>DESPERDICIO CALIZA</t>
        </is>
      </c>
    </row>
    <row r="893">
      <c r="A893" t="n">
        <v>10078676</v>
      </c>
      <c r="B893" t="inlineStr">
        <is>
          <t>ZFE3</t>
        </is>
      </c>
      <c r="C893" t="inlineStr">
        <is>
          <t>1000</t>
        </is>
      </c>
      <c r="D893" t="inlineStr">
        <is>
          <t>M3</t>
        </is>
      </c>
      <c r="E893" t="n">
        <v>1000</v>
      </c>
      <c r="F893" t="inlineStr">
        <is>
          <t>TN</t>
        </is>
      </c>
      <c r="G893" t="n">
        <v>1356</v>
      </c>
      <c r="H893" t="inlineStr">
        <is>
          <t>ARENA CLASIFICADA DE RIO MALLA 4</t>
        </is>
      </c>
    </row>
    <row r="894">
      <c r="A894" t="n">
        <v>10079650</v>
      </c>
      <c r="B894" t="inlineStr">
        <is>
          <t>ZFE3</t>
        </is>
      </c>
      <c r="C894" t="inlineStr">
        <is>
          <t>1000</t>
        </is>
      </c>
      <c r="D894" t="inlineStr">
        <is>
          <t>M3</t>
        </is>
      </c>
      <c r="E894" t="n">
        <v>1000</v>
      </c>
      <c r="F894" t="inlineStr">
        <is>
          <t>TN</t>
        </is>
      </c>
      <c r="G894" t="n">
        <v>1448</v>
      </c>
      <c r="H894" t="inlineStr">
        <is>
          <t>ARENA DE RIO MALLA 4</t>
        </is>
      </c>
    </row>
    <row r="895">
      <c r="A895" t="n">
        <v>10079652</v>
      </c>
      <c r="B895" t="inlineStr">
        <is>
          <t>ZFE3</t>
        </is>
      </c>
      <c r="C895" t="inlineStr">
        <is>
          <t>1000</t>
        </is>
      </c>
      <c r="D895" t="inlineStr">
        <is>
          <t>M3</t>
        </is>
      </c>
      <c r="E895" t="n">
        <v>1000</v>
      </c>
      <c r="F895" t="inlineStr">
        <is>
          <t>TN</t>
        </is>
      </c>
      <c r="G895" t="n">
        <v>2600</v>
      </c>
      <c r="H895" t="inlineStr">
        <is>
          <t>GRAVA ANDESITA 19MM (3/4")</t>
        </is>
      </c>
    </row>
    <row r="896">
      <c r="A896" t="n">
        <v>10079654</v>
      </c>
      <c r="B896" t="inlineStr">
        <is>
          <t>ZFE3</t>
        </is>
      </c>
      <c r="C896" t="inlineStr">
        <is>
          <t>1000</t>
        </is>
      </c>
      <c r="D896" t="inlineStr">
        <is>
          <t>M3</t>
        </is>
      </c>
      <c r="E896" t="n">
        <v>1000</v>
      </c>
      <c r="F896" t="inlineStr">
        <is>
          <t>TN</t>
        </is>
      </c>
      <c r="G896" t="n">
        <v>2610</v>
      </c>
      <c r="H896" t="inlineStr">
        <is>
          <t>GRAVA ANDESITA 10MM (3/8")</t>
        </is>
      </c>
    </row>
    <row r="897">
      <c r="A897" t="n">
        <v>10083197</v>
      </c>
      <c r="B897" t="inlineStr">
        <is>
          <t>ZFE3</t>
        </is>
      </c>
      <c r="C897" t="inlineStr">
        <is>
          <t>1000</t>
        </is>
      </c>
      <c r="D897" t="inlineStr">
        <is>
          <t>M3</t>
        </is>
      </c>
      <c r="E897" t="n">
        <v>1000</v>
      </c>
      <c r="F897" t="inlineStr">
        <is>
          <t>TN</t>
        </is>
      </c>
      <c r="G897" t="n">
        <v>1428</v>
      </c>
      <c r="H897" t="inlineStr">
        <is>
          <t>PIEDRA NO.7 (1/2 - NO.4) BI</t>
        </is>
      </c>
    </row>
    <row r="898">
      <c r="A898" t="n">
        <v>10083257</v>
      </c>
      <c r="B898" t="inlineStr">
        <is>
          <t>ZFE3</t>
        </is>
      </c>
      <c r="C898" t="inlineStr">
        <is>
          <t>1000</t>
        </is>
      </c>
      <c r="D898" t="inlineStr">
        <is>
          <t>M3</t>
        </is>
      </c>
      <c r="E898" t="n">
        <v>1000</v>
      </c>
      <c r="F898" t="inlineStr">
        <is>
          <t>TN</t>
        </is>
      </c>
      <c r="G898" t="n">
        <v>1400</v>
      </c>
      <c r="H898" t="inlineStr">
        <is>
          <t>DESPERDICIO CRUDO INUTILIZABLE</t>
        </is>
      </c>
    </row>
    <row r="899">
      <c r="A899" t="n">
        <v>10087696</v>
      </c>
      <c r="B899" t="inlineStr">
        <is>
          <t>ZFE3</t>
        </is>
      </c>
      <c r="C899" t="inlineStr">
        <is>
          <t>1000</t>
        </is>
      </c>
      <c r="D899" t="inlineStr">
        <is>
          <t>M3</t>
        </is>
      </c>
      <c r="E899" t="n">
        <v>1000</v>
      </c>
      <c r="F899" t="inlineStr">
        <is>
          <t>TN</t>
        </is>
      </c>
      <c r="G899" t="n">
        <v>1452</v>
      </c>
      <c r="H899" t="inlineStr">
        <is>
          <t>GRAVA TRITURADA CALIZA 40 MM - 1 1/2"</t>
        </is>
      </c>
    </row>
    <row r="900">
      <c r="A900" t="n">
        <v>10087697</v>
      </c>
      <c r="B900" t="inlineStr">
        <is>
          <t>ZFE3</t>
        </is>
      </c>
      <c r="C900" t="inlineStr">
        <is>
          <t>1000</t>
        </is>
      </c>
      <c r="D900" t="inlineStr">
        <is>
          <t>M3</t>
        </is>
      </c>
      <c r="E900" t="n">
        <v>1000</v>
      </c>
      <c r="F900" t="inlineStr">
        <is>
          <t>TN</t>
        </is>
      </c>
      <c r="G900" t="n">
        <v>1443</v>
      </c>
      <c r="H900" t="inlineStr">
        <is>
          <t>GRAVA TRITURADA CALIZA 20 MM - 3/4"</t>
        </is>
      </c>
    </row>
    <row r="901">
      <c r="A901" t="n">
        <v>10087722</v>
      </c>
      <c r="B901" t="inlineStr">
        <is>
          <t>ZFE3</t>
        </is>
      </c>
      <c r="C901" t="inlineStr">
        <is>
          <t>1000</t>
        </is>
      </c>
      <c r="D901" t="inlineStr">
        <is>
          <t>M3</t>
        </is>
      </c>
      <c r="E901" t="n">
        <v>1000</v>
      </c>
      <c r="F901" t="inlineStr">
        <is>
          <t>TN</t>
        </is>
      </c>
      <c r="G901" t="n">
        <v>1700</v>
      </c>
      <c r="H901" t="inlineStr">
        <is>
          <t>POLVO DE TRITURACIÓN BASALTO MALLA #4 DI</t>
        </is>
      </c>
    </row>
    <row r="902">
      <c r="A902" t="n">
        <v>10087726</v>
      </c>
      <c r="B902" t="inlineStr">
        <is>
          <t>ZFE3</t>
        </is>
      </c>
      <c r="C902" t="inlineStr">
        <is>
          <t>1000</t>
        </is>
      </c>
      <c r="D902" t="inlineStr">
        <is>
          <t>M3</t>
        </is>
      </c>
      <c r="E902" t="n">
        <v>1000</v>
      </c>
      <c r="F902" t="inlineStr">
        <is>
          <t>TN</t>
        </is>
      </c>
      <c r="G902" t="n">
        <v>1700</v>
      </c>
      <c r="H902" t="inlineStr">
        <is>
          <t>BASE HIDRAULICA CALIZA 50% EQ. ARENA SCT</t>
        </is>
      </c>
    </row>
    <row r="903">
      <c r="A903" t="n">
        <v>10098472</v>
      </c>
      <c r="B903" t="inlineStr">
        <is>
          <t>ZFE3</t>
        </is>
      </c>
      <c r="C903" t="inlineStr">
        <is>
          <t>1000</t>
        </is>
      </c>
      <c r="D903" t="inlineStr">
        <is>
          <t>M3</t>
        </is>
      </c>
      <c r="E903" t="n">
        <v>1000</v>
      </c>
      <c r="F903" t="inlineStr">
        <is>
          <t>TN</t>
        </is>
      </c>
      <c r="G903" t="n">
        <v>1300</v>
      </c>
      <c r="H903" t="inlineStr">
        <is>
          <t>SOBRE TAMAÑO (RESIDUO)</t>
        </is>
      </c>
    </row>
    <row r="904">
      <c r="A904" t="n">
        <v>10098473</v>
      </c>
      <c r="B904" t="inlineStr">
        <is>
          <t>ZFE3</t>
        </is>
      </c>
      <c r="C904" t="inlineStr">
        <is>
          <t>1000</t>
        </is>
      </c>
      <c r="D904" t="inlineStr">
        <is>
          <t>M3</t>
        </is>
      </c>
      <c r="E904" t="n">
        <v>1000</v>
      </c>
      <c r="F904" t="inlineStr">
        <is>
          <t>TN</t>
        </is>
      </c>
      <c r="G904" t="n">
        <v>1515</v>
      </c>
      <c r="H904" t="inlineStr">
        <is>
          <t>DESPERDICIO TRITURADO BASALTO ARENA MALL</t>
        </is>
      </c>
    </row>
    <row r="905">
      <c r="A905" t="n">
        <v>10098474</v>
      </c>
      <c r="B905" t="inlineStr">
        <is>
          <t>ZFE3</t>
        </is>
      </c>
      <c r="C905" t="inlineStr">
        <is>
          <t>1000</t>
        </is>
      </c>
      <c r="D905" t="inlineStr">
        <is>
          <t>M3</t>
        </is>
      </c>
      <c r="E905" t="n">
        <v>1000</v>
      </c>
      <c r="F905" t="inlineStr">
        <is>
          <t>TN</t>
        </is>
      </c>
      <c r="G905" t="n">
        <v>1300</v>
      </c>
      <c r="H905" t="inlineStr">
        <is>
          <t>ARIDO CRUDO ESTERIL</t>
        </is>
      </c>
    </row>
    <row r="906">
      <c r="A906" t="n">
        <v>10098594</v>
      </c>
      <c r="B906" t="inlineStr">
        <is>
          <t>ZFE3</t>
        </is>
      </c>
      <c r="C906" t="inlineStr">
        <is>
          <t>1000</t>
        </is>
      </c>
      <c r="D906" t="inlineStr">
        <is>
          <t>M3</t>
        </is>
      </c>
      <c r="E906" t="n">
        <v>1000</v>
      </c>
      <c r="F906" t="inlineStr">
        <is>
          <t>TN</t>
        </is>
      </c>
      <c r="G906" t="n">
        <v>1546</v>
      </c>
      <c r="H906" t="inlineStr">
        <is>
          <t>GRAVA TRITURADO GRANITO 20MM 3/4"</t>
        </is>
      </c>
    </row>
    <row r="907">
      <c r="A907" t="n">
        <v>10098595</v>
      </c>
      <c r="B907" t="inlineStr">
        <is>
          <t>ZFE3</t>
        </is>
      </c>
      <c r="C907" t="inlineStr">
        <is>
          <t>1000</t>
        </is>
      </c>
      <c r="D907" t="inlineStr">
        <is>
          <t>M3</t>
        </is>
      </c>
      <c r="E907" t="n">
        <v>1000</v>
      </c>
      <c r="F907" t="inlineStr">
        <is>
          <t>TN</t>
        </is>
      </c>
      <c r="G907" t="n">
        <v>1603</v>
      </c>
      <c r="H907" t="inlineStr">
        <is>
          <t>ARENA TRITURADA GRANITO MALLA 4</t>
        </is>
      </c>
    </row>
    <row r="908">
      <c r="A908" t="n">
        <v>10098596</v>
      </c>
      <c r="B908" t="inlineStr">
        <is>
          <t>ZFE3</t>
        </is>
      </c>
      <c r="C908" t="inlineStr">
        <is>
          <t>1000</t>
        </is>
      </c>
      <c r="D908" t="inlineStr">
        <is>
          <t>M3</t>
        </is>
      </c>
      <c r="E908" t="n">
        <v>1000</v>
      </c>
      <c r="F908" t="inlineStr">
        <is>
          <t>TN</t>
        </is>
      </c>
      <c r="G908" t="n">
        <v>1504</v>
      </c>
      <c r="H908" t="inlineStr">
        <is>
          <t>ARENA TRITURADA CALIZA MALLA 4</t>
        </is>
      </c>
    </row>
    <row r="909">
      <c r="A909" t="n">
        <v>10098630</v>
      </c>
      <c r="B909" t="inlineStr">
        <is>
          <t>ZFE3</t>
        </is>
      </c>
      <c r="C909" t="inlineStr">
        <is>
          <t>1000</t>
        </is>
      </c>
      <c r="D909" t="inlineStr">
        <is>
          <t>M3</t>
        </is>
      </c>
      <c r="E909" t="n">
        <v>1000</v>
      </c>
      <c r="F909" t="inlineStr">
        <is>
          <t>TN</t>
        </is>
      </c>
      <c r="G909" t="n">
        <v>1682</v>
      </c>
      <c r="H909" t="inlineStr">
        <is>
          <t>POLVO TRITURADO BASALTO ARENA MALLA 5</t>
        </is>
      </c>
    </row>
    <row r="910">
      <c r="A910" t="n">
        <v>10099383</v>
      </c>
      <c r="B910" t="inlineStr">
        <is>
          <t>ZFE3</t>
        </is>
      </c>
      <c r="C910" t="inlineStr">
        <is>
          <t>1000</t>
        </is>
      </c>
      <c r="D910" t="inlineStr">
        <is>
          <t>M3</t>
        </is>
      </c>
      <c r="E910" t="n">
        <v>1000</v>
      </c>
      <c r="F910" t="inlineStr">
        <is>
          <t>TN</t>
        </is>
      </c>
      <c r="G910" t="n">
        <v>1280</v>
      </c>
      <c r="H910" t="inlineStr">
        <is>
          <t>GRAVA CALIZA 20 MM - 3/4"</t>
        </is>
      </c>
    </row>
    <row r="911">
      <c r="A911" t="n">
        <v>10100080</v>
      </c>
      <c r="B911" t="inlineStr">
        <is>
          <t>ZFE3</t>
        </is>
      </c>
      <c r="C911" t="inlineStr">
        <is>
          <t>1000</t>
        </is>
      </c>
      <c r="D911" t="inlineStr">
        <is>
          <t>M3</t>
        </is>
      </c>
      <c r="E911" t="n">
        <v>1000</v>
      </c>
      <c r="F911" t="inlineStr">
        <is>
          <t>TN</t>
        </is>
      </c>
      <c r="G911" t="n">
        <v>1186</v>
      </c>
      <c r="H911" t="inlineStr">
        <is>
          <t>GRAVA CALIZA 10 MM - 3/8"</t>
        </is>
      </c>
    </row>
    <row r="912">
      <c r="A912" t="n">
        <v>10100281</v>
      </c>
      <c r="B912" t="inlineStr">
        <is>
          <t>ZFE3</t>
        </is>
      </c>
      <c r="C912" t="inlineStr">
        <is>
          <t>1000</t>
        </is>
      </c>
      <c r="D912" t="inlineStr">
        <is>
          <t>M3</t>
        </is>
      </c>
      <c r="E912" t="n">
        <v>1000</v>
      </c>
      <c r="F912" t="inlineStr">
        <is>
          <t>TN</t>
        </is>
      </c>
      <c r="G912" t="n">
        <v>1610</v>
      </c>
      <c r="H912" t="inlineStr">
        <is>
          <t>ARIDO CRUDO GRANITO</t>
        </is>
      </c>
    </row>
    <row r="913">
      <c r="A913" t="n">
        <v>10100294</v>
      </c>
      <c r="B913" t="inlineStr">
        <is>
          <t>ZFE3</t>
        </is>
      </c>
      <c r="C913" t="inlineStr">
        <is>
          <t>1000</t>
        </is>
      </c>
      <c r="D913" t="inlineStr">
        <is>
          <t>M3</t>
        </is>
      </c>
      <c r="E913" t="n">
        <v>1000</v>
      </c>
      <c r="F913" t="inlineStr">
        <is>
          <t>TN</t>
        </is>
      </c>
      <c r="G913" t="n">
        <v>1593</v>
      </c>
      <c r="H913" t="inlineStr">
        <is>
          <t>Arena Aluvial Latinco La Sierra</t>
        </is>
      </c>
    </row>
    <row r="914">
      <c r="A914" t="n">
        <v>10101266</v>
      </c>
      <c r="B914" t="inlineStr">
        <is>
          <t>ZFE3</t>
        </is>
      </c>
      <c r="C914" t="inlineStr">
        <is>
          <t>1000</t>
        </is>
      </c>
      <c r="D914" t="inlineStr">
        <is>
          <t>M3</t>
        </is>
      </c>
      <c r="E914" t="n">
        <v>1000</v>
      </c>
      <c r="F914" t="inlineStr">
        <is>
          <t>TN</t>
        </is>
      </c>
      <c r="G914" t="n">
        <v>1315</v>
      </c>
      <c r="H914" t="inlineStr">
        <is>
          <t>GRAVA TRITURADA BASALTO 20 MM - 3/4"</t>
        </is>
      </c>
    </row>
    <row r="915">
      <c r="A915" t="n">
        <v>10101267</v>
      </c>
      <c r="B915" t="inlineStr">
        <is>
          <t>ZFE3</t>
        </is>
      </c>
      <c r="C915" t="inlineStr">
        <is>
          <t>1000</t>
        </is>
      </c>
      <c r="D915" t="inlineStr">
        <is>
          <t>M3</t>
        </is>
      </c>
      <c r="E915" t="n">
        <v>1000</v>
      </c>
      <c r="F915" t="inlineStr">
        <is>
          <t>TN</t>
        </is>
      </c>
      <c r="G915" t="n">
        <v>1306</v>
      </c>
      <c r="H915" t="inlineStr">
        <is>
          <t>GRAVA TRITURADA BASALTO 40 MM - 1 1/2"</t>
        </is>
      </c>
    </row>
    <row r="916">
      <c r="A916" t="n">
        <v>10101302</v>
      </c>
      <c r="B916" t="inlineStr">
        <is>
          <t>ZFE3</t>
        </is>
      </c>
      <c r="C916" t="inlineStr">
        <is>
          <t>1000</t>
        </is>
      </c>
      <c r="D916" t="inlineStr">
        <is>
          <t>M3</t>
        </is>
      </c>
      <c r="E916" t="n">
        <v>1000</v>
      </c>
      <c r="F916" t="inlineStr">
        <is>
          <t>TN</t>
        </is>
      </c>
      <c r="G916" t="n">
        <v>1493</v>
      </c>
      <c r="H916" t="inlineStr">
        <is>
          <t>Grava 1/2 El Chocho</t>
        </is>
      </c>
    </row>
    <row r="917">
      <c r="A917" t="n">
        <v>10101423</v>
      </c>
      <c r="B917" t="inlineStr">
        <is>
          <t>ZFE3</t>
        </is>
      </c>
      <c r="C917" t="inlineStr">
        <is>
          <t>1000</t>
        </is>
      </c>
      <c r="D917" t="inlineStr">
        <is>
          <t>M3</t>
        </is>
      </c>
      <c r="E917" t="n">
        <v>1000</v>
      </c>
      <c r="F917" t="inlineStr">
        <is>
          <t>TN</t>
        </is>
      </c>
      <c r="G917" t="n">
        <v>1537</v>
      </c>
      <c r="H917" t="inlineStr">
        <is>
          <t>DESPOLVE NO CLASIFICADO</t>
        </is>
      </c>
    </row>
    <row r="918">
      <c r="A918" t="n">
        <v>10101429</v>
      </c>
      <c r="B918" t="inlineStr">
        <is>
          <t>ZFE3</t>
        </is>
      </c>
      <c r="C918" t="inlineStr">
        <is>
          <t>1000</t>
        </is>
      </c>
      <c r="D918" t="inlineStr">
        <is>
          <t>M3</t>
        </is>
      </c>
      <c r="E918" t="n">
        <v>1000</v>
      </c>
      <c r="F918" t="inlineStr">
        <is>
          <t>TN</t>
        </is>
      </c>
      <c r="G918" t="n">
        <v>1374</v>
      </c>
      <c r="H918" t="inlineStr">
        <is>
          <t>GRAVA TRITURADA CALIZA 20MM -3/4"</t>
        </is>
      </c>
    </row>
    <row r="919">
      <c r="A919" t="n">
        <v>10101545</v>
      </c>
      <c r="B919" t="inlineStr">
        <is>
          <t>ZFE3</t>
        </is>
      </c>
      <c r="C919" t="inlineStr">
        <is>
          <t>1000</t>
        </is>
      </c>
      <c r="D919" t="inlineStr">
        <is>
          <t>M3</t>
        </is>
      </c>
      <c r="E919" t="n">
        <v>1000</v>
      </c>
      <c r="F919" t="inlineStr">
        <is>
          <t>TN</t>
        </is>
      </c>
      <c r="G919" t="n">
        <v>1560</v>
      </c>
      <c r="H919" t="inlineStr">
        <is>
          <t>GRAVA TRITURADA BASALTO 10 MM - 3/8"</t>
        </is>
      </c>
    </row>
    <row r="920">
      <c r="A920" t="n">
        <v>10101740</v>
      </c>
      <c r="B920" t="inlineStr">
        <is>
          <t>ZFE3</t>
        </is>
      </c>
      <c r="C920" t="inlineStr">
        <is>
          <t>1000</t>
        </is>
      </c>
      <c r="D920" t="inlineStr">
        <is>
          <t>M3</t>
        </is>
      </c>
      <c r="E920" t="n">
        <v>1000</v>
      </c>
      <c r="F920" t="inlineStr">
        <is>
          <t>TN</t>
        </is>
      </c>
      <c r="G920" t="n">
        <v>1420</v>
      </c>
      <c r="H920" t="inlineStr">
        <is>
          <t>GRAVA TIRTURADA CALIZA 10MM-3/8"</t>
        </is>
      </c>
    </row>
    <row r="921">
      <c r="A921" t="n">
        <v>10102466</v>
      </c>
      <c r="B921" t="inlineStr">
        <is>
          <t>ZFE3</t>
        </is>
      </c>
      <c r="C921" t="inlineStr">
        <is>
          <t>1000</t>
        </is>
      </c>
      <c r="D921" t="inlineStr">
        <is>
          <t>M3</t>
        </is>
      </c>
      <c r="E921" t="n">
        <v>1000</v>
      </c>
      <c r="F921" t="inlineStr">
        <is>
          <t>TN</t>
        </is>
      </c>
      <c r="G921" t="n">
        <v>1561</v>
      </c>
      <c r="H921" t="inlineStr">
        <is>
          <t>DESPERDICIO TRITURADO GRANITO</t>
        </is>
      </c>
    </row>
    <row r="922">
      <c r="A922" t="n">
        <v>10102793</v>
      </c>
      <c r="B922" t="inlineStr">
        <is>
          <t>ZFE3</t>
        </is>
      </c>
      <c r="C922" t="inlineStr">
        <is>
          <t>1000</t>
        </is>
      </c>
      <c r="D922" t="inlineStr">
        <is>
          <t>M3</t>
        </is>
      </c>
      <c r="E922" t="n">
        <v>1000</v>
      </c>
      <c r="F922" t="inlineStr">
        <is>
          <t>TN</t>
        </is>
      </c>
      <c r="G922" t="n">
        <v>1494</v>
      </c>
      <c r="H922" t="inlineStr">
        <is>
          <t>Grava 1 El Chocho</t>
        </is>
      </c>
    </row>
    <row r="923">
      <c r="A923" t="n">
        <v>10102810</v>
      </c>
      <c r="B923" t="inlineStr">
        <is>
          <t>ZFE3</t>
        </is>
      </c>
      <c r="C923" t="inlineStr">
        <is>
          <t>1000</t>
        </is>
      </c>
      <c r="D923" t="inlineStr">
        <is>
          <t>M3</t>
        </is>
      </c>
      <c r="E923" t="n">
        <v>1000</v>
      </c>
      <c r="F923" t="inlineStr">
        <is>
          <t>TN</t>
        </is>
      </c>
      <c r="G923" t="n">
        <v>1610</v>
      </c>
      <c r="H923" t="inlineStr">
        <is>
          <t>Arena Gruesa Schz Consts</t>
        </is>
      </c>
    </row>
    <row r="924">
      <c r="A924" t="n">
        <v>10103668</v>
      </c>
      <c r="B924" t="inlineStr">
        <is>
          <t>ZFE3</t>
        </is>
      </c>
      <c r="C924" t="inlineStr">
        <is>
          <t>1000</t>
        </is>
      </c>
      <c r="D924" t="inlineStr">
        <is>
          <t>M3</t>
        </is>
      </c>
      <c r="E924" t="n">
        <v>1000</v>
      </c>
      <c r="F924" t="inlineStr">
        <is>
          <t>TN</t>
        </is>
      </c>
      <c r="G924" t="n">
        <v>1613</v>
      </c>
      <c r="H924" t="inlineStr">
        <is>
          <t>MIXTO SACO BIG-BAG 500KG</t>
        </is>
      </c>
    </row>
    <row r="925">
      <c r="A925" t="n">
        <v>10103669</v>
      </c>
      <c r="B925" t="inlineStr">
        <is>
          <t>ZFE3</t>
        </is>
      </c>
      <c r="C925" t="inlineStr">
        <is>
          <t>1000</t>
        </is>
      </c>
      <c r="D925" t="inlineStr">
        <is>
          <t>M3</t>
        </is>
      </c>
      <c r="E925" t="n">
        <v>1000</v>
      </c>
      <c r="F925" t="inlineStr">
        <is>
          <t>TN</t>
        </is>
      </c>
      <c r="G925" t="n">
        <v>1368</v>
      </c>
      <c r="H925" t="inlineStr">
        <is>
          <t>GRAVA TRITURADA CALIZA 20 MM - 3/4"</t>
        </is>
      </c>
    </row>
    <row r="926">
      <c r="A926" t="n">
        <v>10103724</v>
      </c>
      <c r="B926" t="inlineStr">
        <is>
          <t>ZFE3</t>
        </is>
      </c>
      <c r="C926" t="inlineStr">
        <is>
          <t>1000</t>
        </is>
      </c>
      <c r="D926" t="inlineStr">
        <is>
          <t>M3</t>
        </is>
      </c>
      <c r="E926" t="n">
        <v>1000</v>
      </c>
      <c r="F926" t="inlineStr">
        <is>
          <t>TN</t>
        </is>
      </c>
      <c r="G926" t="n">
        <v>1430</v>
      </c>
      <c r="H926" t="inlineStr">
        <is>
          <t>GRAVA 3/4" BIG-BAG 500KG</t>
        </is>
      </c>
    </row>
    <row r="927">
      <c r="A927" t="n">
        <v>10103769</v>
      </c>
      <c r="B927" t="inlineStr">
        <is>
          <t>ZFE3</t>
        </is>
      </c>
      <c r="C927" t="inlineStr">
        <is>
          <t>1000</t>
        </is>
      </c>
      <c r="D927" t="inlineStr">
        <is>
          <t>M3</t>
        </is>
      </c>
      <c r="E927" t="n">
        <v>1000</v>
      </c>
      <c r="F927" t="inlineStr">
        <is>
          <t>TN</t>
        </is>
      </c>
      <c r="G927" t="n">
        <v>1739</v>
      </c>
      <c r="H927" t="inlineStr">
        <is>
          <t>ARENA NO. 4 BIG-BAG 500KG</t>
        </is>
      </c>
    </row>
    <row r="928">
      <c r="A928" t="n">
        <v>10103803</v>
      </c>
      <c r="B928" t="inlineStr">
        <is>
          <t>ZFE3</t>
        </is>
      </c>
      <c r="C928" t="inlineStr">
        <is>
          <t>1000</t>
        </is>
      </c>
      <c r="D928" t="inlineStr">
        <is>
          <t>M3</t>
        </is>
      </c>
      <c r="E928" t="n">
        <v>1000</v>
      </c>
      <c r="F928" t="inlineStr">
        <is>
          <t>TN</t>
        </is>
      </c>
      <c r="G928" t="n">
        <v>1520</v>
      </c>
      <c r="H928" t="inlineStr">
        <is>
          <t>BASE HIDRAHULICA 1 ½” -0 SIMPLE</t>
        </is>
      </c>
    </row>
    <row r="929">
      <c r="A929" t="n">
        <v>10103836</v>
      </c>
      <c r="B929" t="inlineStr">
        <is>
          <t>ZFE3</t>
        </is>
      </c>
      <c r="C929" t="inlineStr">
        <is>
          <t>1000</t>
        </is>
      </c>
      <c r="D929" t="inlineStr">
        <is>
          <t>M3</t>
        </is>
      </c>
      <c r="E929" t="n">
        <v>1000</v>
      </c>
      <c r="F929" t="inlineStr">
        <is>
          <t>TN</t>
        </is>
      </c>
      <c r="G929" t="n">
        <v>1707</v>
      </c>
      <c r="H929" t="inlineStr">
        <is>
          <t>BASE HIDRAULICA</t>
        </is>
      </c>
    </row>
    <row r="930">
      <c r="A930" t="n">
        <v>10103837</v>
      </c>
      <c r="B930" t="inlineStr">
        <is>
          <t>ZFE3</t>
        </is>
      </c>
      <c r="C930" t="inlineStr">
        <is>
          <t>1000</t>
        </is>
      </c>
      <c r="D930" t="inlineStr">
        <is>
          <t>M3</t>
        </is>
      </c>
      <c r="E930" t="n">
        <v>1000</v>
      </c>
      <c r="F930" t="inlineStr">
        <is>
          <t>TN</t>
        </is>
      </c>
      <c r="G930" t="n">
        <v>1522</v>
      </c>
      <c r="H930" t="inlineStr">
        <is>
          <t>RESIDUO BASALTO 3/8</t>
        </is>
      </c>
    </row>
    <row r="931">
      <c r="A931" t="n">
        <v>10103901</v>
      </c>
      <c r="B931" t="inlineStr">
        <is>
          <t>ZFE3</t>
        </is>
      </c>
      <c r="C931" t="inlineStr">
        <is>
          <t>1000</t>
        </is>
      </c>
      <c r="D931" t="inlineStr">
        <is>
          <t>M3</t>
        </is>
      </c>
      <c r="E931" t="n">
        <v>1000</v>
      </c>
      <c r="F931" t="inlineStr">
        <is>
          <t>TN</t>
        </is>
      </c>
      <c r="G931" t="n">
        <v>1482</v>
      </c>
      <c r="H931" t="inlineStr">
        <is>
          <t>Grava 1 Triturados Perea</t>
        </is>
      </c>
    </row>
    <row r="932">
      <c r="A932" t="n">
        <v>10103906</v>
      </c>
      <c r="B932" t="inlineStr">
        <is>
          <t>ZFE3</t>
        </is>
      </c>
      <c r="C932" t="inlineStr">
        <is>
          <t>1000</t>
        </is>
      </c>
      <c r="D932" t="inlineStr">
        <is>
          <t>M3</t>
        </is>
      </c>
      <c r="E932" t="n">
        <v>1000</v>
      </c>
      <c r="F932" t="inlineStr">
        <is>
          <t>TN</t>
        </is>
      </c>
      <c r="G932" t="n">
        <v>1595</v>
      </c>
      <c r="H932" t="inlineStr">
        <is>
          <t>POLVILLO (3/8" - 0) ROCK</t>
        </is>
      </c>
    </row>
    <row r="933">
      <c r="A933" t="n">
        <v>10104130</v>
      </c>
      <c r="B933" t="inlineStr">
        <is>
          <t>ZFE3</t>
        </is>
      </c>
      <c r="C933" t="inlineStr">
        <is>
          <t>1000</t>
        </is>
      </c>
      <c r="D933" t="inlineStr">
        <is>
          <t>M3</t>
        </is>
      </c>
      <c r="E933" t="n">
        <v>1000</v>
      </c>
      <c r="F933" t="inlineStr">
        <is>
          <t>TN</t>
        </is>
      </c>
      <c r="G933" t="n">
        <v>1720</v>
      </c>
      <c r="H933" t="inlineStr">
        <is>
          <t>ARENA NO. 5 BIG-BAG 500KG</t>
        </is>
      </c>
    </row>
    <row r="934">
      <c r="A934" t="n">
        <v>10104138</v>
      </c>
      <c r="B934" t="inlineStr">
        <is>
          <t>ZFE3</t>
        </is>
      </c>
      <c r="C934" t="inlineStr">
        <is>
          <t>1000</t>
        </is>
      </c>
      <c r="D934" t="inlineStr">
        <is>
          <t>M3</t>
        </is>
      </c>
      <c r="E934" t="n">
        <v>1000</v>
      </c>
      <c r="F934" t="inlineStr">
        <is>
          <t>TN</t>
        </is>
      </c>
      <c r="G934" t="n">
        <v>1613</v>
      </c>
      <c r="H934" t="inlineStr">
        <is>
          <t>MIXTO SACO BIG-BAG 500KG - SIN BOLSA</t>
        </is>
      </c>
    </row>
    <row r="935">
      <c r="A935" t="n">
        <v>10104139</v>
      </c>
      <c r="B935" t="inlineStr">
        <is>
          <t>ZFE3</t>
        </is>
      </c>
      <c r="C935" t="inlineStr">
        <is>
          <t>1000</t>
        </is>
      </c>
      <c r="D935" t="inlineStr">
        <is>
          <t>M3</t>
        </is>
      </c>
      <c r="E935" t="n">
        <v>1000</v>
      </c>
      <c r="F935" t="inlineStr">
        <is>
          <t>TN</t>
        </is>
      </c>
      <c r="G935" t="n">
        <v>1720</v>
      </c>
      <c r="H935" t="inlineStr">
        <is>
          <t>ARENA NO. 5 BIG-BAG 500KG - SIN BOLSA</t>
        </is>
      </c>
    </row>
    <row r="936">
      <c r="A936" t="n">
        <v>10104187</v>
      </c>
      <c r="B936" t="inlineStr">
        <is>
          <t>ZFE3</t>
        </is>
      </c>
      <c r="C936" t="inlineStr">
        <is>
          <t>1000</t>
        </is>
      </c>
      <c r="D936" t="inlineStr">
        <is>
          <t>M3</t>
        </is>
      </c>
      <c r="E936" t="n">
        <v>1000</v>
      </c>
      <c r="F936" t="inlineStr">
        <is>
          <t>TN</t>
        </is>
      </c>
      <c r="G936" t="n">
        <v>1441</v>
      </c>
      <c r="H936" t="inlineStr">
        <is>
          <t>ARENA CLASIFICADA RÍO MALLA 4</t>
        </is>
      </c>
    </row>
    <row r="937">
      <c r="A937" t="n">
        <v>10104188</v>
      </c>
      <c r="B937" t="inlineStr">
        <is>
          <t>ZFE3</t>
        </is>
      </c>
      <c r="C937" t="inlineStr">
        <is>
          <t>1000</t>
        </is>
      </c>
      <c r="D937" t="inlineStr">
        <is>
          <t>M3</t>
        </is>
      </c>
      <c r="E937" t="n">
        <v>1000</v>
      </c>
      <c r="F937" t="inlineStr">
        <is>
          <t>TN</t>
        </is>
      </c>
      <c r="G937" t="n">
        <v>1439</v>
      </c>
      <c r="H937" t="inlineStr">
        <is>
          <t>GRAVA CLASIFICADA RÍO 20 MM - 3/4"</t>
        </is>
      </c>
    </row>
    <row r="938">
      <c r="A938" t="n">
        <v>10104189</v>
      </c>
      <c r="B938" t="inlineStr">
        <is>
          <t>ZFE3</t>
        </is>
      </c>
      <c r="C938" t="inlineStr">
        <is>
          <t>1000</t>
        </is>
      </c>
      <c r="D938" t="inlineStr">
        <is>
          <t>M3</t>
        </is>
      </c>
      <c r="E938" t="n">
        <v>1000</v>
      </c>
      <c r="F938" t="inlineStr">
        <is>
          <t>TN</t>
        </is>
      </c>
      <c r="G938" t="n">
        <v>1521</v>
      </c>
      <c r="H938" t="inlineStr">
        <is>
          <t>GRAVA CLASIFICADA RÍO 40 MM - 1 1/2"</t>
        </is>
      </c>
    </row>
    <row r="939">
      <c r="A939" t="n">
        <v>10104637</v>
      </c>
      <c r="B939" t="inlineStr">
        <is>
          <t>ZFE3</t>
        </is>
      </c>
      <c r="C939" t="inlineStr">
        <is>
          <t>1000</t>
        </is>
      </c>
      <c r="D939" t="inlineStr">
        <is>
          <t>M3</t>
        </is>
      </c>
      <c r="E939" t="n">
        <v>1000</v>
      </c>
      <c r="F939" t="inlineStr">
        <is>
          <t>TN</t>
        </is>
      </c>
      <c r="G939" t="n">
        <v>1739</v>
      </c>
      <c r="H939" t="inlineStr">
        <is>
          <t>ARENA NO. 4 BIG-BAG 500KG - SIN BOLSA</t>
        </is>
      </c>
    </row>
    <row r="940">
      <c r="A940" t="n">
        <v>10104754</v>
      </c>
      <c r="B940" t="inlineStr">
        <is>
          <t>ZFE3</t>
        </is>
      </c>
      <c r="C940" t="inlineStr">
        <is>
          <t>1000</t>
        </is>
      </c>
      <c r="D940" t="inlineStr">
        <is>
          <t>M3</t>
        </is>
      </c>
      <c r="E940" t="n">
        <v>1000</v>
      </c>
      <c r="F940" t="inlineStr">
        <is>
          <t>TN</t>
        </is>
      </c>
      <c r="G940" t="n">
        <v>1400</v>
      </c>
      <c r="H940" t="inlineStr">
        <is>
          <t>SUB BASE DE 2 1/2 A 3/8</t>
        </is>
      </c>
    </row>
    <row r="941">
      <c r="A941" t="n">
        <v>10104792</v>
      </c>
      <c r="B941" t="inlineStr">
        <is>
          <t>ZFE3</t>
        </is>
      </c>
      <c r="C941" t="inlineStr">
        <is>
          <t>1000</t>
        </is>
      </c>
      <c r="D941" t="inlineStr">
        <is>
          <t>M3</t>
        </is>
      </c>
      <c r="E941" t="n">
        <v>1000</v>
      </c>
      <c r="F941" t="inlineStr">
        <is>
          <t>TN</t>
        </is>
      </c>
      <c r="G941" t="n">
        <v>1275</v>
      </c>
      <c r="H941" t="inlineStr">
        <is>
          <t>GRAVA CLASIFICADA RÍO 10 MM - 3/8"</t>
        </is>
      </c>
    </row>
    <row r="942">
      <c r="A942" t="n">
        <v>10104810</v>
      </c>
      <c r="B942" t="inlineStr">
        <is>
          <t>ZFE3</t>
        </is>
      </c>
      <c r="C942" t="inlineStr">
        <is>
          <t>1000</t>
        </is>
      </c>
      <c r="D942" t="inlineStr">
        <is>
          <t>M3</t>
        </is>
      </c>
      <c r="E942" t="n">
        <v>1000</v>
      </c>
      <c r="F942" t="inlineStr">
        <is>
          <t>TN</t>
        </is>
      </c>
      <c r="G942" t="n">
        <v>1411</v>
      </c>
      <c r="H942" t="inlineStr">
        <is>
          <t>ARENA CLASIFICADA RÍO MALLA 4</t>
        </is>
      </c>
    </row>
    <row r="943">
      <c r="A943" t="n">
        <v>10104811</v>
      </c>
      <c r="B943" t="inlineStr">
        <is>
          <t>ZFE3</t>
        </is>
      </c>
      <c r="C943" t="inlineStr">
        <is>
          <t>1000</t>
        </is>
      </c>
      <c r="D943" t="inlineStr">
        <is>
          <t>M3</t>
        </is>
      </c>
      <c r="E943" t="n">
        <v>1000</v>
      </c>
      <c r="F943" t="inlineStr">
        <is>
          <t>TN</t>
        </is>
      </c>
      <c r="G943" t="n">
        <v>1430</v>
      </c>
      <c r="H943" t="inlineStr">
        <is>
          <t>GRAVA 3/4" BIG-BAG 500KG - SIN BOLSA</t>
        </is>
      </c>
    </row>
    <row r="944">
      <c r="A944" t="n">
        <v>10104818</v>
      </c>
      <c r="B944" t="inlineStr">
        <is>
          <t>ZFE3</t>
        </is>
      </c>
      <c r="C944" t="inlineStr">
        <is>
          <t>1000</t>
        </is>
      </c>
      <c r="D944" t="inlineStr">
        <is>
          <t>M3</t>
        </is>
      </c>
      <c r="E944" t="n">
        <v>1000</v>
      </c>
      <c r="F944" t="inlineStr">
        <is>
          <t>TN</t>
        </is>
      </c>
      <c r="G944" t="n">
        <v>1544</v>
      </c>
      <c r="H944" t="inlineStr">
        <is>
          <t>Grava 1/2 Triturados Perea</t>
        </is>
      </c>
    </row>
    <row r="945">
      <c r="A945" t="n">
        <v>10104920</v>
      </c>
      <c r="B945" t="inlineStr">
        <is>
          <t>ZFE3</t>
        </is>
      </c>
      <c r="C945" t="inlineStr">
        <is>
          <t>1000</t>
        </is>
      </c>
      <c r="D945" t="inlineStr">
        <is>
          <t>M3</t>
        </is>
      </c>
      <c r="E945" t="n">
        <v>1000</v>
      </c>
      <c r="F945" t="inlineStr">
        <is>
          <t>TN</t>
        </is>
      </c>
      <c r="G945" t="n">
        <v>1545</v>
      </c>
      <c r="H945" t="inlineStr">
        <is>
          <t>ARENA TRITURADA-LAVADA CALIZA</t>
        </is>
      </c>
    </row>
    <row r="946">
      <c r="A946" t="n">
        <v>10105654</v>
      </c>
      <c r="B946" t="inlineStr">
        <is>
          <t>ZFE3</t>
        </is>
      </c>
      <c r="C946" t="inlineStr">
        <is>
          <t>1000</t>
        </is>
      </c>
      <c r="D946" t="inlineStr">
        <is>
          <t>M3</t>
        </is>
      </c>
      <c r="E946" t="n">
        <v>1000</v>
      </c>
      <c r="F946" t="inlineStr">
        <is>
          <t>TN</t>
        </is>
      </c>
      <c r="G946" t="n">
        <v>1493</v>
      </c>
      <c r="H946" t="inlineStr">
        <is>
          <t>Grava Aluvial 1/2" Gn Cx Carbonero</t>
        </is>
      </c>
    </row>
    <row r="947">
      <c r="A947" t="n">
        <v>10106880</v>
      </c>
      <c r="B947" t="inlineStr">
        <is>
          <t>ZFE3</t>
        </is>
      </c>
      <c r="C947" t="inlineStr">
        <is>
          <t>1000</t>
        </is>
      </c>
      <c r="D947" t="inlineStr">
        <is>
          <t>M3</t>
        </is>
      </c>
      <c r="E947" t="n">
        <v>1000</v>
      </c>
      <c r="F947" t="inlineStr">
        <is>
          <t>TN</t>
        </is>
      </c>
      <c r="G947" t="n">
        <v>1650</v>
      </c>
      <c r="H947" t="inlineStr">
        <is>
          <t>ARENA TRITURADA CALIZA MALLA 5</t>
        </is>
      </c>
    </row>
    <row r="948">
      <c r="A948" t="n">
        <v>10106911</v>
      </c>
      <c r="B948" t="inlineStr">
        <is>
          <t>ZFE3</t>
        </is>
      </c>
      <c r="C948" t="inlineStr">
        <is>
          <t>1000</t>
        </is>
      </c>
      <c r="D948" t="inlineStr">
        <is>
          <t>M3</t>
        </is>
      </c>
      <c r="E948" t="n">
        <v>1000</v>
      </c>
      <c r="F948" t="inlineStr">
        <is>
          <t>TN</t>
        </is>
      </c>
      <c r="G948" t="n">
        <v>1522</v>
      </c>
      <c r="H948" t="inlineStr">
        <is>
          <t>GRAVA TRITURADA CALIZA 13 MM -1/2"</t>
        </is>
      </c>
    </row>
    <row r="949">
      <c r="A949" t="n">
        <v>10107089</v>
      </c>
      <c r="B949" t="inlineStr">
        <is>
          <t>ZFE3</t>
        </is>
      </c>
      <c r="C949" t="inlineStr">
        <is>
          <t>1000</t>
        </is>
      </c>
      <c r="D949" t="inlineStr">
        <is>
          <t>M3</t>
        </is>
      </c>
      <c r="E949" t="n">
        <v>1000</v>
      </c>
      <c r="F949" t="inlineStr">
        <is>
          <t>TN</t>
        </is>
      </c>
      <c r="G949" t="n">
        <v>1483</v>
      </c>
      <c r="H949" t="inlineStr">
        <is>
          <t>GRAVA TRITURADA BASALTO 20 MM - 3/4"</t>
        </is>
      </c>
    </row>
    <row r="950">
      <c r="A950" t="n">
        <v>10107096</v>
      </c>
      <c r="B950" t="inlineStr">
        <is>
          <t>ZFE3</t>
        </is>
      </c>
      <c r="C950" t="inlineStr">
        <is>
          <t>1000</t>
        </is>
      </c>
      <c r="D950" t="inlineStr">
        <is>
          <t>M3</t>
        </is>
      </c>
      <c r="E950" t="n">
        <v>100</v>
      </c>
      <c r="F950" t="inlineStr">
        <is>
          <t>TN</t>
        </is>
      </c>
      <c r="G950" t="n">
        <v>171</v>
      </c>
      <c r="H950" t="inlineStr">
        <is>
          <t>SABLE LAVE KEMPIECES</t>
        </is>
      </c>
    </row>
    <row r="951">
      <c r="A951" t="n">
        <v>10107153</v>
      </c>
      <c r="B951" t="inlineStr">
        <is>
          <t>ZFE3</t>
        </is>
      </c>
      <c r="C951" t="inlineStr">
        <is>
          <t>1000</t>
        </is>
      </c>
      <c r="D951" t="inlineStr">
        <is>
          <t>M3</t>
        </is>
      </c>
      <c r="E951" t="n">
        <v>1000</v>
      </c>
      <c r="F951" t="inlineStr">
        <is>
          <t>TN</t>
        </is>
      </c>
      <c r="G951" t="n">
        <v>1550</v>
      </c>
      <c r="H951" t="inlineStr">
        <is>
          <t>POLVILLO MEJORADO VAL</t>
        </is>
      </c>
    </row>
    <row r="952">
      <c r="A952" t="n">
        <v>10107157</v>
      </c>
      <c r="B952" t="inlineStr">
        <is>
          <t>ZFE3</t>
        </is>
      </c>
      <c r="C952" t="inlineStr">
        <is>
          <t>1000</t>
        </is>
      </c>
      <c r="D952" t="inlineStr">
        <is>
          <t>M3</t>
        </is>
      </c>
      <c r="E952" t="n">
        <v>1000</v>
      </c>
      <c r="F952" t="inlineStr">
        <is>
          <t>TN</t>
        </is>
      </c>
      <c r="G952" t="n">
        <v>1296</v>
      </c>
      <c r="H952" t="inlineStr">
        <is>
          <t>PIEDRA NO.8 - (3/8 - NO.8) ROCK</t>
        </is>
      </c>
    </row>
    <row r="953">
      <c r="A953" t="n">
        <v>10107192</v>
      </c>
      <c r="B953" t="inlineStr">
        <is>
          <t>ZFE3</t>
        </is>
      </c>
      <c r="C953" t="inlineStr">
        <is>
          <t>1000</t>
        </is>
      </c>
      <c r="D953" t="inlineStr">
        <is>
          <t>M3</t>
        </is>
      </c>
      <c r="E953" t="n">
        <v>1000</v>
      </c>
      <c r="F953" t="inlineStr">
        <is>
          <t>TN</t>
        </is>
      </c>
      <c r="G953" t="n">
        <v>1707</v>
      </c>
      <c r="H953" t="inlineStr">
        <is>
          <t>BASE H TRITURADA BASALTO 1 1/2" A FINOS</t>
        </is>
      </c>
    </row>
    <row r="954">
      <c r="A954" t="n">
        <v>10107243</v>
      </c>
      <c r="B954" t="inlineStr">
        <is>
          <t>ZFE3</t>
        </is>
      </c>
      <c r="C954" t="inlineStr">
        <is>
          <t>1000</t>
        </is>
      </c>
      <c r="D954" t="inlineStr">
        <is>
          <t>M3</t>
        </is>
      </c>
      <c r="E954" t="n">
        <v>1000</v>
      </c>
      <c r="F954" t="inlineStr">
        <is>
          <t>TN</t>
        </is>
      </c>
      <c r="G954" t="n">
        <v>1470</v>
      </c>
      <c r="H954" t="inlineStr">
        <is>
          <t>SUB BASE DE 2 1/2" A FINOS (50%-50%)</t>
        </is>
      </c>
    </row>
    <row r="955">
      <c r="A955" t="n">
        <v>10107900</v>
      </c>
      <c r="B955" t="inlineStr">
        <is>
          <t>ZFE3</t>
        </is>
      </c>
      <c r="C955" t="inlineStr">
        <is>
          <t>1000</t>
        </is>
      </c>
      <c r="D955" t="inlineStr">
        <is>
          <t>M3</t>
        </is>
      </c>
      <c r="E955" t="n">
        <v>1000</v>
      </c>
      <c r="F955" t="inlineStr">
        <is>
          <t>TN</t>
        </is>
      </c>
      <c r="G955" t="n">
        <v>1430</v>
      </c>
      <c r="H955" t="inlineStr">
        <is>
          <t>GRAVA TRITURADA BASALTO 40 MM - 1 1/2"</t>
        </is>
      </c>
    </row>
    <row r="956">
      <c r="A956" t="n">
        <v>10107901</v>
      </c>
      <c r="B956" t="inlineStr">
        <is>
          <t>ZFE3</t>
        </is>
      </c>
      <c r="C956" t="inlineStr">
        <is>
          <t>1000</t>
        </is>
      </c>
      <c r="D956" t="inlineStr">
        <is>
          <t>M3</t>
        </is>
      </c>
      <c r="E956" t="n">
        <v>1000</v>
      </c>
      <c r="F956" t="inlineStr">
        <is>
          <t>TN</t>
        </is>
      </c>
      <c r="G956" t="n">
        <v>1413</v>
      </c>
      <c r="H956" t="inlineStr">
        <is>
          <t>GRAVA TRITURADA BASALTO 10 MM - 3/8"</t>
        </is>
      </c>
    </row>
    <row r="957">
      <c r="A957" t="n">
        <v>10107902</v>
      </c>
      <c r="B957" t="inlineStr">
        <is>
          <t>ZFE3</t>
        </is>
      </c>
      <c r="C957" t="inlineStr">
        <is>
          <t>1000</t>
        </is>
      </c>
      <c r="D957" t="inlineStr">
        <is>
          <t>M3</t>
        </is>
      </c>
      <c r="E957" t="n">
        <v>1000</v>
      </c>
      <c r="F957" t="inlineStr">
        <is>
          <t>TN</t>
        </is>
      </c>
      <c r="G957" t="n">
        <v>1537</v>
      </c>
      <c r="H957" t="inlineStr">
        <is>
          <t>NO CLASIFICADO TRITURADO BASALTO</t>
        </is>
      </c>
    </row>
    <row r="958">
      <c r="A958" t="n">
        <v>10107903</v>
      </c>
      <c r="B958" t="inlineStr">
        <is>
          <t>ZFE3</t>
        </is>
      </c>
      <c r="C958" t="inlineStr">
        <is>
          <t>1000</t>
        </is>
      </c>
      <c r="D958" t="inlineStr">
        <is>
          <t>M3</t>
        </is>
      </c>
      <c r="E958" t="n">
        <v>1000</v>
      </c>
      <c r="F958" t="inlineStr">
        <is>
          <t>TN</t>
        </is>
      </c>
      <c r="G958" t="n">
        <v>1560</v>
      </c>
      <c r="H958" t="inlineStr">
        <is>
          <t>DESPERDICIO TRITURADO BASALTO</t>
        </is>
      </c>
    </row>
    <row r="959">
      <c r="A959" t="n">
        <v>10107904</v>
      </c>
      <c r="B959" t="inlineStr">
        <is>
          <t>ZFE3</t>
        </is>
      </c>
      <c r="C959" t="inlineStr">
        <is>
          <t>1000</t>
        </is>
      </c>
      <c r="D959" t="inlineStr">
        <is>
          <t>M3</t>
        </is>
      </c>
      <c r="E959" t="n">
        <v>1000</v>
      </c>
      <c r="F959" t="inlineStr">
        <is>
          <t>TN</t>
        </is>
      </c>
      <c r="G959" t="n">
        <v>2610</v>
      </c>
      <c r="H959" t="inlineStr">
        <is>
          <t>CRUDO BASALTO</t>
        </is>
      </c>
    </row>
    <row r="960">
      <c r="A960" t="n">
        <v>10109200</v>
      </c>
      <c r="B960" t="inlineStr">
        <is>
          <t>ZFE3</t>
        </is>
      </c>
      <c r="C960" t="inlineStr">
        <is>
          <t>1000</t>
        </is>
      </c>
      <c r="D960" t="inlineStr">
        <is>
          <t>M3</t>
        </is>
      </c>
      <c r="E960" t="n">
        <v>1000</v>
      </c>
      <c r="F960" t="inlineStr">
        <is>
          <t>TN</t>
        </is>
      </c>
      <c r="G960" t="n">
        <v>1462</v>
      </c>
      <c r="H960" t="inlineStr">
        <is>
          <t>GRAVA TRITURADA CALIZA 10 MM -3/8"</t>
        </is>
      </c>
    </row>
    <row r="961">
      <c r="A961" t="n">
        <v>10109208</v>
      </c>
      <c r="B961" t="inlineStr">
        <is>
          <t>ZFE3</t>
        </is>
      </c>
      <c r="C961" t="inlineStr">
        <is>
          <t>1000</t>
        </is>
      </c>
      <c r="D961" t="inlineStr">
        <is>
          <t>M3</t>
        </is>
      </c>
      <c r="E961" t="n">
        <v>1000</v>
      </c>
      <c r="F961" t="inlineStr">
        <is>
          <t>TN</t>
        </is>
      </c>
      <c r="G961" t="n">
        <v>1560</v>
      </c>
      <c r="H961" t="inlineStr">
        <is>
          <t>ARENA SUBPRODUCTO MALLA #4</t>
        </is>
      </c>
    </row>
    <row r="962">
      <c r="A962" t="n">
        <v>10109242</v>
      </c>
      <c r="B962" t="inlineStr">
        <is>
          <t>ZFE3</t>
        </is>
      </c>
      <c r="C962" t="inlineStr">
        <is>
          <t>1000</t>
        </is>
      </c>
      <c r="D962" t="inlineStr">
        <is>
          <t>M3</t>
        </is>
      </c>
      <c r="E962" t="n">
        <v>1000</v>
      </c>
      <c r="F962" t="inlineStr">
        <is>
          <t>TN</t>
        </is>
      </c>
      <c r="G962" t="n">
        <v>1391</v>
      </c>
      <c r="H962" t="inlineStr">
        <is>
          <t>SUBRPODUCTO-GRAVA TRITURADA CALIZA 20 MM</t>
        </is>
      </c>
    </row>
    <row r="963">
      <c r="A963" t="n">
        <v>10110417</v>
      </c>
      <c r="B963" t="inlineStr">
        <is>
          <t>ZFE3</t>
        </is>
      </c>
      <c r="C963" t="inlineStr">
        <is>
          <t>1000</t>
        </is>
      </c>
      <c r="D963" t="inlineStr">
        <is>
          <t>M3</t>
        </is>
      </c>
      <c r="E963" t="n">
        <v>1000</v>
      </c>
      <c r="F963" t="inlineStr">
        <is>
          <t>TN</t>
        </is>
      </c>
      <c r="G963" t="n">
        <v>1698</v>
      </c>
      <c r="H963" t="inlineStr">
        <is>
          <t>NO CLASIFICADO-SUBPRODUCTO TRITURADO CAL</t>
        </is>
      </c>
    </row>
    <row r="964">
      <c r="A964" t="n">
        <v>10110630</v>
      </c>
      <c r="B964" t="inlineStr">
        <is>
          <t>ZFE3</t>
        </is>
      </c>
      <c r="C964" t="inlineStr">
        <is>
          <t>1000</t>
        </is>
      </c>
      <c r="D964" t="inlineStr">
        <is>
          <t>M3</t>
        </is>
      </c>
      <c r="E964" t="n">
        <v>1000</v>
      </c>
      <c r="F964" t="inlineStr">
        <is>
          <t>TN</t>
        </is>
      </c>
      <c r="G964" t="n">
        <v>1417</v>
      </c>
      <c r="H964" t="inlineStr">
        <is>
          <t>GRAVA TRITURADA BASALTO 40 MM - 1 1/2" A</t>
        </is>
      </c>
    </row>
    <row r="965">
      <c r="A965" t="n">
        <v>10110631</v>
      </c>
      <c r="B965" t="inlineStr">
        <is>
          <t>ZFE3</t>
        </is>
      </c>
      <c r="C965" t="inlineStr">
        <is>
          <t>1000</t>
        </is>
      </c>
      <c r="D965" t="inlineStr">
        <is>
          <t>M3</t>
        </is>
      </c>
      <c r="E965" t="n">
        <v>1000</v>
      </c>
      <c r="F965" t="inlineStr">
        <is>
          <t>TN</t>
        </is>
      </c>
      <c r="G965" t="n">
        <v>1451</v>
      </c>
      <c r="H965" t="inlineStr">
        <is>
          <t>GRAVA TRITURADA BASALTO 20 MM - 3/4" AG</t>
        </is>
      </c>
    </row>
    <row r="966">
      <c r="A966" t="n">
        <v>10110632</v>
      </c>
      <c r="B966" t="inlineStr">
        <is>
          <t>ZFE3</t>
        </is>
      </c>
      <c r="C966" t="inlineStr">
        <is>
          <t>1000</t>
        </is>
      </c>
      <c r="D966" t="inlineStr">
        <is>
          <t>M3</t>
        </is>
      </c>
      <c r="E966" t="n">
        <v>1000</v>
      </c>
      <c r="F966" t="inlineStr">
        <is>
          <t>TN</t>
        </is>
      </c>
      <c r="G966" t="n">
        <v>1517</v>
      </c>
      <c r="H966" t="inlineStr">
        <is>
          <t>GRAVA TRITURADA BASALTO 10 MM - 3/8" AG</t>
        </is>
      </c>
    </row>
    <row r="967">
      <c r="A967" t="n">
        <v>10110633</v>
      </c>
      <c r="B967" t="inlineStr">
        <is>
          <t>ZFE3</t>
        </is>
      </c>
      <c r="C967" t="inlineStr">
        <is>
          <t>1000</t>
        </is>
      </c>
      <c r="D967" t="inlineStr">
        <is>
          <t>M3</t>
        </is>
      </c>
      <c r="E967" t="n">
        <v>1000</v>
      </c>
      <c r="F967" t="inlineStr">
        <is>
          <t>TN</t>
        </is>
      </c>
      <c r="G967" t="n">
        <v>1408</v>
      </c>
      <c r="H967" t="inlineStr">
        <is>
          <t>ARENA CLASIFICADA RÍO MALLA 5</t>
        </is>
      </c>
    </row>
    <row r="968">
      <c r="A968" t="n">
        <v>10110634</v>
      </c>
      <c r="B968" t="inlineStr">
        <is>
          <t>ZFE3</t>
        </is>
      </c>
      <c r="C968" t="inlineStr">
        <is>
          <t>1000</t>
        </is>
      </c>
      <c r="D968" t="inlineStr">
        <is>
          <t>M3</t>
        </is>
      </c>
      <c r="E968" t="n">
        <v>1000</v>
      </c>
      <c r="F968" t="inlineStr">
        <is>
          <t>TN</t>
        </is>
      </c>
      <c r="G968" t="n">
        <v>1393</v>
      </c>
      <c r="H968" t="inlineStr">
        <is>
          <t>GRAVA CLASIFICADA RÍO 20 MM - 3/4"</t>
        </is>
      </c>
    </row>
    <row r="969">
      <c r="A969" t="n">
        <v>10110794</v>
      </c>
      <c r="B969" t="inlineStr">
        <is>
          <t>ZFE3</t>
        </is>
      </c>
      <c r="C969" t="inlineStr">
        <is>
          <t>1000</t>
        </is>
      </c>
      <c r="D969" t="inlineStr">
        <is>
          <t>M3</t>
        </is>
      </c>
      <c r="E969" t="n">
        <v>1000</v>
      </c>
      <c r="F969" t="inlineStr">
        <is>
          <t>TN</t>
        </is>
      </c>
      <c r="G969" t="n">
        <v>1174</v>
      </c>
      <c r="H969" t="inlineStr">
        <is>
          <t>GRAVA TRITURADA BASALTO 20 MM - 3/4"</t>
        </is>
      </c>
    </row>
    <row r="970">
      <c r="A970" t="n">
        <v>10110796</v>
      </c>
      <c r="B970" t="inlineStr">
        <is>
          <t>ZFE3</t>
        </is>
      </c>
      <c r="C970" t="inlineStr">
        <is>
          <t>1000</t>
        </is>
      </c>
      <c r="D970" t="inlineStr">
        <is>
          <t>M3</t>
        </is>
      </c>
      <c r="E970" t="n">
        <v>1000</v>
      </c>
      <c r="F970" t="inlineStr">
        <is>
          <t>TN</t>
        </is>
      </c>
      <c r="G970" t="n">
        <v>1675</v>
      </c>
      <c r="H970" t="inlineStr">
        <is>
          <t>Grava 1 Gravas Y Arenas Del Cauca</t>
        </is>
      </c>
    </row>
    <row r="971">
      <c r="A971" t="n">
        <v>10111968</v>
      </c>
      <c r="B971" t="inlineStr">
        <is>
          <t>ZFE3</t>
        </is>
      </c>
      <c r="C971" t="inlineStr">
        <is>
          <t>1000</t>
        </is>
      </c>
      <c r="D971" t="inlineStr">
        <is>
          <t>M3</t>
        </is>
      </c>
      <c r="E971" t="n">
        <v>1000</v>
      </c>
      <c r="F971" t="inlineStr">
        <is>
          <t>TN</t>
        </is>
      </c>
      <c r="G971" t="n">
        <v>1506</v>
      </c>
      <c r="H971" t="inlineStr">
        <is>
          <t>BASE HIDRÁULICA TIPO A 1 ½# A FINO</t>
        </is>
      </c>
    </row>
    <row r="972">
      <c r="A972" t="n">
        <v>10111969</v>
      </c>
      <c r="B972" t="inlineStr">
        <is>
          <t>ZFE3</t>
        </is>
      </c>
      <c r="C972" t="inlineStr">
        <is>
          <t>1000</t>
        </is>
      </c>
      <c r="D972" t="inlineStr">
        <is>
          <t>M3</t>
        </is>
      </c>
      <c r="E972" t="n">
        <v>1000</v>
      </c>
      <c r="F972" t="inlineStr">
        <is>
          <t>TN</t>
        </is>
      </c>
      <c r="G972" t="n">
        <v>1533</v>
      </c>
      <c r="H972" t="inlineStr">
        <is>
          <t>BASE HIDRÁULICA TIPO B 1 ½# A FINOS</t>
        </is>
      </c>
    </row>
    <row r="973">
      <c r="A973" t="n">
        <v>10111970</v>
      </c>
      <c r="B973" t="inlineStr">
        <is>
          <t>ZFE3</t>
        </is>
      </c>
      <c r="C973" t="inlineStr">
        <is>
          <t>1000</t>
        </is>
      </c>
      <c r="D973" t="inlineStr">
        <is>
          <t>M3</t>
        </is>
      </c>
      <c r="E973" t="n">
        <v>1000</v>
      </c>
      <c r="F973" t="inlineStr">
        <is>
          <t>TN</t>
        </is>
      </c>
      <c r="G973" t="n">
        <v>1515</v>
      </c>
      <c r="H973" t="inlineStr">
        <is>
          <t>BASE HIDRÁULICA TIPO C 1 ½# A FINOS</t>
        </is>
      </c>
    </row>
    <row r="974">
      <c r="A974" t="n">
        <v>10111971</v>
      </c>
      <c r="B974" t="inlineStr">
        <is>
          <t>ZFE3</t>
        </is>
      </c>
      <c r="C974" t="inlineStr">
        <is>
          <t>1000</t>
        </is>
      </c>
      <c r="D974" t="inlineStr">
        <is>
          <t>M3</t>
        </is>
      </c>
      <c r="E974" t="n">
        <v>1000</v>
      </c>
      <c r="F974" t="inlineStr">
        <is>
          <t>TN</t>
        </is>
      </c>
      <c r="G974" t="n">
        <v>1794</v>
      </c>
      <c r="H974" t="inlineStr">
        <is>
          <t>Arena Gravas Y Arenas Del Cauca</t>
        </is>
      </c>
    </row>
    <row r="975">
      <c r="A975" t="n">
        <v>10112023</v>
      </c>
      <c r="B975" t="inlineStr">
        <is>
          <t>ZFE3</t>
        </is>
      </c>
      <c r="C975" t="inlineStr">
        <is>
          <t>1000</t>
        </is>
      </c>
      <c r="D975" t="inlineStr">
        <is>
          <t>M3</t>
        </is>
      </c>
      <c r="E975" t="n">
        <v>1000</v>
      </c>
      <c r="F975" t="inlineStr">
        <is>
          <t>TN</t>
        </is>
      </c>
      <c r="G975" t="n">
        <v>1550</v>
      </c>
      <c r="H975" t="inlineStr">
        <is>
          <t>ARENA CLASIFICADA RÍO MALLA 4 LAVADO</t>
        </is>
      </c>
    </row>
    <row r="976">
      <c r="A976" t="n">
        <v>10112026</v>
      </c>
      <c r="B976" t="inlineStr">
        <is>
          <t>ZFE3</t>
        </is>
      </c>
      <c r="C976" t="inlineStr">
        <is>
          <t>1000</t>
        </is>
      </c>
      <c r="D976" t="inlineStr">
        <is>
          <t>M3</t>
        </is>
      </c>
      <c r="E976" t="n">
        <v>1000</v>
      </c>
      <c r="F976" t="inlineStr">
        <is>
          <t>TN</t>
        </is>
      </c>
      <c r="G976" t="n">
        <v>1358</v>
      </c>
      <c r="H976" t="inlineStr">
        <is>
          <t>GRAVA TRITURADA CALIZA 40 MM - 1 1/2"</t>
        </is>
      </c>
    </row>
    <row r="977">
      <c r="A977" t="n">
        <v>10112080</v>
      </c>
      <c r="B977" t="inlineStr">
        <is>
          <t>ZFE3</t>
        </is>
      </c>
      <c r="C977" t="inlineStr">
        <is>
          <t>1000</t>
        </is>
      </c>
      <c r="D977" t="inlineStr">
        <is>
          <t>M3</t>
        </is>
      </c>
      <c r="E977" t="n">
        <v>1000</v>
      </c>
      <c r="F977" t="inlineStr">
        <is>
          <t>TN</t>
        </is>
      </c>
      <c r="G977" t="n">
        <v>1394</v>
      </c>
      <c r="H977" t="inlineStr">
        <is>
          <t>GRAVA TRITURADA CALIZA 20 MM - 3/4"</t>
        </is>
      </c>
    </row>
    <row r="978">
      <c r="A978" t="n">
        <v>10112090</v>
      </c>
      <c r="B978" t="inlineStr">
        <is>
          <t>ZFE3</t>
        </is>
      </c>
      <c r="C978" t="inlineStr">
        <is>
          <t>1000</t>
        </is>
      </c>
      <c r="D978" t="inlineStr">
        <is>
          <t>M3</t>
        </is>
      </c>
      <c r="E978" t="n">
        <v>1000</v>
      </c>
      <c r="F978" t="inlineStr">
        <is>
          <t>TN</t>
        </is>
      </c>
      <c r="G978" t="n">
        <v>1389</v>
      </c>
      <c r="H978" t="inlineStr">
        <is>
          <t>GRAVA TRITURADA CALIZA 20 MM - 3/4"</t>
        </is>
      </c>
    </row>
    <row r="979">
      <c r="A979" t="n">
        <v>10112095</v>
      </c>
      <c r="B979" t="inlineStr">
        <is>
          <t>ZFE3</t>
        </is>
      </c>
      <c r="C979" t="inlineStr">
        <is>
          <t>1000</t>
        </is>
      </c>
      <c r="D979" t="inlineStr">
        <is>
          <t>M3</t>
        </is>
      </c>
      <c r="E979" t="n">
        <v>1000</v>
      </c>
      <c r="F979" t="inlineStr">
        <is>
          <t>TN</t>
        </is>
      </c>
      <c r="G979" t="n">
        <v>2174</v>
      </c>
      <c r="H979" t="inlineStr">
        <is>
          <t>ARENA BARITA</t>
        </is>
      </c>
    </row>
    <row r="980">
      <c r="A980" t="n">
        <v>10115820</v>
      </c>
      <c r="B980" t="inlineStr">
        <is>
          <t>ZFE3</t>
        </is>
      </c>
      <c r="C980" t="inlineStr">
        <is>
          <t>1000</t>
        </is>
      </c>
      <c r="D980" t="inlineStr">
        <is>
          <t>M3</t>
        </is>
      </c>
      <c r="E980" t="n">
        <v>1000</v>
      </c>
      <c r="F980" t="inlineStr">
        <is>
          <t>TN</t>
        </is>
      </c>
      <c r="G980" t="n">
        <v>1441</v>
      </c>
      <c r="H980" t="inlineStr">
        <is>
          <t>ARENA TRITURADA CALIZA MALLA 4</t>
        </is>
      </c>
    </row>
    <row r="981">
      <c r="A981" t="n">
        <v>10115821</v>
      </c>
      <c r="B981" t="inlineStr">
        <is>
          <t>ZFE3</t>
        </is>
      </c>
      <c r="C981" t="inlineStr">
        <is>
          <t>1000</t>
        </is>
      </c>
      <c r="D981" t="inlineStr">
        <is>
          <t>M3</t>
        </is>
      </c>
      <c r="E981" t="n">
        <v>1000</v>
      </c>
      <c r="F981" t="inlineStr">
        <is>
          <t>TN</t>
        </is>
      </c>
      <c r="G981" t="n">
        <v>1308</v>
      </c>
      <c r="H981" t="inlineStr">
        <is>
          <t>GRAVA TRITURADA CALIZA 20 MM - 3/4"</t>
        </is>
      </c>
    </row>
    <row r="982">
      <c r="A982" t="n">
        <v>10115876</v>
      </c>
      <c r="B982" t="inlineStr">
        <is>
          <t>ZFE3</t>
        </is>
      </c>
      <c r="C982" t="inlineStr">
        <is>
          <t>1000</t>
        </is>
      </c>
      <c r="D982" t="inlineStr">
        <is>
          <t>M3</t>
        </is>
      </c>
      <c r="E982" t="n">
        <v>1000</v>
      </c>
      <c r="F982" t="inlineStr">
        <is>
          <t>TN</t>
        </is>
      </c>
      <c r="G982" t="n">
        <v>1560</v>
      </c>
      <c r="H982" t="inlineStr">
        <is>
          <t>SUBPRODUCTO TRITURADO MALLA 4</t>
        </is>
      </c>
    </row>
    <row r="983">
      <c r="A983" t="n">
        <v>10115877</v>
      </c>
      <c r="B983" t="inlineStr">
        <is>
          <t>ZFE3</t>
        </is>
      </c>
      <c r="C983" t="inlineStr">
        <is>
          <t>1000</t>
        </is>
      </c>
      <c r="D983" t="inlineStr">
        <is>
          <t>M3</t>
        </is>
      </c>
      <c r="E983" t="n">
        <v>1000</v>
      </c>
      <c r="F983" t="inlineStr">
        <is>
          <t>TN</t>
        </is>
      </c>
      <c r="G983" t="n">
        <v>1969</v>
      </c>
      <c r="H983" t="inlineStr">
        <is>
          <t>SUB BASE HIDRÁULICA DE 1 1/2" A FINOS</t>
        </is>
      </c>
    </row>
    <row r="984">
      <c r="A984" t="n">
        <v>10116007</v>
      </c>
      <c r="B984" t="inlineStr">
        <is>
          <t>ZFE3</t>
        </is>
      </c>
      <c r="C984" t="inlineStr">
        <is>
          <t>1000</t>
        </is>
      </c>
      <c r="D984" t="inlineStr">
        <is>
          <t>M3</t>
        </is>
      </c>
      <c r="E984" t="n">
        <v>1000</v>
      </c>
      <c r="F984" t="inlineStr">
        <is>
          <t>TN</t>
        </is>
      </c>
      <c r="G984" t="n">
        <v>1600</v>
      </c>
      <c r="H984" t="inlineStr">
        <is>
          <t>PIEDRA BOLA 4" A 6"</t>
        </is>
      </c>
    </row>
    <row r="985">
      <c r="A985" t="n">
        <v>10116141</v>
      </c>
      <c r="B985" t="inlineStr">
        <is>
          <t>ZFE3</t>
        </is>
      </c>
      <c r="C985" t="inlineStr">
        <is>
          <t>1000</t>
        </is>
      </c>
      <c r="D985" t="inlineStr">
        <is>
          <t>M3</t>
        </is>
      </c>
      <c r="E985" t="n">
        <v>1000</v>
      </c>
      <c r="F985" t="inlineStr">
        <is>
          <t>TN</t>
        </is>
      </c>
      <c r="G985" t="n">
        <v>1599</v>
      </c>
      <c r="H985" t="inlineStr">
        <is>
          <t>ARENA CLASIFICADA VOLCANICA MALLA 4</t>
        </is>
      </c>
    </row>
    <row r="986">
      <c r="A986" t="n">
        <v>10116162</v>
      </c>
      <c r="B986" t="inlineStr">
        <is>
          <t>ZFE3</t>
        </is>
      </c>
      <c r="C986" t="inlineStr">
        <is>
          <t>1000</t>
        </is>
      </c>
      <c r="D986" t="inlineStr">
        <is>
          <t>M3</t>
        </is>
      </c>
      <c r="E986" t="n">
        <v>1000</v>
      </c>
      <c r="F986" t="inlineStr">
        <is>
          <t>TN</t>
        </is>
      </c>
      <c r="G986" t="n">
        <v>1620</v>
      </c>
      <c r="H986" t="inlineStr">
        <is>
          <t>ARENA TRITURADA BASALTO MALLA 4</t>
        </is>
      </c>
    </row>
    <row r="987">
      <c r="A987" t="n">
        <v>10116163</v>
      </c>
      <c r="B987" t="inlineStr">
        <is>
          <t>ZFE3</t>
        </is>
      </c>
      <c r="C987" t="inlineStr">
        <is>
          <t>1000</t>
        </is>
      </c>
      <c r="D987" t="inlineStr">
        <is>
          <t>M3</t>
        </is>
      </c>
      <c r="E987" t="n">
        <v>1000</v>
      </c>
      <c r="F987" t="inlineStr">
        <is>
          <t>TN</t>
        </is>
      </c>
      <c r="G987" t="n">
        <v>1400</v>
      </c>
      <c r="H987" t="inlineStr">
        <is>
          <t>GRAVA CLASIFICADA BASALTO 150 MM</t>
        </is>
      </c>
    </row>
    <row r="988">
      <c r="A988" t="n">
        <v>10116164</v>
      </c>
      <c r="B988" t="inlineStr">
        <is>
          <t>ZFE3</t>
        </is>
      </c>
      <c r="C988" t="inlineStr">
        <is>
          <t>1000</t>
        </is>
      </c>
      <c r="D988" t="inlineStr">
        <is>
          <t>M3</t>
        </is>
      </c>
      <c r="E988" t="n">
        <v>1000</v>
      </c>
      <c r="F988" t="inlineStr">
        <is>
          <t>TN</t>
        </is>
      </c>
      <c r="G988" t="n">
        <v>1475</v>
      </c>
      <c r="H988" t="inlineStr">
        <is>
          <t>ARENA CLASIFICADA RÍO MALLA 4 LAVADO</t>
        </is>
      </c>
    </row>
    <row r="989">
      <c r="A989" t="n">
        <v>10116166</v>
      </c>
      <c r="B989" t="inlineStr">
        <is>
          <t>ZFE3</t>
        </is>
      </c>
      <c r="C989" t="inlineStr">
        <is>
          <t>1000</t>
        </is>
      </c>
      <c r="D989" t="inlineStr">
        <is>
          <t>M3</t>
        </is>
      </c>
      <c r="E989" t="n">
        <v>1000</v>
      </c>
      <c r="F989" t="inlineStr">
        <is>
          <t>TN</t>
        </is>
      </c>
      <c r="G989" t="n">
        <v>1062</v>
      </c>
      <c r="H989" t="inlineStr">
        <is>
          <t>GRAVA TRITURADA CALIZA 20 MM - 3/4"</t>
        </is>
      </c>
    </row>
    <row r="990">
      <c r="A990" t="n">
        <v>10117708</v>
      </c>
      <c r="B990" t="inlineStr">
        <is>
          <t>ZFE3</t>
        </is>
      </c>
      <c r="C990" t="inlineStr">
        <is>
          <t>1000</t>
        </is>
      </c>
      <c r="D990" t="inlineStr">
        <is>
          <t>M3</t>
        </is>
      </c>
      <c r="E990" t="n">
        <v>1000</v>
      </c>
      <c r="F990" t="inlineStr">
        <is>
          <t>TN</t>
        </is>
      </c>
      <c r="G990" t="n">
        <v>1650</v>
      </c>
      <c r="H990" t="inlineStr">
        <is>
          <t>ARENA TRITURADA CALIZA MALLA 4</t>
        </is>
      </c>
    </row>
    <row r="991">
      <c r="A991" t="n">
        <v>10120802</v>
      </c>
      <c r="B991" t="inlineStr">
        <is>
          <t>ZFE3</t>
        </is>
      </c>
      <c r="C991" t="inlineStr">
        <is>
          <t>1000</t>
        </is>
      </c>
      <c r="D991" t="inlineStr">
        <is>
          <t>M3</t>
        </is>
      </c>
      <c r="E991" t="n">
        <v>1000</v>
      </c>
      <c r="F991" t="inlineStr">
        <is>
          <t>TN</t>
        </is>
      </c>
      <c r="G991" t="n">
        <v>1600</v>
      </c>
      <c r="H991" t="inlineStr">
        <is>
          <t>SUBPRODUCTO BASALTO DE 1 1/2 A FINOS</t>
        </is>
      </c>
    </row>
    <row r="992">
      <c r="A992" t="n">
        <v>10121571</v>
      </c>
      <c r="B992" t="inlineStr">
        <is>
          <t>ZFE3</t>
        </is>
      </c>
      <c r="C992" t="inlineStr">
        <is>
          <t>1000</t>
        </is>
      </c>
      <c r="D992" t="inlineStr">
        <is>
          <t>M3</t>
        </is>
      </c>
      <c r="E992" t="n">
        <v>1000</v>
      </c>
      <c r="F992" t="inlineStr">
        <is>
          <t>TN</t>
        </is>
      </c>
      <c r="G992" t="n">
        <v>1500</v>
      </c>
      <c r="H992" t="inlineStr">
        <is>
          <t>ARENA DE RIO MALLA 4</t>
        </is>
      </c>
    </row>
    <row r="993">
      <c r="A993" t="n">
        <v>10123034</v>
      </c>
      <c r="B993" t="inlineStr">
        <is>
          <t>ZFE3</t>
        </is>
      </c>
      <c r="C993" t="inlineStr">
        <is>
          <t>1000</t>
        </is>
      </c>
      <c r="D993" t="inlineStr">
        <is>
          <t>M3</t>
        </is>
      </c>
      <c r="E993" t="n">
        <v>1000</v>
      </c>
      <c r="F993" t="inlineStr">
        <is>
          <t>TN</t>
        </is>
      </c>
      <c r="G993" t="n">
        <v>1528</v>
      </c>
      <c r="H993" t="inlineStr">
        <is>
          <t>ARENA TRITURADA CALIZA MALLA 4</t>
        </is>
      </c>
    </row>
    <row r="994">
      <c r="A994" t="n">
        <v>10123752</v>
      </c>
      <c r="B994" t="inlineStr">
        <is>
          <t>ZFE3</t>
        </is>
      </c>
      <c r="C994" t="inlineStr">
        <is>
          <t>1000</t>
        </is>
      </c>
      <c r="D994" t="inlineStr">
        <is>
          <t>M3</t>
        </is>
      </c>
      <c r="E994" t="n">
        <v>1000</v>
      </c>
      <c r="F994" t="inlineStr">
        <is>
          <t>TN</t>
        </is>
      </c>
      <c r="G994" t="n">
        <v>1472</v>
      </c>
      <c r="H994" t="inlineStr">
        <is>
          <t>ARENA DE MAR CERNIDA SER.CO</t>
        </is>
      </c>
    </row>
    <row r="995">
      <c r="A995" t="n">
        <v>10123754</v>
      </c>
      <c r="B995" t="inlineStr">
        <is>
          <t>ZFE3</t>
        </is>
      </c>
      <c r="C995" t="inlineStr">
        <is>
          <t>1000</t>
        </is>
      </c>
      <c r="D995" t="inlineStr">
        <is>
          <t>M3</t>
        </is>
      </c>
      <c r="E995" t="n">
        <v>1000</v>
      </c>
      <c r="F995" t="inlineStr">
        <is>
          <t>TN</t>
        </is>
      </c>
      <c r="G995" t="n">
        <v>1743</v>
      </c>
      <c r="H995" t="inlineStr">
        <is>
          <t>Arena Gruesa Aluvial Rex Villavicencio</t>
        </is>
      </c>
    </row>
    <row r="996">
      <c r="A996" t="n">
        <v>10123755</v>
      </c>
      <c r="B996" t="inlineStr">
        <is>
          <t>ZFE3</t>
        </is>
      </c>
      <c r="C996" t="inlineStr">
        <is>
          <t>1000</t>
        </is>
      </c>
      <c r="D996" t="inlineStr">
        <is>
          <t>M3</t>
        </is>
      </c>
      <c r="E996" t="n">
        <v>1000</v>
      </c>
      <c r="F996" t="inlineStr">
        <is>
          <t>TN</t>
        </is>
      </c>
      <c r="G996" t="n">
        <v>1505</v>
      </c>
      <c r="H996" t="inlineStr">
        <is>
          <t>Grava Aluvial 1/2" Rex Villavicencio</t>
        </is>
      </c>
    </row>
    <row r="997">
      <c r="A997" t="n">
        <v>10123756</v>
      </c>
      <c r="B997" t="inlineStr">
        <is>
          <t>ZFE3</t>
        </is>
      </c>
      <c r="C997" t="inlineStr">
        <is>
          <t>1000</t>
        </is>
      </c>
      <c r="D997" t="inlineStr">
        <is>
          <t>M3</t>
        </is>
      </c>
      <c r="E997" t="n">
        <v>1000</v>
      </c>
      <c r="F997" t="inlineStr">
        <is>
          <t>TN</t>
        </is>
      </c>
      <c r="G997" t="n">
        <v>1505</v>
      </c>
      <c r="H997" t="inlineStr">
        <is>
          <t>Grava Aluvial 1" Rex Villavicencio</t>
        </is>
      </c>
    </row>
    <row r="998">
      <c r="A998" t="n">
        <v>10123757</v>
      </c>
      <c r="B998" t="inlineStr">
        <is>
          <t>ZFE3</t>
        </is>
      </c>
      <c r="C998" t="inlineStr">
        <is>
          <t>1000</t>
        </is>
      </c>
      <c r="D998" t="inlineStr">
        <is>
          <t>M3</t>
        </is>
      </c>
      <c r="E998" t="n">
        <v>1000</v>
      </c>
      <c r="F998" t="inlineStr">
        <is>
          <t>TN</t>
        </is>
      </c>
      <c r="G998" t="n">
        <v>1743</v>
      </c>
      <c r="H998" t="inlineStr">
        <is>
          <t>Arena Gruesa Aluvial Viamet</t>
        </is>
      </c>
    </row>
    <row r="999">
      <c r="A999" t="n">
        <v>10123758</v>
      </c>
      <c r="B999" t="inlineStr">
        <is>
          <t>ZFE3</t>
        </is>
      </c>
      <c r="C999" t="inlineStr">
        <is>
          <t>1000</t>
        </is>
      </c>
      <c r="D999" t="inlineStr">
        <is>
          <t>M3</t>
        </is>
      </c>
      <c r="E999" t="n">
        <v>1000</v>
      </c>
      <c r="F999" t="inlineStr">
        <is>
          <t>TN</t>
        </is>
      </c>
      <c r="G999" t="n">
        <v>1505</v>
      </c>
      <c r="H999" t="inlineStr">
        <is>
          <t>Grava Aluvial 1/2" Viamet</t>
        </is>
      </c>
    </row>
    <row r="1000">
      <c r="A1000" t="n">
        <v>10124106</v>
      </c>
      <c r="B1000" t="inlineStr">
        <is>
          <t>ZFE3</t>
        </is>
      </c>
      <c r="C1000" t="inlineStr">
        <is>
          <t>1000</t>
        </is>
      </c>
      <c r="D1000" t="inlineStr">
        <is>
          <t>M3</t>
        </is>
      </c>
      <c r="E1000" t="n">
        <v>1000</v>
      </c>
      <c r="F1000" t="inlineStr">
        <is>
          <t>TN</t>
        </is>
      </c>
      <c r="G1000" t="n">
        <v>1385</v>
      </c>
      <c r="H1000" t="inlineStr">
        <is>
          <t>PIEDRA DE GAVIÓN CO</t>
        </is>
      </c>
    </row>
    <row r="1001">
      <c r="A1001" t="n">
        <v>10124134</v>
      </c>
      <c r="B1001" t="inlineStr">
        <is>
          <t>ZFE3</t>
        </is>
      </c>
      <c r="C1001" t="inlineStr">
        <is>
          <t>1000</t>
        </is>
      </c>
      <c r="D1001" t="inlineStr">
        <is>
          <t>M3</t>
        </is>
      </c>
      <c r="E1001" t="n">
        <v>1000</v>
      </c>
      <c r="F1001" t="inlineStr">
        <is>
          <t>TN</t>
        </is>
      </c>
      <c r="G1001" t="n">
        <v>1440</v>
      </c>
      <c r="H1001" t="inlineStr">
        <is>
          <t>GRAVA TRITURADA BASALTO 10MM-3/8"</t>
        </is>
      </c>
    </row>
    <row r="1002">
      <c r="A1002" t="n">
        <v>10125120</v>
      </c>
      <c r="B1002" t="inlineStr">
        <is>
          <t>ZFE3</t>
        </is>
      </c>
      <c r="C1002" t="inlineStr">
        <is>
          <t>1000</t>
        </is>
      </c>
      <c r="D1002" t="inlineStr">
        <is>
          <t>M3</t>
        </is>
      </c>
      <c r="E1002" t="n">
        <v>1000</v>
      </c>
      <c r="F1002" t="inlineStr">
        <is>
          <t>TN</t>
        </is>
      </c>
      <c r="G1002" t="n">
        <v>1350</v>
      </c>
      <c r="H1002" t="inlineStr">
        <is>
          <t>GRAVA TRITURADA BASALTO 20 MM (3/4")</t>
        </is>
      </c>
    </row>
    <row r="1003">
      <c r="A1003" t="n">
        <v>10125171</v>
      </c>
      <c r="B1003" t="inlineStr">
        <is>
          <t>ZFE3</t>
        </is>
      </c>
      <c r="C1003" t="inlineStr">
        <is>
          <t>1000</t>
        </is>
      </c>
      <c r="D1003" t="inlineStr">
        <is>
          <t>M3</t>
        </is>
      </c>
      <c r="E1003" t="n">
        <v>1000</v>
      </c>
      <c r="F1003" t="inlineStr">
        <is>
          <t>TN</t>
        </is>
      </c>
      <c r="G1003" t="n">
        <v>1476</v>
      </c>
      <c r="H1003" t="inlineStr">
        <is>
          <t>Grava Aluvial 1" Gn Cx Carbonero</t>
        </is>
      </c>
    </row>
    <row r="1004">
      <c r="A1004" t="n">
        <v>10125213</v>
      </c>
      <c r="B1004" t="inlineStr">
        <is>
          <t>ZFE3</t>
        </is>
      </c>
      <c r="C1004" t="inlineStr">
        <is>
          <t>1000</t>
        </is>
      </c>
      <c r="D1004" t="inlineStr">
        <is>
          <t>M3</t>
        </is>
      </c>
      <c r="E1004" t="n">
        <v>1000</v>
      </c>
      <c r="F1004" t="inlineStr">
        <is>
          <t>TN</t>
        </is>
      </c>
      <c r="G1004" t="n">
        <v>1480</v>
      </c>
      <c r="H1004" t="inlineStr">
        <is>
          <t>TOSCA - SUB BASE ROCK</t>
        </is>
      </c>
    </row>
    <row r="1005">
      <c r="A1005" t="n">
        <v>10127286</v>
      </c>
      <c r="B1005" t="inlineStr">
        <is>
          <t>ZFE3</t>
        </is>
      </c>
      <c r="C1005" t="inlineStr">
        <is>
          <t>1000</t>
        </is>
      </c>
      <c r="D1005" t="inlineStr">
        <is>
          <t>M3</t>
        </is>
      </c>
      <c r="E1005" t="n">
        <v>1000</v>
      </c>
      <c r="F1005" t="inlineStr">
        <is>
          <t>TN</t>
        </is>
      </c>
      <c r="G1005" t="n">
        <v>1491</v>
      </c>
      <c r="H1005" t="inlineStr">
        <is>
          <t>Grava Aluvial 3/4" Petreos</t>
        </is>
      </c>
    </row>
    <row r="1006">
      <c r="A1006" t="n">
        <v>10127336</v>
      </c>
      <c r="B1006" t="inlineStr">
        <is>
          <t>ZFE3</t>
        </is>
      </c>
      <c r="C1006" t="inlineStr">
        <is>
          <t>1000</t>
        </is>
      </c>
      <c r="D1006" t="inlineStr">
        <is>
          <t>M3</t>
        </is>
      </c>
      <c r="E1006" t="n">
        <v>1000</v>
      </c>
      <c r="F1006" t="inlineStr">
        <is>
          <t>TN</t>
        </is>
      </c>
      <c r="G1006" t="n">
        <v>1321</v>
      </c>
      <c r="H1006" t="inlineStr">
        <is>
          <t>Grava Arenisca 1" Incomineria</t>
        </is>
      </c>
    </row>
    <row r="1007">
      <c r="A1007" t="n">
        <v>10127337</v>
      </c>
      <c r="B1007" t="inlineStr">
        <is>
          <t>ZFE3</t>
        </is>
      </c>
      <c r="C1007" t="inlineStr">
        <is>
          <t>1000</t>
        </is>
      </c>
      <c r="D1007" t="inlineStr">
        <is>
          <t>M3</t>
        </is>
      </c>
      <c r="E1007" t="n">
        <v>1000</v>
      </c>
      <c r="F1007" t="inlineStr">
        <is>
          <t>TN</t>
        </is>
      </c>
      <c r="G1007" t="n">
        <v>1269</v>
      </c>
      <c r="H1007" t="inlineStr">
        <is>
          <t>GRAVA ARENISCA 1/2" INCOMINERIA</t>
        </is>
      </c>
    </row>
    <row r="1008">
      <c r="A1008" t="n">
        <v>10127817</v>
      </c>
      <c r="B1008" t="inlineStr">
        <is>
          <t>ZFE3</t>
        </is>
      </c>
      <c r="C1008" t="inlineStr">
        <is>
          <t>1000</t>
        </is>
      </c>
      <c r="D1008" t="inlineStr">
        <is>
          <t>M3</t>
        </is>
      </c>
      <c r="E1008" t="n">
        <v>1000</v>
      </c>
      <c r="F1008" t="inlineStr">
        <is>
          <t>TN</t>
        </is>
      </c>
      <c r="G1008" t="n">
        <v>1517</v>
      </c>
      <c r="H1008" t="inlineStr">
        <is>
          <t>ARENA CLASIFICADA VOLCANICA MALLA 4</t>
        </is>
      </c>
    </row>
    <row r="1009">
      <c r="A1009" t="n">
        <v>10128505</v>
      </c>
      <c r="B1009" t="inlineStr">
        <is>
          <t>ZFE3</t>
        </is>
      </c>
      <c r="C1009" t="inlineStr">
        <is>
          <t>1000</t>
        </is>
      </c>
      <c r="D1009" t="inlineStr">
        <is>
          <t>M3</t>
        </is>
      </c>
      <c r="E1009" t="n">
        <v>1000</v>
      </c>
      <c r="F1009" t="inlineStr">
        <is>
          <t>TN</t>
        </is>
      </c>
      <c r="G1009" t="n">
        <v>1250</v>
      </c>
      <c r="H1009" t="inlineStr">
        <is>
          <t>Arena Silicea Para Cemento</t>
        </is>
      </c>
    </row>
    <row r="1010">
      <c r="A1010" t="n">
        <v>10128595</v>
      </c>
      <c r="B1010" t="inlineStr">
        <is>
          <t>ZFE3</t>
        </is>
      </c>
      <c r="C1010" t="inlineStr">
        <is>
          <t>1000</t>
        </is>
      </c>
      <c r="D1010" t="inlineStr">
        <is>
          <t>M3</t>
        </is>
      </c>
      <c r="E1010" t="n">
        <v>1000</v>
      </c>
      <c r="F1010" t="inlineStr">
        <is>
          <t>TN</t>
        </is>
      </c>
      <c r="G1010" t="n">
        <v>1575</v>
      </c>
      <c r="H1010" t="inlineStr">
        <is>
          <t>ARENA CLASIFICADA RIO MALLA 4</t>
        </is>
      </c>
    </row>
    <row r="1011">
      <c r="A1011" t="n">
        <v>10128596</v>
      </c>
      <c r="B1011" t="inlineStr">
        <is>
          <t>ZFE3</t>
        </is>
      </c>
      <c r="C1011" t="inlineStr">
        <is>
          <t>1000</t>
        </is>
      </c>
      <c r="D1011" t="inlineStr">
        <is>
          <t>M3</t>
        </is>
      </c>
      <c r="E1011" t="n">
        <v>1000</v>
      </c>
      <c r="F1011" t="inlineStr">
        <is>
          <t>TN</t>
        </is>
      </c>
      <c r="G1011" t="n">
        <v>1490</v>
      </c>
      <c r="H1011" t="inlineStr">
        <is>
          <t>GRAVA TRITURADA RIO 10 MM - 3/8"</t>
        </is>
      </c>
    </row>
    <row r="1012">
      <c r="A1012" t="n">
        <v>10128597</v>
      </c>
      <c r="B1012" t="inlineStr">
        <is>
          <t>ZFE3</t>
        </is>
      </c>
      <c r="C1012" t="inlineStr">
        <is>
          <t>1000</t>
        </is>
      </c>
      <c r="D1012" t="inlineStr">
        <is>
          <t>M3</t>
        </is>
      </c>
      <c r="E1012" t="n">
        <v>1000</v>
      </c>
      <c r="F1012" t="inlineStr">
        <is>
          <t>TN</t>
        </is>
      </c>
      <c r="G1012" t="n">
        <v>1531</v>
      </c>
      <c r="H1012" t="inlineStr">
        <is>
          <t>GRAVA TRITURADA RIO 20 MM - 3/4"</t>
        </is>
      </c>
    </row>
    <row r="1013">
      <c r="A1013" t="n">
        <v>10128598</v>
      </c>
      <c r="B1013" t="inlineStr">
        <is>
          <t>ZFE3</t>
        </is>
      </c>
      <c r="C1013" t="inlineStr">
        <is>
          <t>1000</t>
        </is>
      </c>
      <c r="D1013" t="inlineStr">
        <is>
          <t>M3</t>
        </is>
      </c>
      <c r="E1013" t="n">
        <v>1000</v>
      </c>
      <c r="F1013" t="inlineStr">
        <is>
          <t>TN</t>
        </is>
      </c>
      <c r="G1013" t="n">
        <v>1550</v>
      </c>
      <c r="H1013" t="inlineStr">
        <is>
          <t>GRAVA TRITURADA RIO 40 MM - 1 1/2"</t>
        </is>
      </c>
    </row>
    <row r="1014">
      <c r="A1014" t="n">
        <v>10128599</v>
      </c>
      <c r="B1014" t="inlineStr">
        <is>
          <t>ZFE3</t>
        </is>
      </c>
      <c r="C1014" t="inlineStr">
        <is>
          <t>1000</t>
        </is>
      </c>
      <c r="D1014" t="inlineStr">
        <is>
          <t>M3</t>
        </is>
      </c>
      <c r="E1014" t="n">
        <v>1000</v>
      </c>
      <c r="F1014" t="inlineStr">
        <is>
          <t>TN</t>
        </is>
      </c>
      <c r="G1014" t="n">
        <v>1480</v>
      </c>
      <c r="H1014" t="inlineStr">
        <is>
          <t>GRAVA TRITURADA BASALTO 10 MM - 3/8"</t>
        </is>
      </c>
    </row>
    <row r="1015">
      <c r="A1015" t="n">
        <v>10128740</v>
      </c>
      <c r="B1015" t="inlineStr">
        <is>
          <t>ZFE3</t>
        </is>
      </c>
      <c r="C1015" t="inlineStr">
        <is>
          <t>1000</t>
        </is>
      </c>
      <c r="D1015" t="inlineStr">
        <is>
          <t>M3</t>
        </is>
      </c>
      <c r="E1015" t="n">
        <v>1000</v>
      </c>
      <c r="F1015" t="inlineStr">
        <is>
          <t>TN</t>
        </is>
      </c>
      <c r="G1015" t="n">
        <v>1397</v>
      </c>
      <c r="H1015" t="inlineStr">
        <is>
          <t>GRAVA TRITURADA BASALTO 10 MM - 3/8"</t>
        </is>
      </c>
    </row>
    <row r="1016">
      <c r="A1016" t="n">
        <v>10128742</v>
      </c>
      <c r="B1016" t="inlineStr">
        <is>
          <t>ZFE3</t>
        </is>
      </c>
      <c r="C1016" t="inlineStr">
        <is>
          <t>1000</t>
        </is>
      </c>
      <c r="D1016" t="inlineStr">
        <is>
          <t>M3</t>
        </is>
      </c>
      <c r="E1016" t="n">
        <v>1000</v>
      </c>
      <c r="F1016" t="inlineStr">
        <is>
          <t>TN</t>
        </is>
      </c>
      <c r="G1016" t="n">
        <v>1411</v>
      </c>
      <c r="H1016" t="inlineStr">
        <is>
          <t>GRAVA TRITURADA BASALTO 20 MM - 3/4"</t>
        </is>
      </c>
    </row>
    <row r="1017">
      <c r="A1017" t="n">
        <v>10128743</v>
      </c>
      <c r="B1017" t="inlineStr">
        <is>
          <t>ZFE3</t>
        </is>
      </c>
      <c r="C1017" t="inlineStr">
        <is>
          <t>1000</t>
        </is>
      </c>
      <c r="D1017" t="inlineStr">
        <is>
          <t>M3</t>
        </is>
      </c>
      <c r="E1017" t="n">
        <v>1000</v>
      </c>
      <c r="F1017" t="inlineStr">
        <is>
          <t>TN</t>
        </is>
      </c>
      <c r="G1017" t="n">
        <v>1410</v>
      </c>
      <c r="H1017" t="inlineStr">
        <is>
          <t>GRAVA TRITURADA BASALTO 20 MM - 3/4"</t>
        </is>
      </c>
    </row>
    <row r="1018">
      <c r="A1018" t="n">
        <v>10128748</v>
      </c>
      <c r="B1018" t="inlineStr">
        <is>
          <t>ZFE3</t>
        </is>
      </c>
      <c r="C1018" t="inlineStr">
        <is>
          <t>1000</t>
        </is>
      </c>
      <c r="D1018" t="inlineStr">
        <is>
          <t>M3</t>
        </is>
      </c>
      <c r="E1018" t="n">
        <v>1000</v>
      </c>
      <c r="F1018" t="inlineStr">
        <is>
          <t>TN</t>
        </is>
      </c>
      <c r="G1018" t="n">
        <v>1382</v>
      </c>
      <c r="H1018" t="inlineStr">
        <is>
          <t>GRAVA TRITURADA BASALTO 20 MM - 3/4"</t>
        </is>
      </c>
    </row>
    <row r="1019">
      <c r="A1019" t="n">
        <v>10128749</v>
      </c>
      <c r="B1019" t="inlineStr">
        <is>
          <t>ZFE3</t>
        </is>
      </c>
      <c r="C1019" t="inlineStr">
        <is>
          <t>1000</t>
        </is>
      </c>
      <c r="D1019" t="inlineStr">
        <is>
          <t>M3</t>
        </is>
      </c>
      <c r="E1019" t="n">
        <v>1000</v>
      </c>
      <c r="F1019" t="inlineStr">
        <is>
          <t>TN</t>
        </is>
      </c>
      <c r="G1019" t="n">
        <v>1312</v>
      </c>
      <c r="H1019" t="inlineStr">
        <is>
          <t>GRAVA TRITURADA BASALTO 20 MM - 3/4"</t>
        </is>
      </c>
    </row>
    <row r="1020">
      <c r="A1020" t="n">
        <v>10128751</v>
      </c>
      <c r="B1020" t="inlineStr">
        <is>
          <t>ZFE3</t>
        </is>
      </c>
      <c r="C1020" t="inlineStr">
        <is>
          <t>1000</t>
        </is>
      </c>
      <c r="D1020" t="inlineStr">
        <is>
          <t>M3</t>
        </is>
      </c>
      <c r="E1020" t="n">
        <v>1000</v>
      </c>
      <c r="F1020" t="inlineStr">
        <is>
          <t>TN</t>
        </is>
      </c>
      <c r="G1020" t="n">
        <v>1250</v>
      </c>
      <c r="H1020" t="inlineStr">
        <is>
          <t>GRAVA TRITURADA BASALTO 40 MM - 1 1/2"</t>
        </is>
      </c>
    </row>
    <row r="1021">
      <c r="A1021" t="n">
        <v>10128752</v>
      </c>
      <c r="B1021" t="inlineStr">
        <is>
          <t>ZFE3</t>
        </is>
      </c>
      <c r="C1021" t="inlineStr">
        <is>
          <t>1000</t>
        </is>
      </c>
      <c r="D1021" t="inlineStr">
        <is>
          <t>M3</t>
        </is>
      </c>
      <c r="E1021" t="n">
        <v>1000</v>
      </c>
      <c r="F1021" t="inlineStr">
        <is>
          <t>TN</t>
        </is>
      </c>
      <c r="G1021" t="n">
        <v>1410</v>
      </c>
      <c r="H1021" t="inlineStr">
        <is>
          <t>GRAVA TRITURADA BASALTO 40 MM - 1 1/2"</t>
        </is>
      </c>
    </row>
    <row r="1022">
      <c r="A1022" t="n">
        <v>10128754</v>
      </c>
      <c r="B1022" t="inlineStr">
        <is>
          <t>ZFE3</t>
        </is>
      </c>
      <c r="C1022" t="inlineStr">
        <is>
          <t>1000</t>
        </is>
      </c>
      <c r="D1022" t="inlineStr">
        <is>
          <t>M3</t>
        </is>
      </c>
      <c r="E1022" t="n">
        <v>1000</v>
      </c>
      <c r="F1022" t="inlineStr">
        <is>
          <t>TN</t>
        </is>
      </c>
      <c r="G1022" t="n">
        <v>1470</v>
      </c>
      <c r="H1022" t="inlineStr">
        <is>
          <t>GRAVA TRITURADA BASALTO 40 MM - 1 1/2"</t>
        </is>
      </c>
    </row>
    <row r="1023">
      <c r="A1023" t="n">
        <v>10128836</v>
      </c>
      <c r="B1023" t="inlineStr">
        <is>
          <t>ZFE3</t>
        </is>
      </c>
      <c r="C1023" t="inlineStr">
        <is>
          <t>1000</t>
        </is>
      </c>
      <c r="D1023" t="inlineStr">
        <is>
          <t>M3</t>
        </is>
      </c>
      <c r="E1023" t="n">
        <v>1000</v>
      </c>
      <c r="F1023" t="inlineStr">
        <is>
          <t>TN</t>
        </is>
      </c>
      <c r="G1023" t="n">
        <v>1530</v>
      </c>
      <c r="H1023" t="inlineStr">
        <is>
          <t>MIXTO - ARENA4/GRAVA 20</t>
        </is>
      </c>
    </row>
    <row r="1024">
      <c r="A1024" t="n">
        <v>10129277</v>
      </c>
      <c r="B1024" t="inlineStr">
        <is>
          <t>ZFE3</t>
        </is>
      </c>
      <c r="C1024" t="inlineStr">
        <is>
          <t>1000</t>
        </is>
      </c>
      <c r="D1024" t="inlineStr">
        <is>
          <t>M3</t>
        </is>
      </c>
      <c r="E1024" t="n">
        <v>1000</v>
      </c>
      <c r="F1024" t="inlineStr">
        <is>
          <t>TN</t>
        </is>
      </c>
      <c r="G1024" t="n">
        <v>1215</v>
      </c>
      <c r="H1024" t="inlineStr">
        <is>
          <t>GRAVA TRITURADA ANDESITA 20 MM - 3/4" AA</t>
        </is>
      </c>
    </row>
    <row r="1025">
      <c r="A1025" t="n">
        <v>10129351</v>
      </c>
      <c r="B1025" t="inlineStr">
        <is>
          <t>ZFE3</t>
        </is>
      </c>
      <c r="C1025" t="inlineStr">
        <is>
          <t>1000</t>
        </is>
      </c>
      <c r="D1025" t="inlineStr">
        <is>
          <t>M3</t>
        </is>
      </c>
      <c r="E1025" t="n">
        <v>1000</v>
      </c>
      <c r="F1025" t="inlineStr">
        <is>
          <t>TN</t>
        </is>
      </c>
      <c r="G1025" t="n">
        <v>1499</v>
      </c>
      <c r="H1025" t="inlineStr">
        <is>
          <t>Arena Gruesa Tritucar</t>
        </is>
      </c>
    </row>
    <row r="1026">
      <c r="A1026" t="n">
        <v>10129353</v>
      </c>
      <c r="B1026" t="inlineStr">
        <is>
          <t>ZFE3</t>
        </is>
      </c>
      <c r="C1026" t="inlineStr">
        <is>
          <t>1000</t>
        </is>
      </c>
      <c r="D1026" t="inlineStr">
        <is>
          <t>M3</t>
        </is>
      </c>
      <c r="E1026" t="n">
        <v>1000</v>
      </c>
      <c r="F1026" t="inlineStr">
        <is>
          <t>TN</t>
        </is>
      </c>
      <c r="G1026" t="n">
        <v>1499</v>
      </c>
      <c r="H1026" t="inlineStr">
        <is>
          <t>Grava 1/2 Tritucar.</t>
        </is>
      </c>
    </row>
    <row r="1027">
      <c r="A1027" t="n">
        <v>10130425</v>
      </c>
      <c r="B1027" t="inlineStr">
        <is>
          <t>ZFE3</t>
        </is>
      </c>
      <c r="C1027" t="inlineStr">
        <is>
          <t>1000</t>
        </is>
      </c>
      <c r="D1027" t="inlineStr">
        <is>
          <t>M3</t>
        </is>
      </c>
      <c r="E1027" t="n">
        <v>1000</v>
      </c>
      <c r="F1027" t="inlineStr">
        <is>
          <t>TN</t>
        </is>
      </c>
      <c r="G1027" t="n">
        <v>1385</v>
      </c>
      <c r="H1027" t="inlineStr">
        <is>
          <t>GRAVA TRITURADA ANDESITA 80 MM- 3"</t>
        </is>
      </c>
    </row>
    <row r="1028">
      <c r="A1028" t="n">
        <v>10131928</v>
      </c>
      <c r="B1028" t="inlineStr">
        <is>
          <t>ZFE3</t>
        </is>
      </c>
      <c r="C1028" t="inlineStr">
        <is>
          <t>1000</t>
        </is>
      </c>
      <c r="D1028" t="inlineStr">
        <is>
          <t>M3</t>
        </is>
      </c>
      <c r="E1028" t="n">
        <v>1000</v>
      </c>
      <c r="F1028" t="inlineStr">
        <is>
          <t>TN</t>
        </is>
      </c>
      <c r="G1028" t="n">
        <v>1384</v>
      </c>
      <c r="H1028" t="inlineStr">
        <is>
          <t>ARENA CONTINENTAL COR.</t>
        </is>
      </c>
    </row>
    <row r="1029">
      <c r="A1029" t="n">
        <v>10132059</v>
      </c>
      <c r="B1029" t="inlineStr">
        <is>
          <t>ZFE3</t>
        </is>
      </c>
      <c r="C1029" t="inlineStr">
        <is>
          <t>1000</t>
        </is>
      </c>
      <c r="D1029" t="inlineStr">
        <is>
          <t>M3</t>
        </is>
      </c>
      <c r="E1029" t="n">
        <v>1000</v>
      </c>
      <c r="F1029" t="inlineStr">
        <is>
          <t>TN</t>
        </is>
      </c>
      <c r="G1029" t="n">
        <v>1333</v>
      </c>
      <c r="H1029" t="inlineStr">
        <is>
          <t>ARENA PARA CONCRETOS A.COR.CO.</t>
        </is>
      </c>
    </row>
    <row r="1030">
      <c r="A1030" t="n">
        <v>10132105</v>
      </c>
      <c r="B1030" t="inlineStr">
        <is>
          <t>ZFE3</t>
        </is>
      </c>
      <c r="C1030" t="inlineStr">
        <is>
          <t>1000</t>
        </is>
      </c>
      <c r="D1030" t="inlineStr">
        <is>
          <t>M3</t>
        </is>
      </c>
      <c r="E1030" t="n">
        <v>1000</v>
      </c>
      <c r="F1030" t="inlineStr">
        <is>
          <t>TN</t>
        </is>
      </c>
      <c r="G1030" t="n">
        <v>1557</v>
      </c>
      <c r="H1030" t="inlineStr">
        <is>
          <t>Grava 3/4" Centrasa Caribe</t>
        </is>
      </c>
    </row>
    <row r="1031">
      <c r="A1031" t="n">
        <v>10132162</v>
      </c>
      <c r="B1031" t="inlineStr">
        <is>
          <t>ZFE3</t>
        </is>
      </c>
      <c r="C1031" t="inlineStr">
        <is>
          <t>1000</t>
        </is>
      </c>
      <c r="D1031" t="inlineStr">
        <is>
          <t>M3</t>
        </is>
      </c>
      <c r="E1031" t="n">
        <v>1000</v>
      </c>
      <c r="F1031" t="inlineStr">
        <is>
          <t>TN</t>
        </is>
      </c>
      <c r="G1031" t="n">
        <v>1608</v>
      </c>
      <c r="H1031" t="inlineStr">
        <is>
          <t>ARENA TRITURADA CALIZA MALLA 4</t>
        </is>
      </c>
    </row>
    <row r="1032">
      <c r="A1032" t="n">
        <v>10132341</v>
      </c>
      <c r="B1032" t="inlineStr">
        <is>
          <t>ZFE3</t>
        </is>
      </c>
      <c r="C1032" t="inlineStr">
        <is>
          <t>1000</t>
        </is>
      </c>
      <c r="D1032" t="inlineStr">
        <is>
          <t>M3</t>
        </is>
      </c>
      <c r="E1032" t="n">
        <v>1000</v>
      </c>
      <c r="F1032" t="inlineStr">
        <is>
          <t>TN</t>
        </is>
      </c>
      <c r="G1032" t="n">
        <v>1610</v>
      </c>
      <c r="H1032" t="inlineStr">
        <is>
          <t>ARENA TRITURADA BASALTO MALLA 4 - BC -</t>
        </is>
      </c>
    </row>
    <row r="1033">
      <c r="A1033" t="n">
        <v>10132394</v>
      </c>
      <c r="B1033" t="inlineStr">
        <is>
          <t>ZFE3</t>
        </is>
      </c>
      <c r="C1033" t="inlineStr">
        <is>
          <t>1000</t>
        </is>
      </c>
      <c r="D1033" t="inlineStr">
        <is>
          <t>M3</t>
        </is>
      </c>
      <c r="E1033" t="n">
        <v>1000</v>
      </c>
      <c r="F1033" t="inlineStr">
        <is>
          <t>TN</t>
        </is>
      </c>
      <c r="G1033" t="n">
        <v>1396</v>
      </c>
      <c r="H1033" t="inlineStr">
        <is>
          <t>GRAVA TRITURADA BASALTO 40 MM - MALLA #4</t>
        </is>
      </c>
    </row>
    <row r="1034">
      <c r="A1034" t="n">
        <v>10133051</v>
      </c>
      <c r="B1034" t="inlineStr">
        <is>
          <t>ZFE3</t>
        </is>
      </c>
      <c r="C1034" t="inlineStr">
        <is>
          <t>1000</t>
        </is>
      </c>
      <c r="D1034" t="inlineStr">
        <is>
          <t>M3</t>
        </is>
      </c>
      <c r="E1034" t="n">
        <v>1000</v>
      </c>
      <c r="F1034" t="inlineStr">
        <is>
          <t>TN</t>
        </is>
      </c>
      <c r="G1034" t="n">
        <v>1480</v>
      </c>
      <c r="H1034" t="inlineStr">
        <is>
          <t>GRAVA RIO 10MM-3/8"</t>
        </is>
      </c>
    </row>
    <row r="1035">
      <c r="A1035" t="n">
        <v>10133052</v>
      </c>
      <c r="B1035" t="inlineStr">
        <is>
          <t>ZFE3</t>
        </is>
      </c>
      <c r="C1035" t="inlineStr">
        <is>
          <t>1000</t>
        </is>
      </c>
      <c r="D1035" t="inlineStr">
        <is>
          <t>M3</t>
        </is>
      </c>
      <c r="E1035" t="n">
        <v>1000</v>
      </c>
      <c r="F1035" t="inlineStr">
        <is>
          <t>TN</t>
        </is>
      </c>
      <c r="G1035" t="n">
        <v>1560</v>
      </c>
      <c r="H1035" t="inlineStr">
        <is>
          <t>GRAVA TRITURADA BASALTO 20 MM - 3/4"</t>
        </is>
      </c>
    </row>
    <row r="1036">
      <c r="A1036" t="n">
        <v>10133053</v>
      </c>
      <c r="B1036" t="inlineStr">
        <is>
          <t>ZFE3</t>
        </is>
      </c>
      <c r="C1036" t="inlineStr">
        <is>
          <t>1000</t>
        </is>
      </c>
      <c r="D1036" t="inlineStr">
        <is>
          <t>M3</t>
        </is>
      </c>
      <c r="E1036" t="n">
        <v>1000</v>
      </c>
      <c r="F1036" t="inlineStr">
        <is>
          <t>TN</t>
        </is>
      </c>
      <c r="G1036" t="n">
        <v>1440</v>
      </c>
      <c r="H1036" t="inlineStr">
        <is>
          <t>GRAVA TRITURADA GRANITO 20 MM - 3/4"</t>
        </is>
      </c>
    </row>
    <row r="1037">
      <c r="A1037" t="n">
        <v>10133157</v>
      </c>
      <c r="B1037" t="inlineStr">
        <is>
          <t>ZFE3</t>
        </is>
      </c>
      <c r="C1037" t="inlineStr">
        <is>
          <t>1000</t>
        </is>
      </c>
      <c r="D1037" t="inlineStr">
        <is>
          <t>M3</t>
        </is>
      </c>
      <c r="E1037" t="n">
        <v>1000</v>
      </c>
      <c r="F1037" t="inlineStr">
        <is>
          <t>TN</t>
        </is>
      </c>
      <c r="G1037" t="n">
        <v>1355</v>
      </c>
      <c r="H1037" t="inlineStr">
        <is>
          <t>ARENA CLASIFICADA RÍO MALLA 4*</t>
        </is>
      </c>
    </row>
    <row r="1038">
      <c r="A1038" t="n">
        <v>10133158</v>
      </c>
      <c r="B1038" t="inlineStr">
        <is>
          <t>ZFE3</t>
        </is>
      </c>
      <c r="C1038" t="inlineStr">
        <is>
          <t>1000</t>
        </is>
      </c>
      <c r="D1038" t="inlineStr">
        <is>
          <t>M3</t>
        </is>
      </c>
      <c r="E1038" t="n">
        <v>1000</v>
      </c>
      <c r="F1038" t="inlineStr">
        <is>
          <t>TN</t>
        </is>
      </c>
      <c r="G1038" t="n">
        <v>1548</v>
      </c>
      <c r="H1038" t="inlineStr">
        <is>
          <t>GRAVA TRITURADA BASALTO 20 MM - 3/4"</t>
        </is>
      </c>
    </row>
    <row r="1039">
      <c r="A1039" t="n">
        <v>10133812</v>
      </c>
      <c r="B1039" t="inlineStr">
        <is>
          <t>ZFE3</t>
        </is>
      </c>
      <c r="C1039" t="inlineStr">
        <is>
          <t>1000</t>
        </is>
      </c>
      <c r="D1039" t="inlineStr">
        <is>
          <t>M3</t>
        </is>
      </c>
      <c r="E1039" t="n">
        <v>1000</v>
      </c>
      <c r="F1039" t="inlineStr">
        <is>
          <t>TN</t>
        </is>
      </c>
      <c r="G1039" t="n">
        <v>1445</v>
      </c>
      <c r="H1039" t="inlineStr">
        <is>
          <t>GRAVA TRITURADA GRANITO 20 MM - 3/4"</t>
        </is>
      </c>
    </row>
    <row r="1040">
      <c r="A1040" t="n">
        <v>10134841</v>
      </c>
      <c r="B1040" t="inlineStr">
        <is>
          <t>ZFE3</t>
        </is>
      </c>
      <c r="C1040" t="inlineStr">
        <is>
          <t>1000</t>
        </is>
      </c>
      <c r="D1040" t="inlineStr">
        <is>
          <t>M3</t>
        </is>
      </c>
      <c r="E1040" t="n">
        <v>1000</v>
      </c>
      <c r="F1040" t="inlineStr">
        <is>
          <t>TN</t>
        </is>
      </c>
      <c r="G1040" t="n">
        <v>1400</v>
      </c>
      <c r="H1040" t="inlineStr">
        <is>
          <t>GRAVA TRITURA BASALTO DE 25 MM- 1"</t>
        </is>
      </c>
    </row>
    <row r="1041">
      <c r="A1041" t="n">
        <v>10135625</v>
      </c>
      <c r="B1041" t="inlineStr">
        <is>
          <t>ZFE3</t>
        </is>
      </c>
      <c r="C1041" t="inlineStr">
        <is>
          <t>1000</t>
        </is>
      </c>
      <c r="D1041" t="inlineStr">
        <is>
          <t>M3</t>
        </is>
      </c>
      <c r="E1041" t="n">
        <v>1000</v>
      </c>
      <c r="F1041" t="inlineStr">
        <is>
          <t>TN</t>
        </is>
      </c>
      <c r="G1041" t="n">
        <v>1460</v>
      </c>
      <c r="H1041" t="inlineStr">
        <is>
          <t>GRAVA TRITURADA GRANITO 40 MM - 1 1/2"</t>
        </is>
      </c>
    </row>
    <row r="1042">
      <c r="A1042" t="n">
        <v>10135829</v>
      </c>
      <c r="B1042" t="inlineStr">
        <is>
          <t>ZFE3</t>
        </is>
      </c>
      <c r="C1042" t="inlineStr">
        <is>
          <t>1000</t>
        </is>
      </c>
      <c r="D1042" t="inlineStr">
        <is>
          <t>M3</t>
        </is>
      </c>
      <c r="E1042" t="n">
        <v>1000</v>
      </c>
      <c r="F1042" t="inlineStr">
        <is>
          <t>TN</t>
        </is>
      </c>
      <c r="G1042" t="n">
        <v>1500</v>
      </c>
      <c r="H1042" t="inlineStr">
        <is>
          <t>ARENA SILICA 18-13</t>
        </is>
      </c>
    </row>
    <row r="1043">
      <c r="A1043" t="n">
        <v>10136035</v>
      </c>
      <c r="B1043" t="inlineStr">
        <is>
          <t>ZFE3</t>
        </is>
      </c>
      <c r="C1043" t="inlineStr">
        <is>
          <t>1000</t>
        </is>
      </c>
      <c r="D1043" t="inlineStr">
        <is>
          <t>M3</t>
        </is>
      </c>
      <c r="E1043" t="n">
        <v>1000</v>
      </c>
      <c r="F1043" t="inlineStr">
        <is>
          <t>TN</t>
        </is>
      </c>
      <c r="G1043" t="n">
        <v>1602</v>
      </c>
      <c r="H1043" t="inlineStr">
        <is>
          <t>Arena Gruesa Aluvial GN CX Carbonero</t>
        </is>
      </c>
    </row>
    <row r="1044">
      <c r="A1044" t="n">
        <v>10136046</v>
      </c>
      <c r="B1044" t="inlineStr">
        <is>
          <t>ZFE3</t>
        </is>
      </c>
      <c r="C1044" t="inlineStr">
        <is>
          <t>1000</t>
        </is>
      </c>
      <c r="D1044" t="inlineStr">
        <is>
          <t>M3</t>
        </is>
      </c>
      <c r="E1044" t="n">
        <v>1000</v>
      </c>
      <c r="F1044" t="inlineStr">
        <is>
          <t>TN</t>
        </is>
      </c>
      <c r="G1044" t="n">
        <v>1484</v>
      </c>
      <c r="H1044" t="inlineStr">
        <is>
          <t>GRAVA TRITURADA GRANITO 20 MM - 3/4"</t>
        </is>
      </c>
    </row>
    <row r="1045">
      <c r="A1045" t="n">
        <v>10136047</v>
      </c>
      <c r="B1045" t="inlineStr">
        <is>
          <t>ZFE3</t>
        </is>
      </c>
      <c r="C1045" t="inlineStr">
        <is>
          <t>1000</t>
        </is>
      </c>
      <c r="D1045" t="inlineStr">
        <is>
          <t>M3</t>
        </is>
      </c>
      <c r="E1045" t="n">
        <v>1000</v>
      </c>
      <c r="F1045" t="inlineStr">
        <is>
          <t>TN</t>
        </is>
      </c>
      <c r="G1045" t="n">
        <v>1516</v>
      </c>
      <c r="H1045" t="inlineStr">
        <is>
          <t>ARENA TRITURADA BASALTO MALLA 4</t>
        </is>
      </c>
    </row>
    <row r="1046">
      <c r="A1046" t="n">
        <v>10136048</v>
      </c>
      <c r="B1046" t="inlineStr">
        <is>
          <t>ZFE3</t>
        </is>
      </c>
      <c r="C1046" t="inlineStr">
        <is>
          <t>1000</t>
        </is>
      </c>
      <c r="D1046" t="inlineStr">
        <is>
          <t>M3</t>
        </is>
      </c>
      <c r="E1046" t="n">
        <v>1000</v>
      </c>
      <c r="F1046" t="inlineStr">
        <is>
          <t>TN</t>
        </is>
      </c>
      <c r="G1046" t="n">
        <v>1370</v>
      </c>
      <c r="H1046" t="inlineStr">
        <is>
          <t>GRAVA TRITURADA BASALTO 40 MM - 1 1/2"</t>
        </is>
      </c>
    </row>
    <row r="1047">
      <c r="A1047" t="n">
        <v>10136049</v>
      </c>
      <c r="B1047" t="inlineStr">
        <is>
          <t>ZFE3</t>
        </is>
      </c>
      <c r="C1047" t="inlineStr">
        <is>
          <t>1000</t>
        </is>
      </c>
      <c r="D1047" t="inlineStr">
        <is>
          <t>M3</t>
        </is>
      </c>
      <c r="E1047" t="n">
        <v>1000</v>
      </c>
      <c r="F1047" t="inlineStr">
        <is>
          <t>TN</t>
        </is>
      </c>
      <c r="G1047" t="n">
        <v>1343</v>
      </c>
      <c r="H1047" t="inlineStr">
        <is>
          <t>GRAVA TRITURADA BASALTO 10 MM - 3/8"</t>
        </is>
      </c>
    </row>
    <row r="1048">
      <c r="A1048" t="n">
        <v>10136287</v>
      </c>
      <c r="B1048" t="inlineStr">
        <is>
          <t>ZFE3</t>
        </is>
      </c>
      <c r="C1048" t="inlineStr">
        <is>
          <t>1000</t>
        </is>
      </c>
      <c r="D1048" t="inlineStr">
        <is>
          <t>M3</t>
        </is>
      </c>
      <c r="E1048" t="n">
        <v>1000</v>
      </c>
      <c r="F1048" t="inlineStr">
        <is>
          <t>TN</t>
        </is>
      </c>
      <c r="G1048" t="n">
        <v>1317</v>
      </c>
      <c r="H1048" t="inlineStr">
        <is>
          <t>ARENA CLASIFICADA RÍO MALLA 8</t>
        </is>
      </c>
    </row>
    <row r="1049">
      <c r="A1049" t="n">
        <v>10136441</v>
      </c>
      <c r="B1049" t="inlineStr">
        <is>
          <t>ZFE3</t>
        </is>
      </c>
      <c r="C1049" t="inlineStr">
        <is>
          <t>1000</t>
        </is>
      </c>
      <c r="D1049" t="inlineStr">
        <is>
          <t>M3</t>
        </is>
      </c>
      <c r="E1049" t="n">
        <v>1000</v>
      </c>
      <c r="F1049" t="inlineStr">
        <is>
          <t>TN</t>
        </is>
      </c>
      <c r="G1049" t="n">
        <v>1410</v>
      </c>
      <c r="H1049" t="inlineStr">
        <is>
          <t>GRAVA TRITURADA BASALTO 20 MM - 3/4"</t>
        </is>
      </c>
    </row>
    <row r="1050">
      <c r="A1050" t="n">
        <v>10136531</v>
      </c>
      <c r="B1050" t="inlineStr">
        <is>
          <t>ZFE3</t>
        </is>
      </c>
      <c r="C1050" t="inlineStr">
        <is>
          <t>1000</t>
        </is>
      </c>
      <c r="D1050" t="inlineStr">
        <is>
          <t>M3</t>
        </is>
      </c>
      <c r="E1050" t="n">
        <v>1000</v>
      </c>
      <c r="F1050" t="inlineStr">
        <is>
          <t>TN</t>
        </is>
      </c>
      <c r="G1050" t="n">
        <v>1334</v>
      </c>
      <c r="H1050" t="inlineStr">
        <is>
          <t>GRAVA TRITURADA GRANITO 40 MM - 1 1/2"</t>
        </is>
      </c>
    </row>
    <row r="1051">
      <c r="A1051" t="n">
        <v>10136532</v>
      </c>
      <c r="B1051" t="inlineStr">
        <is>
          <t>ZFE3</t>
        </is>
      </c>
      <c r="C1051" t="inlineStr">
        <is>
          <t>1000</t>
        </is>
      </c>
      <c r="D1051" t="inlineStr">
        <is>
          <t>M3</t>
        </is>
      </c>
      <c r="E1051" t="n">
        <v>1000</v>
      </c>
      <c r="F1051" t="inlineStr">
        <is>
          <t>TN</t>
        </is>
      </c>
      <c r="G1051" t="n">
        <v>1352</v>
      </c>
      <c r="H1051" t="inlineStr">
        <is>
          <t>GRAVA TRITURADA GRANITO 20 MM - 3/4"</t>
        </is>
      </c>
    </row>
    <row r="1052">
      <c r="A1052" t="n">
        <v>10136831</v>
      </c>
      <c r="B1052" t="inlineStr">
        <is>
          <t>ZFE3</t>
        </is>
      </c>
      <c r="C1052" t="inlineStr">
        <is>
          <t>1000</t>
        </is>
      </c>
      <c r="D1052" t="inlineStr">
        <is>
          <t>M3</t>
        </is>
      </c>
      <c r="E1052" t="n">
        <v>1000</v>
      </c>
      <c r="F1052" t="inlineStr">
        <is>
          <t>TN</t>
        </is>
      </c>
      <c r="G1052" t="n">
        <v>1227</v>
      </c>
      <c r="H1052" t="inlineStr">
        <is>
          <t>Arena De Peña Villa María</t>
        </is>
      </c>
    </row>
    <row r="1053">
      <c r="A1053" t="n">
        <v>10136954</v>
      </c>
      <c r="B1053" t="inlineStr">
        <is>
          <t>ZFE3</t>
        </is>
      </c>
      <c r="C1053" t="inlineStr">
        <is>
          <t>1000</t>
        </is>
      </c>
      <c r="D1053" t="inlineStr">
        <is>
          <t>M3</t>
        </is>
      </c>
      <c r="E1053" t="n">
        <v>1000</v>
      </c>
      <c r="F1053" t="inlineStr">
        <is>
          <t>TN</t>
        </is>
      </c>
      <c r="G1053" t="n">
        <v>1440</v>
      </c>
      <c r="H1053" t="inlineStr">
        <is>
          <t>GRAVA GRANITO 13 MM (1/2")</t>
        </is>
      </c>
    </row>
    <row r="1054">
      <c r="A1054" t="n">
        <v>10137023</v>
      </c>
      <c r="B1054" t="inlineStr">
        <is>
          <t>ZFE3</t>
        </is>
      </c>
      <c r="C1054" t="inlineStr">
        <is>
          <t>1000</t>
        </is>
      </c>
      <c r="D1054" t="inlineStr">
        <is>
          <t>M3</t>
        </is>
      </c>
      <c r="E1054" t="n">
        <v>1000</v>
      </c>
      <c r="F1054" t="inlineStr">
        <is>
          <t>TN</t>
        </is>
      </c>
      <c r="G1054" t="n">
        <v>1346</v>
      </c>
      <c r="H1054" t="inlineStr">
        <is>
          <t>ARENA CLASIFICADA VOLCANICA MALLA 4</t>
        </is>
      </c>
    </row>
    <row r="1055">
      <c r="A1055" t="n">
        <v>10137024</v>
      </c>
      <c r="B1055" t="inlineStr">
        <is>
          <t>ZFE3</t>
        </is>
      </c>
      <c r="C1055" t="inlineStr">
        <is>
          <t>1000</t>
        </is>
      </c>
      <c r="D1055" t="inlineStr">
        <is>
          <t>M3</t>
        </is>
      </c>
      <c r="E1055" t="n">
        <v>1000</v>
      </c>
      <c r="F1055" t="inlineStr">
        <is>
          <t>TN</t>
        </is>
      </c>
      <c r="G1055" t="n">
        <v>1700</v>
      </c>
      <c r="H1055" t="inlineStr">
        <is>
          <t>ARENA TRITURADA BASALTO MALLA 4 S</t>
        </is>
      </c>
    </row>
    <row r="1056">
      <c r="A1056" t="n">
        <v>10137081</v>
      </c>
      <c r="B1056" t="inlineStr">
        <is>
          <t>ZFE3</t>
        </is>
      </c>
      <c r="C1056" t="inlineStr">
        <is>
          <t>1000</t>
        </is>
      </c>
      <c r="D1056" t="inlineStr">
        <is>
          <t>M3</t>
        </is>
      </c>
      <c r="E1056" t="n">
        <v>1000</v>
      </c>
      <c r="F1056" t="inlineStr">
        <is>
          <t>TN</t>
        </is>
      </c>
      <c r="G1056" t="n">
        <v>1700</v>
      </c>
      <c r="H1056" t="inlineStr">
        <is>
          <t>POLVO DE TRITURACIÓN BASALTO #4 S DI</t>
        </is>
      </c>
    </row>
    <row r="1057">
      <c r="A1057" t="n">
        <v>10137381</v>
      </c>
      <c r="B1057" t="inlineStr">
        <is>
          <t>ZFE3</t>
        </is>
      </c>
      <c r="C1057" t="inlineStr">
        <is>
          <t>1000</t>
        </is>
      </c>
      <c r="D1057" t="inlineStr">
        <is>
          <t>M3</t>
        </is>
      </c>
      <c r="E1057" t="n">
        <v>1000</v>
      </c>
      <c r="F1057" t="inlineStr">
        <is>
          <t>TN</t>
        </is>
      </c>
      <c r="G1057" t="n">
        <v>1439</v>
      </c>
      <c r="H1057" t="inlineStr">
        <is>
          <t>PIEDRA NO.67 (3/4 - NO.4)VA CO.</t>
        </is>
      </c>
    </row>
    <row r="1058">
      <c r="A1058" t="n">
        <v>10137408</v>
      </c>
      <c r="B1058" t="inlineStr">
        <is>
          <t>ZFE3</t>
        </is>
      </c>
      <c r="C1058" t="inlineStr">
        <is>
          <t>1000</t>
        </is>
      </c>
      <c r="D1058" t="inlineStr">
        <is>
          <t>M3</t>
        </is>
      </c>
      <c r="E1058" t="n">
        <v>1000</v>
      </c>
      <c r="F1058" t="inlineStr">
        <is>
          <t>TN</t>
        </is>
      </c>
      <c r="G1058" t="n">
        <v>1743</v>
      </c>
      <c r="H1058" t="inlineStr">
        <is>
          <t>ARENA GRUESA ALUVIAL REX CARBONERO</t>
        </is>
      </c>
    </row>
    <row r="1059">
      <c r="A1059" t="n">
        <v>10137409</v>
      </c>
      <c r="B1059" t="inlineStr">
        <is>
          <t>ZFE3</t>
        </is>
      </c>
      <c r="C1059" t="inlineStr">
        <is>
          <t>1000</t>
        </is>
      </c>
      <c r="D1059" t="inlineStr">
        <is>
          <t>M3</t>
        </is>
      </c>
      <c r="E1059" t="n">
        <v>1000</v>
      </c>
      <c r="F1059" t="inlineStr">
        <is>
          <t>TN</t>
        </is>
      </c>
      <c r="G1059" t="n">
        <v>1505</v>
      </c>
      <c r="H1059" t="inlineStr">
        <is>
          <t>GRAVA ALUVIAL 1" REX CARBONERO</t>
        </is>
      </c>
    </row>
    <row r="1060">
      <c r="A1060" t="n">
        <v>10137435</v>
      </c>
      <c r="B1060" t="inlineStr">
        <is>
          <t>ZFE3</t>
        </is>
      </c>
      <c r="C1060" t="inlineStr">
        <is>
          <t>1000</t>
        </is>
      </c>
      <c r="D1060" t="inlineStr">
        <is>
          <t>M3</t>
        </is>
      </c>
      <c r="E1060" t="n">
        <v>1000</v>
      </c>
      <c r="F1060" t="inlineStr">
        <is>
          <t>TN</t>
        </is>
      </c>
      <c r="G1060" t="n">
        <v>1410</v>
      </c>
      <c r="H1060" t="inlineStr">
        <is>
          <t>GRAVA TRITURADA BASALTO 10 MM - 3/8"</t>
        </is>
      </c>
    </row>
    <row r="1061">
      <c r="A1061" t="n">
        <v>10137436</v>
      </c>
      <c r="B1061" t="inlineStr">
        <is>
          <t>ZFE3</t>
        </is>
      </c>
      <c r="C1061" t="inlineStr">
        <is>
          <t>1000</t>
        </is>
      </c>
      <c r="D1061" t="inlineStr">
        <is>
          <t>M3</t>
        </is>
      </c>
      <c r="E1061" t="n">
        <v>1000</v>
      </c>
      <c r="F1061" t="inlineStr">
        <is>
          <t>TN</t>
        </is>
      </c>
      <c r="G1061" t="n">
        <v>1350</v>
      </c>
      <c r="H1061" t="inlineStr">
        <is>
          <t>GRAVA TRITURADA BASALTO 40 MM - 1 1/2"</t>
        </is>
      </c>
    </row>
    <row r="1062">
      <c r="A1062" t="n">
        <v>10137462</v>
      </c>
      <c r="B1062" t="inlineStr">
        <is>
          <t>ZFE3</t>
        </is>
      </c>
      <c r="C1062" t="inlineStr">
        <is>
          <t>1000</t>
        </is>
      </c>
      <c r="D1062" t="inlineStr">
        <is>
          <t>M3</t>
        </is>
      </c>
      <c r="E1062" t="n">
        <v>1000</v>
      </c>
      <c r="F1062" t="inlineStr">
        <is>
          <t>TN</t>
        </is>
      </c>
      <c r="G1062" t="n">
        <v>1370</v>
      </c>
      <c r="H1062" t="inlineStr">
        <is>
          <t>GRAVA TRITURADA BASALTO 10 MM - 3/8"</t>
        </is>
      </c>
    </row>
    <row r="1063">
      <c r="A1063" t="n">
        <v>10137730</v>
      </c>
      <c r="B1063" t="inlineStr">
        <is>
          <t>ZFE3</t>
        </is>
      </c>
      <c r="C1063" t="inlineStr">
        <is>
          <t>1000</t>
        </is>
      </c>
      <c r="D1063" t="inlineStr">
        <is>
          <t>M3</t>
        </is>
      </c>
      <c r="E1063" t="n">
        <v>1000</v>
      </c>
      <c r="F1063" t="inlineStr">
        <is>
          <t>TN</t>
        </is>
      </c>
      <c r="G1063" t="n">
        <v>1505</v>
      </c>
      <c r="H1063" t="inlineStr">
        <is>
          <t>GRAVA ALUVIAL 1/2" REX CARBONERO</t>
        </is>
      </c>
    </row>
    <row r="1064">
      <c r="A1064" t="n">
        <v>10137737</v>
      </c>
      <c r="B1064" t="inlineStr">
        <is>
          <t>ZFE3</t>
        </is>
      </c>
      <c r="C1064" t="inlineStr">
        <is>
          <t>1000</t>
        </is>
      </c>
      <c r="D1064" t="inlineStr">
        <is>
          <t>M3</t>
        </is>
      </c>
      <c r="E1064" t="n">
        <v>1000</v>
      </c>
      <c r="F1064" t="inlineStr">
        <is>
          <t>TN</t>
        </is>
      </c>
      <c r="G1064" t="n">
        <v>1350</v>
      </c>
      <c r="H1064" t="inlineStr">
        <is>
          <t>SELLO 3A SUB-PRODUCTO TRITURADO BASALTO</t>
        </is>
      </c>
    </row>
    <row r="1065">
      <c r="A1065" t="n">
        <v>10138371</v>
      </c>
      <c r="B1065" t="inlineStr">
        <is>
          <t>ZFE3</t>
        </is>
      </c>
      <c r="C1065" t="inlineStr">
        <is>
          <t>1000</t>
        </is>
      </c>
      <c r="D1065" t="inlineStr">
        <is>
          <t>M3</t>
        </is>
      </c>
      <c r="E1065" t="n">
        <v>1000</v>
      </c>
      <c r="F1065" t="inlineStr">
        <is>
          <t>TN</t>
        </is>
      </c>
      <c r="G1065" t="n">
        <v>1690</v>
      </c>
      <c r="H1065" t="inlineStr">
        <is>
          <t>Arena Mncivil Amaga</t>
        </is>
      </c>
    </row>
    <row r="1066">
      <c r="A1066" t="n">
        <v>10138561</v>
      </c>
      <c r="B1066" t="inlineStr">
        <is>
          <t>ZFE3</t>
        </is>
      </c>
      <c r="C1066" t="inlineStr">
        <is>
          <t>1000</t>
        </is>
      </c>
      <c r="D1066" t="inlineStr">
        <is>
          <t>M3</t>
        </is>
      </c>
      <c r="E1066" t="n">
        <v>1000</v>
      </c>
      <c r="F1066" t="inlineStr">
        <is>
          <t>TN</t>
        </is>
      </c>
      <c r="G1066" t="n">
        <v>1800</v>
      </c>
      <c r="H1066" t="inlineStr">
        <is>
          <t>BASE GRANULAR SAVA</t>
        </is>
      </c>
    </row>
    <row r="1067">
      <c r="A1067" t="n">
        <v>10138696</v>
      </c>
      <c r="B1067" t="inlineStr">
        <is>
          <t>ZFE3</t>
        </is>
      </c>
      <c r="C1067" t="inlineStr">
        <is>
          <t>1000</t>
        </is>
      </c>
      <c r="D1067" t="inlineStr">
        <is>
          <t>M3</t>
        </is>
      </c>
      <c r="E1067" t="n">
        <v>1000</v>
      </c>
      <c r="F1067" t="inlineStr">
        <is>
          <t>TN</t>
        </is>
      </c>
      <c r="G1067" t="n">
        <v>1334</v>
      </c>
      <c r="H1067" t="inlineStr">
        <is>
          <t>ARENA TRITURADA RIO MALLA 4</t>
        </is>
      </c>
    </row>
    <row r="1068">
      <c r="A1068" t="n">
        <v>10138697</v>
      </c>
      <c r="B1068" t="inlineStr">
        <is>
          <t>ZFE3</t>
        </is>
      </c>
      <c r="C1068" t="inlineStr">
        <is>
          <t>1000</t>
        </is>
      </c>
      <c r="D1068" t="inlineStr">
        <is>
          <t>M3</t>
        </is>
      </c>
      <c r="E1068" t="n">
        <v>1000</v>
      </c>
      <c r="F1068" t="inlineStr">
        <is>
          <t>TN</t>
        </is>
      </c>
      <c r="G1068" t="n">
        <v>1284</v>
      </c>
      <c r="H1068" t="inlineStr">
        <is>
          <t>ARENA TRITURADA CALIZA MALLA 4</t>
        </is>
      </c>
    </row>
    <row r="1069">
      <c r="A1069" t="n">
        <v>10138698</v>
      </c>
      <c r="B1069" t="inlineStr">
        <is>
          <t>ZFE3</t>
        </is>
      </c>
      <c r="C1069" t="inlineStr">
        <is>
          <t>1000</t>
        </is>
      </c>
      <c r="D1069" t="inlineStr">
        <is>
          <t>M3</t>
        </is>
      </c>
      <c r="E1069" t="n">
        <v>1000</v>
      </c>
      <c r="F1069" t="inlineStr">
        <is>
          <t>TN</t>
        </is>
      </c>
      <c r="G1069" t="n">
        <v>1399</v>
      </c>
      <c r="H1069" t="inlineStr">
        <is>
          <t>GRAVA TRITURADA CALIZA 40 MM - 1 1/2"</t>
        </is>
      </c>
    </row>
    <row r="1070">
      <c r="A1070" t="n">
        <v>10138757</v>
      </c>
      <c r="B1070" t="inlineStr">
        <is>
          <t>ZFE3</t>
        </is>
      </c>
      <c r="C1070" t="inlineStr">
        <is>
          <t>1000</t>
        </is>
      </c>
      <c r="D1070" t="inlineStr">
        <is>
          <t>M3</t>
        </is>
      </c>
      <c r="E1070" t="n">
        <v>1000</v>
      </c>
      <c r="F1070" t="inlineStr">
        <is>
          <t>TN</t>
        </is>
      </c>
      <c r="G1070" t="n">
        <v>1480</v>
      </c>
      <c r="H1070" t="inlineStr">
        <is>
          <t>ARENA CLASIFICADA DE RÍO MALLA 4</t>
        </is>
      </c>
    </row>
    <row r="1071">
      <c r="A1071" t="n">
        <v>10138804</v>
      </c>
      <c r="B1071" t="inlineStr">
        <is>
          <t>ZFE3</t>
        </is>
      </c>
      <c r="C1071" t="inlineStr">
        <is>
          <t>1000</t>
        </is>
      </c>
      <c r="D1071" t="inlineStr">
        <is>
          <t>M3</t>
        </is>
      </c>
      <c r="E1071" t="n">
        <v>1000</v>
      </c>
      <c r="F1071" t="inlineStr">
        <is>
          <t>TN</t>
        </is>
      </c>
      <c r="G1071" t="n">
        <v>1406</v>
      </c>
      <c r="H1071" t="inlineStr">
        <is>
          <t>Grava Triturada Basalto 40 mm - 1 1/2 B</t>
        </is>
      </c>
    </row>
    <row r="1072">
      <c r="A1072" t="n">
        <v>10139060</v>
      </c>
      <c r="B1072" t="inlineStr">
        <is>
          <t>ZFE3</t>
        </is>
      </c>
      <c r="C1072" t="inlineStr">
        <is>
          <t>1000</t>
        </is>
      </c>
      <c r="D1072" t="inlineStr">
        <is>
          <t>M3</t>
        </is>
      </c>
      <c r="E1072" t="n">
        <v>1000</v>
      </c>
      <c r="F1072" t="inlineStr">
        <is>
          <t>TN</t>
        </is>
      </c>
      <c r="G1072" t="n">
        <v>1490</v>
      </c>
      <c r="H1072" t="inlineStr">
        <is>
          <t>BASE H TRITURADA BASALTO 70-30 A</t>
        </is>
      </c>
    </row>
    <row r="1073">
      <c r="A1073" t="n">
        <v>10139280</v>
      </c>
      <c r="B1073" t="inlineStr">
        <is>
          <t>ZFE3</t>
        </is>
      </c>
      <c r="C1073" t="inlineStr">
        <is>
          <t>1000</t>
        </is>
      </c>
      <c r="D1073" t="inlineStr">
        <is>
          <t>M3</t>
        </is>
      </c>
      <c r="E1073" t="n">
        <v>1000</v>
      </c>
      <c r="F1073" t="inlineStr">
        <is>
          <t>TN</t>
        </is>
      </c>
      <c r="G1073" t="n">
        <v>1000</v>
      </c>
      <c r="H1073" t="inlineStr">
        <is>
          <t>TEZONTLE 4 A 3/16</t>
        </is>
      </c>
    </row>
    <row r="1074">
      <c r="A1074" t="n">
        <v>10139360</v>
      </c>
      <c r="B1074" t="inlineStr">
        <is>
          <t>ZFE3</t>
        </is>
      </c>
      <c r="C1074" t="inlineStr">
        <is>
          <t>1000</t>
        </is>
      </c>
      <c r="D1074" t="inlineStr">
        <is>
          <t>M3</t>
        </is>
      </c>
      <c r="E1074" t="n">
        <v>1000</v>
      </c>
      <c r="F1074" t="inlineStr">
        <is>
          <t>TN</t>
        </is>
      </c>
      <c r="G1074" t="n">
        <v>1606</v>
      </c>
      <c r="H1074" t="inlineStr">
        <is>
          <t>Grava Aluvial 1/2" El Cairo</t>
        </is>
      </c>
    </row>
    <row r="1075">
      <c r="A1075" t="n">
        <v>10139735</v>
      </c>
      <c r="B1075" t="inlineStr">
        <is>
          <t>ZFE3</t>
        </is>
      </c>
      <c r="C1075" t="inlineStr">
        <is>
          <t>1000</t>
        </is>
      </c>
      <c r="D1075" t="inlineStr">
        <is>
          <t>M3</t>
        </is>
      </c>
      <c r="E1075" t="n">
        <v>1000</v>
      </c>
      <c r="F1075" t="inlineStr">
        <is>
          <t>TN</t>
        </is>
      </c>
      <c r="G1075" t="n">
        <v>1000</v>
      </c>
      <c r="H1075" t="inlineStr">
        <is>
          <t>TEZONTLE 4" A FINOS</t>
        </is>
      </c>
    </row>
    <row r="1076">
      <c r="A1076" t="n">
        <v>10139741</v>
      </c>
      <c r="B1076" t="inlineStr">
        <is>
          <t>ZFE3</t>
        </is>
      </c>
      <c r="C1076" t="inlineStr">
        <is>
          <t>1000</t>
        </is>
      </c>
      <c r="D1076" t="inlineStr">
        <is>
          <t>M3</t>
        </is>
      </c>
      <c r="E1076" t="n">
        <v>1000</v>
      </c>
      <c r="F1076" t="inlineStr">
        <is>
          <t>TN</t>
        </is>
      </c>
      <c r="G1076" t="n">
        <v>2200</v>
      </c>
      <c r="H1076" t="inlineStr">
        <is>
          <t>MICROSILICA</t>
        </is>
      </c>
    </row>
    <row r="1077">
      <c r="A1077" t="n">
        <v>10139747</v>
      </c>
      <c r="B1077" t="inlineStr">
        <is>
          <t>ZFE3</t>
        </is>
      </c>
      <c r="C1077" t="inlineStr">
        <is>
          <t>1000</t>
        </is>
      </c>
      <c r="D1077" t="inlineStr">
        <is>
          <t>M3</t>
        </is>
      </c>
      <c r="E1077" t="n">
        <v>1000</v>
      </c>
      <c r="F1077" t="inlineStr">
        <is>
          <t>TN</t>
        </is>
      </c>
      <c r="G1077" t="n">
        <v>1450</v>
      </c>
      <c r="H1077" t="inlineStr">
        <is>
          <t>ARENA CLASIFICADA RIO MALLA 4</t>
        </is>
      </c>
    </row>
    <row r="1078">
      <c r="A1078" t="n">
        <v>10139786</v>
      </c>
      <c r="B1078" t="inlineStr">
        <is>
          <t>ZFE3</t>
        </is>
      </c>
      <c r="C1078" t="inlineStr">
        <is>
          <t>1000</t>
        </is>
      </c>
      <c r="D1078" t="inlineStr">
        <is>
          <t>M3</t>
        </is>
      </c>
      <c r="E1078" t="n">
        <v>1000</v>
      </c>
      <c r="F1078" t="inlineStr">
        <is>
          <t>TN</t>
        </is>
      </c>
      <c r="G1078" t="n">
        <v>1535</v>
      </c>
      <c r="H1078" t="inlineStr">
        <is>
          <t>ARENA CLASIFICADA RÍO MALLA 4</t>
        </is>
      </c>
    </row>
    <row r="1079">
      <c r="A1079" t="n">
        <v>10139787</v>
      </c>
      <c r="B1079" t="inlineStr">
        <is>
          <t>ZFE3</t>
        </is>
      </c>
      <c r="C1079" t="inlineStr">
        <is>
          <t>1000</t>
        </is>
      </c>
      <c r="D1079" t="inlineStr">
        <is>
          <t>M3</t>
        </is>
      </c>
      <c r="E1079" t="n">
        <v>1000</v>
      </c>
      <c r="F1079" t="inlineStr">
        <is>
          <t>TN</t>
        </is>
      </c>
      <c r="G1079" t="n">
        <v>1250</v>
      </c>
      <c r="H1079" t="inlineStr">
        <is>
          <t>GRAVA TRITURADA ANDESITA 20MM</t>
        </is>
      </c>
    </row>
    <row r="1080">
      <c r="A1080" t="n">
        <v>10139788</v>
      </c>
      <c r="B1080" t="inlineStr">
        <is>
          <t>ZFE3</t>
        </is>
      </c>
      <c r="C1080" t="inlineStr">
        <is>
          <t>1000</t>
        </is>
      </c>
      <c r="D1080" t="inlineStr">
        <is>
          <t>M3</t>
        </is>
      </c>
      <c r="E1080" t="n">
        <v>1000</v>
      </c>
      <c r="F1080" t="inlineStr">
        <is>
          <t>TN</t>
        </is>
      </c>
      <c r="G1080" t="n">
        <v>1303</v>
      </c>
      <c r="H1080" t="inlineStr">
        <is>
          <t>GRAVA TRITURADA ANDESITA 10MM</t>
        </is>
      </c>
    </row>
    <row r="1081">
      <c r="A1081" t="n">
        <v>10139860</v>
      </c>
      <c r="B1081" t="inlineStr">
        <is>
          <t>ZFE3</t>
        </is>
      </c>
      <c r="C1081" t="inlineStr">
        <is>
          <t>1000</t>
        </is>
      </c>
      <c r="D1081" t="inlineStr">
        <is>
          <t>M3</t>
        </is>
      </c>
      <c r="E1081" t="n">
        <v>1000</v>
      </c>
      <c r="F1081" t="inlineStr">
        <is>
          <t>TN</t>
        </is>
      </c>
      <c r="G1081" t="n">
        <v>1468</v>
      </c>
      <c r="H1081" t="inlineStr">
        <is>
          <t>ARENA CLASIFICADA RÍO MALLA 4</t>
        </is>
      </c>
    </row>
    <row r="1082">
      <c r="A1082" t="n">
        <v>10140391</v>
      </c>
      <c r="B1082" t="inlineStr">
        <is>
          <t>ZFE3</t>
        </is>
      </c>
      <c r="C1082" t="inlineStr">
        <is>
          <t>1000</t>
        </is>
      </c>
      <c r="D1082" t="inlineStr">
        <is>
          <t>M3</t>
        </is>
      </c>
      <c r="E1082" t="n">
        <v>1000</v>
      </c>
      <c r="F1082" t="inlineStr">
        <is>
          <t>TN</t>
        </is>
      </c>
      <c r="G1082" t="n">
        <v>1531</v>
      </c>
      <c r="H1082" t="inlineStr">
        <is>
          <t>ARENA CLASIFICADA RÍO MALLA 4 LAVADO</t>
        </is>
      </c>
    </row>
    <row r="1083">
      <c r="A1083" t="n">
        <v>10140393</v>
      </c>
      <c r="B1083" t="inlineStr">
        <is>
          <t>ZFE3</t>
        </is>
      </c>
      <c r="C1083" t="inlineStr">
        <is>
          <t>1000</t>
        </is>
      </c>
      <c r="D1083" t="inlineStr">
        <is>
          <t>M3</t>
        </is>
      </c>
      <c r="E1083" t="n">
        <v>1000</v>
      </c>
      <c r="F1083" t="inlineStr">
        <is>
          <t>TN</t>
        </is>
      </c>
      <c r="G1083" t="n">
        <v>1447</v>
      </c>
      <c r="H1083" t="inlineStr">
        <is>
          <t>GRAVA TRITURADA BASALTO 10 MM - 3/8"</t>
        </is>
      </c>
    </row>
    <row r="1084">
      <c r="A1084" t="n">
        <v>10140394</v>
      </c>
      <c r="B1084" t="inlineStr">
        <is>
          <t>ZFE3</t>
        </is>
      </c>
      <c r="C1084" t="inlineStr">
        <is>
          <t>1000</t>
        </is>
      </c>
      <c r="D1084" t="inlineStr">
        <is>
          <t>M3</t>
        </is>
      </c>
      <c r="E1084" t="n">
        <v>1000</v>
      </c>
      <c r="F1084" t="inlineStr">
        <is>
          <t>TN</t>
        </is>
      </c>
      <c r="G1084" t="n">
        <v>1408</v>
      </c>
      <c r="H1084" t="inlineStr">
        <is>
          <t>GRAVA TRITURADA BASALTO 20 MM - 3/4"</t>
        </is>
      </c>
    </row>
    <row r="1085">
      <c r="A1085" t="n">
        <v>10140395</v>
      </c>
      <c r="B1085" t="inlineStr">
        <is>
          <t>ZFE3</t>
        </is>
      </c>
      <c r="C1085" t="inlineStr">
        <is>
          <t>1000</t>
        </is>
      </c>
      <c r="D1085" t="inlineStr">
        <is>
          <t>M3</t>
        </is>
      </c>
      <c r="E1085" t="n">
        <v>1000</v>
      </c>
      <c r="F1085" t="inlineStr">
        <is>
          <t>TN</t>
        </is>
      </c>
      <c r="G1085" t="n">
        <v>1413</v>
      </c>
      <c r="H1085" t="inlineStr">
        <is>
          <t>GRAVA TRITURADA BASALTO 40 MM - 1 1/2</t>
        </is>
      </c>
    </row>
    <row r="1086">
      <c r="A1086" t="n">
        <v>10140399</v>
      </c>
      <c r="B1086" t="inlineStr">
        <is>
          <t>ZFE3</t>
        </is>
      </c>
      <c r="C1086" t="inlineStr">
        <is>
          <t>1000</t>
        </is>
      </c>
      <c r="D1086" t="inlineStr">
        <is>
          <t>M3</t>
        </is>
      </c>
      <c r="E1086" t="n">
        <v>1000</v>
      </c>
      <c r="F1086" t="inlineStr">
        <is>
          <t>TN</t>
        </is>
      </c>
      <c r="G1086" t="n">
        <v>1554</v>
      </c>
      <c r="H1086" t="inlineStr">
        <is>
          <t>ARENA ANDESITA MALLA 4</t>
        </is>
      </c>
    </row>
    <row r="1087">
      <c r="A1087" t="n">
        <v>10141485</v>
      </c>
      <c r="B1087" t="inlineStr">
        <is>
          <t>ZFE3</t>
        </is>
      </c>
      <c r="C1087" t="inlineStr">
        <is>
          <t>1000</t>
        </is>
      </c>
      <c r="D1087" t="inlineStr">
        <is>
          <t>M3</t>
        </is>
      </c>
      <c r="E1087" t="n">
        <v>1000</v>
      </c>
      <c r="F1087" t="inlineStr">
        <is>
          <t>TN</t>
        </is>
      </c>
      <c r="G1087" t="n">
        <v>1452</v>
      </c>
      <c r="H1087" t="inlineStr">
        <is>
          <t>ARENA ANDESITA GRIS MALLA 4</t>
        </is>
      </c>
    </row>
    <row r="1088">
      <c r="A1088" t="n">
        <v>10141536</v>
      </c>
      <c r="B1088" t="inlineStr">
        <is>
          <t>ZFE3</t>
        </is>
      </c>
      <c r="C1088" t="inlineStr">
        <is>
          <t>1000</t>
        </is>
      </c>
      <c r="D1088" t="inlineStr">
        <is>
          <t>M3</t>
        </is>
      </c>
      <c r="E1088" t="n">
        <v>1000</v>
      </c>
      <c r="F1088" t="inlineStr">
        <is>
          <t>TN</t>
        </is>
      </c>
      <c r="G1088" t="n">
        <v>1380</v>
      </c>
      <c r="H1088" t="inlineStr">
        <is>
          <t>GRAVA TRITURADA BASALTO 20 MM - 3/4"</t>
        </is>
      </c>
    </row>
    <row r="1089">
      <c r="A1089" t="n">
        <v>10141537</v>
      </c>
      <c r="B1089" t="inlineStr">
        <is>
          <t>ZFE3</t>
        </is>
      </c>
      <c r="C1089" t="inlineStr">
        <is>
          <t>1000</t>
        </is>
      </c>
      <c r="D1089" t="inlineStr">
        <is>
          <t>M3</t>
        </is>
      </c>
      <c r="E1089" t="n">
        <v>1000</v>
      </c>
      <c r="F1089" t="inlineStr">
        <is>
          <t>TN</t>
        </is>
      </c>
      <c r="G1089" t="n">
        <v>1421</v>
      </c>
      <c r="H1089" t="inlineStr">
        <is>
          <t>GRAVA TRITURADA BASALTO 40 MM - 1 1/2"</t>
        </is>
      </c>
    </row>
    <row r="1090">
      <c r="A1090" t="n">
        <v>10141571</v>
      </c>
      <c r="B1090" t="inlineStr">
        <is>
          <t>ZFE3</t>
        </is>
      </c>
      <c r="C1090" t="inlineStr">
        <is>
          <t>1000</t>
        </is>
      </c>
      <c r="D1090" t="inlineStr">
        <is>
          <t>M3</t>
        </is>
      </c>
      <c r="E1090" t="n">
        <v>1000</v>
      </c>
      <c r="F1090" t="inlineStr">
        <is>
          <t>TN</t>
        </is>
      </c>
      <c r="G1090" t="n">
        <v>1340</v>
      </c>
      <c r="H1090" t="inlineStr">
        <is>
          <t>POLVO TRITURADO BASALTO</t>
        </is>
      </c>
    </row>
    <row r="1091">
      <c r="A1091" t="n">
        <v>10141572</v>
      </c>
      <c r="B1091" t="inlineStr">
        <is>
          <t>ZFE3</t>
        </is>
      </c>
      <c r="C1091" t="inlineStr">
        <is>
          <t>1000</t>
        </is>
      </c>
      <c r="D1091" t="inlineStr">
        <is>
          <t>M3</t>
        </is>
      </c>
      <c r="E1091" t="n">
        <v>1000</v>
      </c>
      <c r="F1091" t="inlineStr">
        <is>
          <t>TN</t>
        </is>
      </c>
      <c r="G1091" t="n">
        <v>1300</v>
      </c>
      <c r="H1091" t="inlineStr">
        <is>
          <t>GRAVA TRITURADA BASALTO 10 MM - 3/8"</t>
        </is>
      </c>
    </row>
    <row r="1092">
      <c r="A1092" t="n">
        <v>10142094</v>
      </c>
      <c r="B1092" t="inlineStr">
        <is>
          <t>ZFE3</t>
        </is>
      </c>
      <c r="C1092" t="inlineStr">
        <is>
          <t>1000</t>
        </is>
      </c>
      <c r="D1092" t="inlineStr">
        <is>
          <t>M3</t>
        </is>
      </c>
      <c r="E1092" t="n">
        <v>1000</v>
      </c>
      <c r="F1092" t="inlineStr">
        <is>
          <t>TN</t>
        </is>
      </c>
      <c r="G1092" t="n">
        <v>1500</v>
      </c>
      <c r="H1092" t="inlineStr">
        <is>
          <t>DESPERDICIO TRITURADO BASALTO</t>
        </is>
      </c>
    </row>
    <row r="1093">
      <c r="A1093" t="n">
        <v>10143604</v>
      </c>
      <c r="B1093" t="inlineStr">
        <is>
          <t>ZFE3</t>
        </is>
      </c>
      <c r="C1093" t="inlineStr">
        <is>
          <t>1000</t>
        </is>
      </c>
      <c r="D1093" t="inlineStr">
        <is>
          <t>M3</t>
        </is>
      </c>
      <c r="E1093" t="n">
        <v>1000</v>
      </c>
      <c r="F1093" t="inlineStr">
        <is>
          <t>TN</t>
        </is>
      </c>
      <c r="G1093" t="n">
        <v>1705</v>
      </c>
      <c r="H1093" t="inlineStr">
        <is>
          <t>ARENA DE RÍO LAS DELICIAS</t>
        </is>
      </c>
    </row>
    <row r="1094">
      <c r="A1094" t="n">
        <v>10143783</v>
      </c>
      <c r="B1094" t="inlineStr">
        <is>
          <t>ZFE3</t>
        </is>
      </c>
      <c r="C1094" t="inlineStr">
        <is>
          <t>1000</t>
        </is>
      </c>
      <c r="D1094" t="inlineStr">
        <is>
          <t>M3</t>
        </is>
      </c>
      <c r="E1094" t="n">
        <v>1000</v>
      </c>
      <c r="F1094" t="inlineStr">
        <is>
          <t>TN</t>
        </is>
      </c>
      <c r="G1094" t="n">
        <v>1573</v>
      </c>
      <c r="H1094" t="inlineStr">
        <is>
          <t>GRAVA GRANITO 13 MM (1/2")</t>
        </is>
      </c>
    </row>
    <row r="1095">
      <c r="A1095" t="n">
        <v>10143801</v>
      </c>
      <c r="B1095" t="inlineStr">
        <is>
          <t>ZFE3</t>
        </is>
      </c>
      <c r="C1095" t="inlineStr">
        <is>
          <t>1000</t>
        </is>
      </c>
      <c r="D1095" t="inlineStr">
        <is>
          <t>M3</t>
        </is>
      </c>
      <c r="E1095" t="n">
        <v>1000</v>
      </c>
      <c r="F1095" t="inlineStr">
        <is>
          <t>TN</t>
        </is>
      </c>
      <c r="G1095" t="n">
        <v>1532</v>
      </c>
      <c r="H1095" t="inlineStr">
        <is>
          <t>ARENA TRITURADA CALIZA MALLA 4</t>
        </is>
      </c>
    </row>
    <row r="1096">
      <c r="A1096" t="n">
        <v>10143807</v>
      </c>
      <c r="B1096" t="inlineStr">
        <is>
          <t>ZFE3</t>
        </is>
      </c>
      <c r="C1096" t="inlineStr">
        <is>
          <t>1000</t>
        </is>
      </c>
      <c r="D1096" t="inlineStr">
        <is>
          <t>M3</t>
        </is>
      </c>
      <c r="E1096" t="n">
        <v>1000</v>
      </c>
      <c r="F1096" t="inlineStr">
        <is>
          <t>TN</t>
        </is>
      </c>
      <c r="G1096" t="n">
        <v>1500</v>
      </c>
      <c r="H1096" t="inlineStr">
        <is>
          <t>ARENA SILICA 40/50</t>
        </is>
      </c>
    </row>
    <row r="1097">
      <c r="A1097" t="n">
        <v>10143808</v>
      </c>
      <c r="B1097" t="inlineStr">
        <is>
          <t>ZFE3</t>
        </is>
      </c>
      <c r="C1097" t="inlineStr">
        <is>
          <t>1000</t>
        </is>
      </c>
      <c r="D1097" t="inlineStr">
        <is>
          <t>M3</t>
        </is>
      </c>
      <c r="E1097" t="n">
        <v>1000</v>
      </c>
      <c r="F1097" t="inlineStr">
        <is>
          <t>TN</t>
        </is>
      </c>
      <c r="G1097" t="n">
        <v>1600</v>
      </c>
      <c r="H1097" t="inlineStr">
        <is>
          <t>GRAVA TRITURADA BASALTO 12" A FINOS</t>
        </is>
      </c>
    </row>
    <row r="1098">
      <c r="A1098" t="n">
        <v>10144018</v>
      </c>
      <c r="B1098" t="inlineStr">
        <is>
          <t>ZFE3</t>
        </is>
      </c>
      <c r="C1098" t="inlineStr">
        <is>
          <t>1000</t>
        </is>
      </c>
      <c r="D1098" t="inlineStr">
        <is>
          <t>M3</t>
        </is>
      </c>
      <c r="E1098" t="n">
        <v>1000</v>
      </c>
      <c r="F1098" t="inlineStr">
        <is>
          <t>KG</t>
        </is>
      </c>
      <c r="G1098" t="n">
        <v>2200</v>
      </c>
      <c r="H1098" t="inlineStr">
        <is>
          <t>MICROSILICA</t>
        </is>
      </c>
    </row>
    <row r="1099">
      <c r="A1099" t="n">
        <v>10144288</v>
      </c>
      <c r="B1099" t="inlineStr">
        <is>
          <t>ZFE3</t>
        </is>
      </c>
      <c r="C1099" t="inlineStr">
        <is>
          <t>1000</t>
        </is>
      </c>
      <c r="D1099" t="inlineStr">
        <is>
          <t>M3</t>
        </is>
      </c>
      <c r="E1099" t="n">
        <v>1000</v>
      </c>
      <c r="F1099" t="inlineStr">
        <is>
          <t>TN</t>
        </is>
      </c>
      <c r="G1099" t="n">
        <v>1415</v>
      </c>
      <c r="H1099" t="inlineStr">
        <is>
          <t>ARENA CLASIFICADA RÍO MALLA 4 - LAVADO</t>
        </is>
      </c>
    </row>
    <row r="1100">
      <c r="A1100" t="n">
        <v>10144373</v>
      </c>
      <c r="B1100" t="inlineStr">
        <is>
          <t>ZFE3</t>
        </is>
      </c>
      <c r="C1100" t="inlineStr">
        <is>
          <t>1000</t>
        </is>
      </c>
      <c r="D1100" t="inlineStr">
        <is>
          <t>M3</t>
        </is>
      </c>
      <c r="E1100" t="n">
        <v>1000</v>
      </c>
      <c r="F1100" t="inlineStr">
        <is>
          <t>TN</t>
        </is>
      </c>
      <c r="G1100" t="n">
        <v>1235</v>
      </c>
      <c r="H1100" t="inlineStr">
        <is>
          <t>GRAVON DE 4" A 2"</t>
        </is>
      </c>
    </row>
    <row r="1101">
      <c r="A1101" t="n">
        <v>10144551</v>
      </c>
      <c r="B1101" t="inlineStr">
        <is>
          <t>ZFE3</t>
        </is>
      </c>
      <c r="C1101" t="inlineStr">
        <is>
          <t>1000</t>
        </is>
      </c>
      <c r="D1101" t="inlineStr">
        <is>
          <t>M3</t>
        </is>
      </c>
      <c r="E1101" t="n">
        <v>1000</v>
      </c>
      <c r="F1101" t="inlineStr">
        <is>
          <t>TN</t>
        </is>
      </c>
      <c r="G1101" t="n">
        <v>1548</v>
      </c>
      <c r="H1101" t="inlineStr">
        <is>
          <t>ARENA CLASIFICADA</t>
        </is>
      </c>
    </row>
    <row r="1102">
      <c r="A1102" t="n">
        <v>10145006</v>
      </c>
      <c r="B1102" t="inlineStr">
        <is>
          <t>ZFE3</t>
        </is>
      </c>
      <c r="C1102" t="inlineStr">
        <is>
          <t>1000</t>
        </is>
      </c>
      <c r="D1102" t="inlineStr">
        <is>
          <t>M3</t>
        </is>
      </c>
      <c r="E1102" t="n">
        <v>1000</v>
      </c>
      <c r="F1102" t="inlineStr">
        <is>
          <t>TN</t>
        </is>
      </c>
      <c r="G1102" t="n">
        <v>1490</v>
      </c>
      <c r="H1102" t="inlineStr">
        <is>
          <t>ARENA TRITURADA CALIZA MALLA 4 AA</t>
        </is>
      </c>
    </row>
    <row r="1103">
      <c r="A1103" t="n">
        <v>10145056</v>
      </c>
      <c r="B1103" t="inlineStr">
        <is>
          <t>ZFE3</t>
        </is>
      </c>
      <c r="C1103" t="inlineStr">
        <is>
          <t>1000</t>
        </is>
      </c>
      <c r="D1103" t="inlineStr">
        <is>
          <t>M3</t>
        </is>
      </c>
      <c r="E1103" t="n">
        <v>1000</v>
      </c>
      <c r="F1103" t="inlineStr">
        <is>
          <t>TN</t>
        </is>
      </c>
      <c r="G1103" t="n">
        <v>1114</v>
      </c>
      <c r="H1103" t="inlineStr">
        <is>
          <t>GRAVA TRITURADA CALIZA 10MM-3/8"</t>
        </is>
      </c>
    </row>
    <row r="1104">
      <c r="A1104" t="n">
        <v>10145057</v>
      </c>
      <c r="B1104" t="inlineStr">
        <is>
          <t>ZFE3</t>
        </is>
      </c>
      <c r="C1104" t="inlineStr">
        <is>
          <t>1000</t>
        </is>
      </c>
      <c r="D1104" t="inlineStr">
        <is>
          <t>M3</t>
        </is>
      </c>
      <c r="E1104" t="n">
        <v>1000</v>
      </c>
      <c r="F1104" t="inlineStr">
        <is>
          <t>TN</t>
        </is>
      </c>
      <c r="G1104" t="n">
        <v>1225</v>
      </c>
      <c r="H1104" t="inlineStr">
        <is>
          <t>GRAVA TRITURADA CALIZA 20MM-3/4"</t>
        </is>
      </c>
    </row>
    <row r="1105">
      <c r="A1105" t="n">
        <v>10145384</v>
      </c>
      <c r="B1105" t="inlineStr">
        <is>
          <t>ZFE3</t>
        </is>
      </c>
      <c r="C1105" t="inlineStr">
        <is>
          <t>1000</t>
        </is>
      </c>
      <c r="D1105" t="inlineStr">
        <is>
          <t>M3</t>
        </is>
      </c>
      <c r="E1105" t="n">
        <v>1000</v>
      </c>
      <c r="F1105" t="inlineStr">
        <is>
          <t>TN</t>
        </is>
      </c>
      <c r="G1105" t="n">
        <v>1700</v>
      </c>
      <c r="H1105" t="inlineStr">
        <is>
          <t>BASE HIDRULICA DE 1 1/2" A 0</t>
        </is>
      </c>
    </row>
    <row r="1106">
      <c r="A1106" t="n">
        <v>10145448</v>
      </c>
      <c r="B1106" t="inlineStr">
        <is>
          <t>ZFE3</t>
        </is>
      </c>
      <c r="C1106" t="inlineStr">
        <is>
          <t>1000</t>
        </is>
      </c>
      <c r="D1106" t="inlineStr">
        <is>
          <t>M3</t>
        </is>
      </c>
      <c r="E1106" t="n">
        <v>1000</v>
      </c>
      <c r="F1106" t="inlineStr">
        <is>
          <t>TN</t>
        </is>
      </c>
      <c r="G1106" t="n">
        <v>1273</v>
      </c>
      <c r="H1106" t="inlineStr">
        <is>
          <t>GRAVA TRITURADA BASALTO 20 MM - 3/4" AB</t>
        </is>
      </c>
    </row>
    <row r="1107">
      <c r="A1107" t="n">
        <v>10145682</v>
      </c>
      <c r="B1107" t="inlineStr">
        <is>
          <t>ZFE3</t>
        </is>
      </c>
      <c r="C1107" t="inlineStr">
        <is>
          <t>1000</t>
        </is>
      </c>
      <c r="D1107" t="inlineStr">
        <is>
          <t>M3</t>
        </is>
      </c>
      <c r="E1107" t="n">
        <v>1000</v>
      </c>
      <c r="F1107" t="inlineStr">
        <is>
          <t>TN</t>
        </is>
      </c>
      <c r="G1107" t="n">
        <v>1720</v>
      </c>
      <c r="H1107" t="inlineStr">
        <is>
          <t>BASE H TRITURADA CALIZA 1 1/2" A FINOS</t>
        </is>
      </c>
    </row>
    <row r="1108">
      <c r="A1108" t="n">
        <v>10145710</v>
      </c>
      <c r="B1108" t="inlineStr">
        <is>
          <t>ZFE3</t>
        </is>
      </c>
      <c r="C1108" t="inlineStr">
        <is>
          <t>1000</t>
        </is>
      </c>
      <c r="D1108" t="inlineStr">
        <is>
          <t>M3</t>
        </is>
      </c>
      <c r="E1108" t="n">
        <v>1000</v>
      </c>
      <c r="F1108" t="inlineStr">
        <is>
          <t>TN</t>
        </is>
      </c>
      <c r="G1108" t="n">
        <v>1225</v>
      </c>
      <c r="H1108" t="inlineStr">
        <is>
          <t>GRAVA TRITURADA BASALTO 20 MM - 3/4"</t>
        </is>
      </c>
    </row>
    <row r="1109">
      <c r="A1109" t="n">
        <v>10145773</v>
      </c>
      <c r="B1109" t="inlineStr">
        <is>
          <t>ZFE3</t>
        </is>
      </c>
      <c r="C1109" t="inlineStr">
        <is>
          <t>1000</t>
        </is>
      </c>
      <c r="D1109" t="inlineStr">
        <is>
          <t>M3</t>
        </is>
      </c>
      <c r="E1109" t="n">
        <v>1000</v>
      </c>
      <c r="F1109" t="inlineStr">
        <is>
          <t>TN</t>
        </is>
      </c>
      <c r="G1109" t="n">
        <v>1421</v>
      </c>
      <c r="H1109" t="inlineStr">
        <is>
          <t>ARENA CLASIFICADA BASALTO MALLA 4</t>
        </is>
      </c>
    </row>
    <row r="1110">
      <c r="A1110" t="n">
        <v>10145811</v>
      </c>
      <c r="B1110" t="inlineStr">
        <is>
          <t>ZFE3</t>
        </is>
      </c>
      <c r="C1110" t="inlineStr">
        <is>
          <t>1000</t>
        </is>
      </c>
      <c r="D1110" t="inlineStr">
        <is>
          <t>M3</t>
        </is>
      </c>
      <c r="E1110" t="n">
        <v>1000</v>
      </c>
      <c r="F1110" t="inlineStr">
        <is>
          <t>TN</t>
        </is>
      </c>
      <c r="G1110" t="n">
        <v>1230</v>
      </c>
      <c r="H1110" t="inlineStr">
        <is>
          <t>GRAVA TRITURADA ANDESITA 6" A 1"</t>
        </is>
      </c>
    </row>
    <row r="1111">
      <c r="A1111" t="n">
        <v>10145835</v>
      </c>
      <c r="B1111" t="inlineStr">
        <is>
          <t>ZFE3</t>
        </is>
      </c>
      <c r="C1111" t="inlineStr">
        <is>
          <t>1000</t>
        </is>
      </c>
      <c r="D1111" t="inlineStr">
        <is>
          <t>M3</t>
        </is>
      </c>
      <c r="E1111" t="n">
        <v>1000</v>
      </c>
      <c r="F1111" t="inlineStr">
        <is>
          <t>TN</t>
        </is>
      </c>
      <c r="G1111" t="n">
        <v>1380</v>
      </c>
      <c r="H1111" t="inlineStr">
        <is>
          <t>BALASTO TRITURADO BASALTO</t>
        </is>
      </c>
    </row>
    <row r="1112">
      <c r="A1112" t="n">
        <v>10145899</v>
      </c>
      <c r="B1112" t="inlineStr">
        <is>
          <t>ZFE3</t>
        </is>
      </c>
      <c r="C1112" t="inlineStr">
        <is>
          <t>1000</t>
        </is>
      </c>
      <c r="D1112" t="inlineStr">
        <is>
          <t>M3</t>
        </is>
      </c>
      <c r="E1112" t="n">
        <v>1000</v>
      </c>
      <c r="F1112" t="inlineStr">
        <is>
          <t>TN</t>
        </is>
      </c>
      <c r="G1112" t="n">
        <v>1562</v>
      </c>
      <c r="H1112" t="inlineStr">
        <is>
          <t>Arena De Río CyC</t>
        </is>
      </c>
    </row>
    <row r="1113">
      <c r="A1113" t="n">
        <v>10145986</v>
      </c>
      <c r="B1113" t="inlineStr">
        <is>
          <t>ZFE3</t>
        </is>
      </c>
      <c r="C1113" t="inlineStr">
        <is>
          <t>1000</t>
        </is>
      </c>
      <c r="D1113" t="inlineStr">
        <is>
          <t>M3</t>
        </is>
      </c>
      <c r="E1113" t="n">
        <v>1000</v>
      </c>
      <c r="F1113" t="inlineStr">
        <is>
          <t>TN</t>
        </is>
      </c>
      <c r="G1113" t="n">
        <v>1500</v>
      </c>
      <c r="H1113" t="inlineStr">
        <is>
          <t>PIEDRA PICADA DE 30 CM A 60 CM</t>
        </is>
      </c>
    </row>
    <row r="1114">
      <c r="A1114" t="n">
        <v>10146109</v>
      </c>
      <c r="B1114" t="inlineStr">
        <is>
          <t>ZFE3</t>
        </is>
      </c>
      <c r="C1114" t="inlineStr">
        <is>
          <t>1000</t>
        </is>
      </c>
      <c r="D1114" t="inlineStr">
        <is>
          <t>M3</t>
        </is>
      </c>
      <c r="E1114" t="n">
        <v>1000</v>
      </c>
      <c r="F1114" t="inlineStr">
        <is>
          <t>TN</t>
        </is>
      </c>
      <c r="G1114" t="n">
        <v>1501</v>
      </c>
      <c r="H1114" t="inlineStr">
        <is>
          <t>MATERIAL SELECTO - SUB BASE CO</t>
        </is>
      </c>
    </row>
    <row r="1115">
      <c r="A1115" t="n">
        <v>10146348</v>
      </c>
      <c r="B1115" t="inlineStr">
        <is>
          <t>ZFE3</t>
        </is>
      </c>
      <c r="C1115" t="inlineStr">
        <is>
          <t>1000</t>
        </is>
      </c>
      <c r="D1115" t="inlineStr">
        <is>
          <t>M3</t>
        </is>
      </c>
      <c r="E1115" t="n">
        <v>1000</v>
      </c>
      <c r="F1115" t="inlineStr">
        <is>
          <t>TN</t>
        </is>
      </c>
      <c r="G1115" t="n">
        <v>1350</v>
      </c>
      <c r="H1115" t="inlineStr">
        <is>
          <t>GRAVA TRITURADA BASALTO 10 MM - 3/8"</t>
        </is>
      </c>
    </row>
    <row r="1116">
      <c r="A1116" t="n">
        <v>10146361</v>
      </c>
      <c r="B1116" t="inlineStr">
        <is>
          <t>ZFE3</t>
        </is>
      </c>
      <c r="C1116" t="inlineStr">
        <is>
          <t>1000</t>
        </is>
      </c>
      <c r="D1116" t="inlineStr">
        <is>
          <t>M3</t>
        </is>
      </c>
      <c r="E1116" t="n">
        <v>1000</v>
      </c>
      <c r="F1116" t="inlineStr">
        <is>
          <t>TN</t>
        </is>
      </c>
      <c r="G1116" t="n">
        <v>1300</v>
      </c>
      <c r="H1116" t="inlineStr">
        <is>
          <t>DESPERDICIO CRUDO INUTILIZABLE</t>
        </is>
      </c>
    </row>
    <row r="1117">
      <c r="A1117" t="n">
        <v>10146363</v>
      </c>
      <c r="B1117" t="inlineStr">
        <is>
          <t>ZFE3</t>
        </is>
      </c>
      <c r="C1117" t="inlineStr">
        <is>
          <t>1000</t>
        </is>
      </c>
      <c r="D1117" t="inlineStr">
        <is>
          <t>M3</t>
        </is>
      </c>
      <c r="E1117" t="n">
        <v>100</v>
      </c>
      <c r="F1117" t="inlineStr">
        <is>
          <t>TN</t>
        </is>
      </c>
      <c r="G1117" t="n">
        <v>145</v>
      </c>
      <c r="H1117" t="inlineStr">
        <is>
          <t>SF-5753 PIEDRA CUARTA 1"</t>
        </is>
      </c>
    </row>
    <row r="1118">
      <c r="A1118" t="n">
        <v>10146739</v>
      </c>
      <c r="B1118" t="inlineStr">
        <is>
          <t>ZFE3</t>
        </is>
      </c>
      <c r="C1118" t="inlineStr">
        <is>
          <t>1000</t>
        </is>
      </c>
      <c r="D1118" t="inlineStr">
        <is>
          <t>M3</t>
        </is>
      </c>
      <c r="E1118" t="n">
        <v>1000</v>
      </c>
      <c r="F1118" t="inlineStr">
        <is>
          <t>TN</t>
        </is>
      </c>
      <c r="G1118" t="n">
        <v>1195</v>
      </c>
      <c r="H1118" t="inlineStr">
        <is>
          <t>ARENA DE BALASTRE MALLA 4</t>
        </is>
      </c>
    </row>
    <row r="1119">
      <c r="A1119" t="n">
        <v>10146781</v>
      </c>
      <c r="B1119" t="inlineStr">
        <is>
          <t>ZFE3</t>
        </is>
      </c>
      <c r="C1119" t="inlineStr">
        <is>
          <t>1000</t>
        </is>
      </c>
      <c r="D1119" t="inlineStr">
        <is>
          <t>M3</t>
        </is>
      </c>
      <c r="E1119" t="n">
        <v>1000</v>
      </c>
      <c r="F1119" t="inlineStr">
        <is>
          <t>TN</t>
        </is>
      </c>
      <c r="G1119" t="n">
        <v>1490</v>
      </c>
      <c r="H1119" t="inlineStr">
        <is>
          <t>BASE HIDRAULICA TIPO A PROPORCI0N 50-50</t>
        </is>
      </c>
    </row>
    <row r="1120">
      <c r="A1120" t="n">
        <v>10146801</v>
      </c>
      <c r="B1120" t="inlineStr">
        <is>
          <t>ZFE3</t>
        </is>
      </c>
      <c r="C1120" t="inlineStr">
        <is>
          <t>1000</t>
        </is>
      </c>
      <c r="D1120" t="inlineStr">
        <is>
          <t>M3</t>
        </is>
      </c>
      <c r="E1120" t="n">
        <v>1000</v>
      </c>
      <c r="F1120" t="inlineStr">
        <is>
          <t>TN</t>
        </is>
      </c>
      <c r="G1120" t="n">
        <v>1342</v>
      </c>
      <c r="H1120" t="inlineStr">
        <is>
          <t>GRAVA TRITURADA ANDESITA 20 MM - 3/4"</t>
        </is>
      </c>
    </row>
    <row r="1121">
      <c r="A1121" t="n">
        <v>10146890</v>
      </c>
      <c r="B1121" t="inlineStr">
        <is>
          <t>ZFE3</t>
        </is>
      </c>
      <c r="C1121" t="inlineStr">
        <is>
          <t>1000</t>
        </is>
      </c>
      <c r="D1121" t="inlineStr">
        <is>
          <t>M3</t>
        </is>
      </c>
      <c r="E1121" t="n">
        <v>1000</v>
      </c>
      <c r="F1121" t="inlineStr">
        <is>
          <t>TN</t>
        </is>
      </c>
      <c r="G1121" t="n">
        <v>1382</v>
      </c>
      <c r="H1121" t="inlineStr">
        <is>
          <t>GRAVA TRITURADA BASALTO 20 MM - 3/4" TIG</t>
        </is>
      </c>
    </row>
    <row r="1122">
      <c r="A1122" t="n">
        <v>10146893</v>
      </c>
      <c r="B1122" t="inlineStr">
        <is>
          <t>ZFE3</t>
        </is>
      </c>
      <c r="C1122" t="inlineStr">
        <is>
          <t>1000</t>
        </is>
      </c>
      <c r="D1122" t="inlineStr">
        <is>
          <t>M3</t>
        </is>
      </c>
      <c r="E1122" t="n">
        <v>1000</v>
      </c>
      <c r="F1122" t="inlineStr">
        <is>
          <t>TN</t>
        </is>
      </c>
      <c r="G1122" t="n">
        <v>1310</v>
      </c>
      <c r="H1122" t="inlineStr">
        <is>
          <t>GRAVA TRITURADA ANDESITA 25 MM -1"</t>
        </is>
      </c>
    </row>
    <row r="1123">
      <c r="A1123" t="n">
        <v>10146897</v>
      </c>
      <c r="B1123" t="inlineStr">
        <is>
          <t>ZFE3</t>
        </is>
      </c>
      <c r="C1123" t="inlineStr">
        <is>
          <t>1000</t>
        </is>
      </c>
      <c r="D1123" t="inlineStr">
        <is>
          <t>M3</t>
        </is>
      </c>
      <c r="E1123" t="n">
        <v>1000</v>
      </c>
      <c r="F1123" t="inlineStr">
        <is>
          <t>TN</t>
        </is>
      </c>
      <c r="G1123" t="n">
        <v>1457</v>
      </c>
      <c r="H1123" t="inlineStr">
        <is>
          <t>ARENA TRITURADA ANDESITA MALLA 5</t>
        </is>
      </c>
    </row>
    <row r="1124">
      <c r="A1124" t="n">
        <v>10147091</v>
      </c>
      <c r="B1124" t="inlineStr">
        <is>
          <t>ZFE3</t>
        </is>
      </c>
      <c r="C1124" t="inlineStr">
        <is>
          <t>1000</t>
        </is>
      </c>
      <c r="D1124" t="inlineStr">
        <is>
          <t>M3</t>
        </is>
      </c>
      <c r="E1124" t="n">
        <v>1000</v>
      </c>
      <c r="F1124" t="inlineStr">
        <is>
          <t>TN</t>
        </is>
      </c>
      <c r="G1124" t="n">
        <v>1400</v>
      </c>
      <c r="H1124" t="inlineStr">
        <is>
          <t>TUCURUGUAY CLASIFICADO TIERRA</t>
        </is>
      </c>
    </row>
    <row r="1125">
      <c r="A1125" t="n">
        <v>10147434</v>
      </c>
      <c r="B1125" t="inlineStr">
        <is>
          <t>ZFE3</t>
        </is>
      </c>
      <c r="C1125" t="inlineStr">
        <is>
          <t>1000</t>
        </is>
      </c>
      <c r="D1125" t="inlineStr">
        <is>
          <t>M3</t>
        </is>
      </c>
      <c r="E1125" t="n">
        <v>100</v>
      </c>
      <c r="F1125" t="inlineStr">
        <is>
          <t>TN</t>
        </is>
      </c>
      <c r="G1125" t="n">
        <v>145</v>
      </c>
      <c r="H1125" t="inlineStr">
        <is>
          <t>SF-5753 PIEDRA CUARTA (MÁXIMO DE 19 MM)</t>
        </is>
      </c>
    </row>
    <row r="1126">
      <c r="A1126" t="n">
        <v>10147441</v>
      </c>
      <c r="B1126" t="inlineStr">
        <is>
          <t>ZFE3</t>
        </is>
      </c>
      <c r="C1126" t="inlineStr">
        <is>
          <t>1000</t>
        </is>
      </c>
      <c r="D1126" t="inlineStr">
        <is>
          <t>M3</t>
        </is>
      </c>
      <c r="E1126" t="n">
        <v>1000</v>
      </c>
      <c r="F1126" t="inlineStr">
        <is>
          <t>TN</t>
        </is>
      </c>
      <c r="G1126" t="n">
        <v>1532</v>
      </c>
      <c r="H1126" t="inlineStr">
        <is>
          <t>Arena Trituración Incomineria</t>
        </is>
      </c>
    </row>
    <row r="1127">
      <c r="A1127" t="n">
        <v>10147454</v>
      </c>
      <c r="B1127" t="inlineStr">
        <is>
          <t>ZFE3</t>
        </is>
      </c>
      <c r="C1127" t="inlineStr">
        <is>
          <t>1000</t>
        </is>
      </c>
      <c r="D1127" t="inlineStr">
        <is>
          <t>M3</t>
        </is>
      </c>
      <c r="E1127" t="n">
        <v>1000</v>
      </c>
      <c r="F1127" t="inlineStr">
        <is>
          <t>TN</t>
        </is>
      </c>
      <c r="G1127" t="n">
        <v>1556</v>
      </c>
      <c r="H1127" t="inlineStr">
        <is>
          <t>GRAVA TRITURADA CALIZA 20 MM - 3/4"</t>
        </is>
      </c>
    </row>
    <row r="1128">
      <c r="A1128" t="n">
        <v>10147486</v>
      </c>
      <c r="B1128" t="inlineStr">
        <is>
          <t>ZFE3</t>
        </is>
      </c>
      <c r="C1128" t="inlineStr">
        <is>
          <t>1000</t>
        </is>
      </c>
      <c r="D1128" t="inlineStr">
        <is>
          <t>M3</t>
        </is>
      </c>
      <c r="E1128" t="n">
        <v>1000</v>
      </c>
      <c r="F1128" t="inlineStr">
        <is>
          <t>TN</t>
        </is>
      </c>
      <c r="G1128" t="n">
        <v>1560</v>
      </c>
      <c r="H1128" t="inlineStr">
        <is>
          <t>BALASTO TRITURADO</t>
        </is>
      </c>
    </row>
    <row r="1129">
      <c r="A1129" t="n">
        <v>10147562</v>
      </c>
      <c r="B1129" t="inlineStr">
        <is>
          <t>ZFE3</t>
        </is>
      </c>
      <c r="C1129" t="inlineStr">
        <is>
          <t>1000</t>
        </is>
      </c>
      <c r="D1129" t="inlineStr">
        <is>
          <t>M3</t>
        </is>
      </c>
      <c r="E1129" t="n">
        <v>1000</v>
      </c>
      <c r="F1129" t="inlineStr">
        <is>
          <t>TN</t>
        </is>
      </c>
      <c r="G1129" t="n">
        <v>1479</v>
      </c>
      <c r="H1129" t="inlineStr">
        <is>
          <t>GRAVA TRITURADA BASALTO - 5/8"</t>
        </is>
      </c>
    </row>
    <row r="1130">
      <c r="A1130" t="n">
        <v>10147585</v>
      </c>
      <c r="B1130" t="inlineStr">
        <is>
          <t>ZFE3</t>
        </is>
      </c>
      <c r="C1130" t="inlineStr">
        <is>
          <t>1000</t>
        </is>
      </c>
      <c r="D1130" t="inlineStr">
        <is>
          <t>M3</t>
        </is>
      </c>
      <c r="E1130" t="n">
        <v>1000</v>
      </c>
      <c r="F1130" t="inlineStr">
        <is>
          <t>TN</t>
        </is>
      </c>
      <c r="G1130" t="n">
        <v>1400</v>
      </c>
      <c r="H1130" t="inlineStr">
        <is>
          <t>TUCURUGUAY TRITURADO GRANITO</t>
        </is>
      </c>
    </row>
    <row r="1131">
      <c r="A1131" t="n">
        <v>10147586</v>
      </c>
      <c r="B1131" t="inlineStr">
        <is>
          <t>ZFE3</t>
        </is>
      </c>
      <c r="C1131" t="inlineStr">
        <is>
          <t>1000</t>
        </is>
      </c>
      <c r="D1131" t="inlineStr">
        <is>
          <t>M3</t>
        </is>
      </c>
      <c r="E1131" t="n">
        <v>1000</v>
      </c>
      <c r="F1131" t="inlineStr">
        <is>
          <t>TN</t>
        </is>
      </c>
      <c r="G1131" t="n">
        <v>1501</v>
      </c>
      <c r="H1131" t="inlineStr">
        <is>
          <t>ARENA GRANITO #4</t>
        </is>
      </c>
    </row>
    <row r="1132">
      <c r="A1132" t="n">
        <v>10147589</v>
      </c>
      <c r="B1132" t="inlineStr">
        <is>
          <t>ZFE3</t>
        </is>
      </c>
      <c r="C1132" t="inlineStr">
        <is>
          <t>1000</t>
        </is>
      </c>
      <c r="D1132" t="inlineStr">
        <is>
          <t>M3</t>
        </is>
      </c>
      <c r="E1132" t="n">
        <v>1000</v>
      </c>
      <c r="F1132" t="inlineStr">
        <is>
          <t>TN</t>
        </is>
      </c>
      <c r="G1132" t="n">
        <v>878</v>
      </c>
      <c r="H1132" t="inlineStr">
        <is>
          <t>CENIZA VOLANTE TERMOPAIPA</t>
        </is>
      </c>
    </row>
    <row r="1133">
      <c r="A1133" t="n">
        <v>10147660</v>
      </c>
      <c r="B1133" t="inlineStr">
        <is>
          <t>ZFE3</t>
        </is>
      </c>
      <c r="C1133" t="inlineStr">
        <is>
          <t>1000</t>
        </is>
      </c>
      <c r="D1133" t="inlineStr">
        <is>
          <t>M3</t>
        </is>
      </c>
      <c r="E1133" t="n">
        <v>100</v>
      </c>
      <c r="F1133" t="inlineStr">
        <is>
          <t>TN</t>
        </is>
      </c>
      <c r="G1133" t="n">
        <v>160</v>
      </c>
      <c r="H1133" t="inlineStr">
        <is>
          <t>SF-5753 ARENA DE RÍO LAVADA (DE 0 MM A 8</t>
        </is>
      </c>
    </row>
    <row r="1134">
      <c r="A1134" t="n">
        <v>10147933</v>
      </c>
      <c r="B1134" t="inlineStr">
        <is>
          <t>ZFE3</t>
        </is>
      </c>
      <c r="C1134" t="inlineStr">
        <is>
          <t>1000</t>
        </is>
      </c>
      <c r="D1134" t="inlineStr">
        <is>
          <t>M3</t>
        </is>
      </c>
      <c r="E1134" t="n">
        <v>1000</v>
      </c>
      <c r="F1134" t="inlineStr">
        <is>
          <t>TN</t>
        </is>
      </c>
      <c r="G1134" t="n">
        <v>1376</v>
      </c>
      <c r="H1134" t="inlineStr">
        <is>
          <t>ARENA TRITURADA CALIZA MALLA 4 LAVADO</t>
        </is>
      </c>
    </row>
    <row r="1135">
      <c r="A1135" t="n">
        <v>10148454</v>
      </c>
      <c r="B1135" t="inlineStr">
        <is>
          <t>ZFE3</t>
        </is>
      </c>
      <c r="C1135" t="inlineStr">
        <is>
          <t>1000</t>
        </is>
      </c>
      <c r="D1135" t="inlineStr">
        <is>
          <t>M3</t>
        </is>
      </c>
      <c r="E1135" t="n">
        <v>1000</v>
      </c>
      <c r="F1135" t="inlineStr">
        <is>
          <t>TN</t>
        </is>
      </c>
      <c r="G1135" t="n">
        <v>1440</v>
      </c>
      <c r="H1135" t="inlineStr">
        <is>
          <t>GRAVA TRITURADA BASALTO 40 MM - 1 1/2" A</t>
        </is>
      </c>
    </row>
    <row r="1136">
      <c r="A1136" t="n">
        <v>10148456</v>
      </c>
      <c r="B1136" t="inlineStr">
        <is>
          <t>ZFE3</t>
        </is>
      </c>
      <c r="C1136" t="inlineStr">
        <is>
          <t>1000</t>
        </is>
      </c>
      <c r="D1136" t="inlineStr">
        <is>
          <t>M3</t>
        </is>
      </c>
      <c r="E1136" t="n">
        <v>1000</v>
      </c>
      <c r="F1136" t="inlineStr">
        <is>
          <t>TN</t>
        </is>
      </c>
      <c r="G1136" t="n">
        <v>1235</v>
      </c>
      <c r="H1136" t="inlineStr">
        <is>
          <t>GRAVA TRITURADA BASALTO 10 MM - 3/8" AB</t>
        </is>
      </c>
    </row>
    <row r="1137">
      <c r="A1137" t="n">
        <v>10148458</v>
      </c>
      <c r="B1137" t="inlineStr">
        <is>
          <t>ZFE3</t>
        </is>
      </c>
      <c r="C1137" t="inlineStr">
        <is>
          <t>1000</t>
        </is>
      </c>
      <c r="D1137" t="inlineStr">
        <is>
          <t>M3</t>
        </is>
      </c>
      <c r="E1137" t="n">
        <v>1000</v>
      </c>
      <c r="F1137" t="inlineStr">
        <is>
          <t>TN</t>
        </is>
      </c>
      <c r="G1137" t="n">
        <v>1486</v>
      </c>
      <c r="H1137" t="inlineStr">
        <is>
          <t>GRAVA TRITURADA GRANITO 10 MM - 3/8"</t>
        </is>
      </c>
    </row>
    <row r="1138">
      <c r="A1138" t="n">
        <v>10148742</v>
      </c>
      <c r="B1138" t="inlineStr">
        <is>
          <t>ZFE3</t>
        </is>
      </c>
      <c r="C1138" t="inlineStr">
        <is>
          <t>1000</t>
        </is>
      </c>
      <c r="D1138" t="inlineStr">
        <is>
          <t>M3</t>
        </is>
      </c>
      <c r="E1138" t="n">
        <v>1000</v>
      </c>
      <c r="F1138" t="inlineStr">
        <is>
          <t>TN</t>
        </is>
      </c>
      <c r="G1138" t="n">
        <v>1600</v>
      </c>
      <c r="H1138" t="inlineStr">
        <is>
          <t>GRAVA TRITURADA BASALTO 13 MM - 1/2"</t>
        </is>
      </c>
    </row>
    <row r="1139">
      <c r="A1139" t="n">
        <v>10148824</v>
      </c>
      <c r="B1139" t="inlineStr">
        <is>
          <t>ZFE3</t>
        </is>
      </c>
      <c r="C1139" t="inlineStr">
        <is>
          <t>1000</t>
        </is>
      </c>
      <c r="D1139" t="inlineStr">
        <is>
          <t>M3</t>
        </is>
      </c>
      <c r="E1139" t="n">
        <v>1000</v>
      </c>
      <c r="F1139" t="inlineStr">
        <is>
          <t>TN</t>
        </is>
      </c>
      <c r="G1139" t="n">
        <v>1500</v>
      </c>
      <c r="H1139" t="inlineStr">
        <is>
          <t>BALASTO PIEDRA CALIZA 4"-6"</t>
        </is>
      </c>
    </row>
    <row r="1140">
      <c r="A1140" t="n">
        <v>10148825</v>
      </c>
      <c r="B1140" t="inlineStr">
        <is>
          <t>ZFE3</t>
        </is>
      </c>
      <c r="C1140" t="inlineStr">
        <is>
          <t>1000</t>
        </is>
      </c>
      <c r="D1140" t="inlineStr">
        <is>
          <t>M3</t>
        </is>
      </c>
      <c r="E1140" t="n">
        <v>1000</v>
      </c>
      <c r="F1140" t="inlineStr">
        <is>
          <t>TN</t>
        </is>
      </c>
      <c r="G1140" t="n">
        <v>1500</v>
      </c>
      <c r="H1140" t="inlineStr">
        <is>
          <t>BALASTO PIEDRA CALIZA 2"-4"</t>
        </is>
      </c>
    </row>
    <row r="1141">
      <c r="A1141" t="n">
        <v>10148828</v>
      </c>
      <c r="B1141" t="inlineStr">
        <is>
          <t>ZFE3</t>
        </is>
      </c>
      <c r="C1141" t="inlineStr">
        <is>
          <t>1000</t>
        </is>
      </c>
      <c r="D1141" t="inlineStr">
        <is>
          <t>M3</t>
        </is>
      </c>
      <c r="E1141" t="n">
        <v>1000</v>
      </c>
      <c r="F1141" t="inlineStr">
        <is>
          <t>TN</t>
        </is>
      </c>
      <c r="G1141" t="n">
        <v>1600</v>
      </c>
      <c r="H1141" t="inlineStr">
        <is>
          <t>BASE HIDRAULICA ANDESITA 6" A FINOS</t>
        </is>
      </c>
    </row>
    <row r="1142">
      <c r="A1142" t="n">
        <v>10148829</v>
      </c>
      <c r="B1142" t="inlineStr">
        <is>
          <t>ZFE3</t>
        </is>
      </c>
      <c r="C1142" t="inlineStr">
        <is>
          <t>1000</t>
        </is>
      </c>
      <c r="D1142" t="inlineStr">
        <is>
          <t>M3</t>
        </is>
      </c>
      <c r="E1142" t="n">
        <v>1000</v>
      </c>
      <c r="F1142" t="inlineStr">
        <is>
          <t>TN</t>
        </is>
      </c>
      <c r="G1142" t="n">
        <v>1409</v>
      </c>
      <c r="H1142" t="inlineStr">
        <is>
          <t>GRAVA 1/2 MASSEQ TESALIA</t>
        </is>
      </c>
    </row>
    <row r="1143">
      <c r="A1143" t="n">
        <v>10149182</v>
      </c>
      <c r="B1143" t="inlineStr">
        <is>
          <t>ZFE3</t>
        </is>
      </c>
      <c r="C1143" t="inlineStr">
        <is>
          <t>1000</t>
        </is>
      </c>
      <c r="D1143" t="inlineStr">
        <is>
          <t>M3</t>
        </is>
      </c>
      <c r="E1143" t="n">
        <v>1000</v>
      </c>
      <c r="F1143" t="inlineStr">
        <is>
          <t>TN</t>
        </is>
      </c>
      <c r="G1143" t="n">
        <v>1124</v>
      </c>
      <c r="H1143" t="inlineStr">
        <is>
          <t>GRAVA CALIZA 40 MM (1 1/2")</t>
        </is>
      </c>
    </row>
    <row r="1144">
      <c r="A1144" t="n">
        <v>10149183</v>
      </c>
      <c r="B1144" t="inlineStr">
        <is>
          <t>ZFE3</t>
        </is>
      </c>
      <c r="C1144" t="inlineStr">
        <is>
          <t>1000</t>
        </is>
      </c>
      <c r="D1144" t="inlineStr">
        <is>
          <t>M3</t>
        </is>
      </c>
      <c r="E1144" t="n">
        <v>1000</v>
      </c>
      <c r="F1144" t="inlineStr">
        <is>
          <t>TN</t>
        </is>
      </c>
      <c r="G1144" t="n">
        <v>1430</v>
      </c>
      <c r="H1144" t="inlineStr">
        <is>
          <t>GRAVA 1 MASSEQ TESALIA</t>
        </is>
      </c>
    </row>
    <row r="1145">
      <c r="A1145" t="n">
        <v>10149190</v>
      </c>
      <c r="B1145" t="inlineStr">
        <is>
          <t>ZFE3</t>
        </is>
      </c>
      <c r="C1145" t="inlineStr">
        <is>
          <t>1000</t>
        </is>
      </c>
      <c r="D1145" t="inlineStr">
        <is>
          <t>M3</t>
        </is>
      </c>
      <c r="E1145" t="n">
        <v>1000</v>
      </c>
      <c r="F1145" t="inlineStr">
        <is>
          <t>TN</t>
        </is>
      </c>
      <c r="G1145" t="n">
        <v>1540</v>
      </c>
      <c r="H1145" t="inlineStr">
        <is>
          <t>ARENA ALUVIAL MASSEQ TESALIA</t>
        </is>
      </c>
    </row>
    <row r="1146">
      <c r="A1146" t="n">
        <v>10149415</v>
      </c>
      <c r="B1146" t="inlineStr">
        <is>
          <t>ZFE3</t>
        </is>
      </c>
      <c r="C1146" t="inlineStr">
        <is>
          <t>1000</t>
        </is>
      </c>
      <c r="D1146" t="inlineStr">
        <is>
          <t>M3</t>
        </is>
      </c>
      <c r="E1146" t="n">
        <v>1000</v>
      </c>
      <c r="F1146" t="inlineStr">
        <is>
          <t>TN</t>
        </is>
      </c>
      <c r="G1146" t="n">
        <v>1550</v>
      </c>
      <c r="H1146" t="inlineStr">
        <is>
          <t>POLVILLO (3/8 - 0) CO</t>
        </is>
      </c>
    </row>
    <row r="1147">
      <c r="A1147" t="n">
        <v>10149429</v>
      </c>
      <c r="B1147" t="inlineStr">
        <is>
          <t>ZFE3</t>
        </is>
      </c>
      <c r="C1147" t="inlineStr">
        <is>
          <t>1000</t>
        </is>
      </c>
      <c r="D1147" t="inlineStr">
        <is>
          <t>M3</t>
        </is>
      </c>
      <c r="E1147" t="n">
        <v>1000</v>
      </c>
      <c r="F1147" t="inlineStr">
        <is>
          <t>TN</t>
        </is>
      </c>
      <c r="G1147" t="n">
        <v>1386</v>
      </c>
      <c r="H1147" t="inlineStr">
        <is>
          <t>GRANO DE MARMOL NO.2</t>
        </is>
      </c>
    </row>
    <row r="1148">
      <c r="A1148" t="n">
        <v>10149958</v>
      </c>
      <c r="B1148" t="inlineStr">
        <is>
          <t>ZFE3</t>
        </is>
      </c>
      <c r="C1148" t="inlineStr">
        <is>
          <t>1000</t>
        </is>
      </c>
      <c r="D1148" t="inlineStr">
        <is>
          <t>M3</t>
        </is>
      </c>
      <c r="E1148" t="n">
        <v>1000</v>
      </c>
      <c r="F1148" t="inlineStr">
        <is>
          <t>TN</t>
        </is>
      </c>
      <c r="G1148" t="n">
        <v>1375</v>
      </c>
      <c r="H1148" t="inlineStr">
        <is>
          <t>ARENA TRITURADA CALIZA MALLA 4</t>
        </is>
      </c>
    </row>
    <row r="1149">
      <c r="A1149" t="n">
        <v>10149992</v>
      </c>
      <c r="B1149" t="inlineStr">
        <is>
          <t>ZFE3</t>
        </is>
      </c>
      <c r="C1149" t="inlineStr">
        <is>
          <t>1000</t>
        </is>
      </c>
      <c r="D1149" t="inlineStr">
        <is>
          <t>M3</t>
        </is>
      </c>
      <c r="E1149" t="n">
        <v>1000</v>
      </c>
      <c r="F1149" t="inlineStr">
        <is>
          <t>TN</t>
        </is>
      </c>
      <c r="G1149" t="n">
        <v>1568</v>
      </c>
      <c r="H1149" t="inlineStr">
        <is>
          <t>GRAVA 1/2" GRAVAS Y ARENAS DEL CAUCA</t>
        </is>
      </c>
    </row>
    <row r="1150">
      <c r="A1150" t="n">
        <v>10149994</v>
      </c>
      <c r="B1150" t="inlineStr">
        <is>
          <t>ZFE3</t>
        </is>
      </c>
      <c r="C1150" t="inlineStr">
        <is>
          <t>1000</t>
        </is>
      </c>
      <c r="D1150" t="inlineStr">
        <is>
          <t>M3</t>
        </is>
      </c>
      <c r="E1150" t="n">
        <v>1000</v>
      </c>
      <c r="F1150" t="inlineStr">
        <is>
          <t>TN</t>
        </is>
      </c>
      <c r="G1150" t="n">
        <v>1470</v>
      </c>
      <c r="H1150" t="inlineStr">
        <is>
          <t>ARENA TRITURADA ANDESITA MALLA 4</t>
        </is>
      </c>
    </row>
    <row r="1151">
      <c r="A1151" t="n">
        <v>10149995</v>
      </c>
      <c r="B1151" t="inlineStr">
        <is>
          <t>ZFE3</t>
        </is>
      </c>
      <c r="C1151" t="inlineStr">
        <is>
          <t>1000</t>
        </is>
      </c>
      <c r="D1151" t="inlineStr">
        <is>
          <t>M3</t>
        </is>
      </c>
      <c r="E1151" t="n">
        <v>1000</v>
      </c>
      <c r="F1151" t="inlineStr">
        <is>
          <t>TN</t>
        </is>
      </c>
      <c r="G1151" t="n">
        <v>1482</v>
      </c>
      <c r="H1151" t="inlineStr">
        <is>
          <t>GRAVA TRITURADA BASALTO 20 MM - 3/4"</t>
        </is>
      </c>
    </row>
    <row r="1152">
      <c r="A1152" t="n">
        <v>10149996</v>
      </c>
      <c r="B1152" t="inlineStr">
        <is>
          <t>ZFE3</t>
        </is>
      </c>
      <c r="C1152" t="inlineStr">
        <is>
          <t>1000</t>
        </is>
      </c>
      <c r="D1152" t="inlineStr">
        <is>
          <t>M3</t>
        </is>
      </c>
      <c r="E1152" t="n">
        <v>1000</v>
      </c>
      <c r="F1152" t="inlineStr">
        <is>
          <t>TN</t>
        </is>
      </c>
      <c r="G1152" t="n">
        <v>1500</v>
      </c>
      <c r="H1152" t="inlineStr">
        <is>
          <t>ARENA SILICA MALLA 30 ENSACADA</t>
        </is>
      </c>
    </row>
    <row r="1153">
      <c r="A1153" t="n">
        <v>10150617</v>
      </c>
      <c r="B1153" t="inlineStr">
        <is>
          <t>ZFE3</t>
        </is>
      </c>
      <c r="C1153" t="inlineStr">
        <is>
          <t>1000</t>
        </is>
      </c>
      <c r="D1153" t="inlineStr">
        <is>
          <t>M3</t>
        </is>
      </c>
      <c r="E1153" t="n">
        <v>1000</v>
      </c>
      <c r="F1153" t="inlineStr">
        <is>
          <t>TN</t>
        </is>
      </c>
      <c r="G1153" t="n">
        <v>1112</v>
      </c>
      <c r="H1153" t="inlineStr">
        <is>
          <t>GRAVA TRITURADA CALIZA 20MM 3/4"</t>
        </is>
      </c>
    </row>
    <row r="1154">
      <c r="A1154" t="n">
        <v>10150684</v>
      </c>
      <c r="B1154" t="inlineStr">
        <is>
          <t>ZFE3</t>
        </is>
      </c>
      <c r="C1154" t="inlineStr">
        <is>
          <t>1000</t>
        </is>
      </c>
      <c r="D1154" t="inlineStr">
        <is>
          <t>M3</t>
        </is>
      </c>
      <c r="E1154" t="n">
        <v>1000</v>
      </c>
      <c r="F1154" t="inlineStr">
        <is>
          <t>TN</t>
        </is>
      </c>
      <c r="G1154" t="n">
        <v>1398</v>
      </c>
      <c r="H1154" t="inlineStr">
        <is>
          <t>PIEDRA NO.467 (1-1/2 - NO.4)</t>
        </is>
      </c>
    </row>
    <row r="1155">
      <c r="A1155" t="n">
        <v>10150688</v>
      </c>
      <c r="B1155" t="inlineStr">
        <is>
          <t>ZFE3</t>
        </is>
      </c>
      <c r="C1155" t="inlineStr">
        <is>
          <t>1000</t>
        </is>
      </c>
      <c r="D1155" t="inlineStr">
        <is>
          <t>M3</t>
        </is>
      </c>
      <c r="E1155" t="n">
        <v>1000</v>
      </c>
      <c r="F1155" t="inlineStr">
        <is>
          <t>TN</t>
        </is>
      </c>
      <c r="G1155" t="n">
        <v>1435</v>
      </c>
      <c r="H1155" t="inlineStr">
        <is>
          <t>GRAVA TRITURADA BASALTO 40 MM - 1 1/2"</t>
        </is>
      </c>
    </row>
    <row r="1156">
      <c r="A1156" t="n">
        <v>10150810</v>
      </c>
      <c r="B1156" t="inlineStr">
        <is>
          <t>ZFE3</t>
        </is>
      </c>
      <c r="C1156" t="inlineStr">
        <is>
          <t>1000</t>
        </is>
      </c>
      <c r="D1156" t="inlineStr">
        <is>
          <t>M3</t>
        </is>
      </c>
      <c r="E1156" t="n">
        <v>1000</v>
      </c>
      <c r="F1156" t="inlineStr">
        <is>
          <t>TN</t>
        </is>
      </c>
      <c r="G1156" t="n">
        <v>1628</v>
      </c>
      <c r="H1156" t="inlineStr">
        <is>
          <t>Caliza No 4 (global)</t>
        </is>
      </c>
    </row>
    <row r="1157">
      <c r="A1157" t="n">
        <v>10150859</v>
      </c>
      <c r="B1157" t="inlineStr">
        <is>
          <t>ZFER</t>
        </is>
      </c>
      <c r="C1157" t="inlineStr">
        <is>
          <t>1000</t>
        </is>
      </c>
      <c r="D1157" t="inlineStr">
        <is>
          <t>M3</t>
        </is>
      </c>
      <c r="E1157" t="n">
        <v>1000</v>
      </c>
      <c r="F1157" t="inlineStr">
        <is>
          <t>TN</t>
        </is>
      </c>
      <c r="G1157" t="n">
        <v>1502</v>
      </c>
      <c r="H1157" t="inlineStr">
        <is>
          <t>ARENA VOLCANICA No.4(GLOBAL)</t>
        </is>
      </c>
    </row>
    <row r="1158">
      <c r="A1158" t="n">
        <v>10150913</v>
      </c>
      <c r="B1158" t="inlineStr">
        <is>
          <t>ZFE3</t>
        </is>
      </c>
      <c r="C1158" t="inlineStr">
        <is>
          <t>1000</t>
        </is>
      </c>
      <c r="D1158" t="inlineStr">
        <is>
          <t>M3</t>
        </is>
      </c>
      <c r="E1158" t="n">
        <v>1000</v>
      </c>
      <c r="F1158" t="inlineStr">
        <is>
          <t>TN</t>
        </is>
      </c>
      <c r="G1158" t="n">
        <v>1200</v>
      </c>
      <c r="H1158" t="inlineStr">
        <is>
          <t>MATACAN ROCK</t>
        </is>
      </c>
    </row>
    <row r="1159">
      <c r="A1159" t="n">
        <v>10151191</v>
      </c>
      <c r="B1159" t="inlineStr">
        <is>
          <t>ZFE3</t>
        </is>
      </c>
      <c r="C1159" t="inlineStr">
        <is>
          <t>1000</t>
        </is>
      </c>
      <c r="D1159" t="inlineStr">
        <is>
          <t>M3</t>
        </is>
      </c>
      <c r="E1159" t="n">
        <v>1000</v>
      </c>
      <c r="F1159" t="inlineStr">
        <is>
          <t>TN</t>
        </is>
      </c>
      <c r="G1159" t="n">
        <v>1287</v>
      </c>
      <c r="H1159" t="inlineStr">
        <is>
          <t>GRAVA TRITURADA CALIZA 40MM 1 ½#</t>
        </is>
      </c>
    </row>
    <row r="1160">
      <c r="A1160" t="n">
        <v>10151192</v>
      </c>
      <c r="B1160" t="inlineStr">
        <is>
          <t>ZFE3</t>
        </is>
      </c>
      <c r="C1160" t="inlineStr">
        <is>
          <t>1000</t>
        </is>
      </c>
      <c r="D1160" t="inlineStr">
        <is>
          <t>M3</t>
        </is>
      </c>
      <c r="E1160" t="n">
        <v>1000</v>
      </c>
      <c r="F1160" t="inlineStr">
        <is>
          <t>TN</t>
        </is>
      </c>
      <c r="G1160" t="n">
        <v>1169</v>
      </c>
      <c r="H1160" t="inlineStr">
        <is>
          <t>GRAVA TRITURADA CALIZA 10MM 3/8#</t>
        </is>
      </c>
    </row>
    <row r="1161">
      <c r="A1161" t="n">
        <v>10151193</v>
      </c>
      <c r="B1161" t="inlineStr">
        <is>
          <t>ZFE3</t>
        </is>
      </c>
      <c r="C1161" t="inlineStr">
        <is>
          <t>1000</t>
        </is>
      </c>
      <c r="D1161" t="inlineStr">
        <is>
          <t>M3</t>
        </is>
      </c>
      <c r="E1161" t="n">
        <v>1000</v>
      </c>
      <c r="F1161" t="inlineStr">
        <is>
          <t>TN</t>
        </is>
      </c>
      <c r="G1161" t="n">
        <v>1312</v>
      </c>
      <c r="H1161" t="inlineStr">
        <is>
          <t>ARENA CLASIFICADA RÍO MALLA 4 B</t>
        </is>
      </c>
    </row>
    <row r="1162">
      <c r="A1162" t="n">
        <v>10151196</v>
      </c>
      <c r="B1162" t="inlineStr">
        <is>
          <t>ZFE3</t>
        </is>
      </c>
      <c r="C1162" t="inlineStr">
        <is>
          <t>1000</t>
        </is>
      </c>
      <c r="D1162" t="inlineStr">
        <is>
          <t>M3</t>
        </is>
      </c>
      <c r="E1162" t="n">
        <v>1000</v>
      </c>
      <c r="F1162" t="inlineStr">
        <is>
          <t>TN</t>
        </is>
      </c>
      <c r="G1162" t="n">
        <v>1342</v>
      </c>
      <c r="H1162" t="inlineStr">
        <is>
          <t>ARENA TRITURADA CALIZA MALLA 5</t>
        </is>
      </c>
    </row>
    <row r="1163">
      <c r="A1163" t="n">
        <v>10151420</v>
      </c>
      <c r="B1163" t="inlineStr">
        <is>
          <t>ZFE3</t>
        </is>
      </c>
      <c r="C1163" t="inlineStr">
        <is>
          <t>1000</t>
        </is>
      </c>
      <c r="D1163" t="inlineStr">
        <is>
          <t>M3</t>
        </is>
      </c>
      <c r="E1163" t="n">
        <v>1000</v>
      </c>
      <c r="F1163" t="inlineStr">
        <is>
          <t>TN</t>
        </is>
      </c>
      <c r="G1163" t="n">
        <v>1000</v>
      </c>
      <c r="H1163" t="inlineStr">
        <is>
          <t>FIBRA POLIPROPILENO PARA CONCRETO</t>
        </is>
      </c>
    </row>
    <row r="1164">
      <c r="A1164" t="n">
        <v>10151570</v>
      </c>
      <c r="B1164" t="inlineStr">
        <is>
          <t>ZFE3</t>
        </is>
      </c>
      <c r="C1164" t="inlineStr">
        <is>
          <t>1000</t>
        </is>
      </c>
      <c r="D1164" t="inlineStr">
        <is>
          <t>M3</t>
        </is>
      </c>
      <c r="E1164" t="n">
        <v>1000</v>
      </c>
      <c r="F1164" t="inlineStr">
        <is>
          <t>TN</t>
        </is>
      </c>
      <c r="G1164" t="n">
        <v>1470</v>
      </c>
      <c r="H1164" t="inlineStr">
        <is>
          <t>GRAVA 1/2" ALBANIA UNE</t>
        </is>
      </c>
    </row>
    <row r="1165">
      <c r="A1165" t="n">
        <v>10151596</v>
      </c>
      <c r="B1165" t="inlineStr">
        <is>
          <t>ZFE3</t>
        </is>
      </c>
      <c r="C1165" t="inlineStr">
        <is>
          <t>1000</t>
        </is>
      </c>
      <c r="D1165" t="inlineStr">
        <is>
          <t>M3</t>
        </is>
      </c>
      <c r="E1165" t="n">
        <v>1000</v>
      </c>
      <c r="F1165" t="inlineStr">
        <is>
          <t>TN</t>
        </is>
      </c>
      <c r="G1165" t="n">
        <v>1510</v>
      </c>
      <c r="H1165" t="inlineStr">
        <is>
          <t>SUB BASE - MATERIAL SELECTO (3" - 0) BI</t>
        </is>
      </c>
    </row>
    <row r="1166">
      <c r="A1166" t="n">
        <v>10151600</v>
      </c>
      <c r="B1166" t="inlineStr">
        <is>
          <t>ZFE3</t>
        </is>
      </c>
      <c r="C1166" t="inlineStr">
        <is>
          <t>1000</t>
        </is>
      </c>
      <c r="D1166" t="inlineStr">
        <is>
          <t>M3</t>
        </is>
      </c>
      <c r="E1166" t="n">
        <v>1000</v>
      </c>
      <c r="F1166" t="inlineStr">
        <is>
          <t>TN</t>
        </is>
      </c>
      <c r="G1166" t="n">
        <v>1398</v>
      </c>
      <c r="H1166" t="inlineStr">
        <is>
          <t>GRAVA TRITURADA CALIZA 40 MM - 1 1/2"</t>
        </is>
      </c>
    </row>
    <row r="1167">
      <c r="A1167" t="n">
        <v>10151604</v>
      </c>
      <c r="B1167" t="inlineStr">
        <is>
          <t>ZFE3</t>
        </is>
      </c>
      <c r="C1167" t="inlineStr">
        <is>
          <t>1000</t>
        </is>
      </c>
      <c r="D1167" t="inlineStr">
        <is>
          <t>M3</t>
        </is>
      </c>
      <c r="E1167" t="n">
        <v>1000</v>
      </c>
      <c r="F1167" t="inlineStr">
        <is>
          <t>TN</t>
        </is>
      </c>
      <c r="G1167" t="n">
        <v>1517</v>
      </c>
      <c r="H1167" t="inlineStr">
        <is>
          <t>GRAVA TRITURADA CALIZA 20 MM - 3/4"</t>
        </is>
      </c>
    </row>
    <row r="1168">
      <c r="A1168" t="n">
        <v>10151605</v>
      </c>
      <c r="B1168" t="inlineStr">
        <is>
          <t>ZFE3</t>
        </is>
      </c>
      <c r="C1168" t="inlineStr">
        <is>
          <t>1000</t>
        </is>
      </c>
      <c r="D1168" t="inlineStr">
        <is>
          <t>M3</t>
        </is>
      </c>
      <c r="E1168" t="n">
        <v>1000</v>
      </c>
      <c r="F1168" t="inlineStr">
        <is>
          <t>TN</t>
        </is>
      </c>
      <c r="G1168" t="n">
        <v>1389</v>
      </c>
      <c r="H1168" t="inlineStr">
        <is>
          <t>GRAVA TRITURADA CALIZA 10 MM - 3/8"</t>
        </is>
      </c>
    </row>
    <row r="1169">
      <c r="A1169" t="n">
        <v>10152582</v>
      </c>
      <c r="B1169" t="inlineStr">
        <is>
          <t>ZFE3</t>
        </is>
      </c>
      <c r="C1169" t="inlineStr">
        <is>
          <t>1000</t>
        </is>
      </c>
      <c r="D1169" t="inlineStr">
        <is>
          <t>M3</t>
        </is>
      </c>
      <c r="E1169" t="n">
        <v>1000</v>
      </c>
      <c r="F1169" t="inlineStr">
        <is>
          <t>TN</t>
        </is>
      </c>
      <c r="G1169" t="n">
        <v>1610</v>
      </c>
      <c r="H1169" t="inlineStr">
        <is>
          <t>ARENA 4BLOCK MEZCLA ESP</t>
        </is>
      </c>
    </row>
    <row r="1170">
      <c r="A1170" t="n">
        <v>10152583</v>
      </c>
      <c r="B1170" t="inlineStr">
        <is>
          <t>ZFE3</t>
        </is>
      </c>
      <c r="C1170" t="inlineStr">
        <is>
          <t>1000</t>
        </is>
      </c>
      <c r="D1170" t="inlineStr">
        <is>
          <t>M3</t>
        </is>
      </c>
      <c r="E1170" t="n">
        <v>1000</v>
      </c>
      <c r="F1170" t="inlineStr">
        <is>
          <t>TN</t>
        </is>
      </c>
      <c r="G1170" t="n">
        <v>1419</v>
      </c>
      <c r="H1170" t="inlineStr">
        <is>
          <t>ARENA TRITURADA ANDESITA MALLA 4</t>
        </is>
      </c>
    </row>
    <row r="1171">
      <c r="A1171" t="n">
        <v>10152920</v>
      </c>
      <c r="B1171" t="inlineStr">
        <is>
          <t>ZFE3</t>
        </is>
      </c>
      <c r="C1171" t="inlineStr">
        <is>
          <t>1000</t>
        </is>
      </c>
      <c r="D1171" t="inlineStr">
        <is>
          <t>M3</t>
        </is>
      </c>
      <c r="E1171" t="n">
        <v>1000</v>
      </c>
      <c r="F1171" t="inlineStr">
        <is>
          <t>TN</t>
        </is>
      </c>
      <c r="G1171" t="n">
        <v>1615</v>
      </c>
      <c r="H1171" t="inlineStr">
        <is>
          <t>POLVO TRITURADO GRANITO</t>
        </is>
      </c>
    </row>
    <row r="1172">
      <c r="A1172" t="n">
        <v>10152922</v>
      </c>
      <c r="B1172" t="inlineStr">
        <is>
          <t>ZFE3</t>
        </is>
      </c>
      <c r="C1172" t="inlineStr">
        <is>
          <t>1000</t>
        </is>
      </c>
      <c r="D1172" t="inlineStr">
        <is>
          <t>M3</t>
        </is>
      </c>
      <c r="E1172" t="n">
        <v>1000</v>
      </c>
      <c r="F1172" t="inlineStr">
        <is>
          <t>TN</t>
        </is>
      </c>
      <c r="G1172" t="n">
        <v>1507</v>
      </c>
      <c r="H1172" t="inlineStr">
        <is>
          <t>ARENA TRITURADA CALIZA MALLA 4</t>
        </is>
      </c>
    </row>
    <row r="1173">
      <c r="A1173" t="n">
        <v>10152927</v>
      </c>
      <c r="B1173" t="inlineStr">
        <is>
          <t>ZFE3</t>
        </is>
      </c>
      <c r="C1173" t="inlineStr">
        <is>
          <t>1000</t>
        </is>
      </c>
      <c r="D1173" t="inlineStr">
        <is>
          <t>M3</t>
        </is>
      </c>
      <c r="E1173" t="n">
        <v>1000</v>
      </c>
      <c r="F1173" t="inlineStr">
        <is>
          <t>TN</t>
        </is>
      </c>
      <c r="G1173" t="n">
        <v>713</v>
      </c>
      <c r="H1173" t="inlineStr">
        <is>
          <t>GRAVA TRITURADA TEPOJAL 13 MM - 1/2"</t>
        </is>
      </c>
    </row>
    <row r="1174">
      <c r="A1174" t="n">
        <v>10153031</v>
      </c>
      <c r="B1174" t="inlineStr">
        <is>
          <t>ZFE3</t>
        </is>
      </c>
      <c r="C1174" t="inlineStr">
        <is>
          <t>1000</t>
        </is>
      </c>
      <c r="D1174" t="inlineStr">
        <is>
          <t>M3</t>
        </is>
      </c>
      <c r="E1174" t="n">
        <v>1000</v>
      </c>
      <c r="F1174" t="inlineStr">
        <is>
          <t>TN</t>
        </is>
      </c>
      <c r="G1174" t="n">
        <v>1507</v>
      </c>
      <c r="H1174" t="inlineStr">
        <is>
          <t>CRUDO TRITURADA CALIZA</t>
        </is>
      </c>
    </row>
    <row r="1175">
      <c r="A1175" t="n">
        <v>10153312</v>
      </c>
      <c r="B1175" t="inlineStr">
        <is>
          <t>ZFE3</t>
        </is>
      </c>
      <c r="C1175" t="inlineStr">
        <is>
          <t>1000</t>
        </is>
      </c>
      <c r="D1175" t="inlineStr">
        <is>
          <t>M3</t>
        </is>
      </c>
      <c r="E1175" t="n">
        <v>1000</v>
      </c>
      <c r="F1175" t="inlineStr">
        <is>
          <t>TN</t>
        </is>
      </c>
      <c r="G1175" t="n">
        <v>2100</v>
      </c>
      <c r="H1175" t="inlineStr">
        <is>
          <t>GRAVA TRITURADA ANDESITA DE 11/2# A ¼#</t>
        </is>
      </c>
    </row>
    <row r="1176">
      <c r="A1176" t="n">
        <v>10153331</v>
      </c>
      <c r="B1176" t="inlineStr">
        <is>
          <t>ZFE3</t>
        </is>
      </c>
      <c r="C1176" t="inlineStr">
        <is>
          <t>1000</t>
        </is>
      </c>
      <c r="D1176" t="inlineStr">
        <is>
          <t>M3</t>
        </is>
      </c>
      <c r="E1176" t="n">
        <v>1000</v>
      </c>
      <c r="F1176" t="inlineStr">
        <is>
          <t>TN</t>
        </is>
      </c>
      <c r="G1176" t="n">
        <v>1800</v>
      </c>
      <c r="H1176" t="inlineStr">
        <is>
          <t>CALIZA EXTRACCIÓN CEMENTO</t>
        </is>
      </c>
    </row>
    <row r="1177">
      <c r="A1177" t="n">
        <v>10153332</v>
      </c>
      <c r="B1177" t="inlineStr">
        <is>
          <t>ZFE3</t>
        </is>
      </c>
      <c r="C1177" t="inlineStr">
        <is>
          <t>1000</t>
        </is>
      </c>
      <c r="D1177" t="inlineStr">
        <is>
          <t>M3</t>
        </is>
      </c>
      <c r="E1177" t="n">
        <v>1000</v>
      </c>
      <c r="F1177" t="inlineStr">
        <is>
          <t>TN</t>
        </is>
      </c>
      <c r="G1177" t="n">
        <v>1500</v>
      </c>
      <c r="H1177" t="inlineStr">
        <is>
          <t>GRAVA TRITURADA BASALTO 40 MM - 1 1/2"</t>
        </is>
      </c>
    </row>
    <row r="1178">
      <c r="A1178" t="n">
        <v>10153352</v>
      </c>
      <c r="B1178" t="inlineStr">
        <is>
          <t>ZFE3</t>
        </is>
      </c>
      <c r="C1178" t="inlineStr">
        <is>
          <t>1000</t>
        </is>
      </c>
      <c r="D1178" t="inlineStr">
        <is>
          <t>M3</t>
        </is>
      </c>
      <c r="E1178" t="n">
        <v>1000</v>
      </c>
      <c r="F1178" t="inlineStr">
        <is>
          <t>TN</t>
        </is>
      </c>
      <c r="G1178" t="n">
        <v>1500</v>
      </c>
      <c r="H1178" t="inlineStr">
        <is>
          <t>GRAVA TRITURADA CALIZA 2" - 4"</t>
        </is>
      </c>
    </row>
    <row r="1179">
      <c r="A1179" t="n">
        <v>10153353</v>
      </c>
      <c r="B1179" t="inlineStr">
        <is>
          <t>ZFE3</t>
        </is>
      </c>
      <c r="C1179" t="inlineStr">
        <is>
          <t>1000</t>
        </is>
      </c>
      <c r="D1179" t="inlineStr">
        <is>
          <t>M3</t>
        </is>
      </c>
      <c r="E1179" t="n">
        <v>1000</v>
      </c>
      <c r="F1179" t="inlineStr">
        <is>
          <t>TN</t>
        </is>
      </c>
      <c r="G1179" t="n">
        <v>1192</v>
      </c>
      <c r="H1179" t="inlineStr">
        <is>
          <t>GRAVA TRITURADA CALIZA 40 MM - 11/2"</t>
        </is>
      </c>
    </row>
    <row r="1180">
      <c r="A1180" t="n">
        <v>10153668</v>
      </c>
      <c r="B1180" t="inlineStr">
        <is>
          <t>ZFE3</t>
        </is>
      </c>
      <c r="C1180" t="inlineStr">
        <is>
          <t>1000</t>
        </is>
      </c>
      <c r="D1180" t="inlineStr">
        <is>
          <t>M3</t>
        </is>
      </c>
      <c r="E1180" t="n">
        <v>1000</v>
      </c>
      <c r="F1180" t="inlineStr">
        <is>
          <t>TN</t>
        </is>
      </c>
      <c r="G1180" t="n">
        <v>1235</v>
      </c>
      <c r="H1180" t="inlineStr">
        <is>
          <t>GRAVON DE 4" A 2"</t>
        </is>
      </c>
    </row>
    <row r="1181">
      <c r="A1181" t="n">
        <v>10153884</v>
      </c>
      <c r="B1181" t="inlineStr">
        <is>
          <t>ZFE3</t>
        </is>
      </c>
      <c r="C1181" t="inlineStr">
        <is>
          <t>1000</t>
        </is>
      </c>
      <c r="D1181" t="inlineStr">
        <is>
          <t>M3</t>
        </is>
      </c>
      <c r="E1181" t="n">
        <v>1000</v>
      </c>
      <c r="F1181" t="inlineStr">
        <is>
          <t>TN</t>
        </is>
      </c>
      <c r="G1181" t="n">
        <v>1471</v>
      </c>
      <c r="H1181" t="inlineStr">
        <is>
          <t>ARENA BASALTO No. 4 GLOBAL</t>
        </is>
      </c>
    </row>
    <row r="1182">
      <c r="A1182" t="n">
        <v>10154098</v>
      </c>
      <c r="B1182" t="inlineStr">
        <is>
          <t>ZFE3</t>
        </is>
      </c>
      <c r="C1182" t="inlineStr">
        <is>
          <t>1000</t>
        </is>
      </c>
      <c r="D1182" t="inlineStr">
        <is>
          <t>M3</t>
        </is>
      </c>
      <c r="E1182" t="n">
        <v>1000</v>
      </c>
      <c r="F1182" t="inlineStr">
        <is>
          <t>TN</t>
        </is>
      </c>
      <c r="G1182" t="n">
        <v>1660</v>
      </c>
      <c r="H1182" t="inlineStr">
        <is>
          <t>GRAVA TRITURADA ANDESITA 2"</t>
        </is>
      </c>
    </row>
    <row r="1183">
      <c r="A1183" t="n">
        <v>10154142</v>
      </c>
      <c r="B1183" t="inlineStr">
        <is>
          <t>ZFER</t>
        </is>
      </c>
      <c r="C1183" t="inlineStr">
        <is>
          <t>1000</t>
        </is>
      </c>
      <c r="D1183" t="inlineStr">
        <is>
          <t>M3</t>
        </is>
      </c>
      <c r="E1183" t="n">
        <v>1000</v>
      </c>
      <c r="F1183" t="inlineStr">
        <is>
          <t>TN</t>
        </is>
      </c>
      <c r="G1183" t="n">
        <v>1398</v>
      </c>
      <c r="H1183" t="inlineStr">
        <is>
          <t>GRAVA BASALTO 20 MM (3/4") GLOBAL</t>
        </is>
      </c>
    </row>
    <row r="1184">
      <c r="A1184" t="n">
        <v>10154187</v>
      </c>
      <c r="B1184" t="inlineStr">
        <is>
          <t>ZFE3</t>
        </is>
      </c>
      <c r="C1184" t="inlineStr">
        <is>
          <t>1000</t>
        </is>
      </c>
      <c r="D1184" t="inlineStr">
        <is>
          <t>M3</t>
        </is>
      </c>
      <c r="E1184" t="n">
        <v>1000</v>
      </c>
      <c r="F1184" t="inlineStr">
        <is>
          <t>TN</t>
        </is>
      </c>
      <c r="G1184" t="n">
        <v>1750</v>
      </c>
      <c r="H1184" t="inlineStr">
        <is>
          <t>GRAVA TRITURADA BASALTO 5/8" A FINOS</t>
        </is>
      </c>
    </row>
    <row r="1185">
      <c r="A1185" t="n">
        <v>10154410</v>
      </c>
      <c r="B1185" t="inlineStr">
        <is>
          <t>ZFE3</t>
        </is>
      </c>
      <c r="C1185" t="inlineStr">
        <is>
          <t>1000</t>
        </is>
      </c>
      <c r="D1185" t="inlineStr">
        <is>
          <t>M3</t>
        </is>
      </c>
      <c r="E1185" t="n">
        <v>1000</v>
      </c>
      <c r="F1185" t="inlineStr">
        <is>
          <t>TN</t>
        </is>
      </c>
      <c r="G1185" t="n">
        <v>1400</v>
      </c>
      <c r="H1185" t="inlineStr">
        <is>
          <t>ARENA CRIBADA ANDESITA MALLA 4</t>
        </is>
      </c>
    </row>
    <row r="1186">
      <c r="A1186" t="n">
        <v>10154415</v>
      </c>
      <c r="B1186" t="inlineStr">
        <is>
          <t>ZFE3</t>
        </is>
      </c>
      <c r="C1186" t="inlineStr">
        <is>
          <t>1000</t>
        </is>
      </c>
      <c r="D1186" t="inlineStr">
        <is>
          <t>M3</t>
        </is>
      </c>
      <c r="E1186" t="n">
        <v>1000</v>
      </c>
      <c r="F1186" t="inlineStr">
        <is>
          <t>TN</t>
        </is>
      </c>
      <c r="G1186" t="n">
        <v>1452</v>
      </c>
      <c r="H1186" t="inlineStr">
        <is>
          <t>GRAVA CLASIFICADA RÍO 20 MM - 3/4"</t>
        </is>
      </c>
    </row>
    <row r="1187">
      <c r="A1187" t="n">
        <v>10154416</v>
      </c>
      <c r="B1187" t="inlineStr">
        <is>
          <t>ZFE3</t>
        </is>
      </c>
      <c r="C1187" t="inlineStr">
        <is>
          <t>1000</t>
        </is>
      </c>
      <c r="D1187" t="inlineStr">
        <is>
          <t>M3</t>
        </is>
      </c>
      <c r="E1187" t="n">
        <v>1000</v>
      </c>
      <c r="F1187" t="inlineStr">
        <is>
          <t>TN</t>
        </is>
      </c>
      <c r="G1187" t="n">
        <v>1300</v>
      </c>
      <c r="H1187" t="inlineStr">
        <is>
          <t>GRAVA TEZONTLE DE 1 ½ A 2#</t>
        </is>
      </c>
    </row>
    <row r="1188">
      <c r="A1188" t="n">
        <v>10154700</v>
      </c>
      <c r="B1188" t="inlineStr">
        <is>
          <t>ZFE3</t>
        </is>
      </c>
      <c r="C1188" t="inlineStr">
        <is>
          <t>1000</t>
        </is>
      </c>
      <c r="D1188" t="inlineStr">
        <is>
          <t>M3</t>
        </is>
      </c>
      <c r="E1188" t="n">
        <v>1000</v>
      </c>
      <c r="F1188" t="inlineStr">
        <is>
          <t>TN</t>
        </is>
      </c>
      <c r="G1188" t="n">
        <v>1385</v>
      </c>
      <c r="H1188" t="inlineStr">
        <is>
          <t>ARENA CRIBADA VOLCANICA MALLA 4</t>
        </is>
      </c>
    </row>
    <row r="1189">
      <c r="A1189" t="n">
        <v>10154701</v>
      </c>
      <c r="B1189" t="inlineStr">
        <is>
          <t>ZFE3</t>
        </is>
      </c>
      <c r="C1189" t="inlineStr">
        <is>
          <t>1000</t>
        </is>
      </c>
      <c r="D1189" t="inlineStr">
        <is>
          <t>M3</t>
        </is>
      </c>
      <c r="E1189" t="n">
        <v>1000</v>
      </c>
      <c r="F1189" t="inlineStr">
        <is>
          <t>TN</t>
        </is>
      </c>
      <c r="G1189" t="n">
        <v>1820</v>
      </c>
      <c r="H1189" t="inlineStr">
        <is>
          <t>BASE H TRIT CALIZA CEM 3% 1 1/2" A FINOS</t>
        </is>
      </c>
    </row>
    <row r="1190">
      <c r="A1190" t="n">
        <v>10155398</v>
      </c>
      <c r="B1190" t="inlineStr">
        <is>
          <t>ZFE3</t>
        </is>
      </c>
      <c r="C1190" t="inlineStr">
        <is>
          <t>1000</t>
        </is>
      </c>
      <c r="D1190" t="inlineStr">
        <is>
          <t>M3</t>
        </is>
      </c>
      <c r="E1190" t="n">
        <v>1000</v>
      </c>
      <c r="F1190" t="inlineStr">
        <is>
          <t>TN</t>
        </is>
      </c>
      <c r="G1190" t="n">
        <v>1285</v>
      </c>
      <c r="H1190" t="inlineStr">
        <is>
          <t>GRAVA TRITURADA BASALTO 40 MM - 1 1/2"</t>
        </is>
      </c>
    </row>
    <row r="1191">
      <c r="A1191" t="n">
        <v>10155483</v>
      </c>
      <c r="B1191" t="inlineStr">
        <is>
          <t>ZFE3</t>
        </is>
      </c>
      <c r="C1191" t="inlineStr">
        <is>
          <t>1000</t>
        </is>
      </c>
      <c r="D1191" t="inlineStr">
        <is>
          <t>M3</t>
        </is>
      </c>
      <c r="E1191" t="n">
        <v>1000</v>
      </c>
      <c r="F1191" t="inlineStr">
        <is>
          <t>TN</t>
        </is>
      </c>
      <c r="G1191" t="n">
        <v>1600</v>
      </c>
      <c r="H1191" t="inlineStr">
        <is>
          <t>BALASTRO TRITURADO BASALTO</t>
        </is>
      </c>
    </row>
    <row r="1192">
      <c r="A1192" t="n">
        <v>10155487</v>
      </c>
      <c r="B1192" t="inlineStr">
        <is>
          <t>ZFE3</t>
        </is>
      </c>
      <c r="C1192" t="inlineStr">
        <is>
          <t>1000</t>
        </is>
      </c>
      <c r="D1192" t="inlineStr">
        <is>
          <t>M3</t>
        </is>
      </c>
      <c r="E1192" t="n">
        <v>1000</v>
      </c>
      <c r="F1192" t="inlineStr">
        <is>
          <t>TN</t>
        </is>
      </c>
      <c r="G1192" t="n">
        <v>1530</v>
      </c>
      <c r="H1192" t="inlineStr">
        <is>
          <t>GRAVA BASALTO 8" CONTROLADO A FINOS</t>
        </is>
      </c>
    </row>
    <row r="1193">
      <c r="A1193" t="n">
        <v>10155967</v>
      </c>
      <c r="B1193" t="inlineStr">
        <is>
          <t>ZFE3</t>
        </is>
      </c>
      <c r="C1193" t="inlineStr">
        <is>
          <t>1000</t>
        </is>
      </c>
      <c r="D1193" t="inlineStr">
        <is>
          <t>M3</t>
        </is>
      </c>
      <c r="E1193" t="n">
        <v>1000</v>
      </c>
      <c r="F1193" t="inlineStr">
        <is>
          <t>TN</t>
        </is>
      </c>
      <c r="G1193" t="n">
        <v>1500</v>
      </c>
      <c r="H1193" t="inlineStr">
        <is>
          <t>ARENA TRITURADA ANDESITA MALLA 8 T</t>
        </is>
      </c>
    </row>
    <row r="1194">
      <c r="A1194" t="n">
        <v>10156061</v>
      </c>
      <c r="B1194" t="inlineStr">
        <is>
          <t>ZFE3</t>
        </is>
      </c>
      <c r="C1194" t="inlineStr">
        <is>
          <t>1000</t>
        </is>
      </c>
      <c r="D1194" t="inlineStr">
        <is>
          <t>M3</t>
        </is>
      </c>
      <c r="E1194" t="n">
        <v>1000</v>
      </c>
      <c r="F1194" t="inlineStr">
        <is>
          <t>TN</t>
        </is>
      </c>
      <c r="G1194" t="n">
        <v>1366</v>
      </c>
      <c r="H1194" t="inlineStr">
        <is>
          <t>GRAVA TRITURADA CALIZA 13 MM - 1/2"</t>
        </is>
      </c>
    </row>
    <row r="1195">
      <c r="A1195" t="n">
        <v>10156312</v>
      </c>
      <c r="B1195" t="inlineStr">
        <is>
          <t>ZFE3</t>
        </is>
      </c>
      <c r="C1195" t="inlineStr">
        <is>
          <t>1000</t>
        </is>
      </c>
      <c r="D1195" t="inlineStr">
        <is>
          <t>M3</t>
        </is>
      </c>
      <c r="E1195" t="n">
        <v>1000</v>
      </c>
      <c r="F1195" t="inlineStr">
        <is>
          <t>TN</t>
        </is>
      </c>
      <c r="G1195" t="n">
        <v>2400</v>
      </c>
      <c r="H1195" t="inlineStr">
        <is>
          <t>GRAVON DE 4"</t>
        </is>
      </c>
    </row>
    <row r="1196">
      <c r="A1196" t="n">
        <v>10156669</v>
      </c>
      <c r="B1196" t="inlineStr">
        <is>
          <t>ZFE3</t>
        </is>
      </c>
      <c r="C1196" t="inlineStr">
        <is>
          <t>1000</t>
        </is>
      </c>
      <c r="D1196" t="inlineStr">
        <is>
          <t>M3</t>
        </is>
      </c>
      <c r="E1196" t="n">
        <v>1000</v>
      </c>
      <c r="F1196" t="inlineStr">
        <is>
          <t>TN</t>
        </is>
      </c>
      <c r="G1196" t="n">
        <v>1400</v>
      </c>
      <c r="H1196" t="inlineStr">
        <is>
          <t>ARENA TRITURADA RIO MALLA 4</t>
        </is>
      </c>
    </row>
    <row r="1197">
      <c r="A1197" t="n">
        <v>10156739</v>
      </c>
      <c r="B1197" t="inlineStr">
        <is>
          <t>ZFE3</t>
        </is>
      </c>
      <c r="C1197" t="inlineStr">
        <is>
          <t>1000</t>
        </is>
      </c>
      <c r="D1197" t="inlineStr">
        <is>
          <t>M3</t>
        </is>
      </c>
      <c r="E1197" t="n">
        <v>1000</v>
      </c>
      <c r="F1197" t="inlineStr">
        <is>
          <t>TN</t>
        </is>
      </c>
      <c r="G1197" t="n">
        <v>1560</v>
      </c>
      <c r="H1197" t="inlineStr">
        <is>
          <t>ARENA CLASIFICADA BASALTO MALLA 4</t>
        </is>
      </c>
    </row>
    <row r="1198">
      <c r="A1198" t="n">
        <v>10157231</v>
      </c>
      <c r="B1198" t="inlineStr">
        <is>
          <t>ZFE3</t>
        </is>
      </c>
      <c r="C1198" t="inlineStr">
        <is>
          <t>1000</t>
        </is>
      </c>
      <c r="D1198" t="inlineStr">
        <is>
          <t>M3</t>
        </is>
      </c>
      <c r="E1198" t="n">
        <v>1000</v>
      </c>
      <c r="F1198" t="inlineStr">
        <is>
          <t>TN</t>
        </is>
      </c>
      <c r="G1198" t="n">
        <v>1600</v>
      </c>
      <c r="H1198" t="inlineStr">
        <is>
          <t>SUB-BASE TRITURADA BASALTO 1 1/2 A FINOS</t>
        </is>
      </c>
    </row>
    <row r="1199">
      <c r="A1199" t="n">
        <v>10157400</v>
      </c>
      <c r="B1199" t="inlineStr">
        <is>
          <t>ZFE3</t>
        </is>
      </c>
      <c r="C1199" t="inlineStr">
        <is>
          <t>1000</t>
        </is>
      </c>
      <c r="D1199" t="inlineStr">
        <is>
          <t>M3</t>
        </is>
      </c>
      <c r="E1199" t="n">
        <v>1000</v>
      </c>
      <c r="F1199" t="inlineStr">
        <is>
          <t>TN</t>
        </is>
      </c>
      <c r="G1199" t="n">
        <v>1350</v>
      </c>
      <c r="H1199" t="inlineStr">
        <is>
          <t>GRAVA TRITURADA RIO 40 MM - 1 1/2"</t>
        </is>
      </c>
    </row>
    <row r="1200">
      <c r="A1200" t="n">
        <v>10157518</v>
      </c>
      <c r="B1200" t="inlineStr">
        <is>
          <t>ZFE3</t>
        </is>
      </c>
      <c r="C1200" t="inlineStr">
        <is>
          <t>1000</t>
        </is>
      </c>
      <c r="D1200" t="inlineStr">
        <is>
          <t>M3</t>
        </is>
      </c>
      <c r="E1200" t="n">
        <v>1000</v>
      </c>
      <c r="F1200" t="inlineStr">
        <is>
          <t>TN</t>
        </is>
      </c>
      <c r="G1200" t="n">
        <v>1438</v>
      </c>
      <c r="H1200" t="inlineStr">
        <is>
          <t>ARENA DE BASALTO LAVADA BI CO.</t>
        </is>
      </c>
    </row>
    <row r="1201">
      <c r="A1201" t="n">
        <v>10157562</v>
      </c>
      <c r="B1201" t="inlineStr">
        <is>
          <t>ZFE3</t>
        </is>
      </c>
      <c r="C1201" t="inlineStr">
        <is>
          <t>1000</t>
        </is>
      </c>
      <c r="D1201" t="inlineStr">
        <is>
          <t>M3</t>
        </is>
      </c>
      <c r="E1201" t="n">
        <v>1000</v>
      </c>
      <c r="F1201" t="inlineStr">
        <is>
          <t>TN</t>
        </is>
      </c>
      <c r="G1201" t="n">
        <v>1285</v>
      </c>
      <c r="H1201" t="inlineStr">
        <is>
          <t>GRAVA TRITURADA RIO 40 MM - 1 1/2"</t>
        </is>
      </c>
    </row>
    <row r="1202">
      <c r="A1202" t="n">
        <v>10159061</v>
      </c>
      <c r="B1202" t="inlineStr">
        <is>
          <t>ZFE3</t>
        </is>
      </c>
      <c r="C1202" t="inlineStr">
        <is>
          <t>1000</t>
        </is>
      </c>
      <c r="D1202" t="inlineStr">
        <is>
          <t>M3</t>
        </is>
      </c>
      <c r="E1202" t="n">
        <v>1000</v>
      </c>
      <c r="F1202" t="inlineStr">
        <is>
          <t>TN</t>
        </is>
      </c>
      <c r="G1202" t="n">
        <v>1600</v>
      </c>
      <c r="H1202" t="inlineStr">
        <is>
          <t>SUB-BALASTO TRITURADO BASALTO</t>
        </is>
      </c>
    </row>
    <row r="1203">
      <c r="A1203" t="n">
        <v>10159126</v>
      </c>
      <c r="B1203" t="inlineStr">
        <is>
          <t>ZFE3</t>
        </is>
      </c>
      <c r="C1203" t="inlineStr">
        <is>
          <t>1000</t>
        </is>
      </c>
      <c r="D1203" t="inlineStr">
        <is>
          <t>M3</t>
        </is>
      </c>
      <c r="E1203" t="n">
        <v>1000</v>
      </c>
      <c r="F1203" t="inlineStr">
        <is>
          <t>TN</t>
        </is>
      </c>
      <c r="G1203" t="n">
        <v>1330</v>
      </c>
      <c r="H1203" t="inlineStr">
        <is>
          <t>GRAVA TRITURADA BASALTO 40 MM - 1 1/2"</t>
        </is>
      </c>
    </row>
    <row r="1204">
      <c r="A1204" t="n">
        <v>10159180</v>
      </c>
      <c r="B1204" t="inlineStr">
        <is>
          <t>ZFE3</t>
        </is>
      </c>
      <c r="C1204" t="inlineStr">
        <is>
          <t>1000</t>
        </is>
      </c>
      <c r="D1204" t="inlineStr">
        <is>
          <t>M3</t>
        </is>
      </c>
      <c r="E1204" t="n">
        <v>1000</v>
      </c>
      <c r="F1204" t="inlineStr">
        <is>
          <t>TN</t>
        </is>
      </c>
      <c r="G1204" t="n">
        <v>1352</v>
      </c>
      <c r="H1204" t="inlineStr">
        <is>
          <t>ARENA TRITURADA BASALTO MALLA 4</t>
        </is>
      </c>
    </row>
    <row r="1205">
      <c r="A1205" t="n">
        <v>10159181</v>
      </c>
      <c r="B1205" t="inlineStr">
        <is>
          <t>ZFE3</t>
        </is>
      </c>
      <c r="C1205" t="inlineStr">
        <is>
          <t>1000</t>
        </is>
      </c>
      <c r="D1205" t="inlineStr">
        <is>
          <t>M3</t>
        </is>
      </c>
      <c r="E1205" t="n">
        <v>1000</v>
      </c>
      <c r="F1205" t="inlineStr">
        <is>
          <t>TN</t>
        </is>
      </c>
      <c r="G1205" t="n">
        <v>1303</v>
      </c>
      <c r="H1205" t="inlineStr">
        <is>
          <t>GRAVA TRITURADA BASALTO 20 MM - 3/4"</t>
        </is>
      </c>
    </row>
    <row r="1206">
      <c r="A1206" t="n">
        <v>10159236</v>
      </c>
      <c r="B1206" t="inlineStr">
        <is>
          <t>ZFE3</t>
        </is>
      </c>
      <c r="C1206" t="inlineStr">
        <is>
          <t>1000</t>
        </is>
      </c>
      <c r="D1206" t="inlineStr">
        <is>
          <t>M3</t>
        </is>
      </c>
      <c r="E1206" t="n">
        <v>1000</v>
      </c>
      <c r="F1206" t="inlineStr">
        <is>
          <t>TN</t>
        </is>
      </c>
      <c r="G1206" t="n">
        <v>1530</v>
      </c>
      <c r="H1206" t="inlineStr">
        <is>
          <t>GRAVA GRANITO 10 MM (3/8")</t>
        </is>
      </c>
    </row>
    <row r="1207">
      <c r="A1207" t="n">
        <v>10159238</v>
      </c>
      <c r="B1207" t="inlineStr">
        <is>
          <t>ZFE3</t>
        </is>
      </c>
      <c r="C1207" t="inlineStr">
        <is>
          <t>1000</t>
        </is>
      </c>
      <c r="D1207" t="inlineStr">
        <is>
          <t>M3</t>
        </is>
      </c>
      <c r="E1207" t="n">
        <v>1000</v>
      </c>
      <c r="F1207" t="inlineStr">
        <is>
          <t>TN</t>
        </is>
      </c>
      <c r="G1207" t="n">
        <v>1408</v>
      </c>
      <c r="H1207" t="inlineStr">
        <is>
          <t>GRAVA TRITURADA GRANITO 20 MM - 3/4"</t>
        </is>
      </c>
    </row>
    <row r="1208">
      <c r="A1208" t="n">
        <v>10159431</v>
      </c>
      <c r="B1208" t="inlineStr">
        <is>
          <t>ZFE3</t>
        </is>
      </c>
      <c r="C1208" t="inlineStr">
        <is>
          <t>1000</t>
        </is>
      </c>
      <c r="D1208" t="inlineStr">
        <is>
          <t>M3</t>
        </is>
      </c>
      <c r="E1208" t="n">
        <v>1000</v>
      </c>
      <c r="F1208" t="inlineStr">
        <is>
          <t>TN</t>
        </is>
      </c>
      <c r="G1208" t="n">
        <v>1372</v>
      </c>
      <c r="H1208" t="inlineStr">
        <is>
          <t>GRAVA TRITURADA BASALTO 40 MM - 1 1/2"</t>
        </is>
      </c>
    </row>
    <row r="1209">
      <c r="A1209" t="n">
        <v>10159432</v>
      </c>
      <c r="B1209" t="inlineStr">
        <is>
          <t>ZFE3</t>
        </is>
      </c>
      <c r="C1209" t="inlineStr">
        <is>
          <t>1000</t>
        </is>
      </c>
      <c r="D1209" t="inlineStr">
        <is>
          <t>M3</t>
        </is>
      </c>
      <c r="E1209" t="n">
        <v>1000</v>
      </c>
      <c r="F1209" t="inlineStr">
        <is>
          <t>TN</t>
        </is>
      </c>
      <c r="G1209" t="n">
        <v>1345</v>
      </c>
      <c r="H1209" t="inlineStr">
        <is>
          <t>GRAVA TRITURADA CALIZA 1"</t>
        </is>
      </c>
    </row>
    <row r="1210">
      <c r="A1210" t="n">
        <v>10159500</v>
      </c>
      <c r="B1210" t="inlineStr">
        <is>
          <t>ZFE3</t>
        </is>
      </c>
      <c r="C1210" t="inlineStr">
        <is>
          <t>1000</t>
        </is>
      </c>
      <c r="D1210" t="inlineStr">
        <is>
          <t>M3</t>
        </is>
      </c>
      <c r="E1210" t="n">
        <v>1000</v>
      </c>
      <c r="F1210" t="inlineStr">
        <is>
          <t>TN</t>
        </is>
      </c>
      <c r="G1210" t="n">
        <v>1303</v>
      </c>
      <c r="H1210" t="inlineStr">
        <is>
          <t>GRAVA TRITURADA BASALTO 20 MM - 3/4"</t>
        </is>
      </c>
    </row>
    <row r="1211">
      <c r="A1211" t="n">
        <v>10159865</v>
      </c>
      <c r="B1211" t="inlineStr">
        <is>
          <t>ZFE3</t>
        </is>
      </c>
      <c r="C1211" t="inlineStr">
        <is>
          <t>1000</t>
        </is>
      </c>
      <c r="D1211" t="inlineStr">
        <is>
          <t>M3</t>
        </is>
      </c>
      <c r="E1211" t="n">
        <v>1000</v>
      </c>
      <c r="F1211" t="inlineStr">
        <is>
          <t>TN</t>
        </is>
      </c>
      <c r="G1211" t="n">
        <v>1290</v>
      </c>
      <c r="H1211" t="inlineStr">
        <is>
          <t>ARENA LAVADA</t>
        </is>
      </c>
    </row>
    <row r="1212">
      <c r="A1212" t="n">
        <v>10160232</v>
      </c>
      <c r="B1212" t="inlineStr">
        <is>
          <t>ZFE3</t>
        </is>
      </c>
      <c r="C1212" t="inlineStr">
        <is>
          <t>1000</t>
        </is>
      </c>
      <c r="D1212" t="inlineStr">
        <is>
          <t>M3</t>
        </is>
      </c>
      <c r="E1212" t="n">
        <v>1000</v>
      </c>
      <c r="F1212" t="inlineStr">
        <is>
          <t>TN</t>
        </is>
      </c>
      <c r="G1212" t="n">
        <v>1500</v>
      </c>
      <c r="H1212" t="inlineStr">
        <is>
          <t>ARENA SILICA GRANUSIL 5025 SS</t>
        </is>
      </c>
    </row>
    <row r="1213">
      <c r="A1213" t="n">
        <v>10160627</v>
      </c>
      <c r="B1213" t="inlineStr">
        <is>
          <t>ZFE3</t>
        </is>
      </c>
      <c r="C1213" t="inlineStr">
        <is>
          <t>1000</t>
        </is>
      </c>
      <c r="D1213" t="inlineStr">
        <is>
          <t>M3</t>
        </is>
      </c>
      <c r="E1213" t="n">
        <v>1000</v>
      </c>
      <c r="F1213" t="inlineStr">
        <is>
          <t>TN</t>
        </is>
      </c>
      <c r="G1213" t="n">
        <v>650</v>
      </c>
      <c r="H1213" t="inlineStr">
        <is>
          <t>GRAVA TRITURADA POMEZ - JAL 20 MM - 3/4"</t>
        </is>
      </c>
    </row>
    <row r="1214">
      <c r="A1214" t="n">
        <v>10160891</v>
      </c>
      <c r="B1214" t="inlineStr">
        <is>
          <t>ZFE3</t>
        </is>
      </c>
      <c r="C1214" t="inlineStr">
        <is>
          <t>1000</t>
        </is>
      </c>
      <c r="D1214" t="inlineStr">
        <is>
          <t>M3</t>
        </is>
      </c>
      <c r="E1214" t="n">
        <v>1000</v>
      </c>
      <c r="F1214" t="inlineStr">
        <is>
          <t>TN</t>
        </is>
      </c>
      <c r="G1214" t="n">
        <v>1373</v>
      </c>
      <c r="H1214" t="inlineStr">
        <is>
          <t>GRAVA TRITURADA BASALTO 20 MM - 3/4"</t>
        </is>
      </c>
    </row>
    <row r="1215">
      <c r="A1215" t="n">
        <v>10161110</v>
      </c>
      <c r="B1215" t="inlineStr">
        <is>
          <t>ZFE3</t>
        </is>
      </c>
      <c r="C1215" t="inlineStr">
        <is>
          <t>1000</t>
        </is>
      </c>
      <c r="D1215" t="inlineStr">
        <is>
          <t>M3</t>
        </is>
      </c>
      <c r="E1215" t="n">
        <v>1000</v>
      </c>
      <c r="F1215" t="inlineStr">
        <is>
          <t>TN</t>
        </is>
      </c>
      <c r="G1215" t="n">
        <v>1000</v>
      </c>
      <c r="H1215" t="inlineStr">
        <is>
          <t>CENIZA ALT TRIT</t>
        </is>
      </c>
    </row>
    <row r="1216">
      <c r="A1216" t="n">
        <v>10161192</v>
      </c>
      <c r="B1216" t="inlineStr">
        <is>
          <t>ZFE3</t>
        </is>
      </c>
      <c r="C1216" t="inlineStr">
        <is>
          <t>1000</t>
        </is>
      </c>
      <c r="D1216" t="inlineStr">
        <is>
          <t>M3</t>
        </is>
      </c>
      <c r="E1216" t="n">
        <v>1000</v>
      </c>
      <c r="F1216" t="inlineStr">
        <is>
          <t>TN</t>
        </is>
      </c>
      <c r="G1216" t="n">
        <v>1295</v>
      </c>
      <c r="H1216" t="inlineStr">
        <is>
          <t>GRAVA TRITURADA CALIZA 10 MM - 3/8"</t>
        </is>
      </c>
    </row>
    <row r="1217">
      <c r="A1217" t="n">
        <v>10161195</v>
      </c>
      <c r="B1217" t="inlineStr">
        <is>
          <t>ZFE3</t>
        </is>
      </c>
      <c r="C1217" t="inlineStr">
        <is>
          <t>1000</t>
        </is>
      </c>
      <c r="D1217" t="inlineStr">
        <is>
          <t>M3</t>
        </is>
      </c>
      <c r="E1217" t="n">
        <v>1000</v>
      </c>
      <c r="F1217" t="inlineStr">
        <is>
          <t>TN</t>
        </is>
      </c>
      <c r="G1217" t="n">
        <v>1376</v>
      </c>
      <c r="H1217" t="inlineStr">
        <is>
          <t>GRAVA TRITURADA RÍO 20 MM - 3/4" -TRIT</t>
        </is>
      </c>
    </row>
    <row r="1218">
      <c r="A1218" t="n">
        <v>10161246</v>
      </c>
      <c r="B1218" t="inlineStr">
        <is>
          <t>ZFE3</t>
        </is>
      </c>
      <c r="C1218" t="inlineStr">
        <is>
          <t>1000</t>
        </is>
      </c>
      <c r="D1218" t="inlineStr">
        <is>
          <t>M3</t>
        </is>
      </c>
      <c r="E1218" t="n">
        <v>1000</v>
      </c>
      <c r="F1218" t="inlineStr">
        <is>
          <t>TN</t>
        </is>
      </c>
      <c r="G1218" t="n">
        <v>1159</v>
      </c>
      <c r="H1218" t="inlineStr">
        <is>
          <t>GRAVA CALIZA 20 MM (3/4")</t>
        </is>
      </c>
    </row>
    <row r="1219">
      <c r="A1219" t="n">
        <v>10161492</v>
      </c>
      <c r="B1219" t="inlineStr">
        <is>
          <t>ZFE3</t>
        </is>
      </c>
      <c r="C1219" t="inlineStr">
        <is>
          <t>1000</t>
        </is>
      </c>
      <c r="D1219" t="inlineStr">
        <is>
          <t>M3</t>
        </is>
      </c>
      <c r="E1219" t="n">
        <v>1000</v>
      </c>
      <c r="F1219" t="inlineStr">
        <is>
          <t>TN</t>
        </is>
      </c>
      <c r="G1219" t="n">
        <v>1578</v>
      </c>
      <c r="H1219" t="inlineStr">
        <is>
          <t>ARENA TRITURADA CALIZA MALLA 4</t>
        </is>
      </c>
    </row>
    <row r="1220">
      <c r="A1220" t="n">
        <v>10161493</v>
      </c>
      <c r="B1220" t="inlineStr">
        <is>
          <t>ZFE3</t>
        </is>
      </c>
      <c r="C1220" t="inlineStr">
        <is>
          <t>1000</t>
        </is>
      </c>
      <c r="D1220" t="inlineStr">
        <is>
          <t>M3</t>
        </is>
      </c>
      <c r="E1220" t="n">
        <v>1000</v>
      </c>
      <c r="F1220" t="inlineStr">
        <is>
          <t>TN</t>
        </is>
      </c>
      <c r="G1220" t="n">
        <v>1186</v>
      </c>
      <c r="H1220" t="inlineStr">
        <is>
          <t>GRAVA TRITURADA CALIZA 13MM - 1/2"</t>
        </is>
      </c>
    </row>
    <row r="1221">
      <c r="A1221" t="n">
        <v>10161837</v>
      </c>
      <c r="B1221" t="inlineStr">
        <is>
          <t>ZFE3</t>
        </is>
      </c>
      <c r="C1221" t="inlineStr">
        <is>
          <t>1000</t>
        </is>
      </c>
      <c r="D1221" t="inlineStr">
        <is>
          <t>M3</t>
        </is>
      </c>
      <c r="E1221" t="n">
        <v>1000</v>
      </c>
      <c r="F1221" t="inlineStr">
        <is>
          <t>TN</t>
        </is>
      </c>
      <c r="G1221" t="n">
        <v>1316</v>
      </c>
      <c r="H1221" t="inlineStr">
        <is>
          <t>GRAVA TRITURADA BASALTO 20 MM - 3/4"</t>
        </is>
      </c>
    </row>
    <row r="1222">
      <c r="A1222" t="n">
        <v>10162469</v>
      </c>
      <c r="B1222" t="inlineStr">
        <is>
          <t>ZFE3</t>
        </is>
      </c>
      <c r="C1222" t="inlineStr">
        <is>
          <t>1000</t>
        </is>
      </c>
      <c r="D1222" t="inlineStr">
        <is>
          <t>M3</t>
        </is>
      </c>
      <c r="E1222" t="n">
        <v>1000</v>
      </c>
      <c r="F1222" t="inlineStr">
        <is>
          <t>TN</t>
        </is>
      </c>
      <c r="G1222" t="n">
        <v>1375</v>
      </c>
      <c r="H1222" t="inlineStr">
        <is>
          <t>GRAVA TRITURADA CALIZA 1/2"</t>
        </is>
      </c>
    </row>
    <row r="1223">
      <c r="A1223" t="n">
        <v>10162770</v>
      </c>
      <c r="B1223" t="inlineStr">
        <is>
          <t>ZFE3</t>
        </is>
      </c>
      <c r="C1223" t="inlineStr">
        <is>
          <t>1000</t>
        </is>
      </c>
      <c r="D1223" t="inlineStr">
        <is>
          <t>M3</t>
        </is>
      </c>
      <c r="E1223" t="n">
        <v>1000</v>
      </c>
      <c r="F1223" t="inlineStr">
        <is>
          <t>TN</t>
        </is>
      </c>
      <c r="G1223" t="n">
        <v>1400</v>
      </c>
      <c r="H1223" t="inlineStr">
        <is>
          <t>ARENA DE RIO MALLA 5</t>
        </is>
      </c>
    </row>
    <row r="1224">
      <c r="A1224" t="n">
        <v>10163117</v>
      </c>
      <c r="B1224" t="inlineStr">
        <is>
          <t>ZFE3</t>
        </is>
      </c>
      <c r="C1224" t="inlineStr">
        <is>
          <t>1000</t>
        </is>
      </c>
      <c r="D1224" t="inlineStr">
        <is>
          <t>M3</t>
        </is>
      </c>
      <c r="E1224" t="n">
        <v>1000</v>
      </c>
      <c r="F1224" t="inlineStr">
        <is>
          <t>TN</t>
        </is>
      </c>
      <c r="G1224" t="n">
        <v>1758</v>
      </c>
      <c r="H1224" t="inlineStr">
        <is>
          <t>ARENA CLASIFICADA RÍO MALLA 4</t>
        </is>
      </c>
    </row>
    <row r="1225">
      <c r="A1225" t="n">
        <v>10163202</v>
      </c>
      <c r="B1225" t="inlineStr">
        <is>
          <t>ZFE3</t>
        </is>
      </c>
      <c r="C1225" t="inlineStr">
        <is>
          <t>1000</t>
        </is>
      </c>
      <c r="D1225" t="inlineStr">
        <is>
          <t>M3</t>
        </is>
      </c>
      <c r="E1225" t="n">
        <v>1000</v>
      </c>
      <c r="F1225" t="inlineStr">
        <is>
          <t>TN</t>
        </is>
      </c>
      <c r="G1225" t="n">
        <v>1310</v>
      </c>
      <c r="H1225" t="inlineStr">
        <is>
          <t>GRAVA TRITURADA BASALTO 20 MM - 3/4"</t>
        </is>
      </c>
    </row>
    <row r="1226">
      <c r="A1226" t="n">
        <v>10163206</v>
      </c>
      <c r="B1226" t="inlineStr">
        <is>
          <t>ZFE3</t>
        </is>
      </c>
      <c r="C1226" t="inlineStr">
        <is>
          <t>1000</t>
        </is>
      </c>
      <c r="D1226" t="inlineStr">
        <is>
          <t>M3</t>
        </is>
      </c>
      <c r="E1226" t="n">
        <v>1000</v>
      </c>
      <c r="F1226" t="inlineStr">
        <is>
          <t>TN</t>
        </is>
      </c>
      <c r="G1226" t="n">
        <v>1446</v>
      </c>
      <c r="H1226" t="inlineStr">
        <is>
          <t>GRAVA TRITURADA BASALTO 20 MM - 3/4"</t>
        </is>
      </c>
    </row>
    <row r="1227">
      <c r="A1227" t="n">
        <v>10163535</v>
      </c>
      <c r="B1227" t="inlineStr">
        <is>
          <t>ZFE3</t>
        </is>
      </c>
      <c r="C1227" t="inlineStr">
        <is>
          <t>1000</t>
        </is>
      </c>
      <c r="D1227" t="inlineStr">
        <is>
          <t>M3</t>
        </is>
      </c>
      <c r="E1227" t="n">
        <v>1000</v>
      </c>
      <c r="F1227" t="inlineStr">
        <is>
          <t>TN</t>
        </is>
      </c>
      <c r="G1227" t="n">
        <v>1456</v>
      </c>
      <c r="H1227" t="inlineStr">
        <is>
          <t>GRAVA CRIBADA ANDESITA 20 MM - 3/4"</t>
        </is>
      </c>
    </row>
    <row r="1228">
      <c r="A1228" t="n">
        <v>10163572</v>
      </c>
      <c r="B1228" t="inlineStr">
        <is>
          <t>ZFE3</t>
        </is>
      </c>
      <c r="C1228" t="inlineStr">
        <is>
          <t>1000</t>
        </is>
      </c>
      <c r="D1228" t="inlineStr">
        <is>
          <t>M3</t>
        </is>
      </c>
      <c r="E1228" t="n">
        <v>100</v>
      </c>
      <c r="F1228" t="inlineStr">
        <is>
          <t>TN</t>
        </is>
      </c>
      <c r="G1228" t="n">
        <v>160</v>
      </c>
      <c r="H1228" t="inlineStr">
        <is>
          <t>SF-5369 ARENA DE RÍO LAVADA (DE 0 MM A 8</t>
        </is>
      </c>
    </row>
    <row r="1229">
      <c r="A1229" t="n">
        <v>10163574</v>
      </c>
      <c r="B1229" t="inlineStr">
        <is>
          <t>ZFE3</t>
        </is>
      </c>
      <c r="C1229" t="inlineStr">
        <is>
          <t>1000</t>
        </is>
      </c>
      <c r="D1229" t="inlineStr">
        <is>
          <t>M3</t>
        </is>
      </c>
      <c r="E1229" t="n">
        <v>100</v>
      </c>
      <c r="F1229" t="inlineStr">
        <is>
          <t>TN</t>
        </is>
      </c>
      <c r="G1229" t="n">
        <v>160</v>
      </c>
      <c r="H1229" t="inlineStr">
        <is>
          <t>SF-5369 ARENA NATURAL 7,9 MM (M.F. 2,30-</t>
        </is>
      </c>
    </row>
    <row r="1230">
      <c r="A1230" t="n">
        <v>10163576</v>
      </c>
      <c r="B1230" t="inlineStr">
        <is>
          <t>ZFE3</t>
        </is>
      </c>
      <c r="C1230" t="inlineStr">
        <is>
          <t>1000</t>
        </is>
      </c>
      <c r="D1230" t="inlineStr">
        <is>
          <t>M3</t>
        </is>
      </c>
      <c r="E1230" t="n">
        <v>100</v>
      </c>
      <c r="F1230" t="inlineStr">
        <is>
          <t>TN</t>
        </is>
      </c>
      <c r="G1230" t="n">
        <v>145</v>
      </c>
      <c r="H1230" t="inlineStr">
        <is>
          <t>SF-5369 PIEDRA CUARTA (MÁXIMO DE 19 MM)</t>
        </is>
      </c>
    </row>
    <row r="1231">
      <c r="A1231" t="n">
        <v>10163577</v>
      </c>
      <c r="B1231" t="inlineStr">
        <is>
          <t>ZFE3</t>
        </is>
      </c>
      <c r="C1231" t="inlineStr">
        <is>
          <t>1000</t>
        </is>
      </c>
      <c r="D1231" t="inlineStr">
        <is>
          <t>M3</t>
        </is>
      </c>
      <c r="E1231" t="n">
        <v>100</v>
      </c>
      <c r="F1231" t="inlineStr">
        <is>
          <t>TN</t>
        </is>
      </c>
      <c r="G1231" t="n">
        <v>145</v>
      </c>
      <c r="H1231" t="inlineStr">
        <is>
          <t>SF-5369 PIEDRA CUARTA 1" (25 MM)</t>
        </is>
      </c>
    </row>
    <row r="1232">
      <c r="A1232" t="n">
        <v>10163579</v>
      </c>
      <c r="B1232" t="inlineStr">
        <is>
          <t>ZFE3</t>
        </is>
      </c>
      <c r="C1232" t="inlineStr">
        <is>
          <t>1000</t>
        </is>
      </c>
      <c r="D1232" t="inlineStr">
        <is>
          <t>M3</t>
        </is>
      </c>
      <c r="E1232" t="n">
        <v>100</v>
      </c>
      <c r="F1232" t="inlineStr">
        <is>
          <t>TN</t>
        </is>
      </c>
      <c r="G1232" t="n">
        <v>145</v>
      </c>
      <c r="H1232" t="inlineStr">
        <is>
          <t>SF-5369 PIEDRA QUINTILLA (MÁXIMO DE 12MM</t>
        </is>
      </c>
    </row>
    <row r="1233">
      <c r="A1233" t="n">
        <v>10163660</v>
      </c>
      <c r="B1233" t="inlineStr">
        <is>
          <t>ZFE3</t>
        </is>
      </c>
      <c r="C1233" t="inlineStr">
        <is>
          <t>1000</t>
        </is>
      </c>
      <c r="D1233" t="inlineStr">
        <is>
          <t>M3</t>
        </is>
      </c>
      <c r="E1233" t="n">
        <v>1000</v>
      </c>
      <c r="F1233" t="inlineStr">
        <is>
          <t>TN</t>
        </is>
      </c>
      <c r="G1233" t="n">
        <v>1593</v>
      </c>
      <c r="H1233" t="inlineStr">
        <is>
          <t>PRODUCTO DE DESPOLVE CALIZA</t>
        </is>
      </c>
    </row>
    <row r="1234">
      <c r="A1234" t="n">
        <v>10163663</v>
      </c>
      <c r="B1234" t="inlineStr">
        <is>
          <t>ZFE3</t>
        </is>
      </c>
      <c r="C1234" t="inlineStr">
        <is>
          <t>1000</t>
        </is>
      </c>
      <c r="D1234" t="inlineStr">
        <is>
          <t>M3</t>
        </is>
      </c>
      <c r="E1234" t="n">
        <v>1000</v>
      </c>
      <c r="F1234" t="inlineStr">
        <is>
          <t>TN</t>
        </is>
      </c>
      <c r="G1234" t="n">
        <v>1323</v>
      </c>
      <c r="H1234" t="inlineStr">
        <is>
          <t>GRAVA TRITURADA BASALTO 40 MM - 1 1/2"</t>
        </is>
      </c>
    </row>
    <row r="1235">
      <c r="A1235" t="n">
        <v>10164094</v>
      </c>
      <c r="B1235" t="inlineStr">
        <is>
          <t>ZFE3</t>
        </is>
      </c>
      <c r="C1235" t="inlineStr">
        <is>
          <t>1000</t>
        </is>
      </c>
      <c r="D1235" t="inlineStr">
        <is>
          <t>M3</t>
        </is>
      </c>
      <c r="E1235" t="n">
        <v>1000</v>
      </c>
      <c r="F1235" t="inlineStr">
        <is>
          <t>TN</t>
        </is>
      </c>
      <c r="G1235" t="n">
        <v>1249</v>
      </c>
      <c r="H1235" t="inlineStr">
        <is>
          <t>GRAVA TRITURADA BASALTO 40 MM - 1 1/2"</t>
        </is>
      </c>
    </row>
    <row r="1236">
      <c r="A1236" t="n">
        <v>10164095</v>
      </c>
      <c r="B1236" t="inlineStr">
        <is>
          <t>ZFE3</t>
        </is>
      </c>
      <c r="C1236" t="inlineStr">
        <is>
          <t>1000</t>
        </is>
      </c>
      <c r="D1236" t="inlineStr">
        <is>
          <t>M3</t>
        </is>
      </c>
      <c r="E1236" t="n">
        <v>1000</v>
      </c>
      <c r="F1236" t="inlineStr">
        <is>
          <t>TN</t>
        </is>
      </c>
      <c r="G1236" t="n">
        <v>1285</v>
      </c>
      <c r="H1236" t="inlineStr">
        <is>
          <t>GRAVA TRITURADA BASALTO 20 MM - 3/4"</t>
        </is>
      </c>
    </row>
    <row r="1237">
      <c r="A1237" t="n">
        <v>10164096</v>
      </c>
      <c r="B1237" t="inlineStr">
        <is>
          <t>ZFE3</t>
        </is>
      </c>
      <c r="C1237" t="inlineStr">
        <is>
          <t>1000</t>
        </is>
      </c>
      <c r="D1237" t="inlineStr">
        <is>
          <t>M3</t>
        </is>
      </c>
      <c r="E1237" t="n">
        <v>1000</v>
      </c>
      <c r="F1237" t="inlineStr">
        <is>
          <t>TN</t>
        </is>
      </c>
      <c r="G1237" t="n">
        <v>1294</v>
      </c>
      <c r="H1237" t="inlineStr">
        <is>
          <t>GRAVA TRITURADA BASALTO 10 MM - 3/8"</t>
        </is>
      </c>
    </row>
    <row r="1238">
      <c r="A1238" t="n">
        <v>10164161</v>
      </c>
      <c r="B1238" t="inlineStr">
        <is>
          <t>ZFE3</t>
        </is>
      </c>
      <c r="C1238" t="inlineStr">
        <is>
          <t>1000</t>
        </is>
      </c>
      <c r="D1238" t="inlineStr">
        <is>
          <t>M3</t>
        </is>
      </c>
      <c r="E1238" t="n">
        <v>1000</v>
      </c>
      <c r="F1238" t="inlineStr">
        <is>
          <t>TN</t>
        </is>
      </c>
      <c r="G1238" t="n">
        <v>1350</v>
      </c>
      <c r="H1238" t="inlineStr">
        <is>
          <t>ARENA CLASIFICADA RÍO MALLA 4</t>
        </is>
      </c>
    </row>
    <row r="1239">
      <c r="A1239" t="n">
        <v>10164169</v>
      </c>
      <c r="B1239" t="inlineStr">
        <is>
          <t>ZFE3</t>
        </is>
      </c>
      <c r="C1239" t="inlineStr">
        <is>
          <t>1000</t>
        </is>
      </c>
      <c r="D1239" t="inlineStr">
        <is>
          <t>M3</t>
        </is>
      </c>
      <c r="E1239" t="n">
        <v>1000</v>
      </c>
      <c r="F1239" t="inlineStr">
        <is>
          <t>TN</t>
        </is>
      </c>
      <c r="G1239" t="n">
        <v>1739</v>
      </c>
      <c r="H1239" t="inlineStr">
        <is>
          <t>ARENA TRITURADA CALIZA MALLA 4 B47 FILIA</t>
        </is>
      </c>
    </row>
    <row r="1240">
      <c r="A1240" t="n">
        <v>10164178</v>
      </c>
      <c r="B1240" t="inlineStr">
        <is>
          <t>ZFE3</t>
        </is>
      </c>
      <c r="C1240" t="inlineStr">
        <is>
          <t>1000</t>
        </is>
      </c>
      <c r="D1240" t="inlineStr">
        <is>
          <t>M3</t>
        </is>
      </c>
      <c r="E1240" t="n">
        <v>1000</v>
      </c>
      <c r="F1240" t="inlineStr">
        <is>
          <t>TN</t>
        </is>
      </c>
      <c r="G1240" t="n">
        <v>1343</v>
      </c>
      <c r="H1240" t="inlineStr">
        <is>
          <t>GRAVA TRITURADA BASALTO 20 MM - 3/4"</t>
        </is>
      </c>
    </row>
    <row r="1241">
      <c r="A1241" t="n">
        <v>10164179</v>
      </c>
      <c r="B1241" t="inlineStr">
        <is>
          <t>ZFE3</t>
        </is>
      </c>
      <c r="C1241" t="inlineStr">
        <is>
          <t>1000</t>
        </is>
      </c>
      <c r="D1241" t="inlineStr">
        <is>
          <t>M3</t>
        </is>
      </c>
      <c r="E1241" t="n">
        <v>1000</v>
      </c>
      <c r="F1241" t="inlineStr">
        <is>
          <t>TN</t>
        </is>
      </c>
      <c r="G1241" t="n">
        <v>1289</v>
      </c>
      <c r="H1241" t="inlineStr">
        <is>
          <t>GRAVA TRITURADA BASALTO 40 MM - 1 1/2"</t>
        </is>
      </c>
    </row>
    <row r="1242">
      <c r="A1242" t="n">
        <v>10164180</v>
      </c>
      <c r="B1242" t="inlineStr">
        <is>
          <t>ZFE3</t>
        </is>
      </c>
      <c r="C1242" t="inlineStr">
        <is>
          <t>1000</t>
        </is>
      </c>
      <c r="D1242" t="inlineStr">
        <is>
          <t>M3</t>
        </is>
      </c>
      <c r="E1242" t="n">
        <v>1000</v>
      </c>
      <c r="F1242" t="inlineStr">
        <is>
          <t>TN</t>
        </is>
      </c>
      <c r="G1242" t="n">
        <v>1291</v>
      </c>
      <c r="H1242" t="inlineStr">
        <is>
          <t>GRAVA TRITURADA BASALTO 10 MM - 3/8"</t>
        </is>
      </c>
    </row>
    <row r="1243">
      <c r="A1243" t="n">
        <v>10164195</v>
      </c>
      <c r="B1243" t="inlineStr">
        <is>
          <t>ZFE3</t>
        </is>
      </c>
      <c r="C1243" t="inlineStr">
        <is>
          <t>1000</t>
        </is>
      </c>
      <c r="D1243" t="inlineStr">
        <is>
          <t>M3</t>
        </is>
      </c>
      <c r="E1243" t="n">
        <v>1000</v>
      </c>
      <c r="F1243" t="inlineStr">
        <is>
          <t>TN</t>
        </is>
      </c>
      <c r="G1243" t="n">
        <v>1377</v>
      </c>
      <c r="H1243" t="inlineStr">
        <is>
          <t>GRAVA TRITURADA BASALTO 20 MM - 3/4"</t>
        </is>
      </c>
    </row>
    <row r="1244">
      <c r="A1244" t="n">
        <v>10164198</v>
      </c>
      <c r="B1244" t="inlineStr">
        <is>
          <t>ZFE3</t>
        </is>
      </c>
      <c r="C1244" t="inlineStr">
        <is>
          <t>1000</t>
        </is>
      </c>
      <c r="D1244" t="inlineStr">
        <is>
          <t>M3</t>
        </is>
      </c>
      <c r="E1244" t="n">
        <v>1000</v>
      </c>
      <c r="F1244" t="inlineStr">
        <is>
          <t>TN</t>
        </is>
      </c>
      <c r="G1244" t="n">
        <v>1530</v>
      </c>
      <c r="H1244" t="inlineStr">
        <is>
          <t>CALIZA BLANCA TRITURADA</t>
        </is>
      </c>
    </row>
    <row r="1245">
      <c r="A1245" t="n">
        <v>10164541</v>
      </c>
      <c r="B1245" t="inlineStr">
        <is>
          <t>ZFE3</t>
        </is>
      </c>
      <c r="C1245" t="inlineStr">
        <is>
          <t>1000</t>
        </is>
      </c>
      <c r="D1245" t="inlineStr">
        <is>
          <t>M3</t>
        </is>
      </c>
      <c r="E1245" t="n">
        <v>1000</v>
      </c>
      <c r="F1245" t="inlineStr">
        <is>
          <t>TN</t>
        </is>
      </c>
      <c r="G1245" t="n">
        <v>1595</v>
      </c>
      <c r="H1245" t="inlineStr">
        <is>
          <t>CRUDO CALIZA BLANCA EXTRACCIÓN</t>
        </is>
      </c>
    </row>
    <row r="1246">
      <c r="A1246" t="n">
        <v>10164568</v>
      </c>
      <c r="B1246" t="inlineStr">
        <is>
          <t>ZFE3</t>
        </is>
      </c>
      <c r="C1246" t="inlineStr">
        <is>
          <t>1000</t>
        </is>
      </c>
      <c r="D1246" t="inlineStr">
        <is>
          <t>M3</t>
        </is>
      </c>
      <c r="E1246" t="n">
        <v>1000</v>
      </c>
      <c r="F1246" t="inlineStr">
        <is>
          <t>TN</t>
        </is>
      </c>
      <c r="G1246" t="n">
        <v>1319</v>
      </c>
      <c r="H1246" t="inlineStr">
        <is>
          <t>ARENA TRITURADA VOLCANICA MALLA 8</t>
        </is>
      </c>
    </row>
    <row r="1247">
      <c r="A1247" t="n">
        <v>10164622</v>
      </c>
      <c r="B1247" t="inlineStr">
        <is>
          <t>ZFE3</t>
        </is>
      </c>
      <c r="C1247" t="inlineStr">
        <is>
          <t>1000</t>
        </is>
      </c>
      <c r="D1247" t="inlineStr">
        <is>
          <t>M3</t>
        </is>
      </c>
      <c r="E1247" t="n">
        <v>1000</v>
      </c>
      <c r="F1247" t="inlineStr">
        <is>
          <t>TN</t>
        </is>
      </c>
      <c r="G1247" t="n">
        <v>1350</v>
      </c>
      <c r="H1247" t="inlineStr">
        <is>
          <t>CALIZA EXTRACCIÓN CEMENTO-B</t>
        </is>
      </c>
    </row>
    <row r="1248">
      <c r="A1248" t="n">
        <v>10164623</v>
      </c>
      <c r="B1248" t="inlineStr">
        <is>
          <t>ZFE3</t>
        </is>
      </c>
      <c r="C1248" t="inlineStr">
        <is>
          <t>1000</t>
        </is>
      </c>
      <c r="D1248" t="inlineStr">
        <is>
          <t>M3</t>
        </is>
      </c>
      <c r="E1248" t="n">
        <v>1000</v>
      </c>
      <c r="F1248" t="inlineStr">
        <is>
          <t>TN</t>
        </is>
      </c>
      <c r="G1248" t="n">
        <v>1950</v>
      </c>
      <c r="H1248" t="inlineStr">
        <is>
          <t>CALIZA EXTRACCIÓN CEMENTO-M</t>
        </is>
      </c>
    </row>
    <row r="1249">
      <c r="A1249" t="n">
        <v>10164687</v>
      </c>
      <c r="B1249" t="inlineStr">
        <is>
          <t>ZFE3</t>
        </is>
      </c>
      <c r="C1249" t="inlineStr">
        <is>
          <t>1000</t>
        </is>
      </c>
      <c r="D1249" t="inlineStr">
        <is>
          <t>M3</t>
        </is>
      </c>
      <c r="E1249" t="n">
        <v>1000</v>
      </c>
      <c r="F1249" t="inlineStr">
        <is>
          <t>TN</t>
        </is>
      </c>
      <c r="G1249" t="n">
        <v>1698</v>
      </c>
      <c r="H1249" t="inlineStr">
        <is>
          <t>CALIZA EXTRACCIÓN CEMENTO-N</t>
        </is>
      </c>
    </row>
    <row r="1250">
      <c r="A1250" t="n">
        <v>10164753</v>
      </c>
      <c r="B1250" t="inlineStr">
        <is>
          <t>ZFE3</t>
        </is>
      </c>
      <c r="C1250" t="inlineStr">
        <is>
          <t>1000</t>
        </is>
      </c>
      <c r="D1250" t="inlineStr">
        <is>
          <t>M3</t>
        </is>
      </c>
      <c r="E1250" t="n">
        <v>1000</v>
      </c>
      <c r="F1250" t="inlineStr">
        <is>
          <t>TN</t>
        </is>
      </c>
      <c r="G1250" t="n">
        <v>1607</v>
      </c>
      <c r="H1250" t="inlineStr">
        <is>
          <t>ARENA TRITURADA CALIZA MALLA 4</t>
        </is>
      </c>
    </row>
    <row r="1251">
      <c r="A1251" t="n">
        <v>10164912</v>
      </c>
      <c r="B1251" t="inlineStr">
        <is>
          <t>ZFE3</t>
        </is>
      </c>
      <c r="C1251" t="inlineStr">
        <is>
          <t>1000</t>
        </is>
      </c>
      <c r="D1251" t="inlineStr">
        <is>
          <t>M3</t>
        </is>
      </c>
      <c r="E1251" t="n">
        <v>1000</v>
      </c>
      <c r="F1251" t="inlineStr">
        <is>
          <t>TN</t>
        </is>
      </c>
      <c r="G1251" t="n">
        <v>1392</v>
      </c>
      <c r="H1251" t="inlineStr">
        <is>
          <t>GRAVA TRITURADA GRANITO 10 MM - 3/8"</t>
        </is>
      </c>
    </row>
    <row r="1252">
      <c r="A1252" t="n">
        <v>10164930</v>
      </c>
      <c r="B1252" t="inlineStr">
        <is>
          <t>ZFE3</t>
        </is>
      </c>
      <c r="C1252" t="inlineStr">
        <is>
          <t>1000</t>
        </is>
      </c>
      <c r="D1252" t="inlineStr">
        <is>
          <t>M3</t>
        </is>
      </c>
      <c r="E1252" t="n">
        <v>1000</v>
      </c>
      <c r="F1252" t="inlineStr">
        <is>
          <t>TN</t>
        </is>
      </c>
      <c r="G1252" t="n">
        <v>1448</v>
      </c>
      <c r="H1252" t="inlineStr">
        <is>
          <t>DESPERDICIO CALIZA</t>
        </is>
      </c>
    </row>
    <row r="1253">
      <c r="A1253" t="n">
        <v>10165029</v>
      </c>
      <c r="B1253" t="inlineStr">
        <is>
          <t>ZFE3</t>
        </is>
      </c>
      <c r="C1253" t="inlineStr">
        <is>
          <t>1000</t>
        </is>
      </c>
      <c r="D1253" t="inlineStr">
        <is>
          <t>M3</t>
        </is>
      </c>
      <c r="E1253" t="n">
        <v>1000</v>
      </c>
      <c r="F1253" t="inlineStr">
        <is>
          <t>TN</t>
        </is>
      </c>
      <c r="G1253" t="n">
        <v>1411</v>
      </c>
      <c r="H1253" t="inlineStr">
        <is>
          <t>GRAVA TRITURADA ANDESITA - 1 1/2"</t>
        </is>
      </c>
    </row>
    <row r="1254">
      <c r="A1254" t="n">
        <v>10165760</v>
      </c>
      <c r="B1254" t="inlineStr">
        <is>
          <t>ZFE3</t>
        </is>
      </c>
      <c r="C1254" t="inlineStr">
        <is>
          <t>1000</t>
        </is>
      </c>
      <c r="D1254" t="inlineStr">
        <is>
          <t>M3</t>
        </is>
      </c>
      <c r="E1254" t="n">
        <v>1000</v>
      </c>
      <c r="F1254" t="inlineStr">
        <is>
          <t>TN</t>
        </is>
      </c>
      <c r="G1254" t="n">
        <v>1650</v>
      </c>
      <c r="H1254" t="inlineStr">
        <is>
          <t>BALASTO TRITURADO BASALTO 6" A FINOS</t>
        </is>
      </c>
    </row>
    <row r="1255">
      <c r="A1255" t="n">
        <v>10165782</v>
      </c>
      <c r="B1255" t="inlineStr">
        <is>
          <t>ZFE3</t>
        </is>
      </c>
      <c r="C1255" t="inlineStr">
        <is>
          <t>1000</t>
        </is>
      </c>
      <c r="D1255" t="inlineStr">
        <is>
          <t>M3</t>
        </is>
      </c>
      <c r="E1255" t="n">
        <v>1000</v>
      </c>
      <c r="F1255" t="inlineStr">
        <is>
          <t>TN</t>
        </is>
      </c>
      <c r="G1255" t="n">
        <v>1448</v>
      </c>
      <c r="H1255" t="inlineStr">
        <is>
          <t>ARENA CLASIFICADA RIO MALLA 4</t>
        </is>
      </c>
    </row>
    <row r="1256">
      <c r="A1256" t="n">
        <v>10165790</v>
      </c>
      <c r="B1256" t="inlineStr">
        <is>
          <t>ZFE3</t>
        </is>
      </c>
      <c r="C1256" t="inlineStr">
        <is>
          <t>1000</t>
        </is>
      </c>
      <c r="D1256" t="inlineStr">
        <is>
          <t>M3</t>
        </is>
      </c>
      <c r="E1256" t="n">
        <v>1000</v>
      </c>
      <c r="F1256" t="inlineStr">
        <is>
          <t>TN</t>
        </is>
      </c>
      <c r="G1256" t="n">
        <v>1354</v>
      </c>
      <c r="H1256" t="inlineStr">
        <is>
          <t>GRAVA TRITURADA MARMOL 1"</t>
        </is>
      </c>
    </row>
    <row r="1257">
      <c r="A1257" t="n">
        <v>10165791</v>
      </c>
      <c r="B1257" t="inlineStr">
        <is>
          <t>ZFE3</t>
        </is>
      </c>
      <c r="C1257" t="inlineStr">
        <is>
          <t>1000</t>
        </is>
      </c>
      <c r="D1257" t="inlineStr">
        <is>
          <t>M3</t>
        </is>
      </c>
      <c r="E1257" t="n">
        <v>1000</v>
      </c>
      <c r="F1257" t="inlineStr">
        <is>
          <t>TN</t>
        </is>
      </c>
      <c r="G1257" t="n">
        <v>1595</v>
      </c>
      <c r="H1257" t="inlineStr">
        <is>
          <t>SOBRETAMAÑO CALIZA</t>
        </is>
      </c>
    </row>
    <row r="1258">
      <c r="A1258" t="n">
        <v>10165930</v>
      </c>
      <c r="B1258" t="inlineStr">
        <is>
          <t>ZFE3</t>
        </is>
      </c>
      <c r="C1258" t="inlineStr">
        <is>
          <t>1000</t>
        </is>
      </c>
      <c r="D1258" t="inlineStr">
        <is>
          <t>M3</t>
        </is>
      </c>
      <c r="E1258" t="n">
        <v>1000</v>
      </c>
      <c r="F1258" t="inlineStr">
        <is>
          <t>TN</t>
        </is>
      </c>
      <c r="G1258" t="n">
        <v>1470</v>
      </c>
      <c r="H1258" t="inlineStr">
        <is>
          <t>POLVILLO 3/8-0 H</t>
        </is>
      </c>
    </row>
    <row r="1259">
      <c r="A1259" t="n">
        <v>10165990</v>
      </c>
      <c r="B1259" t="inlineStr">
        <is>
          <t>ZFE3</t>
        </is>
      </c>
      <c r="C1259" t="inlineStr">
        <is>
          <t>1000</t>
        </is>
      </c>
      <c r="D1259" t="inlineStr">
        <is>
          <t>M3</t>
        </is>
      </c>
      <c r="E1259" t="n">
        <v>1000</v>
      </c>
      <c r="F1259" t="inlineStr">
        <is>
          <t>TN</t>
        </is>
      </c>
      <c r="G1259" t="n">
        <v>1100</v>
      </c>
      <c r="H1259" t="inlineStr">
        <is>
          <t>DESPERDICIO TRITURADO CALIZA</t>
        </is>
      </c>
    </row>
    <row r="1260">
      <c r="A1260" t="n">
        <v>10165991</v>
      </c>
      <c r="B1260" t="inlineStr">
        <is>
          <t>ZFE3</t>
        </is>
      </c>
      <c r="C1260" t="inlineStr">
        <is>
          <t>1000</t>
        </is>
      </c>
      <c r="D1260" t="inlineStr">
        <is>
          <t>M3</t>
        </is>
      </c>
      <c r="E1260" t="n">
        <v>1000</v>
      </c>
      <c r="F1260" t="inlineStr">
        <is>
          <t>TN</t>
        </is>
      </c>
      <c r="G1260" t="n">
        <v>1635</v>
      </c>
      <c r="H1260" t="inlineStr">
        <is>
          <t>ARENA EXTRAFINA RÍO MALLA 4 - LAVADO</t>
        </is>
      </c>
    </row>
    <row r="1261">
      <c r="A1261" t="n">
        <v>10165992</v>
      </c>
      <c r="B1261" t="inlineStr">
        <is>
          <t>ZFE3</t>
        </is>
      </c>
      <c r="C1261" t="inlineStr">
        <is>
          <t>1000</t>
        </is>
      </c>
      <c r="D1261" t="inlineStr">
        <is>
          <t>M3</t>
        </is>
      </c>
      <c r="E1261" t="n">
        <v>1000</v>
      </c>
      <c r="F1261" t="inlineStr">
        <is>
          <t>TN</t>
        </is>
      </c>
      <c r="G1261" t="n">
        <v>1226</v>
      </c>
      <c r="H1261" t="inlineStr">
        <is>
          <t>GRAVA TRITURADA BASALTO 13 MM - 1/2"</t>
        </is>
      </c>
    </row>
    <row r="1262">
      <c r="A1262" t="n">
        <v>10165995</v>
      </c>
      <c r="B1262" t="inlineStr">
        <is>
          <t>ZFE3</t>
        </is>
      </c>
      <c r="C1262" t="inlineStr">
        <is>
          <t>1000</t>
        </is>
      </c>
      <c r="D1262" t="inlineStr">
        <is>
          <t>M3</t>
        </is>
      </c>
      <c r="E1262" t="n">
        <v>1000</v>
      </c>
      <c r="F1262" t="inlineStr">
        <is>
          <t>TN</t>
        </is>
      </c>
      <c r="G1262" t="n">
        <v>1409</v>
      </c>
      <c r="H1262" t="inlineStr">
        <is>
          <t>GRAVA TRITURADA BASALTO 20 MM - 3/4"</t>
        </is>
      </c>
    </row>
    <row r="1263">
      <c r="A1263" t="n">
        <v>10166129</v>
      </c>
      <c r="B1263" t="inlineStr">
        <is>
          <t>ZFE3</t>
        </is>
      </c>
      <c r="C1263" t="inlineStr">
        <is>
          <t>1000</t>
        </is>
      </c>
      <c r="D1263" t="inlineStr">
        <is>
          <t>M3</t>
        </is>
      </c>
      <c r="E1263" t="n">
        <v>1000</v>
      </c>
      <c r="F1263" t="inlineStr">
        <is>
          <t>TN</t>
        </is>
      </c>
      <c r="G1263" t="n">
        <v>1301</v>
      </c>
      <c r="H1263" t="inlineStr">
        <is>
          <t>GRAVA TRITURADA BASALTO 40 MM - 1 1/2"</t>
        </is>
      </c>
    </row>
    <row r="1264">
      <c r="A1264" t="n">
        <v>10166253</v>
      </c>
      <c r="B1264" t="inlineStr">
        <is>
          <t>ZFE3</t>
        </is>
      </c>
      <c r="C1264" t="inlineStr">
        <is>
          <t>1000</t>
        </is>
      </c>
      <c r="D1264" t="inlineStr">
        <is>
          <t>M3</t>
        </is>
      </c>
      <c r="E1264" t="n">
        <v>1000</v>
      </c>
      <c r="F1264" t="inlineStr">
        <is>
          <t>TN</t>
        </is>
      </c>
      <c r="G1264" t="n">
        <v>1470</v>
      </c>
      <c r="H1264" t="inlineStr">
        <is>
          <t>ARENA DE TRITURACIÓN ATS</t>
        </is>
      </c>
    </row>
    <row r="1265">
      <c r="A1265" t="n">
        <v>10166256</v>
      </c>
      <c r="B1265" t="inlineStr">
        <is>
          <t>ZFE3</t>
        </is>
      </c>
      <c r="C1265" t="inlineStr">
        <is>
          <t>1000</t>
        </is>
      </c>
      <c r="D1265" t="inlineStr">
        <is>
          <t>M3</t>
        </is>
      </c>
      <c r="E1265" t="n">
        <v>1000</v>
      </c>
      <c r="F1265" t="inlineStr">
        <is>
          <t>TN</t>
        </is>
      </c>
      <c r="G1265" t="n">
        <v>1600</v>
      </c>
      <c r="H1265" t="inlineStr">
        <is>
          <t>BASE H CLASIFICADA RÍO HOMOGENIZADA</t>
        </is>
      </c>
    </row>
    <row r="1266">
      <c r="A1266" t="n">
        <v>10166283</v>
      </c>
      <c r="B1266" t="inlineStr">
        <is>
          <t>ZFE3</t>
        </is>
      </c>
      <c r="C1266" t="inlineStr">
        <is>
          <t>1000</t>
        </is>
      </c>
      <c r="D1266" t="inlineStr">
        <is>
          <t>M3</t>
        </is>
      </c>
      <c r="E1266" t="n">
        <v>1000</v>
      </c>
      <c r="F1266" t="inlineStr">
        <is>
          <t>TN</t>
        </is>
      </c>
      <c r="G1266" t="n">
        <v>1361</v>
      </c>
      <c r="H1266" t="inlineStr">
        <is>
          <t>GRAVA TRITURADA CALIZA 20 MM - 3/4"</t>
        </is>
      </c>
    </row>
    <row r="1267">
      <c r="A1267" t="n">
        <v>10166671</v>
      </c>
      <c r="B1267" t="inlineStr">
        <is>
          <t>ZFE3</t>
        </is>
      </c>
      <c r="C1267" t="inlineStr">
        <is>
          <t>1000</t>
        </is>
      </c>
      <c r="D1267" t="inlineStr">
        <is>
          <t>M3</t>
        </is>
      </c>
      <c r="E1267" t="n">
        <v>1000</v>
      </c>
      <c r="F1267" t="inlineStr">
        <is>
          <t>TN</t>
        </is>
      </c>
      <c r="G1267" t="n">
        <v>1156</v>
      </c>
      <c r="H1267" t="inlineStr">
        <is>
          <t>GRAVA TRITURADA CALIZA 10 MM - 3/8"</t>
        </is>
      </c>
    </row>
    <row r="1268">
      <c r="A1268" t="n">
        <v>10167014</v>
      </c>
      <c r="B1268" t="inlineStr">
        <is>
          <t>ZFE3</t>
        </is>
      </c>
      <c r="C1268" t="inlineStr">
        <is>
          <t>1000</t>
        </is>
      </c>
      <c r="D1268" t="inlineStr">
        <is>
          <t>M3</t>
        </is>
      </c>
      <c r="E1268" t="n">
        <v>1000</v>
      </c>
      <c r="F1268" t="inlineStr">
        <is>
          <t>TN</t>
        </is>
      </c>
      <c r="G1268" t="n">
        <v>1350</v>
      </c>
      <c r="H1268" t="inlineStr">
        <is>
          <t>CALIZA EXTRACCIÓN CEMENTO - NB</t>
        </is>
      </c>
    </row>
    <row r="1269">
      <c r="A1269" t="n">
        <v>10167068</v>
      </c>
      <c r="B1269" t="inlineStr">
        <is>
          <t>ZFE3</t>
        </is>
      </c>
      <c r="C1269" t="inlineStr">
        <is>
          <t>1000</t>
        </is>
      </c>
      <c r="D1269" t="inlineStr">
        <is>
          <t>M3</t>
        </is>
      </c>
      <c r="E1269" t="n">
        <v>1000</v>
      </c>
      <c r="F1269" t="inlineStr">
        <is>
          <t>TN</t>
        </is>
      </c>
      <c r="G1269" t="n">
        <v>1305</v>
      </c>
      <c r="H1269" t="inlineStr">
        <is>
          <t>GRAVA TRITURADA BASALTO 40 MM - 1 1/2"</t>
        </is>
      </c>
    </row>
    <row r="1270">
      <c r="A1270" t="n">
        <v>10167749</v>
      </c>
      <c r="B1270" t="inlineStr">
        <is>
          <t>ZFE3</t>
        </is>
      </c>
      <c r="C1270" t="inlineStr">
        <is>
          <t>1000</t>
        </is>
      </c>
      <c r="D1270" t="inlineStr">
        <is>
          <t>M3</t>
        </is>
      </c>
      <c r="E1270" t="n">
        <v>1000</v>
      </c>
      <c r="F1270" t="inlineStr">
        <is>
          <t>TN</t>
        </is>
      </c>
      <c r="G1270" t="n">
        <v>1650</v>
      </c>
      <c r="H1270" t="inlineStr">
        <is>
          <t>BASE H CALIZA 1 1/2" A FINOS ESPECIAL</t>
        </is>
      </c>
    </row>
    <row r="1271">
      <c r="A1271" t="n">
        <v>10167893</v>
      </c>
      <c r="B1271" t="inlineStr">
        <is>
          <t>ZFE3</t>
        </is>
      </c>
      <c r="C1271" t="inlineStr">
        <is>
          <t>1000</t>
        </is>
      </c>
      <c r="D1271" t="inlineStr">
        <is>
          <t>M3</t>
        </is>
      </c>
      <c r="E1271" t="n">
        <v>1000</v>
      </c>
      <c r="F1271" t="inlineStr">
        <is>
          <t>TN</t>
        </is>
      </c>
      <c r="G1271" t="n">
        <v>1415</v>
      </c>
      <c r="H1271" t="inlineStr">
        <is>
          <t>PIEDRA PICADA 30-60 MM</t>
        </is>
      </c>
    </row>
    <row r="1272">
      <c r="A1272" t="n">
        <v>10167894</v>
      </c>
      <c r="B1272" t="inlineStr">
        <is>
          <t>ZFE3</t>
        </is>
      </c>
      <c r="C1272" t="inlineStr">
        <is>
          <t>1000</t>
        </is>
      </c>
      <c r="D1272" t="inlineStr">
        <is>
          <t>M3</t>
        </is>
      </c>
      <c r="E1272" t="n">
        <v>1000</v>
      </c>
      <c r="F1272" t="inlineStr">
        <is>
          <t>TN</t>
        </is>
      </c>
      <c r="G1272" t="n">
        <v>1500</v>
      </c>
      <c r="H1272" t="inlineStr">
        <is>
          <t>CRUDO CALIZA</t>
        </is>
      </c>
    </row>
    <row r="1273">
      <c r="A1273" t="n">
        <v>10167895</v>
      </c>
      <c r="B1273" t="inlineStr">
        <is>
          <t>ZFE3</t>
        </is>
      </c>
      <c r="C1273" t="inlineStr">
        <is>
          <t>1000</t>
        </is>
      </c>
      <c r="D1273" t="inlineStr">
        <is>
          <t>M3</t>
        </is>
      </c>
      <c r="E1273" t="n">
        <v>1000</v>
      </c>
      <c r="F1273" t="inlineStr">
        <is>
          <t>TN</t>
        </is>
      </c>
      <c r="G1273" t="n">
        <v>1400</v>
      </c>
      <c r="H1273" t="inlineStr">
        <is>
          <t>PIEDRA PICADA 30-60 MM</t>
        </is>
      </c>
    </row>
    <row r="1274">
      <c r="A1274" t="n">
        <v>10168019</v>
      </c>
      <c r="B1274" t="inlineStr">
        <is>
          <t>ZFE3</t>
        </is>
      </c>
      <c r="C1274" t="inlineStr">
        <is>
          <t>1000</t>
        </is>
      </c>
      <c r="D1274" t="inlineStr">
        <is>
          <t>M3</t>
        </is>
      </c>
      <c r="E1274" t="n">
        <v>1000</v>
      </c>
      <c r="F1274" t="inlineStr">
        <is>
          <t>TN</t>
        </is>
      </c>
      <c r="G1274" t="n">
        <v>1507</v>
      </c>
      <c r="H1274" t="inlineStr">
        <is>
          <t>ARENA ALUVIAL CORAME</t>
        </is>
      </c>
    </row>
    <row r="1275">
      <c r="A1275" t="n">
        <v>10168030</v>
      </c>
      <c r="B1275" t="inlineStr">
        <is>
          <t>ZFE3</t>
        </is>
      </c>
      <c r="C1275" t="inlineStr">
        <is>
          <t>1000</t>
        </is>
      </c>
      <c r="D1275" t="inlineStr">
        <is>
          <t>M3</t>
        </is>
      </c>
      <c r="E1275" t="n">
        <v>1000</v>
      </c>
      <c r="F1275" t="inlineStr">
        <is>
          <t>TN</t>
        </is>
      </c>
      <c r="G1275" t="n">
        <v>1339</v>
      </c>
      <c r="H1275" t="inlineStr">
        <is>
          <t>GRAVA ALUVIAL 1/2" CORAME</t>
        </is>
      </c>
    </row>
    <row r="1276">
      <c r="A1276" t="n">
        <v>10168031</v>
      </c>
      <c r="B1276" t="inlineStr">
        <is>
          <t>ZFE3</t>
        </is>
      </c>
      <c r="C1276" t="inlineStr">
        <is>
          <t>1000</t>
        </is>
      </c>
      <c r="D1276" t="inlineStr">
        <is>
          <t>M3</t>
        </is>
      </c>
      <c r="E1276" t="n">
        <v>1000</v>
      </c>
      <c r="F1276" t="inlineStr">
        <is>
          <t>TN</t>
        </is>
      </c>
      <c r="G1276" t="n">
        <v>1328</v>
      </c>
      <c r="H1276" t="inlineStr">
        <is>
          <t>GRAVA ALUVIAL 3/4" CORAME</t>
        </is>
      </c>
    </row>
    <row r="1277">
      <c r="A1277" t="n">
        <v>10168311</v>
      </c>
      <c r="B1277" t="inlineStr">
        <is>
          <t>ZFE3</t>
        </is>
      </c>
      <c r="C1277" t="inlineStr">
        <is>
          <t>1000</t>
        </is>
      </c>
      <c r="D1277" t="inlineStr">
        <is>
          <t>M3</t>
        </is>
      </c>
      <c r="E1277" t="n">
        <v>1000</v>
      </c>
      <c r="F1277" t="inlineStr">
        <is>
          <t>TN</t>
        </is>
      </c>
      <c r="G1277" t="n">
        <v>1500</v>
      </c>
      <c r="H1277" t="inlineStr">
        <is>
          <t>SUB BASE H CRIBADO RÍO HOMOGENIZADA</t>
        </is>
      </c>
    </row>
    <row r="1278">
      <c r="A1278" t="n">
        <v>10168312</v>
      </c>
      <c r="B1278" t="inlineStr">
        <is>
          <t>ZFE3</t>
        </is>
      </c>
      <c r="C1278" t="inlineStr">
        <is>
          <t>1000</t>
        </is>
      </c>
      <c r="D1278" t="inlineStr">
        <is>
          <t>M3</t>
        </is>
      </c>
      <c r="E1278" t="n">
        <v>1000</v>
      </c>
      <c r="F1278" t="inlineStr">
        <is>
          <t>TN</t>
        </is>
      </c>
      <c r="G1278" t="n">
        <v>1700</v>
      </c>
      <c r="H1278" t="inlineStr">
        <is>
          <t>SOBRETAMAÑO RIO</t>
        </is>
      </c>
    </row>
    <row r="1279">
      <c r="A1279" t="n">
        <v>10168313</v>
      </c>
      <c r="B1279" t="inlineStr">
        <is>
          <t>ZFE3</t>
        </is>
      </c>
      <c r="C1279" t="inlineStr">
        <is>
          <t>1000</t>
        </is>
      </c>
      <c r="D1279" t="inlineStr">
        <is>
          <t>M3</t>
        </is>
      </c>
      <c r="E1279" t="n">
        <v>1000</v>
      </c>
      <c r="F1279" t="inlineStr">
        <is>
          <t>TN</t>
        </is>
      </c>
      <c r="G1279" t="n">
        <v>1178</v>
      </c>
      <c r="H1279" t="inlineStr">
        <is>
          <t>GRAVA TRITURADA CALIZA 13MM--1/2"</t>
        </is>
      </c>
    </row>
    <row r="1280">
      <c r="A1280" t="n">
        <v>10168425</v>
      </c>
      <c r="B1280" t="inlineStr">
        <is>
          <t>ZFE3</t>
        </is>
      </c>
      <c r="C1280" t="inlineStr">
        <is>
          <t>1000</t>
        </is>
      </c>
      <c r="D1280" t="inlineStr">
        <is>
          <t>M3</t>
        </is>
      </c>
      <c r="E1280" t="n">
        <v>1000</v>
      </c>
      <c r="F1280" t="inlineStr">
        <is>
          <t>TN</t>
        </is>
      </c>
      <c r="G1280" t="n">
        <v>1809</v>
      </c>
      <c r="H1280" t="inlineStr">
        <is>
          <t>BASE HIDRAÚLICA BASALTO DE 3/4 A FINOS</t>
        </is>
      </c>
    </row>
    <row r="1281">
      <c r="A1281" t="n">
        <v>10169058</v>
      </c>
      <c r="B1281" t="inlineStr">
        <is>
          <t>ZFE3</t>
        </is>
      </c>
      <c r="C1281" t="inlineStr">
        <is>
          <t>1000</t>
        </is>
      </c>
      <c r="D1281" t="inlineStr">
        <is>
          <t>M3</t>
        </is>
      </c>
      <c r="E1281" t="n">
        <v>1000</v>
      </c>
      <c r="F1281" t="inlineStr">
        <is>
          <t>TN</t>
        </is>
      </c>
      <c r="G1281" t="n">
        <v>1358</v>
      </c>
      <c r="H1281" t="inlineStr">
        <is>
          <t>GRAVA TRITURADA BASALTO 10 MM - 3/8"</t>
        </is>
      </c>
    </row>
    <row r="1282">
      <c r="A1282" t="n">
        <v>10169322</v>
      </c>
      <c r="B1282" t="inlineStr">
        <is>
          <t>ZFE3</t>
        </is>
      </c>
      <c r="C1282" t="inlineStr">
        <is>
          <t>1000</t>
        </is>
      </c>
      <c r="D1282" t="inlineStr">
        <is>
          <t>M3</t>
        </is>
      </c>
      <c r="E1282" t="n">
        <v>1000</v>
      </c>
      <c r="F1282" t="inlineStr">
        <is>
          <t>TN</t>
        </is>
      </c>
      <c r="G1282" t="n">
        <v>1600</v>
      </c>
      <c r="H1282" t="inlineStr">
        <is>
          <t>BASE RÍO HOMOGENIZADA</t>
        </is>
      </c>
    </row>
    <row r="1283">
      <c r="A1283" t="n">
        <v>10169383</v>
      </c>
      <c r="B1283" t="inlineStr">
        <is>
          <t>ZFE3</t>
        </is>
      </c>
      <c r="C1283" t="inlineStr">
        <is>
          <t>1000</t>
        </is>
      </c>
      <c r="D1283" t="inlineStr">
        <is>
          <t>M3</t>
        </is>
      </c>
      <c r="E1283" t="n">
        <v>1000</v>
      </c>
      <c r="F1283" t="inlineStr">
        <is>
          <t>TN</t>
        </is>
      </c>
      <c r="G1283" t="n">
        <v>1261</v>
      </c>
      <c r="H1283" t="inlineStr">
        <is>
          <t>GRAVA TRITURADA CALIZA 20 MM - 3/4"</t>
        </is>
      </c>
    </row>
    <row r="1284">
      <c r="A1284" t="n">
        <v>10169432</v>
      </c>
      <c r="B1284" t="inlineStr">
        <is>
          <t>ZFE3</t>
        </is>
      </c>
      <c r="C1284" t="inlineStr">
        <is>
          <t>1000</t>
        </is>
      </c>
      <c r="D1284" t="inlineStr">
        <is>
          <t>M3</t>
        </is>
      </c>
      <c r="E1284" t="n">
        <v>1000</v>
      </c>
      <c r="F1284" t="inlineStr">
        <is>
          <t>TN</t>
        </is>
      </c>
      <c r="G1284" t="n">
        <v>1350</v>
      </c>
      <c r="H1284" t="inlineStr">
        <is>
          <t>CALIZA EXTRACCIÓN CEMENTO-MR</t>
        </is>
      </c>
    </row>
    <row r="1285">
      <c r="A1285" t="n">
        <v>10169508</v>
      </c>
      <c r="B1285" t="inlineStr">
        <is>
          <t>ZFE3</t>
        </is>
      </c>
      <c r="C1285" t="inlineStr">
        <is>
          <t>1000</t>
        </is>
      </c>
      <c r="D1285" t="inlineStr">
        <is>
          <t>M3</t>
        </is>
      </c>
      <c r="E1285" t="n">
        <v>1000</v>
      </c>
      <c r="F1285" t="inlineStr">
        <is>
          <t>TN</t>
        </is>
      </c>
      <c r="G1285" t="n">
        <v>1400</v>
      </c>
      <c r="H1285" t="inlineStr">
        <is>
          <t>GRAVA TRITURADA CALIZA 13 MM - 1/2"</t>
        </is>
      </c>
    </row>
    <row r="1286">
      <c r="A1286" t="n">
        <v>10169584</v>
      </c>
      <c r="B1286" t="inlineStr">
        <is>
          <t>ZFE3</t>
        </is>
      </c>
      <c r="C1286" t="inlineStr">
        <is>
          <t>1000</t>
        </is>
      </c>
      <c r="D1286" t="inlineStr">
        <is>
          <t>M3</t>
        </is>
      </c>
      <c r="E1286" t="n">
        <v>1000</v>
      </c>
      <c r="F1286" t="inlineStr">
        <is>
          <t>TN</t>
        </is>
      </c>
      <c r="G1286" t="n">
        <v>1601</v>
      </c>
      <c r="H1286" t="inlineStr">
        <is>
          <t>ARENA TRITURADA BASALTO MALLA 4</t>
        </is>
      </c>
    </row>
    <row r="1287">
      <c r="A1287" t="n">
        <v>10169585</v>
      </c>
      <c r="B1287" t="inlineStr">
        <is>
          <t>ZFE3</t>
        </is>
      </c>
      <c r="C1287" t="inlineStr">
        <is>
          <t>1000</t>
        </is>
      </c>
      <c r="D1287" t="inlineStr">
        <is>
          <t>M3</t>
        </is>
      </c>
      <c r="E1287" t="n">
        <v>1000</v>
      </c>
      <c r="F1287" t="inlineStr">
        <is>
          <t>TN</t>
        </is>
      </c>
      <c r="G1287" t="n">
        <v>1487</v>
      </c>
      <c r="H1287" t="inlineStr">
        <is>
          <t>GRAVA CLASIFICADA RÍO 10 MM - 3/8"</t>
        </is>
      </c>
    </row>
    <row r="1288">
      <c r="A1288" t="n">
        <v>10169604</v>
      </c>
      <c r="B1288" t="inlineStr">
        <is>
          <t>ZFE3</t>
        </is>
      </c>
      <c r="C1288" t="inlineStr">
        <is>
          <t>1000</t>
        </is>
      </c>
      <c r="D1288" t="inlineStr">
        <is>
          <t>M3</t>
        </is>
      </c>
      <c r="E1288" t="n">
        <v>1000</v>
      </c>
      <c r="F1288" t="inlineStr">
        <is>
          <t>TN</t>
        </is>
      </c>
      <c r="G1288" t="n">
        <v>1470</v>
      </c>
      <c r="H1288" t="inlineStr">
        <is>
          <t>ARENA TRITURADA CALIZA MALLA 4</t>
        </is>
      </c>
    </row>
    <row r="1289">
      <c r="A1289" t="n">
        <v>10169651</v>
      </c>
      <c r="B1289" t="inlineStr">
        <is>
          <t>ZFE3</t>
        </is>
      </c>
      <c r="C1289" t="inlineStr">
        <is>
          <t>1000</t>
        </is>
      </c>
      <c r="D1289" t="inlineStr">
        <is>
          <t>M3</t>
        </is>
      </c>
      <c r="E1289" t="n">
        <v>1000</v>
      </c>
      <c r="F1289" t="inlineStr">
        <is>
          <t>TN</t>
        </is>
      </c>
      <c r="G1289" t="n">
        <v>1682</v>
      </c>
      <c r="H1289" t="inlineStr">
        <is>
          <t>ARENA NATURAL GOLIAT</t>
        </is>
      </c>
    </row>
    <row r="1290">
      <c r="A1290" t="n">
        <v>10169672</v>
      </c>
      <c r="B1290" t="inlineStr">
        <is>
          <t>ZFE3</t>
        </is>
      </c>
      <c r="C1290" t="inlineStr">
        <is>
          <t>1000</t>
        </is>
      </c>
      <c r="D1290" t="inlineStr">
        <is>
          <t>M3</t>
        </is>
      </c>
      <c r="E1290" t="n">
        <v>1635</v>
      </c>
      <c r="F1290" t="inlineStr">
        <is>
          <t>TN</t>
        </is>
      </c>
      <c r="G1290" t="n">
        <v>1000</v>
      </c>
      <c r="H1290" t="inlineStr">
        <is>
          <t>ARENA POBLANCO PEP ESTRELLA</t>
        </is>
      </c>
    </row>
    <row r="1291">
      <c r="A1291" t="n">
        <v>10169673</v>
      </c>
      <c r="B1291" t="inlineStr">
        <is>
          <t>ZFE3</t>
        </is>
      </c>
      <c r="C1291" t="inlineStr">
        <is>
          <t>1000</t>
        </is>
      </c>
      <c r="D1291" t="inlineStr">
        <is>
          <t>M3</t>
        </is>
      </c>
      <c r="E1291" t="n">
        <v>1530</v>
      </c>
      <c r="F1291" t="inlineStr">
        <is>
          <t>TN</t>
        </is>
      </c>
      <c r="G1291" t="n">
        <v>1000</v>
      </c>
      <c r="H1291" t="inlineStr">
        <is>
          <t>GRAVA 1# POBLANCO PEP LA ESTRELLA</t>
        </is>
      </c>
    </row>
    <row r="1292">
      <c r="A1292" t="n">
        <v>10169677</v>
      </c>
      <c r="B1292" t="inlineStr">
        <is>
          <t>ZFE3</t>
        </is>
      </c>
      <c r="C1292" t="inlineStr">
        <is>
          <t>1000</t>
        </is>
      </c>
      <c r="D1292" t="inlineStr">
        <is>
          <t>M3</t>
        </is>
      </c>
      <c r="E1292" t="n">
        <v>1000</v>
      </c>
      <c r="F1292" t="inlineStr">
        <is>
          <t>TN</t>
        </is>
      </c>
      <c r="G1292" t="n">
        <v>1600</v>
      </c>
      <c r="H1292" t="inlineStr">
        <is>
          <t>BALASTO TRITURADO CALIZA 4" A FINOS</t>
        </is>
      </c>
    </row>
    <row r="1293">
      <c r="A1293" t="n">
        <v>10169690</v>
      </c>
      <c r="B1293" t="inlineStr">
        <is>
          <t>ZFE3</t>
        </is>
      </c>
      <c r="C1293" t="inlineStr">
        <is>
          <t>1000</t>
        </is>
      </c>
      <c r="D1293" t="inlineStr">
        <is>
          <t>M3</t>
        </is>
      </c>
      <c r="E1293" t="n">
        <v>1000</v>
      </c>
      <c r="F1293" t="inlineStr">
        <is>
          <t>TN</t>
        </is>
      </c>
      <c r="G1293" t="n">
        <v>1272</v>
      </c>
      <c r="H1293" t="inlineStr">
        <is>
          <t>SUB BASE - MATERIAL SELECTO (3" - 0) MSC</t>
        </is>
      </c>
    </row>
    <row r="1294">
      <c r="A1294" t="n">
        <v>10169713</v>
      </c>
      <c r="B1294" t="inlineStr">
        <is>
          <t>ZFE3</t>
        </is>
      </c>
      <c r="C1294" t="inlineStr">
        <is>
          <t>1000</t>
        </is>
      </c>
      <c r="D1294" t="inlineStr">
        <is>
          <t>M3</t>
        </is>
      </c>
      <c r="E1294" t="n">
        <v>1000</v>
      </c>
      <c r="F1294" t="inlineStr">
        <is>
          <t>TN</t>
        </is>
      </c>
      <c r="G1294" t="n">
        <v>1507</v>
      </c>
      <c r="H1294" t="inlineStr">
        <is>
          <t>DESPERDICIO ARENA CALIZA MALLA 4</t>
        </is>
      </c>
    </row>
    <row r="1295">
      <c r="A1295" t="n">
        <v>10169716</v>
      </c>
      <c r="B1295" t="inlineStr">
        <is>
          <t>ZFE3</t>
        </is>
      </c>
      <c r="C1295" t="inlineStr">
        <is>
          <t>1000</t>
        </is>
      </c>
      <c r="D1295" t="inlineStr">
        <is>
          <t>M3</t>
        </is>
      </c>
      <c r="E1295" t="n">
        <v>1000</v>
      </c>
      <c r="F1295" t="inlineStr">
        <is>
          <t>TN</t>
        </is>
      </c>
      <c r="G1295" t="n">
        <v>1530</v>
      </c>
      <c r="H1295" t="inlineStr">
        <is>
          <t>ARENA CLASIFICADA RÍO MALLA 4</t>
        </is>
      </c>
    </row>
    <row r="1296">
      <c r="A1296" t="n">
        <v>10169717</v>
      </c>
      <c r="B1296" t="inlineStr">
        <is>
          <t>ZFE3</t>
        </is>
      </c>
      <c r="C1296" t="inlineStr">
        <is>
          <t>1000</t>
        </is>
      </c>
      <c r="D1296" t="inlineStr">
        <is>
          <t>M3</t>
        </is>
      </c>
      <c r="E1296" t="n">
        <v>1000</v>
      </c>
      <c r="F1296" t="inlineStr">
        <is>
          <t>TN</t>
        </is>
      </c>
      <c r="G1296" t="n">
        <v>1428</v>
      </c>
      <c r="H1296" t="inlineStr">
        <is>
          <t>GRAVA CLASIFICADA RÍO 20 MM - 3/4"</t>
        </is>
      </c>
    </row>
    <row r="1297">
      <c r="A1297" t="n">
        <v>10169718</v>
      </c>
      <c r="B1297" t="inlineStr">
        <is>
          <t>ZFE3</t>
        </is>
      </c>
      <c r="C1297" t="inlineStr">
        <is>
          <t>1000</t>
        </is>
      </c>
      <c r="D1297" t="inlineStr">
        <is>
          <t>M3</t>
        </is>
      </c>
      <c r="E1297" t="n">
        <v>1000</v>
      </c>
      <c r="F1297" t="inlineStr">
        <is>
          <t>TN</t>
        </is>
      </c>
      <c r="G1297" t="n">
        <v>1400</v>
      </c>
      <c r="H1297" t="inlineStr">
        <is>
          <t>GRAVA CLASIFICADA RÍO 40 MM - 1 1/2"</t>
        </is>
      </c>
    </row>
    <row r="1298">
      <c r="A1298" t="n">
        <v>10169731</v>
      </c>
      <c r="B1298" t="inlineStr">
        <is>
          <t>ZFE3</t>
        </is>
      </c>
      <c r="C1298" t="inlineStr">
        <is>
          <t>1000</t>
        </is>
      </c>
      <c r="D1298" t="inlineStr">
        <is>
          <t>M3</t>
        </is>
      </c>
      <c r="E1298" t="n">
        <v>1000</v>
      </c>
      <c r="F1298" t="inlineStr">
        <is>
          <t>TN</t>
        </is>
      </c>
      <c r="G1298" t="n">
        <v>1565</v>
      </c>
      <c r="H1298" t="inlineStr">
        <is>
          <t>ARENA NATURAL TRS</t>
        </is>
      </c>
    </row>
    <row r="1299">
      <c r="A1299" t="n">
        <v>10169742</v>
      </c>
      <c r="B1299" t="inlineStr">
        <is>
          <t>ZFE3</t>
        </is>
      </c>
      <c r="C1299" t="inlineStr">
        <is>
          <t>1000</t>
        </is>
      </c>
      <c r="D1299" t="inlineStr">
        <is>
          <t>M3</t>
        </is>
      </c>
      <c r="E1299" t="n">
        <v>1000</v>
      </c>
      <c r="F1299" t="inlineStr">
        <is>
          <t>TN</t>
        </is>
      </c>
      <c r="G1299" t="n">
        <v>1501</v>
      </c>
      <c r="H1299" t="inlineStr">
        <is>
          <t>ARENA TRITURADA BASALTO MALLA 4</t>
        </is>
      </c>
    </row>
    <row r="1300">
      <c r="A1300" t="n">
        <v>10169957</v>
      </c>
      <c r="B1300" t="inlineStr">
        <is>
          <t>ZFE3</t>
        </is>
      </c>
      <c r="C1300" t="inlineStr">
        <is>
          <t>1000</t>
        </is>
      </c>
      <c r="D1300" t="inlineStr">
        <is>
          <t>M3</t>
        </is>
      </c>
      <c r="E1300" t="n">
        <v>1000</v>
      </c>
      <c r="F1300" t="inlineStr">
        <is>
          <t>TN</t>
        </is>
      </c>
      <c r="G1300" t="n">
        <v>1675</v>
      </c>
      <c r="H1300" t="inlineStr">
        <is>
          <t>ARENA TRITURADA ORIENTE</t>
        </is>
      </c>
    </row>
    <row r="1301">
      <c r="A1301" t="n">
        <v>10170062</v>
      </c>
      <c r="B1301" t="inlineStr">
        <is>
          <t>ZFE3</t>
        </is>
      </c>
      <c r="C1301" t="inlineStr">
        <is>
          <t>1000</t>
        </is>
      </c>
      <c r="D1301" t="inlineStr">
        <is>
          <t>M3</t>
        </is>
      </c>
      <c r="E1301" t="n">
        <v>1000</v>
      </c>
      <c r="F1301" t="inlineStr">
        <is>
          <t>TN</t>
        </is>
      </c>
      <c r="G1301" t="n">
        <v>1600</v>
      </c>
      <c r="H1301" t="inlineStr">
        <is>
          <t>BASE RÍO</t>
        </is>
      </c>
    </row>
    <row r="1302">
      <c r="A1302" t="n">
        <v>10170112</v>
      </c>
      <c r="B1302" t="inlineStr">
        <is>
          <t>ZFE3</t>
        </is>
      </c>
      <c r="C1302" t="inlineStr">
        <is>
          <t>1000</t>
        </is>
      </c>
      <c r="D1302" t="inlineStr">
        <is>
          <t>M3</t>
        </is>
      </c>
      <c r="E1302" t="n">
        <v>1000</v>
      </c>
      <c r="F1302" t="inlineStr">
        <is>
          <t>TN</t>
        </is>
      </c>
      <c r="G1302" t="n">
        <v>1423</v>
      </c>
      <c r="H1302" t="inlineStr">
        <is>
          <t>GRAVA TRITURADA CALIZA 20 MM - 3/4"</t>
        </is>
      </c>
    </row>
    <row r="1303">
      <c r="A1303" t="n">
        <v>10170252</v>
      </c>
      <c r="B1303" t="inlineStr">
        <is>
          <t>ZFE3</t>
        </is>
      </c>
      <c r="C1303" t="inlineStr">
        <is>
          <t>1000</t>
        </is>
      </c>
      <c r="D1303" t="inlineStr">
        <is>
          <t>M3</t>
        </is>
      </c>
      <c r="E1303" t="n">
        <v>1000</v>
      </c>
      <c r="F1303" t="inlineStr">
        <is>
          <t>TN</t>
        </is>
      </c>
      <c r="G1303" t="n">
        <v>1759</v>
      </c>
      <c r="H1303" t="inlineStr">
        <is>
          <t>ARENA SAN LORENZO</t>
        </is>
      </c>
    </row>
    <row r="1304">
      <c r="A1304" t="n">
        <v>10170253</v>
      </c>
      <c r="B1304" t="inlineStr">
        <is>
          <t>ZFE3</t>
        </is>
      </c>
      <c r="C1304" t="inlineStr">
        <is>
          <t>1000</t>
        </is>
      </c>
      <c r="D1304" t="inlineStr">
        <is>
          <t>M3</t>
        </is>
      </c>
      <c r="E1304" t="n">
        <v>1000</v>
      </c>
      <c r="F1304" t="inlineStr">
        <is>
          <t>TN</t>
        </is>
      </c>
      <c r="G1304" t="n">
        <v>1589</v>
      </c>
      <c r="H1304" t="inlineStr">
        <is>
          <t>GRAVA 1" SAN LORENZO</t>
        </is>
      </c>
    </row>
    <row r="1305">
      <c r="A1305" t="n">
        <v>10170257</v>
      </c>
      <c r="B1305" t="inlineStr">
        <is>
          <t>ZFE3</t>
        </is>
      </c>
      <c r="C1305" t="inlineStr">
        <is>
          <t>1000</t>
        </is>
      </c>
      <c r="D1305" t="inlineStr">
        <is>
          <t>M3</t>
        </is>
      </c>
      <c r="E1305" t="n">
        <v>1000</v>
      </c>
      <c r="F1305" t="inlineStr">
        <is>
          <t>TN</t>
        </is>
      </c>
      <c r="G1305" t="n">
        <v>1470</v>
      </c>
      <c r="H1305" t="inlineStr">
        <is>
          <t>ARENA TRITURADA CALIZA MALLA 4</t>
        </is>
      </c>
    </row>
    <row r="1306">
      <c r="A1306" t="n">
        <v>10170258</v>
      </c>
      <c r="B1306" t="inlineStr">
        <is>
          <t>ZFE3</t>
        </is>
      </c>
      <c r="C1306" t="inlineStr">
        <is>
          <t>1000</t>
        </is>
      </c>
      <c r="D1306" t="inlineStr">
        <is>
          <t>M3</t>
        </is>
      </c>
      <c r="E1306" t="n">
        <v>1000</v>
      </c>
      <c r="F1306" t="inlineStr">
        <is>
          <t>TN</t>
        </is>
      </c>
      <c r="G1306" t="n">
        <v>1520</v>
      </c>
      <c r="H1306" t="inlineStr">
        <is>
          <t>GRAVA CLASIFICADA RÍO 20 MM - 3/4"</t>
        </is>
      </c>
    </row>
    <row r="1307">
      <c r="A1307" t="n">
        <v>10170354</v>
      </c>
      <c r="B1307" t="inlineStr">
        <is>
          <t>ZFE3</t>
        </is>
      </c>
      <c r="C1307" t="inlineStr">
        <is>
          <t>1000</t>
        </is>
      </c>
      <c r="D1307" t="inlineStr">
        <is>
          <t>M3</t>
        </is>
      </c>
      <c r="E1307" t="n">
        <v>1000</v>
      </c>
      <c r="F1307" t="inlineStr">
        <is>
          <t>TN</t>
        </is>
      </c>
      <c r="G1307" t="n">
        <v>1300</v>
      </c>
      <c r="H1307" t="inlineStr">
        <is>
          <t>GRAVA TRITURADA RIO 40 MM - 1 1/2"</t>
        </is>
      </c>
    </row>
    <row r="1308">
      <c r="A1308" t="n">
        <v>10170912</v>
      </c>
      <c r="B1308" t="inlineStr">
        <is>
          <t>ZFE3</t>
        </is>
      </c>
      <c r="C1308" t="inlineStr">
        <is>
          <t>1000</t>
        </is>
      </c>
      <c r="D1308" t="inlineStr">
        <is>
          <t>M3</t>
        </is>
      </c>
      <c r="E1308" t="n">
        <v>1000</v>
      </c>
      <c r="F1308" t="inlineStr">
        <is>
          <t>TN</t>
        </is>
      </c>
      <c r="G1308" t="n">
        <v>1295</v>
      </c>
      <c r="H1308" t="inlineStr">
        <is>
          <t>PIEDRA NO.7 (1/2 - NO.4) CP</t>
        </is>
      </c>
    </row>
    <row r="1309">
      <c r="A1309" t="n">
        <v>10170913</v>
      </c>
      <c r="B1309" t="inlineStr">
        <is>
          <t>ZFE3</t>
        </is>
      </c>
      <c r="C1309" t="inlineStr">
        <is>
          <t>1000</t>
        </is>
      </c>
      <c r="D1309" t="inlineStr">
        <is>
          <t>M3</t>
        </is>
      </c>
      <c r="E1309" t="n">
        <v>1000</v>
      </c>
      <c r="F1309" t="inlineStr">
        <is>
          <t>TN</t>
        </is>
      </c>
      <c r="G1309" t="n">
        <v>1302</v>
      </c>
      <c r="H1309" t="inlineStr">
        <is>
          <t>PIEDRA NO.56 (1 - 3/8") CP</t>
        </is>
      </c>
    </row>
    <row r="1310">
      <c r="A1310" t="n">
        <v>10170914</v>
      </c>
      <c r="B1310" t="inlineStr">
        <is>
          <t>ZFE3</t>
        </is>
      </c>
      <c r="C1310" t="inlineStr">
        <is>
          <t>1000</t>
        </is>
      </c>
      <c r="D1310" t="inlineStr">
        <is>
          <t>M3</t>
        </is>
      </c>
      <c r="E1310" t="n">
        <v>1000</v>
      </c>
      <c r="F1310" t="inlineStr">
        <is>
          <t>TN</t>
        </is>
      </c>
      <c r="G1310" t="n">
        <v>1487</v>
      </c>
      <c r="H1310" t="inlineStr">
        <is>
          <t>POLVILLO (3/8" - 0) CP</t>
        </is>
      </c>
    </row>
    <row r="1311">
      <c r="A1311" t="n">
        <v>10170915</v>
      </c>
      <c r="B1311" t="inlineStr">
        <is>
          <t>ZFE3</t>
        </is>
      </c>
      <c r="C1311" t="inlineStr">
        <is>
          <t>1000</t>
        </is>
      </c>
      <c r="D1311" t="inlineStr">
        <is>
          <t>M3</t>
        </is>
      </c>
      <c r="E1311" t="n">
        <v>1000</v>
      </c>
      <c r="F1311" t="inlineStr">
        <is>
          <t>TN</t>
        </is>
      </c>
      <c r="G1311" t="n">
        <v>1436</v>
      </c>
      <c r="H1311" t="inlineStr">
        <is>
          <t>CAPA BASE (1-1/2" - 0) CP</t>
        </is>
      </c>
    </row>
    <row r="1312">
      <c r="A1312" t="n">
        <v>10171166</v>
      </c>
      <c r="B1312" t="inlineStr">
        <is>
          <t>ZFE3</t>
        </is>
      </c>
      <c r="C1312" t="inlineStr">
        <is>
          <t>1000</t>
        </is>
      </c>
      <c r="D1312" t="inlineStr">
        <is>
          <t>M3</t>
        </is>
      </c>
      <c r="E1312" t="n">
        <v>1000</v>
      </c>
      <c r="F1312" t="inlineStr">
        <is>
          <t>TN</t>
        </is>
      </c>
      <c r="G1312" t="n">
        <v>1675</v>
      </c>
      <c r="H1312" t="inlineStr">
        <is>
          <t>ARENA TRITURADA CALIZA MALLA 4</t>
        </is>
      </c>
    </row>
    <row r="1313">
      <c r="A1313" t="n">
        <v>10171167</v>
      </c>
      <c r="B1313" t="inlineStr">
        <is>
          <t>ZFE3</t>
        </is>
      </c>
      <c r="C1313" t="inlineStr">
        <is>
          <t>1000</t>
        </is>
      </c>
      <c r="D1313" t="inlineStr">
        <is>
          <t>M3</t>
        </is>
      </c>
      <c r="E1313" t="n">
        <v>1000</v>
      </c>
      <c r="F1313" t="inlineStr">
        <is>
          <t>TN</t>
        </is>
      </c>
      <c r="G1313" t="n">
        <v>1341</v>
      </c>
      <c r="H1313" t="inlineStr">
        <is>
          <t>ARENA TRITURADA ANDESITA MALLA 4</t>
        </is>
      </c>
    </row>
    <row r="1314">
      <c r="A1314" t="n">
        <v>10171201</v>
      </c>
      <c r="B1314" t="inlineStr">
        <is>
          <t>ZFE3</t>
        </is>
      </c>
      <c r="C1314" t="inlineStr">
        <is>
          <t>1000</t>
        </is>
      </c>
      <c r="D1314" t="inlineStr">
        <is>
          <t>M3</t>
        </is>
      </c>
      <c r="E1314" t="n">
        <v>1000</v>
      </c>
      <c r="F1314" t="inlineStr">
        <is>
          <t>TN</t>
        </is>
      </c>
      <c r="G1314" t="n">
        <v>1511</v>
      </c>
      <c r="H1314" t="inlineStr">
        <is>
          <t>ARENA CLASIFICADA BASALTO MALLA 4</t>
        </is>
      </c>
    </row>
    <row r="1315">
      <c r="A1315" t="n">
        <v>10171499</v>
      </c>
      <c r="B1315" t="inlineStr">
        <is>
          <t>ZFE3</t>
        </is>
      </c>
      <c r="C1315" t="inlineStr">
        <is>
          <t>1000</t>
        </is>
      </c>
      <c r="D1315" t="inlineStr">
        <is>
          <t>M3</t>
        </is>
      </c>
      <c r="E1315" t="n">
        <v>1000</v>
      </c>
      <c r="F1315" t="inlineStr">
        <is>
          <t>TN</t>
        </is>
      </c>
      <c r="G1315" t="n">
        <v>1182</v>
      </c>
      <c r="H1315" t="inlineStr">
        <is>
          <t>GRAVA TRITURADA CALIZA 13 MM - 1/2"</t>
        </is>
      </c>
    </row>
    <row r="1316">
      <c r="A1316" t="n">
        <v>10171540</v>
      </c>
      <c r="B1316" t="inlineStr">
        <is>
          <t>ZFE3</t>
        </is>
      </c>
      <c r="C1316" t="inlineStr">
        <is>
          <t>1000</t>
        </is>
      </c>
      <c r="D1316" t="inlineStr">
        <is>
          <t>M3</t>
        </is>
      </c>
      <c r="E1316" t="n">
        <v>1000</v>
      </c>
      <c r="F1316" t="inlineStr">
        <is>
          <t>TN</t>
        </is>
      </c>
      <c r="G1316" t="n">
        <v>1520</v>
      </c>
      <c r="H1316" t="inlineStr">
        <is>
          <t>ARENA TRITURADA CALIZA MALLA 4</t>
        </is>
      </c>
    </row>
    <row r="1317">
      <c r="A1317" t="n">
        <v>10171541</v>
      </c>
      <c r="B1317" t="inlineStr">
        <is>
          <t>ZFE3</t>
        </is>
      </c>
      <c r="C1317" t="inlineStr">
        <is>
          <t>1000</t>
        </is>
      </c>
      <c r="D1317" t="inlineStr">
        <is>
          <t>M3</t>
        </is>
      </c>
      <c r="E1317" t="n">
        <v>1000</v>
      </c>
      <c r="F1317" t="inlineStr">
        <is>
          <t>TN</t>
        </is>
      </c>
      <c r="G1317" t="n">
        <v>1290</v>
      </c>
      <c r="H1317" t="inlineStr">
        <is>
          <t>GRAVA TRITURADA CALIZA 20 MM - 3/4"</t>
        </is>
      </c>
    </row>
    <row r="1318">
      <c r="A1318" t="n">
        <v>10171542</v>
      </c>
      <c r="B1318" t="inlineStr">
        <is>
          <t>ZFE3</t>
        </is>
      </c>
      <c r="C1318" t="inlineStr">
        <is>
          <t>1000</t>
        </is>
      </c>
      <c r="D1318" t="inlineStr">
        <is>
          <t>M3</t>
        </is>
      </c>
      <c r="E1318" t="n">
        <v>1000</v>
      </c>
      <c r="F1318" t="inlineStr">
        <is>
          <t>TN</t>
        </is>
      </c>
      <c r="G1318" t="n">
        <v>1305</v>
      </c>
      <c r="H1318" t="inlineStr">
        <is>
          <t>GRAVA TRITURADA CALIZA 40 MM - 1 1/2"</t>
        </is>
      </c>
    </row>
    <row r="1319">
      <c r="A1319" t="n">
        <v>10171622</v>
      </c>
      <c r="B1319" t="inlineStr">
        <is>
          <t>ZFE3</t>
        </is>
      </c>
      <c r="C1319" t="inlineStr">
        <is>
          <t>1000</t>
        </is>
      </c>
      <c r="D1319" t="inlineStr">
        <is>
          <t>M3</t>
        </is>
      </c>
      <c r="E1319" t="n">
        <v>1000</v>
      </c>
      <c r="F1319" t="inlineStr">
        <is>
          <t>TN</t>
        </is>
      </c>
      <c r="G1319" t="n">
        <v>1486</v>
      </c>
      <c r="H1319" t="inlineStr">
        <is>
          <t>GRAVA TRITURADA CALIZA 20 MM - 3/4"</t>
        </is>
      </c>
    </row>
    <row r="1320">
      <c r="A1320" t="n">
        <v>10171623</v>
      </c>
      <c r="B1320" t="inlineStr">
        <is>
          <t>ZFE3</t>
        </is>
      </c>
      <c r="C1320" t="inlineStr">
        <is>
          <t>1000</t>
        </is>
      </c>
      <c r="D1320" t="inlineStr">
        <is>
          <t>M3</t>
        </is>
      </c>
      <c r="E1320" t="n">
        <v>1000</v>
      </c>
      <c r="F1320" t="inlineStr">
        <is>
          <t>TN</t>
        </is>
      </c>
      <c r="G1320" t="n">
        <v>1415</v>
      </c>
      <c r="H1320" t="inlineStr">
        <is>
          <t>GRAVA TRITURADA CALIZA 40 MM - 1 1/2"</t>
        </is>
      </c>
    </row>
    <row r="1321">
      <c r="A1321" t="n">
        <v>10171624</v>
      </c>
      <c r="B1321" t="inlineStr">
        <is>
          <t>ZFE3</t>
        </is>
      </c>
      <c r="C1321" t="inlineStr">
        <is>
          <t>1000</t>
        </is>
      </c>
      <c r="D1321" t="inlineStr">
        <is>
          <t>M3</t>
        </is>
      </c>
      <c r="E1321" t="n">
        <v>1000</v>
      </c>
      <c r="F1321" t="inlineStr">
        <is>
          <t>TN</t>
        </is>
      </c>
      <c r="G1321" t="n">
        <v>1675</v>
      </c>
      <c r="H1321" t="inlineStr">
        <is>
          <t>ARENA TRITURADA CALIZA MALLA 4</t>
        </is>
      </c>
    </row>
    <row r="1322">
      <c r="A1322" t="n">
        <v>10171645</v>
      </c>
      <c r="B1322" t="inlineStr">
        <is>
          <t>ZFE3</t>
        </is>
      </c>
      <c r="C1322" t="inlineStr">
        <is>
          <t>1000</t>
        </is>
      </c>
      <c r="D1322" t="inlineStr">
        <is>
          <t>M3</t>
        </is>
      </c>
      <c r="E1322" t="n">
        <v>1000</v>
      </c>
      <c r="F1322" t="inlineStr">
        <is>
          <t>TN</t>
        </is>
      </c>
      <c r="G1322" t="n">
        <v>1362</v>
      </c>
      <c r="H1322" t="inlineStr">
        <is>
          <t>GRAVA TRITURADA CALIZA 40 MM - 1 1/2"</t>
        </is>
      </c>
    </row>
    <row r="1323">
      <c r="A1323" t="n">
        <v>10171646</v>
      </c>
      <c r="B1323" t="inlineStr">
        <is>
          <t>ZFE3</t>
        </is>
      </c>
      <c r="C1323" t="inlineStr">
        <is>
          <t>1000</t>
        </is>
      </c>
      <c r="D1323" t="inlineStr">
        <is>
          <t>M3</t>
        </is>
      </c>
      <c r="E1323" t="n">
        <v>1000</v>
      </c>
      <c r="F1323" t="inlineStr">
        <is>
          <t>TN</t>
        </is>
      </c>
      <c r="G1323" t="n">
        <v>1473</v>
      </c>
      <c r="H1323" t="inlineStr">
        <is>
          <t>GRAVA TRITURADA CALIZA 10 MM - 3/8"</t>
        </is>
      </c>
    </row>
    <row r="1324">
      <c r="A1324" t="n">
        <v>10171775</v>
      </c>
      <c r="B1324" t="inlineStr">
        <is>
          <t>ZFE3</t>
        </is>
      </c>
      <c r="C1324" t="inlineStr">
        <is>
          <t>1000</t>
        </is>
      </c>
      <c r="D1324" t="inlineStr">
        <is>
          <t>M3</t>
        </is>
      </c>
      <c r="E1324" t="n">
        <v>1000</v>
      </c>
      <c r="F1324" t="inlineStr">
        <is>
          <t>TN</t>
        </is>
      </c>
      <c r="G1324" t="n">
        <v>1268</v>
      </c>
      <c r="H1324" t="inlineStr">
        <is>
          <t>PIEDRA NO.7 (GRAVA 1/2 - NO.4) C</t>
        </is>
      </c>
    </row>
    <row r="1325">
      <c r="A1325" t="n">
        <v>10171776</v>
      </c>
      <c r="B1325" t="inlineStr">
        <is>
          <t>ZFE3</t>
        </is>
      </c>
      <c r="C1325" t="inlineStr">
        <is>
          <t>1000</t>
        </is>
      </c>
      <c r="D1325" t="inlineStr">
        <is>
          <t>M3</t>
        </is>
      </c>
      <c r="E1325" t="n">
        <v>1000</v>
      </c>
      <c r="F1325" t="inlineStr">
        <is>
          <t>TN</t>
        </is>
      </c>
      <c r="G1325" t="n">
        <v>1327</v>
      </c>
      <c r="H1325" t="inlineStr">
        <is>
          <t>PIEDRA NO.56 (GRAVA 1-3/8) CM</t>
        </is>
      </c>
    </row>
    <row r="1326">
      <c r="A1326" t="n">
        <v>10171777</v>
      </c>
      <c r="B1326" t="inlineStr">
        <is>
          <t>ZFE3</t>
        </is>
      </c>
      <c r="C1326" t="inlineStr">
        <is>
          <t>1000</t>
        </is>
      </c>
      <c r="D1326" t="inlineStr">
        <is>
          <t>M3</t>
        </is>
      </c>
      <c r="E1326" t="n">
        <v>1000</v>
      </c>
      <c r="F1326" t="inlineStr">
        <is>
          <t>TN</t>
        </is>
      </c>
      <c r="G1326" t="n">
        <v>1400</v>
      </c>
      <c r="H1326" t="inlineStr">
        <is>
          <t>POLVILLO (3/8" - 0) C</t>
        </is>
      </c>
    </row>
    <row r="1327">
      <c r="A1327" t="n">
        <v>10171778</v>
      </c>
      <c r="B1327" t="inlineStr">
        <is>
          <t>ZFE3</t>
        </is>
      </c>
      <c r="C1327" t="inlineStr">
        <is>
          <t>1000</t>
        </is>
      </c>
      <c r="D1327" t="inlineStr">
        <is>
          <t>M3</t>
        </is>
      </c>
      <c r="E1327" t="n">
        <v>1000</v>
      </c>
      <c r="F1327" t="inlineStr">
        <is>
          <t>TN</t>
        </is>
      </c>
      <c r="G1327" t="n">
        <v>1680</v>
      </c>
      <c r="H1327" t="inlineStr">
        <is>
          <t>CAPA BASE (1-1/2" - 0) C</t>
        </is>
      </c>
    </row>
    <row r="1328">
      <c r="A1328" t="n">
        <v>10172168</v>
      </c>
      <c r="B1328" t="inlineStr">
        <is>
          <t>ZFE3</t>
        </is>
      </c>
      <c r="C1328" t="inlineStr">
        <is>
          <t>1000</t>
        </is>
      </c>
      <c r="D1328" t="inlineStr">
        <is>
          <t>M3</t>
        </is>
      </c>
      <c r="E1328" t="n">
        <v>1000</v>
      </c>
      <c r="F1328" t="inlineStr">
        <is>
          <t>TN</t>
        </is>
      </c>
      <c r="G1328" t="n">
        <v>1385</v>
      </c>
      <c r="H1328" t="inlineStr">
        <is>
          <t>PIEDRA DE GAVIÓN ROCK</t>
        </is>
      </c>
    </row>
    <row r="1329">
      <c r="A1329" t="n">
        <v>10172195</v>
      </c>
      <c r="B1329" t="inlineStr">
        <is>
          <t>ZFE3</t>
        </is>
      </c>
      <c r="C1329" t="inlineStr">
        <is>
          <t>1000</t>
        </is>
      </c>
      <c r="D1329" t="inlineStr">
        <is>
          <t>M3</t>
        </is>
      </c>
      <c r="E1329" t="n">
        <v>1000</v>
      </c>
      <c r="F1329" t="inlineStr">
        <is>
          <t>TN</t>
        </is>
      </c>
      <c r="G1329" t="n">
        <v>1382</v>
      </c>
      <c r="H1329" t="inlineStr">
        <is>
          <t>GRAVA CRIBADA VOLCÁNICA 20 MM - 3/4"</t>
        </is>
      </c>
    </row>
    <row r="1330">
      <c r="A1330" t="n">
        <v>10172240</v>
      </c>
      <c r="B1330" t="inlineStr">
        <is>
          <t>ZFE3</t>
        </is>
      </c>
      <c r="C1330" t="inlineStr">
        <is>
          <t>1000</t>
        </is>
      </c>
      <c r="D1330" t="inlineStr">
        <is>
          <t>M3</t>
        </is>
      </c>
      <c r="E1330" t="n">
        <v>1000</v>
      </c>
      <c r="F1330" t="inlineStr">
        <is>
          <t>TN</t>
        </is>
      </c>
      <c r="G1330" t="n">
        <v>1300</v>
      </c>
      <c r="H1330" t="inlineStr">
        <is>
          <t>GRAVA TRITURADA TEZONTLE 20MM - 3/4" A F</t>
        </is>
      </c>
    </row>
    <row r="1331">
      <c r="A1331" t="n">
        <v>10172329</v>
      </c>
      <c r="B1331" t="inlineStr">
        <is>
          <t>ZFE3</t>
        </is>
      </c>
      <c r="C1331" t="inlineStr">
        <is>
          <t>1000</t>
        </is>
      </c>
      <c r="D1331" t="inlineStr">
        <is>
          <t>M3</t>
        </is>
      </c>
      <c r="E1331" t="n">
        <v>1000</v>
      </c>
      <c r="F1331" t="inlineStr">
        <is>
          <t>TN</t>
        </is>
      </c>
      <c r="G1331" t="n">
        <v>1615</v>
      </c>
      <c r="H1331" t="inlineStr">
        <is>
          <t>ARENA TRITURADA CALIZA MALLA 4</t>
        </is>
      </c>
    </row>
    <row r="1332">
      <c r="A1332" t="n">
        <v>10172330</v>
      </c>
      <c r="B1332" t="inlineStr">
        <is>
          <t>ZFE3</t>
        </is>
      </c>
      <c r="C1332" t="inlineStr">
        <is>
          <t>1000</t>
        </is>
      </c>
      <c r="D1332" t="inlineStr">
        <is>
          <t>M3</t>
        </is>
      </c>
      <c r="E1332" t="n">
        <v>1000</v>
      </c>
      <c r="F1332" t="inlineStr">
        <is>
          <t>TN</t>
        </is>
      </c>
      <c r="G1332" t="n">
        <v>1335</v>
      </c>
      <c r="H1332" t="inlineStr">
        <is>
          <t>GRAVA TRITURADA CALIZA 20 MM - 3/4"</t>
        </is>
      </c>
    </row>
    <row r="1333">
      <c r="A1333" t="n">
        <v>10172784</v>
      </c>
      <c r="B1333" t="inlineStr">
        <is>
          <t>ZFE3</t>
        </is>
      </c>
      <c r="C1333" t="inlineStr">
        <is>
          <t>1000</t>
        </is>
      </c>
      <c r="D1333" t="inlineStr">
        <is>
          <t>M3</t>
        </is>
      </c>
      <c r="E1333" t="n">
        <v>1000</v>
      </c>
      <c r="F1333" t="inlineStr">
        <is>
          <t>TN</t>
        </is>
      </c>
      <c r="G1333" t="n">
        <v>1543</v>
      </c>
      <c r="H1333" t="inlineStr">
        <is>
          <t>BASE HIDRÁULICA 40%FINOS-60%GRUESOS</t>
        </is>
      </c>
    </row>
    <row r="1334">
      <c r="A1334" t="n">
        <v>10172785</v>
      </c>
      <c r="B1334" t="inlineStr">
        <is>
          <t>ZFE3</t>
        </is>
      </c>
      <c r="C1334" t="inlineStr">
        <is>
          <t>1000</t>
        </is>
      </c>
      <c r="D1334" t="inlineStr">
        <is>
          <t>M3</t>
        </is>
      </c>
      <c r="E1334" t="n">
        <v>1000</v>
      </c>
      <c r="F1334" t="inlineStr">
        <is>
          <t>TN</t>
        </is>
      </c>
      <c r="G1334" t="n">
        <v>1584</v>
      </c>
      <c r="H1334" t="inlineStr">
        <is>
          <t>BASE HIDRÁULICA 60%FINOS-40%GRUESOS</t>
        </is>
      </c>
    </row>
    <row r="1335">
      <c r="A1335" t="n">
        <v>10173093</v>
      </c>
      <c r="B1335" t="inlineStr">
        <is>
          <t>ZFE3</t>
        </is>
      </c>
      <c r="C1335" t="inlineStr">
        <is>
          <t>1000</t>
        </is>
      </c>
      <c r="D1335" t="inlineStr">
        <is>
          <t>M3</t>
        </is>
      </c>
      <c r="E1335" t="n">
        <v>1000</v>
      </c>
      <c r="F1335" t="inlineStr">
        <is>
          <t>TN</t>
        </is>
      </c>
      <c r="G1335" t="n">
        <v>1522</v>
      </c>
      <c r="H1335" t="inlineStr">
        <is>
          <t>BALASTRO 1 ½ A FINOS</t>
        </is>
      </c>
    </row>
    <row r="1336">
      <c r="A1336" t="n">
        <v>10173111</v>
      </c>
      <c r="B1336" t="inlineStr">
        <is>
          <t>ZFE3</t>
        </is>
      </c>
      <c r="C1336" t="inlineStr">
        <is>
          <t>1000</t>
        </is>
      </c>
      <c r="D1336" t="inlineStr">
        <is>
          <t>M3</t>
        </is>
      </c>
      <c r="E1336" t="n">
        <v>1000</v>
      </c>
      <c r="F1336" t="inlineStr">
        <is>
          <t>TN</t>
        </is>
      </c>
      <c r="G1336" t="n">
        <v>1500</v>
      </c>
      <c r="H1336" t="inlineStr">
        <is>
          <t>BASALTO 8" A 12" (20 A 30 CM)</t>
        </is>
      </c>
    </row>
    <row r="1337">
      <c r="A1337" t="n">
        <v>10173164</v>
      </c>
      <c r="B1337" t="inlineStr">
        <is>
          <t>ZFE3</t>
        </is>
      </c>
      <c r="C1337" t="inlineStr">
        <is>
          <t>1000</t>
        </is>
      </c>
      <c r="D1337" t="inlineStr">
        <is>
          <t>M3</t>
        </is>
      </c>
      <c r="E1337" t="n">
        <v>1000</v>
      </c>
      <c r="F1337" t="inlineStr">
        <is>
          <t>TN</t>
        </is>
      </c>
      <c r="G1337" t="n">
        <v>1700</v>
      </c>
      <c r="H1337" t="inlineStr">
        <is>
          <t>ARENA SILICA GRANUSIL 4095</t>
        </is>
      </c>
    </row>
    <row r="1338">
      <c r="A1338" t="n">
        <v>10173165</v>
      </c>
      <c r="B1338" t="inlineStr">
        <is>
          <t>ZFE3</t>
        </is>
      </c>
      <c r="C1338" t="inlineStr">
        <is>
          <t>1000</t>
        </is>
      </c>
      <c r="D1338" t="inlineStr">
        <is>
          <t>M3</t>
        </is>
      </c>
      <c r="E1338" t="n">
        <v>1000</v>
      </c>
      <c r="F1338" t="inlineStr">
        <is>
          <t>TN</t>
        </is>
      </c>
      <c r="G1338" t="n">
        <v>1650</v>
      </c>
      <c r="H1338" t="inlineStr">
        <is>
          <t>BASE H TRITURADA CALIZA 3/4"" A FINOS"</t>
        </is>
      </c>
    </row>
    <row r="1339">
      <c r="A1339" t="n">
        <v>10173438</v>
      </c>
      <c r="B1339" t="inlineStr">
        <is>
          <t>ZFE3</t>
        </is>
      </c>
      <c r="C1339" t="inlineStr">
        <is>
          <t>1000</t>
        </is>
      </c>
      <c r="D1339" t="inlineStr">
        <is>
          <t>M3</t>
        </is>
      </c>
      <c r="E1339" t="n">
        <v>1000</v>
      </c>
      <c r="F1339" t="inlineStr">
        <is>
          <t>TN</t>
        </is>
      </c>
      <c r="G1339" t="n">
        <v>1600</v>
      </c>
      <c r="H1339" t="inlineStr">
        <is>
          <t>GRAVA TRITURADA MARMOL 20 MM - 3/4" - NG</t>
        </is>
      </c>
    </row>
    <row r="1340">
      <c r="A1340" t="n">
        <v>10173699</v>
      </c>
      <c r="B1340" t="inlineStr">
        <is>
          <t>ZFE3</t>
        </is>
      </c>
      <c r="C1340" t="inlineStr">
        <is>
          <t>1000</t>
        </is>
      </c>
      <c r="D1340" t="inlineStr">
        <is>
          <t>M3</t>
        </is>
      </c>
      <c r="E1340" t="n">
        <v>1000</v>
      </c>
      <c r="F1340" t="inlineStr">
        <is>
          <t>TN</t>
        </is>
      </c>
      <c r="G1340" t="n">
        <v>1576</v>
      </c>
      <c r="H1340" t="inlineStr">
        <is>
          <t>ARENA CLASIFICADA RIO MALLA 4 LAVADA</t>
        </is>
      </c>
    </row>
    <row r="1341">
      <c r="A1341" t="n">
        <v>10173714</v>
      </c>
      <c r="B1341" t="inlineStr">
        <is>
          <t>ZFE3</t>
        </is>
      </c>
      <c r="C1341" t="inlineStr">
        <is>
          <t>1000</t>
        </is>
      </c>
      <c r="D1341" t="inlineStr">
        <is>
          <t>M3</t>
        </is>
      </c>
      <c r="E1341" t="n">
        <v>1000</v>
      </c>
      <c r="F1341" t="inlineStr">
        <is>
          <t>TN</t>
        </is>
      </c>
      <c r="G1341" t="n">
        <v>1380</v>
      </c>
      <c r="H1341" t="inlineStr">
        <is>
          <t>BALASTO TRITURADO BASALTO - NG</t>
        </is>
      </c>
    </row>
    <row r="1342">
      <c r="A1342" t="n">
        <v>10173715</v>
      </c>
      <c r="B1342" t="inlineStr">
        <is>
          <t>ZFE3</t>
        </is>
      </c>
      <c r="C1342" t="inlineStr">
        <is>
          <t>1000</t>
        </is>
      </c>
      <c r="D1342" t="inlineStr">
        <is>
          <t>M3</t>
        </is>
      </c>
      <c r="E1342" t="n">
        <v>1000</v>
      </c>
      <c r="F1342" t="inlineStr">
        <is>
          <t>TN</t>
        </is>
      </c>
      <c r="G1342" t="n">
        <v>1528</v>
      </c>
      <c r="H1342" t="inlineStr">
        <is>
          <t>GRAVA CLASIFICADA RÍO 10 MM - 3/8" - NG</t>
        </is>
      </c>
    </row>
    <row r="1343">
      <c r="A1343" t="n">
        <v>10173716</v>
      </c>
      <c r="B1343" t="inlineStr">
        <is>
          <t>ZFE3</t>
        </is>
      </c>
      <c r="C1343" t="inlineStr">
        <is>
          <t>1000</t>
        </is>
      </c>
      <c r="D1343" t="inlineStr">
        <is>
          <t>M3</t>
        </is>
      </c>
      <c r="E1343" t="n">
        <v>1000</v>
      </c>
      <c r="F1343" t="inlineStr">
        <is>
          <t>TN</t>
        </is>
      </c>
      <c r="G1343" t="n">
        <v>1235</v>
      </c>
      <c r="H1343" t="inlineStr">
        <is>
          <t>GRAVON DE 4" A 2" - NG</t>
        </is>
      </c>
    </row>
    <row r="1344">
      <c r="A1344" t="n">
        <v>10173784</v>
      </c>
      <c r="B1344" t="inlineStr">
        <is>
          <t>ZFE3</t>
        </is>
      </c>
      <c r="C1344" t="inlineStr">
        <is>
          <t>1000</t>
        </is>
      </c>
      <c r="D1344" t="inlineStr">
        <is>
          <t>M3</t>
        </is>
      </c>
      <c r="E1344" t="n">
        <v>1000</v>
      </c>
      <c r="F1344" t="inlineStr">
        <is>
          <t>TN</t>
        </is>
      </c>
      <c r="G1344" t="n">
        <v>1624</v>
      </c>
      <c r="H1344" t="inlineStr">
        <is>
          <t>BASE HIDRÁULICA 80%FINOS-20%GRUESOS</t>
        </is>
      </c>
    </row>
    <row r="1345">
      <c r="A1345" t="n">
        <v>10173931</v>
      </c>
      <c r="B1345" t="inlineStr">
        <is>
          <t>ZFE3</t>
        </is>
      </c>
      <c r="C1345" t="inlineStr">
        <is>
          <t>1000</t>
        </is>
      </c>
      <c r="D1345" t="inlineStr">
        <is>
          <t>M3</t>
        </is>
      </c>
      <c r="E1345" t="n">
        <v>1000</v>
      </c>
      <c r="F1345" t="inlineStr">
        <is>
          <t>TN</t>
        </is>
      </c>
      <c r="G1345" t="n">
        <v>1357</v>
      </c>
      <c r="H1345" t="inlineStr">
        <is>
          <t>ARENA CLASIFICADA RÍO MALLA 4</t>
        </is>
      </c>
    </row>
    <row r="1346">
      <c r="A1346" t="n">
        <v>10173967</v>
      </c>
      <c r="B1346" t="inlineStr">
        <is>
          <t>ZFE3</t>
        </is>
      </c>
      <c r="C1346" t="inlineStr">
        <is>
          <t>1000</t>
        </is>
      </c>
      <c r="D1346" t="inlineStr">
        <is>
          <t>M3</t>
        </is>
      </c>
      <c r="E1346" t="n">
        <v>1000</v>
      </c>
      <c r="F1346" t="inlineStr">
        <is>
          <t>TN</t>
        </is>
      </c>
      <c r="G1346" t="n">
        <v>1527</v>
      </c>
      <c r="H1346" t="inlineStr">
        <is>
          <t>ARENA TRITURADA CALIZA LAVADA</t>
        </is>
      </c>
    </row>
    <row r="1347">
      <c r="A1347" t="n">
        <v>10174290</v>
      </c>
      <c r="B1347" t="inlineStr">
        <is>
          <t>ZFE3</t>
        </is>
      </c>
      <c r="C1347" t="inlineStr">
        <is>
          <t>1000</t>
        </is>
      </c>
      <c r="D1347" t="inlineStr">
        <is>
          <t>M3</t>
        </is>
      </c>
      <c r="E1347" t="n">
        <v>1000</v>
      </c>
      <c r="F1347" t="inlineStr">
        <is>
          <t>TN</t>
        </is>
      </c>
      <c r="G1347" t="n">
        <v>1550</v>
      </c>
      <c r="H1347" t="inlineStr">
        <is>
          <t>POLVILLO (3/8 - 0) VA</t>
        </is>
      </c>
    </row>
    <row r="1348">
      <c r="A1348" t="n">
        <v>10175167</v>
      </c>
      <c r="B1348" t="inlineStr">
        <is>
          <t>ZFE3</t>
        </is>
      </c>
      <c r="C1348" t="inlineStr">
        <is>
          <t>1000</t>
        </is>
      </c>
      <c r="D1348" t="inlineStr">
        <is>
          <t>M3</t>
        </is>
      </c>
      <c r="E1348" t="n">
        <v>1000</v>
      </c>
      <c r="F1348" t="inlineStr">
        <is>
          <t>TN</t>
        </is>
      </c>
      <c r="G1348" t="n">
        <v>1450</v>
      </c>
      <c r="H1348" t="inlineStr">
        <is>
          <t>GRAVA TRITURADA BASALTO 20MM-3/4"PUQ NG</t>
        </is>
      </c>
    </row>
    <row r="1349">
      <c r="A1349" t="n">
        <v>10175168</v>
      </c>
      <c r="B1349" t="inlineStr">
        <is>
          <t>ZFE3</t>
        </is>
      </c>
      <c r="C1349" t="inlineStr">
        <is>
          <t>1000</t>
        </is>
      </c>
      <c r="D1349" t="inlineStr">
        <is>
          <t>M3</t>
        </is>
      </c>
      <c r="E1349" t="n">
        <v>1000</v>
      </c>
      <c r="F1349" t="inlineStr">
        <is>
          <t>TN</t>
        </is>
      </c>
      <c r="G1349" t="n">
        <v>1500</v>
      </c>
      <c r="H1349" t="inlineStr">
        <is>
          <t>BALASTO PIEDRA CALIZA 2"-4" - NG</t>
        </is>
      </c>
    </row>
    <row r="1350">
      <c r="A1350" t="n">
        <v>10175210</v>
      </c>
      <c r="B1350" t="inlineStr">
        <is>
          <t>ZFE3</t>
        </is>
      </c>
      <c r="C1350" t="inlineStr">
        <is>
          <t>1000</t>
        </is>
      </c>
      <c r="D1350" t="inlineStr">
        <is>
          <t>M3</t>
        </is>
      </c>
      <c r="E1350" t="n">
        <v>1000</v>
      </c>
      <c r="F1350" t="inlineStr">
        <is>
          <t>TN</t>
        </is>
      </c>
      <c r="G1350" t="n">
        <v>1350</v>
      </c>
      <c r="H1350" t="inlineStr">
        <is>
          <t>CRUDO BASALTO - NG</t>
        </is>
      </c>
    </row>
    <row r="1351">
      <c r="A1351" t="n">
        <v>10175214</v>
      </c>
      <c r="B1351" t="inlineStr">
        <is>
          <t>ZFE3</t>
        </is>
      </c>
      <c r="C1351" t="inlineStr">
        <is>
          <t>1000</t>
        </is>
      </c>
      <c r="D1351" t="inlineStr">
        <is>
          <t>M3</t>
        </is>
      </c>
      <c r="E1351" t="n">
        <v>1000</v>
      </c>
      <c r="F1351" t="inlineStr">
        <is>
          <t>TN</t>
        </is>
      </c>
      <c r="G1351" t="n">
        <v>1311</v>
      </c>
      <c r="H1351" t="inlineStr">
        <is>
          <t>GRAVA TRITURADA ANDESITA 20 MM - 3/4" ST</t>
        </is>
      </c>
    </row>
    <row r="1352">
      <c r="A1352" t="n">
        <v>10175229</v>
      </c>
      <c r="B1352" t="inlineStr">
        <is>
          <t>ZFE3</t>
        </is>
      </c>
      <c r="C1352" t="inlineStr">
        <is>
          <t>1000</t>
        </is>
      </c>
      <c r="D1352" t="inlineStr">
        <is>
          <t>M3</t>
        </is>
      </c>
      <c r="E1352" t="n">
        <v>1000</v>
      </c>
      <c r="F1352" t="inlineStr">
        <is>
          <t>TN</t>
        </is>
      </c>
      <c r="G1352" t="n">
        <v>1780</v>
      </c>
      <c r="H1352" t="inlineStr">
        <is>
          <t>BASE H TRIT CAL CEM 3% 1 1/2" A FINOS-NG</t>
        </is>
      </c>
    </row>
    <row r="1353">
      <c r="A1353" t="n">
        <v>10175280</v>
      </c>
      <c r="B1353" t="inlineStr">
        <is>
          <t>ZFE3</t>
        </is>
      </c>
      <c r="C1353" t="inlineStr">
        <is>
          <t>1000</t>
        </is>
      </c>
      <c r="D1353" t="inlineStr">
        <is>
          <t>M3</t>
        </is>
      </c>
      <c r="E1353" t="n">
        <v>1000</v>
      </c>
      <c r="F1353" t="inlineStr">
        <is>
          <t>TN</t>
        </is>
      </c>
      <c r="G1353" t="n">
        <v>1385</v>
      </c>
      <c r="H1353" t="inlineStr">
        <is>
          <t>GRAVA TRITURADA ANDESITA 20MM-3/4"-NG</t>
        </is>
      </c>
    </row>
    <row r="1354">
      <c r="A1354" t="n">
        <v>10175580</v>
      </c>
      <c r="B1354" t="inlineStr">
        <is>
          <t>ZFE3</t>
        </is>
      </c>
      <c r="C1354" t="inlineStr">
        <is>
          <t>1000</t>
        </is>
      </c>
      <c r="D1354" t="inlineStr">
        <is>
          <t>M3</t>
        </is>
      </c>
      <c r="E1354" t="n">
        <v>1000</v>
      </c>
      <c r="F1354" t="inlineStr">
        <is>
          <t>TN</t>
        </is>
      </c>
      <c r="G1354" t="n">
        <v>1448</v>
      </c>
      <c r="H1354" t="inlineStr">
        <is>
          <t>GRAVA TRITURADA RIO 3/4</t>
        </is>
      </c>
    </row>
    <row r="1355">
      <c r="A1355" t="n">
        <v>10175723</v>
      </c>
      <c r="B1355" t="inlineStr">
        <is>
          <t>ZFE3</t>
        </is>
      </c>
      <c r="C1355" t="inlineStr">
        <is>
          <t>1000</t>
        </is>
      </c>
      <c r="D1355" t="inlineStr">
        <is>
          <t>M3</t>
        </is>
      </c>
      <c r="E1355" t="n">
        <v>1000</v>
      </c>
      <c r="F1355" t="inlineStr">
        <is>
          <t>TN</t>
        </is>
      </c>
      <c r="G1355" t="n">
        <v>1650</v>
      </c>
      <c r="H1355" t="inlineStr">
        <is>
          <t>BASE HIDRAULICA ANDESITA DE 1 1/2" A FIN</t>
        </is>
      </c>
    </row>
    <row r="1356">
      <c r="A1356" t="n">
        <v>10175724</v>
      </c>
      <c r="B1356" t="inlineStr">
        <is>
          <t>ZFE3</t>
        </is>
      </c>
      <c r="C1356" t="inlineStr">
        <is>
          <t>1000</t>
        </is>
      </c>
      <c r="D1356" t="inlineStr">
        <is>
          <t>M3</t>
        </is>
      </c>
      <c r="E1356" t="n">
        <v>1000</v>
      </c>
      <c r="F1356" t="inlineStr">
        <is>
          <t>TN</t>
        </is>
      </c>
      <c r="G1356" t="n">
        <v>1361</v>
      </c>
      <c r="H1356" t="inlineStr">
        <is>
          <t>ARENA ANDESITA MALLA 4 STOCK</t>
        </is>
      </c>
    </row>
    <row r="1357">
      <c r="A1357" t="n">
        <v>10175979</v>
      </c>
      <c r="B1357" t="inlineStr">
        <is>
          <t>ZFE3</t>
        </is>
      </c>
      <c r="C1357" t="inlineStr">
        <is>
          <t>1000</t>
        </is>
      </c>
      <c r="D1357" t="inlineStr">
        <is>
          <t>M3</t>
        </is>
      </c>
      <c r="E1357" t="n">
        <v>1000</v>
      </c>
      <c r="F1357" t="inlineStr">
        <is>
          <t>TN</t>
        </is>
      </c>
      <c r="G1357" t="n">
        <v>1680</v>
      </c>
      <c r="H1357" t="inlineStr">
        <is>
          <t>CERO FINO MARMOL</t>
        </is>
      </c>
    </row>
    <row r="1358">
      <c r="A1358" t="n">
        <v>10176320</v>
      </c>
      <c r="B1358" t="inlineStr">
        <is>
          <t>ZFE3</t>
        </is>
      </c>
      <c r="C1358" t="inlineStr">
        <is>
          <t>1000</t>
        </is>
      </c>
      <c r="D1358" t="inlineStr">
        <is>
          <t>M3</t>
        </is>
      </c>
      <c r="E1358" t="n">
        <v>1000</v>
      </c>
      <c r="F1358" t="inlineStr">
        <is>
          <t>TN</t>
        </is>
      </c>
      <c r="G1358" t="n">
        <v>1530</v>
      </c>
      <c r="H1358" t="inlineStr">
        <is>
          <t>ARENA TRITURADA RIO MALLA 4</t>
        </is>
      </c>
    </row>
    <row r="1359">
      <c r="A1359" t="n">
        <v>10176321</v>
      </c>
      <c r="B1359" t="inlineStr">
        <is>
          <t>ZFE3</t>
        </is>
      </c>
      <c r="C1359" t="inlineStr">
        <is>
          <t>1000</t>
        </is>
      </c>
      <c r="D1359" t="inlineStr">
        <is>
          <t>M3</t>
        </is>
      </c>
      <c r="E1359" t="n">
        <v>1000</v>
      </c>
      <c r="F1359" t="inlineStr">
        <is>
          <t>TN</t>
        </is>
      </c>
      <c r="G1359" t="n">
        <v>1400</v>
      </c>
      <c r="H1359" t="inlineStr">
        <is>
          <t>GRAVA TRITURADA RÍO 40 MM - 1 1/2"</t>
        </is>
      </c>
    </row>
    <row r="1360">
      <c r="A1360" t="n">
        <v>10176322</v>
      </c>
      <c r="B1360" t="inlineStr">
        <is>
          <t>ZFE3</t>
        </is>
      </c>
      <c r="C1360" t="inlineStr">
        <is>
          <t>1000</t>
        </is>
      </c>
      <c r="D1360" t="inlineStr">
        <is>
          <t>M3</t>
        </is>
      </c>
      <c r="E1360" t="n">
        <v>1000</v>
      </c>
      <c r="F1360" t="inlineStr">
        <is>
          <t>TN</t>
        </is>
      </c>
      <c r="G1360" t="n">
        <v>1400</v>
      </c>
      <c r="H1360" t="inlineStr">
        <is>
          <t>GRAVA TRITURADA RÍO 10 MM - 3/8"</t>
        </is>
      </c>
    </row>
    <row r="1361">
      <c r="A1361" t="n">
        <v>10177116</v>
      </c>
      <c r="B1361" t="inlineStr">
        <is>
          <t>ZFE3</t>
        </is>
      </c>
      <c r="C1361" t="inlineStr">
        <is>
          <t>1000</t>
        </is>
      </c>
      <c r="D1361" t="inlineStr">
        <is>
          <t>M3</t>
        </is>
      </c>
      <c r="E1361" t="n">
        <v>1000</v>
      </c>
      <c r="F1361" t="inlineStr">
        <is>
          <t>TN</t>
        </is>
      </c>
      <c r="G1361" t="n">
        <v>1680</v>
      </c>
      <c r="H1361" t="inlineStr">
        <is>
          <t>CRUDO SOBRETAMAÑO</t>
        </is>
      </c>
    </row>
    <row r="1362">
      <c r="A1362" t="n">
        <v>10177494</v>
      </c>
      <c r="B1362" t="inlineStr">
        <is>
          <t>ZFE3</t>
        </is>
      </c>
      <c r="C1362" t="inlineStr">
        <is>
          <t>1000</t>
        </is>
      </c>
      <c r="D1362" t="inlineStr">
        <is>
          <t>M3</t>
        </is>
      </c>
      <c r="E1362" t="n">
        <v>1000</v>
      </c>
      <c r="F1362" t="inlineStr">
        <is>
          <t>TN</t>
        </is>
      </c>
      <c r="G1362" t="n">
        <v>1640</v>
      </c>
      <c r="H1362" t="inlineStr">
        <is>
          <t>ARENA CALIZA CARTAGO NOVA</t>
        </is>
      </c>
    </row>
    <row r="1363">
      <c r="A1363" t="n">
        <v>10177568</v>
      </c>
      <c r="B1363" t="inlineStr">
        <is>
          <t>ZFE3</t>
        </is>
      </c>
      <c r="C1363" t="inlineStr">
        <is>
          <t>1000</t>
        </is>
      </c>
      <c r="D1363" t="inlineStr">
        <is>
          <t>M3</t>
        </is>
      </c>
      <c r="E1363" t="n">
        <v>1000</v>
      </c>
      <c r="F1363" t="inlineStr">
        <is>
          <t>TN</t>
        </is>
      </c>
      <c r="G1363" t="n">
        <v>1800</v>
      </c>
      <c r="H1363" t="inlineStr">
        <is>
          <t>TEPETATE CLASIFICADO TIERRA NA</t>
        </is>
      </c>
    </row>
    <row r="1364">
      <c r="A1364" t="n">
        <v>10177591</v>
      </c>
      <c r="B1364" t="inlineStr">
        <is>
          <t>ZFE3</t>
        </is>
      </c>
      <c r="C1364" t="inlineStr">
        <is>
          <t>1000</t>
        </is>
      </c>
      <c r="D1364" t="inlineStr">
        <is>
          <t>M3</t>
        </is>
      </c>
      <c r="E1364" t="n">
        <v>1000</v>
      </c>
      <c r="F1364" t="inlineStr">
        <is>
          <t>TN</t>
        </is>
      </c>
      <c r="G1364" t="n">
        <v>1700</v>
      </c>
      <c r="H1364" t="inlineStr">
        <is>
          <t>ARENA TRITURADA CALIZA MALLA 5</t>
        </is>
      </c>
    </row>
    <row r="1365">
      <c r="A1365" t="n">
        <v>10177637</v>
      </c>
      <c r="B1365" t="inlineStr">
        <is>
          <t>ZFE3</t>
        </is>
      </c>
      <c r="C1365" t="inlineStr">
        <is>
          <t>1000</t>
        </is>
      </c>
      <c r="D1365" t="inlineStr">
        <is>
          <t>M3</t>
        </is>
      </c>
      <c r="E1365" t="n">
        <v>1000</v>
      </c>
      <c r="F1365" t="inlineStr">
        <is>
          <t>TN</t>
        </is>
      </c>
      <c r="G1365" t="n">
        <v>1311</v>
      </c>
      <c r="H1365" t="inlineStr">
        <is>
          <t>GRAVA TRITURADA ANDESITA 20 MM - 3/4" AZ</t>
        </is>
      </c>
    </row>
    <row r="1366">
      <c r="A1366" t="n">
        <v>10177886</v>
      </c>
      <c r="B1366" t="inlineStr">
        <is>
          <t>ZFE3</t>
        </is>
      </c>
      <c r="C1366" t="inlineStr">
        <is>
          <t>1000</t>
        </is>
      </c>
      <c r="D1366" t="inlineStr">
        <is>
          <t>M3</t>
        </is>
      </c>
      <c r="E1366" t="n">
        <v>1000</v>
      </c>
      <c r="F1366" t="inlineStr">
        <is>
          <t>TN</t>
        </is>
      </c>
      <c r="G1366" t="n">
        <v>1514</v>
      </c>
      <c r="H1366" t="inlineStr">
        <is>
          <t>GRAVA FINA 1/2" LA SIERRA</t>
        </is>
      </c>
    </row>
    <row r="1367">
      <c r="A1367" t="n">
        <v>10177979</v>
      </c>
      <c r="B1367" t="inlineStr">
        <is>
          <t>ZFE3</t>
        </is>
      </c>
      <c r="C1367" t="inlineStr">
        <is>
          <t>1000</t>
        </is>
      </c>
      <c r="D1367" t="inlineStr">
        <is>
          <t>M3</t>
        </is>
      </c>
      <c r="E1367" t="n">
        <v>1000</v>
      </c>
      <c r="F1367" t="inlineStr">
        <is>
          <t>TN</t>
        </is>
      </c>
      <c r="G1367" t="n">
        <v>1700</v>
      </c>
      <c r="H1367" t="inlineStr">
        <is>
          <t>CERO GRUESO MARMOL</t>
        </is>
      </c>
    </row>
    <row r="1368">
      <c r="A1368" t="n">
        <v>10178029</v>
      </c>
      <c r="B1368" t="inlineStr">
        <is>
          <t>ZFE3</t>
        </is>
      </c>
      <c r="C1368" t="inlineStr">
        <is>
          <t>1000</t>
        </is>
      </c>
      <c r="D1368" t="inlineStr">
        <is>
          <t>M3</t>
        </is>
      </c>
      <c r="E1368" t="n">
        <v>1000</v>
      </c>
      <c r="F1368" t="inlineStr">
        <is>
          <t>TN</t>
        </is>
      </c>
      <c r="G1368" t="n">
        <v>1530</v>
      </c>
      <c r="H1368" t="inlineStr">
        <is>
          <t>ARENA TRITURADA CALIZA MALLA 4</t>
        </is>
      </c>
    </row>
    <row r="1369">
      <c r="A1369" t="n">
        <v>10178224</v>
      </c>
      <c r="B1369" t="inlineStr">
        <is>
          <t>ZFE3</t>
        </is>
      </c>
      <c r="C1369" t="inlineStr">
        <is>
          <t>1000</t>
        </is>
      </c>
      <c r="D1369" t="inlineStr">
        <is>
          <t>M3</t>
        </is>
      </c>
      <c r="E1369" t="n">
        <v>1000</v>
      </c>
      <c r="F1369" t="inlineStr">
        <is>
          <t>TN</t>
        </is>
      </c>
      <c r="G1369" t="n">
        <v>1280</v>
      </c>
      <c r="H1369" t="inlineStr">
        <is>
          <t>MATACAN 3 A 12</t>
        </is>
      </c>
    </row>
    <row r="1370">
      <c r="A1370" t="n">
        <v>10178270</v>
      </c>
      <c r="B1370" t="inlineStr">
        <is>
          <t>ZFE3</t>
        </is>
      </c>
      <c r="C1370" t="inlineStr">
        <is>
          <t>1000</t>
        </is>
      </c>
      <c r="D1370" t="inlineStr">
        <is>
          <t>M3</t>
        </is>
      </c>
      <c r="E1370" t="n">
        <v>1000</v>
      </c>
      <c r="F1370" t="inlineStr">
        <is>
          <t>TN</t>
        </is>
      </c>
      <c r="G1370" t="n">
        <v>1650</v>
      </c>
      <c r="H1370" t="inlineStr">
        <is>
          <t>SUB BASE H TRITURADA CALIZA 1 1/2" A FIN</t>
        </is>
      </c>
    </row>
    <row r="1371">
      <c r="A1371" t="n">
        <v>10178773</v>
      </c>
      <c r="B1371" t="inlineStr">
        <is>
          <t>ZFE3</t>
        </is>
      </c>
      <c r="C1371" t="inlineStr">
        <is>
          <t>1000</t>
        </is>
      </c>
      <c r="D1371" t="inlineStr">
        <is>
          <t>M3</t>
        </is>
      </c>
      <c r="E1371" t="n">
        <v>1000</v>
      </c>
      <c r="F1371" t="inlineStr">
        <is>
          <t>TN</t>
        </is>
      </c>
      <c r="G1371" t="n">
        <v>1401</v>
      </c>
      <c r="H1371" t="inlineStr">
        <is>
          <t>GRAVA TRITURADA BASALTO 20 MM - 3/4"</t>
        </is>
      </c>
    </row>
    <row r="1372">
      <c r="A1372" t="n">
        <v>10178832</v>
      </c>
      <c r="B1372" t="inlineStr">
        <is>
          <t>ZFE3</t>
        </is>
      </c>
      <c r="C1372" t="inlineStr">
        <is>
          <t>1000</t>
        </is>
      </c>
      <c r="D1372" t="inlineStr">
        <is>
          <t>M3</t>
        </is>
      </c>
      <c r="E1372" t="n">
        <v>1000</v>
      </c>
      <c r="F1372" t="inlineStr">
        <is>
          <t>TN</t>
        </is>
      </c>
      <c r="G1372" t="n">
        <v>1396</v>
      </c>
      <c r="H1372" t="inlineStr">
        <is>
          <t>GRAVA 3/4" CARTAGO NOVA</t>
        </is>
      </c>
    </row>
    <row r="1373">
      <c r="A1373" t="n">
        <v>10178834</v>
      </c>
      <c r="B1373" t="inlineStr">
        <is>
          <t>ZFE3</t>
        </is>
      </c>
      <c r="C1373" t="inlineStr">
        <is>
          <t>1000</t>
        </is>
      </c>
      <c r="D1373" t="inlineStr">
        <is>
          <t>M3</t>
        </is>
      </c>
      <c r="E1373" t="n">
        <v>1000</v>
      </c>
      <c r="F1373" t="inlineStr">
        <is>
          <t>TN</t>
        </is>
      </c>
      <c r="G1373" t="n">
        <v>1336</v>
      </c>
      <c r="H1373" t="inlineStr">
        <is>
          <t>GRAVA 3/8" CARTAGO NOVA</t>
        </is>
      </c>
    </row>
    <row r="1374">
      <c r="A1374" t="n">
        <v>10178900</v>
      </c>
      <c r="B1374" t="inlineStr">
        <is>
          <t>ZFE3</t>
        </is>
      </c>
      <c r="C1374" t="inlineStr">
        <is>
          <t>1000</t>
        </is>
      </c>
      <c r="D1374" t="inlineStr">
        <is>
          <t>M3</t>
        </is>
      </c>
      <c r="E1374" t="n">
        <v>1000</v>
      </c>
      <c r="F1374" t="inlineStr">
        <is>
          <t>TN</t>
        </is>
      </c>
      <c r="G1374" t="n">
        <v>1400</v>
      </c>
      <c r="H1374" t="inlineStr">
        <is>
          <t>GRAVA TRITURADA CALIZA 20 MM - 3/4"</t>
        </is>
      </c>
    </row>
    <row r="1375">
      <c r="A1375" t="n">
        <v>10179074</v>
      </c>
      <c r="B1375" t="inlineStr">
        <is>
          <t>ZFE3</t>
        </is>
      </c>
      <c r="C1375" t="inlineStr">
        <is>
          <t>1000</t>
        </is>
      </c>
      <c r="D1375" t="inlineStr">
        <is>
          <t>M3</t>
        </is>
      </c>
      <c r="E1375" t="n">
        <v>100</v>
      </c>
      <c r="F1375" t="inlineStr">
        <is>
          <t>TN</t>
        </is>
      </c>
      <c r="G1375" t="n">
        <v>145</v>
      </c>
      <c r="H1375" t="inlineStr">
        <is>
          <t>SF-6404 PIEDRA CUARTA (MÁXIMO 19 MM)</t>
        </is>
      </c>
    </row>
    <row r="1376">
      <c r="A1376" t="n">
        <v>10179075</v>
      </c>
      <c r="B1376" t="inlineStr">
        <is>
          <t>ZFE3</t>
        </is>
      </c>
      <c r="C1376" t="inlineStr">
        <is>
          <t>1000</t>
        </is>
      </c>
      <c r="D1376" t="inlineStr">
        <is>
          <t>M3</t>
        </is>
      </c>
      <c r="E1376" t="n">
        <v>100</v>
      </c>
      <c r="F1376" t="inlineStr">
        <is>
          <t>TN</t>
        </is>
      </c>
      <c r="G1376" t="n">
        <v>145</v>
      </c>
      <c r="H1376" t="inlineStr">
        <is>
          <t>SF-6404 PIEDRA QUINTA (MAXIMO 12MM)</t>
        </is>
      </c>
    </row>
    <row r="1377">
      <c r="A1377" t="n">
        <v>10179100</v>
      </c>
      <c r="B1377" t="inlineStr">
        <is>
          <t>ZFE3</t>
        </is>
      </c>
      <c r="C1377" t="inlineStr">
        <is>
          <t>1000</t>
        </is>
      </c>
      <c r="D1377" t="inlineStr">
        <is>
          <t>M3</t>
        </is>
      </c>
      <c r="E1377" t="n">
        <v>1000</v>
      </c>
      <c r="F1377" t="inlineStr">
        <is>
          <t>TN</t>
        </is>
      </c>
      <c r="G1377" t="n">
        <v>1384</v>
      </c>
      <c r="H1377" t="inlineStr">
        <is>
          <t>ARENA LAVADA PARA CONCRETO CO</t>
        </is>
      </c>
    </row>
    <row r="1378">
      <c r="A1378" t="n">
        <v>10179101</v>
      </c>
      <c r="B1378" t="inlineStr">
        <is>
          <t>ZFE3</t>
        </is>
      </c>
      <c r="C1378" t="inlineStr">
        <is>
          <t>1000</t>
        </is>
      </c>
      <c r="D1378" t="inlineStr">
        <is>
          <t>M3</t>
        </is>
      </c>
      <c r="E1378" t="n">
        <v>100</v>
      </c>
      <c r="F1378" t="inlineStr">
        <is>
          <t>TN</t>
        </is>
      </c>
      <c r="G1378" t="n">
        <v>160</v>
      </c>
      <c r="H1378" t="inlineStr">
        <is>
          <t>SF-6404 ARENA DE RÍO LAVADA (0 MM A 8 MM</t>
        </is>
      </c>
    </row>
    <row r="1379">
      <c r="A1379" t="n">
        <v>10179255</v>
      </c>
      <c r="B1379" t="inlineStr">
        <is>
          <t>ZFE3</t>
        </is>
      </c>
      <c r="C1379" t="inlineStr">
        <is>
          <t>1000</t>
        </is>
      </c>
      <c r="D1379" t="inlineStr">
        <is>
          <t>M3</t>
        </is>
      </c>
      <c r="E1379" t="n">
        <v>1000</v>
      </c>
      <c r="F1379" t="inlineStr">
        <is>
          <t>TN</t>
        </is>
      </c>
      <c r="G1379" t="n">
        <v>1350</v>
      </c>
      <c r="H1379" t="inlineStr">
        <is>
          <t>NO CLASIFICADO TRITURADO CALIZA</t>
        </is>
      </c>
    </row>
    <row r="1380">
      <c r="A1380" t="n">
        <v>10179413</v>
      </c>
      <c r="B1380" t="inlineStr">
        <is>
          <t>ZFE3</t>
        </is>
      </c>
      <c r="C1380" t="inlineStr">
        <is>
          <t>1000</t>
        </is>
      </c>
      <c r="D1380" t="inlineStr">
        <is>
          <t>M3</t>
        </is>
      </c>
      <c r="E1380" t="n">
        <v>1000</v>
      </c>
      <c r="F1380" t="inlineStr">
        <is>
          <t>TN</t>
        </is>
      </c>
      <c r="G1380" t="n">
        <v>1550</v>
      </c>
      <c r="H1380" t="inlineStr">
        <is>
          <t>ARENA TRITURADA CALIZA MALLA 4</t>
        </is>
      </c>
    </row>
    <row r="1381">
      <c r="A1381" t="n">
        <v>10179414</v>
      </c>
      <c r="B1381" t="inlineStr">
        <is>
          <t>ZFE3</t>
        </is>
      </c>
      <c r="C1381" t="inlineStr">
        <is>
          <t>1000</t>
        </is>
      </c>
      <c r="D1381" t="inlineStr">
        <is>
          <t>M3</t>
        </is>
      </c>
      <c r="E1381" t="n">
        <v>1000</v>
      </c>
      <c r="F1381" t="inlineStr">
        <is>
          <t>TN</t>
        </is>
      </c>
      <c r="G1381" t="n">
        <v>1450</v>
      </c>
      <c r="H1381" t="inlineStr">
        <is>
          <t>GRAVA TRITURADA CALIZA 20 MM - 3/4"</t>
        </is>
      </c>
    </row>
    <row r="1382">
      <c r="A1382" t="n">
        <v>10179652</v>
      </c>
      <c r="B1382" t="inlineStr">
        <is>
          <t>ZFE3</t>
        </is>
      </c>
      <c r="C1382" t="inlineStr">
        <is>
          <t>1000</t>
        </is>
      </c>
      <c r="D1382" t="inlineStr">
        <is>
          <t>M3</t>
        </is>
      </c>
      <c r="E1382" t="n">
        <v>1000</v>
      </c>
      <c r="F1382" t="inlineStr">
        <is>
          <t>TN</t>
        </is>
      </c>
      <c r="G1382" t="n">
        <v>1560</v>
      </c>
      <c r="H1382" t="inlineStr">
        <is>
          <t>SUBPRODUCTO ARENA CALIZA MALLA 4</t>
        </is>
      </c>
    </row>
    <row r="1383">
      <c r="A1383" t="n">
        <v>10179731</v>
      </c>
      <c r="B1383" t="inlineStr">
        <is>
          <t>ZFE3</t>
        </is>
      </c>
      <c r="C1383" t="inlineStr">
        <is>
          <t>1000</t>
        </is>
      </c>
      <c r="D1383" t="inlineStr">
        <is>
          <t>M3</t>
        </is>
      </c>
      <c r="E1383" t="n">
        <v>1000</v>
      </c>
      <c r="F1383" t="inlineStr">
        <is>
          <t>TN</t>
        </is>
      </c>
      <c r="G1383" t="n">
        <v>1619</v>
      </c>
      <c r="H1383" t="inlineStr">
        <is>
          <t>BASE H TRITURADA BASALTO  1 1/2" A FINOS</t>
        </is>
      </c>
    </row>
    <row r="1384">
      <c r="A1384" t="n">
        <v>10179995</v>
      </c>
      <c r="B1384" t="inlineStr">
        <is>
          <t>ZFE3</t>
        </is>
      </c>
      <c r="C1384" t="inlineStr">
        <is>
          <t>1000</t>
        </is>
      </c>
      <c r="D1384" t="inlineStr">
        <is>
          <t>M3</t>
        </is>
      </c>
      <c r="E1384" t="n">
        <v>1000</v>
      </c>
      <c r="F1384" t="inlineStr">
        <is>
          <t>TN</t>
        </is>
      </c>
      <c r="G1384" t="n">
        <v>1400</v>
      </c>
      <c r="H1384" t="inlineStr">
        <is>
          <t>GRAVA TRITURADA CALIZA 40 MM - 1 1/2"</t>
        </is>
      </c>
    </row>
    <row r="1385">
      <c r="A1385" t="n">
        <v>10180074</v>
      </c>
      <c r="B1385" t="inlineStr">
        <is>
          <t>ZFE3</t>
        </is>
      </c>
      <c r="C1385" t="inlineStr">
        <is>
          <t>1000</t>
        </is>
      </c>
      <c r="D1385" t="inlineStr">
        <is>
          <t>M3</t>
        </is>
      </c>
      <c r="E1385" t="n">
        <v>1000</v>
      </c>
      <c r="F1385" t="inlineStr">
        <is>
          <t>TN</t>
        </is>
      </c>
      <c r="G1385" t="n">
        <v>1602</v>
      </c>
      <c r="H1385" t="inlineStr">
        <is>
          <t>ARENA IDU GRAVICON</t>
        </is>
      </c>
    </row>
    <row r="1386">
      <c r="A1386" t="n">
        <v>10181140</v>
      </c>
      <c r="B1386" t="inlineStr">
        <is>
          <t>ZFE3</t>
        </is>
      </c>
      <c r="C1386" t="inlineStr">
        <is>
          <t>1000</t>
        </is>
      </c>
      <c r="D1386" t="inlineStr">
        <is>
          <t>M3</t>
        </is>
      </c>
      <c r="E1386" t="n">
        <v>1000</v>
      </c>
      <c r="F1386" t="inlineStr">
        <is>
          <t>TN</t>
        </is>
      </c>
      <c r="G1386" t="n">
        <v>1200</v>
      </c>
      <c r="H1386" t="inlineStr">
        <is>
          <t>TOSCA - SUB BASE CP</t>
        </is>
      </c>
    </row>
    <row r="1387">
      <c r="A1387" t="n">
        <v>10181141</v>
      </c>
      <c r="B1387" t="inlineStr">
        <is>
          <t>ZFE3</t>
        </is>
      </c>
      <c r="C1387" t="inlineStr">
        <is>
          <t>1000</t>
        </is>
      </c>
      <c r="D1387" t="inlineStr">
        <is>
          <t>M3</t>
        </is>
      </c>
      <c r="E1387" t="n">
        <v>1000</v>
      </c>
      <c r="F1387" t="inlineStr">
        <is>
          <t>TN</t>
        </is>
      </c>
      <c r="G1387" t="n">
        <v>1200</v>
      </c>
      <c r="H1387" t="inlineStr">
        <is>
          <t>MATACAN CP</t>
        </is>
      </c>
    </row>
    <row r="1388">
      <c r="A1388" t="n">
        <v>10181373</v>
      </c>
      <c r="B1388" t="inlineStr">
        <is>
          <t>ZFE3</t>
        </is>
      </c>
      <c r="C1388" t="inlineStr">
        <is>
          <t>1000</t>
        </is>
      </c>
      <c r="D1388" t="inlineStr">
        <is>
          <t>M3</t>
        </is>
      </c>
      <c r="E1388" t="n">
        <v>1000</v>
      </c>
      <c r="F1388" t="inlineStr">
        <is>
          <t>TN</t>
        </is>
      </c>
      <c r="G1388" t="n">
        <v>1448</v>
      </c>
      <c r="H1388" t="inlineStr">
        <is>
          <t>GRAVA CLASIFICADA RIO 13 MM - 1/2</t>
        </is>
      </c>
    </row>
    <row r="1389">
      <c r="A1389" t="n">
        <v>10181416</v>
      </c>
      <c r="B1389" t="inlineStr">
        <is>
          <t>ZFE3</t>
        </is>
      </c>
      <c r="C1389" t="inlineStr">
        <is>
          <t>1000</t>
        </is>
      </c>
      <c r="D1389" t="inlineStr">
        <is>
          <t>M3</t>
        </is>
      </c>
      <c r="E1389" t="n">
        <v>1000</v>
      </c>
      <c r="F1389" t="inlineStr">
        <is>
          <t>TN</t>
        </is>
      </c>
      <c r="G1389" t="n">
        <v>1550</v>
      </c>
      <c r="H1389" t="inlineStr">
        <is>
          <t>GRAVA 3/8" CENTRASA CARIBE</t>
        </is>
      </c>
    </row>
    <row r="1390">
      <c r="A1390" t="n">
        <v>10181666</v>
      </c>
      <c r="B1390" t="inlineStr">
        <is>
          <t>ZFE3</t>
        </is>
      </c>
      <c r="C1390" t="inlineStr">
        <is>
          <t>1000</t>
        </is>
      </c>
      <c r="D1390" t="inlineStr">
        <is>
          <t>M3</t>
        </is>
      </c>
      <c r="E1390" t="n">
        <v>1000</v>
      </c>
      <c r="F1390" t="inlineStr">
        <is>
          <t>TN</t>
        </is>
      </c>
      <c r="G1390" t="n">
        <v>1310</v>
      </c>
      <c r="H1390" t="inlineStr">
        <is>
          <t>GRAVA TRITURADA 10MM CALIZA 3/8- ESPECIA</t>
        </is>
      </c>
    </row>
    <row r="1391">
      <c r="A1391" t="n">
        <v>10181777</v>
      </c>
      <c r="B1391" t="inlineStr">
        <is>
          <t>ZFE3</t>
        </is>
      </c>
      <c r="C1391" t="inlineStr">
        <is>
          <t>1000</t>
        </is>
      </c>
      <c r="D1391" t="inlineStr">
        <is>
          <t>M3</t>
        </is>
      </c>
      <c r="E1391" t="n">
        <v>1000</v>
      </c>
      <c r="F1391" t="inlineStr">
        <is>
          <t>TN</t>
        </is>
      </c>
      <c r="G1391" t="n">
        <v>1146</v>
      </c>
      <c r="H1391" t="inlineStr">
        <is>
          <t>GRAVA TRITURADA CALIZA 20MM 3/4"</t>
        </is>
      </c>
    </row>
    <row r="1392">
      <c r="A1392" t="n">
        <v>10181901</v>
      </c>
      <c r="B1392" t="inlineStr">
        <is>
          <t>ZFE3</t>
        </is>
      </c>
      <c r="C1392" t="inlineStr">
        <is>
          <t>1000</t>
        </is>
      </c>
      <c r="D1392" t="inlineStr">
        <is>
          <t>M3</t>
        </is>
      </c>
      <c r="E1392" t="n">
        <v>1000</v>
      </c>
      <c r="F1392" t="inlineStr">
        <is>
          <t>TN</t>
        </is>
      </c>
      <c r="G1392" t="n">
        <v>1500</v>
      </c>
      <c r="H1392" t="inlineStr">
        <is>
          <t>ARENA TRITURADA CALIZA MALLA 4</t>
        </is>
      </c>
    </row>
    <row r="1393">
      <c r="A1393" t="n">
        <v>10181979</v>
      </c>
      <c r="B1393" t="inlineStr">
        <is>
          <t>ZFE3</t>
        </is>
      </c>
      <c r="C1393" t="inlineStr">
        <is>
          <t>1000</t>
        </is>
      </c>
      <c r="D1393" t="inlineStr">
        <is>
          <t>M3</t>
        </is>
      </c>
      <c r="E1393" t="n">
        <v>1000</v>
      </c>
      <c r="F1393" t="inlineStr">
        <is>
          <t>TN</t>
        </is>
      </c>
      <c r="G1393" t="n">
        <v>1400</v>
      </c>
      <c r="H1393" t="inlineStr">
        <is>
          <t>TOSCA - SUB BASE C</t>
        </is>
      </c>
    </row>
    <row r="1394">
      <c r="A1394" t="n">
        <v>10182154</v>
      </c>
      <c r="B1394" t="inlineStr">
        <is>
          <t>ZFE3</t>
        </is>
      </c>
      <c r="C1394" t="inlineStr">
        <is>
          <t>1000</t>
        </is>
      </c>
      <c r="D1394" t="inlineStr">
        <is>
          <t>M3</t>
        </is>
      </c>
      <c r="E1394" t="n">
        <v>1000</v>
      </c>
      <c r="F1394" t="inlineStr">
        <is>
          <t>TN</t>
        </is>
      </c>
      <c r="G1394" t="n">
        <v>1350</v>
      </c>
      <c r="H1394" t="inlineStr">
        <is>
          <t>ARENA TRITURADA ANDESITA MALLA 8 - ESPEC</t>
        </is>
      </c>
    </row>
    <row r="1395">
      <c r="A1395" t="n">
        <v>10182541</v>
      </c>
      <c r="B1395" t="inlineStr">
        <is>
          <t>ZFE3</t>
        </is>
      </c>
      <c r="C1395" t="inlineStr">
        <is>
          <t>1000</t>
        </is>
      </c>
      <c r="D1395" t="inlineStr">
        <is>
          <t>M3</t>
        </is>
      </c>
      <c r="E1395" t="n">
        <v>1000</v>
      </c>
      <c r="F1395" t="inlineStr">
        <is>
          <t>TN</t>
        </is>
      </c>
      <c r="G1395" t="n">
        <v>1500</v>
      </c>
      <c r="H1395" t="inlineStr">
        <is>
          <t>GRAVA DE RIO DE 3/8" AGG JOHAN</t>
        </is>
      </c>
    </row>
    <row r="1396">
      <c r="A1396" t="n">
        <v>10182600</v>
      </c>
      <c r="B1396" t="inlineStr">
        <is>
          <t>ZFE3</t>
        </is>
      </c>
      <c r="C1396" t="inlineStr">
        <is>
          <t>1000</t>
        </is>
      </c>
      <c r="D1396" t="inlineStr">
        <is>
          <t>M3</t>
        </is>
      </c>
      <c r="E1396" t="n">
        <v>1000</v>
      </c>
      <c r="F1396" t="inlineStr">
        <is>
          <t>TN</t>
        </is>
      </c>
      <c r="G1396" t="n">
        <v>1409</v>
      </c>
      <c r="H1396" t="inlineStr">
        <is>
          <t>ARENA TRITURADA ANDESITA MALLA 4 TERCERO</t>
        </is>
      </c>
    </row>
    <row r="1397">
      <c r="A1397" t="n">
        <v>10182604</v>
      </c>
      <c r="B1397" t="inlineStr">
        <is>
          <t>ZFE3</t>
        </is>
      </c>
      <c r="C1397" t="inlineStr">
        <is>
          <t>1000</t>
        </is>
      </c>
      <c r="D1397" t="inlineStr">
        <is>
          <t>M3</t>
        </is>
      </c>
      <c r="E1397" t="n">
        <v>1000</v>
      </c>
      <c r="F1397" t="inlineStr">
        <is>
          <t>TN</t>
        </is>
      </c>
      <c r="G1397" t="n">
        <v>1400</v>
      </c>
      <c r="H1397" t="inlineStr">
        <is>
          <t>GRAVA TRITURADA VOLCÁNICA 10 MM - 3/8"</t>
        </is>
      </c>
    </row>
    <row r="1398">
      <c r="A1398" t="n">
        <v>10182824</v>
      </c>
      <c r="B1398" t="inlineStr">
        <is>
          <t>ZFE3</t>
        </is>
      </c>
      <c r="C1398" t="inlineStr">
        <is>
          <t>1000</t>
        </is>
      </c>
      <c r="D1398" t="inlineStr">
        <is>
          <t>M3</t>
        </is>
      </c>
      <c r="E1398" t="n">
        <v>1000</v>
      </c>
      <c r="F1398" t="inlineStr">
        <is>
          <t>TN</t>
        </is>
      </c>
      <c r="G1398" t="n">
        <v>1395</v>
      </c>
      <c r="H1398" t="inlineStr">
        <is>
          <t>GRAVA 40 MM LAVADA # NG</t>
        </is>
      </c>
    </row>
    <row r="1399">
      <c r="A1399" t="n">
        <v>10182828</v>
      </c>
      <c r="B1399" t="inlineStr">
        <is>
          <t>ZFE3</t>
        </is>
      </c>
      <c r="C1399" t="inlineStr">
        <is>
          <t>1000</t>
        </is>
      </c>
      <c r="D1399" t="inlineStr">
        <is>
          <t>M3</t>
        </is>
      </c>
      <c r="E1399" t="n">
        <v>1000</v>
      </c>
      <c r="F1399" t="inlineStr">
        <is>
          <t>TN</t>
        </is>
      </c>
      <c r="G1399" t="n">
        <v>1643</v>
      </c>
      <c r="H1399" t="inlineStr">
        <is>
          <t>ARENA TRITURADA CALIZA MALLA 4- DOSIFICA</t>
        </is>
      </c>
    </row>
    <row r="1400">
      <c r="A1400" t="n">
        <v>10182872</v>
      </c>
      <c r="B1400" t="inlineStr">
        <is>
          <t>ZFE3</t>
        </is>
      </c>
      <c r="C1400" t="inlineStr">
        <is>
          <t>1000</t>
        </is>
      </c>
      <c r="D1400" t="inlineStr">
        <is>
          <t>M3</t>
        </is>
      </c>
      <c r="E1400" t="n">
        <v>1000</v>
      </c>
      <c r="F1400" t="inlineStr">
        <is>
          <t>TN</t>
        </is>
      </c>
      <c r="G1400" t="n">
        <v>1410</v>
      </c>
      <c r="H1400" t="inlineStr">
        <is>
          <t>ARENA TRITURADA CALIZA MALLA 4</t>
        </is>
      </c>
    </row>
    <row r="1401">
      <c r="A1401" t="n">
        <v>10182873</v>
      </c>
      <c r="B1401" t="inlineStr">
        <is>
          <t>ZFE3</t>
        </is>
      </c>
      <c r="C1401" t="inlineStr">
        <is>
          <t>1000</t>
        </is>
      </c>
      <c r="D1401" t="inlineStr">
        <is>
          <t>M3</t>
        </is>
      </c>
      <c r="E1401" t="n">
        <v>1000</v>
      </c>
      <c r="F1401" t="inlineStr">
        <is>
          <t>TN</t>
        </is>
      </c>
      <c r="G1401" t="n">
        <v>1146</v>
      </c>
      <c r="H1401" t="inlineStr">
        <is>
          <t>GRAVA TRITURDA CALIZA 20MM 3/4</t>
        </is>
      </c>
    </row>
    <row r="1402">
      <c r="A1402" t="n">
        <v>10183532</v>
      </c>
      <c r="B1402" t="inlineStr">
        <is>
          <t>ZFE3</t>
        </is>
      </c>
      <c r="C1402" t="inlineStr">
        <is>
          <t>1000</t>
        </is>
      </c>
      <c r="D1402" t="inlineStr">
        <is>
          <t>M3</t>
        </is>
      </c>
      <c r="E1402" t="n">
        <v>1000</v>
      </c>
      <c r="F1402" t="inlineStr">
        <is>
          <t>TN</t>
        </is>
      </c>
      <c r="G1402" t="n">
        <v>1458</v>
      </c>
      <c r="H1402" t="inlineStr">
        <is>
          <t>GRAVA TRITURADA CALIZA 40 MM - 1 1/2"</t>
        </is>
      </c>
    </row>
    <row r="1403">
      <c r="A1403" t="n">
        <v>10183535</v>
      </c>
      <c r="B1403" t="inlineStr">
        <is>
          <t>ZFE3</t>
        </is>
      </c>
      <c r="C1403" t="inlineStr">
        <is>
          <t>1000</t>
        </is>
      </c>
      <c r="D1403" t="inlineStr">
        <is>
          <t>M3</t>
        </is>
      </c>
      <c r="E1403" t="n">
        <v>1000</v>
      </c>
      <c r="F1403" t="inlineStr">
        <is>
          <t>TN</t>
        </is>
      </c>
      <c r="G1403" t="n">
        <v>1400</v>
      </c>
      <c r="H1403" t="inlineStr">
        <is>
          <t>BALASTO TRITURADO BASALTO 3" - 1"</t>
        </is>
      </c>
    </row>
    <row r="1404">
      <c r="A1404" t="n">
        <v>10183667</v>
      </c>
      <c r="B1404" t="inlineStr">
        <is>
          <t>ZFE3</t>
        </is>
      </c>
      <c r="C1404" t="inlineStr">
        <is>
          <t>1000</t>
        </is>
      </c>
      <c r="D1404" t="inlineStr">
        <is>
          <t>M3</t>
        </is>
      </c>
      <c r="E1404" t="n">
        <v>1000</v>
      </c>
      <c r="F1404" t="inlineStr">
        <is>
          <t>TN</t>
        </is>
      </c>
      <c r="G1404" t="n">
        <v>1652</v>
      </c>
      <c r="H1404" t="inlineStr">
        <is>
          <t>ARENA SERVINVERSIONES</t>
        </is>
      </c>
    </row>
    <row r="1405">
      <c r="A1405" t="n">
        <v>10183690</v>
      </c>
      <c r="B1405" t="inlineStr">
        <is>
          <t>ZFE3</t>
        </is>
      </c>
      <c r="C1405" t="inlineStr">
        <is>
          <t>1000</t>
        </is>
      </c>
      <c r="D1405" t="inlineStr">
        <is>
          <t>M3</t>
        </is>
      </c>
      <c r="E1405" t="n">
        <v>1000</v>
      </c>
      <c r="F1405" t="inlineStr">
        <is>
          <t>TN</t>
        </is>
      </c>
      <c r="G1405" t="n">
        <v>1560</v>
      </c>
      <c r="H1405" t="inlineStr">
        <is>
          <t>GRAVA TRITURADA ANDESITA 3/4 ALMACEN</t>
        </is>
      </c>
    </row>
    <row r="1406">
      <c r="A1406" t="n">
        <v>10183700</v>
      </c>
      <c r="B1406" t="inlineStr">
        <is>
          <t>ZFE3</t>
        </is>
      </c>
      <c r="C1406" t="inlineStr">
        <is>
          <t>1000</t>
        </is>
      </c>
      <c r="D1406" t="inlineStr">
        <is>
          <t>M3</t>
        </is>
      </c>
      <c r="E1406" t="n">
        <v>1000</v>
      </c>
      <c r="F1406" t="inlineStr">
        <is>
          <t>TN</t>
        </is>
      </c>
      <c r="G1406" t="n">
        <v>1520</v>
      </c>
      <c r="H1406" t="inlineStr">
        <is>
          <t>BASE HIDRAULICA ANDESITA DE 1 1/2" A FIN</t>
        </is>
      </c>
    </row>
    <row r="1407">
      <c r="A1407" t="n">
        <v>10183702</v>
      </c>
      <c r="B1407" t="inlineStr">
        <is>
          <t>ZFE3</t>
        </is>
      </c>
      <c r="C1407" t="inlineStr">
        <is>
          <t>1000</t>
        </is>
      </c>
      <c r="D1407" t="inlineStr">
        <is>
          <t>M3</t>
        </is>
      </c>
      <c r="E1407" t="n">
        <v>1000</v>
      </c>
      <c r="F1407" t="inlineStr">
        <is>
          <t>TN</t>
        </is>
      </c>
      <c r="G1407" t="n">
        <v>1680</v>
      </c>
      <c r="H1407" t="inlineStr">
        <is>
          <t>POLVO TRITURADO ANDESITA</t>
        </is>
      </c>
    </row>
    <row r="1408">
      <c r="A1408" t="n">
        <v>10183920</v>
      </c>
      <c r="B1408" t="inlineStr">
        <is>
          <t>ZFE3</t>
        </is>
      </c>
      <c r="C1408" t="inlineStr">
        <is>
          <t>1000</t>
        </is>
      </c>
      <c r="D1408" t="inlineStr">
        <is>
          <t>M3</t>
        </is>
      </c>
      <c r="E1408" t="n">
        <v>1000</v>
      </c>
      <c r="F1408" t="inlineStr">
        <is>
          <t>TN</t>
        </is>
      </c>
      <c r="G1408" t="n">
        <v>1200</v>
      </c>
      <c r="H1408" t="inlineStr">
        <is>
          <t>GRAVA TRITURADA TEPOJAL 20 MM - 3/4"- NG</t>
        </is>
      </c>
    </row>
    <row r="1409">
      <c r="A1409" t="n">
        <v>10183939</v>
      </c>
      <c r="B1409" t="inlineStr">
        <is>
          <t>ZFE3</t>
        </is>
      </c>
      <c r="C1409" t="inlineStr">
        <is>
          <t>1000</t>
        </is>
      </c>
      <c r="D1409" t="inlineStr">
        <is>
          <t>M3</t>
        </is>
      </c>
      <c r="E1409" t="n">
        <v>1000</v>
      </c>
      <c r="F1409" t="inlineStr">
        <is>
          <t>TN</t>
        </is>
      </c>
      <c r="G1409" t="n">
        <v>2136</v>
      </c>
      <c r="H1409" t="inlineStr">
        <is>
          <t>BASE HIDRÁULICA 1 1/2" A FINOS 70/30</t>
        </is>
      </c>
    </row>
    <row r="1410">
      <c r="A1410" t="n">
        <v>10184010</v>
      </c>
      <c r="B1410" t="inlineStr">
        <is>
          <t>ZFE3</t>
        </is>
      </c>
      <c r="C1410" t="inlineStr">
        <is>
          <t>1000</t>
        </is>
      </c>
      <c r="D1410" t="inlineStr">
        <is>
          <t>M3</t>
        </is>
      </c>
      <c r="E1410" t="n">
        <v>1000</v>
      </c>
      <c r="F1410" t="inlineStr">
        <is>
          <t>TN</t>
        </is>
      </c>
      <c r="G1410" t="n">
        <v>1446</v>
      </c>
      <c r="H1410" t="inlineStr">
        <is>
          <t>GRAVA TRITURADA CALIZA 13 MM - 1/2"</t>
        </is>
      </c>
    </row>
    <row r="1411">
      <c r="A1411" t="n">
        <v>10184011</v>
      </c>
      <c r="B1411" t="inlineStr">
        <is>
          <t>ZFE3</t>
        </is>
      </c>
      <c r="C1411" t="inlineStr">
        <is>
          <t>1000</t>
        </is>
      </c>
      <c r="D1411" t="inlineStr">
        <is>
          <t>M3</t>
        </is>
      </c>
      <c r="E1411" t="n">
        <v>1000</v>
      </c>
      <c r="F1411" t="inlineStr">
        <is>
          <t>TN</t>
        </is>
      </c>
      <c r="G1411" t="n">
        <v>1462</v>
      </c>
      <c r="H1411" t="inlineStr">
        <is>
          <t>GRAVA TRITURADA CALIZA 20 MM - 3/4"</t>
        </is>
      </c>
    </row>
    <row r="1412">
      <c r="A1412" t="n">
        <v>10184053</v>
      </c>
      <c r="B1412" t="inlineStr">
        <is>
          <t>ZFE3</t>
        </is>
      </c>
      <c r="C1412" t="inlineStr">
        <is>
          <t>1000</t>
        </is>
      </c>
      <c r="D1412" t="inlineStr">
        <is>
          <t>M3</t>
        </is>
      </c>
      <c r="E1412" t="n">
        <v>1000</v>
      </c>
      <c r="F1412" t="inlineStr">
        <is>
          <t>TN</t>
        </is>
      </c>
      <c r="G1412" t="n">
        <v>1282</v>
      </c>
      <c r="H1412" t="inlineStr">
        <is>
          <t>PIEDRA NO.4 (1 1/2" - 3/4") CP</t>
        </is>
      </c>
    </row>
    <row r="1413">
      <c r="A1413" t="n">
        <v>10184090</v>
      </c>
      <c r="B1413" t="inlineStr">
        <is>
          <t>ZFE3</t>
        </is>
      </c>
      <c r="C1413" t="inlineStr">
        <is>
          <t>1000</t>
        </is>
      </c>
      <c r="D1413" t="inlineStr">
        <is>
          <t>M3</t>
        </is>
      </c>
      <c r="E1413" t="n">
        <v>1000</v>
      </c>
      <c r="F1413" t="inlineStr">
        <is>
          <t>TN</t>
        </is>
      </c>
      <c r="G1413" t="n">
        <v>1589</v>
      </c>
      <c r="H1413" t="inlineStr">
        <is>
          <t>GRAVA 1/2" SAN LORENZO</t>
        </is>
      </c>
    </row>
    <row r="1414">
      <c r="A1414" t="n">
        <v>10184118</v>
      </c>
      <c r="B1414" t="inlineStr">
        <is>
          <t>ZFE3</t>
        </is>
      </c>
      <c r="C1414" t="inlineStr">
        <is>
          <t>1000</t>
        </is>
      </c>
      <c r="D1414" t="inlineStr">
        <is>
          <t>M3</t>
        </is>
      </c>
      <c r="E1414" t="n">
        <v>1000</v>
      </c>
      <c r="F1414" t="inlineStr">
        <is>
          <t>TN</t>
        </is>
      </c>
      <c r="G1414" t="n">
        <v>1350</v>
      </c>
      <c r="H1414" t="inlineStr">
        <is>
          <t>CALIZA EXTRACCIÓN CEMENTO-MB</t>
        </is>
      </c>
    </row>
    <row r="1415">
      <c r="A1415" t="n">
        <v>10184142</v>
      </c>
      <c r="B1415" t="inlineStr">
        <is>
          <t>ZFE3</t>
        </is>
      </c>
      <c r="C1415" t="inlineStr">
        <is>
          <t>1000</t>
        </is>
      </c>
      <c r="D1415" t="inlineStr">
        <is>
          <t>M3</t>
        </is>
      </c>
      <c r="E1415" t="n">
        <v>1000</v>
      </c>
      <c r="F1415" t="inlineStr">
        <is>
          <t>TN</t>
        </is>
      </c>
      <c r="G1415" t="n">
        <v>1446</v>
      </c>
      <c r="H1415" t="inlineStr">
        <is>
          <t>GRAVA TRITURADA CALIZA 40 MM - 1 1/2"</t>
        </is>
      </c>
    </row>
    <row r="1416">
      <c r="A1416" t="n">
        <v>10184150</v>
      </c>
      <c r="B1416" t="inlineStr">
        <is>
          <t>ZFE3</t>
        </is>
      </c>
      <c r="C1416" t="inlineStr">
        <is>
          <t>1000</t>
        </is>
      </c>
      <c r="D1416" t="inlineStr">
        <is>
          <t>M3</t>
        </is>
      </c>
      <c r="E1416" t="n">
        <v>1000</v>
      </c>
      <c r="F1416" t="inlineStr">
        <is>
          <t>TN</t>
        </is>
      </c>
      <c r="G1416" t="n">
        <v>1395</v>
      </c>
      <c r="H1416" t="inlineStr">
        <is>
          <t>GRAVA TRITURADA BASALTO 1 ½ - ¾ - NG</t>
        </is>
      </c>
    </row>
    <row r="1417">
      <c r="A1417" t="n">
        <v>10184157</v>
      </c>
      <c r="B1417" t="inlineStr">
        <is>
          <t>ZFE3</t>
        </is>
      </c>
      <c r="C1417" t="inlineStr">
        <is>
          <t>1000</t>
        </is>
      </c>
      <c r="D1417" t="inlineStr">
        <is>
          <t>M3</t>
        </is>
      </c>
      <c r="E1417" t="n">
        <v>1000</v>
      </c>
      <c r="F1417" t="inlineStr">
        <is>
          <t>TN</t>
        </is>
      </c>
      <c r="G1417" t="n">
        <v>1383</v>
      </c>
      <c r="H1417" t="inlineStr">
        <is>
          <t>GRAVA TRITURADA BASALTO 20 MM - 3/4"</t>
        </is>
      </c>
    </row>
    <row r="1418">
      <c r="A1418" t="n">
        <v>10184366</v>
      </c>
      <c r="B1418" t="inlineStr">
        <is>
          <t>ZFE3</t>
        </is>
      </c>
      <c r="C1418" t="inlineStr">
        <is>
          <t>1000</t>
        </is>
      </c>
      <c r="D1418" t="inlineStr">
        <is>
          <t>M3</t>
        </is>
      </c>
      <c r="E1418" t="n">
        <v>1000</v>
      </c>
      <c r="F1418" t="inlineStr">
        <is>
          <t>TN</t>
        </is>
      </c>
      <c r="G1418" t="n">
        <v>1670</v>
      </c>
      <c r="H1418" t="inlineStr">
        <is>
          <t>ARENA TRANSGAVIRIA RIO ARMA P.BELLO</t>
        </is>
      </c>
    </row>
    <row r="1419">
      <c r="A1419" t="n">
        <v>10184367</v>
      </c>
      <c r="B1419" t="inlineStr">
        <is>
          <t>ZFE3</t>
        </is>
      </c>
      <c r="C1419" t="inlineStr">
        <is>
          <t>1000</t>
        </is>
      </c>
      <c r="D1419" t="inlineStr">
        <is>
          <t>M3</t>
        </is>
      </c>
      <c r="E1419" t="n">
        <v>1000</v>
      </c>
      <c r="F1419" t="inlineStr">
        <is>
          <t>TN</t>
        </is>
      </c>
      <c r="G1419" t="n">
        <v>1670</v>
      </c>
      <c r="H1419" t="inlineStr">
        <is>
          <t>ARENA TRANSGAVIRIA RIO ARMA P.ESTRELLA</t>
        </is>
      </c>
    </row>
    <row r="1420">
      <c r="A1420" t="n">
        <v>10184450</v>
      </c>
      <c r="B1420" t="inlineStr">
        <is>
          <t>ZFE3</t>
        </is>
      </c>
      <c r="C1420" t="inlineStr">
        <is>
          <t>1000</t>
        </is>
      </c>
      <c r="D1420" t="inlineStr">
        <is>
          <t>M3</t>
        </is>
      </c>
      <c r="E1420" t="n">
        <v>1000</v>
      </c>
      <c r="F1420" t="inlineStr">
        <is>
          <t>TN</t>
        </is>
      </c>
      <c r="G1420" t="n">
        <v>1500</v>
      </c>
      <c r="H1420" t="inlineStr">
        <is>
          <t>ARENA TRITURADA ANDESITA MALLA 5 - ARA</t>
        </is>
      </c>
    </row>
    <row r="1421">
      <c r="A1421" t="n">
        <v>10185060</v>
      </c>
      <c r="B1421" t="inlineStr">
        <is>
          <t>ZFE3</t>
        </is>
      </c>
      <c r="C1421" t="inlineStr">
        <is>
          <t>1000</t>
        </is>
      </c>
      <c r="D1421" t="inlineStr">
        <is>
          <t>M3</t>
        </is>
      </c>
      <c r="E1421" t="n">
        <v>1000</v>
      </c>
      <c r="F1421" t="inlineStr">
        <is>
          <t>TN</t>
        </is>
      </c>
      <c r="G1421" t="n">
        <v>1310</v>
      </c>
      <c r="H1421" t="inlineStr">
        <is>
          <t>ARENA CLASIFICADA RÍO MALLA 4</t>
        </is>
      </c>
    </row>
    <row r="1422">
      <c r="A1422" t="n">
        <v>10185192</v>
      </c>
      <c r="B1422" t="inlineStr">
        <is>
          <t>ZFE3</t>
        </is>
      </c>
      <c r="C1422" t="inlineStr">
        <is>
          <t>1000</t>
        </is>
      </c>
      <c r="D1422" t="inlineStr">
        <is>
          <t>M3</t>
        </is>
      </c>
      <c r="E1422" t="n">
        <v>1000</v>
      </c>
      <c r="F1422" t="inlineStr">
        <is>
          <t>TN</t>
        </is>
      </c>
      <c r="G1422" t="n">
        <v>1530</v>
      </c>
      <c r="H1422" t="inlineStr">
        <is>
          <t>GRAVA 1" TRANSGAVIRIA RIO ARMA P.RIONEGR</t>
        </is>
      </c>
    </row>
    <row r="1423">
      <c r="A1423" t="n">
        <v>10185193</v>
      </c>
      <c r="B1423" t="inlineStr">
        <is>
          <t>ZFE3</t>
        </is>
      </c>
      <c r="C1423" t="inlineStr">
        <is>
          <t>1000</t>
        </is>
      </c>
      <c r="D1423" t="inlineStr">
        <is>
          <t>M3</t>
        </is>
      </c>
      <c r="E1423" t="n">
        <v>1000</v>
      </c>
      <c r="F1423" t="inlineStr">
        <is>
          <t>TN</t>
        </is>
      </c>
      <c r="G1423" t="n">
        <v>1670</v>
      </c>
      <c r="H1423" t="inlineStr">
        <is>
          <t>ARENA TRANSGAVIRIA RIO ARMA P.RIONEGRO</t>
        </is>
      </c>
    </row>
    <row r="1424">
      <c r="A1424" t="n">
        <v>10185194</v>
      </c>
      <c r="B1424" t="inlineStr">
        <is>
          <t>ZFE3</t>
        </is>
      </c>
      <c r="C1424" t="inlineStr">
        <is>
          <t>1000</t>
        </is>
      </c>
      <c r="D1424" t="inlineStr">
        <is>
          <t>M3</t>
        </is>
      </c>
      <c r="E1424" t="n">
        <v>1000</v>
      </c>
      <c r="F1424" t="inlineStr">
        <is>
          <t>TN</t>
        </is>
      </c>
      <c r="G1424" t="n">
        <v>1530</v>
      </c>
      <c r="H1424" t="inlineStr">
        <is>
          <t>GRAVA 1/2" TRANSGAVIRIA RIO ARMA P.ESTRE</t>
        </is>
      </c>
    </row>
    <row r="1425">
      <c r="A1425" t="n">
        <v>10185195</v>
      </c>
      <c r="B1425" t="inlineStr">
        <is>
          <t>ZFE3</t>
        </is>
      </c>
      <c r="C1425" t="inlineStr">
        <is>
          <t>1000</t>
        </is>
      </c>
      <c r="D1425" t="inlineStr">
        <is>
          <t>M3</t>
        </is>
      </c>
      <c r="E1425" t="n">
        <v>1000</v>
      </c>
      <c r="F1425" t="inlineStr">
        <is>
          <t>TN</t>
        </is>
      </c>
      <c r="G1425" t="n">
        <v>1530</v>
      </c>
      <c r="H1425" t="inlineStr">
        <is>
          <t>GRAVA 1/2" TRANSGAVIRIA RIO ARMA P.BELLO</t>
        </is>
      </c>
    </row>
    <row r="1426">
      <c r="A1426" t="n">
        <v>10185196</v>
      </c>
      <c r="B1426" t="inlineStr">
        <is>
          <t>ZFE3</t>
        </is>
      </c>
      <c r="C1426" t="inlineStr">
        <is>
          <t>1000</t>
        </is>
      </c>
      <c r="D1426" t="inlineStr">
        <is>
          <t>M3</t>
        </is>
      </c>
      <c r="E1426" t="n">
        <v>1000</v>
      </c>
      <c r="F1426" t="inlineStr">
        <is>
          <t>TN</t>
        </is>
      </c>
      <c r="G1426" t="n">
        <v>1530</v>
      </c>
      <c r="H1426" t="inlineStr">
        <is>
          <t>GRAVA 1/2" TRANSGAVIRIA RIO ARMA P.RIONE</t>
        </is>
      </c>
    </row>
    <row r="1427">
      <c r="A1427" t="n">
        <v>10185197</v>
      </c>
      <c r="B1427" t="inlineStr">
        <is>
          <t>ZFE3</t>
        </is>
      </c>
      <c r="C1427" t="inlineStr">
        <is>
          <t>1000</t>
        </is>
      </c>
      <c r="D1427" t="inlineStr">
        <is>
          <t>M3</t>
        </is>
      </c>
      <c r="E1427" t="n">
        <v>1000</v>
      </c>
      <c r="F1427" t="inlineStr">
        <is>
          <t>TN</t>
        </is>
      </c>
      <c r="G1427" t="n">
        <v>1530</v>
      </c>
      <c r="H1427" t="inlineStr">
        <is>
          <t>GRAVA 1" TRANSGAVIRIA RIO ARMA P.ESTRELL</t>
        </is>
      </c>
    </row>
    <row r="1428">
      <c r="A1428" t="n">
        <v>10185198</v>
      </c>
      <c r="B1428" t="inlineStr">
        <is>
          <t>ZFE3</t>
        </is>
      </c>
      <c r="C1428" t="inlineStr">
        <is>
          <t>1000</t>
        </is>
      </c>
      <c r="D1428" t="inlineStr">
        <is>
          <t>M3</t>
        </is>
      </c>
      <c r="E1428" t="n">
        <v>1000</v>
      </c>
      <c r="F1428" t="inlineStr">
        <is>
          <t>TN</t>
        </is>
      </c>
      <c r="G1428" t="n">
        <v>1530</v>
      </c>
      <c r="H1428" t="inlineStr">
        <is>
          <t>GRAVA 1" TRANSGAVIRIA RIO ARMA P.BELLO</t>
        </is>
      </c>
    </row>
    <row r="1429">
      <c r="A1429" t="n">
        <v>10185393</v>
      </c>
      <c r="B1429" t="inlineStr">
        <is>
          <t>ZFE3</t>
        </is>
      </c>
      <c r="C1429" t="inlineStr">
        <is>
          <t>1000</t>
        </is>
      </c>
      <c r="D1429" t="inlineStr">
        <is>
          <t>M3</t>
        </is>
      </c>
      <c r="E1429" t="n">
        <v>1000</v>
      </c>
      <c r="F1429" t="inlineStr">
        <is>
          <t>TN</t>
        </is>
      </c>
      <c r="G1429" t="n">
        <v>1235</v>
      </c>
      <c r="H1429" t="inlineStr">
        <is>
          <t>GRAVON CALIZO DE 6# A 4#</t>
        </is>
      </c>
    </row>
    <row r="1430">
      <c r="A1430" t="n">
        <v>10185394</v>
      </c>
      <c r="B1430" t="inlineStr">
        <is>
          <t>ZFE3</t>
        </is>
      </c>
      <c r="C1430" t="inlineStr">
        <is>
          <t>1000</t>
        </is>
      </c>
      <c r="D1430" t="inlineStr">
        <is>
          <t>M3</t>
        </is>
      </c>
      <c r="E1430" t="n">
        <v>1000</v>
      </c>
      <c r="F1430" t="inlineStr">
        <is>
          <t>TN</t>
        </is>
      </c>
      <c r="G1430" t="n">
        <v>1357</v>
      </c>
      <c r="H1430" t="inlineStr">
        <is>
          <t>SUB BASE CALIZA DE 3# A FINOS</t>
        </is>
      </c>
    </row>
    <row r="1431">
      <c r="A1431" t="n">
        <v>10185460</v>
      </c>
      <c r="B1431" t="inlineStr">
        <is>
          <t>ZFE3</t>
        </is>
      </c>
      <c r="C1431" t="inlineStr">
        <is>
          <t>1000</t>
        </is>
      </c>
      <c r="D1431" t="inlineStr">
        <is>
          <t>M3</t>
        </is>
      </c>
      <c r="E1431" t="n">
        <v>1000</v>
      </c>
      <c r="F1431" t="inlineStr">
        <is>
          <t>TN</t>
        </is>
      </c>
      <c r="G1431" t="n">
        <v>1480</v>
      </c>
      <c r="H1431" t="inlineStr">
        <is>
          <t>GRAVA TRITURADA CALIZA 10 MM - 3/8" LIMP</t>
        </is>
      </c>
    </row>
    <row r="1432">
      <c r="A1432" t="n">
        <v>10185476</v>
      </c>
      <c r="B1432" t="inlineStr">
        <is>
          <t>ZFE3</t>
        </is>
      </c>
      <c r="C1432" t="inlineStr">
        <is>
          <t>1000</t>
        </is>
      </c>
      <c r="D1432" t="inlineStr">
        <is>
          <t>M3</t>
        </is>
      </c>
      <c r="E1432" t="n">
        <v>1000</v>
      </c>
      <c r="F1432" t="inlineStr">
        <is>
          <t>TN</t>
        </is>
      </c>
      <c r="G1432" t="n">
        <v>1676</v>
      </c>
      <c r="H1432" t="inlineStr">
        <is>
          <t>ARENA TRITURADA ANDESITA MALLA 4</t>
        </is>
      </c>
    </row>
    <row r="1433">
      <c r="A1433" t="n">
        <v>10185477</v>
      </c>
      <c r="B1433" t="inlineStr">
        <is>
          <t>ZFE3</t>
        </is>
      </c>
      <c r="C1433" t="inlineStr">
        <is>
          <t>1000</t>
        </is>
      </c>
      <c r="D1433" t="inlineStr">
        <is>
          <t>M3</t>
        </is>
      </c>
      <c r="E1433" t="n">
        <v>1000</v>
      </c>
      <c r="F1433" t="inlineStr">
        <is>
          <t>TN</t>
        </is>
      </c>
      <c r="G1433" t="n">
        <v>1390</v>
      </c>
      <c r="H1433" t="inlineStr">
        <is>
          <t>GRAVA TRITURADA ANDESITA 20 MM - 3/4"</t>
        </is>
      </c>
    </row>
    <row r="1434">
      <c r="A1434" t="n">
        <v>10185482</v>
      </c>
      <c r="B1434" t="inlineStr">
        <is>
          <t>ZFE3</t>
        </is>
      </c>
      <c r="C1434" t="inlineStr">
        <is>
          <t>1000</t>
        </is>
      </c>
      <c r="D1434" t="inlineStr">
        <is>
          <t>M3</t>
        </is>
      </c>
      <c r="E1434" t="n">
        <v>1000</v>
      </c>
      <c r="F1434" t="inlineStr">
        <is>
          <t>TN</t>
        </is>
      </c>
      <c r="G1434" t="n">
        <v>1490</v>
      </c>
      <c r="H1434" t="inlineStr">
        <is>
          <t>ARENA TRITURADA ANDESITA MALLA 4-AB MR</t>
        </is>
      </c>
    </row>
    <row r="1435">
      <c r="A1435" t="n">
        <v>10186197</v>
      </c>
      <c r="B1435" t="inlineStr">
        <is>
          <t>ZFE3</t>
        </is>
      </c>
      <c r="C1435" t="inlineStr">
        <is>
          <t>1000</t>
        </is>
      </c>
      <c r="D1435" t="inlineStr">
        <is>
          <t>M3</t>
        </is>
      </c>
      <c r="E1435" t="n">
        <v>1000</v>
      </c>
      <c r="F1435" t="inlineStr">
        <is>
          <t>TN</t>
        </is>
      </c>
      <c r="G1435" t="n">
        <v>1500</v>
      </c>
      <c r="H1435" t="inlineStr">
        <is>
          <t>GRAVA 1# ALBANIA SOGAMOSO</t>
        </is>
      </c>
    </row>
    <row r="1436">
      <c r="A1436" t="n">
        <v>10186198</v>
      </c>
      <c r="B1436" t="inlineStr">
        <is>
          <t>ZFE3</t>
        </is>
      </c>
      <c r="C1436" t="inlineStr">
        <is>
          <t>1000</t>
        </is>
      </c>
      <c r="D1436" t="inlineStr">
        <is>
          <t>M3</t>
        </is>
      </c>
      <c r="E1436" t="n">
        <v>1000</v>
      </c>
      <c r="F1436" t="inlineStr">
        <is>
          <t>TN</t>
        </is>
      </c>
      <c r="G1436" t="n">
        <v>1500</v>
      </c>
      <c r="H1436" t="inlineStr">
        <is>
          <t>GRAVA ½# ALBANIA SOGAMOSO</t>
        </is>
      </c>
    </row>
    <row r="1437">
      <c r="A1437" t="n">
        <v>10186247</v>
      </c>
      <c r="B1437" t="inlineStr">
        <is>
          <t>ZFE3</t>
        </is>
      </c>
      <c r="C1437" t="inlineStr">
        <is>
          <t>1000</t>
        </is>
      </c>
      <c r="D1437" t="inlineStr">
        <is>
          <t>M3</t>
        </is>
      </c>
      <c r="E1437" t="n">
        <v>1000</v>
      </c>
      <c r="F1437" t="inlineStr">
        <is>
          <t>TN</t>
        </is>
      </c>
      <c r="G1437" t="n">
        <v>1641</v>
      </c>
      <c r="H1437" t="inlineStr">
        <is>
          <t>ARENA LAVADA DRAGADOS</t>
        </is>
      </c>
    </row>
    <row r="1438">
      <c r="A1438" t="n">
        <v>10186274</v>
      </c>
      <c r="B1438" t="inlineStr">
        <is>
          <t>ZFE3</t>
        </is>
      </c>
      <c r="C1438" t="inlineStr">
        <is>
          <t>1000</t>
        </is>
      </c>
      <c r="D1438" t="inlineStr">
        <is>
          <t>M3</t>
        </is>
      </c>
      <c r="E1438" t="n">
        <v>1000</v>
      </c>
      <c r="F1438" t="inlineStr">
        <is>
          <t>TN</t>
        </is>
      </c>
      <c r="G1438" t="n">
        <v>1450</v>
      </c>
      <c r="H1438" t="inlineStr">
        <is>
          <t>ARENA CLASIFICADA RÍO MALLA 4 LAVADO</t>
        </is>
      </c>
    </row>
    <row r="1439">
      <c r="A1439" t="n">
        <v>10186796</v>
      </c>
      <c r="B1439" t="inlineStr">
        <is>
          <t>ZFE3</t>
        </is>
      </c>
      <c r="C1439" t="inlineStr">
        <is>
          <t>1000</t>
        </is>
      </c>
      <c r="D1439" t="inlineStr">
        <is>
          <t>M3</t>
        </is>
      </c>
      <c r="E1439" t="n">
        <v>1000</v>
      </c>
      <c r="F1439" t="inlineStr">
        <is>
          <t>TN</t>
        </is>
      </c>
      <c r="G1439" t="n">
        <v>1400</v>
      </c>
      <c r="H1439" t="inlineStr">
        <is>
          <t>ARENA DE RIO MALLA 4 ECONOMICA</t>
        </is>
      </c>
    </row>
    <row r="1440">
      <c r="A1440" t="n">
        <v>10186906</v>
      </c>
      <c r="B1440" t="inlineStr">
        <is>
          <t>ZFE3</t>
        </is>
      </c>
      <c r="C1440" t="inlineStr">
        <is>
          <t>1000</t>
        </is>
      </c>
      <c r="D1440" t="inlineStr">
        <is>
          <t>M3</t>
        </is>
      </c>
      <c r="E1440" t="n">
        <v>1000</v>
      </c>
      <c r="F1440" t="inlineStr">
        <is>
          <t>TN</t>
        </is>
      </c>
      <c r="G1440" t="n">
        <v>1450</v>
      </c>
      <c r="H1440" t="inlineStr">
        <is>
          <t>GRAVA CALIZA 20 MM - 3/4" LAVADA</t>
        </is>
      </c>
    </row>
    <row r="1441">
      <c r="A1441" t="n">
        <v>10186907</v>
      </c>
      <c r="B1441" t="inlineStr">
        <is>
          <t>ZFE3</t>
        </is>
      </c>
      <c r="C1441" t="inlineStr">
        <is>
          <t>1000</t>
        </is>
      </c>
      <c r="D1441" t="inlineStr">
        <is>
          <t>M3</t>
        </is>
      </c>
      <c r="E1441" t="n">
        <v>1000</v>
      </c>
      <c r="F1441" t="inlineStr">
        <is>
          <t>TN</t>
        </is>
      </c>
      <c r="G1441" t="n">
        <v>1623</v>
      </c>
      <c r="H1441" t="inlineStr">
        <is>
          <t>SUBPRODUCTO GRAVA TRITURADA BASALTO 40 M</t>
        </is>
      </c>
    </row>
    <row r="1442">
      <c r="A1442" t="n">
        <v>10187365</v>
      </c>
      <c r="B1442" t="inlineStr">
        <is>
          <t>ZFE3</t>
        </is>
      </c>
      <c r="C1442" t="inlineStr">
        <is>
          <t>1000</t>
        </is>
      </c>
      <c r="D1442" t="inlineStr">
        <is>
          <t>M3</t>
        </is>
      </c>
      <c r="E1442" t="n">
        <v>1000</v>
      </c>
      <c r="F1442" t="inlineStr">
        <is>
          <t>TN</t>
        </is>
      </c>
      <c r="G1442" t="n">
        <v>1340</v>
      </c>
      <c r="H1442" t="inlineStr">
        <is>
          <t>GRAVA TRITURADA ANDESITA 12.7 MM - 1/2"</t>
        </is>
      </c>
    </row>
    <row r="1443">
      <c r="A1443" t="n">
        <v>10187423</v>
      </c>
      <c r="B1443" t="inlineStr">
        <is>
          <t>ZFE3</t>
        </is>
      </c>
      <c r="C1443" t="inlineStr">
        <is>
          <t>1000</t>
        </is>
      </c>
      <c r="D1443" t="inlineStr">
        <is>
          <t>M3</t>
        </is>
      </c>
      <c r="E1443" t="n">
        <v>1000</v>
      </c>
      <c r="F1443" t="inlineStr">
        <is>
          <t>TN</t>
        </is>
      </c>
      <c r="G1443" t="n">
        <v>1436</v>
      </c>
      <c r="H1443" t="inlineStr">
        <is>
          <t>SUB BASE - MATERIAL SELECTO (3" - 0) CP</t>
        </is>
      </c>
    </row>
    <row r="1444">
      <c r="A1444" t="n">
        <v>10187424</v>
      </c>
      <c r="B1444" t="inlineStr">
        <is>
          <t>ZFE3</t>
        </is>
      </c>
      <c r="C1444" t="inlineStr">
        <is>
          <t>1000</t>
        </is>
      </c>
      <c r="D1444" t="inlineStr">
        <is>
          <t>M3</t>
        </is>
      </c>
      <c r="E1444" t="n">
        <v>1000</v>
      </c>
      <c r="F1444" t="inlineStr">
        <is>
          <t>TN</t>
        </is>
      </c>
      <c r="G1444" t="n">
        <v>1550</v>
      </c>
      <c r="H1444" t="inlineStr">
        <is>
          <t>ARENA TRITURADA GRANITO MALLA 5</t>
        </is>
      </c>
    </row>
    <row r="1445">
      <c r="A1445" t="n">
        <v>10187515</v>
      </c>
      <c r="B1445" t="inlineStr">
        <is>
          <t>ZFE3</t>
        </is>
      </c>
      <c r="C1445" t="inlineStr">
        <is>
          <t>1000</t>
        </is>
      </c>
      <c r="D1445" t="inlineStr">
        <is>
          <t>M3</t>
        </is>
      </c>
      <c r="E1445" t="n">
        <v>1000</v>
      </c>
      <c r="F1445" t="inlineStr">
        <is>
          <t>TN</t>
        </is>
      </c>
      <c r="G1445" t="n">
        <v>1750</v>
      </c>
      <c r="H1445" t="inlineStr">
        <is>
          <t>ARENA TRITURADA CALIZA MALLA 4</t>
        </is>
      </c>
    </row>
    <row r="1446">
      <c r="A1446" t="n">
        <v>10187678</v>
      </c>
      <c r="B1446" t="inlineStr">
        <is>
          <t>ZFE3</t>
        </is>
      </c>
      <c r="C1446" t="inlineStr">
        <is>
          <t>1000</t>
        </is>
      </c>
      <c r="D1446" t="inlineStr">
        <is>
          <t>M3</t>
        </is>
      </c>
      <c r="E1446" t="n">
        <v>1000</v>
      </c>
      <c r="F1446" t="inlineStr">
        <is>
          <t>TN</t>
        </is>
      </c>
      <c r="G1446" t="n">
        <v>1650</v>
      </c>
      <c r="H1446" t="inlineStr">
        <is>
          <t>FILER POLVO ANDESITA- NG</t>
        </is>
      </c>
    </row>
    <row r="1447">
      <c r="A1447" t="n">
        <v>10187679</v>
      </c>
      <c r="B1447" t="inlineStr">
        <is>
          <t>ZFE3</t>
        </is>
      </c>
      <c r="C1447" t="inlineStr">
        <is>
          <t>1000</t>
        </is>
      </c>
      <c r="D1447" t="inlineStr">
        <is>
          <t>M3</t>
        </is>
      </c>
      <c r="E1447" t="n">
        <v>1000</v>
      </c>
      <c r="F1447" t="inlineStr">
        <is>
          <t>TN</t>
        </is>
      </c>
      <c r="G1447" t="n">
        <v>1450</v>
      </c>
      <c r="H1447" t="inlineStr">
        <is>
          <t>SCREEN C-17 CALIZA NG</t>
        </is>
      </c>
    </row>
    <row r="1448">
      <c r="A1448" t="n">
        <v>10187950</v>
      </c>
      <c r="B1448" t="inlineStr">
        <is>
          <t>ZFE3</t>
        </is>
      </c>
      <c r="C1448" t="inlineStr">
        <is>
          <t>1000</t>
        </is>
      </c>
      <c r="D1448" t="inlineStr">
        <is>
          <t>M3</t>
        </is>
      </c>
      <c r="E1448" t="n">
        <v>1000</v>
      </c>
      <c r="F1448" t="inlineStr">
        <is>
          <t>TN</t>
        </is>
      </c>
      <c r="G1448" t="n">
        <v>1286</v>
      </c>
      <c r="H1448" t="inlineStr">
        <is>
          <t>ARENA TRITURADA CALIZA LAVADA</t>
        </is>
      </c>
    </row>
    <row r="1449">
      <c r="A1449" t="n">
        <v>10187951</v>
      </c>
      <c r="B1449" t="inlineStr">
        <is>
          <t>ZFE3</t>
        </is>
      </c>
      <c r="C1449" t="inlineStr">
        <is>
          <t>1000</t>
        </is>
      </c>
      <c r="D1449" t="inlineStr">
        <is>
          <t>M3</t>
        </is>
      </c>
      <c r="E1449" t="n">
        <v>1000</v>
      </c>
      <c r="F1449" t="inlineStr">
        <is>
          <t>TN</t>
        </is>
      </c>
      <c r="G1449" t="n">
        <v>1336</v>
      </c>
      <c r="H1449" t="inlineStr">
        <is>
          <t>GRAVA TRITURADA CALIZA 13 MM - 1/2"</t>
        </is>
      </c>
    </row>
    <row r="1450">
      <c r="A1450" t="n">
        <v>10187952</v>
      </c>
      <c r="B1450" t="inlineStr">
        <is>
          <t>ZFE3</t>
        </is>
      </c>
      <c r="C1450" t="inlineStr">
        <is>
          <t>1000</t>
        </is>
      </c>
      <c r="D1450" t="inlineStr">
        <is>
          <t>M3</t>
        </is>
      </c>
      <c r="E1450" t="n">
        <v>1000</v>
      </c>
      <c r="F1450" t="inlineStr">
        <is>
          <t>TN</t>
        </is>
      </c>
      <c r="G1450" t="n">
        <v>1450</v>
      </c>
      <c r="H1450" t="inlineStr">
        <is>
          <t>SCREEN C-25 3/4 CALIZA</t>
        </is>
      </c>
    </row>
    <row r="1451">
      <c r="A1451" t="n">
        <v>10187953</v>
      </c>
      <c r="B1451" t="inlineStr">
        <is>
          <t>ZFE3</t>
        </is>
      </c>
      <c r="C1451" t="inlineStr">
        <is>
          <t>1000</t>
        </is>
      </c>
      <c r="D1451" t="inlineStr">
        <is>
          <t>M3</t>
        </is>
      </c>
      <c r="E1451" t="n">
        <v>1000</v>
      </c>
      <c r="F1451" t="inlineStr">
        <is>
          <t>TN</t>
        </is>
      </c>
      <c r="G1451" t="n">
        <v>1390</v>
      </c>
      <c r="H1451" t="inlineStr">
        <is>
          <t>TEZONTLE 10" A FINOS - NG</t>
        </is>
      </c>
    </row>
    <row r="1452">
      <c r="A1452" t="n">
        <v>10187954</v>
      </c>
      <c r="B1452" t="inlineStr">
        <is>
          <t>ZFE3</t>
        </is>
      </c>
      <c r="C1452" t="inlineStr">
        <is>
          <t>1000</t>
        </is>
      </c>
      <c r="D1452" t="inlineStr">
        <is>
          <t>M3</t>
        </is>
      </c>
      <c r="E1452" t="n">
        <v>1000</v>
      </c>
      <c r="F1452" t="inlineStr">
        <is>
          <t>TN</t>
        </is>
      </c>
      <c r="G1452" t="n">
        <v>1450</v>
      </c>
      <c r="H1452" t="inlineStr">
        <is>
          <t>SCREEN C-25 3/4 CALIZA NG</t>
        </is>
      </c>
    </row>
    <row r="1453">
      <c r="A1453" t="n">
        <v>10188108</v>
      </c>
      <c r="B1453" t="inlineStr">
        <is>
          <t>ZFE3</t>
        </is>
      </c>
      <c r="C1453" t="inlineStr">
        <is>
          <t>1000</t>
        </is>
      </c>
      <c r="D1453" t="inlineStr">
        <is>
          <t>M3</t>
        </is>
      </c>
      <c r="E1453" t="n">
        <v>1000</v>
      </c>
      <c r="F1453" t="inlineStr">
        <is>
          <t>TN</t>
        </is>
      </c>
      <c r="G1453" t="n">
        <v>1358</v>
      </c>
      <c r="H1453" t="inlineStr">
        <is>
          <t>GRAVA DE 1/2" A&amp;G ROVIRA</t>
        </is>
      </c>
    </row>
    <row r="1454">
      <c r="A1454" t="n">
        <v>10188109</v>
      </c>
      <c r="B1454" t="inlineStr">
        <is>
          <t>ZFE3</t>
        </is>
      </c>
      <c r="C1454" t="inlineStr">
        <is>
          <t>1000</t>
        </is>
      </c>
      <c r="D1454" t="inlineStr">
        <is>
          <t>M3</t>
        </is>
      </c>
      <c r="E1454" t="n">
        <v>1000</v>
      </c>
      <c r="F1454" t="inlineStr">
        <is>
          <t>TN</t>
        </is>
      </c>
      <c r="G1454" t="n">
        <v>1441</v>
      </c>
      <c r="H1454" t="inlineStr">
        <is>
          <t>GRAVA ALUVIAL DE 1" A&amp;G ROVIRA</t>
        </is>
      </c>
    </row>
    <row r="1455">
      <c r="A1455" t="n">
        <v>10188140</v>
      </c>
      <c r="B1455" t="inlineStr">
        <is>
          <t>ZFE3</t>
        </is>
      </c>
      <c r="C1455" t="inlineStr">
        <is>
          <t>1000</t>
        </is>
      </c>
      <c r="D1455" t="inlineStr">
        <is>
          <t>M3</t>
        </is>
      </c>
      <c r="E1455" t="n">
        <v>1000</v>
      </c>
      <c r="F1455" t="inlineStr">
        <is>
          <t>TN</t>
        </is>
      </c>
      <c r="G1455" t="n">
        <v>1600</v>
      </c>
      <c r="H1455" t="inlineStr">
        <is>
          <t>ARENA TRITURADA GRANITO MALLA 5 LAVADA</t>
        </is>
      </c>
    </row>
    <row r="1456">
      <c r="A1456" t="n">
        <v>10188157</v>
      </c>
      <c r="B1456" t="inlineStr">
        <is>
          <t>ZFE3</t>
        </is>
      </c>
      <c r="C1456" t="inlineStr">
        <is>
          <t>1000</t>
        </is>
      </c>
      <c r="D1456" t="inlineStr">
        <is>
          <t>M3</t>
        </is>
      </c>
      <c r="E1456" t="n">
        <v>1000</v>
      </c>
      <c r="F1456" t="inlineStr">
        <is>
          <t>TN</t>
        </is>
      </c>
      <c r="G1456" t="n">
        <v>1700</v>
      </c>
      <c r="H1456" t="inlineStr">
        <is>
          <t>ARENA TRITURADA CALIZA MALLA 5</t>
        </is>
      </c>
    </row>
    <row r="1457">
      <c r="A1457" t="n">
        <v>10188158</v>
      </c>
      <c r="B1457" t="inlineStr">
        <is>
          <t>ZFE3</t>
        </is>
      </c>
      <c r="C1457" t="inlineStr">
        <is>
          <t>1000</t>
        </is>
      </c>
      <c r="D1457" t="inlineStr">
        <is>
          <t>M3</t>
        </is>
      </c>
      <c r="E1457" t="n">
        <v>1000</v>
      </c>
      <c r="F1457" t="inlineStr">
        <is>
          <t>TN</t>
        </is>
      </c>
      <c r="G1457" t="n">
        <v>1500</v>
      </c>
      <c r="H1457" t="inlineStr">
        <is>
          <t>GRAVA TRITURADA CALIZA 20 MM - 3/4"</t>
        </is>
      </c>
    </row>
    <row r="1458">
      <c r="A1458" t="n">
        <v>10188159</v>
      </c>
      <c r="B1458" t="inlineStr">
        <is>
          <t>ZFE3</t>
        </is>
      </c>
      <c r="C1458" t="inlineStr">
        <is>
          <t>1000</t>
        </is>
      </c>
      <c r="D1458" t="inlineStr">
        <is>
          <t>M3</t>
        </is>
      </c>
      <c r="E1458" t="n">
        <v>1000</v>
      </c>
      <c r="F1458" t="inlineStr">
        <is>
          <t>TN</t>
        </is>
      </c>
      <c r="G1458" t="n">
        <v>1600</v>
      </c>
      <c r="H1458" t="inlineStr">
        <is>
          <t>ARENA TRITURADA CALIZA MALLA 4</t>
        </is>
      </c>
    </row>
    <row r="1459">
      <c r="A1459" t="n">
        <v>10188219</v>
      </c>
      <c r="B1459" t="inlineStr">
        <is>
          <t>ZFE3</t>
        </is>
      </c>
      <c r="C1459" t="inlineStr">
        <is>
          <t>1000</t>
        </is>
      </c>
      <c r="D1459" t="inlineStr">
        <is>
          <t>M3</t>
        </is>
      </c>
      <c r="E1459" t="n">
        <v>1000</v>
      </c>
      <c r="F1459" t="inlineStr">
        <is>
          <t>TN</t>
        </is>
      </c>
      <c r="G1459" t="n">
        <v>1500</v>
      </c>
      <c r="H1459" t="inlineStr">
        <is>
          <t>ARENA TRITURADA MÁRMOL NEGRO MALLA 4</t>
        </is>
      </c>
    </row>
    <row r="1460">
      <c r="A1460" t="n">
        <v>10188311</v>
      </c>
      <c r="B1460" t="inlineStr">
        <is>
          <t>ZFE3</t>
        </is>
      </c>
      <c r="C1460" t="inlineStr">
        <is>
          <t>1000</t>
        </is>
      </c>
      <c r="D1460" t="inlineStr">
        <is>
          <t>M3</t>
        </is>
      </c>
      <c r="E1460" t="n">
        <v>1000</v>
      </c>
      <c r="F1460" t="inlineStr">
        <is>
          <t>TN</t>
        </is>
      </c>
      <c r="G1460" t="n">
        <v>1617</v>
      </c>
      <c r="H1460" t="inlineStr">
        <is>
          <t>BASE H TRITURADA BASALTO  1 1/2" A FINOS</t>
        </is>
      </c>
    </row>
    <row r="1461">
      <c r="A1461" t="n">
        <v>10188534</v>
      </c>
      <c r="B1461" t="inlineStr">
        <is>
          <t>ZFE3</t>
        </is>
      </c>
      <c r="C1461" t="inlineStr">
        <is>
          <t>1000</t>
        </is>
      </c>
      <c r="D1461" t="inlineStr">
        <is>
          <t>M3</t>
        </is>
      </c>
      <c r="E1461" t="n">
        <v>1000</v>
      </c>
      <c r="F1461" t="inlineStr">
        <is>
          <t>TN</t>
        </is>
      </c>
      <c r="G1461" t="n">
        <v>1800</v>
      </c>
      <c r="H1461" t="inlineStr">
        <is>
          <t>ARENA CLASIFICADA RIO 3/16 ¨A FINOS</t>
        </is>
      </c>
    </row>
    <row r="1462">
      <c r="A1462" t="n">
        <v>10188535</v>
      </c>
      <c r="B1462" t="inlineStr">
        <is>
          <t>ZFE3</t>
        </is>
      </c>
      <c r="C1462" t="inlineStr">
        <is>
          <t>1000</t>
        </is>
      </c>
      <c r="D1462" t="inlineStr">
        <is>
          <t>M3</t>
        </is>
      </c>
      <c r="E1462" t="n">
        <v>1000</v>
      </c>
      <c r="F1462" t="inlineStr">
        <is>
          <t>TN</t>
        </is>
      </c>
      <c r="G1462" t="n">
        <v>1364</v>
      </c>
      <c r="H1462" t="inlineStr">
        <is>
          <t>ARENA CLASIFICADA BASALTO MALLA 4</t>
        </is>
      </c>
    </row>
    <row r="1463">
      <c r="A1463" t="n">
        <v>10188721</v>
      </c>
      <c r="B1463" t="inlineStr">
        <is>
          <t>ZFE3</t>
        </is>
      </c>
      <c r="C1463" t="inlineStr">
        <is>
          <t>1000</t>
        </is>
      </c>
      <c r="D1463" t="inlineStr">
        <is>
          <t>M3</t>
        </is>
      </c>
      <c r="E1463" t="n">
        <v>1000</v>
      </c>
      <c r="F1463" t="inlineStr">
        <is>
          <t>TN</t>
        </is>
      </c>
      <c r="G1463" t="n">
        <v>1404</v>
      </c>
      <c r="H1463" t="inlineStr">
        <is>
          <t>GRAVA TRITURADA CALIZA 13 MM - 1/2" LAVA</t>
        </is>
      </c>
    </row>
    <row r="1464">
      <c r="A1464" t="n">
        <v>10188789</v>
      </c>
      <c r="B1464" t="inlineStr">
        <is>
          <t>ZFE3</t>
        </is>
      </c>
      <c r="C1464" t="inlineStr">
        <is>
          <t>1000</t>
        </is>
      </c>
      <c r="D1464" t="inlineStr">
        <is>
          <t>M3</t>
        </is>
      </c>
      <c r="E1464" t="n">
        <v>1000</v>
      </c>
      <c r="F1464" t="inlineStr">
        <is>
          <t>TN</t>
        </is>
      </c>
      <c r="G1464" t="n">
        <v>1438</v>
      </c>
      <c r="H1464" t="inlineStr">
        <is>
          <t>POLVILLO (3/8" - 0) BI</t>
        </is>
      </c>
    </row>
    <row r="1465">
      <c r="A1465" t="n">
        <v>10188809</v>
      </c>
      <c r="B1465" t="inlineStr">
        <is>
          <t>ZFE3</t>
        </is>
      </c>
      <c r="C1465" t="inlineStr">
        <is>
          <t>1000</t>
        </is>
      </c>
      <c r="D1465" t="inlineStr">
        <is>
          <t>M3</t>
        </is>
      </c>
      <c r="E1465" t="n">
        <v>1000</v>
      </c>
      <c r="F1465" t="inlineStr">
        <is>
          <t>TN</t>
        </is>
      </c>
      <c r="G1465" t="n">
        <v>1473</v>
      </c>
      <c r="H1465" t="inlineStr">
        <is>
          <t>ARENA TRITURADA ANDESITA MALLA 4 AZUL</t>
        </is>
      </c>
    </row>
    <row r="1466">
      <c r="A1466" t="n">
        <v>10188843</v>
      </c>
      <c r="B1466" t="inlineStr">
        <is>
          <t>ZFE3</t>
        </is>
      </c>
      <c r="C1466" t="inlineStr">
        <is>
          <t>1000</t>
        </is>
      </c>
      <c r="D1466" t="inlineStr">
        <is>
          <t>M3</t>
        </is>
      </c>
      <c r="E1466" t="n">
        <v>1000</v>
      </c>
      <c r="F1466" t="inlineStr">
        <is>
          <t>TN</t>
        </is>
      </c>
      <c r="G1466" t="n">
        <v>1565</v>
      </c>
      <c r="H1466" t="inlineStr">
        <is>
          <t>ARENA DE RIO DRAGADOS DEL VALLE</t>
        </is>
      </c>
    </row>
    <row r="1467">
      <c r="A1467" t="n">
        <v>10188865</v>
      </c>
      <c r="B1467" t="inlineStr">
        <is>
          <t>ZFE3</t>
        </is>
      </c>
      <c r="C1467" t="inlineStr">
        <is>
          <t>1000</t>
        </is>
      </c>
      <c r="D1467" t="inlineStr">
        <is>
          <t>M3</t>
        </is>
      </c>
      <c r="E1467" t="n">
        <v>1000</v>
      </c>
      <c r="F1467" t="inlineStr">
        <is>
          <t>TN</t>
        </is>
      </c>
      <c r="G1467" t="n">
        <v>1558</v>
      </c>
      <c r="H1467" t="inlineStr">
        <is>
          <t>BASALTO PIEDRA HOMBRE 8" REMONTADO-NG</t>
        </is>
      </c>
    </row>
    <row r="1468">
      <c r="A1468" t="n">
        <v>10189080</v>
      </c>
      <c r="B1468" t="inlineStr">
        <is>
          <t>ZFE3</t>
        </is>
      </c>
      <c r="C1468" t="inlineStr">
        <is>
          <t>1000</t>
        </is>
      </c>
      <c r="D1468" t="inlineStr">
        <is>
          <t>M3</t>
        </is>
      </c>
      <c r="E1468" t="n">
        <v>1000</v>
      </c>
      <c r="F1468" t="inlineStr">
        <is>
          <t>TN</t>
        </is>
      </c>
      <c r="G1468" t="n">
        <v>1800</v>
      </c>
      <c r="H1468" t="inlineStr">
        <is>
          <t>ARENA CLASIFICADA RIO 5/16 ¨A FINOS</t>
        </is>
      </c>
    </row>
    <row r="1469">
      <c r="A1469" t="n">
        <v>10189170</v>
      </c>
      <c r="B1469" t="inlineStr">
        <is>
          <t>ZFE3</t>
        </is>
      </c>
      <c r="C1469" t="inlineStr">
        <is>
          <t>1000</t>
        </is>
      </c>
      <c r="D1469" t="inlineStr">
        <is>
          <t>M3</t>
        </is>
      </c>
      <c r="E1469" t="n">
        <v>1000</v>
      </c>
      <c r="F1469" t="inlineStr">
        <is>
          <t>TN</t>
        </is>
      </c>
      <c r="G1469" t="n">
        <v>1480</v>
      </c>
      <c r="H1469" t="inlineStr">
        <is>
          <t>GRAVA TRITURADA MÁRMOL NEGRO 10 MM - 3/8</t>
        </is>
      </c>
    </row>
    <row r="1470">
      <c r="A1470" t="n">
        <v>10189294</v>
      </c>
      <c r="B1470" t="inlineStr">
        <is>
          <t>ZFE3</t>
        </is>
      </c>
      <c r="C1470" t="inlineStr">
        <is>
          <t>1000</t>
        </is>
      </c>
      <c r="D1470" t="inlineStr">
        <is>
          <t>M3</t>
        </is>
      </c>
      <c r="E1470" t="n">
        <v>1000</v>
      </c>
      <c r="F1470" t="inlineStr">
        <is>
          <t>TN</t>
        </is>
      </c>
      <c r="G1470" t="n">
        <v>1440</v>
      </c>
      <c r="H1470" t="inlineStr">
        <is>
          <t>NO CLASIFICADO CALIZA INVENADERO 15" NG</t>
        </is>
      </c>
    </row>
    <row r="1471">
      <c r="A1471" t="n">
        <v>10189325</v>
      </c>
      <c r="B1471" t="inlineStr">
        <is>
          <t>ZFE3</t>
        </is>
      </c>
      <c r="C1471" t="inlineStr">
        <is>
          <t>1000</t>
        </is>
      </c>
      <c r="D1471" t="inlineStr">
        <is>
          <t>M3</t>
        </is>
      </c>
      <c r="E1471" t="n">
        <v>1000</v>
      </c>
      <c r="F1471" t="inlineStr">
        <is>
          <t>TN</t>
        </is>
      </c>
      <c r="G1471" t="n">
        <v>1300</v>
      </c>
      <c r="H1471" t="inlineStr">
        <is>
          <t>GRAVA TRITURADA TEZONTLE 10MM - 3/8"</t>
        </is>
      </c>
    </row>
    <row r="1472">
      <c r="A1472" t="n">
        <v>10189329</v>
      </c>
      <c r="B1472" t="inlineStr">
        <is>
          <t>ZFE3</t>
        </is>
      </c>
      <c r="C1472" t="inlineStr">
        <is>
          <t>1000</t>
        </is>
      </c>
      <c r="D1472" t="inlineStr">
        <is>
          <t>M3</t>
        </is>
      </c>
      <c r="E1472" t="n">
        <v>1000</v>
      </c>
      <c r="F1472" t="inlineStr">
        <is>
          <t>TN</t>
        </is>
      </c>
      <c r="G1472" t="n">
        <v>1362</v>
      </c>
      <c r="H1472" t="inlineStr">
        <is>
          <t>GRAVA TRITURADA CALIZA 3/4</t>
        </is>
      </c>
    </row>
    <row r="1473">
      <c r="A1473" t="n">
        <v>10189359</v>
      </c>
      <c r="B1473" t="inlineStr">
        <is>
          <t>ZFE3</t>
        </is>
      </c>
      <c r="C1473" t="inlineStr">
        <is>
          <t>1000</t>
        </is>
      </c>
      <c r="D1473" t="inlineStr">
        <is>
          <t>M3</t>
        </is>
      </c>
      <c r="E1473" t="n">
        <v>1000</v>
      </c>
      <c r="F1473" t="inlineStr">
        <is>
          <t>TN</t>
        </is>
      </c>
      <c r="G1473" t="n">
        <v>1562</v>
      </c>
      <c r="H1473" t="inlineStr">
        <is>
          <t>SUB BASE - MATERIAL SELECTO (3" - 0) C</t>
        </is>
      </c>
    </row>
    <row r="1474">
      <c r="A1474" t="n">
        <v>10189399</v>
      </c>
      <c r="B1474" t="inlineStr">
        <is>
          <t>ZFE3</t>
        </is>
      </c>
      <c r="C1474" t="inlineStr">
        <is>
          <t>1000</t>
        </is>
      </c>
      <c r="D1474" t="inlineStr">
        <is>
          <t>M3</t>
        </is>
      </c>
      <c r="E1474" t="n">
        <v>1000</v>
      </c>
      <c r="F1474" t="inlineStr">
        <is>
          <t>TN</t>
        </is>
      </c>
      <c r="G1474" t="n">
        <v>1404</v>
      </c>
      <c r="H1474" t="inlineStr">
        <is>
          <t>GRAVA TRITURADA CALIZA 13 MM - 1/2" LAVA</t>
        </is>
      </c>
    </row>
    <row r="1475">
      <c r="A1475" t="n">
        <v>10189651</v>
      </c>
      <c r="B1475" t="inlineStr">
        <is>
          <t>ZFE3</t>
        </is>
      </c>
      <c r="C1475" t="inlineStr">
        <is>
          <t>1000</t>
        </is>
      </c>
      <c r="D1475" t="inlineStr">
        <is>
          <t>M3</t>
        </is>
      </c>
      <c r="E1475" t="n">
        <v>1000</v>
      </c>
      <c r="F1475" t="inlineStr">
        <is>
          <t>TN</t>
        </is>
      </c>
      <c r="G1475" t="n">
        <v>1530</v>
      </c>
      <c r="H1475" t="inlineStr">
        <is>
          <t>BASALTO CLASIFICADO 4# A 2# NG</t>
        </is>
      </c>
    </row>
    <row r="1476">
      <c r="A1476" t="n">
        <v>10189652</v>
      </c>
      <c r="B1476" t="inlineStr">
        <is>
          <t>ZFE3</t>
        </is>
      </c>
      <c r="C1476" t="inlineStr">
        <is>
          <t>1000</t>
        </is>
      </c>
      <c r="D1476" t="inlineStr">
        <is>
          <t>M3</t>
        </is>
      </c>
      <c r="E1476" t="n">
        <v>1000</v>
      </c>
      <c r="F1476" t="inlineStr">
        <is>
          <t>TN</t>
        </is>
      </c>
      <c r="G1476" t="n">
        <v>1500</v>
      </c>
      <c r="H1476" t="inlineStr">
        <is>
          <t>BASALTO CLASIFICADO 16# A 8# NG</t>
        </is>
      </c>
    </row>
    <row r="1477">
      <c r="A1477" t="n">
        <v>10189708</v>
      </c>
      <c r="B1477" t="inlineStr">
        <is>
          <t>ZFE3</t>
        </is>
      </c>
      <c r="C1477" t="inlineStr">
        <is>
          <t>1000</t>
        </is>
      </c>
      <c r="D1477" t="inlineStr">
        <is>
          <t>M3</t>
        </is>
      </c>
      <c r="E1477" t="n">
        <v>1000</v>
      </c>
      <c r="F1477" t="inlineStr">
        <is>
          <t>TN</t>
        </is>
      </c>
      <c r="G1477" t="n">
        <v>1506</v>
      </c>
      <c r="H1477" t="inlineStr">
        <is>
          <t>ARENA TRITURADA CALIZA MALLA 5</t>
        </is>
      </c>
    </row>
    <row r="1478">
      <c r="A1478" t="n">
        <v>10189747</v>
      </c>
      <c r="B1478" t="inlineStr">
        <is>
          <t>ZFE3</t>
        </is>
      </c>
      <c r="C1478" t="inlineStr">
        <is>
          <t>1000</t>
        </is>
      </c>
      <c r="D1478" t="inlineStr">
        <is>
          <t>M3</t>
        </is>
      </c>
      <c r="E1478" t="n">
        <v>1000</v>
      </c>
      <c r="F1478" t="inlineStr">
        <is>
          <t>TN</t>
        </is>
      </c>
      <c r="G1478" t="n">
        <v>1182</v>
      </c>
      <c r="H1478" t="inlineStr">
        <is>
          <t>GRAVA CALIZA 10MM 3/8</t>
        </is>
      </c>
    </row>
    <row r="1479">
      <c r="A1479" t="n">
        <v>10189800</v>
      </c>
      <c r="B1479" t="inlineStr">
        <is>
          <t>ZFE3</t>
        </is>
      </c>
      <c r="C1479" t="inlineStr">
        <is>
          <t>1000</t>
        </is>
      </c>
      <c r="D1479" t="inlineStr">
        <is>
          <t>M3</t>
        </is>
      </c>
      <c r="E1479" t="n">
        <v>1000</v>
      </c>
      <c r="F1479" t="inlineStr">
        <is>
          <t>TN</t>
        </is>
      </c>
      <c r="G1479" t="n">
        <v>1300</v>
      </c>
      <c r="H1479" t="inlineStr">
        <is>
          <t>GRAVA TRITURADA CALIZA 3/4 20MM</t>
        </is>
      </c>
    </row>
    <row r="1480">
      <c r="A1480" t="n">
        <v>10189897</v>
      </c>
      <c r="B1480" t="inlineStr">
        <is>
          <t>ZFE3</t>
        </is>
      </c>
      <c r="C1480" t="inlineStr">
        <is>
          <t>1000</t>
        </is>
      </c>
      <c r="D1480" t="inlineStr">
        <is>
          <t>M3</t>
        </is>
      </c>
      <c r="E1480" t="n">
        <v>1000</v>
      </c>
      <c r="F1480" t="inlineStr">
        <is>
          <t>TN</t>
        </is>
      </c>
      <c r="G1480" t="n">
        <v>1674</v>
      </c>
      <c r="H1480" t="inlineStr">
        <is>
          <t>ARENA TRITURADA SIN LAVAR INGEOCC</t>
        </is>
      </c>
    </row>
    <row r="1481">
      <c r="A1481" t="n">
        <v>10189934</v>
      </c>
      <c r="B1481" t="inlineStr">
        <is>
          <t>ZFE3</t>
        </is>
      </c>
      <c r="C1481" t="inlineStr">
        <is>
          <t>1000</t>
        </is>
      </c>
      <c r="D1481" t="inlineStr">
        <is>
          <t>M3</t>
        </is>
      </c>
      <c r="E1481" t="n">
        <v>1000</v>
      </c>
      <c r="F1481" t="inlineStr">
        <is>
          <t>TN</t>
        </is>
      </c>
      <c r="G1481" t="n">
        <v>1500</v>
      </c>
      <c r="H1481" t="inlineStr">
        <is>
          <t>BASALTO CLASIFICADO 6” A 3” NG</t>
        </is>
      </c>
    </row>
    <row r="1482">
      <c r="A1482" t="n">
        <v>10189935</v>
      </c>
      <c r="B1482" t="inlineStr">
        <is>
          <t>ZFE3</t>
        </is>
      </c>
      <c r="C1482" t="inlineStr">
        <is>
          <t>1000</t>
        </is>
      </c>
      <c r="D1482" t="inlineStr">
        <is>
          <t>M3</t>
        </is>
      </c>
      <c r="E1482" t="n">
        <v>1000</v>
      </c>
      <c r="F1482" t="inlineStr">
        <is>
          <t>TN</t>
        </is>
      </c>
      <c r="G1482" t="n">
        <v>1550</v>
      </c>
      <c r="H1482" t="inlineStr">
        <is>
          <t>BASALTO CLASIFICADO 2.5# A 1/2# NG</t>
        </is>
      </c>
    </row>
    <row r="1483">
      <c r="A1483" t="n">
        <v>10190108</v>
      </c>
      <c r="B1483" t="inlineStr">
        <is>
          <t>ZFE3</t>
        </is>
      </c>
      <c r="C1483" t="inlineStr">
        <is>
          <t>1000</t>
        </is>
      </c>
      <c r="D1483" t="inlineStr">
        <is>
          <t>M3</t>
        </is>
      </c>
      <c r="E1483" t="n">
        <v>1000</v>
      </c>
      <c r="F1483" t="inlineStr">
        <is>
          <t>TN</t>
        </is>
      </c>
      <c r="G1483" t="n">
        <v>1700</v>
      </c>
      <c r="H1483" t="inlineStr">
        <is>
          <t>ARENA SILICA 40/45</t>
        </is>
      </c>
    </row>
    <row r="1484">
      <c r="A1484" t="n">
        <v>10190109</v>
      </c>
      <c r="B1484" t="inlineStr">
        <is>
          <t>ZFE3</t>
        </is>
      </c>
      <c r="C1484" t="inlineStr">
        <is>
          <t>1000</t>
        </is>
      </c>
      <c r="D1484" t="inlineStr">
        <is>
          <t>M3</t>
        </is>
      </c>
      <c r="E1484" t="n">
        <v>1000</v>
      </c>
      <c r="F1484" t="inlineStr">
        <is>
          <t>TN</t>
        </is>
      </c>
      <c r="G1484" t="n">
        <v>1700</v>
      </c>
      <c r="H1484" t="inlineStr">
        <is>
          <t>ARENA SILICA 16/50</t>
        </is>
      </c>
    </row>
    <row r="1485">
      <c r="A1485" t="n">
        <v>10190321</v>
      </c>
      <c r="B1485" t="inlineStr">
        <is>
          <t>ZFE3</t>
        </is>
      </c>
      <c r="C1485" t="inlineStr">
        <is>
          <t>1000</t>
        </is>
      </c>
      <c r="D1485" t="inlineStr">
        <is>
          <t>M3</t>
        </is>
      </c>
      <c r="E1485" t="n">
        <v>1000</v>
      </c>
      <c r="F1485" t="inlineStr">
        <is>
          <t>TN</t>
        </is>
      </c>
      <c r="G1485" t="n">
        <v>1450</v>
      </c>
      <c r="H1485" t="inlineStr">
        <is>
          <t>POLVILLO (1/2" - 0) CP</t>
        </is>
      </c>
    </row>
    <row r="1486">
      <c r="A1486" t="n">
        <v>10190586</v>
      </c>
      <c r="B1486" t="inlineStr">
        <is>
          <t>ZFE3</t>
        </is>
      </c>
      <c r="C1486" t="inlineStr">
        <is>
          <t>1000</t>
        </is>
      </c>
      <c r="D1486" t="inlineStr">
        <is>
          <t>M3</t>
        </is>
      </c>
      <c r="E1486" t="n">
        <v>1000</v>
      </c>
      <c r="F1486" t="inlineStr">
        <is>
          <t>TN</t>
        </is>
      </c>
      <c r="G1486" t="n">
        <v>1302</v>
      </c>
      <c r="H1486" t="inlineStr">
        <is>
          <t>PIEDRA NO.67 (3/4 - NO.4) CP</t>
        </is>
      </c>
    </row>
    <row r="1487">
      <c r="A1487" t="n">
        <v>10190637</v>
      </c>
      <c r="B1487" t="inlineStr">
        <is>
          <t>ZFE3</t>
        </is>
      </c>
      <c r="C1487" t="inlineStr">
        <is>
          <t>1000</t>
        </is>
      </c>
      <c r="D1487" t="inlineStr">
        <is>
          <t>M3</t>
        </is>
      </c>
      <c r="E1487" t="n">
        <v>1000</v>
      </c>
      <c r="F1487" t="inlineStr">
        <is>
          <t>TN</t>
        </is>
      </c>
      <c r="G1487" t="n">
        <v>1445</v>
      </c>
      <c r="H1487" t="inlineStr">
        <is>
          <t>GRAVA CLASIFICADA RIOLITA 20 MM (3/4")</t>
        </is>
      </c>
    </row>
    <row r="1488">
      <c r="A1488" t="n">
        <v>10190694</v>
      </c>
      <c r="B1488" t="inlineStr">
        <is>
          <t>ZFE3</t>
        </is>
      </c>
      <c r="C1488" t="inlineStr">
        <is>
          <t>1000</t>
        </is>
      </c>
      <c r="D1488" t="inlineStr">
        <is>
          <t>M3</t>
        </is>
      </c>
      <c r="E1488" t="n">
        <v>1</v>
      </c>
      <c r="F1488" t="inlineStr">
        <is>
          <t>TN</t>
        </is>
      </c>
      <c r="G1488" t="n">
        <v>1</v>
      </c>
      <c r="H1488" t="inlineStr">
        <is>
          <t>PIEDRÍN DE 1 1/2" MECO</t>
        </is>
      </c>
    </row>
    <row r="1489">
      <c r="A1489" t="n">
        <v>10190695</v>
      </c>
      <c r="B1489" t="inlineStr">
        <is>
          <t>ZFE3</t>
        </is>
      </c>
      <c r="C1489" t="inlineStr">
        <is>
          <t>1000</t>
        </is>
      </c>
      <c r="D1489" t="inlineStr">
        <is>
          <t>M3</t>
        </is>
      </c>
      <c r="E1489" t="n">
        <v>1000</v>
      </c>
      <c r="F1489" t="inlineStr">
        <is>
          <t>TN</t>
        </is>
      </c>
      <c r="G1489" t="n">
        <v>1534</v>
      </c>
      <c r="H1489" t="inlineStr">
        <is>
          <t>PIEDRÍN DE 3/4" MECO</t>
        </is>
      </c>
    </row>
    <row r="1490">
      <c r="A1490" t="n">
        <v>10190696</v>
      </c>
      <c r="B1490" t="inlineStr">
        <is>
          <t>ZFE3</t>
        </is>
      </c>
      <c r="C1490" t="inlineStr">
        <is>
          <t>1000</t>
        </is>
      </c>
      <c r="D1490" t="inlineStr">
        <is>
          <t>M3</t>
        </is>
      </c>
      <c r="E1490" t="n">
        <v>1000</v>
      </c>
      <c r="F1490" t="inlineStr">
        <is>
          <t>TN</t>
        </is>
      </c>
      <c r="G1490" t="n">
        <v>1557</v>
      </c>
      <c r="H1490" t="inlineStr">
        <is>
          <t>PIEDRÍN DE 1/2" MECO</t>
        </is>
      </c>
    </row>
    <row r="1491">
      <c r="A1491" t="n">
        <v>10190697</v>
      </c>
      <c r="B1491" t="inlineStr">
        <is>
          <t>ZFE3</t>
        </is>
      </c>
      <c r="C1491" t="inlineStr">
        <is>
          <t>1000</t>
        </is>
      </c>
      <c r="D1491" t="inlineStr">
        <is>
          <t>M3</t>
        </is>
      </c>
      <c r="E1491" t="n">
        <v>1000</v>
      </c>
      <c r="F1491" t="inlineStr">
        <is>
          <t>TN</t>
        </is>
      </c>
      <c r="G1491" t="n">
        <v>1685</v>
      </c>
      <c r="H1491" t="inlineStr">
        <is>
          <t>MATERIAL CERO LAVADO MECO</t>
        </is>
      </c>
    </row>
    <row r="1492">
      <c r="A1492" t="n">
        <v>10190739</v>
      </c>
      <c r="B1492" t="inlineStr">
        <is>
          <t>ZFE3</t>
        </is>
      </c>
      <c r="C1492" t="inlineStr">
        <is>
          <t>1000</t>
        </is>
      </c>
      <c r="D1492" t="inlineStr">
        <is>
          <t>M3</t>
        </is>
      </c>
      <c r="E1492" t="n">
        <v>1000</v>
      </c>
      <c r="F1492" t="inlineStr">
        <is>
          <t>TN</t>
        </is>
      </c>
      <c r="G1492" t="n">
        <v>1438</v>
      </c>
      <c r="H1492" t="inlineStr">
        <is>
          <t>GRAVA BASALTO 40 MM - 1 1/2"</t>
        </is>
      </c>
    </row>
    <row r="1493">
      <c r="A1493" t="n">
        <v>10190770</v>
      </c>
      <c r="B1493" t="inlineStr">
        <is>
          <t>ZFE3</t>
        </is>
      </c>
      <c r="C1493" t="inlineStr">
        <is>
          <t>1000</t>
        </is>
      </c>
      <c r="D1493" t="inlineStr">
        <is>
          <t>M3</t>
        </is>
      </c>
      <c r="E1493" t="n">
        <v>1000</v>
      </c>
      <c r="F1493" t="inlineStr">
        <is>
          <t>TN</t>
        </is>
      </c>
      <c r="G1493" t="n">
        <v>1350</v>
      </c>
      <c r="H1493" t="inlineStr">
        <is>
          <t>GRAVA BASALTO 20 MM - 3/4"</t>
        </is>
      </c>
    </row>
    <row r="1494">
      <c r="A1494" t="n">
        <v>10190771</v>
      </c>
      <c r="B1494" t="inlineStr">
        <is>
          <t>ZFE3</t>
        </is>
      </c>
      <c r="C1494" t="inlineStr">
        <is>
          <t>1000</t>
        </is>
      </c>
      <c r="D1494" t="inlineStr">
        <is>
          <t>M3</t>
        </is>
      </c>
      <c r="E1494" t="n">
        <v>1000</v>
      </c>
      <c r="F1494" t="inlineStr">
        <is>
          <t>TN</t>
        </is>
      </c>
      <c r="G1494" t="n">
        <v>1253</v>
      </c>
      <c r="H1494" t="inlineStr">
        <is>
          <t>GRAVA BASALTO 10 MM - 3/8"</t>
        </is>
      </c>
    </row>
    <row r="1495">
      <c r="A1495" t="n">
        <v>10190772</v>
      </c>
      <c r="B1495" t="inlineStr">
        <is>
          <t>ZFE3</t>
        </is>
      </c>
      <c r="C1495" t="inlineStr">
        <is>
          <t>1000</t>
        </is>
      </c>
      <c r="D1495" t="inlineStr">
        <is>
          <t>M3</t>
        </is>
      </c>
      <c r="E1495" t="n">
        <v>1000</v>
      </c>
      <c r="F1495" t="inlineStr">
        <is>
          <t>TN</t>
        </is>
      </c>
      <c r="G1495" t="n">
        <v>1500</v>
      </c>
      <c r="H1495" t="inlineStr">
        <is>
          <t>MATERIAL DE EXTRACCION DE BANCO</t>
        </is>
      </c>
    </row>
    <row r="1496">
      <c r="A1496" t="n">
        <v>10190931</v>
      </c>
      <c r="B1496" t="inlineStr">
        <is>
          <t>ZFE3</t>
        </is>
      </c>
      <c r="C1496" t="inlineStr">
        <is>
          <t>1000</t>
        </is>
      </c>
      <c r="D1496" t="inlineStr">
        <is>
          <t>M3</t>
        </is>
      </c>
      <c r="E1496" t="n">
        <v>1000</v>
      </c>
      <c r="F1496" t="inlineStr">
        <is>
          <t>TN</t>
        </is>
      </c>
      <c r="G1496" t="n">
        <v>1528</v>
      </c>
      <c r="H1496" t="inlineStr">
        <is>
          <t>ARENA ANDESITA MALLA 8</t>
        </is>
      </c>
    </row>
    <row r="1497">
      <c r="A1497" t="n">
        <v>10190932</v>
      </c>
      <c r="B1497" t="inlineStr">
        <is>
          <t>ZFE3</t>
        </is>
      </c>
      <c r="C1497" t="inlineStr">
        <is>
          <t>1000</t>
        </is>
      </c>
      <c r="D1497" t="inlineStr">
        <is>
          <t>M3</t>
        </is>
      </c>
      <c r="E1497" t="n">
        <v>1000</v>
      </c>
      <c r="F1497" t="inlineStr">
        <is>
          <t>TN</t>
        </is>
      </c>
      <c r="G1497" t="n">
        <v>1480</v>
      </c>
      <c r="H1497" t="inlineStr">
        <is>
          <t>GRAVA TRITURADA MÁRMOL NEGRO 20 MM - 3/4</t>
        </is>
      </c>
    </row>
    <row r="1498">
      <c r="A1498" t="n">
        <v>10190962</v>
      </c>
      <c r="B1498" t="inlineStr">
        <is>
          <t>ZFE3</t>
        </is>
      </c>
      <c r="C1498" t="inlineStr">
        <is>
          <t>1000</t>
        </is>
      </c>
      <c r="D1498" t="inlineStr">
        <is>
          <t>M3</t>
        </is>
      </c>
      <c r="E1498" t="n">
        <v>1000</v>
      </c>
      <c r="F1498" t="inlineStr">
        <is>
          <t>TN</t>
        </is>
      </c>
      <c r="G1498" t="n">
        <v>1600</v>
      </c>
      <c r="H1498" t="inlineStr">
        <is>
          <t>BASE CRIBADA NATURAL RÍO</t>
        </is>
      </c>
    </row>
    <row r="1499">
      <c r="A1499" t="n">
        <v>10190999</v>
      </c>
      <c r="B1499" t="inlineStr">
        <is>
          <t>ZFE3</t>
        </is>
      </c>
      <c r="C1499" t="inlineStr">
        <is>
          <t>1000</t>
        </is>
      </c>
      <c r="D1499" t="inlineStr">
        <is>
          <t>M3</t>
        </is>
      </c>
      <c r="E1499" t="n">
        <v>1000</v>
      </c>
      <c r="F1499" t="inlineStr">
        <is>
          <t>TN</t>
        </is>
      </c>
      <c r="G1499" t="n">
        <v>1165</v>
      </c>
      <c r="H1499" t="inlineStr">
        <is>
          <t>GRAVA TRITURADA CALIZA 10 MM - 3/8" CAI</t>
        </is>
      </c>
    </row>
    <row r="1500">
      <c r="A1500" t="n">
        <v>10191010</v>
      </c>
      <c r="B1500" t="inlineStr">
        <is>
          <t>ZFE3</t>
        </is>
      </c>
      <c r="C1500" t="inlineStr">
        <is>
          <t>1000</t>
        </is>
      </c>
      <c r="D1500" t="inlineStr">
        <is>
          <t>M3</t>
        </is>
      </c>
      <c r="E1500" t="n">
        <v>1000</v>
      </c>
      <c r="F1500" t="inlineStr">
        <is>
          <t>TN</t>
        </is>
      </c>
      <c r="G1500" t="n">
        <v>1143</v>
      </c>
      <c r="H1500" t="inlineStr">
        <is>
          <t>GRAVA TRITURADA CALIZA 25 MM -1" CAI</t>
        </is>
      </c>
    </row>
    <row r="1501">
      <c r="A1501" t="n">
        <v>10191011</v>
      </c>
      <c r="B1501" t="inlineStr">
        <is>
          <t>ZFE3</t>
        </is>
      </c>
      <c r="C1501" t="inlineStr">
        <is>
          <t>1000</t>
        </is>
      </c>
      <c r="D1501" t="inlineStr">
        <is>
          <t>M3</t>
        </is>
      </c>
      <c r="E1501" t="n">
        <v>1000</v>
      </c>
      <c r="F1501" t="inlineStr">
        <is>
          <t>TN</t>
        </is>
      </c>
      <c r="G1501" t="n">
        <v>1286</v>
      </c>
      <c r="H1501" t="inlineStr">
        <is>
          <t>ARENA TRITURADA CALIZA MALLA 4 LAVADO CA</t>
        </is>
      </c>
    </row>
    <row r="1502">
      <c r="A1502" t="n">
        <v>10191012</v>
      </c>
      <c r="B1502" t="inlineStr">
        <is>
          <t>ZFE3</t>
        </is>
      </c>
      <c r="C1502" t="inlineStr">
        <is>
          <t>1000</t>
        </is>
      </c>
      <c r="D1502" t="inlineStr">
        <is>
          <t>M3</t>
        </is>
      </c>
      <c r="E1502" t="n">
        <v>1000</v>
      </c>
      <c r="F1502" t="inlineStr">
        <is>
          <t>TN</t>
        </is>
      </c>
      <c r="G1502" t="n">
        <v>1115</v>
      </c>
      <c r="H1502" t="inlineStr">
        <is>
          <t>GRAVA TRITURADA CALIZA 20 MM - 3/4" CAI</t>
        </is>
      </c>
    </row>
    <row r="1503">
      <c r="A1503" t="n">
        <v>10191013</v>
      </c>
      <c r="B1503" t="inlineStr">
        <is>
          <t>ZFE3</t>
        </is>
      </c>
      <c r="C1503" t="inlineStr">
        <is>
          <t>1000</t>
        </is>
      </c>
      <c r="D1503" t="inlineStr">
        <is>
          <t>M3</t>
        </is>
      </c>
      <c r="E1503" t="n">
        <v>1000</v>
      </c>
      <c r="F1503" t="inlineStr">
        <is>
          <t>TN</t>
        </is>
      </c>
      <c r="G1503" t="n">
        <v>1375</v>
      </c>
      <c r="H1503" t="inlineStr">
        <is>
          <t>ARENA TRITURADA CALIZA MALLA 4 CAI</t>
        </is>
      </c>
    </row>
    <row r="1504">
      <c r="A1504" t="n">
        <v>10191014</v>
      </c>
      <c r="B1504" t="inlineStr">
        <is>
          <t>ZFE3</t>
        </is>
      </c>
      <c r="C1504" t="inlineStr">
        <is>
          <t>1000</t>
        </is>
      </c>
      <c r="D1504" t="inlineStr">
        <is>
          <t>M3</t>
        </is>
      </c>
      <c r="E1504" t="n">
        <v>1000</v>
      </c>
      <c r="F1504" t="inlineStr">
        <is>
          <t>TN</t>
        </is>
      </c>
      <c r="G1504" t="n">
        <v>1565</v>
      </c>
      <c r="H1504" t="inlineStr">
        <is>
          <t>NO CLASIFICADO CALIZA 1 1/2"" A FINOS" C</t>
        </is>
      </c>
    </row>
    <row r="1505">
      <c r="A1505" t="n">
        <v>10191015</v>
      </c>
      <c r="B1505" t="inlineStr">
        <is>
          <t>ZFE3</t>
        </is>
      </c>
      <c r="C1505" t="inlineStr">
        <is>
          <t>1000</t>
        </is>
      </c>
      <c r="D1505" t="inlineStr">
        <is>
          <t>M3</t>
        </is>
      </c>
      <c r="E1505" t="n">
        <v>1000</v>
      </c>
      <c r="F1505" t="inlineStr">
        <is>
          <t>TN</t>
        </is>
      </c>
      <c r="G1505" t="n">
        <v>1169</v>
      </c>
      <c r="H1505" t="inlineStr">
        <is>
          <t>GRAVA TRITURADA CALIZA 13 MM - 1/2" CAI</t>
        </is>
      </c>
    </row>
    <row r="1506">
      <c r="A1506" t="n">
        <v>10191016</v>
      </c>
      <c r="B1506" t="inlineStr">
        <is>
          <t>ZFE3</t>
        </is>
      </c>
      <c r="C1506" t="inlineStr">
        <is>
          <t>1000</t>
        </is>
      </c>
      <c r="D1506" t="inlineStr">
        <is>
          <t>M3</t>
        </is>
      </c>
      <c r="E1506" t="n">
        <v>1000</v>
      </c>
      <c r="F1506" t="inlineStr">
        <is>
          <t>TN</t>
        </is>
      </c>
      <c r="G1506" t="n">
        <v>1650</v>
      </c>
      <c r="H1506" t="inlineStr">
        <is>
          <t>BASE H TRITURADA CALIZA 3/4"" A FINOS" C</t>
        </is>
      </c>
    </row>
    <row r="1507">
      <c r="A1507" t="n">
        <v>10191076</v>
      </c>
      <c r="B1507" t="inlineStr">
        <is>
          <t>ZFE3</t>
        </is>
      </c>
      <c r="C1507" t="inlineStr">
        <is>
          <t>1000</t>
        </is>
      </c>
      <c r="D1507" t="inlineStr">
        <is>
          <t>M3</t>
        </is>
      </c>
      <c r="E1507" t="n">
        <v>1000</v>
      </c>
      <c r="F1507" t="inlineStr">
        <is>
          <t>TN</t>
        </is>
      </c>
      <c r="G1507" t="n">
        <v>1520</v>
      </c>
      <c r="H1507" t="inlineStr">
        <is>
          <t>ARENA RIO LIMOSA NG</t>
        </is>
      </c>
    </row>
    <row r="1508">
      <c r="A1508" t="n">
        <v>10191128</v>
      </c>
      <c r="B1508" t="inlineStr">
        <is>
          <t>ZFE3</t>
        </is>
      </c>
      <c r="C1508" t="inlineStr">
        <is>
          <t>1000</t>
        </is>
      </c>
      <c r="D1508" t="inlineStr">
        <is>
          <t>M3</t>
        </is>
      </c>
      <c r="E1508" t="n">
        <v>1000</v>
      </c>
      <c r="F1508" t="inlineStr">
        <is>
          <t>TN</t>
        </is>
      </c>
      <c r="G1508" t="n">
        <v>1329</v>
      </c>
      <c r="H1508" t="inlineStr">
        <is>
          <t>POLVILLO BA</t>
        </is>
      </c>
    </row>
    <row r="1509">
      <c r="A1509" t="n">
        <v>10191129</v>
      </c>
      <c r="B1509" t="inlineStr">
        <is>
          <t>ZFE3</t>
        </is>
      </c>
      <c r="C1509" t="inlineStr">
        <is>
          <t>1000</t>
        </is>
      </c>
      <c r="D1509" t="inlineStr">
        <is>
          <t>M3</t>
        </is>
      </c>
      <c r="E1509" t="n">
        <v>1000</v>
      </c>
      <c r="F1509" t="inlineStr">
        <is>
          <t>TN</t>
        </is>
      </c>
      <c r="G1509" t="n">
        <v>1295</v>
      </c>
      <c r="H1509" t="inlineStr">
        <is>
          <t>PIEDRA #7 BA</t>
        </is>
      </c>
    </row>
    <row r="1510">
      <c r="A1510" t="n">
        <v>10191160</v>
      </c>
      <c r="B1510" t="inlineStr">
        <is>
          <t>ZFE3</t>
        </is>
      </c>
      <c r="C1510" t="inlineStr">
        <is>
          <t>1000</t>
        </is>
      </c>
      <c r="D1510" t="inlineStr">
        <is>
          <t>M3</t>
        </is>
      </c>
      <c r="E1510" t="n">
        <v>1000</v>
      </c>
      <c r="F1510" t="inlineStr">
        <is>
          <t>TN</t>
        </is>
      </c>
      <c r="G1510" t="n">
        <v>1520</v>
      </c>
      <c r="H1510" t="inlineStr">
        <is>
          <t>GRAVA 1" GOLIAT</t>
        </is>
      </c>
    </row>
    <row r="1511">
      <c r="A1511" t="n">
        <v>10191175</v>
      </c>
      <c r="B1511" t="inlineStr">
        <is>
          <t>ZFE3</t>
        </is>
      </c>
      <c r="C1511" t="inlineStr">
        <is>
          <t>1000</t>
        </is>
      </c>
      <c r="D1511" t="inlineStr">
        <is>
          <t>M3</t>
        </is>
      </c>
      <c r="E1511" t="n">
        <v>1000</v>
      </c>
      <c r="F1511" t="inlineStr">
        <is>
          <t>TN</t>
        </is>
      </c>
      <c r="G1511" t="n">
        <v>1720</v>
      </c>
      <c r="H1511" t="inlineStr">
        <is>
          <t>GRAVA TRITURADA CALIZA 40MM - 1 1/2 NG</t>
        </is>
      </c>
    </row>
    <row r="1512">
      <c r="A1512" t="n">
        <v>10191176</v>
      </c>
      <c r="B1512" t="inlineStr">
        <is>
          <t>ZFE3</t>
        </is>
      </c>
      <c r="C1512" t="inlineStr">
        <is>
          <t>1000</t>
        </is>
      </c>
      <c r="D1512" t="inlineStr">
        <is>
          <t>M3</t>
        </is>
      </c>
      <c r="E1512" t="n">
        <v>1000</v>
      </c>
      <c r="F1512" t="inlineStr">
        <is>
          <t>TN</t>
        </is>
      </c>
      <c r="G1512" t="n">
        <v>1350</v>
      </c>
      <c r="H1512" t="inlineStr">
        <is>
          <t>ANDESITA CLASIFICADA 2" A 4" NG</t>
        </is>
      </c>
    </row>
    <row r="1513">
      <c r="A1513" t="n">
        <v>10191177</v>
      </c>
      <c r="B1513" t="inlineStr">
        <is>
          <t>ZFE3</t>
        </is>
      </c>
      <c r="C1513" t="inlineStr">
        <is>
          <t>1000</t>
        </is>
      </c>
      <c r="D1513" t="inlineStr">
        <is>
          <t>M3</t>
        </is>
      </c>
      <c r="E1513" t="n">
        <v>1000</v>
      </c>
      <c r="F1513" t="inlineStr">
        <is>
          <t>TN</t>
        </is>
      </c>
      <c r="G1513" t="n">
        <v>1300</v>
      </c>
      <c r="H1513" t="inlineStr">
        <is>
          <t>ANDESITA CLASIFICADA 8" A 16" NG</t>
        </is>
      </c>
    </row>
    <row r="1514">
      <c r="A1514" t="n">
        <v>10191192</v>
      </c>
      <c r="B1514" t="inlineStr">
        <is>
          <t>ZFE3</t>
        </is>
      </c>
      <c r="C1514" t="inlineStr">
        <is>
          <t>1000</t>
        </is>
      </c>
      <c r="D1514" t="inlineStr">
        <is>
          <t>M3</t>
        </is>
      </c>
      <c r="E1514" t="n">
        <v>1000</v>
      </c>
      <c r="F1514" t="inlineStr">
        <is>
          <t>TN</t>
        </is>
      </c>
      <c r="G1514" t="n">
        <v>1400</v>
      </c>
      <c r="H1514" t="inlineStr">
        <is>
          <t>PIEDRA PICADA DE 30 # 60 CM NG</t>
        </is>
      </c>
    </row>
    <row r="1515">
      <c r="A1515" t="n">
        <v>10191193</v>
      </c>
      <c r="B1515" t="inlineStr">
        <is>
          <t>ZFE3</t>
        </is>
      </c>
      <c r="C1515" t="inlineStr">
        <is>
          <t>1000</t>
        </is>
      </c>
      <c r="D1515" t="inlineStr">
        <is>
          <t>M3</t>
        </is>
      </c>
      <c r="E1515" t="n">
        <v>1000</v>
      </c>
      <c r="F1515" t="inlineStr">
        <is>
          <t>TN</t>
        </is>
      </c>
      <c r="G1515" t="n">
        <v>1500</v>
      </c>
      <c r="H1515" t="inlineStr">
        <is>
          <t>PIEDRA DE SOBRETAMAÑO 1 MT – NG</t>
        </is>
      </c>
    </row>
    <row r="1516">
      <c r="A1516" t="n">
        <v>10191255</v>
      </c>
      <c r="B1516" t="inlineStr">
        <is>
          <t>ZFE3</t>
        </is>
      </c>
      <c r="C1516" t="inlineStr">
        <is>
          <t>1000</t>
        </is>
      </c>
      <c r="D1516" t="inlineStr">
        <is>
          <t>M3</t>
        </is>
      </c>
      <c r="E1516" t="n">
        <v>1000</v>
      </c>
      <c r="F1516" t="inlineStr">
        <is>
          <t>TN</t>
        </is>
      </c>
      <c r="G1516" t="n">
        <v>1500</v>
      </c>
      <c r="H1516" t="inlineStr">
        <is>
          <t>GRAVA TRITURADA CALIZA 20MM-3/4 NG</t>
        </is>
      </c>
    </row>
    <row r="1517">
      <c r="A1517" t="n">
        <v>10191484</v>
      </c>
      <c r="B1517" t="inlineStr">
        <is>
          <t>ZFE3</t>
        </is>
      </c>
      <c r="C1517" t="inlineStr">
        <is>
          <t>1000</t>
        </is>
      </c>
      <c r="D1517" t="inlineStr">
        <is>
          <t>M3</t>
        </is>
      </c>
      <c r="E1517" t="n">
        <v>1000</v>
      </c>
      <c r="F1517" t="inlineStr">
        <is>
          <t>TN</t>
        </is>
      </c>
      <c r="G1517" t="n">
        <v>1300</v>
      </c>
      <c r="H1517" t="inlineStr">
        <is>
          <t>ARENA TRITURADA CALIZA MALLA 4-NG</t>
        </is>
      </c>
    </row>
    <row r="1518">
      <c r="A1518" t="n">
        <v>10191647</v>
      </c>
      <c r="B1518" t="inlineStr">
        <is>
          <t>ZFE3</t>
        </is>
      </c>
      <c r="C1518" t="inlineStr">
        <is>
          <t>1000</t>
        </is>
      </c>
      <c r="D1518" t="inlineStr">
        <is>
          <t>M3</t>
        </is>
      </c>
      <c r="E1518" t="n">
        <v>1000</v>
      </c>
      <c r="F1518" t="inlineStr">
        <is>
          <t>TN</t>
        </is>
      </c>
      <c r="G1518" t="n">
        <v>1441</v>
      </c>
      <c r="H1518" t="inlineStr">
        <is>
          <t>BALASTO 6# A 3#</t>
        </is>
      </c>
    </row>
    <row r="1519">
      <c r="A1519" t="n">
        <v>10191736</v>
      </c>
      <c r="B1519" t="inlineStr">
        <is>
          <t>ZFE3</t>
        </is>
      </c>
      <c r="C1519" t="inlineStr">
        <is>
          <t>1000</t>
        </is>
      </c>
      <c r="D1519" t="inlineStr">
        <is>
          <t>M3</t>
        </is>
      </c>
      <c r="E1519" t="n">
        <v>1000</v>
      </c>
      <c r="F1519" t="inlineStr">
        <is>
          <t>TN</t>
        </is>
      </c>
      <c r="G1519" t="n">
        <v>1500</v>
      </c>
      <c r="H1519" t="inlineStr">
        <is>
          <t>GRAVA TRITURADA CALIZA 40 MM - 1 1/2"</t>
        </is>
      </c>
    </row>
    <row r="1520">
      <c r="A1520" t="n">
        <v>10192148</v>
      </c>
      <c r="B1520" t="inlineStr">
        <is>
          <t>ZFE3</t>
        </is>
      </c>
      <c r="C1520" t="inlineStr">
        <is>
          <t>1000</t>
        </is>
      </c>
      <c r="D1520" t="inlineStr">
        <is>
          <t>M3</t>
        </is>
      </c>
      <c r="E1520" t="n">
        <v>1000</v>
      </c>
      <c r="F1520" t="inlineStr">
        <is>
          <t>TN</t>
        </is>
      </c>
      <c r="G1520" t="n">
        <v>1562</v>
      </c>
      <c r="H1520" t="inlineStr">
        <is>
          <t>SUB BASE - MATERIAL SELECTO (3" - 0)MQ</t>
        </is>
      </c>
    </row>
    <row r="1521">
      <c r="A1521" t="n">
        <v>10192149</v>
      </c>
      <c r="B1521" t="inlineStr">
        <is>
          <t>ZFE3</t>
        </is>
      </c>
      <c r="C1521" t="inlineStr">
        <is>
          <t>1000</t>
        </is>
      </c>
      <c r="D1521" t="inlineStr">
        <is>
          <t>M3</t>
        </is>
      </c>
      <c r="E1521" t="n">
        <v>1000</v>
      </c>
      <c r="F1521" t="inlineStr">
        <is>
          <t>TN</t>
        </is>
      </c>
      <c r="G1521" t="n">
        <v>1398</v>
      </c>
      <c r="H1521" t="inlineStr">
        <is>
          <t>PIEDRA DE GAVION 8 A 10" C</t>
        </is>
      </c>
    </row>
    <row r="1522">
      <c r="A1522" t="n">
        <v>10192197</v>
      </c>
      <c r="B1522" t="inlineStr">
        <is>
          <t>ZFE3</t>
        </is>
      </c>
      <c r="C1522" t="inlineStr">
        <is>
          <t>1000</t>
        </is>
      </c>
      <c r="D1522" t="inlineStr">
        <is>
          <t>M3</t>
        </is>
      </c>
      <c r="E1522" t="n">
        <v>1000</v>
      </c>
      <c r="F1522" t="inlineStr">
        <is>
          <t>TN</t>
        </is>
      </c>
      <c r="G1522" t="n">
        <v>1443</v>
      </c>
      <c r="H1522" t="inlineStr">
        <is>
          <t>ARENA CLASIFICADA RIO MALLA 5</t>
        </is>
      </c>
    </row>
    <row r="1523">
      <c r="A1523" t="n">
        <v>10192217</v>
      </c>
      <c r="B1523" t="inlineStr">
        <is>
          <t>ZFE3</t>
        </is>
      </c>
      <c r="C1523" t="inlineStr">
        <is>
          <t>1000</t>
        </is>
      </c>
      <c r="D1523" t="inlineStr">
        <is>
          <t>M3</t>
        </is>
      </c>
      <c r="E1523" t="n">
        <v>1000</v>
      </c>
      <c r="F1523" t="inlineStr">
        <is>
          <t>TN</t>
        </is>
      </c>
      <c r="G1523" t="n">
        <v>1460</v>
      </c>
      <c r="H1523" t="inlineStr">
        <is>
          <t>SUBPRODUCTO GRAVA 20MM-3/4</t>
        </is>
      </c>
    </row>
    <row r="1524">
      <c r="A1524" t="n">
        <v>10192225</v>
      </c>
      <c r="B1524" t="inlineStr">
        <is>
          <t>ZFE3</t>
        </is>
      </c>
      <c r="C1524" t="inlineStr">
        <is>
          <t>1000</t>
        </is>
      </c>
      <c r="D1524" t="inlineStr">
        <is>
          <t>M3</t>
        </is>
      </c>
      <c r="E1524" t="n">
        <v>1000</v>
      </c>
      <c r="F1524" t="inlineStr">
        <is>
          <t>TN</t>
        </is>
      </c>
      <c r="G1524" t="n">
        <v>1440</v>
      </c>
      <c r="H1524" t="inlineStr">
        <is>
          <t>ARENA CLASIFICADA RIO MALLA 4</t>
        </is>
      </c>
    </row>
    <row r="1525">
      <c r="A1525" t="n">
        <v>10192226</v>
      </c>
      <c r="B1525" t="inlineStr">
        <is>
          <t>ZFE3</t>
        </is>
      </c>
      <c r="C1525" t="inlineStr">
        <is>
          <t>1000</t>
        </is>
      </c>
      <c r="D1525" t="inlineStr">
        <is>
          <t>M3</t>
        </is>
      </c>
      <c r="E1525" t="n">
        <v>1000</v>
      </c>
      <c r="F1525" t="inlineStr">
        <is>
          <t>TN</t>
        </is>
      </c>
      <c r="G1525" t="n">
        <v>1535</v>
      </c>
      <c r="H1525" t="inlineStr">
        <is>
          <t>GRAVA CLASIFICADA RIO 10 MM - 3/8"</t>
        </is>
      </c>
    </row>
    <row r="1526">
      <c r="A1526" t="n">
        <v>10192227</v>
      </c>
      <c r="B1526" t="inlineStr">
        <is>
          <t>ZFE3</t>
        </is>
      </c>
      <c r="C1526" t="inlineStr">
        <is>
          <t>1000</t>
        </is>
      </c>
      <c r="D1526" t="inlineStr">
        <is>
          <t>M3</t>
        </is>
      </c>
      <c r="E1526" t="n">
        <v>1000</v>
      </c>
      <c r="F1526" t="inlineStr">
        <is>
          <t>TN</t>
        </is>
      </c>
      <c r="G1526" t="n">
        <v>1465</v>
      </c>
      <c r="H1526" t="inlineStr">
        <is>
          <t>GRAVA CLASIFICADA RIO 20 MM - 3/4"</t>
        </is>
      </c>
    </row>
    <row r="1527">
      <c r="A1527" t="n">
        <v>10192228</v>
      </c>
      <c r="B1527" t="inlineStr">
        <is>
          <t>ZFE3</t>
        </is>
      </c>
      <c r="C1527" t="inlineStr">
        <is>
          <t>1000</t>
        </is>
      </c>
      <c r="D1527" t="inlineStr">
        <is>
          <t>M3</t>
        </is>
      </c>
      <c r="E1527" t="n">
        <v>1000</v>
      </c>
      <c r="F1527" t="inlineStr">
        <is>
          <t>TN</t>
        </is>
      </c>
      <c r="G1527" t="n">
        <v>1413</v>
      </c>
      <c r="H1527" t="inlineStr">
        <is>
          <t>GRAVA CLASIFICADA RIO 40 MM - 1 1/2"</t>
        </is>
      </c>
    </row>
    <row r="1528">
      <c r="A1528" t="n">
        <v>10192340</v>
      </c>
      <c r="B1528" t="inlineStr">
        <is>
          <t>ZFE3</t>
        </is>
      </c>
      <c r="C1528" t="inlineStr">
        <is>
          <t>1000</t>
        </is>
      </c>
      <c r="D1528" t="inlineStr">
        <is>
          <t>M3</t>
        </is>
      </c>
      <c r="E1528" t="n">
        <v>1000</v>
      </c>
      <c r="F1528" t="inlineStr">
        <is>
          <t>TN</t>
        </is>
      </c>
      <c r="G1528" t="n">
        <v>1516</v>
      </c>
      <c r="H1528" t="inlineStr">
        <is>
          <t>ARENA TRITURADA ANDESITA AZUL MALLA 4</t>
        </is>
      </c>
    </row>
    <row r="1529">
      <c r="A1529" t="n">
        <v>10192344</v>
      </c>
      <c r="B1529" t="inlineStr">
        <is>
          <t>ZFE3</t>
        </is>
      </c>
      <c r="C1529" t="inlineStr">
        <is>
          <t>1000</t>
        </is>
      </c>
      <c r="D1529" t="inlineStr">
        <is>
          <t>M3</t>
        </is>
      </c>
      <c r="E1529" t="n">
        <v>1000</v>
      </c>
      <c r="F1529" t="inlineStr">
        <is>
          <t>TN</t>
        </is>
      </c>
      <c r="G1529" t="n">
        <v>1580</v>
      </c>
      <c r="H1529" t="inlineStr">
        <is>
          <t>GRAVA TRITURADA BASALTO 10 MM A FINOS NG</t>
        </is>
      </c>
    </row>
    <row r="1530">
      <c r="A1530" t="n">
        <v>10192345</v>
      </c>
      <c r="B1530" t="inlineStr">
        <is>
          <t>ZFE3</t>
        </is>
      </c>
      <c r="C1530" t="inlineStr">
        <is>
          <t>1000</t>
        </is>
      </c>
      <c r="D1530" t="inlineStr">
        <is>
          <t>M3</t>
        </is>
      </c>
      <c r="E1530" t="n">
        <v>1000</v>
      </c>
      <c r="F1530" t="inlineStr">
        <is>
          <t>TN</t>
        </is>
      </c>
      <c r="G1530" t="n">
        <v>1330</v>
      </c>
      <c r="H1530" t="inlineStr">
        <is>
          <t>GRAVA TRITURADA ANDESITA 10 MM A FINOS N</t>
        </is>
      </c>
    </row>
    <row r="1531">
      <c r="A1531" t="n">
        <v>10192406</v>
      </c>
      <c r="B1531" t="inlineStr">
        <is>
          <t>ZFE3</t>
        </is>
      </c>
      <c r="C1531" t="inlineStr">
        <is>
          <t>1000</t>
        </is>
      </c>
      <c r="D1531" t="inlineStr">
        <is>
          <t>M3</t>
        </is>
      </c>
      <c r="E1531" t="n">
        <v>1000</v>
      </c>
      <c r="F1531" t="inlineStr">
        <is>
          <t>TN</t>
        </is>
      </c>
      <c r="G1531" t="n">
        <v>1646</v>
      </c>
      <c r="H1531" t="inlineStr">
        <is>
          <t>ARENA CALIZA MALLA 4</t>
        </is>
      </c>
    </row>
    <row r="1532">
      <c r="A1532" t="n">
        <v>10192484</v>
      </c>
      <c r="B1532" t="inlineStr">
        <is>
          <t>ZFE3</t>
        </is>
      </c>
      <c r="C1532" t="inlineStr">
        <is>
          <t>1000</t>
        </is>
      </c>
      <c r="D1532" t="inlineStr">
        <is>
          <t>M3</t>
        </is>
      </c>
      <c r="E1532" t="n">
        <v>1000</v>
      </c>
      <c r="F1532" t="inlineStr">
        <is>
          <t>TN</t>
        </is>
      </c>
      <c r="G1532" t="n">
        <v>1500</v>
      </c>
      <c r="H1532" t="inlineStr">
        <is>
          <t>BASE HIDRÁULICA BASALTO 2# A FINOS NG</t>
        </is>
      </c>
    </row>
    <row r="1533">
      <c r="A1533" t="n">
        <v>10192485</v>
      </c>
      <c r="B1533" t="inlineStr">
        <is>
          <t>ZFE3</t>
        </is>
      </c>
      <c r="C1533" t="inlineStr">
        <is>
          <t>1000</t>
        </is>
      </c>
      <c r="D1533" t="inlineStr">
        <is>
          <t>M3</t>
        </is>
      </c>
      <c r="E1533" t="n">
        <v>1000</v>
      </c>
      <c r="F1533" t="inlineStr">
        <is>
          <t>TN</t>
        </is>
      </c>
      <c r="G1533" t="n">
        <v>1430</v>
      </c>
      <c r="H1533" t="inlineStr">
        <is>
          <t>BASE HIDRÁULICA ANDESITA 2# A FINOS NG</t>
        </is>
      </c>
    </row>
    <row r="1534">
      <c r="A1534" t="n">
        <v>10192542</v>
      </c>
      <c r="B1534" t="inlineStr">
        <is>
          <t>ZFE3</t>
        </is>
      </c>
      <c r="C1534" t="inlineStr">
        <is>
          <t>1000</t>
        </is>
      </c>
      <c r="D1534" t="inlineStr">
        <is>
          <t>M3</t>
        </is>
      </c>
      <c r="E1534" t="n">
        <v>1000</v>
      </c>
      <c r="F1534" t="inlineStr">
        <is>
          <t>TN</t>
        </is>
      </c>
      <c r="G1534" t="n">
        <v>1302</v>
      </c>
      <c r="H1534" t="inlineStr">
        <is>
          <t>PIEDRA NO.56 (1 - 3/8") CP CO</t>
        </is>
      </c>
    </row>
    <row r="1535">
      <c r="A1535" t="n">
        <v>10192543</v>
      </c>
      <c r="B1535" t="inlineStr">
        <is>
          <t>ZFE3</t>
        </is>
      </c>
      <c r="C1535" t="inlineStr">
        <is>
          <t>1000</t>
        </is>
      </c>
      <c r="D1535" t="inlineStr">
        <is>
          <t>M3</t>
        </is>
      </c>
      <c r="E1535" t="n">
        <v>1000</v>
      </c>
      <c r="F1535" t="inlineStr">
        <is>
          <t>TN</t>
        </is>
      </c>
      <c r="G1535" t="n">
        <v>1295</v>
      </c>
      <c r="H1535" t="inlineStr">
        <is>
          <t>PIEDRA NO.7 (1/2 - NO.4) CP CO</t>
        </is>
      </c>
    </row>
    <row r="1536">
      <c r="A1536" t="n">
        <v>10192725</v>
      </c>
      <c r="B1536" t="inlineStr">
        <is>
          <t>ZFE3</t>
        </is>
      </c>
      <c r="C1536" t="inlineStr">
        <is>
          <t>1000</t>
        </is>
      </c>
      <c r="D1536" t="inlineStr">
        <is>
          <t>M3</t>
        </is>
      </c>
      <c r="E1536" t="n">
        <v>1000</v>
      </c>
      <c r="F1536" t="inlineStr">
        <is>
          <t>TN</t>
        </is>
      </c>
      <c r="G1536" t="n">
        <v>1430</v>
      </c>
      <c r="H1536" t="inlineStr">
        <is>
          <t>GRAVA TRITURADA CALIZA 1/2" NG</t>
        </is>
      </c>
    </row>
    <row r="1537">
      <c r="A1537" t="n">
        <v>10192726</v>
      </c>
      <c r="B1537" t="inlineStr">
        <is>
          <t>ZFE3</t>
        </is>
      </c>
      <c r="C1537" t="inlineStr">
        <is>
          <t>1000</t>
        </is>
      </c>
      <c r="D1537" t="inlineStr">
        <is>
          <t>M3</t>
        </is>
      </c>
      <c r="E1537" t="n">
        <v>1000</v>
      </c>
      <c r="F1537" t="inlineStr">
        <is>
          <t>TN</t>
        </is>
      </c>
      <c r="G1537" t="n">
        <v>1480</v>
      </c>
      <c r="H1537" t="inlineStr">
        <is>
          <t>GRAVA TRITURADA BASALTO 1/2" NG</t>
        </is>
      </c>
    </row>
    <row r="1538">
      <c r="A1538" t="n">
        <v>10192806</v>
      </c>
      <c r="B1538" t="inlineStr">
        <is>
          <t>ZFE3</t>
        </is>
      </c>
      <c r="C1538" t="inlineStr">
        <is>
          <t>1000</t>
        </is>
      </c>
      <c r="D1538" t="inlineStr">
        <is>
          <t>M3</t>
        </is>
      </c>
      <c r="E1538" t="n">
        <v>1000</v>
      </c>
      <c r="F1538" t="inlineStr">
        <is>
          <t>TN</t>
        </is>
      </c>
      <c r="G1538" t="n">
        <v>1674</v>
      </c>
      <c r="H1538" t="inlineStr">
        <is>
          <t>ARENA SIN LAVAR CACHIBI</t>
        </is>
      </c>
    </row>
    <row r="1539">
      <c r="A1539" t="n">
        <v>10192840</v>
      </c>
      <c r="B1539" t="inlineStr">
        <is>
          <t>ZFE3</t>
        </is>
      </c>
      <c r="C1539" t="inlineStr">
        <is>
          <t>1000</t>
        </is>
      </c>
      <c r="D1539" t="inlineStr">
        <is>
          <t>M3</t>
        </is>
      </c>
      <c r="E1539" t="n">
        <v>1000</v>
      </c>
      <c r="F1539" t="inlineStr">
        <is>
          <t>TN</t>
        </is>
      </c>
      <c r="G1539" t="n">
        <v>1286</v>
      </c>
      <c r="H1539" t="inlineStr">
        <is>
          <t>GRAVA TRITURADA ANDESITA 20 MM - 3/4"</t>
        </is>
      </c>
    </row>
    <row r="1540">
      <c r="A1540" t="n">
        <v>10192908</v>
      </c>
      <c r="B1540" t="inlineStr">
        <is>
          <t>ZFE3</t>
        </is>
      </c>
      <c r="C1540" t="inlineStr">
        <is>
          <t>1000</t>
        </is>
      </c>
      <c r="D1540" t="inlineStr">
        <is>
          <t>M3</t>
        </is>
      </c>
      <c r="E1540" t="n">
        <v>1000</v>
      </c>
      <c r="F1540" t="inlineStr">
        <is>
          <t>TN</t>
        </is>
      </c>
      <c r="G1540" t="n">
        <v>1480</v>
      </c>
      <c r="H1540" t="inlineStr">
        <is>
          <t>GRAVA  CALIZA 20MM - 3/4- NG</t>
        </is>
      </c>
    </row>
    <row r="1541">
      <c r="A1541" t="n">
        <v>10192909</v>
      </c>
      <c r="B1541" t="inlineStr">
        <is>
          <t>ZFE3</t>
        </is>
      </c>
      <c r="C1541" t="inlineStr">
        <is>
          <t>1000</t>
        </is>
      </c>
      <c r="D1541" t="inlineStr">
        <is>
          <t>M3</t>
        </is>
      </c>
      <c r="E1541" t="n">
        <v>1000</v>
      </c>
      <c r="F1541" t="inlineStr">
        <is>
          <t>TN</t>
        </is>
      </c>
      <c r="G1541" t="n">
        <v>1234</v>
      </c>
      <c r="H1541" t="inlineStr">
        <is>
          <t>GRAVA TRITURADA ANDESITA 10 MM - 3/8" HD</t>
        </is>
      </c>
    </row>
    <row r="1542">
      <c r="A1542" t="n">
        <v>10192916</v>
      </c>
      <c r="B1542" t="inlineStr">
        <is>
          <t>ZFE3</t>
        </is>
      </c>
      <c r="C1542" t="inlineStr">
        <is>
          <t>1000</t>
        </is>
      </c>
      <c r="D1542" t="inlineStr">
        <is>
          <t>M3</t>
        </is>
      </c>
      <c r="E1542" t="n">
        <v>1000</v>
      </c>
      <c r="F1542" t="inlineStr">
        <is>
          <t>TN</t>
        </is>
      </c>
      <c r="G1542" t="n">
        <v>1600</v>
      </c>
      <c r="H1542" t="inlineStr">
        <is>
          <t>PIEDRA CALIZA MURO 1 A 4 --NG</t>
        </is>
      </c>
    </row>
    <row r="1543">
      <c r="A1543" t="n">
        <v>10192933</v>
      </c>
      <c r="B1543" t="inlineStr">
        <is>
          <t>ZFE3</t>
        </is>
      </c>
      <c r="C1543" t="inlineStr">
        <is>
          <t>1000</t>
        </is>
      </c>
      <c r="D1543" t="inlineStr">
        <is>
          <t>M3</t>
        </is>
      </c>
      <c r="E1543" t="n">
        <v>1000</v>
      </c>
      <c r="F1543" t="inlineStr">
        <is>
          <t>TN</t>
        </is>
      </c>
      <c r="G1543" t="n">
        <v>1650</v>
      </c>
      <c r="H1543" t="inlineStr">
        <is>
          <t>ARENA TRITURADA MARMOL MALLA 4 - NG</t>
        </is>
      </c>
    </row>
    <row r="1544">
      <c r="A1544" t="n">
        <v>10192940</v>
      </c>
      <c r="B1544" t="inlineStr">
        <is>
          <t>ZFE3</t>
        </is>
      </c>
      <c r="C1544" t="inlineStr">
        <is>
          <t>1000</t>
        </is>
      </c>
      <c r="D1544" t="inlineStr">
        <is>
          <t>M3</t>
        </is>
      </c>
      <c r="E1544" t="n">
        <v>1000</v>
      </c>
      <c r="F1544" t="inlineStr">
        <is>
          <t>TN</t>
        </is>
      </c>
      <c r="G1544" t="n">
        <v>1385</v>
      </c>
      <c r="H1544" t="inlineStr">
        <is>
          <t>GRAVA TRITURADA ANDESITA 20 MM - 3/4" HD</t>
        </is>
      </c>
    </row>
    <row r="1545">
      <c r="A1545" t="n">
        <v>10192941</v>
      </c>
      <c r="B1545" t="inlineStr">
        <is>
          <t>ZFE3</t>
        </is>
      </c>
      <c r="C1545" t="inlineStr">
        <is>
          <t>1000</t>
        </is>
      </c>
      <c r="D1545" t="inlineStr">
        <is>
          <t>M3</t>
        </is>
      </c>
      <c r="E1545" t="n">
        <v>1000</v>
      </c>
      <c r="F1545" t="inlineStr">
        <is>
          <t>TN</t>
        </is>
      </c>
      <c r="G1545" t="n">
        <v>1446</v>
      </c>
      <c r="H1545" t="inlineStr">
        <is>
          <t>GRAVA TRITURADA CALIZA 10 MM - 3/8" HD</t>
        </is>
      </c>
    </row>
    <row r="1546">
      <c r="A1546" t="n">
        <v>10192942</v>
      </c>
      <c r="B1546" t="inlineStr">
        <is>
          <t>ZFE3</t>
        </is>
      </c>
      <c r="C1546" t="inlineStr">
        <is>
          <t>1000</t>
        </is>
      </c>
      <c r="D1546" t="inlineStr">
        <is>
          <t>M3</t>
        </is>
      </c>
      <c r="E1546" t="n">
        <v>1000</v>
      </c>
      <c r="F1546" t="inlineStr">
        <is>
          <t>TN</t>
        </is>
      </c>
      <c r="G1546" t="n">
        <v>1500</v>
      </c>
      <c r="H1546" t="inlineStr">
        <is>
          <t>ARENA TRITURADA ANDESITA HD</t>
        </is>
      </c>
    </row>
    <row r="1547">
      <c r="A1547" t="n">
        <v>10192943</v>
      </c>
      <c r="B1547" t="inlineStr">
        <is>
          <t>ZFE3</t>
        </is>
      </c>
      <c r="C1547" t="inlineStr">
        <is>
          <t>1000</t>
        </is>
      </c>
      <c r="D1547" t="inlineStr">
        <is>
          <t>M3</t>
        </is>
      </c>
      <c r="E1547" t="n">
        <v>1000</v>
      </c>
      <c r="F1547" t="inlineStr">
        <is>
          <t>TN</t>
        </is>
      </c>
      <c r="G1547" t="n">
        <v>1478</v>
      </c>
      <c r="H1547" t="inlineStr">
        <is>
          <t>GRAVA TRITURADA CALIZA 40 MM - 1 1/2" HD</t>
        </is>
      </c>
    </row>
    <row r="1548">
      <c r="A1548" t="n">
        <v>10192944</v>
      </c>
      <c r="B1548" t="inlineStr">
        <is>
          <t>ZFE3</t>
        </is>
      </c>
      <c r="C1548" t="inlineStr">
        <is>
          <t>1000</t>
        </is>
      </c>
      <c r="D1548" t="inlineStr">
        <is>
          <t>M3</t>
        </is>
      </c>
      <c r="E1548" t="n">
        <v>1000</v>
      </c>
      <c r="F1548" t="inlineStr">
        <is>
          <t>TN</t>
        </is>
      </c>
      <c r="G1548" t="n">
        <v>1462</v>
      </c>
      <c r="H1548" t="inlineStr">
        <is>
          <t>GRAVA TRITURADA CALIZA 20 MM - 3/4" HD</t>
        </is>
      </c>
    </row>
    <row r="1549">
      <c r="A1549" t="n">
        <v>10192945</v>
      </c>
      <c r="B1549" t="inlineStr">
        <is>
          <t>ZFE3</t>
        </is>
      </c>
      <c r="C1549" t="inlineStr">
        <is>
          <t>1000</t>
        </is>
      </c>
      <c r="D1549" t="inlineStr">
        <is>
          <t>M3</t>
        </is>
      </c>
      <c r="E1549" t="n">
        <v>1000</v>
      </c>
      <c r="F1549" t="inlineStr">
        <is>
          <t>TN</t>
        </is>
      </c>
      <c r="G1549" t="n">
        <v>1446</v>
      </c>
      <c r="H1549" t="inlineStr">
        <is>
          <t>GRAVA TRITURADA CALIZA 13 MM - 1/2" HD</t>
        </is>
      </c>
    </row>
    <row r="1550">
      <c r="A1550" t="n">
        <v>10193221</v>
      </c>
      <c r="B1550" t="inlineStr">
        <is>
          <t>ZFE3</t>
        </is>
      </c>
      <c r="C1550" t="inlineStr">
        <is>
          <t>1000</t>
        </is>
      </c>
      <c r="D1550" t="inlineStr">
        <is>
          <t>M3</t>
        </is>
      </c>
      <c r="E1550" t="n">
        <v>1000</v>
      </c>
      <c r="F1550" t="inlineStr">
        <is>
          <t>TN</t>
        </is>
      </c>
      <c r="G1550" t="n">
        <v>1371</v>
      </c>
      <c r="H1550" t="inlineStr">
        <is>
          <t>PIEDRA NO.7 (GRAVA 1/2 - NO.4) H. CO</t>
        </is>
      </c>
    </row>
    <row r="1551">
      <c r="A1551" t="n">
        <v>10193222</v>
      </c>
      <c r="B1551" t="inlineStr">
        <is>
          <t>ZFE3</t>
        </is>
      </c>
      <c r="C1551" t="inlineStr">
        <is>
          <t>1000</t>
        </is>
      </c>
      <c r="D1551" t="inlineStr">
        <is>
          <t>M3</t>
        </is>
      </c>
      <c r="E1551" t="n">
        <v>1000</v>
      </c>
      <c r="F1551" t="inlineStr">
        <is>
          <t>TN</t>
        </is>
      </c>
      <c r="G1551" t="n">
        <v>1360</v>
      </c>
      <c r="H1551" t="inlineStr">
        <is>
          <t>PIEDRA NO.56 (GRAVA 1-3/8) H. CO</t>
        </is>
      </c>
    </row>
    <row r="1552">
      <c r="A1552" t="n">
        <v>10193223</v>
      </c>
      <c r="B1552" t="inlineStr">
        <is>
          <t>ZFE3</t>
        </is>
      </c>
      <c r="C1552" t="inlineStr">
        <is>
          <t>1000</t>
        </is>
      </c>
      <c r="D1552" t="inlineStr">
        <is>
          <t>M3</t>
        </is>
      </c>
      <c r="E1552" t="n">
        <v>1000</v>
      </c>
      <c r="F1552" t="inlineStr">
        <is>
          <t>TN</t>
        </is>
      </c>
      <c r="G1552" t="n">
        <v>1360</v>
      </c>
      <c r="H1552" t="inlineStr">
        <is>
          <t>PIEDRA NO.56 (GRAVA 1-3/8)H</t>
        </is>
      </c>
    </row>
    <row r="1553">
      <c r="A1553" t="n">
        <v>10193224</v>
      </c>
      <c r="B1553" t="inlineStr">
        <is>
          <t>ZFE3</t>
        </is>
      </c>
      <c r="C1553" t="inlineStr">
        <is>
          <t>1000</t>
        </is>
      </c>
      <c r="D1553" t="inlineStr">
        <is>
          <t>M3</t>
        </is>
      </c>
      <c r="E1553" t="n">
        <v>1000</v>
      </c>
      <c r="F1553" t="inlineStr">
        <is>
          <t>TN</t>
        </is>
      </c>
      <c r="G1553" t="n">
        <v>1371</v>
      </c>
      <c r="H1553" t="inlineStr">
        <is>
          <t>PIEDRA NO.7 (GRAVA 1/2 - NO.4) H</t>
        </is>
      </c>
    </row>
    <row r="1554">
      <c r="A1554" t="n">
        <v>10193619</v>
      </c>
      <c r="B1554" t="inlineStr">
        <is>
          <t>ZFE3</t>
        </is>
      </c>
      <c r="C1554" t="inlineStr">
        <is>
          <t>1000</t>
        </is>
      </c>
      <c r="D1554" t="inlineStr">
        <is>
          <t>M3</t>
        </is>
      </c>
      <c r="E1554" t="n">
        <v>1000</v>
      </c>
      <c r="F1554" t="inlineStr">
        <is>
          <t>TN</t>
        </is>
      </c>
      <c r="G1554" t="n">
        <v>1340</v>
      </c>
      <c r="H1554" t="inlineStr">
        <is>
          <t>ARENA TRITURADA CALIZA MALLA 5</t>
        </is>
      </c>
    </row>
    <row r="1555">
      <c r="A1555" t="n">
        <v>10193744</v>
      </c>
      <c r="B1555" t="inlineStr">
        <is>
          <t>ZFE3</t>
        </is>
      </c>
      <c r="C1555" t="inlineStr">
        <is>
          <t>1000</t>
        </is>
      </c>
      <c r="D1555" t="inlineStr">
        <is>
          <t>M3</t>
        </is>
      </c>
      <c r="E1555" t="n">
        <v>1000</v>
      </c>
      <c r="F1555" t="inlineStr">
        <is>
          <t>TN</t>
        </is>
      </c>
      <c r="G1555" t="n">
        <v>1560</v>
      </c>
      <c r="H1555" t="inlineStr">
        <is>
          <t>PIEDRA CALIZA BLANCA 2 1/2 A 3 - NG</t>
        </is>
      </c>
    </row>
    <row r="1556">
      <c r="A1556" t="n">
        <v>10193885</v>
      </c>
      <c r="B1556" t="inlineStr">
        <is>
          <t>ZFE3</t>
        </is>
      </c>
      <c r="C1556" t="inlineStr">
        <is>
          <t>1000</t>
        </is>
      </c>
      <c r="D1556" t="inlineStr">
        <is>
          <t>M3</t>
        </is>
      </c>
      <c r="E1556" t="n">
        <v>1000</v>
      </c>
      <c r="F1556" t="inlineStr">
        <is>
          <t>TN</t>
        </is>
      </c>
      <c r="G1556" t="n">
        <v>1520</v>
      </c>
      <c r="H1556" t="inlineStr">
        <is>
          <t>BASE H CALIZA GRIS 1 1/2 PARA PATIO NG</t>
        </is>
      </c>
    </row>
    <row r="1557">
      <c r="A1557" t="n">
        <v>10194009</v>
      </c>
      <c r="B1557" t="inlineStr">
        <is>
          <t>ZFE3</t>
        </is>
      </c>
      <c r="C1557" t="inlineStr">
        <is>
          <t>1000</t>
        </is>
      </c>
      <c r="D1557" t="inlineStr">
        <is>
          <t>M3</t>
        </is>
      </c>
      <c r="E1557" t="n">
        <v>1000</v>
      </c>
      <c r="F1557" t="inlineStr">
        <is>
          <t>TN</t>
        </is>
      </c>
      <c r="G1557" t="n">
        <v>1456</v>
      </c>
      <c r="H1557" t="inlineStr">
        <is>
          <t>GRAVA TRITURADA BASALTO 10MM-3/8 TIPO B</t>
        </is>
      </c>
    </row>
    <row r="1558">
      <c r="A1558" t="n">
        <v>10194045</v>
      </c>
      <c r="B1558" t="inlineStr">
        <is>
          <t>ZFE3</t>
        </is>
      </c>
      <c r="C1558" t="inlineStr">
        <is>
          <t>1000</t>
        </is>
      </c>
      <c r="D1558" t="inlineStr">
        <is>
          <t>M3</t>
        </is>
      </c>
      <c r="E1558" t="n">
        <v>1000</v>
      </c>
      <c r="F1558" t="inlineStr">
        <is>
          <t>TN</t>
        </is>
      </c>
      <c r="G1558" t="n">
        <v>1580</v>
      </c>
      <c r="H1558" t="inlineStr">
        <is>
          <t>GREÑA CONCRETO NG</t>
        </is>
      </c>
    </row>
    <row r="1559">
      <c r="A1559" t="n">
        <v>10194046</v>
      </c>
      <c r="B1559" t="inlineStr">
        <is>
          <t>ZFE3</t>
        </is>
      </c>
      <c r="C1559" t="inlineStr">
        <is>
          <t>1000</t>
        </is>
      </c>
      <c r="D1559" t="inlineStr">
        <is>
          <t>M3</t>
        </is>
      </c>
      <c r="E1559" t="n">
        <v>1000</v>
      </c>
      <c r="F1559" t="inlineStr">
        <is>
          <t>TN</t>
        </is>
      </c>
      <c r="G1559" t="n">
        <v>1500</v>
      </c>
      <c r="H1559" t="inlineStr">
        <is>
          <t>GRAVA RECICLADA CONCRETO ¾# # 20 MM NG</t>
        </is>
      </c>
    </row>
    <row r="1560">
      <c r="A1560" t="n">
        <v>10194058</v>
      </c>
      <c r="B1560" t="inlineStr">
        <is>
          <t>ZFE3</t>
        </is>
      </c>
      <c r="C1560" t="inlineStr">
        <is>
          <t>1000</t>
        </is>
      </c>
      <c r="D1560" t="inlineStr">
        <is>
          <t>M3</t>
        </is>
      </c>
      <c r="E1560" t="n">
        <v>1000</v>
      </c>
      <c r="F1560" t="inlineStr">
        <is>
          <t>TN</t>
        </is>
      </c>
      <c r="G1560" t="n">
        <v>1330</v>
      </c>
      <c r="H1560" t="inlineStr">
        <is>
          <t>ARENA TRITURADA ANDESITA MALLA 4 NG</t>
        </is>
      </c>
    </row>
    <row r="1561">
      <c r="A1561" t="n">
        <v>10194321</v>
      </c>
      <c r="B1561" t="inlineStr">
        <is>
          <t>ZFE3</t>
        </is>
      </c>
      <c r="C1561" t="inlineStr">
        <is>
          <t>1000</t>
        </is>
      </c>
      <c r="D1561" t="inlineStr">
        <is>
          <t>M3</t>
        </is>
      </c>
      <c r="E1561" t="n">
        <v>1000</v>
      </c>
      <c r="F1561" t="inlineStr">
        <is>
          <t>TN</t>
        </is>
      </c>
      <c r="G1561" t="n">
        <v>1669</v>
      </c>
      <c r="H1561" t="inlineStr">
        <is>
          <t>ARENA TRANSGAVIRIA RIO ARMA</t>
        </is>
      </c>
    </row>
    <row r="1562">
      <c r="A1562" t="n">
        <v>10194322</v>
      </c>
      <c r="B1562" t="inlineStr">
        <is>
          <t>ZFE3</t>
        </is>
      </c>
      <c r="C1562" t="inlineStr">
        <is>
          <t>1000</t>
        </is>
      </c>
      <c r="D1562" t="inlineStr">
        <is>
          <t>M3</t>
        </is>
      </c>
      <c r="E1562" t="n">
        <v>1000</v>
      </c>
      <c r="F1562" t="inlineStr">
        <is>
          <t>TN</t>
        </is>
      </c>
      <c r="G1562" t="n">
        <v>1529</v>
      </c>
      <c r="H1562" t="inlineStr">
        <is>
          <t>GRAVA 1" TRANSGAVIRIA RIO ARMA</t>
        </is>
      </c>
    </row>
    <row r="1563">
      <c r="A1563" t="n">
        <v>10194323</v>
      </c>
      <c r="B1563" t="inlineStr">
        <is>
          <t>ZFE3</t>
        </is>
      </c>
      <c r="C1563" t="inlineStr">
        <is>
          <t>1000</t>
        </is>
      </c>
      <c r="D1563" t="inlineStr">
        <is>
          <t>M3</t>
        </is>
      </c>
      <c r="E1563" t="n">
        <v>1000</v>
      </c>
      <c r="F1563" t="inlineStr">
        <is>
          <t>TN</t>
        </is>
      </c>
      <c r="G1563" t="n">
        <v>1529</v>
      </c>
      <c r="H1563" t="inlineStr">
        <is>
          <t>GRAVA 1/2" TRANSGAVIRIA RIO ARMA</t>
        </is>
      </c>
    </row>
    <row r="1564">
      <c r="A1564" t="n">
        <v>10194398</v>
      </c>
      <c r="B1564" t="inlineStr">
        <is>
          <t>ZFE3</t>
        </is>
      </c>
      <c r="C1564" t="inlineStr">
        <is>
          <t>1000</t>
        </is>
      </c>
      <c r="D1564" t="inlineStr">
        <is>
          <t>M3</t>
        </is>
      </c>
      <c r="E1564" t="n">
        <v>1000</v>
      </c>
      <c r="F1564" t="inlineStr">
        <is>
          <t>TN</t>
        </is>
      </c>
      <c r="G1564" t="n">
        <v>1443</v>
      </c>
      <c r="H1564" t="inlineStr">
        <is>
          <t>ARENA CRIBADA VOLCANICA MALLA 4</t>
        </is>
      </c>
    </row>
    <row r="1565">
      <c r="A1565" t="n">
        <v>10194399</v>
      </c>
      <c r="B1565" t="inlineStr">
        <is>
          <t>ZFE3</t>
        </is>
      </c>
      <c r="C1565" t="inlineStr">
        <is>
          <t>1000</t>
        </is>
      </c>
      <c r="D1565" t="inlineStr">
        <is>
          <t>M3</t>
        </is>
      </c>
      <c r="E1565" t="n">
        <v>1000</v>
      </c>
      <c r="F1565" t="inlineStr">
        <is>
          <t>TN</t>
        </is>
      </c>
      <c r="G1565" t="n">
        <v>1628</v>
      </c>
      <c r="H1565" t="inlineStr">
        <is>
          <t>ARENA CLASIFICADA DE RIO MALLA 4</t>
        </is>
      </c>
    </row>
    <row r="1566">
      <c r="A1566" t="n">
        <v>10194465</v>
      </c>
      <c r="B1566" t="inlineStr">
        <is>
          <t>ZFE3</t>
        </is>
      </c>
      <c r="C1566" t="inlineStr">
        <is>
          <t>1000</t>
        </is>
      </c>
      <c r="D1566" t="inlineStr">
        <is>
          <t>M3</t>
        </is>
      </c>
      <c r="E1566" t="n">
        <v>1000</v>
      </c>
      <c r="F1566" t="inlineStr">
        <is>
          <t>TN</t>
        </is>
      </c>
      <c r="G1566" t="n">
        <v>1440</v>
      </c>
      <c r="H1566" t="inlineStr">
        <is>
          <t>ARENA CLASIFICADA RÍO MALLA 4</t>
        </is>
      </c>
    </row>
    <row r="1567">
      <c r="A1567" t="n">
        <v>10194501</v>
      </c>
      <c r="B1567" t="inlineStr">
        <is>
          <t>ZFE3</t>
        </is>
      </c>
      <c r="C1567" t="inlineStr">
        <is>
          <t>1000</t>
        </is>
      </c>
      <c r="D1567" t="inlineStr">
        <is>
          <t>M3</t>
        </is>
      </c>
      <c r="E1567" t="n">
        <v>1000</v>
      </c>
      <c r="F1567" t="inlineStr">
        <is>
          <t>TN</t>
        </is>
      </c>
      <c r="G1567" t="n">
        <v>1700</v>
      </c>
      <c r="H1567" t="inlineStr">
        <is>
          <t>GRAVA SÍLICA 19 A 12 MM- NG</t>
        </is>
      </c>
    </row>
    <row r="1568">
      <c r="A1568" t="n">
        <v>10194502</v>
      </c>
      <c r="B1568" t="inlineStr">
        <is>
          <t>ZFE3</t>
        </is>
      </c>
      <c r="C1568" t="inlineStr">
        <is>
          <t>1000</t>
        </is>
      </c>
      <c r="D1568" t="inlineStr">
        <is>
          <t>M3</t>
        </is>
      </c>
      <c r="E1568" t="n">
        <v>1000</v>
      </c>
      <c r="F1568" t="inlineStr">
        <is>
          <t>TN</t>
        </is>
      </c>
      <c r="G1568" t="n">
        <v>1700</v>
      </c>
      <c r="H1568" t="inlineStr">
        <is>
          <t>GRAVA SÍLICA 37. A 25. MM- NG</t>
        </is>
      </c>
    </row>
    <row r="1569">
      <c r="A1569" t="n">
        <v>10194503</v>
      </c>
      <c r="B1569" t="inlineStr">
        <is>
          <t>ZFE3</t>
        </is>
      </c>
      <c r="C1569" t="inlineStr">
        <is>
          <t>1000</t>
        </is>
      </c>
      <c r="D1569" t="inlineStr">
        <is>
          <t>M3</t>
        </is>
      </c>
      <c r="E1569" t="n">
        <v>1000</v>
      </c>
      <c r="F1569" t="inlineStr">
        <is>
          <t>TN</t>
        </is>
      </c>
      <c r="G1569" t="n">
        <v>1700</v>
      </c>
      <c r="H1569" t="inlineStr">
        <is>
          <t>GRAVA SÍLICA 25 A 19 MM -NG</t>
        </is>
      </c>
    </row>
    <row r="1570">
      <c r="A1570" t="n">
        <v>10194504</v>
      </c>
      <c r="B1570" t="inlineStr">
        <is>
          <t>ZFE3</t>
        </is>
      </c>
      <c r="C1570" t="inlineStr">
        <is>
          <t>1000</t>
        </is>
      </c>
      <c r="D1570" t="inlineStr">
        <is>
          <t>M3</t>
        </is>
      </c>
      <c r="E1570" t="n">
        <v>1000</v>
      </c>
      <c r="F1570" t="inlineStr">
        <is>
          <t>TN</t>
        </is>
      </c>
      <c r="G1570" t="n">
        <v>1700</v>
      </c>
      <c r="H1570" t="inlineStr">
        <is>
          <t>GRAVA SÍLICA 6 MM A FINOS NG</t>
        </is>
      </c>
    </row>
    <row r="1571">
      <c r="A1571" t="n">
        <v>10195083</v>
      </c>
      <c r="B1571" t="inlineStr">
        <is>
          <t>ZFE3</t>
        </is>
      </c>
      <c r="C1571" t="inlineStr">
        <is>
          <t>1000</t>
        </is>
      </c>
      <c r="D1571" t="inlineStr">
        <is>
          <t>M3</t>
        </is>
      </c>
      <c r="E1571" t="n">
        <v>1000</v>
      </c>
      <c r="F1571" t="inlineStr">
        <is>
          <t>TN</t>
        </is>
      </c>
      <c r="G1571" t="n">
        <v>1650</v>
      </c>
      <c r="H1571" t="inlineStr">
        <is>
          <t>ARENA CALIZA TRITURADA EN BANDA</t>
        </is>
      </c>
    </row>
    <row r="1572">
      <c r="A1572" t="n">
        <v>10195084</v>
      </c>
      <c r="B1572" t="inlineStr">
        <is>
          <t>ZFE3</t>
        </is>
      </c>
      <c r="C1572" t="inlineStr">
        <is>
          <t>1000</t>
        </is>
      </c>
      <c r="D1572" t="inlineStr">
        <is>
          <t>M3</t>
        </is>
      </c>
      <c r="E1572" t="n">
        <v>1000</v>
      </c>
      <c r="F1572" t="inlineStr">
        <is>
          <t>TN</t>
        </is>
      </c>
      <c r="G1572" t="n">
        <v>1650</v>
      </c>
      <c r="H1572" t="inlineStr">
        <is>
          <t>ARENA CALIZA TRITURADA EN ALMACEN</t>
        </is>
      </c>
    </row>
    <row r="1573">
      <c r="A1573" t="n">
        <v>10195085</v>
      </c>
      <c r="B1573" t="inlineStr">
        <is>
          <t>ZFE3</t>
        </is>
      </c>
      <c r="C1573" t="inlineStr">
        <is>
          <t>1000</t>
        </is>
      </c>
      <c r="D1573" t="inlineStr">
        <is>
          <t>M3</t>
        </is>
      </c>
      <c r="E1573" t="n">
        <v>1000</v>
      </c>
      <c r="F1573" t="inlineStr">
        <is>
          <t>TN</t>
        </is>
      </c>
      <c r="G1573" t="n">
        <v>1650</v>
      </c>
      <c r="H1573" t="inlineStr">
        <is>
          <t>ARENA CALIZA NORMAL</t>
        </is>
      </c>
    </row>
    <row r="1574">
      <c r="A1574" t="n">
        <v>10195952</v>
      </c>
      <c r="B1574" t="inlineStr">
        <is>
          <t>ZFE3</t>
        </is>
      </c>
      <c r="C1574" t="inlineStr">
        <is>
          <t>1000</t>
        </is>
      </c>
      <c r="D1574" t="inlineStr">
        <is>
          <t>M3</t>
        </is>
      </c>
      <c r="E1574" t="n">
        <v>1000</v>
      </c>
      <c r="F1574" t="inlineStr">
        <is>
          <t>TN</t>
        </is>
      </c>
      <c r="G1574" t="n">
        <v>1300</v>
      </c>
      <c r="H1574" t="inlineStr">
        <is>
          <t>RCD MEZCLADOS &lt;30% DE IMPROPIOS NG</t>
        </is>
      </c>
    </row>
    <row r="1575">
      <c r="A1575" t="n">
        <v>10195953</v>
      </c>
      <c r="B1575" t="inlineStr">
        <is>
          <t>ZFE3</t>
        </is>
      </c>
      <c r="C1575" t="inlineStr">
        <is>
          <t>1000</t>
        </is>
      </c>
      <c r="D1575" t="inlineStr">
        <is>
          <t>M3</t>
        </is>
      </c>
      <c r="E1575" t="n">
        <v>1000</v>
      </c>
      <c r="F1575" t="inlineStr">
        <is>
          <t>TN</t>
        </is>
      </c>
      <c r="G1575" t="n">
        <v>1370</v>
      </c>
      <c r="H1575" t="inlineStr">
        <is>
          <t>ARENA TRITURADA CALIZA MALLA 5</t>
        </is>
      </c>
    </row>
    <row r="1576">
      <c r="A1576" t="n">
        <v>10196021</v>
      </c>
      <c r="B1576" t="inlineStr">
        <is>
          <t>ZFE3</t>
        </is>
      </c>
      <c r="C1576" t="inlineStr">
        <is>
          <t>1000</t>
        </is>
      </c>
      <c r="D1576" t="inlineStr">
        <is>
          <t>M3</t>
        </is>
      </c>
      <c r="E1576" t="n">
        <v>1000</v>
      </c>
      <c r="F1576" t="inlineStr">
        <is>
          <t>TN</t>
        </is>
      </c>
      <c r="G1576" t="n">
        <v>1350</v>
      </c>
      <c r="H1576" t="inlineStr">
        <is>
          <t>RCD MEZCLADOS &gt;50% DE IMPROPIOS NG</t>
        </is>
      </c>
    </row>
    <row r="1577">
      <c r="A1577" t="n">
        <v>10196470</v>
      </c>
      <c r="B1577" t="inlineStr">
        <is>
          <t>ZFE3</t>
        </is>
      </c>
      <c r="C1577" t="inlineStr">
        <is>
          <t>1000</t>
        </is>
      </c>
      <c r="D1577" t="inlineStr">
        <is>
          <t>M3</t>
        </is>
      </c>
      <c r="E1577" t="n">
        <v>1000</v>
      </c>
      <c r="F1577" t="inlineStr">
        <is>
          <t>TN</t>
        </is>
      </c>
      <c r="G1577" t="n">
        <v>1423</v>
      </c>
      <c r="H1577" t="inlineStr">
        <is>
          <t>ARENA TRITURADA CALIZA MALLA 4 ----FINA</t>
        </is>
      </c>
    </row>
    <row r="1578">
      <c r="A1578" t="n">
        <v>10196472</v>
      </c>
      <c r="B1578" t="inlineStr">
        <is>
          <t>ZFE3</t>
        </is>
      </c>
      <c r="C1578" t="inlineStr">
        <is>
          <t>1000</t>
        </is>
      </c>
      <c r="D1578" t="inlineStr">
        <is>
          <t>M3</t>
        </is>
      </c>
      <c r="E1578" t="n">
        <v>1000</v>
      </c>
      <c r="F1578" t="inlineStr">
        <is>
          <t>TN</t>
        </is>
      </c>
      <c r="G1578" t="n">
        <v>1600</v>
      </c>
      <c r="H1578" t="inlineStr">
        <is>
          <t>PIEDRA TRITURADA RÍO 4" A 12"</t>
        </is>
      </c>
    </row>
    <row r="1579">
      <c r="A1579" t="n">
        <v>10196474</v>
      </c>
      <c r="B1579" t="inlineStr">
        <is>
          <t>ZFE3</t>
        </is>
      </c>
      <c r="C1579" t="inlineStr">
        <is>
          <t>1000</t>
        </is>
      </c>
      <c r="D1579" t="inlineStr">
        <is>
          <t>M3</t>
        </is>
      </c>
      <c r="E1579" t="n">
        <v>1000</v>
      </c>
      <c r="F1579" t="inlineStr">
        <is>
          <t>TN</t>
        </is>
      </c>
      <c r="G1579" t="n">
        <v>1450</v>
      </c>
      <c r="H1579" t="inlineStr">
        <is>
          <t>ARENA CALIZA TRITURADA MALLA 3</t>
        </is>
      </c>
    </row>
    <row r="1580">
      <c r="A1580" t="n">
        <v>10197119</v>
      </c>
      <c r="B1580" t="inlineStr">
        <is>
          <t>ZFE3</t>
        </is>
      </c>
      <c r="C1580" t="inlineStr">
        <is>
          <t>1000</t>
        </is>
      </c>
      <c r="D1580" t="inlineStr">
        <is>
          <t>M3</t>
        </is>
      </c>
      <c r="E1580" t="n">
        <v>1000</v>
      </c>
      <c r="F1580" t="inlineStr">
        <is>
          <t>TN</t>
        </is>
      </c>
      <c r="G1580" t="n">
        <v>1700</v>
      </c>
      <c r="H1580" t="inlineStr">
        <is>
          <t>GRAVA SÍLICA DE 12 A 6 MM NG</t>
        </is>
      </c>
    </row>
    <row r="1581">
      <c r="A1581" t="n">
        <v>10197145</v>
      </c>
      <c r="B1581" t="inlineStr">
        <is>
          <t>ZFE3</t>
        </is>
      </c>
      <c r="C1581" t="inlineStr">
        <is>
          <t>1000</t>
        </is>
      </c>
      <c r="D1581" t="inlineStr">
        <is>
          <t>M3</t>
        </is>
      </c>
      <c r="E1581" t="n">
        <v>1000</v>
      </c>
      <c r="F1581" t="inlineStr">
        <is>
          <t>TN</t>
        </is>
      </c>
      <c r="G1581" t="n">
        <v>1650</v>
      </c>
      <c r="H1581" t="inlineStr">
        <is>
          <t>BASE HIDRAULICA ANDESITA DE 1 1/2" A FIN</t>
        </is>
      </c>
    </row>
    <row r="1582">
      <c r="A1582" t="n">
        <v>10197146</v>
      </c>
      <c r="B1582" t="inlineStr">
        <is>
          <t>ZFE3</t>
        </is>
      </c>
      <c r="C1582" t="inlineStr">
        <is>
          <t>1000</t>
        </is>
      </c>
      <c r="D1582" t="inlineStr">
        <is>
          <t>M3</t>
        </is>
      </c>
      <c r="E1582" t="n">
        <v>1000</v>
      </c>
      <c r="F1582" t="inlineStr">
        <is>
          <t>TN</t>
        </is>
      </c>
      <c r="G1582" t="n">
        <v>1560</v>
      </c>
      <c r="H1582" t="inlineStr">
        <is>
          <t>GRAVA TRITURADA ANDESITA 20 MM - 3/4" -</t>
        </is>
      </c>
    </row>
    <row r="1583">
      <c r="A1583" t="n">
        <v>10197156</v>
      </c>
      <c r="B1583" t="inlineStr">
        <is>
          <t>ZFE3</t>
        </is>
      </c>
      <c r="C1583" t="inlineStr">
        <is>
          <t>1000</t>
        </is>
      </c>
      <c r="D1583" t="inlineStr">
        <is>
          <t>M3</t>
        </is>
      </c>
      <c r="E1583" t="n">
        <v>1000</v>
      </c>
      <c r="F1583" t="inlineStr">
        <is>
          <t>TN</t>
        </is>
      </c>
      <c r="G1583" t="n">
        <v>1397</v>
      </c>
      <c r="H1583" t="inlineStr">
        <is>
          <t>ARENA TRITURADA CALIZA MALLA 5</t>
        </is>
      </c>
    </row>
    <row r="1584">
      <c r="A1584" t="n">
        <v>10197165</v>
      </c>
      <c r="B1584" t="inlineStr">
        <is>
          <t>ZFE3</t>
        </is>
      </c>
      <c r="C1584" t="inlineStr">
        <is>
          <t>1000</t>
        </is>
      </c>
      <c r="D1584" t="inlineStr">
        <is>
          <t>M3</t>
        </is>
      </c>
      <c r="E1584" t="n">
        <v>1000</v>
      </c>
      <c r="F1584" t="inlineStr">
        <is>
          <t>TN</t>
        </is>
      </c>
      <c r="G1584" t="n">
        <v>1490</v>
      </c>
      <c r="H1584" t="inlineStr">
        <is>
          <t>BASE HIDRÁULICA BASALTO 50-50 - NG</t>
        </is>
      </c>
    </row>
    <row r="1585">
      <c r="A1585" t="n">
        <v>10197244</v>
      </c>
      <c r="B1585" t="inlineStr">
        <is>
          <t>ZFE3</t>
        </is>
      </c>
      <c r="C1585" t="inlineStr">
        <is>
          <t>1000</t>
        </is>
      </c>
      <c r="D1585" t="inlineStr">
        <is>
          <t>M3</t>
        </is>
      </c>
      <c r="E1585" t="n">
        <v>1000</v>
      </c>
      <c r="F1585" t="inlineStr">
        <is>
          <t>TN</t>
        </is>
      </c>
      <c r="G1585" t="n">
        <v>1400</v>
      </c>
      <c r="H1585" t="inlineStr">
        <is>
          <t>BASE HIDRAU ANDESITA DE 1 1/2"-NG</t>
        </is>
      </c>
    </row>
    <row r="1586">
      <c r="A1586" t="n">
        <v>10197254</v>
      </c>
      <c r="B1586" t="inlineStr">
        <is>
          <t>ZFE3</t>
        </is>
      </c>
      <c r="C1586" t="inlineStr">
        <is>
          <t>1000</t>
        </is>
      </c>
      <c r="D1586" t="inlineStr">
        <is>
          <t>M3</t>
        </is>
      </c>
      <c r="E1586" t="n">
        <v>1000</v>
      </c>
      <c r="F1586" t="inlineStr">
        <is>
          <t>TN</t>
        </is>
      </c>
      <c r="G1586" t="n">
        <v>1650</v>
      </c>
      <c r="H1586" t="inlineStr">
        <is>
          <t>BALASTO TRITURADO BASALTO 4A-NG</t>
        </is>
      </c>
    </row>
    <row r="1587">
      <c r="A1587" t="n">
        <v>10197438</v>
      </c>
      <c r="B1587" t="inlineStr">
        <is>
          <t>ZFE3</t>
        </is>
      </c>
      <c r="C1587" t="inlineStr">
        <is>
          <t>1000</t>
        </is>
      </c>
      <c r="D1587" t="inlineStr">
        <is>
          <t>M3</t>
        </is>
      </c>
      <c r="E1587" t="n">
        <v>1000</v>
      </c>
      <c r="F1587" t="inlineStr">
        <is>
          <t>TN</t>
        </is>
      </c>
      <c r="G1587" t="n">
        <v>1650</v>
      </c>
      <c r="H1587" t="inlineStr">
        <is>
          <t>BASE H CALIZA 1 1/2" A FINOS  ESPECIAL</t>
        </is>
      </c>
    </row>
    <row r="1588">
      <c r="A1588" t="n">
        <v>10197450</v>
      </c>
      <c r="B1588" t="inlineStr">
        <is>
          <t>ZFE3</t>
        </is>
      </c>
      <c r="C1588" t="inlineStr">
        <is>
          <t>1000</t>
        </is>
      </c>
      <c r="D1588" t="inlineStr">
        <is>
          <t>M3</t>
        </is>
      </c>
      <c r="E1588" t="n">
        <v>1000</v>
      </c>
      <c r="F1588" t="inlineStr">
        <is>
          <t>TN</t>
        </is>
      </c>
      <c r="G1588" t="n">
        <v>1322</v>
      </c>
      <c r="H1588" t="inlineStr">
        <is>
          <t>PIEDRA NO.4 (1 1/2" - 3/4") C</t>
        </is>
      </c>
    </row>
    <row r="1589">
      <c r="A1589" t="n">
        <v>10197580</v>
      </c>
      <c r="B1589" t="inlineStr">
        <is>
          <t>ZFE3</t>
        </is>
      </c>
      <c r="C1589" t="inlineStr">
        <is>
          <t>1000</t>
        </is>
      </c>
      <c r="D1589" t="inlineStr">
        <is>
          <t>M3</t>
        </is>
      </c>
      <c r="E1589" t="n">
        <v>1000</v>
      </c>
      <c r="F1589" t="inlineStr">
        <is>
          <t>TN</t>
        </is>
      </c>
      <c r="G1589" t="n">
        <v>1397</v>
      </c>
      <c r="H1589" t="inlineStr">
        <is>
          <t>ARENA TRITURADA CALIZA MALLA 5</t>
        </is>
      </c>
    </row>
    <row r="1590">
      <c r="A1590" t="n">
        <v>10197626</v>
      </c>
      <c r="B1590" t="inlineStr">
        <is>
          <t>ZFE3</t>
        </is>
      </c>
      <c r="C1590" t="inlineStr">
        <is>
          <t>1000</t>
        </is>
      </c>
      <c r="D1590" t="inlineStr">
        <is>
          <t>M3</t>
        </is>
      </c>
      <c r="E1590" t="n">
        <v>1000</v>
      </c>
      <c r="F1590" t="inlineStr">
        <is>
          <t>TN</t>
        </is>
      </c>
      <c r="G1590" t="n">
        <v>1480</v>
      </c>
      <c r="H1590" t="inlineStr">
        <is>
          <t>GRAVA 1" EL CONDOR- SAN JAVIER</t>
        </is>
      </c>
    </row>
    <row r="1591">
      <c r="A1591" t="n">
        <v>10197730</v>
      </c>
      <c r="B1591" t="inlineStr">
        <is>
          <t>ZFE3</t>
        </is>
      </c>
      <c r="C1591" t="inlineStr">
        <is>
          <t>1000</t>
        </is>
      </c>
      <c r="D1591" t="inlineStr">
        <is>
          <t>M3</t>
        </is>
      </c>
      <c r="E1591" t="n">
        <v>1000</v>
      </c>
      <c r="F1591" t="inlineStr">
        <is>
          <t>TN</t>
        </is>
      </c>
      <c r="G1591" t="n">
        <v>1795</v>
      </c>
      <c r="H1591" t="inlineStr">
        <is>
          <t>ARENA GYA CAUCA P. PLANTA BELLO</t>
        </is>
      </c>
    </row>
    <row r="1592">
      <c r="A1592" t="n">
        <v>10197731</v>
      </c>
      <c r="B1592" t="inlineStr">
        <is>
          <t>ZFE3</t>
        </is>
      </c>
      <c r="C1592" t="inlineStr">
        <is>
          <t>1000</t>
        </is>
      </c>
      <c r="D1592" t="inlineStr">
        <is>
          <t>M3</t>
        </is>
      </c>
      <c r="E1592" t="n">
        <v>1000</v>
      </c>
      <c r="F1592" t="inlineStr">
        <is>
          <t>TN</t>
        </is>
      </c>
      <c r="G1592" t="n">
        <v>1675</v>
      </c>
      <c r="H1592" t="inlineStr">
        <is>
          <t>GRAVA 1" GYA CAUCA  P. PLANTA BELLO</t>
        </is>
      </c>
    </row>
    <row r="1593">
      <c r="A1593" t="n">
        <v>10197732</v>
      </c>
      <c r="B1593" t="inlineStr">
        <is>
          <t>ZFE3</t>
        </is>
      </c>
      <c r="C1593" t="inlineStr">
        <is>
          <t>1000</t>
        </is>
      </c>
      <c r="D1593" t="inlineStr">
        <is>
          <t>M3</t>
        </is>
      </c>
      <c r="E1593" t="n">
        <v>1000</v>
      </c>
      <c r="F1593" t="inlineStr">
        <is>
          <t>TN</t>
        </is>
      </c>
      <c r="G1593" t="n">
        <v>1567</v>
      </c>
      <c r="H1593" t="inlineStr">
        <is>
          <t>GRAVA 1/2"GYA CAUCA  P. PLANTA BELLO</t>
        </is>
      </c>
    </row>
    <row r="1594">
      <c r="A1594" t="n">
        <v>10197733</v>
      </c>
      <c r="B1594" t="inlineStr">
        <is>
          <t>ZFE3</t>
        </is>
      </c>
      <c r="C1594" t="inlineStr">
        <is>
          <t>1000</t>
        </is>
      </c>
      <c r="D1594" t="inlineStr">
        <is>
          <t>M3</t>
        </is>
      </c>
      <c r="E1594" t="n">
        <v>1000</v>
      </c>
      <c r="F1594" t="inlineStr">
        <is>
          <t>TN</t>
        </is>
      </c>
      <c r="G1594" t="n">
        <v>1795</v>
      </c>
      <c r="H1594" t="inlineStr">
        <is>
          <t>ARENA GYA CAUCA  P. PLANTA RIONEGRO</t>
        </is>
      </c>
    </row>
    <row r="1595">
      <c r="A1595" t="n">
        <v>10197734</v>
      </c>
      <c r="B1595" t="inlineStr">
        <is>
          <t>ZFE3</t>
        </is>
      </c>
      <c r="C1595" t="inlineStr">
        <is>
          <t>1000</t>
        </is>
      </c>
      <c r="D1595" t="inlineStr">
        <is>
          <t>M3</t>
        </is>
      </c>
      <c r="E1595" t="n">
        <v>1000</v>
      </c>
      <c r="F1595" t="inlineStr">
        <is>
          <t>TN</t>
        </is>
      </c>
      <c r="G1595" t="n">
        <v>1795</v>
      </c>
      <c r="H1595" t="inlineStr">
        <is>
          <t>ARENA GYA CAUCA  P. PLANTA RIO ESTRELLA</t>
        </is>
      </c>
    </row>
    <row r="1596">
      <c r="A1596" t="n">
        <v>10197735</v>
      </c>
      <c r="B1596" t="inlineStr">
        <is>
          <t>ZFE3</t>
        </is>
      </c>
      <c r="C1596" t="inlineStr">
        <is>
          <t>1000</t>
        </is>
      </c>
      <c r="D1596" t="inlineStr">
        <is>
          <t>M3</t>
        </is>
      </c>
      <c r="E1596" t="n">
        <v>1000</v>
      </c>
      <c r="F1596" t="inlineStr">
        <is>
          <t>TN</t>
        </is>
      </c>
      <c r="G1596" t="n">
        <v>1675</v>
      </c>
      <c r="H1596" t="inlineStr">
        <is>
          <t>GRAVA 1" GYA CAUCA P. PLANTA RIONEGRO</t>
        </is>
      </c>
    </row>
    <row r="1597">
      <c r="A1597" t="n">
        <v>10197736</v>
      </c>
      <c r="B1597" t="inlineStr">
        <is>
          <t>ZFE3</t>
        </is>
      </c>
      <c r="C1597" t="inlineStr">
        <is>
          <t>1000</t>
        </is>
      </c>
      <c r="D1597" t="inlineStr">
        <is>
          <t>M3</t>
        </is>
      </c>
      <c r="E1597" t="n">
        <v>1000</v>
      </c>
      <c r="F1597" t="inlineStr">
        <is>
          <t>TN</t>
        </is>
      </c>
      <c r="G1597" t="n">
        <v>1650</v>
      </c>
      <c r="H1597" t="inlineStr">
        <is>
          <t>ARENA TRITURADA CALIZA MALLA 5 (REMONTAD</t>
        </is>
      </c>
    </row>
    <row r="1598">
      <c r="A1598" t="n">
        <v>10197737</v>
      </c>
      <c r="B1598" t="inlineStr">
        <is>
          <t>ZFE3</t>
        </is>
      </c>
      <c r="C1598" t="inlineStr">
        <is>
          <t>1000</t>
        </is>
      </c>
      <c r="D1598" t="inlineStr">
        <is>
          <t>M3</t>
        </is>
      </c>
      <c r="E1598" t="n">
        <v>1000</v>
      </c>
      <c r="F1598" t="inlineStr">
        <is>
          <t>TN</t>
        </is>
      </c>
      <c r="G1598" t="n">
        <v>1550</v>
      </c>
      <c r="H1598" t="inlineStr">
        <is>
          <t>ARENA CLASIFICADA RÍO MALLA 4- NG</t>
        </is>
      </c>
    </row>
    <row r="1599">
      <c r="A1599" t="n">
        <v>10197745</v>
      </c>
      <c r="B1599" t="inlineStr">
        <is>
          <t>ZFE3</t>
        </is>
      </c>
      <c r="C1599" t="inlineStr">
        <is>
          <t>1000</t>
        </is>
      </c>
      <c r="D1599" t="inlineStr">
        <is>
          <t>M3</t>
        </is>
      </c>
      <c r="E1599" t="n">
        <v>1000</v>
      </c>
      <c r="F1599" t="inlineStr">
        <is>
          <t>TN</t>
        </is>
      </c>
      <c r="G1599" t="n">
        <v>1700</v>
      </c>
      <c r="H1599" t="inlineStr">
        <is>
          <t>PIEDRA PARA MURO 15" A 20" NG</t>
        </is>
      </c>
    </row>
    <row r="1600">
      <c r="A1600" t="n">
        <v>10197749</v>
      </c>
      <c r="B1600" t="inlineStr">
        <is>
          <t>ZFE3</t>
        </is>
      </c>
      <c r="C1600" t="inlineStr">
        <is>
          <t>1000</t>
        </is>
      </c>
      <c r="D1600" t="inlineStr">
        <is>
          <t>M3</t>
        </is>
      </c>
      <c r="E1600" t="n">
        <v>1000</v>
      </c>
      <c r="F1600" t="inlineStr">
        <is>
          <t>TN</t>
        </is>
      </c>
      <c r="G1600" t="n">
        <v>1530</v>
      </c>
      <c r="H1600" t="inlineStr">
        <is>
          <t>ARENA TIPO CEMIX</t>
        </is>
      </c>
    </row>
    <row r="1601">
      <c r="A1601" t="n">
        <v>10197787</v>
      </c>
      <c r="B1601" t="inlineStr">
        <is>
          <t>ZFE3</t>
        </is>
      </c>
      <c r="C1601" t="inlineStr">
        <is>
          <t>1000</t>
        </is>
      </c>
      <c r="D1601" t="inlineStr">
        <is>
          <t>M3</t>
        </is>
      </c>
      <c r="E1601" t="n">
        <v>1000</v>
      </c>
      <c r="F1601" t="inlineStr">
        <is>
          <t>TN</t>
        </is>
      </c>
      <c r="G1601" t="n">
        <v>1567</v>
      </c>
      <c r="H1601" t="inlineStr">
        <is>
          <t>GRAVA 1/2"GYA CAUCA  P. PLANTA RIONEGRO</t>
        </is>
      </c>
    </row>
    <row r="1602">
      <c r="A1602" t="n">
        <v>10197788</v>
      </c>
      <c r="B1602" t="inlineStr">
        <is>
          <t>ZFE3</t>
        </is>
      </c>
      <c r="C1602" t="inlineStr">
        <is>
          <t>1000</t>
        </is>
      </c>
      <c r="D1602" t="inlineStr">
        <is>
          <t>M3</t>
        </is>
      </c>
      <c r="E1602" t="n">
        <v>1000</v>
      </c>
      <c r="F1602" t="inlineStr">
        <is>
          <t>TN</t>
        </is>
      </c>
      <c r="G1602" t="n">
        <v>1675</v>
      </c>
      <c r="H1602" t="inlineStr">
        <is>
          <t>GRAVA 1" GYA CAUCA  P. PLANTA ESTRELLA</t>
        </is>
      </c>
    </row>
    <row r="1603">
      <c r="A1603" t="n">
        <v>10197789</v>
      </c>
      <c r="B1603" t="inlineStr">
        <is>
          <t>ZFE3</t>
        </is>
      </c>
      <c r="C1603" t="inlineStr">
        <is>
          <t>1000</t>
        </is>
      </c>
      <c r="D1603" t="inlineStr">
        <is>
          <t>M3</t>
        </is>
      </c>
      <c r="E1603" t="n">
        <v>1000</v>
      </c>
      <c r="F1603" t="inlineStr">
        <is>
          <t>TN</t>
        </is>
      </c>
      <c r="G1603" t="n">
        <v>1567</v>
      </c>
      <c r="H1603" t="inlineStr">
        <is>
          <t>GRAVA 1/2"GYA CAUCA  P. PLANTA ESTRELLA</t>
        </is>
      </c>
    </row>
    <row r="1604">
      <c r="A1604" t="n">
        <v>10197807</v>
      </c>
      <c r="B1604" t="inlineStr">
        <is>
          <t>ZFE3</t>
        </is>
      </c>
      <c r="C1604" t="inlineStr">
        <is>
          <t>1000</t>
        </is>
      </c>
      <c r="D1604" t="inlineStr">
        <is>
          <t>M3</t>
        </is>
      </c>
      <c r="E1604" t="n">
        <v>1000</v>
      </c>
      <c r="F1604" t="inlineStr">
        <is>
          <t>TN</t>
        </is>
      </c>
      <c r="G1604" t="n">
        <v>1400</v>
      </c>
      <c r="H1604" t="inlineStr">
        <is>
          <t>POLVO DE TRITURACIÓN BASALTO</t>
        </is>
      </c>
    </row>
    <row r="1605">
      <c r="A1605" t="n">
        <v>10197814</v>
      </c>
      <c r="B1605" t="inlineStr">
        <is>
          <t>ZFE3</t>
        </is>
      </c>
      <c r="C1605" t="inlineStr">
        <is>
          <t>1000</t>
        </is>
      </c>
      <c r="D1605" t="inlineStr">
        <is>
          <t>M3</t>
        </is>
      </c>
      <c r="E1605" t="n">
        <v>1000</v>
      </c>
      <c r="F1605" t="inlineStr">
        <is>
          <t>TN</t>
        </is>
      </c>
      <c r="G1605" t="n">
        <v>1509</v>
      </c>
      <c r="H1605" t="inlineStr">
        <is>
          <t>ARENA ALUVIAL MINPRECO</t>
        </is>
      </c>
    </row>
    <row r="1606">
      <c r="A1606" t="n">
        <v>10197865</v>
      </c>
      <c r="B1606" t="inlineStr">
        <is>
          <t>ZFE3</t>
        </is>
      </c>
      <c r="C1606" t="inlineStr">
        <is>
          <t>1000</t>
        </is>
      </c>
      <c r="D1606" t="inlineStr">
        <is>
          <t>M3</t>
        </is>
      </c>
      <c r="E1606" t="n">
        <v>1000</v>
      </c>
      <c r="F1606" t="inlineStr">
        <is>
          <t>TN</t>
        </is>
      </c>
      <c r="G1606" t="n">
        <v>1438</v>
      </c>
      <c r="H1606" t="inlineStr">
        <is>
          <t>GRAVA TRITURADA BASALTO 40-4MM - 1 1/2"</t>
        </is>
      </c>
    </row>
    <row r="1607">
      <c r="A1607" t="n">
        <v>10198093</v>
      </c>
      <c r="B1607" t="inlineStr">
        <is>
          <t>ZFE3</t>
        </is>
      </c>
      <c r="C1607" t="inlineStr">
        <is>
          <t>1000</t>
        </is>
      </c>
      <c r="D1607" t="inlineStr">
        <is>
          <t>M3</t>
        </is>
      </c>
      <c r="E1607" t="n">
        <v>1000</v>
      </c>
      <c r="F1607" t="inlineStr">
        <is>
          <t>TN</t>
        </is>
      </c>
      <c r="G1607" t="n">
        <v>1100</v>
      </c>
      <c r="H1607" t="inlineStr">
        <is>
          <t>GRAVA RECICLADA ¾# # 20 MM</t>
        </is>
      </c>
    </row>
    <row r="1608">
      <c r="A1608" t="n">
        <v>10198099</v>
      </c>
      <c r="B1608" t="inlineStr">
        <is>
          <t>ZFE3</t>
        </is>
      </c>
      <c r="C1608" t="inlineStr">
        <is>
          <t>1000</t>
        </is>
      </c>
      <c r="D1608" t="inlineStr">
        <is>
          <t>M3</t>
        </is>
      </c>
      <c r="E1608" t="n">
        <v>1000</v>
      </c>
      <c r="F1608" t="inlineStr">
        <is>
          <t>TN</t>
        </is>
      </c>
      <c r="G1608" t="n">
        <v>1400</v>
      </c>
      <c r="H1608" t="inlineStr">
        <is>
          <t>BALASTO TRITURADO BASALTO 150 MM - 6"</t>
        </is>
      </c>
    </row>
    <row r="1609">
      <c r="A1609" t="n">
        <v>10198685</v>
      </c>
      <c r="B1609" t="inlineStr">
        <is>
          <t>ZFE3</t>
        </is>
      </c>
      <c r="C1609" t="inlineStr">
        <is>
          <t>1000</t>
        </is>
      </c>
      <c r="D1609" t="inlineStr">
        <is>
          <t>M3</t>
        </is>
      </c>
      <c r="E1609" t="n">
        <v>1000</v>
      </c>
      <c r="F1609" t="inlineStr">
        <is>
          <t>TN</t>
        </is>
      </c>
      <c r="G1609" t="n">
        <v>1473</v>
      </c>
      <c r="H1609" t="inlineStr">
        <is>
          <t>ARENA TRITURADOS ANDESITA MALLA 4 ROSADA</t>
        </is>
      </c>
    </row>
    <row r="1610">
      <c r="A1610" t="n">
        <v>10198730</v>
      </c>
      <c r="B1610" t="inlineStr">
        <is>
          <t>ZFE3</t>
        </is>
      </c>
      <c r="C1610" t="inlineStr">
        <is>
          <t>1000</t>
        </is>
      </c>
      <c r="D1610" t="inlineStr">
        <is>
          <t>M3</t>
        </is>
      </c>
      <c r="E1610" t="n">
        <v>1000</v>
      </c>
      <c r="F1610" t="inlineStr">
        <is>
          <t>TN</t>
        </is>
      </c>
      <c r="G1610" t="n">
        <v>1560</v>
      </c>
      <c r="H1610" t="inlineStr">
        <is>
          <t>ARENA TRITURADA CALIZA MALLA 4 AB</t>
        </is>
      </c>
    </row>
    <row r="1611">
      <c r="A1611" t="n">
        <v>10199160</v>
      </c>
      <c r="B1611" t="inlineStr">
        <is>
          <t>ZFE3</t>
        </is>
      </c>
      <c r="C1611" t="inlineStr">
        <is>
          <t>1000</t>
        </is>
      </c>
      <c r="D1611" t="inlineStr">
        <is>
          <t>M3</t>
        </is>
      </c>
      <c r="E1611" t="n">
        <v>1000</v>
      </c>
      <c r="F1611" t="inlineStr">
        <is>
          <t>TN</t>
        </is>
      </c>
      <c r="G1611" t="n">
        <v>1439</v>
      </c>
      <c r="H1611" t="inlineStr">
        <is>
          <t>GRAVA TRITURADA BASALTO 40-20MM - 1 1/2"</t>
        </is>
      </c>
    </row>
    <row r="1612">
      <c r="A1612" t="n">
        <v>10199400</v>
      </c>
      <c r="B1612" t="inlineStr">
        <is>
          <t>ZFE3</t>
        </is>
      </c>
      <c r="C1612" t="inlineStr">
        <is>
          <t>1000</t>
        </is>
      </c>
      <c r="D1612" t="inlineStr">
        <is>
          <t>M3</t>
        </is>
      </c>
      <c r="E1612" t="n">
        <v>1000</v>
      </c>
      <c r="F1612" t="inlineStr">
        <is>
          <t>TN</t>
        </is>
      </c>
      <c r="G1612" t="n">
        <v>1380</v>
      </c>
      <c r="H1612" t="inlineStr">
        <is>
          <t>ARENA CLASIFICADA RÍO MALLA 4 CERNIDA</t>
        </is>
      </c>
    </row>
    <row r="1613">
      <c r="A1613" t="n">
        <v>10199406</v>
      </c>
      <c r="B1613" t="inlineStr">
        <is>
          <t>ZFE3</t>
        </is>
      </c>
      <c r="C1613" t="inlineStr">
        <is>
          <t>1000</t>
        </is>
      </c>
      <c r="D1613" t="inlineStr">
        <is>
          <t>M3</t>
        </is>
      </c>
      <c r="E1613" t="n">
        <v>1000</v>
      </c>
      <c r="F1613" t="inlineStr">
        <is>
          <t>TN</t>
        </is>
      </c>
      <c r="G1613" t="n">
        <v>1335</v>
      </c>
      <c r="H1613" t="inlineStr">
        <is>
          <t>ARENA CLASIFICADA RIO MALLA 4</t>
        </is>
      </c>
    </row>
    <row r="1614">
      <c r="A1614" t="n">
        <v>10199420</v>
      </c>
      <c r="B1614" t="inlineStr">
        <is>
          <t>ZFE3</t>
        </is>
      </c>
      <c r="C1614" t="inlineStr">
        <is>
          <t>1000</t>
        </is>
      </c>
      <c r="D1614" t="inlineStr">
        <is>
          <t>M3</t>
        </is>
      </c>
      <c r="E1614" t="n">
        <v>1000</v>
      </c>
      <c r="F1614" t="inlineStr">
        <is>
          <t>TN</t>
        </is>
      </c>
      <c r="G1614" t="n">
        <v>1548</v>
      </c>
      <c r="H1614" t="inlineStr">
        <is>
          <t>ARENA DE MAR BAL - DI</t>
        </is>
      </c>
    </row>
    <row r="1615">
      <c r="A1615" t="n">
        <v>10199478</v>
      </c>
      <c r="B1615" t="inlineStr">
        <is>
          <t>ZFE3</t>
        </is>
      </c>
      <c r="C1615" t="inlineStr">
        <is>
          <t>1000</t>
        </is>
      </c>
      <c r="D1615" t="inlineStr">
        <is>
          <t>M3</t>
        </is>
      </c>
      <c r="E1615" t="n">
        <v>1000</v>
      </c>
      <c r="F1615" t="inlineStr">
        <is>
          <t>TN</t>
        </is>
      </c>
      <c r="G1615" t="n">
        <v>1347</v>
      </c>
      <c r="H1615" t="inlineStr">
        <is>
          <t>GRAVA TRITURADA CALIZA 20 MM - 3/4"</t>
        </is>
      </c>
    </row>
    <row r="1616">
      <c r="A1616" t="n">
        <v>10199926</v>
      </c>
      <c r="B1616" t="inlineStr">
        <is>
          <t>ZFE3</t>
        </is>
      </c>
      <c r="C1616" t="inlineStr">
        <is>
          <t>1000</t>
        </is>
      </c>
      <c r="D1616" t="inlineStr">
        <is>
          <t>M3</t>
        </is>
      </c>
      <c r="E1616" t="n">
        <v>1000</v>
      </c>
      <c r="F1616" t="inlineStr">
        <is>
          <t>TN</t>
        </is>
      </c>
      <c r="G1616" t="n">
        <v>1300</v>
      </c>
      <c r="H1616" t="inlineStr">
        <is>
          <t>GRAVA ANDESITA 1# NG</t>
        </is>
      </c>
    </row>
    <row r="1617">
      <c r="A1617" t="n">
        <v>10199965</v>
      </c>
      <c r="B1617" t="inlineStr">
        <is>
          <t>ZFE3</t>
        </is>
      </c>
      <c r="C1617" t="inlineStr">
        <is>
          <t>1000</t>
        </is>
      </c>
      <c r="D1617" t="inlineStr">
        <is>
          <t>M3</t>
        </is>
      </c>
      <c r="E1617" t="n">
        <v>1000</v>
      </c>
      <c r="F1617" t="inlineStr">
        <is>
          <t>TN</t>
        </is>
      </c>
      <c r="G1617" t="n">
        <v>1302</v>
      </c>
      <c r="H1617" t="inlineStr">
        <is>
          <t>BALASTRO</t>
        </is>
      </c>
    </row>
    <row r="1618">
      <c r="A1618" t="n">
        <v>10199966</v>
      </c>
      <c r="B1618" t="inlineStr">
        <is>
          <t>ZFE3</t>
        </is>
      </c>
      <c r="C1618" t="inlineStr">
        <is>
          <t>1000</t>
        </is>
      </c>
      <c r="D1618" t="inlineStr">
        <is>
          <t>M3</t>
        </is>
      </c>
      <c r="E1618" t="n">
        <v>1000</v>
      </c>
      <c r="F1618" t="inlineStr">
        <is>
          <t>TN</t>
        </is>
      </c>
      <c r="G1618" t="n">
        <v>1370</v>
      </c>
      <c r="H1618" t="inlineStr">
        <is>
          <t>PIEDRA DE GAVIÓN CP</t>
        </is>
      </c>
    </row>
    <row r="1619">
      <c r="A1619" t="n">
        <v>10200075</v>
      </c>
      <c r="B1619" t="inlineStr">
        <is>
          <t>ZFE3</t>
        </is>
      </c>
      <c r="C1619" t="inlineStr">
        <is>
          <t>1000</t>
        </is>
      </c>
      <c r="D1619" t="inlineStr">
        <is>
          <t>M3</t>
        </is>
      </c>
      <c r="E1619" t="n">
        <v>1000</v>
      </c>
      <c r="F1619" t="inlineStr">
        <is>
          <t>TN</t>
        </is>
      </c>
      <c r="G1619" t="n">
        <v>1330</v>
      </c>
      <c r="H1619" t="inlineStr">
        <is>
          <t>TEZONTLE 15# A 10# NG</t>
        </is>
      </c>
    </row>
    <row r="1620">
      <c r="A1620" t="n">
        <v>10200270</v>
      </c>
      <c r="B1620" t="inlineStr">
        <is>
          <t>ZFE3</t>
        </is>
      </c>
      <c r="C1620" t="inlineStr">
        <is>
          <t>1000</t>
        </is>
      </c>
      <c r="D1620" t="inlineStr">
        <is>
          <t>M3</t>
        </is>
      </c>
      <c r="E1620" t="n">
        <v>1000</v>
      </c>
      <c r="F1620" t="inlineStr">
        <is>
          <t>TN</t>
        </is>
      </c>
      <c r="G1620" t="n">
        <v>1272</v>
      </c>
      <c r="H1620" t="inlineStr">
        <is>
          <t>CAPA BASE (1-1/2 - 0) MSC</t>
        </is>
      </c>
    </row>
    <row r="1621">
      <c r="A1621" t="n">
        <v>10200431</v>
      </c>
      <c r="B1621" t="inlineStr">
        <is>
          <t>ZFE3</t>
        </is>
      </c>
      <c r="C1621" t="inlineStr">
        <is>
          <t>1000</t>
        </is>
      </c>
      <c r="D1621" t="inlineStr">
        <is>
          <t>M3</t>
        </is>
      </c>
      <c r="E1621" t="n">
        <v>1000</v>
      </c>
      <c r="F1621" t="inlineStr">
        <is>
          <t>TN</t>
        </is>
      </c>
      <c r="G1621" t="n">
        <v>1629</v>
      </c>
      <c r="H1621" t="inlineStr">
        <is>
          <t>ARENA 8 RECICLADA</t>
        </is>
      </c>
    </row>
    <row r="1622">
      <c r="A1622" t="n">
        <v>10200432</v>
      </c>
      <c r="B1622" t="inlineStr">
        <is>
          <t>ZFE3</t>
        </is>
      </c>
      <c r="C1622" t="inlineStr">
        <is>
          <t>1000</t>
        </is>
      </c>
      <c r="D1622" t="inlineStr">
        <is>
          <t>M3</t>
        </is>
      </c>
      <c r="E1622" t="n">
        <v>1000</v>
      </c>
      <c r="F1622" t="inlineStr">
        <is>
          <t>TN</t>
        </is>
      </c>
      <c r="G1622" t="n">
        <v>1610</v>
      </c>
      <c r="H1622" t="inlineStr">
        <is>
          <t>ARENA 4 BLOCK RECICLADA</t>
        </is>
      </c>
    </row>
    <row r="1623">
      <c r="A1623" t="n">
        <v>10200433</v>
      </c>
      <c r="B1623" t="inlineStr">
        <is>
          <t>ZFE3</t>
        </is>
      </c>
      <c r="C1623" t="inlineStr">
        <is>
          <t>1000</t>
        </is>
      </c>
      <c r="D1623" t="inlineStr">
        <is>
          <t>M3</t>
        </is>
      </c>
      <c r="E1623" t="n">
        <v>1000</v>
      </c>
      <c r="F1623" t="inlineStr">
        <is>
          <t>TN</t>
        </is>
      </c>
      <c r="G1623" t="n">
        <v>1560</v>
      </c>
      <c r="H1623" t="inlineStr">
        <is>
          <t>GRAVA 40 MM RECICLADA</t>
        </is>
      </c>
    </row>
    <row r="1624">
      <c r="A1624" t="n">
        <v>10200434</v>
      </c>
      <c r="B1624" t="inlineStr">
        <is>
          <t>ZFE3</t>
        </is>
      </c>
      <c r="C1624" t="inlineStr">
        <is>
          <t>1000</t>
        </is>
      </c>
      <c r="D1624" t="inlineStr">
        <is>
          <t>M3</t>
        </is>
      </c>
      <c r="E1624" t="n">
        <v>1000</v>
      </c>
      <c r="F1624" t="inlineStr">
        <is>
          <t>TN</t>
        </is>
      </c>
      <c r="G1624" t="n">
        <v>1560</v>
      </c>
      <c r="H1624" t="inlineStr">
        <is>
          <t>GRAVA 20 MM RECICLADA</t>
        </is>
      </c>
    </row>
    <row r="1625">
      <c r="A1625" t="n">
        <v>10200438</v>
      </c>
      <c r="B1625" t="inlineStr">
        <is>
          <t>ZFE3</t>
        </is>
      </c>
      <c r="C1625" t="inlineStr">
        <is>
          <t>1000</t>
        </is>
      </c>
      <c r="D1625" t="inlineStr">
        <is>
          <t>M3</t>
        </is>
      </c>
      <c r="E1625" t="n">
        <v>1000</v>
      </c>
      <c r="F1625" t="inlineStr">
        <is>
          <t>TN</t>
        </is>
      </c>
      <c r="G1625" t="n">
        <v>1300</v>
      </c>
      <c r="H1625" t="inlineStr">
        <is>
          <t>SUB BASE ANDESITA</t>
        </is>
      </c>
    </row>
    <row r="1626">
      <c r="A1626" t="n">
        <v>10200460</v>
      </c>
      <c r="B1626" t="inlineStr">
        <is>
          <t>ZFE3</t>
        </is>
      </c>
      <c r="C1626" t="inlineStr">
        <is>
          <t>1000</t>
        </is>
      </c>
      <c r="D1626" t="inlineStr">
        <is>
          <t>M3</t>
        </is>
      </c>
      <c r="E1626" t="n">
        <v>1000</v>
      </c>
      <c r="F1626" t="inlineStr">
        <is>
          <t>TN</t>
        </is>
      </c>
      <c r="G1626" t="n">
        <v>1444</v>
      </c>
      <c r="H1626" t="inlineStr">
        <is>
          <t>GRAVA TRITURADA CALIZA 20 MM - 3/4"</t>
        </is>
      </c>
    </row>
    <row r="1627">
      <c r="A1627" t="n">
        <v>10200633</v>
      </c>
      <c r="B1627" t="inlineStr">
        <is>
          <t>ZFE3</t>
        </is>
      </c>
      <c r="C1627" t="inlineStr">
        <is>
          <t>1000</t>
        </is>
      </c>
      <c r="D1627" t="inlineStr">
        <is>
          <t>M3</t>
        </is>
      </c>
      <c r="E1627" t="n">
        <v>1000</v>
      </c>
      <c r="F1627" t="inlineStr">
        <is>
          <t>TN</t>
        </is>
      </c>
      <c r="G1627" t="n">
        <v>1402</v>
      </c>
      <c r="H1627" t="inlineStr">
        <is>
          <t>GRAVA TRITURADA BASALTO 20 MM - 3/4" "S"</t>
        </is>
      </c>
    </row>
    <row r="1628">
      <c r="A1628" t="n">
        <v>10200637</v>
      </c>
      <c r="B1628" t="inlineStr">
        <is>
          <t>ZFE3</t>
        </is>
      </c>
      <c r="C1628" t="inlineStr">
        <is>
          <t>1000</t>
        </is>
      </c>
      <c r="D1628" t="inlineStr">
        <is>
          <t>M3</t>
        </is>
      </c>
      <c r="E1628" t="n">
        <v>1000</v>
      </c>
      <c r="F1628" t="inlineStr">
        <is>
          <t>TN</t>
        </is>
      </c>
      <c r="G1628" t="n">
        <v>1490</v>
      </c>
      <c r="H1628" t="inlineStr">
        <is>
          <t>ARENA TRITURADA CALIZA MALLA 5</t>
        </is>
      </c>
    </row>
    <row r="1629">
      <c r="A1629" t="n">
        <v>10200676</v>
      </c>
      <c r="B1629" t="inlineStr">
        <is>
          <t>ZFE3</t>
        </is>
      </c>
      <c r="C1629" t="inlineStr">
        <is>
          <t>1000</t>
        </is>
      </c>
      <c r="D1629" t="inlineStr">
        <is>
          <t>M3</t>
        </is>
      </c>
      <c r="E1629" t="n">
        <v>1000</v>
      </c>
      <c r="F1629" t="inlineStr">
        <is>
          <t>TN</t>
        </is>
      </c>
      <c r="G1629" t="n">
        <v>1400</v>
      </c>
      <c r="H1629" t="inlineStr">
        <is>
          <t>TEZONTLE SELECCIONADO 15 A 10# NG</t>
        </is>
      </c>
    </row>
    <row r="1630">
      <c r="A1630" t="n">
        <v>10200685</v>
      </c>
      <c r="B1630" t="inlineStr">
        <is>
          <t>ZFE3</t>
        </is>
      </c>
      <c r="C1630" t="inlineStr">
        <is>
          <t>1000</t>
        </is>
      </c>
      <c r="D1630" t="inlineStr">
        <is>
          <t>M3</t>
        </is>
      </c>
      <c r="E1630" t="n">
        <v>1000</v>
      </c>
      <c r="F1630" t="inlineStr">
        <is>
          <t>TN</t>
        </is>
      </c>
      <c r="G1630" t="n">
        <v>1150</v>
      </c>
      <c r="H1630" t="inlineStr">
        <is>
          <t>GRAVA TRITURADA CALIZA 20 MM - 3/4"</t>
        </is>
      </c>
    </row>
    <row r="1631">
      <c r="A1631" t="n">
        <v>10200686</v>
      </c>
      <c r="B1631" t="inlineStr">
        <is>
          <t>ZFE3</t>
        </is>
      </c>
      <c r="C1631" t="inlineStr">
        <is>
          <t>1000</t>
        </is>
      </c>
      <c r="D1631" t="inlineStr">
        <is>
          <t>M3</t>
        </is>
      </c>
      <c r="E1631" t="n">
        <v>1000</v>
      </c>
      <c r="F1631" t="inlineStr">
        <is>
          <t>TN</t>
        </is>
      </c>
      <c r="G1631" t="n">
        <v>1370</v>
      </c>
      <c r="H1631" t="inlineStr">
        <is>
          <t>ARENA TRITURADA CALIZA MALLA 5</t>
        </is>
      </c>
    </row>
    <row r="1632">
      <c r="A1632" t="n">
        <v>10200773</v>
      </c>
      <c r="B1632" t="inlineStr">
        <is>
          <t>ZFE3</t>
        </is>
      </c>
      <c r="C1632" t="inlineStr">
        <is>
          <t>1000</t>
        </is>
      </c>
      <c r="D1632" t="inlineStr">
        <is>
          <t>M3</t>
        </is>
      </c>
      <c r="E1632" t="n">
        <v>1000</v>
      </c>
      <c r="F1632" t="inlineStr">
        <is>
          <t>TN</t>
        </is>
      </c>
      <c r="G1632" t="n">
        <v>1740</v>
      </c>
      <c r="H1632" t="inlineStr">
        <is>
          <t>ARENA DEL LLANO CONCIVILES</t>
        </is>
      </c>
    </row>
    <row r="1633">
      <c r="A1633" t="n">
        <v>10200774</v>
      </c>
      <c r="B1633" t="inlineStr">
        <is>
          <t>ZFE3</t>
        </is>
      </c>
      <c r="C1633" t="inlineStr">
        <is>
          <t>1000</t>
        </is>
      </c>
      <c r="D1633" t="inlineStr">
        <is>
          <t>M3</t>
        </is>
      </c>
      <c r="E1633" t="n">
        <v>1000</v>
      </c>
      <c r="F1633" t="inlineStr">
        <is>
          <t>TN</t>
        </is>
      </c>
      <c r="G1633" t="n">
        <v>1620</v>
      </c>
      <c r="H1633" t="inlineStr">
        <is>
          <t>GRAVA 1# DEL LLANO CONCIVILES NO USAR</t>
        </is>
      </c>
    </row>
    <row r="1634">
      <c r="A1634" t="n">
        <v>10200775</v>
      </c>
      <c r="B1634" t="inlineStr">
        <is>
          <t>ZFE3</t>
        </is>
      </c>
      <c r="C1634" t="inlineStr">
        <is>
          <t>1000</t>
        </is>
      </c>
      <c r="D1634" t="inlineStr">
        <is>
          <t>M3</t>
        </is>
      </c>
      <c r="E1634" t="n">
        <v>1000</v>
      </c>
      <c r="F1634" t="inlineStr">
        <is>
          <t>TN</t>
        </is>
      </c>
      <c r="G1634" t="n">
        <v>1590</v>
      </c>
      <c r="H1634" t="inlineStr">
        <is>
          <t>GRAVA ½# CONCIVILES NO USAR</t>
        </is>
      </c>
    </row>
    <row r="1635">
      <c r="A1635" t="n">
        <v>10200803</v>
      </c>
      <c r="B1635" t="inlineStr">
        <is>
          <t>ZFE3</t>
        </is>
      </c>
      <c r="C1635" t="inlineStr">
        <is>
          <t>1000</t>
        </is>
      </c>
      <c r="D1635" t="inlineStr">
        <is>
          <t>M3</t>
        </is>
      </c>
      <c r="E1635" t="n">
        <v>1000</v>
      </c>
      <c r="F1635" t="inlineStr">
        <is>
          <t>TN</t>
        </is>
      </c>
      <c r="G1635" t="n">
        <v>1250</v>
      </c>
      <c r="H1635" t="inlineStr">
        <is>
          <t>ESCOMBRO DE CONCRETO</t>
        </is>
      </c>
    </row>
    <row r="1636">
      <c r="A1636" t="n">
        <v>10200809</v>
      </c>
      <c r="B1636" t="inlineStr">
        <is>
          <t>ZFE3</t>
        </is>
      </c>
      <c r="C1636" t="inlineStr">
        <is>
          <t>1000</t>
        </is>
      </c>
      <c r="D1636" t="inlineStr">
        <is>
          <t>M3</t>
        </is>
      </c>
      <c r="E1636" t="n">
        <v>1000</v>
      </c>
      <c r="F1636" t="inlineStr">
        <is>
          <t>TN</t>
        </is>
      </c>
      <c r="G1636" t="n">
        <v>1740</v>
      </c>
      <c r="H1636" t="inlineStr">
        <is>
          <t>ARENA DEL LLANO CONCIVILES PEP</t>
        </is>
      </c>
    </row>
    <row r="1637">
      <c r="A1637" t="n">
        <v>10200923</v>
      </c>
      <c r="B1637" t="inlineStr">
        <is>
          <t>ZFE3</t>
        </is>
      </c>
      <c r="C1637" t="inlineStr">
        <is>
          <t>1000</t>
        </is>
      </c>
      <c r="D1637" t="inlineStr">
        <is>
          <t>M3</t>
        </is>
      </c>
      <c r="E1637" t="n">
        <v>1000</v>
      </c>
      <c r="F1637" t="inlineStr">
        <is>
          <t>TN</t>
        </is>
      </c>
      <c r="G1637" t="n">
        <v>1480</v>
      </c>
      <c r="H1637" t="inlineStr">
        <is>
          <t>GRAVA 1# ARENISCA LAMD</t>
        </is>
      </c>
    </row>
    <row r="1638">
      <c r="A1638" t="n">
        <v>10200929</v>
      </c>
      <c r="B1638" t="inlineStr">
        <is>
          <t>ZFE3</t>
        </is>
      </c>
      <c r="C1638" t="inlineStr">
        <is>
          <t>1000</t>
        </is>
      </c>
      <c r="D1638" t="inlineStr">
        <is>
          <t>M3</t>
        </is>
      </c>
      <c r="E1638" t="n">
        <v>1000</v>
      </c>
      <c r="F1638" t="inlineStr">
        <is>
          <t>TN</t>
        </is>
      </c>
      <c r="G1638" t="n">
        <v>1500</v>
      </c>
      <c r="H1638" t="inlineStr">
        <is>
          <t>SUB BASE ESPECIAL</t>
        </is>
      </c>
    </row>
    <row r="1639">
      <c r="A1639" t="n">
        <v>10201051</v>
      </c>
      <c r="B1639" t="inlineStr">
        <is>
          <t>ZFE3</t>
        </is>
      </c>
      <c r="C1639" t="inlineStr">
        <is>
          <t>1000</t>
        </is>
      </c>
      <c r="D1639" t="inlineStr">
        <is>
          <t>M3</t>
        </is>
      </c>
      <c r="E1639" t="n">
        <v>1000</v>
      </c>
      <c r="F1639" t="inlineStr">
        <is>
          <t>TN</t>
        </is>
      </c>
      <c r="G1639" t="n">
        <v>1490</v>
      </c>
      <c r="H1639" t="inlineStr">
        <is>
          <t>ARENA TRITURADA BASALTO MALLA 4</t>
        </is>
      </c>
    </row>
    <row r="1640">
      <c r="A1640" t="n">
        <v>10201190</v>
      </c>
      <c r="B1640" t="inlineStr">
        <is>
          <t>ZFE3</t>
        </is>
      </c>
      <c r="C1640" t="inlineStr">
        <is>
          <t>1000</t>
        </is>
      </c>
      <c r="D1640" t="inlineStr">
        <is>
          <t>M3</t>
        </is>
      </c>
      <c r="E1640" t="n">
        <v>1000</v>
      </c>
      <c r="F1640" t="inlineStr">
        <is>
          <t>TN</t>
        </is>
      </c>
      <c r="G1640" t="n">
        <v>1620</v>
      </c>
      <c r="H1640" t="inlineStr">
        <is>
          <t>GRAVA 1# DEL LLANO CONCIVILES PEP NO USA</t>
        </is>
      </c>
    </row>
    <row r="1641">
      <c r="A1641" t="n">
        <v>10201191</v>
      </c>
      <c r="B1641" t="inlineStr">
        <is>
          <t>ZFE3</t>
        </is>
      </c>
      <c r="C1641" t="inlineStr">
        <is>
          <t>1000</t>
        </is>
      </c>
      <c r="D1641" t="inlineStr">
        <is>
          <t>M3</t>
        </is>
      </c>
      <c r="E1641" t="n">
        <v>1000</v>
      </c>
      <c r="F1641" t="inlineStr">
        <is>
          <t>TN</t>
        </is>
      </c>
      <c r="G1641" t="n">
        <v>1590</v>
      </c>
      <c r="H1641" t="inlineStr">
        <is>
          <t>GRAVA ½# CONCIVILES PEP NO USAR</t>
        </is>
      </c>
    </row>
    <row r="1642">
      <c r="A1642" t="n">
        <v>10201198</v>
      </c>
      <c r="B1642" t="inlineStr">
        <is>
          <t>ZFE3</t>
        </is>
      </c>
      <c r="C1642" t="inlineStr">
        <is>
          <t>1000</t>
        </is>
      </c>
      <c r="D1642" t="inlineStr">
        <is>
          <t>M3</t>
        </is>
      </c>
      <c r="E1642" t="n">
        <v>1000</v>
      </c>
      <c r="F1642" t="inlineStr">
        <is>
          <t>TN</t>
        </is>
      </c>
      <c r="G1642" t="n">
        <v>1600</v>
      </c>
      <c r="H1642" t="inlineStr">
        <is>
          <t>GRAVA BOLEO 3/4 - NG</t>
        </is>
      </c>
    </row>
    <row r="1643">
      <c r="A1643" t="n">
        <v>10201411</v>
      </c>
      <c r="B1643" t="inlineStr">
        <is>
          <t>ZFE3</t>
        </is>
      </c>
      <c r="C1643" t="inlineStr">
        <is>
          <t>1000</t>
        </is>
      </c>
      <c r="D1643" t="inlineStr">
        <is>
          <t>M3</t>
        </is>
      </c>
      <c r="E1643" t="n">
        <v>1000</v>
      </c>
      <c r="F1643" t="inlineStr">
        <is>
          <t>TN</t>
        </is>
      </c>
      <c r="G1643" t="n">
        <v>1450</v>
      </c>
      <c r="H1643" t="inlineStr">
        <is>
          <t>PIEDRA NO.8 - (3/8 - NO.8) CP</t>
        </is>
      </c>
    </row>
    <row r="1644">
      <c r="A1644" t="n">
        <v>10201412</v>
      </c>
      <c r="B1644" t="inlineStr">
        <is>
          <t>ZFE3</t>
        </is>
      </c>
      <c r="C1644" t="inlineStr">
        <is>
          <t>1000</t>
        </is>
      </c>
      <c r="D1644" t="inlineStr">
        <is>
          <t>M3</t>
        </is>
      </c>
      <c r="E1644" t="n">
        <v>1000</v>
      </c>
      <c r="F1644" t="inlineStr">
        <is>
          <t>TN</t>
        </is>
      </c>
      <c r="G1644" t="n">
        <v>1720</v>
      </c>
      <c r="H1644" t="inlineStr">
        <is>
          <t>REVESTIMIENTO ROJO 1 1/2 A 1 - NG</t>
        </is>
      </c>
    </row>
    <row r="1645">
      <c r="A1645" t="n">
        <v>10201426</v>
      </c>
      <c r="B1645" t="inlineStr">
        <is>
          <t>ZFE3</t>
        </is>
      </c>
      <c r="C1645" t="inlineStr">
        <is>
          <t>1000</t>
        </is>
      </c>
      <c r="D1645" t="inlineStr">
        <is>
          <t>M3</t>
        </is>
      </c>
      <c r="E1645" t="n">
        <v>1000</v>
      </c>
      <c r="F1645" t="inlineStr">
        <is>
          <t>TN</t>
        </is>
      </c>
      <c r="G1645" t="n">
        <v>1496</v>
      </c>
      <c r="H1645" t="inlineStr">
        <is>
          <t>GRAVA TRITURADA CALIZA 20 MM F</t>
        </is>
      </c>
    </row>
    <row r="1646">
      <c r="A1646" t="n">
        <v>10201510</v>
      </c>
      <c r="B1646" t="inlineStr">
        <is>
          <t>ZFE3</t>
        </is>
      </c>
      <c r="C1646" t="inlineStr">
        <is>
          <t>1000</t>
        </is>
      </c>
      <c r="D1646" t="inlineStr">
        <is>
          <t>M3</t>
        </is>
      </c>
      <c r="E1646" t="n">
        <v>1000</v>
      </c>
      <c r="F1646" t="inlineStr">
        <is>
          <t>TN</t>
        </is>
      </c>
      <c r="G1646" t="n">
        <v>1595</v>
      </c>
      <c r="H1646" t="inlineStr">
        <is>
          <t>CRUDO CALIZA GRIS</t>
        </is>
      </c>
    </row>
    <row r="1647">
      <c r="A1647" t="n">
        <v>10201582</v>
      </c>
      <c r="B1647" t="inlineStr">
        <is>
          <t>ZFE3</t>
        </is>
      </c>
      <c r="C1647" t="inlineStr">
        <is>
          <t>1000</t>
        </is>
      </c>
      <c r="D1647" t="inlineStr">
        <is>
          <t>M3</t>
        </is>
      </c>
      <c r="E1647" t="n">
        <v>1000</v>
      </c>
      <c r="F1647" t="inlineStr">
        <is>
          <t>TN</t>
        </is>
      </c>
      <c r="G1647" t="n">
        <v>1302</v>
      </c>
      <c r="H1647" t="inlineStr">
        <is>
          <t>PIEDRA NO.1 (3-1/2 - 1-1/2") CP</t>
        </is>
      </c>
    </row>
    <row r="1648">
      <c r="A1648" t="n">
        <v>10201772</v>
      </c>
      <c r="B1648" t="inlineStr">
        <is>
          <t>ZFE3</t>
        </is>
      </c>
      <c r="C1648" t="inlineStr">
        <is>
          <t>1000</t>
        </is>
      </c>
      <c r="D1648" t="inlineStr">
        <is>
          <t>M3</t>
        </is>
      </c>
      <c r="E1648" t="n">
        <v>1000</v>
      </c>
      <c r="F1648" t="inlineStr">
        <is>
          <t>TN</t>
        </is>
      </c>
      <c r="G1648" t="n">
        <v>1000</v>
      </c>
      <c r="H1648" t="inlineStr">
        <is>
          <t>ARCILLA NAT DE BANCO-NG</t>
        </is>
      </c>
    </row>
    <row r="1649">
      <c r="A1649" t="n">
        <v>10201773</v>
      </c>
      <c r="B1649" t="inlineStr">
        <is>
          <t>ZFE3</t>
        </is>
      </c>
      <c r="C1649" t="inlineStr">
        <is>
          <t>1000</t>
        </is>
      </c>
      <c r="D1649" t="inlineStr">
        <is>
          <t>M3</t>
        </is>
      </c>
      <c r="E1649" t="n">
        <v>1000</v>
      </c>
      <c r="F1649" t="inlineStr">
        <is>
          <t>TN</t>
        </is>
      </c>
      <c r="G1649" t="n">
        <v>1000</v>
      </c>
      <c r="H1649" t="inlineStr">
        <is>
          <t>ARCILLA NAT DE BANCO</t>
        </is>
      </c>
    </row>
    <row r="1650">
      <c r="A1650" t="n">
        <v>10202070</v>
      </c>
      <c r="B1650" t="inlineStr">
        <is>
          <t>ZFE3</t>
        </is>
      </c>
      <c r="C1650" t="inlineStr">
        <is>
          <t>1000</t>
        </is>
      </c>
      <c r="D1650" t="inlineStr">
        <is>
          <t>M3</t>
        </is>
      </c>
      <c r="E1650" t="n">
        <v>1000</v>
      </c>
      <c r="F1650" t="inlineStr">
        <is>
          <t>TN</t>
        </is>
      </c>
      <c r="G1650" t="n">
        <v>1446</v>
      </c>
      <c r="H1650" t="inlineStr">
        <is>
          <t>GRAVA TRITURADA BASALTO 20 MM - 3/4" - E</t>
        </is>
      </c>
    </row>
    <row r="1651">
      <c r="A1651" t="n">
        <v>10202113</v>
      </c>
      <c r="B1651" t="inlineStr">
        <is>
          <t>ZFE3</t>
        </is>
      </c>
      <c r="C1651" t="inlineStr">
        <is>
          <t>1000</t>
        </is>
      </c>
      <c r="D1651" t="inlineStr">
        <is>
          <t>M3</t>
        </is>
      </c>
      <c r="E1651" t="n">
        <v>1000</v>
      </c>
      <c r="F1651" t="inlineStr">
        <is>
          <t>TN</t>
        </is>
      </c>
      <c r="G1651" t="n">
        <v>1446</v>
      </c>
      <c r="H1651" t="inlineStr">
        <is>
          <t>GRAVA TRITURADA CALIZA 20 MM - 3/4"</t>
        </is>
      </c>
    </row>
    <row r="1652">
      <c r="A1652" t="n">
        <v>10202125</v>
      </c>
      <c r="B1652" t="inlineStr">
        <is>
          <t>ZFE3</t>
        </is>
      </c>
      <c r="C1652" t="inlineStr">
        <is>
          <t>1000</t>
        </is>
      </c>
      <c r="D1652" t="inlineStr">
        <is>
          <t>M3</t>
        </is>
      </c>
      <c r="E1652" t="n">
        <v>1000</v>
      </c>
      <c r="F1652" t="inlineStr">
        <is>
          <t>TN</t>
        </is>
      </c>
      <c r="G1652" t="n">
        <v>1465</v>
      </c>
      <c r="H1652" t="inlineStr">
        <is>
          <t>PIEDRA NO.8 - (3/8 - NO.8) BI CO.</t>
        </is>
      </c>
    </row>
    <row r="1653">
      <c r="A1653" t="n">
        <v>10202128</v>
      </c>
      <c r="B1653" t="inlineStr">
        <is>
          <t>ZFE3</t>
        </is>
      </c>
      <c r="C1653" t="inlineStr">
        <is>
          <t>1000</t>
        </is>
      </c>
      <c r="D1653" t="inlineStr">
        <is>
          <t>M3</t>
        </is>
      </c>
      <c r="E1653" t="n">
        <v>1000</v>
      </c>
      <c r="F1653" t="inlineStr">
        <is>
          <t>TN</t>
        </is>
      </c>
      <c r="G1653" t="n">
        <v>1302</v>
      </c>
      <c r="H1653" t="inlineStr">
        <is>
          <t>PIEDRA NO.67 (3/4 - NO.4) VA</t>
        </is>
      </c>
    </row>
    <row r="1654">
      <c r="A1654" t="n">
        <v>10202129</v>
      </c>
      <c r="B1654" t="inlineStr">
        <is>
          <t>ZFE3</t>
        </is>
      </c>
      <c r="C1654" t="inlineStr">
        <is>
          <t>1000</t>
        </is>
      </c>
      <c r="D1654" t="inlineStr">
        <is>
          <t>M3</t>
        </is>
      </c>
      <c r="E1654" t="n">
        <v>1000</v>
      </c>
      <c r="F1654" t="inlineStr">
        <is>
          <t>TN</t>
        </is>
      </c>
      <c r="G1654" t="n">
        <v>1180</v>
      </c>
      <c r="H1654" t="inlineStr">
        <is>
          <t>CONCRETO TRITURADO 3/8 # 10 MM</t>
        </is>
      </c>
    </row>
    <row r="1655">
      <c r="A1655" t="n">
        <v>10202135</v>
      </c>
      <c r="B1655" t="inlineStr">
        <is>
          <t>ZFE3</t>
        </is>
      </c>
      <c r="C1655" t="inlineStr">
        <is>
          <t>1000</t>
        </is>
      </c>
      <c r="D1655" t="inlineStr">
        <is>
          <t>M3</t>
        </is>
      </c>
      <c r="E1655" t="n">
        <v>1000</v>
      </c>
      <c r="F1655" t="inlineStr">
        <is>
          <t>TN</t>
        </is>
      </c>
      <c r="G1655" t="n">
        <v>1478</v>
      </c>
      <c r="H1655" t="inlineStr">
        <is>
          <t>GRAVA CLASIFICADA RÍO 20 MM - 3/4"</t>
        </is>
      </c>
    </row>
    <row r="1656">
      <c r="A1656" t="n">
        <v>10202196</v>
      </c>
      <c r="B1656" t="inlineStr">
        <is>
          <t>ZFE3</t>
        </is>
      </c>
      <c r="C1656" t="inlineStr">
        <is>
          <t>1000</t>
        </is>
      </c>
      <c r="D1656" t="inlineStr">
        <is>
          <t>M3</t>
        </is>
      </c>
      <c r="E1656" t="n">
        <v>1000</v>
      </c>
      <c r="F1656" t="inlineStr">
        <is>
          <t>TN</t>
        </is>
      </c>
      <c r="G1656" t="n">
        <v>1000</v>
      </c>
      <c r="H1656" t="inlineStr">
        <is>
          <t>LODO BENTONITICO-NG</t>
        </is>
      </c>
    </row>
    <row r="1657">
      <c r="A1657" t="n">
        <v>10202199</v>
      </c>
      <c r="B1657" t="inlineStr">
        <is>
          <t>ZFE3</t>
        </is>
      </c>
      <c r="C1657" t="inlineStr">
        <is>
          <t>1000</t>
        </is>
      </c>
      <c r="D1657" t="inlineStr">
        <is>
          <t>M3</t>
        </is>
      </c>
      <c r="E1657" t="n">
        <v>1000</v>
      </c>
      <c r="F1657" t="inlineStr">
        <is>
          <t>TN</t>
        </is>
      </c>
      <c r="G1657" t="n">
        <v>1450</v>
      </c>
      <c r="H1657" t="inlineStr">
        <is>
          <t>PIEDRA NO.8 - (3/8 - NO.8) V</t>
        </is>
      </c>
    </row>
    <row r="1658">
      <c r="A1658" t="n">
        <v>10202722</v>
      </c>
      <c r="B1658" t="inlineStr">
        <is>
          <t>ZFE3</t>
        </is>
      </c>
      <c r="C1658" t="inlineStr">
        <is>
          <t>1000</t>
        </is>
      </c>
      <c r="D1658" t="inlineStr">
        <is>
          <t>M3</t>
        </is>
      </c>
      <c r="E1658" t="n">
        <v>1000</v>
      </c>
      <c r="F1658" t="inlineStr">
        <is>
          <t>TN</t>
        </is>
      </c>
      <c r="G1658" t="n">
        <v>1302</v>
      </c>
      <c r="H1658" t="inlineStr">
        <is>
          <t>PIEDRA NO.2 (GRAVA 2-1/2 - 1-1/2") CP</t>
        </is>
      </c>
    </row>
    <row r="1659">
      <c r="A1659" t="n">
        <v>10202731</v>
      </c>
      <c r="B1659" t="inlineStr">
        <is>
          <t>ZFE3</t>
        </is>
      </c>
      <c r="C1659" t="inlineStr">
        <is>
          <t>1000</t>
        </is>
      </c>
      <c r="D1659" t="inlineStr">
        <is>
          <t>M3</t>
        </is>
      </c>
      <c r="E1659" t="n">
        <v>1000</v>
      </c>
      <c r="F1659" t="inlineStr">
        <is>
          <t>TN</t>
        </is>
      </c>
      <c r="G1659" t="n">
        <v>1486</v>
      </c>
      <c r="H1659" t="inlineStr">
        <is>
          <t>ARENA CLASIFICADA VOLCANICA MALLA 4</t>
        </is>
      </c>
    </row>
    <row r="1660">
      <c r="A1660" t="n">
        <v>10202732</v>
      </c>
      <c r="B1660" t="inlineStr">
        <is>
          <t>ZFE3</t>
        </is>
      </c>
      <c r="C1660" t="inlineStr">
        <is>
          <t>1000</t>
        </is>
      </c>
      <c r="D1660" t="inlineStr">
        <is>
          <t>M3</t>
        </is>
      </c>
      <c r="E1660" t="n">
        <v>1000</v>
      </c>
      <c r="F1660" t="inlineStr">
        <is>
          <t>TN</t>
        </is>
      </c>
      <c r="G1660" t="n">
        <v>1390</v>
      </c>
      <c r="H1660" t="inlineStr">
        <is>
          <t>GRAVA TRITURADA BASALTO ¾#, 20 MM</t>
        </is>
      </c>
    </row>
    <row r="1661">
      <c r="A1661" t="n">
        <v>10203181</v>
      </c>
      <c r="B1661" t="inlineStr">
        <is>
          <t>ZFE3</t>
        </is>
      </c>
      <c r="C1661" t="inlineStr">
        <is>
          <t>1000</t>
        </is>
      </c>
      <c r="D1661" t="inlineStr">
        <is>
          <t>M3</t>
        </is>
      </c>
      <c r="E1661" t="n">
        <v>1000</v>
      </c>
      <c r="F1661" t="inlineStr">
        <is>
          <t>TN</t>
        </is>
      </c>
      <c r="G1661" t="n">
        <v>1450</v>
      </c>
      <c r="H1661" t="inlineStr">
        <is>
          <t>BALASTO TRITURADO ANDESITA-NG</t>
        </is>
      </c>
    </row>
    <row r="1662">
      <c r="A1662" t="n">
        <v>10203226</v>
      </c>
      <c r="B1662" t="inlineStr">
        <is>
          <t>ZFE3</t>
        </is>
      </c>
      <c r="C1662" t="inlineStr">
        <is>
          <t>1000</t>
        </is>
      </c>
      <c r="D1662" t="inlineStr">
        <is>
          <t>M3</t>
        </is>
      </c>
      <c r="E1662" t="n">
        <v>1000</v>
      </c>
      <c r="F1662" t="inlineStr">
        <is>
          <t>TN</t>
        </is>
      </c>
      <c r="G1662" t="n">
        <v>1400</v>
      </c>
      <c r="H1662" t="inlineStr">
        <is>
          <t>PIEDRA DECORATIVA MARMOL BLANCA 1" - NG</t>
        </is>
      </c>
    </row>
    <row r="1663">
      <c r="A1663" t="n">
        <v>10203227</v>
      </c>
      <c r="B1663" t="inlineStr">
        <is>
          <t>ZFE3</t>
        </is>
      </c>
      <c r="C1663" t="inlineStr">
        <is>
          <t>1000</t>
        </is>
      </c>
      <c r="D1663" t="inlineStr">
        <is>
          <t>M3</t>
        </is>
      </c>
      <c r="E1663" t="n">
        <v>1000</v>
      </c>
      <c r="F1663" t="inlineStr">
        <is>
          <t>TN</t>
        </is>
      </c>
      <c r="G1663" t="n">
        <v>1400</v>
      </c>
      <c r="H1663" t="inlineStr">
        <is>
          <t>PIEDRA DECORATIVA MARMOL BLANCA 1 1/2" -</t>
        </is>
      </c>
    </row>
    <row r="1664">
      <c r="A1664" t="n">
        <v>10203228</v>
      </c>
      <c r="B1664" t="inlineStr">
        <is>
          <t>ZFE3</t>
        </is>
      </c>
      <c r="C1664" t="inlineStr">
        <is>
          <t>1000</t>
        </is>
      </c>
      <c r="D1664" t="inlineStr">
        <is>
          <t>M3</t>
        </is>
      </c>
      <c r="E1664" t="n">
        <v>1000</v>
      </c>
      <c r="F1664" t="inlineStr">
        <is>
          <t>TN</t>
        </is>
      </c>
      <c r="G1664" t="n">
        <v>1400</v>
      </c>
      <c r="H1664" t="inlineStr">
        <is>
          <t>PIEDRA DECORATIVA MARMOL BLANCA 2 1/2" -</t>
        </is>
      </c>
    </row>
    <row r="1665">
      <c r="A1665" t="n">
        <v>10203229</v>
      </c>
      <c r="B1665" t="inlineStr">
        <is>
          <t>ZFE3</t>
        </is>
      </c>
      <c r="C1665" t="inlineStr">
        <is>
          <t>1000</t>
        </is>
      </c>
      <c r="D1665" t="inlineStr">
        <is>
          <t>M3</t>
        </is>
      </c>
      <c r="E1665" t="n">
        <v>1000</v>
      </c>
      <c r="F1665" t="inlineStr">
        <is>
          <t>TN</t>
        </is>
      </c>
      <c r="G1665" t="n">
        <v>1400</v>
      </c>
      <c r="H1665" t="inlineStr">
        <is>
          <t>PIEDRA DECORATIVA MARMOL NEGRA 1" NG</t>
        </is>
      </c>
    </row>
    <row r="1666">
      <c r="A1666" t="n">
        <v>10203260</v>
      </c>
      <c r="B1666" t="inlineStr">
        <is>
          <t>ZFE3</t>
        </is>
      </c>
      <c r="C1666" t="inlineStr">
        <is>
          <t>1000</t>
        </is>
      </c>
      <c r="D1666" t="inlineStr">
        <is>
          <t>M3</t>
        </is>
      </c>
      <c r="E1666" t="n">
        <v>1000</v>
      </c>
      <c r="F1666" t="inlineStr">
        <is>
          <t>TN</t>
        </is>
      </c>
      <c r="G1666" t="n">
        <v>1603</v>
      </c>
      <c r="H1666" t="inlineStr">
        <is>
          <t>ARENA ALUVIAL AGREGADOS GUAYURIBA</t>
        </is>
      </c>
    </row>
    <row r="1667">
      <c r="A1667" t="n">
        <v>10203261</v>
      </c>
      <c r="B1667" t="inlineStr">
        <is>
          <t>ZFE3</t>
        </is>
      </c>
      <c r="C1667" t="inlineStr">
        <is>
          <t>1000</t>
        </is>
      </c>
      <c r="D1667" t="inlineStr">
        <is>
          <t>M3</t>
        </is>
      </c>
      <c r="E1667" t="n">
        <v>1000</v>
      </c>
      <c r="F1667" t="inlineStr">
        <is>
          <t>TN</t>
        </is>
      </c>
      <c r="G1667" t="n">
        <v>1498</v>
      </c>
      <c r="H1667" t="inlineStr">
        <is>
          <t>GRAVA ½# ALUVIAL AGREGADOS GUAYURIBA</t>
        </is>
      </c>
    </row>
    <row r="1668">
      <c r="A1668" t="n">
        <v>10203262</v>
      </c>
      <c r="B1668" t="inlineStr">
        <is>
          <t>ZFE3</t>
        </is>
      </c>
      <c r="C1668" t="inlineStr">
        <is>
          <t>1000</t>
        </is>
      </c>
      <c r="D1668" t="inlineStr">
        <is>
          <t>M3</t>
        </is>
      </c>
      <c r="E1668" t="n">
        <v>1000</v>
      </c>
      <c r="F1668" t="inlineStr">
        <is>
          <t>TN</t>
        </is>
      </c>
      <c r="G1668" t="n">
        <v>1477</v>
      </c>
      <c r="H1668" t="inlineStr">
        <is>
          <t>GRAVA 1# ALUVIAL AGREGADOS GUAYURIBA</t>
        </is>
      </c>
    </row>
    <row r="1669">
      <c r="A1669" t="n">
        <v>10203263</v>
      </c>
      <c r="B1669" t="inlineStr">
        <is>
          <t>ZFE3</t>
        </is>
      </c>
      <c r="C1669" t="inlineStr">
        <is>
          <t>1000</t>
        </is>
      </c>
      <c r="D1669" t="inlineStr">
        <is>
          <t>M3</t>
        </is>
      </c>
      <c r="E1669" t="n">
        <v>1000</v>
      </c>
      <c r="F1669" t="inlineStr">
        <is>
          <t>TN</t>
        </is>
      </c>
      <c r="G1669" t="n">
        <v>1500</v>
      </c>
      <c r="H1669" t="inlineStr">
        <is>
          <t>ARENA TRITURADA BASALTO MALLA 4B NG</t>
        </is>
      </c>
    </row>
    <row r="1670">
      <c r="A1670" t="n">
        <v>10204013</v>
      </c>
      <c r="B1670" t="inlineStr">
        <is>
          <t>ZFE3</t>
        </is>
      </c>
      <c r="C1670" t="inlineStr">
        <is>
          <t>1000</t>
        </is>
      </c>
      <c r="D1670" t="inlineStr">
        <is>
          <t>M3</t>
        </is>
      </c>
      <c r="E1670" t="n">
        <v>1000</v>
      </c>
      <c r="F1670" t="inlineStr">
        <is>
          <t>TN</t>
        </is>
      </c>
      <c r="G1670" t="n">
        <v>1440</v>
      </c>
      <c r="H1670" t="inlineStr">
        <is>
          <t>GRAVA CLASIFICADA RÍO 20 MM - 3/4" (CONT</t>
        </is>
      </c>
    </row>
    <row r="1671">
      <c r="A1671" t="n">
        <v>10204019</v>
      </c>
      <c r="B1671" t="inlineStr">
        <is>
          <t>ZFE3</t>
        </is>
      </c>
      <c r="C1671" t="inlineStr">
        <is>
          <t>1000</t>
        </is>
      </c>
      <c r="D1671" t="inlineStr">
        <is>
          <t>M3</t>
        </is>
      </c>
      <c r="E1671" t="n">
        <v>1000</v>
      </c>
      <c r="F1671" t="inlineStr">
        <is>
          <t>TN</t>
        </is>
      </c>
      <c r="G1671" t="n">
        <v>1410</v>
      </c>
      <c r="H1671" t="inlineStr">
        <is>
          <t>ARENA CLASIFICADA RÍO MALLA 4 (Q)</t>
        </is>
      </c>
    </row>
    <row r="1672">
      <c r="A1672" t="n">
        <v>10204192</v>
      </c>
      <c r="B1672" t="inlineStr">
        <is>
          <t>ZFE3</t>
        </is>
      </c>
      <c r="C1672" t="inlineStr">
        <is>
          <t>1000</t>
        </is>
      </c>
      <c r="D1672" t="inlineStr">
        <is>
          <t>M3</t>
        </is>
      </c>
      <c r="E1672" t="n">
        <v>1000</v>
      </c>
      <c r="F1672" t="inlineStr">
        <is>
          <t>TN</t>
        </is>
      </c>
      <c r="G1672" t="n">
        <v>1520</v>
      </c>
      <c r="H1672" t="inlineStr">
        <is>
          <t>GRAVA 1# ALUVIAL ATT SUAREZ</t>
        </is>
      </c>
    </row>
    <row r="1673">
      <c r="A1673" t="n">
        <v>10204240</v>
      </c>
      <c r="B1673" t="inlineStr">
        <is>
          <t>ZFE3</t>
        </is>
      </c>
      <c r="C1673" t="inlineStr">
        <is>
          <t>1000</t>
        </is>
      </c>
      <c r="D1673" t="inlineStr">
        <is>
          <t>M3</t>
        </is>
      </c>
      <c r="E1673" t="n">
        <v>1000</v>
      </c>
      <c r="F1673" t="inlineStr">
        <is>
          <t>TN</t>
        </is>
      </c>
      <c r="G1673" t="n">
        <v>1400</v>
      </c>
      <c r="H1673" t="inlineStr">
        <is>
          <t>PIEDRA DECORATIVA MARMOL NEGRA 2 1/2" NG</t>
        </is>
      </c>
    </row>
    <row r="1674">
      <c r="A1674" t="n">
        <v>10204241</v>
      </c>
      <c r="B1674" t="inlineStr">
        <is>
          <t>ZFE3</t>
        </is>
      </c>
      <c r="C1674" t="inlineStr">
        <is>
          <t>1000</t>
        </is>
      </c>
      <c r="D1674" t="inlineStr">
        <is>
          <t>M3</t>
        </is>
      </c>
      <c r="E1674" t="n">
        <v>1000</v>
      </c>
      <c r="F1674" t="inlineStr">
        <is>
          <t>TN</t>
        </is>
      </c>
      <c r="G1674" t="n">
        <v>1400</v>
      </c>
      <c r="H1674" t="inlineStr">
        <is>
          <t>PIEDRA DECORATIVA MARMOL NEGRA 1 1/2" NG</t>
        </is>
      </c>
    </row>
    <row r="1675">
      <c r="A1675" t="n">
        <v>10204242</v>
      </c>
      <c r="B1675" t="inlineStr">
        <is>
          <t>ZFE3</t>
        </is>
      </c>
      <c r="C1675" t="inlineStr">
        <is>
          <t>1000</t>
        </is>
      </c>
      <c r="D1675" t="inlineStr">
        <is>
          <t>M3</t>
        </is>
      </c>
      <c r="E1675" t="n">
        <v>1000</v>
      </c>
      <c r="F1675" t="inlineStr">
        <is>
          <t>TN</t>
        </is>
      </c>
      <c r="G1675" t="n">
        <v>1400</v>
      </c>
      <c r="H1675" t="inlineStr">
        <is>
          <t>PIEDRA DECORATIVA MARMOL AMARILLA 1" NG</t>
        </is>
      </c>
    </row>
    <row r="1676">
      <c r="A1676" t="n">
        <v>10204243</v>
      </c>
      <c r="B1676" t="inlineStr">
        <is>
          <t>ZFE3</t>
        </is>
      </c>
      <c r="C1676" t="inlineStr">
        <is>
          <t>1000</t>
        </is>
      </c>
      <c r="D1676" t="inlineStr">
        <is>
          <t>M3</t>
        </is>
      </c>
      <c r="E1676" t="n">
        <v>1000</v>
      </c>
      <c r="F1676" t="inlineStr">
        <is>
          <t>TN</t>
        </is>
      </c>
      <c r="G1676" t="n">
        <v>1400</v>
      </c>
      <c r="H1676" t="inlineStr">
        <is>
          <t>PIEDRA DECORATIVA MARMOL AMARILLA 1 1/2"</t>
        </is>
      </c>
    </row>
    <row r="1677">
      <c r="A1677" t="n">
        <v>10204244</v>
      </c>
      <c r="B1677" t="inlineStr">
        <is>
          <t>ZFE3</t>
        </is>
      </c>
      <c r="C1677" t="inlineStr">
        <is>
          <t>1000</t>
        </is>
      </c>
      <c r="D1677" t="inlineStr">
        <is>
          <t>M3</t>
        </is>
      </c>
      <c r="E1677" t="n">
        <v>1000</v>
      </c>
      <c r="F1677" t="inlineStr">
        <is>
          <t>TN</t>
        </is>
      </c>
      <c r="G1677" t="n">
        <v>1400</v>
      </c>
      <c r="H1677" t="inlineStr">
        <is>
          <t>PIEDRA DECORATIVA MARMOL AMARILLA 2 1/2"</t>
        </is>
      </c>
    </row>
    <row r="1678">
      <c r="A1678" t="n">
        <v>10204245</v>
      </c>
      <c r="B1678" t="inlineStr">
        <is>
          <t>ZFE3</t>
        </is>
      </c>
      <c r="C1678" t="inlineStr">
        <is>
          <t>1000</t>
        </is>
      </c>
      <c r="D1678" t="inlineStr">
        <is>
          <t>M3</t>
        </is>
      </c>
      <c r="E1678" t="n">
        <v>1000</v>
      </c>
      <c r="F1678" t="inlineStr">
        <is>
          <t>TN</t>
        </is>
      </c>
      <c r="G1678" t="n">
        <v>1400</v>
      </c>
      <c r="H1678" t="inlineStr">
        <is>
          <t>PIEDRA DECORATIVA MARMOL ROSA 1" NG</t>
        </is>
      </c>
    </row>
    <row r="1679">
      <c r="A1679" t="n">
        <v>10204246</v>
      </c>
      <c r="B1679" t="inlineStr">
        <is>
          <t>ZFE3</t>
        </is>
      </c>
      <c r="C1679" t="inlineStr">
        <is>
          <t>1000</t>
        </is>
      </c>
      <c r="D1679" t="inlineStr">
        <is>
          <t>M3</t>
        </is>
      </c>
      <c r="E1679" t="n">
        <v>1000</v>
      </c>
      <c r="F1679" t="inlineStr">
        <is>
          <t>TN</t>
        </is>
      </c>
      <c r="G1679" t="n">
        <v>1400</v>
      </c>
      <c r="H1679" t="inlineStr">
        <is>
          <t>PIEDRA DECORATIVA MARMOL ROSA 1 1/2" NG</t>
        </is>
      </c>
    </row>
    <row r="1680">
      <c r="A1680" t="n">
        <v>10204247</v>
      </c>
      <c r="B1680" t="inlineStr">
        <is>
          <t>ZFE3</t>
        </is>
      </c>
      <c r="C1680" t="inlineStr">
        <is>
          <t>1000</t>
        </is>
      </c>
      <c r="D1680" t="inlineStr">
        <is>
          <t>M3</t>
        </is>
      </c>
      <c r="E1680" t="n">
        <v>1000</v>
      </c>
      <c r="F1680" t="inlineStr">
        <is>
          <t>TN</t>
        </is>
      </c>
      <c r="G1680" t="n">
        <v>1400</v>
      </c>
      <c r="H1680" t="inlineStr">
        <is>
          <t>PIEDRA DECORATIVA MARMOL ROSAA 2 1/2" NG</t>
        </is>
      </c>
    </row>
    <row r="1681">
      <c r="A1681" t="n">
        <v>10204310</v>
      </c>
      <c r="B1681" t="inlineStr">
        <is>
          <t>ZFE3</t>
        </is>
      </c>
      <c r="C1681" t="inlineStr">
        <is>
          <t>1000</t>
        </is>
      </c>
      <c r="D1681" t="inlineStr">
        <is>
          <t>M3</t>
        </is>
      </c>
      <c r="E1681" t="n">
        <v>1000</v>
      </c>
      <c r="F1681" t="inlineStr">
        <is>
          <t>TN</t>
        </is>
      </c>
      <c r="G1681" t="n">
        <v>1593</v>
      </c>
      <c r="H1681" t="inlineStr">
        <is>
          <t>ARENA ALUVIAL ATT SUAREZ</t>
        </is>
      </c>
    </row>
    <row r="1682">
      <c r="A1682" t="n">
        <v>10206750</v>
      </c>
      <c r="B1682" t="inlineStr">
        <is>
          <t>ZFE3</t>
        </is>
      </c>
      <c r="C1682" t="inlineStr">
        <is>
          <t>1000</t>
        </is>
      </c>
      <c r="D1682" t="inlineStr">
        <is>
          <t>M3</t>
        </is>
      </c>
      <c r="E1682" t="n">
        <v>1000</v>
      </c>
      <c r="F1682" t="inlineStr">
        <is>
          <t>TN</t>
        </is>
      </c>
      <c r="G1682" t="n">
        <v>1603</v>
      </c>
      <c r="H1682" t="inlineStr">
        <is>
          <t>ARENA CLASIFICADA BASALTO MALLA 4 (Z)</t>
        </is>
      </c>
    </row>
    <row r="1683">
      <c r="A1683" t="n">
        <v>10207047</v>
      </c>
      <c r="B1683" t="inlineStr">
        <is>
          <t>ZFE3</t>
        </is>
      </c>
      <c r="C1683" t="inlineStr">
        <is>
          <t>1000</t>
        </is>
      </c>
      <c r="D1683" t="inlineStr">
        <is>
          <t>M3</t>
        </is>
      </c>
      <c r="E1683" t="n">
        <v>1000</v>
      </c>
      <c r="F1683" t="inlineStr">
        <is>
          <t>TN</t>
        </is>
      </c>
      <c r="G1683" t="n">
        <v>1341</v>
      </c>
      <c r="H1683" t="inlineStr">
        <is>
          <t>ARENA CLASIFICADA RIO MALLA 4</t>
        </is>
      </c>
    </row>
    <row r="1684">
      <c r="A1684" t="n">
        <v>10207128</v>
      </c>
      <c r="B1684" t="inlineStr">
        <is>
          <t>ZFE3</t>
        </is>
      </c>
      <c r="C1684" t="inlineStr">
        <is>
          <t>1000</t>
        </is>
      </c>
      <c r="D1684" t="inlineStr">
        <is>
          <t>M3</t>
        </is>
      </c>
      <c r="E1684" t="n">
        <v>1000</v>
      </c>
      <c r="F1684" t="inlineStr">
        <is>
          <t>TN</t>
        </is>
      </c>
      <c r="G1684" t="n">
        <v>1397</v>
      </c>
      <c r="H1684" t="inlineStr">
        <is>
          <t>GRAVA 3/4'' CARTAGO NOVA BARRANQUILLA</t>
        </is>
      </c>
    </row>
    <row r="1685">
      <c r="A1685" t="n">
        <v>10207129</v>
      </c>
      <c r="B1685" t="inlineStr">
        <is>
          <t>ZFE3</t>
        </is>
      </c>
      <c r="C1685" t="inlineStr">
        <is>
          <t>1000</t>
        </is>
      </c>
      <c r="D1685" t="inlineStr">
        <is>
          <t>M3</t>
        </is>
      </c>
      <c r="E1685" t="n">
        <v>1000</v>
      </c>
      <c r="F1685" t="inlineStr">
        <is>
          <t>TN</t>
        </is>
      </c>
      <c r="G1685" t="n">
        <v>1335</v>
      </c>
      <c r="H1685" t="inlineStr">
        <is>
          <t>GRAVA 3/8'' CARTAGO NOVA BARRANQUILLA</t>
        </is>
      </c>
    </row>
    <row r="1686">
      <c r="A1686" t="n">
        <v>10207871</v>
      </c>
      <c r="B1686" t="inlineStr">
        <is>
          <t>ZFE3</t>
        </is>
      </c>
      <c r="C1686" t="inlineStr">
        <is>
          <t>1000</t>
        </is>
      </c>
      <c r="D1686" t="inlineStr">
        <is>
          <t>M3</t>
        </is>
      </c>
      <c r="E1686" t="n">
        <v>1000</v>
      </c>
      <c r="F1686" t="inlineStr">
        <is>
          <t>TN</t>
        </is>
      </c>
      <c r="G1686" t="n">
        <v>1300</v>
      </c>
      <c r="H1686" t="inlineStr">
        <is>
          <t>GRAVA TRITURADA TEZONTLE 20MM - 3/4" (EA</t>
        </is>
      </c>
    </row>
    <row r="1687">
      <c r="A1687" t="n">
        <v>10207890</v>
      </c>
      <c r="B1687" t="inlineStr">
        <is>
          <t>ZFE3</t>
        </is>
      </c>
      <c r="C1687" t="inlineStr">
        <is>
          <t>1000</t>
        </is>
      </c>
      <c r="D1687" t="inlineStr">
        <is>
          <t>M3</t>
        </is>
      </c>
      <c r="E1687" t="n">
        <v>1000</v>
      </c>
      <c r="F1687" t="inlineStr">
        <is>
          <t>TN</t>
        </is>
      </c>
      <c r="G1687" t="n">
        <v>1450</v>
      </c>
      <c r="H1687" t="inlineStr">
        <is>
          <t>GRAVA TRITURADA CALIZA 40 MM - 1 1/2" (V</t>
        </is>
      </c>
    </row>
    <row r="1688">
      <c r="A1688" t="n">
        <v>10207891</v>
      </c>
      <c r="B1688" t="inlineStr">
        <is>
          <t>ZFE3</t>
        </is>
      </c>
      <c r="C1688" t="inlineStr">
        <is>
          <t>1000</t>
        </is>
      </c>
      <c r="D1688" t="inlineStr">
        <is>
          <t>M3</t>
        </is>
      </c>
      <c r="E1688" t="n">
        <v>1000</v>
      </c>
      <c r="F1688" t="inlineStr">
        <is>
          <t>TN</t>
        </is>
      </c>
      <c r="G1688" t="n">
        <v>1620</v>
      </c>
      <c r="H1688" t="inlineStr">
        <is>
          <t>ARENA TRITURADA CALIZA MALLA 4 (V)</t>
        </is>
      </c>
    </row>
    <row r="1689">
      <c r="A1689" t="n">
        <v>10207892</v>
      </c>
      <c r="B1689" t="inlineStr">
        <is>
          <t>ZFE3</t>
        </is>
      </c>
      <c r="C1689" t="inlineStr">
        <is>
          <t>1000</t>
        </is>
      </c>
      <c r="D1689" t="inlineStr">
        <is>
          <t>M3</t>
        </is>
      </c>
      <c r="E1689" t="n">
        <v>1000</v>
      </c>
      <c r="F1689" t="inlineStr">
        <is>
          <t>TN</t>
        </is>
      </c>
      <c r="G1689" t="n">
        <v>1249</v>
      </c>
      <c r="H1689" t="inlineStr">
        <is>
          <t>TEPETATE TRITURADO TIERRA NA (EA)</t>
        </is>
      </c>
    </row>
    <row r="1690">
      <c r="A1690" t="n">
        <v>10208119</v>
      </c>
      <c r="B1690" t="inlineStr">
        <is>
          <t>ZFE3</t>
        </is>
      </c>
      <c r="C1690" t="inlineStr">
        <is>
          <t>1000</t>
        </is>
      </c>
      <c r="D1690" t="inlineStr">
        <is>
          <t>M3</t>
        </is>
      </c>
      <c r="E1690" t="n">
        <v>1000</v>
      </c>
      <c r="F1690" t="inlineStr">
        <is>
          <t>TN</t>
        </is>
      </c>
      <c r="G1690" t="n">
        <v>1565</v>
      </c>
      <c r="H1690" t="inlineStr">
        <is>
          <t>ARENA DE RIO 50% - POLVO TRITURADO GRANI</t>
        </is>
      </c>
    </row>
    <row r="1691">
      <c r="A1691" t="n">
        <v>10208622</v>
      </c>
      <c r="B1691" t="inlineStr">
        <is>
          <t>ZFE3</t>
        </is>
      </c>
      <c r="C1691" t="inlineStr">
        <is>
          <t>1000</t>
        </is>
      </c>
      <c r="D1691" t="inlineStr">
        <is>
          <t>M3</t>
        </is>
      </c>
      <c r="E1691" t="n">
        <v>1000</v>
      </c>
      <c r="F1691" t="inlineStr">
        <is>
          <t>TN</t>
        </is>
      </c>
      <c r="G1691" t="n">
        <v>1500</v>
      </c>
      <c r="H1691" t="inlineStr">
        <is>
          <t>ARENA TRITURADA CALIZA MALLA 4 CENICILLA</t>
        </is>
      </c>
    </row>
    <row r="1692">
      <c r="A1692" t="n">
        <v>10209056</v>
      </c>
      <c r="B1692" t="inlineStr">
        <is>
          <t>ZFE3</t>
        </is>
      </c>
      <c r="C1692" t="inlineStr">
        <is>
          <t>1000</t>
        </is>
      </c>
      <c r="D1692" t="inlineStr">
        <is>
          <t>M3</t>
        </is>
      </c>
      <c r="E1692" t="n">
        <v>1000</v>
      </c>
      <c r="F1692" t="inlineStr">
        <is>
          <t>TN</t>
        </is>
      </c>
      <c r="G1692" t="n">
        <v>1471</v>
      </c>
      <c r="H1692" t="inlineStr">
        <is>
          <t>GRAVA ALUVIAL 3/8" TRANSMATERIALES CUCUT</t>
        </is>
      </c>
    </row>
    <row r="1693">
      <c r="A1693" t="n">
        <v>10209057</v>
      </c>
      <c r="B1693" t="inlineStr">
        <is>
          <t>ZFE3</t>
        </is>
      </c>
      <c r="C1693" t="inlineStr">
        <is>
          <t>1000</t>
        </is>
      </c>
      <c r="D1693" t="inlineStr">
        <is>
          <t>M3</t>
        </is>
      </c>
      <c r="E1693" t="n">
        <v>1000</v>
      </c>
      <c r="F1693" t="inlineStr">
        <is>
          <t>TN</t>
        </is>
      </c>
      <c r="G1693" t="n">
        <v>1449</v>
      </c>
      <c r="H1693" t="inlineStr">
        <is>
          <t>GRAVA ALUVIAL 1" TRANSMATERIALES CUCUTA</t>
        </is>
      </c>
    </row>
    <row r="1694">
      <c r="A1694" t="n">
        <v>10209065</v>
      </c>
      <c r="B1694" t="inlineStr">
        <is>
          <t>ZFE3</t>
        </is>
      </c>
      <c r="C1694" t="inlineStr">
        <is>
          <t>1000</t>
        </is>
      </c>
      <c r="D1694" t="inlineStr">
        <is>
          <t>M3</t>
        </is>
      </c>
      <c r="E1694" t="n">
        <v>1000</v>
      </c>
      <c r="F1694" t="inlineStr">
        <is>
          <t>TN</t>
        </is>
      </c>
      <c r="G1694" t="n">
        <v>1365</v>
      </c>
      <c r="H1694" t="inlineStr">
        <is>
          <t>FILTRO 5" A 7/8"</t>
        </is>
      </c>
    </row>
    <row r="1695">
      <c r="A1695" t="n">
        <v>10209536</v>
      </c>
      <c r="B1695" t="inlineStr">
        <is>
          <t>ZFE3</t>
        </is>
      </c>
      <c r="C1695" t="inlineStr">
        <is>
          <t>1000</t>
        </is>
      </c>
      <c r="D1695" t="inlineStr">
        <is>
          <t>M3</t>
        </is>
      </c>
      <c r="E1695" t="n">
        <v>1000</v>
      </c>
      <c r="F1695" t="inlineStr">
        <is>
          <t>TN</t>
        </is>
      </c>
      <c r="G1695" t="n">
        <v>1430</v>
      </c>
      <c r="H1695" t="inlineStr">
        <is>
          <t>ARENA ANDESITA MALLA 4 ROSA</t>
        </is>
      </c>
    </row>
    <row r="1696">
      <c r="A1696" t="n">
        <v>10209540</v>
      </c>
      <c r="B1696" t="inlineStr">
        <is>
          <t>ZFE3</t>
        </is>
      </c>
      <c r="C1696" t="inlineStr">
        <is>
          <t>1000</t>
        </is>
      </c>
      <c r="D1696" t="inlineStr">
        <is>
          <t>M3</t>
        </is>
      </c>
      <c r="E1696" t="n">
        <v>1000</v>
      </c>
      <c r="F1696" t="inlineStr">
        <is>
          <t>TN</t>
        </is>
      </c>
      <c r="G1696" t="n">
        <v>1505</v>
      </c>
      <c r="H1696" t="inlineStr">
        <is>
          <t>GRAVA ALUVIAL ¾ AYG SAN PEDRO</t>
        </is>
      </c>
    </row>
    <row r="1697">
      <c r="A1697" t="n">
        <v>10209603</v>
      </c>
      <c r="B1697" t="inlineStr">
        <is>
          <t>ZFE3</t>
        </is>
      </c>
      <c r="C1697" t="inlineStr">
        <is>
          <t>1000</t>
        </is>
      </c>
      <c r="D1697" t="inlineStr">
        <is>
          <t>M3</t>
        </is>
      </c>
      <c r="E1697" t="n">
        <v>1000</v>
      </c>
      <c r="F1697" t="inlineStr">
        <is>
          <t>TN</t>
        </is>
      </c>
      <c r="G1697" t="n">
        <v>1341</v>
      </c>
      <c r="H1697" t="inlineStr">
        <is>
          <t>GRAVA TRITURADA BASALTO 20 MM - 3/4"</t>
        </is>
      </c>
    </row>
    <row r="1698">
      <c r="A1698" t="n">
        <v>10209609</v>
      </c>
      <c r="B1698" t="inlineStr">
        <is>
          <t>ZFE3</t>
        </is>
      </c>
      <c r="C1698" t="inlineStr">
        <is>
          <t>1000</t>
        </is>
      </c>
      <c r="D1698" t="inlineStr">
        <is>
          <t>M3</t>
        </is>
      </c>
      <c r="E1698" t="n">
        <v>1000</v>
      </c>
      <c r="F1698" t="inlineStr">
        <is>
          <t>TN</t>
        </is>
      </c>
      <c r="G1698" t="n">
        <v>1685</v>
      </c>
      <c r="H1698" t="inlineStr">
        <is>
          <t>ARENA ALUVIAL TRIVINORTE</t>
        </is>
      </c>
    </row>
    <row r="1699">
      <c r="A1699" t="n">
        <v>10209775</v>
      </c>
      <c r="B1699" t="inlineStr">
        <is>
          <t>ZFE3</t>
        </is>
      </c>
      <c r="C1699" t="inlineStr">
        <is>
          <t>1000</t>
        </is>
      </c>
      <c r="D1699" t="inlineStr">
        <is>
          <t>M3</t>
        </is>
      </c>
      <c r="E1699" t="n">
        <v>1000</v>
      </c>
      <c r="F1699" t="inlineStr">
        <is>
          <t>TN</t>
        </is>
      </c>
      <c r="G1699" t="n">
        <v>1430</v>
      </c>
      <c r="H1699" t="inlineStr">
        <is>
          <t>GRAVA TRITURADA BASALTO DE ARROYO 20 MM</t>
        </is>
      </c>
    </row>
    <row r="1700">
      <c r="A1700" t="n">
        <v>10209776</v>
      </c>
      <c r="B1700" t="inlineStr">
        <is>
          <t>ZFE3</t>
        </is>
      </c>
      <c r="C1700" t="inlineStr">
        <is>
          <t>1000</t>
        </is>
      </c>
      <c r="D1700" t="inlineStr">
        <is>
          <t>M3</t>
        </is>
      </c>
      <c r="E1700" t="n">
        <v>1000</v>
      </c>
      <c r="F1700" t="inlineStr">
        <is>
          <t>TN</t>
        </is>
      </c>
      <c r="G1700" t="n">
        <v>1582</v>
      </c>
      <c r="H1700" t="inlineStr">
        <is>
          <t>ARENA CRIBADA RIOLITA N° 4</t>
        </is>
      </c>
    </row>
    <row r="1701">
      <c r="A1701" t="n">
        <v>10209777</v>
      </c>
      <c r="B1701" t="inlineStr">
        <is>
          <t>ZFE3</t>
        </is>
      </c>
      <c r="C1701" t="inlineStr">
        <is>
          <t>1000</t>
        </is>
      </c>
      <c r="D1701" t="inlineStr">
        <is>
          <t>M3</t>
        </is>
      </c>
      <c r="E1701" t="n">
        <v>1000</v>
      </c>
      <c r="F1701" t="inlineStr">
        <is>
          <t>TN</t>
        </is>
      </c>
      <c r="G1701" t="n">
        <v>1575</v>
      </c>
      <c r="H1701" t="inlineStr">
        <is>
          <t>GRAVA 1 ½# CONCONCRETO</t>
        </is>
      </c>
    </row>
    <row r="1702">
      <c r="A1702" t="n">
        <v>10209779</v>
      </c>
      <c r="B1702" t="inlineStr">
        <is>
          <t>ZFE3</t>
        </is>
      </c>
      <c r="C1702" t="inlineStr">
        <is>
          <t>1000</t>
        </is>
      </c>
      <c r="D1702" t="inlineStr">
        <is>
          <t>M3</t>
        </is>
      </c>
      <c r="E1702" t="n">
        <v>1000</v>
      </c>
      <c r="F1702" t="inlineStr">
        <is>
          <t>TN</t>
        </is>
      </c>
      <c r="G1702" t="n">
        <v>1500</v>
      </c>
      <c r="H1702" t="inlineStr">
        <is>
          <t>PIEDRA FILTRO SAVA</t>
        </is>
      </c>
    </row>
    <row r="1703">
      <c r="A1703" t="n">
        <v>10210035</v>
      </c>
      <c r="B1703" t="inlineStr">
        <is>
          <t>ZFE3</t>
        </is>
      </c>
      <c r="C1703" t="inlineStr">
        <is>
          <t>1000</t>
        </is>
      </c>
      <c r="D1703" t="inlineStr">
        <is>
          <t>M3</t>
        </is>
      </c>
      <c r="E1703" t="n">
        <v>1000</v>
      </c>
      <c r="F1703" t="inlineStr">
        <is>
          <t>TN</t>
        </is>
      </c>
      <c r="G1703" t="n">
        <v>1592</v>
      </c>
      <c r="H1703" t="inlineStr">
        <is>
          <t>ARENA ALUVIAL ATT RUBI</t>
        </is>
      </c>
    </row>
    <row r="1704">
      <c r="A1704" t="n">
        <v>10210039</v>
      </c>
      <c r="B1704" t="inlineStr">
        <is>
          <t>ZFE3</t>
        </is>
      </c>
      <c r="C1704" t="inlineStr">
        <is>
          <t>1000</t>
        </is>
      </c>
      <c r="D1704" t="inlineStr">
        <is>
          <t>M3</t>
        </is>
      </c>
      <c r="E1704" t="n">
        <v>1000</v>
      </c>
      <c r="F1704" t="inlineStr">
        <is>
          <t>TN</t>
        </is>
      </c>
      <c r="G1704" t="n">
        <v>1485</v>
      </c>
      <c r="H1704" t="inlineStr">
        <is>
          <t>ARENA CLASIFICADA RÍO MALLA 4</t>
        </is>
      </c>
    </row>
    <row r="1705">
      <c r="A1705" t="n">
        <v>10210130</v>
      </c>
      <c r="B1705" t="inlineStr">
        <is>
          <t>ZFE3</t>
        </is>
      </c>
      <c r="C1705" t="inlineStr">
        <is>
          <t>1000</t>
        </is>
      </c>
      <c r="D1705" t="inlineStr">
        <is>
          <t>M3</t>
        </is>
      </c>
      <c r="E1705" t="n">
        <v>1000</v>
      </c>
      <c r="F1705" t="inlineStr">
        <is>
          <t>TN</t>
        </is>
      </c>
      <c r="G1705" t="n">
        <v>1800</v>
      </c>
      <c r="H1705" t="inlineStr">
        <is>
          <t>BASE TIPO INVIAS TIPO A SAVA</t>
        </is>
      </c>
    </row>
    <row r="1706">
      <c r="A1706" t="n">
        <v>10210180</v>
      </c>
      <c r="B1706" t="inlineStr">
        <is>
          <t>ZFE3</t>
        </is>
      </c>
      <c r="C1706" t="inlineStr">
        <is>
          <t>1000</t>
        </is>
      </c>
      <c r="D1706" t="inlineStr">
        <is>
          <t>M3</t>
        </is>
      </c>
      <c r="E1706" t="n">
        <v>1000</v>
      </c>
      <c r="F1706" t="inlineStr">
        <is>
          <t>TN</t>
        </is>
      </c>
      <c r="G1706" t="n">
        <v>1407</v>
      </c>
      <c r="H1706" t="inlineStr">
        <is>
          <t>GRAVA ½# ALUVIAL TRIVINORTE</t>
        </is>
      </c>
    </row>
    <row r="1707">
      <c r="A1707" t="n">
        <v>10210181</v>
      </c>
      <c r="B1707" t="inlineStr">
        <is>
          <t>ZFE3</t>
        </is>
      </c>
      <c r="C1707" t="inlineStr">
        <is>
          <t>1000</t>
        </is>
      </c>
      <c r="D1707" t="inlineStr">
        <is>
          <t>M3</t>
        </is>
      </c>
      <c r="E1707" t="n">
        <v>1000</v>
      </c>
      <c r="F1707" t="inlineStr">
        <is>
          <t>TN</t>
        </is>
      </c>
      <c r="G1707" t="n">
        <v>1385</v>
      </c>
      <c r="H1707" t="inlineStr">
        <is>
          <t>GRAVA 1# ALUVIAL TRIVINORTE</t>
        </is>
      </c>
    </row>
    <row r="1708">
      <c r="A1708" t="n">
        <v>10210260</v>
      </c>
      <c r="B1708" t="inlineStr">
        <is>
          <t>ZFE3</t>
        </is>
      </c>
      <c r="C1708" t="inlineStr">
        <is>
          <t>1000</t>
        </is>
      </c>
      <c r="D1708" t="inlineStr">
        <is>
          <t>M3</t>
        </is>
      </c>
      <c r="E1708" t="n">
        <v>1000</v>
      </c>
      <c r="F1708" t="inlineStr">
        <is>
          <t>TN</t>
        </is>
      </c>
      <c r="G1708" t="n">
        <v>1491</v>
      </c>
      <c r="H1708" t="inlineStr">
        <is>
          <t>GRAVA TRITURADA CALIZA 20MM - 3/4"</t>
        </is>
      </c>
    </row>
    <row r="1709">
      <c r="A1709" t="n">
        <v>10210261</v>
      </c>
      <c r="B1709" t="inlineStr">
        <is>
          <t>ZFE3</t>
        </is>
      </c>
      <c r="C1709" t="inlineStr">
        <is>
          <t>1000</t>
        </is>
      </c>
      <c r="D1709" t="inlineStr">
        <is>
          <t>M3</t>
        </is>
      </c>
      <c r="E1709" t="n">
        <v>1000</v>
      </c>
      <c r="F1709" t="inlineStr">
        <is>
          <t>TN</t>
        </is>
      </c>
      <c r="G1709" t="n">
        <v>1495</v>
      </c>
      <c r="H1709" t="inlineStr">
        <is>
          <t>ARENA TRITURADA CALIZA MALLA 4</t>
        </is>
      </c>
    </row>
    <row r="1710">
      <c r="A1710" t="n">
        <v>10210291</v>
      </c>
      <c r="B1710" t="inlineStr">
        <is>
          <t>ZFE3</t>
        </is>
      </c>
      <c r="C1710" t="inlineStr">
        <is>
          <t>1000</t>
        </is>
      </c>
      <c r="D1710" t="inlineStr">
        <is>
          <t>M3</t>
        </is>
      </c>
      <c r="E1710" t="n">
        <v>1000</v>
      </c>
      <c r="F1710" t="inlineStr">
        <is>
          <t>TN</t>
        </is>
      </c>
      <c r="G1710" t="n">
        <v>1340</v>
      </c>
      <c r="H1710" t="inlineStr">
        <is>
          <t>ARENA CLASIFICADA RÍO MALLA 4*</t>
        </is>
      </c>
    </row>
    <row r="1711">
      <c r="A1711" t="n">
        <v>10210344</v>
      </c>
      <c r="B1711" t="inlineStr">
        <is>
          <t>ZFE3</t>
        </is>
      </c>
      <c r="C1711" t="inlineStr">
        <is>
          <t>1000</t>
        </is>
      </c>
      <c r="D1711" t="inlineStr">
        <is>
          <t>M3</t>
        </is>
      </c>
      <c r="E1711" t="n">
        <v>1000</v>
      </c>
      <c r="F1711" t="inlineStr">
        <is>
          <t>TN</t>
        </is>
      </c>
      <c r="G1711" t="n">
        <v>1651</v>
      </c>
      <c r="H1711" t="inlineStr">
        <is>
          <t>ARENA TRITURADA MARMOL MALLA 4</t>
        </is>
      </c>
    </row>
    <row r="1712">
      <c r="A1712" t="n">
        <v>10210656</v>
      </c>
      <c r="B1712" t="inlineStr">
        <is>
          <t>ZFE3</t>
        </is>
      </c>
      <c r="C1712" t="inlineStr">
        <is>
          <t>1000</t>
        </is>
      </c>
      <c r="D1712" t="inlineStr">
        <is>
          <t>M3</t>
        </is>
      </c>
      <c r="E1712" t="n">
        <v>1000</v>
      </c>
      <c r="F1712" t="inlineStr">
        <is>
          <t>TN</t>
        </is>
      </c>
      <c r="G1712" t="n">
        <v>800</v>
      </c>
      <c r="H1712" t="inlineStr">
        <is>
          <t>GRAVA TRITURADA POMEZ - JAL 20 MM - 3/4"</t>
        </is>
      </c>
    </row>
    <row r="1713">
      <c r="A1713" t="n">
        <v>10210657</v>
      </c>
      <c r="B1713" t="inlineStr">
        <is>
          <t>ZFE3</t>
        </is>
      </c>
      <c r="C1713" t="inlineStr">
        <is>
          <t>1000</t>
        </is>
      </c>
      <c r="D1713" t="inlineStr">
        <is>
          <t>M3</t>
        </is>
      </c>
      <c r="E1713" t="n">
        <v>1000</v>
      </c>
      <c r="F1713" t="inlineStr">
        <is>
          <t>TN</t>
        </is>
      </c>
      <c r="G1713" t="n">
        <v>1364</v>
      </c>
      <c r="H1713" t="inlineStr">
        <is>
          <t>GRAVA TRITURADA BASALTO 20 MM - 3/4"</t>
        </is>
      </c>
    </row>
    <row r="1714">
      <c r="A1714" t="n">
        <v>10211341</v>
      </c>
      <c r="B1714" t="inlineStr">
        <is>
          <t>ZFE3</t>
        </is>
      </c>
      <c r="C1714" t="inlineStr">
        <is>
          <t>1000</t>
        </is>
      </c>
      <c r="D1714" t="inlineStr">
        <is>
          <t>M3</t>
        </is>
      </c>
      <c r="E1714" t="n">
        <v>1000</v>
      </c>
      <c r="F1714" t="inlineStr">
        <is>
          <t>TN</t>
        </is>
      </c>
      <c r="G1714" t="n">
        <v>1210</v>
      </c>
      <c r="H1714" t="inlineStr">
        <is>
          <t>GRAVA TRITURADA BASALTO 10 MM - 3/8"</t>
        </is>
      </c>
    </row>
    <row r="1715">
      <c r="A1715" t="n">
        <v>10211354</v>
      </c>
      <c r="B1715" t="inlineStr">
        <is>
          <t>ZFE3</t>
        </is>
      </c>
      <c r="C1715" t="inlineStr">
        <is>
          <t>1000</t>
        </is>
      </c>
      <c r="D1715" t="inlineStr">
        <is>
          <t>M3</t>
        </is>
      </c>
      <c r="E1715" t="n">
        <v>1000</v>
      </c>
      <c r="F1715" t="inlineStr">
        <is>
          <t>TN</t>
        </is>
      </c>
      <c r="G1715" t="n">
        <v>1560</v>
      </c>
      <c r="H1715" t="inlineStr">
        <is>
          <t>NI MONO GRANULAR 1 ½#</t>
        </is>
      </c>
    </row>
    <row r="1716">
      <c r="A1716" t="n">
        <v>10211355</v>
      </c>
      <c r="B1716" t="inlineStr">
        <is>
          <t>ZFE3</t>
        </is>
      </c>
      <c r="C1716" t="inlineStr">
        <is>
          <t>1000</t>
        </is>
      </c>
      <c r="D1716" t="inlineStr">
        <is>
          <t>M3</t>
        </is>
      </c>
      <c r="E1716" t="n">
        <v>1000</v>
      </c>
      <c r="F1716" t="inlineStr">
        <is>
          <t>TN</t>
        </is>
      </c>
      <c r="G1716" t="n">
        <v>1530</v>
      </c>
      <c r="H1716" t="inlineStr">
        <is>
          <t>NI MONO GRANULAR ¾#</t>
        </is>
      </c>
    </row>
    <row r="1717">
      <c r="A1717" t="n">
        <v>10211427</v>
      </c>
      <c r="B1717" t="inlineStr">
        <is>
          <t>ZFE3</t>
        </is>
      </c>
      <c r="C1717" t="inlineStr">
        <is>
          <t>1000</t>
        </is>
      </c>
      <c r="D1717" t="inlineStr">
        <is>
          <t>M3</t>
        </is>
      </c>
      <c r="E1717" t="n">
        <v>1000</v>
      </c>
      <c r="F1717" t="inlineStr">
        <is>
          <t>TN</t>
        </is>
      </c>
      <c r="G1717" t="n">
        <v>1794</v>
      </c>
      <c r="H1717" t="inlineStr">
        <is>
          <t>ARENA TRITURADA BARITA</t>
        </is>
      </c>
    </row>
    <row r="1718">
      <c r="A1718" t="n">
        <v>10211751</v>
      </c>
      <c r="B1718" t="inlineStr">
        <is>
          <t>ZFE3</t>
        </is>
      </c>
      <c r="C1718" t="inlineStr">
        <is>
          <t>1000</t>
        </is>
      </c>
      <c r="D1718" t="inlineStr">
        <is>
          <t>M3</t>
        </is>
      </c>
      <c r="E1718" t="n">
        <v>1000</v>
      </c>
      <c r="F1718" t="inlineStr">
        <is>
          <t>TN</t>
        </is>
      </c>
      <c r="G1718" t="n">
        <v>1541</v>
      </c>
      <c r="H1718" t="inlineStr">
        <is>
          <t>GRAVA CALIZA DE 2" A 1/4"</t>
        </is>
      </c>
    </row>
    <row r="1719">
      <c r="A1719" t="n">
        <v>10211966</v>
      </c>
      <c r="B1719" t="inlineStr">
        <is>
          <t>ZFE3</t>
        </is>
      </c>
      <c r="C1719" t="inlineStr">
        <is>
          <t>1000</t>
        </is>
      </c>
      <c r="D1719" t="inlineStr">
        <is>
          <t>M3</t>
        </is>
      </c>
      <c r="E1719" t="n">
        <v>1000</v>
      </c>
      <c r="F1719" t="inlineStr">
        <is>
          <t>TN</t>
        </is>
      </c>
      <c r="G1719" t="n">
        <v>1560</v>
      </c>
      <c r="H1719" t="inlineStr">
        <is>
          <t>SUBBALASTO 1 1/2 A FINOS</t>
        </is>
      </c>
    </row>
    <row r="1720">
      <c r="A1720" t="n">
        <v>10211969</v>
      </c>
      <c r="B1720" t="inlineStr">
        <is>
          <t>ZFE3</t>
        </is>
      </c>
      <c r="C1720" t="inlineStr">
        <is>
          <t>1000</t>
        </is>
      </c>
      <c r="D1720" t="inlineStr">
        <is>
          <t>M3</t>
        </is>
      </c>
      <c r="E1720" t="n">
        <v>1000</v>
      </c>
      <c r="F1720" t="inlineStr">
        <is>
          <t>TN</t>
        </is>
      </c>
      <c r="G1720" t="n">
        <v>1700</v>
      </c>
      <c r="H1720" t="inlineStr">
        <is>
          <t>GRAVON DE 4 A 10# NG</t>
        </is>
      </c>
    </row>
    <row r="1721">
      <c r="A1721" t="n">
        <v>10213230</v>
      </c>
      <c r="B1721" t="inlineStr">
        <is>
          <t>ZFE3</t>
        </is>
      </c>
      <c r="C1721" t="inlineStr">
        <is>
          <t>1000</t>
        </is>
      </c>
      <c r="D1721" t="inlineStr">
        <is>
          <t>M3</t>
        </is>
      </c>
      <c r="E1721" t="n">
        <v>1000</v>
      </c>
      <c r="F1721" t="inlineStr">
        <is>
          <t>TN</t>
        </is>
      </c>
      <c r="G1721" t="n">
        <v>1500</v>
      </c>
      <c r="H1721" t="inlineStr">
        <is>
          <t>DESPALME</t>
        </is>
      </c>
    </row>
    <row r="1722">
      <c r="A1722" t="n">
        <v>10213315</v>
      </c>
      <c r="B1722" t="inlineStr">
        <is>
          <t>ZFE3</t>
        </is>
      </c>
      <c r="C1722" t="inlineStr">
        <is>
          <t>1000</t>
        </is>
      </c>
      <c r="D1722" t="inlineStr">
        <is>
          <t>M3</t>
        </is>
      </c>
      <c r="E1722" t="n">
        <v>1000</v>
      </c>
      <c r="F1722" t="inlineStr">
        <is>
          <t>TN</t>
        </is>
      </c>
      <c r="G1722" t="n">
        <v>1512</v>
      </c>
      <c r="H1722" t="inlineStr">
        <is>
          <t>ARENA CLASIFICADA RÍO MALLA 4 - LAVADO</t>
        </is>
      </c>
    </row>
    <row r="1723">
      <c r="A1723" t="n">
        <v>10213318</v>
      </c>
      <c r="B1723" t="inlineStr">
        <is>
          <t>ZFE3</t>
        </is>
      </c>
      <c r="C1723" t="inlineStr">
        <is>
          <t>1000</t>
        </is>
      </c>
      <c r="D1723" t="inlineStr">
        <is>
          <t>M3</t>
        </is>
      </c>
      <c r="E1723" t="n">
        <v>1000</v>
      </c>
      <c r="F1723" t="inlineStr">
        <is>
          <t>TN</t>
        </is>
      </c>
      <c r="G1723" t="n">
        <v>1433</v>
      </c>
      <c r="H1723" t="inlineStr">
        <is>
          <t>GRAVA TRITURADA RÍO 10 MM - 3/8"</t>
        </is>
      </c>
    </row>
    <row r="1724">
      <c r="A1724" t="n">
        <v>10213455</v>
      </c>
      <c r="B1724" t="inlineStr">
        <is>
          <t>ZFE3</t>
        </is>
      </c>
      <c r="C1724" t="inlineStr">
        <is>
          <t>1000</t>
        </is>
      </c>
      <c r="D1724" t="inlineStr">
        <is>
          <t>M3</t>
        </is>
      </c>
      <c r="E1724" t="n">
        <v>1000</v>
      </c>
      <c r="F1724" t="inlineStr">
        <is>
          <t>TN</t>
        </is>
      </c>
      <c r="G1724" t="n">
        <v>1480</v>
      </c>
      <c r="H1724" t="inlineStr">
        <is>
          <t>GRAVA CALIZA DE 1/2" CIPRECON BQUILLA</t>
        </is>
      </c>
    </row>
    <row r="1725">
      <c r="A1725" t="n">
        <v>10213456</v>
      </c>
      <c r="B1725" t="inlineStr">
        <is>
          <t>ZFE3</t>
        </is>
      </c>
      <c r="C1725" t="inlineStr">
        <is>
          <t>1000</t>
        </is>
      </c>
      <c r="D1725" t="inlineStr">
        <is>
          <t>M3</t>
        </is>
      </c>
      <c r="E1725" t="n">
        <v>1000</v>
      </c>
      <c r="F1725" t="inlineStr">
        <is>
          <t>TN</t>
        </is>
      </c>
      <c r="G1725" t="n">
        <v>1450</v>
      </c>
      <c r="H1725" t="inlineStr">
        <is>
          <t>GRAVA CALIZA 1" CIPRECON BQUILLA</t>
        </is>
      </c>
    </row>
    <row r="1726">
      <c r="A1726" t="n">
        <v>10213458</v>
      </c>
      <c r="B1726" t="inlineStr">
        <is>
          <t>ZFE3</t>
        </is>
      </c>
      <c r="C1726" t="inlineStr">
        <is>
          <t>1000</t>
        </is>
      </c>
      <c r="D1726" t="inlineStr">
        <is>
          <t>M3</t>
        </is>
      </c>
      <c r="E1726" t="n">
        <v>1000</v>
      </c>
      <c r="F1726" t="inlineStr">
        <is>
          <t>TN</t>
        </is>
      </c>
      <c r="G1726" t="n">
        <v>1384</v>
      </c>
      <c r="H1726" t="inlineStr">
        <is>
          <t>ARENA CONTINENTAL</t>
        </is>
      </c>
    </row>
    <row r="1727">
      <c r="A1727" t="n">
        <v>10213459</v>
      </c>
      <c r="B1727" t="inlineStr">
        <is>
          <t>ZFE3</t>
        </is>
      </c>
      <c r="C1727" t="inlineStr">
        <is>
          <t>1000</t>
        </is>
      </c>
      <c r="D1727" t="inlineStr">
        <is>
          <t>M3</t>
        </is>
      </c>
      <c r="E1727" t="n">
        <v>1000</v>
      </c>
      <c r="F1727" t="inlineStr">
        <is>
          <t>TN</t>
        </is>
      </c>
      <c r="G1727" t="n">
        <v>1418</v>
      </c>
      <c r="H1727" t="inlineStr">
        <is>
          <t>POLVO DE TRITURACION GRANITO</t>
        </is>
      </c>
    </row>
    <row r="1728">
      <c r="A1728" t="n">
        <v>10213460</v>
      </c>
      <c r="B1728" t="inlineStr">
        <is>
          <t>ZFE3</t>
        </is>
      </c>
      <c r="C1728" t="inlineStr">
        <is>
          <t>1000</t>
        </is>
      </c>
      <c r="D1728" t="inlineStr">
        <is>
          <t>M3</t>
        </is>
      </c>
      <c r="E1728" t="n">
        <v>1000</v>
      </c>
      <c r="F1728" t="inlineStr">
        <is>
          <t>TN</t>
        </is>
      </c>
      <c r="G1728" t="n">
        <v>1510</v>
      </c>
      <c r="H1728" t="inlineStr">
        <is>
          <t>ARENA TRITURACION CAIMA</t>
        </is>
      </c>
    </row>
    <row r="1729">
      <c r="A1729" t="n">
        <v>10213461</v>
      </c>
      <c r="B1729" t="inlineStr">
        <is>
          <t>ZFE3</t>
        </is>
      </c>
      <c r="C1729" t="inlineStr">
        <is>
          <t>1000</t>
        </is>
      </c>
      <c r="D1729" t="inlineStr">
        <is>
          <t>M3</t>
        </is>
      </c>
      <c r="E1729" t="n">
        <v>1000</v>
      </c>
      <c r="F1729" t="inlineStr">
        <is>
          <t>TN</t>
        </is>
      </c>
      <c r="G1729" t="n">
        <v>1430</v>
      </c>
      <c r="H1729" t="inlineStr">
        <is>
          <t>TRITURADO 1" TERRAZA ALUVIAL CAIMA</t>
        </is>
      </c>
    </row>
    <row r="1730">
      <c r="A1730" t="n">
        <v>10213462</v>
      </c>
      <c r="B1730" t="inlineStr">
        <is>
          <t>ZFE3</t>
        </is>
      </c>
      <c r="C1730" t="inlineStr">
        <is>
          <t>1000</t>
        </is>
      </c>
      <c r="D1730" t="inlineStr">
        <is>
          <t>M3</t>
        </is>
      </c>
      <c r="E1730" t="n">
        <v>1000</v>
      </c>
      <c r="F1730" t="inlineStr">
        <is>
          <t>TN</t>
        </is>
      </c>
      <c r="G1730" t="n">
        <v>1460</v>
      </c>
      <c r="H1730" t="inlineStr">
        <is>
          <t>TRITURADO 1/2" TERRAZA ALUVIAL CAIMA</t>
        </is>
      </c>
    </row>
    <row r="1731">
      <c r="A1731" t="n">
        <v>10213463</v>
      </c>
      <c r="B1731" t="inlineStr">
        <is>
          <t>ZFE3</t>
        </is>
      </c>
      <c r="C1731" t="inlineStr">
        <is>
          <t>1000</t>
        </is>
      </c>
      <c r="D1731" t="inlineStr">
        <is>
          <t>M3</t>
        </is>
      </c>
      <c r="E1731" t="n">
        <v>1000</v>
      </c>
      <c r="F1731" t="inlineStr">
        <is>
          <t>TN</t>
        </is>
      </c>
      <c r="G1731" t="n">
        <v>1345</v>
      </c>
      <c r="H1731" t="inlineStr">
        <is>
          <t>ARENA TRITURADA CALIZA MALLA 5</t>
        </is>
      </c>
    </row>
    <row r="1732">
      <c r="A1732" t="n">
        <v>10213469</v>
      </c>
      <c r="B1732" t="inlineStr">
        <is>
          <t>ZFE3</t>
        </is>
      </c>
      <c r="C1732" t="inlineStr">
        <is>
          <t>1000</t>
        </is>
      </c>
      <c r="D1732" t="inlineStr">
        <is>
          <t>M3</t>
        </is>
      </c>
      <c r="E1732" t="n">
        <v>1000</v>
      </c>
      <c r="F1732" t="inlineStr">
        <is>
          <t>TN</t>
        </is>
      </c>
      <c r="G1732" t="n">
        <v>1380</v>
      </c>
      <c r="H1732" t="inlineStr">
        <is>
          <t>ARENA DE RIO NO.4</t>
        </is>
      </c>
    </row>
    <row r="1733">
      <c r="A1733" t="n">
        <v>10213499</v>
      </c>
      <c r="B1733" t="inlineStr">
        <is>
          <t>ZFE3</t>
        </is>
      </c>
      <c r="C1733" t="inlineStr">
        <is>
          <t>1000</t>
        </is>
      </c>
      <c r="D1733" t="inlineStr">
        <is>
          <t>M3</t>
        </is>
      </c>
      <c r="E1733" t="n">
        <v>1000</v>
      </c>
      <c r="F1733" t="inlineStr">
        <is>
          <t>TN</t>
        </is>
      </c>
      <c r="G1733" t="n">
        <v>1745</v>
      </c>
      <c r="H1733" t="inlineStr">
        <is>
          <t>ARENA GRUESA ALUVIAL VIAMET CARBONERO</t>
        </is>
      </c>
    </row>
    <row r="1734">
      <c r="A1734" t="n">
        <v>10213531</v>
      </c>
      <c r="B1734" t="inlineStr">
        <is>
          <t>ZFE3</t>
        </is>
      </c>
      <c r="C1734" t="inlineStr">
        <is>
          <t>1000</t>
        </is>
      </c>
      <c r="D1734" t="inlineStr">
        <is>
          <t>M3</t>
        </is>
      </c>
      <c r="E1734" t="n">
        <v>1000</v>
      </c>
      <c r="F1734" t="inlineStr">
        <is>
          <t>TN</t>
        </is>
      </c>
      <c r="G1734" t="n">
        <v>1345</v>
      </c>
      <c r="H1734" t="inlineStr">
        <is>
          <t>ARENA TRITURADA CALIZA MALLA 5</t>
        </is>
      </c>
    </row>
    <row r="1735">
      <c r="A1735" t="n">
        <v>10213742</v>
      </c>
      <c r="B1735" t="inlineStr">
        <is>
          <t>ZFE3</t>
        </is>
      </c>
      <c r="C1735" t="inlineStr">
        <is>
          <t>1000</t>
        </is>
      </c>
      <c r="D1735" t="inlineStr">
        <is>
          <t>M3</t>
        </is>
      </c>
      <c r="E1735" t="n">
        <v>1000</v>
      </c>
      <c r="F1735" t="inlineStr">
        <is>
          <t>TN</t>
        </is>
      </c>
      <c r="G1735" t="n">
        <v>1347</v>
      </c>
      <c r="H1735" t="inlineStr">
        <is>
          <t>PIEDRA 89 (3/8" A NO.16)</t>
        </is>
      </c>
    </row>
    <row r="1736">
      <c r="A1736" t="n">
        <v>10213896</v>
      </c>
      <c r="B1736" t="inlineStr">
        <is>
          <t>ZFE3</t>
        </is>
      </c>
      <c r="C1736" t="inlineStr">
        <is>
          <t>1000</t>
        </is>
      </c>
      <c r="D1736" t="inlineStr">
        <is>
          <t>M3</t>
        </is>
      </c>
      <c r="E1736" t="n">
        <v>1000</v>
      </c>
      <c r="F1736" t="inlineStr">
        <is>
          <t>TN</t>
        </is>
      </c>
      <c r="G1736" t="n">
        <v>1205</v>
      </c>
      <c r="H1736" t="inlineStr">
        <is>
          <t>GRAVA  ANDESITA 20 MM 3/4"</t>
        </is>
      </c>
    </row>
    <row r="1737">
      <c r="A1737" t="n">
        <v>10213897</v>
      </c>
      <c r="B1737" t="inlineStr">
        <is>
          <t>ZFE3</t>
        </is>
      </c>
      <c r="C1737" t="inlineStr">
        <is>
          <t>1000</t>
        </is>
      </c>
      <c r="D1737" t="inlineStr">
        <is>
          <t>M3</t>
        </is>
      </c>
      <c r="E1737" t="n">
        <v>1000</v>
      </c>
      <c r="F1737" t="inlineStr">
        <is>
          <t>TN</t>
        </is>
      </c>
      <c r="G1737" t="n">
        <v>1602</v>
      </c>
      <c r="H1737" t="inlineStr">
        <is>
          <t>ARENA CRIBADA ANDESITA MALLA 4</t>
        </is>
      </c>
    </row>
    <row r="1738">
      <c r="A1738" t="n">
        <v>10213899</v>
      </c>
      <c r="B1738" t="inlineStr">
        <is>
          <t>ZFE3</t>
        </is>
      </c>
      <c r="C1738" t="inlineStr">
        <is>
          <t>1000</t>
        </is>
      </c>
      <c r="D1738" t="inlineStr">
        <is>
          <t>M3</t>
        </is>
      </c>
      <c r="E1738" t="n">
        <v>1000</v>
      </c>
      <c r="F1738" t="inlineStr">
        <is>
          <t>TN</t>
        </is>
      </c>
      <c r="G1738" t="n">
        <v>1505</v>
      </c>
      <c r="H1738" t="inlineStr">
        <is>
          <t>GRAVA RIO 20 MM (3/4")</t>
        </is>
      </c>
    </row>
    <row r="1739">
      <c r="A1739" t="n">
        <v>10213930</v>
      </c>
      <c r="B1739" t="inlineStr">
        <is>
          <t>ZFE3</t>
        </is>
      </c>
      <c r="C1739" t="inlineStr">
        <is>
          <t>1000</t>
        </is>
      </c>
      <c r="D1739" t="inlineStr">
        <is>
          <t>M3</t>
        </is>
      </c>
      <c r="E1739" t="n">
        <v>1000</v>
      </c>
      <c r="F1739" t="inlineStr">
        <is>
          <t>TN</t>
        </is>
      </c>
      <c r="G1739" t="n">
        <v>1380</v>
      </c>
      <c r="H1739" t="inlineStr">
        <is>
          <t>GRAVA CALIZA 20 MM (3/4")</t>
        </is>
      </c>
    </row>
    <row r="1740">
      <c r="A1740" t="n">
        <v>10213931</v>
      </c>
      <c r="B1740" t="inlineStr">
        <is>
          <t>ZFE3</t>
        </is>
      </c>
      <c r="C1740" t="inlineStr">
        <is>
          <t>1000</t>
        </is>
      </c>
      <c r="D1740" t="inlineStr">
        <is>
          <t>M3</t>
        </is>
      </c>
      <c r="E1740" t="n">
        <v>1000</v>
      </c>
      <c r="F1740" t="inlineStr">
        <is>
          <t>TN</t>
        </is>
      </c>
      <c r="G1740" t="n">
        <v>1462</v>
      </c>
      <c r="H1740" t="inlineStr">
        <is>
          <t>GRAVA RIO 20 MM (3/4")</t>
        </is>
      </c>
    </row>
    <row r="1741">
      <c r="A1741" t="n">
        <v>10213932</v>
      </c>
      <c r="B1741" t="inlineStr">
        <is>
          <t>ZFE3</t>
        </is>
      </c>
      <c r="C1741" t="inlineStr">
        <is>
          <t>1000</t>
        </is>
      </c>
      <c r="D1741" t="inlineStr">
        <is>
          <t>M3</t>
        </is>
      </c>
      <c r="E1741" t="n">
        <v>1000</v>
      </c>
      <c r="F1741" t="inlineStr">
        <is>
          <t>TN</t>
        </is>
      </c>
      <c r="G1741" t="n">
        <v>1200</v>
      </c>
      <c r="H1741" t="inlineStr">
        <is>
          <t>MATACAN BOULDER (0.60 A 1.20 M3)</t>
        </is>
      </c>
    </row>
    <row r="1742">
      <c r="A1742" t="n">
        <v>10213935</v>
      </c>
      <c r="B1742" t="inlineStr">
        <is>
          <t>ZFE3</t>
        </is>
      </c>
      <c r="C1742" t="inlineStr">
        <is>
          <t>1000</t>
        </is>
      </c>
      <c r="D1742" t="inlineStr">
        <is>
          <t>M3</t>
        </is>
      </c>
      <c r="E1742" t="n">
        <v>1000</v>
      </c>
      <c r="F1742" t="inlineStr">
        <is>
          <t>TN</t>
        </is>
      </c>
      <c r="G1742" t="n">
        <v>540</v>
      </c>
      <c r="H1742" t="inlineStr">
        <is>
          <t>TEPEZIL NG</t>
        </is>
      </c>
    </row>
    <row r="1743">
      <c r="A1743" t="n">
        <v>10213950</v>
      </c>
      <c r="B1743" t="inlineStr">
        <is>
          <t>ZFE3</t>
        </is>
      </c>
      <c r="C1743" t="inlineStr">
        <is>
          <t>1000</t>
        </is>
      </c>
      <c r="D1743" t="inlineStr">
        <is>
          <t>M3</t>
        </is>
      </c>
      <c r="E1743" t="n">
        <v>1000</v>
      </c>
      <c r="F1743" t="inlineStr">
        <is>
          <t>TN</t>
        </is>
      </c>
      <c r="G1743" t="n">
        <v>1583</v>
      </c>
      <c r="H1743" t="inlineStr">
        <is>
          <t>GRAVA RIO 10 MM (3/8")</t>
        </is>
      </c>
    </row>
    <row r="1744">
      <c r="A1744" t="n">
        <v>10214136</v>
      </c>
      <c r="B1744" t="inlineStr">
        <is>
          <t>ZFE3</t>
        </is>
      </c>
      <c r="C1744" t="inlineStr">
        <is>
          <t>1000</t>
        </is>
      </c>
      <c r="D1744" t="inlineStr">
        <is>
          <t>M3</t>
        </is>
      </c>
      <c r="E1744" t="n">
        <v>1000</v>
      </c>
      <c r="F1744" t="inlineStr">
        <is>
          <t>TN</t>
        </is>
      </c>
      <c r="G1744" t="n">
        <v>1370</v>
      </c>
      <c r="H1744" t="inlineStr">
        <is>
          <t>GRAVA TRITURADA ANDESITA 10 MM 3/8</t>
        </is>
      </c>
    </row>
    <row r="1745">
      <c r="A1745" t="n">
        <v>10214138</v>
      </c>
      <c r="B1745" t="inlineStr">
        <is>
          <t>ZFE3</t>
        </is>
      </c>
      <c r="C1745" t="inlineStr">
        <is>
          <t>1000</t>
        </is>
      </c>
      <c r="D1745" t="inlineStr">
        <is>
          <t>M3</t>
        </is>
      </c>
      <c r="E1745" t="n">
        <v>1000</v>
      </c>
      <c r="F1745" t="inlineStr">
        <is>
          <t>TN</t>
        </is>
      </c>
      <c r="G1745" t="n">
        <v>1528</v>
      </c>
      <c r="H1745" t="inlineStr">
        <is>
          <t>GRAVA 1# ATT RUBI</t>
        </is>
      </c>
    </row>
    <row r="1746">
      <c r="A1746" t="n">
        <v>10214139</v>
      </c>
      <c r="B1746" t="inlineStr">
        <is>
          <t>ZFE3</t>
        </is>
      </c>
      <c r="C1746" t="inlineStr">
        <is>
          <t>1000</t>
        </is>
      </c>
      <c r="D1746" t="inlineStr">
        <is>
          <t>M3</t>
        </is>
      </c>
      <c r="E1746" t="n">
        <v>1000</v>
      </c>
      <c r="F1746" t="inlineStr">
        <is>
          <t>TN</t>
        </is>
      </c>
      <c r="G1746" t="n">
        <v>1406</v>
      </c>
      <c r="H1746" t="inlineStr">
        <is>
          <t>GRAVA ½# ATT RUBI</t>
        </is>
      </c>
    </row>
    <row r="1747">
      <c r="A1747" t="n">
        <v>10214287</v>
      </c>
      <c r="B1747" t="inlineStr">
        <is>
          <t>ZFE3</t>
        </is>
      </c>
      <c r="C1747" t="inlineStr">
        <is>
          <t>1000</t>
        </is>
      </c>
      <c r="D1747" t="inlineStr">
        <is>
          <t>M3</t>
        </is>
      </c>
      <c r="E1747" t="n">
        <v>1000</v>
      </c>
      <c r="F1747" t="inlineStr">
        <is>
          <t>TN</t>
        </is>
      </c>
      <c r="G1747" t="n">
        <v>1620</v>
      </c>
      <c r="H1747" t="inlineStr">
        <is>
          <t>PIEDRA BASALTICA DE 8" A 14"</t>
        </is>
      </c>
    </row>
    <row r="1748">
      <c r="A1748" t="n">
        <v>10214288</v>
      </c>
      <c r="B1748" t="inlineStr">
        <is>
          <t>ZFE3</t>
        </is>
      </c>
      <c r="C1748" t="inlineStr">
        <is>
          <t>1000</t>
        </is>
      </c>
      <c r="D1748" t="inlineStr">
        <is>
          <t>M3</t>
        </is>
      </c>
      <c r="E1748" t="n">
        <v>1000</v>
      </c>
      <c r="F1748" t="inlineStr">
        <is>
          <t>TN</t>
        </is>
      </c>
      <c r="G1748" t="n">
        <v>1560</v>
      </c>
      <c r="H1748" t="inlineStr">
        <is>
          <t>PIEDRA BASALTICA DE 1" A 8"-NG</t>
        </is>
      </c>
    </row>
    <row r="1749">
      <c r="A1749" t="n">
        <v>10214289</v>
      </c>
      <c r="B1749" t="inlineStr">
        <is>
          <t>ZFE3</t>
        </is>
      </c>
      <c r="C1749" t="inlineStr">
        <is>
          <t>1000</t>
        </is>
      </c>
      <c r="D1749" t="inlineStr">
        <is>
          <t>M3</t>
        </is>
      </c>
      <c r="E1749" t="n">
        <v>1000</v>
      </c>
      <c r="F1749" t="inlineStr">
        <is>
          <t>TN</t>
        </is>
      </c>
      <c r="G1749" t="n">
        <v>1580</v>
      </c>
      <c r="H1749" t="inlineStr">
        <is>
          <t>PIEDRA BASALTICA DE 8" A 10"-NG</t>
        </is>
      </c>
    </row>
    <row r="1750">
      <c r="A1750" t="n">
        <v>10214548</v>
      </c>
      <c r="B1750" t="inlineStr">
        <is>
          <t>ZFE3</t>
        </is>
      </c>
      <c r="C1750" t="inlineStr">
        <is>
          <t>1000</t>
        </is>
      </c>
      <c r="D1750" t="inlineStr">
        <is>
          <t>M3</t>
        </is>
      </c>
      <c r="E1750" t="n">
        <v>1000</v>
      </c>
      <c r="F1750" t="inlineStr">
        <is>
          <t>TN</t>
        </is>
      </c>
      <c r="G1750" t="n">
        <v>1456</v>
      </c>
      <c r="H1750" t="inlineStr">
        <is>
          <t>ARENA CLASIFICADA RÍO MALLA 4 -TB</t>
        </is>
      </c>
    </row>
    <row r="1751">
      <c r="A1751" t="n">
        <v>10214616</v>
      </c>
      <c r="B1751" t="inlineStr">
        <is>
          <t>ZFE3</t>
        </is>
      </c>
      <c r="C1751" t="inlineStr">
        <is>
          <t>1000</t>
        </is>
      </c>
      <c r="D1751" t="inlineStr">
        <is>
          <t>M3</t>
        </is>
      </c>
      <c r="E1751" t="n">
        <v>1000</v>
      </c>
      <c r="F1751" t="inlineStr">
        <is>
          <t>TN</t>
        </is>
      </c>
      <c r="G1751" t="n">
        <v>1450</v>
      </c>
      <c r="H1751" t="inlineStr">
        <is>
          <t>ARENA TRITURADA ANDESITA LAVADA</t>
        </is>
      </c>
    </row>
    <row r="1752">
      <c r="A1752" t="n">
        <v>10214732</v>
      </c>
      <c r="B1752" t="inlineStr">
        <is>
          <t>ZFE3</t>
        </is>
      </c>
      <c r="C1752" t="inlineStr">
        <is>
          <t>1000</t>
        </is>
      </c>
      <c r="D1752" t="inlineStr">
        <is>
          <t>M3</t>
        </is>
      </c>
      <c r="E1752" t="n">
        <v>1000</v>
      </c>
      <c r="F1752" t="inlineStr">
        <is>
          <t>TN</t>
        </is>
      </c>
      <c r="G1752" t="n">
        <v>1560</v>
      </c>
      <c r="H1752" t="inlineStr">
        <is>
          <t>PIEDRA BASALTICA DE 1" A 8"</t>
        </is>
      </c>
    </row>
    <row r="1753">
      <c r="A1753" t="n">
        <v>10214733</v>
      </c>
      <c r="B1753" t="inlineStr">
        <is>
          <t>ZFE3</t>
        </is>
      </c>
      <c r="C1753" t="inlineStr">
        <is>
          <t>1000</t>
        </is>
      </c>
      <c r="D1753" t="inlineStr">
        <is>
          <t>M3</t>
        </is>
      </c>
      <c r="E1753" t="n">
        <v>1000</v>
      </c>
      <c r="F1753" t="inlineStr">
        <is>
          <t>TN</t>
        </is>
      </c>
      <c r="G1753" t="n">
        <v>1620</v>
      </c>
      <c r="H1753" t="inlineStr">
        <is>
          <t>PIEDRA BASALTICA DE 8" A 14"-NG</t>
        </is>
      </c>
    </row>
    <row r="1754">
      <c r="A1754" t="n">
        <v>10214734</v>
      </c>
      <c r="B1754" t="inlineStr">
        <is>
          <t>ZFE3</t>
        </is>
      </c>
      <c r="C1754" t="inlineStr">
        <is>
          <t>1000</t>
        </is>
      </c>
      <c r="D1754" t="inlineStr">
        <is>
          <t>M3</t>
        </is>
      </c>
      <c r="E1754" t="n">
        <v>1000</v>
      </c>
      <c r="F1754" t="inlineStr">
        <is>
          <t>TN</t>
        </is>
      </c>
      <c r="G1754" t="n">
        <v>1580</v>
      </c>
      <c r="H1754" t="inlineStr">
        <is>
          <t>PIEDRA BASALTICA DE 8" A 10"</t>
        </is>
      </c>
    </row>
    <row r="1755">
      <c r="A1755" t="n">
        <v>10214738</v>
      </c>
      <c r="B1755" t="inlineStr">
        <is>
          <t>ZFE3</t>
        </is>
      </c>
      <c r="C1755" t="inlineStr">
        <is>
          <t>1000</t>
        </is>
      </c>
      <c r="D1755" t="inlineStr">
        <is>
          <t>M3</t>
        </is>
      </c>
      <c r="E1755" t="n">
        <v>1000</v>
      </c>
      <c r="F1755" t="inlineStr">
        <is>
          <t>TN</t>
        </is>
      </c>
      <c r="G1755" t="n">
        <v>1450</v>
      </c>
      <c r="H1755" t="inlineStr">
        <is>
          <t>PIEDRA FILTRO CALIZA 1 1/2 X 4</t>
        </is>
      </c>
    </row>
    <row r="1756">
      <c r="A1756" t="n">
        <v>10214750</v>
      </c>
      <c r="B1756" t="inlineStr">
        <is>
          <t>ZFE3</t>
        </is>
      </c>
      <c r="C1756" t="inlineStr">
        <is>
          <t>1000</t>
        </is>
      </c>
      <c r="D1756" t="inlineStr">
        <is>
          <t>M3</t>
        </is>
      </c>
      <c r="E1756" t="n">
        <v>1000</v>
      </c>
      <c r="F1756" t="inlineStr">
        <is>
          <t>TN</t>
        </is>
      </c>
      <c r="G1756" t="n">
        <v>1300</v>
      </c>
      <c r="H1756" t="inlineStr">
        <is>
          <t>TEPETATE  CLASIFICADO-NG</t>
        </is>
      </c>
    </row>
    <row r="1757">
      <c r="A1757" t="n">
        <v>10214751</v>
      </c>
      <c r="B1757" t="inlineStr">
        <is>
          <t>ZFE3</t>
        </is>
      </c>
      <c r="C1757" t="inlineStr">
        <is>
          <t>1000</t>
        </is>
      </c>
      <c r="D1757" t="inlineStr">
        <is>
          <t>M3</t>
        </is>
      </c>
      <c r="E1757" t="n">
        <v>1000</v>
      </c>
      <c r="F1757" t="inlineStr">
        <is>
          <t>TN</t>
        </is>
      </c>
      <c r="G1757" t="n">
        <v>1300</v>
      </c>
      <c r="H1757" t="inlineStr">
        <is>
          <t>TEPETATE  NO CLASIFICADO-NG</t>
        </is>
      </c>
    </row>
    <row r="1758">
      <c r="A1758" t="n">
        <v>10214752</v>
      </c>
      <c r="B1758" t="inlineStr">
        <is>
          <t>ZFE3</t>
        </is>
      </c>
      <c r="C1758" t="inlineStr">
        <is>
          <t>1000</t>
        </is>
      </c>
      <c r="D1758" t="inlineStr">
        <is>
          <t>M3</t>
        </is>
      </c>
      <c r="E1758" t="n">
        <v>1000</v>
      </c>
      <c r="F1758" t="inlineStr">
        <is>
          <t>TN</t>
        </is>
      </c>
      <c r="G1758" t="n">
        <v>1490</v>
      </c>
      <c r="H1758" t="inlineStr">
        <is>
          <t>ARENA CLASIFICADA RÍO MALLA 4-TB</t>
        </is>
      </c>
    </row>
    <row r="1759">
      <c r="A1759" t="n">
        <v>10214810</v>
      </c>
      <c r="B1759" t="inlineStr">
        <is>
          <t>ZFE3</t>
        </is>
      </c>
      <c r="C1759" t="inlineStr">
        <is>
          <t>1000</t>
        </is>
      </c>
      <c r="D1759" t="inlineStr">
        <is>
          <t>M3</t>
        </is>
      </c>
      <c r="E1759" t="n">
        <v>1000</v>
      </c>
      <c r="F1759" t="inlineStr">
        <is>
          <t>TN</t>
        </is>
      </c>
      <c r="G1759" t="n">
        <v>1610</v>
      </c>
      <c r="H1759" t="inlineStr">
        <is>
          <t>ARENA RECICLADA NO.4 (RECLAS)</t>
        </is>
      </c>
    </row>
    <row r="1760">
      <c r="A1760" t="n">
        <v>10214811</v>
      </c>
      <c r="B1760" t="inlineStr">
        <is>
          <t>ZFE3</t>
        </is>
      </c>
      <c r="C1760" t="inlineStr">
        <is>
          <t>1000</t>
        </is>
      </c>
      <c r="D1760" t="inlineStr">
        <is>
          <t>M3</t>
        </is>
      </c>
      <c r="E1760" t="n">
        <v>1000</v>
      </c>
      <c r="F1760" t="inlineStr">
        <is>
          <t>TN</t>
        </is>
      </c>
      <c r="G1760" t="n">
        <v>1629</v>
      </c>
      <c r="H1760" t="inlineStr">
        <is>
          <t>ARENA RECICLADA NO.8 (RECLAS)</t>
        </is>
      </c>
    </row>
    <row r="1761">
      <c r="A1761" t="n">
        <v>10214812</v>
      </c>
      <c r="B1761" t="inlineStr">
        <is>
          <t>ZFE3</t>
        </is>
      </c>
      <c r="C1761" t="inlineStr">
        <is>
          <t>1000</t>
        </is>
      </c>
      <c r="D1761" t="inlineStr">
        <is>
          <t>M3</t>
        </is>
      </c>
      <c r="E1761" t="n">
        <v>1000</v>
      </c>
      <c r="F1761" t="inlineStr">
        <is>
          <t>TN</t>
        </is>
      </c>
      <c r="G1761" t="n">
        <v>1560</v>
      </c>
      <c r="H1761" t="inlineStr">
        <is>
          <t>GRAVA RECICLADA 1 ½# # 40 MM (RECLAS)</t>
        </is>
      </c>
    </row>
    <row r="1762">
      <c r="A1762" t="n">
        <v>10214880</v>
      </c>
      <c r="B1762" t="inlineStr">
        <is>
          <t>ZFE3</t>
        </is>
      </c>
      <c r="C1762" t="inlineStr">
        <is>
          <t>1000</t>
        </is>
      </c>
      <c r="D1762" t="inlineStr">
        <is>
          <t>M3</t>
        </is>
      </c>
      <c r="E1762" t="n">
        <v>1000</v>
      </c>
      <c r="F1762" t="inlineStr">
        <is>
          <t>TN</t>
        </is>
      </c>
      <c r="G1762" t="n">
        <v>1509</v>
      </c>
      <c r="H1762" t="inlineStr">
        <is>
          <t>ARENA ANDESITA MALLA 8-TB</t>
        </is>
      </c>
    </row>
    <row r="1763">
      <c r="A1763" t="n">
        <v>10214881</v>
      </c>
      <c r="B1763" t="inlineStr">
        <is>
          <t>ZFE3</t>
        </is>
      </c>
      <c r="C1763" t="inlineStr">
        <is>
          <t>1000</t>
        </is>
      </c>
      <c r="D1763" t="inlineStr">
        <is>
          <t>M3</t>
        </is>
      </c>
      <c r="E1763" t="n">
        <v>1000</v>
      </c>
      <c r="F1763" t="inlineStr">
        <is>
          <t>TN</t>
        </is>
      </c>
      <c r="G1763" t="n">
        <v>1431</v>
      </c>
      <c r="H1763" t="inlineStr">
        <is>
          <t>GRAVA 1# TIPO IDU</t>
        </is>
      </c>
    </row>
    <row r="1764">
      <c r="A1764" t="n">
        <v>10214882</v>
      </c>
      <c r="B1764" t="inlineStr">
        <is>
          <t>ZFE3</t>
        </is>
      </c>
      <c r="C1764" t="inlineStr">
        <is>
          <t>1000</t>
        </is>
      </c>
      <c r="D1764" t="inlineStr">
        <is>
          <t>M3</t>
        </is>
      </c>
      <c r="E1764" t="n">
        <v>1000</v>
      </c>
      <c r="F1764" t="inlineStr">
        <is>
          <t>TN</t>
        </is>
      </c>
      <c r="G1764" t="n">
        <v>1471</v>
      </c>
      <c r="H1764" t="inlineStr">
        <is>
          <t>GRAVA ½# TIPO IDU</t>
        </is>
      </c>
    </row>
    <row r="1765">
      <c r="A1765" t="n">
        <v>10214980</v>
      </c>
      <c r="B1765" t="inlineStr">
        <is>
          <t>ZFE3</t>
        </is>
      </c>
      <c r="C1765" t="inlineStr">
        <is>
          <t>1000</t>
        </is>
      </c>
      <c r="D1765" t="inlineStr">
        <is>
          <t>M3</t>
        </is>
      </c>
      <c r="E1765" t="n">
        <v>1000</v>
      </c>
      <c r="F1765" t="inlineStr">
        <is>
          <t>TN</t>
        </is>
      </c>
      <c r="G1765" t="n">
        <v>1425</v>
      </c>
      <c r="H1765" t="inlineStr">
        <is>
          <t>GRAVA TRITURADA BASALTO 40 MM - 1 1/2"</t>
        </is>
      </c>
    </row>
    <row r="1766">
      <c r="A1766" t="n">
        <v>10214981</v>
      </c>
      <c r="B1766" t="inlineStr">
        <is>
          <t>ZFE3</t>
        </is>
      </c>
      <c r="C1766" t="inlineStr">
        <is>
          <t>1000</t>
        </is>
      </c>
      <c r="D1766" t="inlineStr">
        <is>
          <t>M3</t>
        </is>
      </c>
      <c r="E1766" t="n">
        <v>1000</v>
      </c>
      <c r="F1766" t="inlineStr">
        <is>
          <t>TN</t>
        </is>
      </c>
      <c r="G1766" t="n">
        <v>1439</v>
      </c>
      <c r="H1766" t="inlineStr">
        <is>
          <t>GRAVA TRITURADA BASALTO 20 MM - 3/4"</t>
        </is>
      </c>
    </row>
    <row r="1767">
      <c r="A1767" t="n">
        <v>10214985</v>
      </c>
      <c r="B1767" t="inlineStr">
        <is>
          <t>ZFE3</t>
        </is>
      </c>
      <c r="C1767" t="inlineStr">
        <is>
          <t>1000</t>
        </is>
      </c>
      <c r="D1767" t="inlineStr">
        <is>
          <t>M3</t>
        </is>
      </c>
      <c r="E1767" t="n">
        <v>1000</v>
      </c>
      <c r="F1767" t="inlineStr">
        <is>
          <t>TN</t>
        </is>
      </c>
      <c r="G1767" t="n">
        <v>1300</v>
      </c>
      <c r="H1767" t="inlineStr">
        <is>
          <t>ARENA CLASIFICADA RÍO MALLA 4</t>
        </is>
      </c>
    </row>
    <row r="1768">
      <c r="A1768" t="n">
        <v>10215074</v>
      </c>
      <c r="B1768" t="inlineStr">
        <is>
          <t>ZFE3</t>
        </is>
      </c>
      <c r="C1768" t="inlineStr">
        <is>
          <t>1000</t>
        </is>
      </c>
      <c r="D1768" t="inlineStr">
        <is>
          <t>M3</t>
        </is>
      </c>
      <c r="E1768" t="n">
        <v>1000</v>
      </c>
      <c r="F1768" t="inlineStr">
        <is>
          <t>TN</t>
        </is>
      </c>
      <c r="G1768" t="n">
        <v>1300</v>
      </c>
      <c r="H1768" t="inlineStr">
        <is>
          <t>TEZONTLE 3"</t>
        </is>
      </c>
    </row>
    <row r="1769">
      <c r="A1769" t="n">
        <v>10215377</v>
      </c>
      <c r="B1769" t="inlineStr">
        <is>
          <t>ZFE3</t>
        </is>
      </c>
      <c r="C1769" t="inlineStr">
        <is>
          <t>1000</t>
        </is>
      </c>
      <c r="D1769" t="inlineStr">
        <is>
          <t>M3</t>
        </is>
      </c>
      <c r="E1769" t="n">
        <v>1000</v>
      </c>
      <c r="F1769" t="inlineStr">
        <is>
          <t>TN</t>
        </is>
      </c>
      <c r="G1769" t="n">
        <v>1463</v>
      </c>
      <c r="H1769" t="inlineStr">
        <is>
          <t>ARENA CLASIFICADA RÍO MALLA 4 TIPO 2</t>
        </is>
      </c>
    </row>
    <row r="1770">
      <c r="A1770" t="n">
        <v>10215511</v>
      </c>
      <c r="B1770" t="inlineStr">
        <is>
          <t>ZFE3</t>
        </is>
      </c>
      <c r="C1770" t="inlineStr">
        <is>
          <t>1000</t>
        </is>
      </c>
      <c r="D1770" t="inlineStr">
        <is>
          <t>M3</t>
        </is>
      </c>
      <c r="E1770" t="n">
        <v>1000</v>
      </c>
      <c r="F1770" t="inlineStr">
        <is>
          <t>TN</t>
        </is>
      </c>
      <c r="G1770" t="n">
        <v>1170</v>
      </c>
      <c r="H1770" t="inlineStr">
        <is>
          <t>ARENA TRITURADA  DE RIO MALLA 4</t>
        </is>
      </c>
    </row>
    <row r="1771">
      <c r="A1771" t="n">
        <v>10215514</v>
      </c>
      <c r="B1771" t="inlineStr">
        <is>
          <t>ZFE3</t>
        </is>
      </c>
      <c r="C1771" t="inlineStr">
        <is>
          <t>1000</t>
        </is>
      </c>
      <c r="D1771" t="inlineStr">
        <is>
          <t>M3</t>
        </is>
      </c>
      <c r="E1771" t="n">
        <v>1000</v>
      </c>
      <c r="F1771" t="inlineStr">
        <is>
          <t>TN</t>
        </is>
      </c>
      <c r="G1771" t="n">
        <v>1570</v>
      </c>
      <c r="H1771" t="inlineStr">
        <is>
          <t>ARENA TRITURADA CALIZA MALLA 5</t>
        </is>
      </c>
    </row>
    <row r="1772">
      <c r="A1772" t="n">
        <v>10215515</v>
      </c>
      <c r="B1772" t="inlineStr">
        <is>
          <t>ZFE3</t>
        </is>
      </c>
      <c r="C1772" t="inlineStr">
        <is>
          <t>1000</t>
        </is>
      </c>
      <c r="D1772" t="inlineStr">
        <is>
          <t>M3</t>
        </is>
      </c>
      <c r="E1772" t="n">
        <v>1000</v>
      </c>
      <c r="F1772" t="inlineStr">
        <is>
          <t>TN</t>
        </is>
      </c>
      <c r="G1772" t="n">
        <v>1430</v>
      </c>
      <c r="H1772" t="inlineStr">
        <is>
          <t>GRAVA TRITURADA CALIZA 20 MM - 3/4"</t>
        </is>
      </c>
    </row>
    <row r="1773">
      <c r="A1773" t="n">
        <v>10215516</v>
      </c>
      <c r="B1773" t="inlineStr">
        <is>
          <t>ZFE3</t>
        </is>
      </c>
      <c r="C1773" t="inlineStr">
        <is>
          <t>1000</t>
        </is>
      </c>
      <c r="D1773" t="inlineStr">
        <is>
          <t>M3</t>
        </is>
      </c>
      <c r="E1773" t="n">
        <v>1000</v>
      </c>
      <c r="F1773" t="inlineStr">
        <is>
          <t>TN</t>
        </is>
      </c>
      <c r="G1773" t="n">
        <v>1400</v>
      </c>
      <c r="H1773" t="inlineStr">
        <is>
          <t>GRAVA TRITURADA CALIZA 40 MM - 1 1/2"</t>
        </is>
      </c>
    </row>
    <row r="1774">
      <c r="A1774" t="n">
        <v>10215517</v>
      </c>
      <c r="B1774" t="inlineStr">
        <is>
          <t>ZFE3</t>
        </is>
      </c>
      <c r="C1774" t="inlineStr">
        <is>
          <t>1000</t>
        </is>
      </c>
      <c r="D1774" t="inlineStr">
        <is>
          <t>M3</t>
        </is>
      </c>
      <c r="E1774" t="n">
        <v>1000</v>
      </c>
      <c r="F1774" t="inlineStr">
        <is>
          <t>TN</t>
        </is>
      </c>
      <c r="G1774" t="n">
        <v>1440</v>
      </c>
      <c r="H1774" t="inlineStr">
        <is>
          <t>GRAVA TRITURADA CALIZA 10 MM - 3/8"</t>
        </is>
      </c>
    </row>
    <row r="1775">
      <c r="A1775" t="n">
        <v>10215518</v>
      </c>
      <c r="B1775" t="inlineStr">
        <is>
          <t>ZFE3</t>
        </is>
      </c>
      <c r="C1775" t="inlineStr">
        <is>
          <t>1000</t>
        </is>
      </c>
      <c r="D1775" t="inlineStr">
        <is>
          <t>M3</t>
        </is>
      </c>
      <c r="E1775" t="n">
        <v>1000</v>
      </c>
      <c r="F1775" t="inlineStr">
        <is>
          <t>TN</t>
        </is>
      </c>
      <c r="G1775" t="n">
        <v>1369</v>
      </c>
      <c r="H1775" t="inlineStr">
        <is>
          <t>ARENA CLASIFICADA RÍO MALLA 4</t>
        </is>
      </c>
    </row>
    <row r="1776">
      <c r="A1776" t="n">
        <v>10215612</v>
      </c>
      <c r="B1776" t="inlineStr">
        <is>
          <t>ZFE3</t>
        </is>
      </c>
      <c r="C1776" t="inlineStr">
        <is>
          <t>1000</t>
        </is>
      </c>
      <c r="D1776" t="inlineStr">
        <is>
          <t>M3</t>
        </is>
      </c>
      <c r="E1776" t="n">
        <v>1000</v>
      </c>
      <c r="F1776" t="inlineStr">
        <is>
          <t>TN</t>
        </is>
      </c>
      <c r="G1776" t="n">
        <v>1709</v>
      </c>
      <c r="H1776" t="inlineStr">
        <is>
          <t>ARENA PROCOPAL -SINIFANA - PLANTA MEDELL</t>
        </is>
      </c>
    </row>
    <row r="1777">
      <c r="A1777" t="n">
        <v>10215613</v>
      </c>
      <c r="B1777" t="inlineStr">
        <is>
          <t>ZFE3</t>
        </is>
      </c>
      <c r="C1777" t="inlineStr">
        <is>
          <t>1000</t>
        </is>
      </c>
      <c r="D1777" t="inlineStr">
        <is>
          <t>M3</t>
        </is>
      </c>
      <c r="E1777" t="n">
        <v>1000</v>
      </c>
      <c r="F1777" t="inlineStr">
        <is>
          <t>TN</t>
        </is>
      </c>
      <c r="G1777" t="n">
        <v>1639</v>
      </c>
      <c r="H1777" t="inlineStr">
        <is>
          <t>GRAVA 1" PROCOPAL-SINIFANA - PLANTA MEDE</t>
        </is>
      </c>
    </row>
    <row r="1778">
      <c r="A1778" t="n">
        <v>10215640</v>
      </c>
      <c r="B1778" t="inlineStr">
        <is>
          <t>ZFE3</t>
        </is>
      </c>
      <c r="C1778" t="inlineStr">
        <is>
          <t>1000</t>
        </is>
      </c>
      <c r="D1778" t="inlineStr">
        <is>
          <t>M3</t>
        </is>
      </c>
      <c r="E1778" t="n">
        <v>1000</v>
      </c>
      <c r="F1778" t="inlineStr">
        <is>
          <t>TN</t>
        </is>
      </c>
      <c r="G1778" t="n">
        <v>1529</v>
      </c>
      <c r="H1778" t="inlineStr">
        <is>
          <t>GRAVA 1/2" POBLANCO PEP LA ESTRELLA</t>
        </is>
      </c>
    </row>
    <row r="1779">
      <c r="A1779" t="n">
        <v>10215647</v>
      </c>
      <c r="B1779" t="inlineStr">
        <is>
          <t>ZFE3</t>
        </is>
      </c>
      <c r="C1779" t="inlineStr">
        <is>
          <t>1000</t>
        </is>
      </c>
      <c r="D1779" t="inlineStr">
        <is>
          <t>M3</t>
        </is>
      </c>
      <c r="E1779" t="n">
        <v>1000</v>
      </c>
      <c r="F1779" t="inlineStr">
        <is>
          <t>TN</t>
        </is>
      </c>
      <c r="G1779" t="n">
        <v>1572</v>
      </c>
      <c r="H1779" t="inlineStr">
        <is>
          <t>GRAVA ½" PROCOPAL-SINIFANA - PLANTA MEDE</t>
        </is>
      </c>
    </row>
    <row r="1780">
      <c r="A1780" t="n">
        <v>10215648</v>
      </c>
      <c r="B1780" t="inlineStr">
        <is>
          <t>ZFE3</t>
        </is>
      </c>
      <c r="C1780" t="inlineStr">
        <is>
          <t>1000</t>
        </is>
      </c>
      <c r="D1780" t="inlineStr">
        <is>
          <t>M3</t>
        </is>
      </c>
      <c r="E1780" t="n">
        <v>1000</v>
      </c>
      <c r="F1780" t="inlineStr">
        <is>
          <t>TN</t>
        </is>
      </c>
      <c r="G1780" t="n">
        <v>1572</v>
      </c>
      <c r="H1780" t="inlineStr">
        <is>
          <t>GRAVA ½" PROCOPAL-SINIFANA - PLANTA BELL</t>
        </is>
      </c>
    </row>
    <row r="1781">
      <c r="A1781" t="n">
        <v>10215701</v>
      </c>
      <c r="B1781" t="inlineStr">
        <is>
          <t>ZFE3</t>
        </is>
      </c>
      <c r="C1781" t="inlineStr">
        <is>
          <t>1000</t>
        </is>
      </c>
      <c r="D1781" t="inlineStr">
        <is>
          <t>M3</t>
        </is>
      </c>
      <c r="E1781" t="n">
        <v>1000</v>
      </c>
      <c r="F1781" t="inlineStr">
        <is>
          <t>TN</t>
        </is>
      </c>
      <c r="G1781" t="n">
        <v>1709</v>
      </c>
      <c r="H1781" t="inlineStr">
        <is>
          <t>ARENA PROCOPAL -SINIFANA - PLANTA BELLO</t>
        </is>
      </c>
    </row>
    <row r="1782">
      <c r="A1782" t="n">
        <v>10215702</v>
      </c>
      <c r="B1782" t="inlineStr">
        <is>
          <t>ZFE3</t>
        </is>
      </c>
      <c r="C1782" t="inlineStr">
        <is>
          <t>1000</t>
        </is>
      </c>
      <c r="D1782" t="inlineStr">
        <is>
          <t>M3</t>
        </is>
      </c>
      <c r="E1782" t="n">
        <v>1000</v>
      </c>
      <c r="F1782" t="inlineStr">
        <is>
          <t>TN</t>
        </is>
      </c>
      <c r="G1782" t="n">
        <v>1639</v>
      </c>
      <c r="H1782" t="inlineStr">
        <is>
          <t>GRAVA 1" PROCOPAL-SINIFANA - PLANTA BELL</t>
        </is>
      </c>
    </row>
    <row r="1783">
      <c r="A1783" t="n">
        <v>10215847</v>
      </c>
      <c r="B1783" t="inlineStr">
        <is>
          <t>ZFE3</t>
        </is>
      </c>
      <c r="C1783" t="inlineStr">
        <is>
          <t>1000</t>
        </is>
      </c>
      <c r="D1783" t="inlineStr">
        <is>
          <t>M3</t>
        </is>
      </c>
      <c r="E1783" t="n">
        <v>1000</v>
      </c>
      <c r="F1783" t="inlineStr">
        <is>
          <t>TN</t>
        </is>
      </c>
      <c r="G1783" t="n">
        <v>1425</v>
      </c>
      <c r="H1783" t="inlineStr">
        <is>
          <t>ARENA CALIZA TRITURADA MALLA 4</t>
        </is>
      </c>
    </row>
    <row r="1784">
      <c r="A1784" t="n">
        <v>10215848</v>
      </c>
      <c r="B1784" t="inlineStr">
        <is>
          <t>ZFE3</t>
        </is>
      </c>
      <c r="C1784" t="inlineStr">
        <is>
          <t>1000</t>
        </is>
      </c>
      <c r="D1784" t="inlineStr">
        <is>
          <t>M3</t>
        </is>
      </c>
      <c r="E1784" t="n">
        <v>1000</v>
      </c>
      <c r="F1784" t="inlineStr">
        <is>
          <t>TN</t>
        </is>
      </c>
      <c r="G1784" t="n">
        <v>1639</v>
      </c>
      <c r="H1784" t="inlineStr">
        <is>
          <t>GRAVA 1" EXERGETICA-AGRIS</t>
        </is>
      </c>
    </row>
    <row r="1785">
      <c r="A1785" t="n">
        <v>10215867</v>
      </c>
      <c r="B1785" t="inlineStr">
        <is>
          <t>ZFE3</t>
        </is>
      </c>
      <c r="C1785" t="inlineStr">
        <is>
          <t>1000</t>
        </is>
      </c>
      <c r="D1785" t="inlineStr">
        <is>
          <t>M3</t>
        </is>
      </c>
      <c r="E1785" t="n">
        <v>1000</v>
      </c>
      <c r="F1785" t="inlineStr">
        <is>
          <t>TN</t>
        </is>
      </c>
      <c r="G1785" t="n">
        <v>1302</v>
      </c>
      <c r="H1785" t="inlineStr">
        <is>
          <t>PIEDRA NO.6 (3/4 - 3/8") CP</t>
        </is>
      </c>
    </row>
    <row r="1786">
      <c r="A1786" t="n">
        <v>10215930</v>
      </c>
      <c r="B1786" t="inlineStr">
        <is>
          <t>ZFE3</t>
        </is>
      </c>
      <c r="C1786" t="inlineStr">
        <is>
          <t>1000</t>
        </is>
      </c>
      <c r="D1786" t="inlineStr">
        <is>
          <t>M3</t>
        </is>
      </c>
      <c r="E1786" t="n">
        <v>1000</v>
      </c>
      <c r="F1786" t="inlineStr">
        <is>
          <t>TN</t>
        </is>
      </c>
      <c r="G1786" t="n">
        <v>1249</v>
      </c>
      <c r="H1786" t="inlineStr">
        <is>
          <t>BASE HIDRAÚLICA NG</t>
        </is>
      </c>
    </row>
    <row r="1787">
      <c r="A1787" t="n">
        <v>10215960</v>
      </c>
      <c r="B1787" t="inlineStr">
        <is>
          <t>ZFE3</t>
        </is>
      </c>
      <c r="C1787" t="inlineStr">
        <is>
          <t>1000</t>
        </is>
      </c>
      <c r="D1787" t="inlineStr">
        <is>
          <t>M3</t>
        </is>
      </c>
      <c r="E1787" t="n">
        <v>1000</v>
      </c>
      <c r="F1787" t="inlineStr">
        <is>
          <t>TN</t>
        </is>
      </c>
      <c r="G1787" t="n">
        <v>1639</v>
      </c>
      <c r="H1787" t="inlineStr">
        <is>
          <t>GRAVA ALUVIAL DE 1" PEÑALISA</t>
        </is>
      </c>
    </row>
    <row r="1788">
      <c r="A1788" t="n">
        <v>10215961</v>
      </c>
      <c r="B1788" t="inlineStr">
        <is>
          <t>ZFE3</t>
        </is>
      </c>
      <c r="C1788" t="inlineStr">
        <is>
          <t>1000</t>
        </is>
      </c>
      <c r="D1788" t="inlineStr">
        <is>
          <t>M3</t>
        </is>
      </c>
      <c r="E1788" t="n">
        <v>1000</v>
      </c>
      <c r="F1788" t="inlineStr">
        <is>
          <t>TN</t>
        </is>
      </c>
      <c r="G1788" t="n">
        <v>1709</v>
      </c>
      <c r="H1788" t="inlineStr">
        <is>
          <t>ARENA DE RIO GRUESA PEÑALISA</t>
        </is>
      </c>
    </row>
    <row r="1789">
      <c r="A1789" t="n">
        <v>10215962</v>
      </c>
      <c r="B1789" t="inlineStr">
        <is>
          <t>ZFE3</t>
        </is>
      </c>
      <c r="C1789" t="inlineStr">
        <is>
          <t>1000</t>
        </is>
      </c>
      <c r="D1789" t="inlineStr">
        <is>
          <t>M3</t>
        </is>
      </c>
      <c r="E1789" t="n">
        <v>1000</v>
      </c>
      <c r="F1789" t="inlineStr">
        <is>
          <t>TN</t>
        </is>
      </c>
      <c r="G1789" t="n">
        <v>1480</v>
      </c>
      <c r="H1789" t="inlineStr">
        <is>
          <t>GRAVA 1/2" EL CONDOR- SAN JAVIER</t>
        </is>
      </c>
    </row>
    <row r="1790">
      <c r="A1790" t="n">
        <v>10215963</v>
      </c>
      <c r="B1790" t="inlineStr">
        <is>
          <t>ZFE3</t>
        </is>
      </c>
      <c r="C1790" t="inlineStr">
        <is>
          <t>1000</t>
        </is>
      </c>
      <c r="D1790" t="inlineStr">
        <is>
          <t>M3</t>
        </is>
      </c>
      <c r="E1790" t="n">
        <v>1000</v>
      </c>
      <c r="F1790" t="inlineStr">
        <is>
          <t>TN</t>
        </is>
      </c>
      <c r="G1790" t="n">
        <v>1572</v>
      </c>
      <c r="H1790" t="inlineStr">
        <is>
          <t>GRAVA DE RIO DE 1/2" PEÑALISA</t>
        </is>
      </c>
    </row>
    <row r="1791">
      <c r="A1791" t="n">
        <v>10215964</v>
      </c>
      <c r="B1791" t="inlineStr">
        <is>
          <t>ZFE3</t>
        </is>
      </c>
      <c r="C1791" t="inlineStr">
        <is>
          <t>1000</t>
        </is>
      </c>
      <c r="D1791" t="inlineStr">
        <is>
          <t>M3</t>
        </is>
      </c>
      <c r="E1791" t="n">
        <v>1000</v>
      </c>
      <c r="F1791" t="inlineStr">
        <is>
          <t>TN</t>
        </is>
      </c>
      <c r="G1791" t="n">
        <v>1715</v>
      </c>
      <c r="H1791" t="inlineStr">
        <is>
          <t>ARENA EL CONDOR- SAN JAVIER</t>
        </is>
      </c>
    </row>
    <row r="1792">
      <c r="A1792" t="n">
        <v>10215968</v>
      </c>
      <c r="B1792" t="inlineStr">
        <is>
          <t>ZFE3</t>
        </is>
      </c>
      <c r="C1792" t="inlineStr">
        <is>
          <t>1000</t>
        </is>
      </c>
      <c r="D1792" t="inlineStr">
        <is>
          <t>M3</t>
        </is>
      </c>
      <c r="E1792" t="n">
        <v>1000</v>
      </c>
      <c r="F1792" t="inlineStr">
        <is>
          <t>TN</t>
        </is>
      </c>
      <c r="G1792" t="n">
        <v>1658</v>
      </c>
      <c r="H1792" t="inlineStr">
        <is>
          <t>ARENA TRITURADA CALIZA MALLA 5</t>
        </is>
      </c>
    </row>
    <row r="1793">
      <c r="A1793" t="n">
        <v>10216061</v>
      </c>
      <c r="B1793" t="inlineStr">
        <is>
          <t>ZFE3</t>
        </is>
      </c>
      <c r="C1793" t="inlineStr">
        <is>
          <t>1000</t>
        </is>
      </c>
      <c r="D1793" t="inlineStr">
        <is>
          <t>M3</t>
        </is>
      </c>
      <c r="E1793" t="n">
        <v>1000</v>
      </c>
      <c r="F1793" t="inlineStr">
        <is>
          <t>TN</t>
        </is>
      </c>
      <c r="G1793" t="n">
        <v>1350</v>
      </c>
      <c r="H1793" t="inlineStr">
        <is>
          <t>ARENA CRIBADA VOLCANICA MALLA 4</t>
        </is>
      </c>
    </row>
    <row r="1794">
      <c r="A1794" t="n">
        <v>10216296</v>
      </c>
      <c r="B1794" t="inlineStr">
        <is>
          <t>ZFE3</t>
        </is>
      </c>
      <c r="C1794" t="inlineStr">
        <is>
          <t>1000</t>
        </is>
      </c>
      <c r="D1794" t="inlineStr">
        <is>
          <t>M3</t>
        </is>
      </c>
      <c r="E1794" t="n">
        <v>1000</v>
      </c>
      <c r="F1794" t="inlineStr">
        <is>
          <t>TN</t>
        </is>
      </c>
      <c r="G1794" t="n">
        <v>1600</v>
      </c>
      <c r="H1794" t="inlineStr">
        <is>
          <t>ARENA DE RIO GRUESA PAVIMENTAR</t>
        </is>
      </c>
    </row>
    <row r="1795">
      <c r="A1795" t="n">
        <v>10216474</v>
      </c>
      <c r="B1795" t="inlineStr">
        <is>
          <t>ZFE3</t>
        </is>
      </c>
      <c r="C1795" t="inlineStr">
        <is>
          <t>1000</t>
        </is>
      </c>
      <c r="D1795" t="inlineStr">
        <is>
          <t>M3</t>
        </is>
      </c>
      <c r="E1795" t="n">
        <v>1000</v>
      </c>
      <c r="F1795" t="inlineStr">
        <is>
          <t>TN</t>
        </is>
      </c>
      <c r="G1795" t="n">
        <v>1290</v>
      </c>
      <c r="H1795" t="inlineStr">
        <is>
          <t>ARENA CLASIFICADA ANDESITA MALLA 4</t>
        </is>
      </c>
    </row>
    <row r="1796">
      <c r="A1796" t="n">
        <v>10216543</v>
      </c>
      <c r="B1796" t="inlineStr">
        <is>
          <t>ZFE3</t>
        </is>
      </c>
      <c r="C1796" t="inlineStr">
        <is>
          <t>1000</t>
        </is>
      </c>
      <c r="D1796" t="inlineStr">
        <is>
          <t>M3</t>
        </is>
      </c>
      <c r="E1796" t="n">
        <v>1000</v>
      </c>
      <c r="F1796" t="inlineStr">
        <is>
          <t>TN</t>
        </is>
      </c>
      <c r="G1796" t="n">
        <v>1350</v>
      </c>
      <c r="H1796" t="inlineStr">
        <is>
          <t>GRAVA TRITURADA MARMOL 3/4"</t>
        </is>
      </c>
    </row>
    <row r="1797">
      <c r="A1797" t="n">
        <v>10216844</v>
      </c>
      <c r="B1797" t="inlineStr">
        <is>
          <t>ZFE3</t>
        </is>
      </c>
      <c r="C1797" t="inlineStr">
        <is>
          <t>1000</t>
        </is>
      </c>
      <c r="D1797" t="inlineStr">
        <is>
          <t>M3</t>
        </is>
      </c>
      <c r="E1797" t="n">
        <v>1000</v>
      </c>
      <c r="F1797" t="inlineStr">
        <is>
          <t>TN</t>
        </is>
      </c>
      <c r="G1797" t="n">
        <v>1610</v>
      </c>
      <c r="H1797" t="inlineStr">
        <is>
          <t>ARENA TRITURADA MARMOL MALLA 4</t>
        </is>
      </c>
    </row>
    <row r="1798">
      <c r="A1798" t="n">
        <v>10216851</v>
      </c>
      <c r="B1798" t="inlineStr">
        <is>
          <t>ZFE3</t>
        </is>
      </c>
      <c r="C1798" t="inlineStr">
        <is>
          <t>1000</t>
        </is>
      </c>
      <c r="D1798" t="inlineStr">
        <is>
          <t>M3</t>
        </is>
      </c>
      <c r="E1798" t="n">
        <v>1000</v>
      </c>
      <c r="F1798" t="inlineStr">
        <is>
          <t>TN</t>
        </is>
      </c>
      <c r="G1798" t="n">
        <v>1249</v>
      </c>
      <c r="H1798" t="inlineStr">
        <is>
          <t>BASE HIDRAÚLICA - TEPETATE NG</t>
        </is>
      </c>
    </row>
    <row r="1799">
      <c r="A1799" t="n">
        <v>10216858</v>
      </c>
      <c r="B1799" t="inlineStr">
        <is>
          <t>ZFE3</t>
        </is>
      </c>
      <c r="C1799" t="inlineStr">
        <is>
          <t>1000</t>
        </is>
      </c>
      <c r="D1799" t="inlineStr">
        <is>
          <t>M3</t>
        </is>
      </c>
      <c r="E1799" t="n">
        <v>1000</v>
      </c>
      <c r="F1799" t="inlineStr">
        <is>
          <t>TN</t>
        </is>
      </c>
      <c r="G1799" t="n">
        <v>1612</v>
      </c>
      <c r="H1799" t="inlineStr">
        <is>
          <t>ARENA SIN LAVAR EL CHOCHO</t>
        </is>
      </c>
    </row>
    <row r="1800">
      <c r="A1800" t="n">
        <v>10217267</v>
      </c>
      <c r="B1800" t="inlineStr">
        <is>
          <t>ZFE3</t>
        </is>
      </c>
      <c r="C1800" t="inlineStr">
        <is>
          <t>1000</t>
        </is>
      </c>
      <c r="D1800" t="inlineStr">
        <is>
          <t>M3</t>
        </is>
      </c>
      <c r="E1800" t="n">
        <v>1000</v>
      </c>
      <c r="F1800" t="inlineStr">
        <is>
          <t>TN</t>
        </is>
      </c>
      <c r="G1800" t="n">
        <v>1709</v>
      </c>
      <c r="H1800" t="inlineStr">
        <is>
          <t>ARENA PROCOPAL-SINIFANA DT-P MEDELLIN</t>
        </is>
      </c>
    </row>
    <row r="1801">
      <c r="A1801" t="n">
        <v>10217268</v>
      </c>
      <c r="B1801" t="inlineStr">
        <is>
          <t>ZFE3</t>
        </is>
      </c>
      <c r="C1801" t="inlineStr">
        <is>
          <t>1000</t>
        </is>
      </c>
      <c r="D1801" t="inlineStr">
        <is>
          <t>M3</t>
        </is>
      </c>
      <c r="E1801" t="n">
        <v>1000</v>
      </c>
      <c r="F1801" t="inlineStr">
        <is>
          <t>TN</t>
        </is>
      </c>
      <c r="G1801" t="n">
        <v>1639</v>
      </c>
      <c r="H1801" t="inlineStr">
        <is>
          <t>GRAVA 1" PROCOPAL-SINIFANA DT-P MEDELLIN</t>
        </is>
      </c>
    </row>
    <row r="1802">
      <c r="A1802" t="n">
        <v>10217514</v>
      </c>
      <c r="B1802" t="inlineStr">
        <is>
          <t>ZFE3</t>
        </is>
      </c>
      <c r="C1802" t="inlineStr">
        <is>
          <t>1000</t>
        </is>
      </c>
      <c r="D1802" t="inlineStr">
        <is>
          <t>M3</t>
        </is>
      </c>
      <c r="E1802" t="n">
        <v>1000</v>
      </c>
      <c r="F1802" t="inlineStr">
        <is>
          <t>TN</t>
        </is>
      </c>
      <c r="G1802" t="n">
        <v>1500</v>
      </c>
      <c r="H1802" t="inlineStr">
        <is>
          <t>ECOBASE</t>
        </is>
      </c>
    </row>
    <row r="1803">
      <c r="A1803" t="n">
        <v>10217522</v>
      </c>
      <c r="B1803" t="inlineStr">
        <is>
          <t>ZFE3</t>
        </is>
      </c>
      <c r="C1803" t="inlineStr">
        <is>
          <t>1000</t>
        </is>
      </c>
      <c r="D1803" t="inlineStr">
        <is>
          <t>M3</t>
        </is>
      </c>
      <c r="E1803" t="n">
        <v>1000</v>
      </c>
      <c r="F1803" t="inlineStr">
        <is>
          <t>TN</t>
        </is>
      </c>
      <c r="G1803" t="n">
        <v>1572</v>
      </c>
      <c r="H1803" t="inlineStr">
        <is>
          <t>GRAVA 1/2" PROCOPAL-SINIFANA - PLANTA ME</t>
        </is>
      </c>
    </row>
    <row r="1804">
      <c r="A1804" t="n">
        <v>10217649</v>
      </c>
      <c r="B1804" t="inlineStr">
        <is>
          <t>ZFE3</t>
        </is>
      </c>
      <c r="C1804" t="inlineStr">
        <is>
          <t>1000</t>
        </is>
      </c>
      <c r="D1804" t="inlineStr">
        <is>
          <t>M3</t>
        </is>
      </c>
      <c r="E1804" t="n">
        <v>1000</v>
      </c>
      <c r="F1804" t="inlineStr">
        <is>
          <t>TN</t>
        </is>
      </c>
      <c r="G1804" t="n">
        <v>1300</v>
      </c>
      <c r="H1804" t="inlineStr">
        <is>
          <t>PIEDRA BRAZA NG</t>
        </is>
      </c>
    </row>
    <row r="1805">
      <c r="A1805" t="n">
        <v>10217663</v>
      </c>
      <c r="B1805" t="inlineStr">
        <is>
          <t>ZFE3</t>
        </is>
      </c>
      <c r="C1805" t="inlineStr">
        <is>
          <t>1000</t>
        </is>
      </c>
      <c r="D1805" t="inlineStr">
        <is>
          <t>M3</t>
        </is>
      </c>
      <c r="E1805" t="n">
        <v>1000</v>
      </c>
      <c r="F1805" t="inlineStr">
        <is>
          <t>TN</t>
        </is>
      </c>
      <c r="G1805" t="n">
        <v>1456</v>
      </c>
      <c r="H1805" t="inlineStr">
        <is>
          <t>ARENA CLASIFICADA RÍO MALLA 4 -TABASCO</t>
        </is>
      </c>
    </row>
    <row r="1806">
      <c r="A1806" t="n">
        <v>10217664</v>
      </c>
      <c r="B1806" t="inlineStr">
        <is>
          <t>ZFE3</t>
        </is>
      </c>
      <c r="C1806" t="inlineStr">
        <is>
          <t>1000</t>
        </is>
      </c>
      <c r="D1806" t="inlineStr">
        <is>
          <t>M3</t>
        </is>
      </c>
      <c r="E1806" t="n">
        <v>1000</v>
      </c>
      <c r="F1806" t="inlineStr">
        <is>
          <t>TN</t>
        </is>
      </c>
      <c r="G1806" t="n">
        <v>1391</v>
      </c>
      <c r="H1806" t="inlineStr">
        <is>
          <t>GRAVA TRITURADA CALIZA 20 MM - 3/4-SG</t>
        </is>
      </c>
    </row>
    <row r="1807">
      <c r="A1807" t="n">
        <v>10217668</v>
      </c>
      <c r="B1807" t="inlineStr">
        <is>
          <t>ZFE3</t>
        </is>
      </c>
      <c r="C1807" t="inlineStr">
        <is>
          <t>1000</t>
        </is>
      </c>
      <c r="D1807" t="inlineStr">
        <is>
          <t>M3</t>
        </is>
      </c>
      <c r="E1807" t="n">
        <v>1000</v>
      </c>
      <c r="F1807" t="inlineStr">
        <is>
          <t>TN</t>
        </is>
      </c>
      <c r="G1807" t="n">
        <v>1602</v>
      </c>
      <c r="H1807" t="inlineStr">
        <is>
          <t>ARENA ALUVIAL AGG GUAYURIBA - CARBONERO</t>
        </is>
      </c>
    </row>
    <row r="1808">
      <c r="A1808" t="n">
        <v>10217724</v>
      </c>
      <c r="B1808" t="inlineStr">
        <is>
          <t>ZFE3</t>
        </is>
      </c>
      <c r="C1808" t="inlineStr">
        <is>
          <t>1000</t>
        </is>
      </c>
      <c r="D1808" t="inlineStr">
        <is>
          <t>M3</t>
        </is>
      </c>
      <c r="E1808" t="n">
        <v>1000</v>
      </c>
      <c r="F1808" t="inlineStr">
        <is>
          <t>TN</t>
        </is>
      </c>
      <c r="G1808" t="n">
        <v>1219</v>
      </c>
      <c r="H1808" t="inlineStr">
        <is>
          <t>GRAVA TRITURADA CALIZA 10MM -3/8</t>
        </is>
      </c>
    </row>
    <row r="1809">
      <c r="A1809" t="n">
        <v>10218000</v>
      </c>
      <c r="B1809" t="inlineStr">
        <is>
          <t>ZFE3</t>
        </is>
      </c>
      <c r="C1809" t="inlineStr">
        <is>
          <t>1000</t>
        </is>
      </c>
      <c r="D1809" t="inlineStr">
        <is>
          <t>M3</t>
        </is>
      </c>
      <c r="E1809" t="n">
        <v>1000</v>
      </c>
      <c r="F1809" t="inlineStr">
        <is>
          <t>TN</t>
        </is>
      </c>
      <c r="G1809" t="n">
        <v>1350</v>
      </c>
      <c r="H1809" t="inlineStr">
        <is>
          <t>PIEDRA MAMPOSTERIA NG</t>
        </is>
      </c>
    </row>
    <row r="1810">
      <c r="A1810" t="n">
        <v>10218001</v>
      </c>
      <c r="B1810" t="inlineStr">
        <is>
          <t>ZFE3</t>
        </is>
      </c>
      <c r="C1810" t="inlineStr">
        <is>
          <t>1000</t>
        </is>
      </c>
      <c r="D1810" t="inlineStr">
        <is>
          <t>M3</t>
        </is>
      </c>
      <c r="E1810" t="n">
        <v>1000</v>
      </c>
      <c r="F1810" t="inlineStr">
        <is>
          <t>TN</t>
        </is>
      </c>
      <c r="G1810" t="n">
        <v>1788</v>
      </c>
      <c r="H1810" t="inlineStr">
        <is>
          <t>BASE TIPO INVIAS TIPO A AVENSA</t>
        </is>
      </c>
    </row>
    <row r="1811">
      <c r="A1811" t="n">
        <v>10218013</v>
      </c>
      <c r="B1811" t="inlineStr">
        <is>
          <t>ZFE3</t>
        </is>
      </c>
      <c r="C1811" t="inlineStr">
        <is>
          <t>1000</t>
        </is>
      </c>
      <c r="D1811" t="inlineStr">
        <is>
          <t>M3</t>
        </is>
      </c>
      <c r="E1811" t="n">
        <v>100</v>
      </c>
      <c r="F1811" t="inlineStr">
        <is>
          <t>TN</t>
        </is>
      </c>
      <c r="G1811" t="n">
        <v>150</v>
      </c>
      <c r="H1811" t="inlineStr">
        <is>
          <t>SF-7682 ARENA DE RÍO LAVADA (DE 0 MM A 8</t>
        </is>
      </c>
    </row>
    <row r="1812">
      <c r="A1812" t="n">
        <v>10218025</v>
      </c>
      <c r="B1812" t="inlineStr">
        <is>
          <t>ZFE3</t>
        </is>
      </c>
      <c r="C1812" t="inlineStr">
        <is>
          <t>1000</t>
        </is>
      </c>
      <c r="D1812" t="inlineStr">
        <is>
          <t>M3</t>
        </is>
      </c>
      <c r="E1812" t="n">
        <v>1000</v>
      </c>
      <c r="F1812" t="inlineStr">
        <is>
          <t>TN</t>
        </is>
      </c>
      <c r="G1812" t="n">
        <v>1406</v>
      </c>
      <c r="H1812" t="inlineStr">
        <is>
          <t>BASE HIDRÁULICA RECICLADA</t>
        </is>
      </c>
    </row>
    <row r="1813">
      <c r="A1813" t="n">
        <v>10218210</v>
      </c>
      <c r="B1813" t="inlineStr">
        <is>
          <t>ZFE3</t>
        </is>
      </c>
      <c r="C1813" t="inlineStr">
        <is>
          <t>1000</t>
        </is>
      </c>
      <c r="D1813" t="inlineStr">
        <is>
          <t>M3</t>
        </is>
      </c>
      <c r="E1813" t="n">
        <v>1000</v>
      </c>
      <c r="F1813" t="inlineStr">
        <is>
          <t>TN</t>
        </is>
      </c>
      <c r="G1813" t="n">
        <v>1327</v>
      </c>
      <c r="H1813" t="inlineStr">
        <is>
          <t>ARENA TRITURADA CALIZA MALLA 5</t>
        </is>
      </c>
    </row>
    <row r="1814">
      <c r="A1814" t="n">
        <v>10218211</v>
      </c>
      <c r="B1814" t="inlineStr">
        <is>
          <t>ZFE3</t>
        </is>
      </c>
      <c r="C1814" t="inlineStr">
        <is>
          <t>1000</t>
        </is>
      </c>
      <c r="D1814" t="inlineStr">
        <is>
          <t>M3</t>
        </is>
      </c>
      <c r="E1814" t="n">
        <v>1000</v>
      </c>
      <c r="F1814" t="inlineStr">
        <is>
          <t>TN</t>
        </is>
      </c>
      <c r="G1814" t="n">
        <v>1331</v>
      </c>
      <c r="H1814" t="inlineStr">
        <is>
          <t>ARENA TRITURADA CALIZA MALLA 5</t>
        </is>
      </c>
    </row>
    <row r="1815">
      <c r="A1815" t="n">
        <v>10218212</v>
      </c>
      <c r="B1815" t="inlineStr">
        <is>
          <t>ZFE3</t>
        </is>
      </c>
      <c r="C1815" t="inlineStr">
        <is>
          <t>1000</t>
        </is>
      </c>
      <c r="D1815" t="inlineStr">
        <is>
          <t>M3</t>
        </is>
      </c>
      <c r="E1815" t="n">
        <v>1000</v>
      </c>
      <c r="F1815" t="inlineStr">
        <is>
          <t>TN</t>
        </is>
      </c>
      <c r="G1815" t="n">
        <v>1234</v>
      </c>
      <c r="H1815" t="inlineStr">
        <is>
          <t>ARENA TRITURADA CALIZA MALLA 5</t>
        </is>
      </c>
    </row>
    <row r="1816">
      <c r="A1816" t="n">
        <v>10218271</v>
      </c>
      <c r="B1816" t="inlineStr">
        <is>
          <t>ZFE3</t>
        </is>
      </c>
      <c r="C1816" t="inlineStr">
        <is>
          <t>1000</t>
        </is>
      </c>
      <c r="D1816" t="inlineStr">
        <is>
          <t>M3</t>
        </is>
      </c>
      <c r="E1816" t="n">
        <v>1000</v>
      </c>
      <c r="F1816" t="inlineStr">
        <is>
          <t>TN</t>
        </is>
      </c>
      <c r="G1816" t="n">
        <v>1406</v>
      </c>
      <c r="H1816" t="inlineStr">
        <is>
          <t>GRAVA 1/2 ATT SUÁREZ</t>
        </is>
      </c>
    </row>
    <row r="1817">
      <c r="A1817" t="n">
        <v>10218321</v>
      </c>
      <c r="B1817" t="inlineStr">
        <is>
          <t>ZFE3</t>
        </is>
      </c>
      <c r="C1817" t="inlineStr">
        <is>
          <t>1000</t>
        </is>
      </c>
      <c r="D1817" t="inlineStr">
        <is>
          <t>M3</t>
        </is>
      </c>
      <c r="E1817" t="n">
        <v>1000</v>
      </c>
      <c r="F1817" t="inlineStr">
        <is>
          <t>TN</t>
        </is>
      </c>
      <c r="G1817" t="n">
        <v>1395</v>
      </c>
      <c r="H1817" t="inlineStr">
        <is>
          <t>GRAVA TRITURADA BASALTO 10 MM - 3/8"</t>
        </is>
      </c>
    </row>
    <row r="1818">
      <c r="A1818" t="n">
        <v>10218347</v>
      </c>
      <c r="B1818" t="inlineStr">
        <is>
          <t>ZFE3</t>
        </is>
      </c>
      <c r="C1818" t="inlineStr">
        <is>
          <t>1000</t>
        </is>
      </c>
      <c r="D1818" t="inlineStr">
        <is>
          <t>M3</t>
        </is>
      </c>
      <c r="E1818" t="n">
        <v>1000</v>
      </c>
      <c r="F1818" t="inlineStr">
        <is>
          <t>TN</t>
        </is>
      </c>
      <c r="G1818" t="n">
        <v>1328</v>
      </c>
      <c r="H1818" t="inlineStr">
        <is>
          <t>ARENA CLASIFICADA RIO MALLA 4</t>
        </is>
      </c>
    </row>
    <row r="1819">
      <c r="A1819" t="n">
        <v>10218413</v>
      </c>
      <c r="B1819" t="inlineStr">
        <is>
          <t>ZFE3</t>
        </is>
      </c>
      <c r="C1819" t="inlineStr">
        <is>
          <t>1000</t>
        </is>
      </c>
      <c r="D1819" t="inlineStr">
        <is>
          <t>M3</t>
        </is>
      </c>
      <c r="E1819" t="n">
        <v>1000</v>
      </c>
      <c r="F1819" t="inlineStr">
        <is>
          <t>TN</t>
        </is>
      </c>
      <c r="G1819" t="n">
        <v>1385</v>
      </c>
      <c r="H1819" t="inlineStr">
        <is>
          <t>GRAVA TRITURADA BASALTO 10 MM - 3/8"</t>
        </is>
      </c>
    </row>
    <row r="1820">
      <c r="A1820" t="n">
        <v>10218414</v>
      </c>
      <c r="B1820" t="inlineStr">
        <is>
          <t>ZFE3</t>
        </is>
      </c>
      <c r="C1820" t="inlineStr">
        <is>
          <t>1000</t>
        </is>
      </c>
      <c r="D1820" t="inlineStr">
        <is>
          <t>M3</t>
        </is>
      </c>
      <c r="E1820" t="n">
        <v>1000</v>
      </c>
      <c r="F1820" t="inlineStr">
        <is>
          <t>TN</t>
        </is>
      </c>
      <c r="G1820" t="n">
        <v>1515</v>
      </c>
      <c r="H1820" t="inlineStr">
        <is>
          <t>GRAVA DE RIO TRITURADA 20 MM</t>
        </is>
      </c>
    </row>
    <row r="1821">
      <c r="A1821" t="n">
        <v>10218415</v>
      </c>
      <c r="B1821" t="inlineStr">
        <is>
          <t>ZFE3</t>
        </is>
      </c>
      <c r="C1821" t="inlineStr">
        <is>
          <t>1000</t>
        </is>
      </c>
      <c r="D1821" t="inlineStr">
        <is>
          <t>M3</t>
        </is>
      </c>
      <c r="E1821" t="n">
        <v>1000</v>
      </c>
      <c r="F1821" t="inlineStr">
        <is>
          <t>TN</t>
        </is>
      </c>
      <c r="G1821" t="n">
        <v>1409</v>
      </c>
      <c r="H1821" t="inlineStr">
        <is>
          <t>ARENA TRITURADA ANDESITA MALLA 4 LOMA AN</t>
        </is>
      </c>
    </row>
    <row r="1822">
      <c r="A1822" t="n">
        <v>10218531</v>
      </c>
      <c r="B1822" t="inlineStr">
        <is>
          <t>ZFE3</t>
        </is>
      </c>
      <c r="C1822" t="inlineStr">
        <is>
          <t>1000</t>
        </is>
      </c>
      <c r="D1822" t="inlineStr">
        <is>
          <t>M3</t>
        </is>
      </c>
      <c r="E1822" t="n">
        <v>1000</v>
      </c>
      <c r="F1822" t="inlineStr">
        <is>
          <t>TN</t>
        </is>
      </c>
      <c r="G1822" t="n">
        <v>1660</v>
      </c>
      <c r="H1822" t="inlineStr">
        <is>
          <t>ARENA DE RIO MALLA 4</t>
        </is>
      </c>
    </row>
    <row r="1823">
      <c r="A1823" t="n">
        <v>10218532</v>
      </c>
      <c r="B1823" t="inlineStr">
        <is>
          <t>ZFE3</t>
        </is>
      </c>
      <c r="C1823" t="inlineStr">
        <is>
          <t>1000</t>
        </is>
      </c>
      <c r="D1823" t="inlineStr">
        <is>
          <t>M3</t>
        </is>
      </c>
      <c r="E1823" t="n">
        <v>1000</v>
      </c>
      <c r="F1823" t="inlineStr">
        <is>
          <t>TN</t>
        </is>
      </c>
      <c r="G1823" t="n">
        <v>1452</v>
      </c>
      <c r="H1823" t="inlineStr">
        <is>
          <t>ARENA CALIZA LAVADA MALLA 4</t>
        </is>
      </c>
    </row>
    <row r="1824">
      <c r="A1824" t="n">
        <v>10218573</v>
      </c>
      <c r="B1824" t="inlineStr">
        <is>
          <t>ZFE3</t>
        </is>
      </c>
      <c r="C1824" t="inlineStr">
        <is>
          <t>1000</t>
        </is>
      </c>
      <c r="D1824" t="inlineStr">
        <is>
          <t>M3</t>
        </is>
      </c>
      <c r="E1824" t="n">
        <v>1000</v>
      </c>
      <c r="F1824" t="inlineStr">
        <is>
          <t>TN</t>
        </is>
      </c>
      <c r="G1824" t="n">
        <v>1400</v>
      </c>
      <c r="H1824" t="inlineStr">
        <is>
          <t>GRAVA TRITURADO 3/8" AGRESUCRE</t>
        </is>
      </c>
    </row>
    <row r="1825">
      <c r="A1825" t="n">
        <v>10218574</v>
      </c>
      <c r="B1825" t="inlineStr">
        <is>
          <t>ZFE3</t>
        </is>
      </c>
      <c r="C1825" t="inlineStr">
        <is>
          <t>1000</t>
        </is>
      </c>
      <c r="D1825" t="inlineStr">
        <is>
          <t>M3</t>
        </is>
      </c>
      <c r="E1825" t="n">
        <v>1000</v>
      </c>
      <c r="F1825" t="inlineStr">
        <is>
          <t>TN</t>
        </is>
      </c>
      <c r="G1825" t="n">
        <v>1400</v>
      </c>
      <c r="H1825" t="inlineStr">
        <is>
          <t>GRAVA TRITURADO 3/4" AGRESUCRE</t>
        </is>
      </c>
    </row>
    <row r="1826">
      <c r="A1826" t="n">
        <v>10218579</v>
      </c>
      <c r="B1826" t="inlineStr">
        <is>
          <t>ZFE3</t>
        </is>
      </c>
      <c r="C1826" t="inlineStr">
        <is>
          <t>1000</t>
        </is>
      </c>
      <c r="D1826" t="inlineStr">
        <is>
          <t>M3</t>
        </is>
      </c>
      <c r="E1826" t="n">
        <v>1000</v>
      </c>
      <c r="F1826" t="inlineStr">
        <is>
          <t>TN</t>
        </is>
      </c>
      <c r="G1826" t="n">
        <v>1450</v>
      </c>
      <c r="H1826" t="inlineStr">
        <is>
          <t>PIEDRA FILTRO DE 6# A 10#</t>
        </is>
      </c>
    </row>
    <row r="1827">
      <c r="A1827" t="n">
        <v>10218584</v>
      </c>
      <c r="B1827" t="inlineStr">
        <is>
          <t>ZFE3</t>
        </is>
      </c>
      <c r="C1827" t="inlineStr">
        <is>
          <t>1000</t>
        </is>
      </c>
      <c r="D1827" t="inlineStr">
        <is>
          <t>M3</t>
        </is>
      </c>
      <c r="E1827" t="n">
        <v>1000</v>
      </c>
      <c r="F1827" t="inlineStr">
        <is>
          <t>TN</t>
        </is>
      </c>
      <c r="G1827" t="n">
        <v>1400</v>
      </c>
      <c r="H1827" t="inlineStr">
        <is>
          <t>GRAVA TRITURADA CALIZA 10 MM - 3/8</t>
        </is>
      </c>
    </row>
    <row r="1828">
      <c r="A1828" t="n">
        <v>10218883</v>
      </c>
      <c r="B1828" t="inlineStr">
        <is>
          <t>ZFE3</t>
        </is>
      </c>
      <c r="C1828" t="inlineStr">
        <is>
          <t>1000</t>
        </is>
      </c>
      <c r="D1828" t="inlineStr">
        <is>
          <t>M3</t>
        </is>
      </c>
      <c r="E1828" t="n">
        <v>1000</v>
      </c>
      <c r="F1828" t="inlineStr">
        <is>
          <t>TN</t>
        </is>
      </c>
      <c r="G1828" t="n">
        <v>1500</v>
      </c>
      <c r="H1828" t="inlineStr">
        <is>
          <t>PIEDRA FILTRO 2"-6" AVENSA</t>
        </is>
      </c>
    </row>
    <row r="1829">
      <c r="A1829" t="n">
        <v>10218886</v>
      </c>
      <c r="B1829" t="inlineStr">
        <is>
          <t>ZFE3</t>
        </is>
      </c>
      <c r="C1829" t="inlineStr">
        <is>
          <t>1000</t>
        </is>
      </c>
      <c r="D1829" t="inlineStr">
        <is>
          <t>M3</t>
        </is>
      </c>
      <c r="E1829" t="n">
        <v>1000</v>
      </c>
      <c r="F1829" t="inlineStr">
        <is>
          <t>TN</t>
        </is>
      </c>
      <c r="G1829" t="n">
        <v>1560</v>
      </c>
      <c r="H1829" t="inlineStr">
        <is>
          <t>GRAVA TRITURADA ANDESITA 3/4 ALMACÉN - C</t>
        </is>
      </c>
    </row>
    <row r="1830">
      <c r="A1830" t="n">
        <v>10219132</v>
      </c>
      <c r="B1830" t="inlineStr">
        <is>
          <t>ZFE3</t>
        </is>
      </c>
      <c r="C1830" t="inlineStr">
        <is>
          <t>1000</t>
        </is>
      </c>
      <c r="D1830" t="inlineStr">
        <is>
          <t>M3</t>
        </is>
      </c>
      <c r="E1830" t="n">
        <v>1000</v>
      </c>
      <c r="F1830" t="inlineStr">
        <is>
          <t>TN</t>
        </is>
      </c>
      <c r="G1830" t="n">
        <v>1630</v>
      </c>
      <c r="H1830" t="inlineStr">
        <is>
          <t>ARENA NO. 4 DESPERDICIO</t>
        </is>
      </c>
    </row>
    <row r="1831">
      <c r="A1831" t="n">
        <v>10219134</v>
      </c>
      <c r="B1831" t="inlineStr">
        <is>
          <t>ZFE3</t>
        </is>
      </c>
      <c r="C1831" t="inlineStr">
        <is>
          <t>1000</t>
        </is>
      </c>
      <c r="D1831" t="inlineStr">
        <is>
          <t>M3</t>
        </is>
      </c>
      <c r="E1831" t="n">
        <v>1000</v>
      </c>
      <c r="F1831" t="inlineStr">
        <is>
          <t>TN</t>
        </is>
      </c>
      <c r="G1831" t="n">
        <v>1536</v>
      </c>
      <c r="H1831" t="inlineStr">
        <is>
          <t>GRAVA 20MM DESPERDICIO</t>
        </is>
      </c>
    </row>
    <row r="1832">
      <c r="A1832" t="n">
        <v>10219135</v>
      </c>
      <c r="B1832" t="inlineStr">
        <is>
          <t>ZFE3</t>
        </is>
      </c>
      <c r="C1832" t="inlineStr">
        <is>
          <t>1000</t>
        </is>
      </c>
      <c r="D1832" t="inlineStr">
        <is>
          <t>M3</t>
        </is>
      </c>
      <c r="E1832" t="n">
        <v>1000</v>
      </c>
      <c r="F1832" t="inlineStr">
        <is>
          <t>TN</t>
        </is>
      </c>
      <c r="G1832" t="n">
        <v>1494</v>
      </c>
      <c r="H1832" t="inlineStr">
        <is>
          <t>BALASTO DE 2 ½#</t>
        </is>
      </c>
    </row>
    <row r="1833">
      <c r="A1833" t="n">
        <v>10219177</v>
      </c>
      <c r="B1833" t="inlineStr">
        <is>
          <t>ZFE3</t>
        </is>
      </c>
      <c r="C1833" t="inlineStr">
        <is>
          <t>1000</t>
        </is>
      </c>
      <c r="D1833" t="inlineStr">
        <is>
          <t>M3</t>
        </is>
      </c>
      <c r="E1833" t="n">
        <v>1000</v>
      </c>
      <c r="F1833" t="inlineStr">
        <is>
          <t>TN</t>
        </is>
      </c>
      <c r="G1833" t="n">
        <v>1500</v>
      </c>
      <c r="H1833" t="inlineStr">
        <is>
          <t>ARENA FINA RINAGUI SIN COMPENSAR</t>
        </is>
      </c>
    </row>
    <row r="1834">
      <c r="A1834" t="n">
        <v>10220183</v>
      </c>
      <c r="B1834" t="inlineStr">
        <is>
          <t>ZFE3</t>
        </is>
      </c>
      <c r="C1834" t="inlineStr">
        <is>
          <t>1000</t>
        </is>
      </c>
      <c r="D1834" t="inlineStr">
        <is>
          <t>M3</t>
        </is>
      </c>
      <c r="E1834" t="n">
        <v>1000</v>
      </c>
      <c r="F1834" t="inlineStr">
        <is>
          <t>TN</t>
        </is>
      </c>
      <c r="G1834" t="n">
        <v>1533</v>
      </c>
      <c r="H1834" t="inlineStr">
        <is>
          <t>CRUDO DE MINA CLK</t>
        </is>
      </c>
    </row>
    <row r="1835">
      <c r="A1835" t="n">
        <v>10220303</v>
      </c>
      <c r="B1835" t="inlineStr">
        <is>
          <t>ZFE3</t>
        </is>
      </c>
      <c r="C1835" t="inlineStr">
        <is>
          <t>1000</t>
        </is>
      </c>
      <c r="D1835" t="inlineStr">
        <is>
          <t>M3</t>
        </is>
      </c>
      <c r="E1835" t="n">
        <v>1000</v>
      </c>
      <c r="F1835" t="inlineStr">
        <is>
          <t>TN</t>
        </is>
      </c>
      <c r="G1835" t="n">
        <v>1229</v>
      </c>
      <c r="H1835" t="inlineStr">
        <is>
          <t>ARENA CLASIFICADA RÍO MALLA 4</t>
        </is>
      </c>
    </row>
    <row r="1836">
      <c r="A1836" t="n">
        <v>10220374</v>
      </c>
      <c r="B1836" t="inlineStr">
        <is>
          <t>ZFE3</t>
        </is>
      </c>
      <c r="C1836" t="inlineStr">
        <is>
          <t>1000</t>
        </is>
      </c>
      <c r="D1836" t="inlineStr">
        <is>
          <t>M3</t>
        </is>
      </c>
      <c r="E1836" t="n">
        <v>1000</v>
      </c>
      <c r="F1836" t="inlineStr">
        <is>
          <t>TN</t>
        </is>
      </c>
      <c r="G1836" t="n">
        <v>1475</v>
      </c>
      <c r="H1836" t="inlineStr">
        <is>
          <t>GRAVA ALUVIAL 3/4# MINACAR</t>
        </is>
      </c>
    </row>
    <row r="1837">
      <c r="A1837" t="n">
        <v>10220375</v>
      </c>
      <c r="B1837" t="inlineStr">
        <is>
          <t>ZFE3</t>
        </is>
      </c>
      <c r="C1837" t="inlineStr">
        <is>
          <t>1000</t>
        </is>
      </c>
      <c r="D1837" t="inlineStr">
        <is>
          <t>M3</t>
        </is>
      </c>
      <c r="E1837" t="n">
        <v>1000</v>
      </c>
      <c r="F1837" t="inlineStr">
        <is>
          <t>TN</t>
        </is>
      </c>
      <c r="G1837" t="n">
        <v>1350</v>
      </c>
      <c r="H1837" t="inlineStr">
        <is>
          <t>ARENA CRIBADA ANDESITA MALLA 8</t>
        </is>
      </c>
    </row>
    <row r="1838">
      <c r="A1838" t="n">
        <v>10220376</v>
      </c>
      <c r="B1838" t="inlineStr">
        <is>
          <t>ZFE3</t>
        </is>
      </c>
      <c r="C1838" t="inlineStr">
        <is>
          <t>1000</t>
        </is>
      </c>
      <c r="D1838" t="inlineStr">
        <is>
          <t>M3</t>
        </is>
      </c>
      <c r="E1838" t="n">
        <v>1000</v>
      </c>
      <c r="F1838" t="inlineStr">
        <is>
          <t>TN</t>
        </is>
      </c>
      <c r="G1838" t="n">
        <v>1320</v>
      </c>
      <c r="H1838" t="inlineStr">
        <is>
          <t>GRAVA TRITURADA ANDESITA 10 MM - 3/8</t>
        </is>
      </c>
    </row>
    <row r="1839">
      <c r="A1839" t="n">
        <v>10220448</v>
      </c>
      <c r="B1839" t="inlineStr">
        <is>
          <t>ZFE3</t>
        </is>
      </c>
      <c r="C1839" t="inlineStr">
        <is>
          <t>1000</t>
        </is>
      </c>
      <c r="D1839" t="inlineStr">
        <is>
          <t>M3</t>
        </is>
      </c>
      <c r="E1839" t="n">
        <v>1000</v>
      </c>
      <c r="F1839" t="inlineStr">
        <is>
          <t>TN</t>
        </is>
      </c>
      <c r="G1839" t="n">
        <v>1481</v>
      </c>
      <c r="H1839" t="inlineStr">
        <is>
          <t>GRAVA ALUVIAL 3/4# GM</t>
        </is>
      </c>
    </row>
    <row r="1840">
      <c r="A1840" t="n">
        <v>10220449</v>
      </c>
      <c r="B1840" t="inlineStr">
        <is>
          <t>ZFE3</t>
        </is>
      </c>
      <c r="C1840" t="inlineStr">
        <is>
          <t>1000</t>
        </is>
      </c>
      <c r="D1840" t="inlineStr">
        <is>
          <t>M3</t>
        </is>
      </c>
      <c r="E1840" t="n">
        <v>1000</v>
      </c>
      <c r="F1840" t="inlineStr">
        <is>
          <t>TN</t>
        </is>
      </c>
      <c r="G1840" t="n">
        <v>1476</v>
      </c>
      <c r="H1840" t="inlineStr">
        <is>
          <t>GRAVA ALUVIAL 3/8# GM</t>
        </is>
      </c>
    </row>
    <row r="1841">
      <c r="A1841" t="n">
        <v>10220497</v>
      </c>
      <c r="B1841" t="inlineStr">
        <is>
          <t>ZFE3</t>
        </is>
      </c>
      <c r="C1841" t="inlineStr">
        <is>
          <t>1000</t>
        </is>
      </c>
      <c r="D1841" t="inlineStr">
        <is>
          <t>M3</t>
        </is>
      </c>
      <c r="E1841" t="n">
        <v>1000</v>
      </c>
      <c r="F1841" t="inlineStr">
        <is>
          <t>TN</t>
        </is>
      </c>
      <c r="G1841" t="n">
        <v>1625</v>
      </c>
      <c r="H1841" t="inlineStr">
        <is>
          <t>BALASTRO DE 3" A 6"</t>
        </is>
      </c>
    </row>
    <row r="1842">
      <c r="A1842" t="n">
        <v>10220797</v>
      </c>
      <c r="B1842" t="inlineStr">
        <is>
          <t>ZFE3</t>
        </is>
      </c>
      <c r="C1842" t="inlineStr">
        <is>
          <t>1000</t>
        </is>
      </c>
      <c r="D1842" t="inlineStr">
        <is>
          <t>M3</t>
        </is>
      </c>
      <c r="E1842" t="n">
        <v>1000</v>
      </c>
      <c r="F1842" t="inlineStr">
        <is>
          <t>TN</t>
        </is>
      </c>
      <c r="G1842" t="n">
        <v>1500</v>
      </c>
      <c r="H1842" t="inlineStr">
        <is>
          <t>BASE HIDRAULICA TEP NG</t>
        </is>
      </c>
    </row>
    <row r="1843">
      <c r="A1843" t="n">
        <v>10220798</v>
      </c>
      <c r="B1843" t="inlineStr">
        <is>
          <t>ZFE3</t>
        </is>
      </c>
      <c r="C1843" t="inlineStr">
        <is>
          <t>1000</t>
        </is>
      </c>
      <c r="D1843" t="inlineStr">
        <is>
          <t>M3</t>
        </is>
      </c>
      <c r="E1843" t="n">
        <v>1000</v>
      </c>
      <c r="F1843" t="inlineStr">
        <is>
          <t>TN</t>
        </is>
      </c>
      <c r="G1843" t="n">
        <v>1700</v>
      </c>
      <c r="H1843" t="inlineStr">
        <is>
          <t>BALASTRE ANDESITA</t>
        </is>
      </c>
    </row>
    <row r="1844">
      <c r="A1844" t="n">
        <v>10220799</v>
      </c>
      <c r="B1844" t="inlineStr">
        <is>
          <t>ZFE3</t>
        </is>
      </c>
      <c r="C1844" t="inlineStr">
        <is>
          <t>1000</t>
        </is>
      </c>
      <c r="D1844" t="inlineStr">
        <is>
          <t>M3</t>
        </is>
      </c>
      <c r="E1844" t="n">
        <v>1000</v>
      </c>
      <c r="F1844" t="inlineStr">
        <is>
          <t>TN</t>
        </is>
      </c>
      <c r="G1844" t="n">
        <v>1600</v>
      </c>
      <c r="H1844" t="inlineStr">
        <is>
          <t>SCREEN CALIZA</t>
        </is>
      </c>
    </row>
    <row r="1845">
      <c r="A1845" t="n">
        <v>10220926</v>
      </c>
      <c r="B1845" t="inlineStr">
        <is>
          <t>ZFE3</t>
        </is>
      </c>
      <c r="C1845" t="inlineStr">
        <is>
          <t>1000</t>
        </is>
      </c>
      <c r="D1845" t="inlineStr">
        <is>
          <t>M3</t>
        </is>
      </c>
      <c r="E1845" t="n">
        <v>1000</v>
      </c>
      <c r="F1845" t="inlineStr">
        <is>
          <t>TN</t>
        </is>
      </c>
      <c r="G1845" t="n">
        <v>1590</v>
      </c>
      <c r="H1845" t="inlineStr">
        <is>
          <t>ARENA TRITURADA GRANITO MALLA 4</t>
        </is>
      </c>
    </row>
    <row r="1846">
      <c r="A1846" t="n">
        <v>10220927</v>
      </c>
      <c r="B1846" t="inlineStr">
        <is>
          <t>ZFE3</t>
        </is>
      </c>
      <c r="C1846" t="inlineStr">
        <is>
          <t>1000</t>
        </is>
      </c>
      <c r="D1846" t="inlineStr">
        <is>
          <t>M3</t>
        </is>
      </c>
      <c r="E1846" t="n">
        <v>1000</v>
      </c>
      <c r="F1846" t="inlineStr">
        <is>
          <t>TN</t>
        </is>
      </c>
      <c r="G1846" t="n">
        <v>1420</v>
      </c>
      <c r="H1846" t="inlineStr">
        <is>
          <t>GRAVA TRITURADA GRANITO 20 MM - 3/4"</t>
        </is>
      </c>
    </row>
    <row r="1847">
      <c r="A1847" t="n">
        <v>10220928</v>
      </c>
      <c r="B1847" t="inlineStr">
        <is>
          <t>ZFE3</t>
        </is>
      </c>
      <c r="C1847" t="inlineStr">
        <is>
          <t>1000</t>
        </is>
      </c>
      <c r="D1847" t="inlineStr">
        <is>
          <t>M3</t>
        </is>
      </c>
      <c r="E1847" t="n">
        <v>1000</v>
      </c>
      <c r="F1847" t="inlineStr">
        <is>
          <t>TN</t>
        </is>
      </c>
      <c r="G1847" t="n">
        <v>1420</v>
      </c>
      <c r="H1847" t="inlineStr">
        <is>
          <t>GRAVA TRITURADA GRANITO 40 MM -1 1/2"</t>
        </is>
      </c>
    </row>
    <row r="1848">
      <c r="A1848" t="n">
        <v>10220929</v>
      </c>
      <c r="B1848" t="inlineStr">
        <is>
          <t>ZFE3</t>
        </is>
      </c>
      <c r="C1848" t="inlineStr">
        <is>
          <t>1000</t>
        </is>
      </c>
      <c r="D1848" t="inlineStr">
        <is>
          <t>M3</t>
        </is>
      </c>
      <c r="E1848" t="n">
        <v>1000</v>
      </c>
      <c r="F1848" t="inlineStr">
        <is>
          <t>TN</t>
        </is>
      </c>
      <c r="G1848" t="n">
        <v>1690</v>
      </c>
      <c r="H1848" t="inlineStr">
        <is>
          <t>GRAVA TRITURADA CALIZA 40 MM - 1 1/2"</t>
        </is>
      </c>
    </row>
    <row r="1849">
      <c r="A1849" t="n">
        <v>10221072</v>
      </c>
      <c r="B1849" t="inlineStr">
        <is>
          <t>ZFE3</t>
        </is>
      </c>
      <c r="C1849" t="inlineStr">
        <is>
          <t>1000</t>
        </is>
      </c>
      <c r="D1849" t="inlineStr">
        <is>
          <t>M3</t>
        </is>
      </c>
      <c r="E1849" t="n">
        <v>1000</v>
      </c>
      <c r="F1849" t="inlineStr">
        <is>
          <t>TN</t>
        </is>
      </c>
      <c r="G1849" t="n">
        <v>1450</v>
      </c>
      <c r="H1849" t="inlineStr">
        <is>
          <t>GRAVA ALUVIAL ½# BELLAVISTA</t>
        </is>
      </c>
    </row>
    <row r="1850">
      <c r="A1850" t="n">
        <v>10221073</v>
      </c>
      <c r="B1850" t="inlineStr">
        <is>
          <t>ZFE3</t>
        </is>
      </c>
      <c r="C1850" t="inlineStr">
        <is>
          <t>1000</t>
        </is>
      </c>
      <c r="D1850" t="inlineStr">
        <is>
          <t>M3</t>
        </is>
      </c>
      <c r="E1850" t="n">
        <v>1000</v>
      </c>
      <c r="F1850" t="inlineStr">
        <is>
          <t>TN</t>
        </is>
      </c>
      <c r="G1850" t="n">
        <v>1560</v>
      </c>
      <c r="H1850" t="inlineStr">
        <is>
          <t>ARENA ALUVIAL BELLAVISTA</t>
        </is>
      </c>
    </row>
    <row r="1851">
      <c r="A1851" t="n">
        <v>10221140</v>
      </c>
      <c r="B1851" t="inlineStr">
        <is>
          <t>ZFE3</t>
        </is>
      </c>
      <c r="C1851" t="inlineStr">
        <is>
          <t>1000</t>
        </is>
      </c>
      <c r="D1851" t="inlineStr">
        <is>
          <t>M3</t>
        </is>
      </c>
      <c r="E1851" t="n">
        <v>1000</v>
      </c>
      <c r="F1851" t="inlineStr">
        <is>
          <t>TN</t>
        </is>
      </c>
      <c r="G1851" t="n">
        <v>1155</v>
      </c>
      <c r="H1851" t="inlineStr">
        <is>
          <t>GRAVA TRITURADA BASALTO 10 MM - 3/8"</t>
        </is>
      </c>
    </row>
    <row r="1852">
      <c r="A1852" t="n">
        <v>10221141</v>
      </c>
      <c r="B1852" t="inlineStr">
        <is>
          <t>ZFE3</t>
        </is>
      </c>
      <c r="C1852" t="inlineStr">
        <is>
          <t>1000</t>
        </is>
      </c>
      <c r="D1852" t="inlineStr">
        <is>
          <t>M3</t>
        </is>
      </c>
      <c r="E1852" t="n">
        <v>1000</v>
      </c>
      <c r="F1852" t="inlineStr">
        <is>
          <t>TN</t>
        </is>
      </c>
      <c r="G1852" t="n">
        <v>1530</v>
      </c>
      <c r="H1852" t="inlineStr">
        <is>
          <t>GRAVA CALIZA COMBINADA "3/4 ""1 1/2"</t>
        </is>
      </c>
    </row>
    <row r="1853">
      <c r="A1853" t="n">
        <v>10221147</v>
      </c>
      <c r="B1853" t="inlineStr">
        <is>
          <t>ZFE3</t>
        </is>
      </c>
      <c r="C1853" t="inlineStr">
        <is>
          <t>1000</t>
        </is>
      </c>
      <c r="D1853" t="inlineStr">
        <is>
          <t>M3</t>
        </is>
      </c>
      <c r="E1853" t="n">
        <v>1000</v>
      </c>
      <c r="F1853" t="inlineStr">
        <is>
          <t>TN</t>
        </is>
      </c>
      <c r="G1853" t="n">
        <v>1452</v>
      </c>
      <c r="H1853" t="inlineStr">
        <is>
          <t>BASE HIDRÁULICA 80%GRUESOS-20%FINOS</t>
        </is>
      </c>
    </row>
    <row r="1854">
      <c r="A1854" t="n">
        <v>10221148</v>
      </c>
      <c r="B1854" t="inlineStr">
        <is>
          <t>ZFE3</t>
        </is>
      </c>
      <c r="C1854" t="inlineStr">
        <is>
          <t>1000</t>
        </is>
      </c>
      <c r="D1854" t="inlineStr">
        <is>
          <t>M3</t>
        </is>
      </c>
      <c r="E1854" t="n">
        <v>1000</v>
      </c>
      <c r="F1854" t="inlineStr">
        <is>
          <t>TN</t>
        </is>
      </c>
      <c r="G1854" t="n">
        <v>1374</v>
      </c>
      <c r="H1854" t="inlineStr">
        <is>
          <t>ARENA TRITURADA CALIZA LAVADA</t>
        </is>
      </c>
    </row>
    <row r="1855">
      <c r="A1855" t="n">
        <v>10221200</v>
      </c>
      <c r="B1855" t="inlineStr">
        <is>
          <t>ZFE3</t>
        </is>
      </c>
      <c r="C1855" t="inlineStr">
        <is>
          <t>1000</t>
        </is>
      </c>
      <c r="D1855" t="inlineStr">
        <is>
          <t>M3</t>
        </is>
      </c>
      <c r="E1855" t="n">
        <v>1000</v>
      </c>
      <c r="F1855" t="inlineStr">
        <is>
          <t>TN</t>
        </is>
      </c>
      <c r="G1855" t="n">
        <v>1452</v>
      </c>
      <c r="H1855" t="inlineStr">
        <is>
          <t>BASE HIDRÁULICA 20%FINOS-80%GRUESOS</t>
        </is>
      </c>
    </row>
    <row r="1856">
      <c r="A1856" t="n">
        <v>10221265</v>
      </c>
      <c r="B1856" t="inlineStr">
        <is>
          <t>ZFE3</t>
        </is>
      </c>
      <c r="C1856" t="inlineStr">
        <is>
          <t>1000</t>
        </is>
      </c>
      <c r="D1856" t="inlineStr">
        <is>
          <t>M3</t>
        </is>
      </c>
      <c r="E1856" t="n">
        <v>1000</v>
      </c>
      <c r="F1856" t="inlineStr">
        <is>
          <t>TN</t>
        </is>
      </c>
      <c r="G1856" t="n">
        <v>1600</v>
      </c>
      <c r="H1856" t="inlineStr">
        <is>
          <t>BASE HIDRAULICA 3/4 A FINOS</t>
        </is>
      </c>
    </row>
    <row r="1857">
      <c r="A1857" t="n">
        <v>10221480</v>
      </c>
      <c r="B1857" t="inlineStr">
        <is>
          <t>ZFE3</t>
        </is>
      </c>
      <c r="C1857" t="inlineStr">
        <is>
          <t>1000</t>
        </is>
      </c>
      <c r="D1857" t="inlineStr">
        <is>
          <t>M3</t>
        </is>
      </c>
      <c r="E1857" t="n">
        <v>1000</v>
      </c>
      <c r="F1857" t="inlineStr">
        <is>
          <t>TN</t>
        </is>
      </c>
      <c r="G1857" t="n">
        <v>1500</v>
      </c>
      <c r="H1857" t="inlineStr">
        <is>
          <t>GRAVA TRITURADA CALIZA 13 MM - 1/2"</t>
        </is>
      </c>
    </row>
    <row r="1858">
      <c r="A1858" t="n">
        <v>10221481</v>
      </c>
      <c r="B1858" t="inlineStr">
        <is>
          <t>ZFE3</t>
        </is>
      </c>
      <c r="C1858" t="inlineStr">
        <is>
          <t>1000</t>
        </is>
      </c>
      <c r="D1858" t="inlineStr">
        <is>
          <t>M3</t>
        </is>
      </c>
      <c r="E1858" t="n">
        <v>1000</v>
      </c>
      <c r="F1858" t="inlineStr">
        <is>
          <t>TN</t>
        </is>
      </c>
      <c r="G1858" t="n">
        <v>1450</v>
      </c>
      <c r="H1858" t="inlineStr">
        <is>
          <t>GRAVA TRITURADA CALIZA 20 MM - 3/4"</t>
        </is>
      </c>
    </row>
    <row r="1859">
      <c r="A1859" t="n">
        <v>10221750</v>
      </c>
      <c r="B1859" t="inlineStr">
        <is>
          <t>ZFE3</t>
        </is>
      </c>
      <c r="C1859" t="inlineStr">
        <is>
          <t>1000</t>
        </is>
      </c>
      <c r="D1859" t="inlineStr">
        <is>
          <t>M3</t>
        </is>
      </c>
      <c r="E1859" t="n">
        <v>1000</v>
      </c>
      <c r="F1859" t="inlineStr">
        <is>
          <t>TN</t>
        </is>
      </c>
      <c r="G1859" t="n">
        <v>1464</v>
      </c>
      <c r="H1859" t="inlineStr">
        <is>
          <t>ARENA DE RIO MALLA 4#</t>
        </is>
      </c>
    </row>
    <row r="1860">
      <c r="A1860" t="n">
        <v>10221751</v>
      </c>
      <c r="B1860" t="inlineStr">
        <is>
          <t>ZFE3</t>
        </is>
      </c>
      <c r="C1860" t="inlineStr">
        <is>
          <t>1000</t>
        </is>
      </c>
      <c r="D1860" t="inlineStr">
        <is>
          <t>M3</t>
        </is>
      </c>
      <c r="E1860" t="n">
        <v>1000</v>
      </c>
      <c r="F1860" t="inlineStr">
        <is>
          <t>TN</t>
        </is>
      </c>
      <c r="G1860" t="n">
        <v>1487</v>
      </c>
      <c r="H1860" t="inlineStr">
        <is>
          <t>GRAVA RIOLITA 20MM  (¾)</t>
        </is>
      </c>
    </row>
    <row r="1861">
      <c r="A1861" t="n">
        <v>10221763</v>
      </c>
      <c r="B1861" t="inlineStr">
        <is>
          <t>ZFE3</t>
        </is>
      </c>
      <c r="C1861" t="inlineStr">
        <is>
          <t>1000</t>
        </is>
      </c>
      <c r="D1861" t="inlineStr">
        <is>
          <t>M3</t>
        </is>
      </c>
      <c r="E1861" t="n">
        <v>1000</v>
      </c>
      <c r="F1861" t="inlineStr">
        <is>
          <t>TN</t>
        </is>
      </c>
      <c r="G1861" t="n">
        <v>1331</v>
      </c>
      <c r="H1861" t="inlineStr">
        <is>
          <t>ARENA TRITURADA CALIZA MALLA 4</t>
        </is>
      </c>
    </row>
    <row r="1862">
      <c r="A1862" t="n">
        <v>10221764</v>
      </c>
      <c r="B1862" t="inlineStr">
        <is>
          <t>ZFE3</t>
        </is>
      </c>
      <c r="C1862" t="inlineStr">
        <is>
          <t>1000</t>
        </is>
      </c>
      <c r="D1862" t="inlineStr">
        <is>
          <t>M3</t>
        </is>
      </c>
      <c r="E1862" t="n">
        <v>1000</v>
      </c>
      <c r="F1862" t="inlineStr">
        <is>
          <t>TN</t>
        </is>
      </c>
      <c r="G1862" t="n">
        <v>1484</v>
      </c>
      <c r="H1862" t="inlineStr">
        <is>
          <t>ARENA TRITURADA CALIZA MALLA 4</t>
        </is>
      </c>
    </row>
    <row r="1863">
      <c r="A1863" t="n">
        <v>10221862</v>
      </c>
      <c r="B1863" t="inlineStr">
        <is>
          <t>ZFE3</t>
        </is>
      </c>
      <c r="C1863" t="inlineStr">
        <is>
          <t>1000</t>
        </is>
      </c>
      <c r="D1863" t="inlineStr">
        <is>
          <t>M3</t>
        </is>
      </c>
      <c r="E1863" t="n">
        <v>1000</v>
      </c>
      <c r="F1863" t="inlineStr">
        <is>
          <t>TN</t>
        </is>
      </c>
      <c r="G1863" t="n">
        <v>1480</v>
      </c>
      <c r="H1863" t="inlineStr">
        <is>
          <t>GRAVA CALIZA DE 3/4" TAYRONA</t>
        </is>
      </c>
    </row>
    <row r="1864">
      <c r="A1864" t="n">
        <v>10221863</v>
      </c>
      <c r="B1864" t="inlineStr">
        <is>
          <t>ZFE3</t>
        </is>
      </c>
      <c r="C1864" t="inlineStr">
        <is>
          <t>1000</t>
        </is>
      </c>
      <c r="D1864" t="inlineStr">
        <is>
          <t>M3</t>
        </is>
      </c>
      <c r="E1864" t="n">
        <v>1000</v>
      </c>
      <c r="F1864" t="inlineStr">
        <is>
          <t>TN</t>
        </is>
      </c>
      <c r="G1864" t="n">
        <v>1470</v>
      </c>
      <c r="H1864" t="inlineStr">
        <is>
          <t>GRAVA CALIZA DE 3/8" TAYRONA</t>
        </is>
      </c>
    </row>
    <row r="1865">
      <c r="A1865" t="n">
        <v>10222152</v>
      </c>
      <c r="B1865" t="inlineStr">
        <is>
          <t>ZFE3</t>
        </is>
      </c>
      <c r="C1865" t="inlineStr">
        <is>
          <t>1000</t>
        </is>
      </c>
      <c r="D1865" t="inlineStr">
        <is>
          <t>M3</t>
        </is>
      </c>
      <c r="E1865" t="n">
        <v>1000</v>
      </c>
      <c r="F1865" t="inlineStr">
        <is>
          <t>TN</t>
        </is>
      </c>
      <c r="G1865" t="n">
        <v>1477</v>
      </c>
      <c r="H1865" t="inlineStr">
        <is>
          <t>ARENA DE MAR LAVADA BAL-JD</t>
        </is>
      </c>
    </row>
    <row r="1866">
      <c r="A1866" t="n">
        <v>10222203</v>
      </c>
      <c r="B1866" t="inlineStr">
        <is>
          <t>ZFE3</t>
        </is>
      </c>
      <c r="C1866" t="inlineStr">
        <is>
          <t>1000</t>
        </is>
      </c>
      <c r="D1866" t="inlineStr">
        <is>
          <t>M3</t>
        </is>
      </c>
      <c r="E1866" t="n">
        <v>1000</v>
      </c>
      <c r="F1866" t="inlineStr">
        <is>
          <t>TN</t>
        </is>
      </c>
      <c r="G1866" t="n">
        <v>1430</v>
      </c>
      <c r="H1866" t="inlineStr">
        <is>
          <t>GRAVA CALIZA DE 3/4" DISAGRECAR</t>
        </is>
      </c>
    </row>
    <row r="1867">
      <c r="A1867" t="n">
        <v>10222204</v>
      </c>
      <c r="B1867" t="inlineStr">
        <is>
          <t>ZFE3</t>
        </is>
      </c>
      <c r="C1867" t="inlineStr">
        <is>
          <t>1000</t>
        </is>
      </c>
      <c r="D1867" t="inlineStr">
        <is>
          <t>M3</t>
        </is>
      </c>
      <c r="E1867" t="n">
        <v>1000</v>
      </c>
      <c r="F1867" t="inlineStr">
        <is>
          <t>TN</t>
        </is>
      </c>
      <c r="G1867" t="n">
        <v>1440</v>
      </c>
      <c r="H1867" t="inlineStr">
        <is>
          <t>GRAVA CALIZA DE 3/8" DISAGRECAR</t>
        </is>
      </c>
    </row>
    <row r="1868">
      <c r="A1868" t="n">
        <v>10222213</v>
      </c>
      <c r="B1868" t="inlineStr">
        <is>
          <t>ZFE3</t>
        </is>
      </c>
      <c r="C1868" t="inlineStr">
        <is>
          <t>1000</t>
        </is>
      </c>
      <c r="D1868" t="inlineStr">
        <is>
          <t>M3</t>
        </is>
      </c>
      <c r="E1868" t="n">
        <v>1000</v>
      </c>
      <c r="F1868" t="inlineStr">
        <is>
          <t>TN</t>
        </is>
      </c>
      <c r="G1868" t="n">
        <v>1498</v>
      </c>
      <c r="H1868" t="inlineStr">
        <is>
          <t>ARENA CLASIFICADA BASALTO MALLA 4-AZ</t>
        </is>
      </c>
    </row>
    <row r="1869">
      <c r="A1869" t="n">
        <v>10222214</v>
      </c>
      <c r="B1869" t="inlineStr">
        <is>
          <t>ZFE3</t>
        </is>
      </c>
      <c r="C1869" t="inlineStr">
        <is>
          <t>1000</t>
        </is>
      </c>
      <c r="D1869" t="inlineStr">
        <is>
          <t>M3</t>
        </is>
      </c>
      <c r="E1869" t="n">
        <v>1000</v>
      </c>
      <c r="F1869" t="inlineStr">
        <is>
          <t>TN</t>
        </is>
      </c>
      <c r="G1869" t="n">
        <v>1392</v>
      </c>
      <c r="H1869" t="inlineStr">
        <is>
          <t>ARENA DE BASALTO IND VAL CO</t>
        </is>
      </c>
    </row>
    <row r="1870">
      <c r="A1870" t="n">
        <v>10222215</v>
      </c>
      <c r="B1870" t="inlineStr">
        <is>
          <t>ZFE3</t>
        </is>
      </c>
      <c r="C1870" t="inlineStr">
        <is>
          <t>1000</t>
        </is>
      </c>
      <c r="D1870" t="inlineStr">
        <is>
          <t>M3</t>
        </is>
      </c>
      <c r="E1870" t="n">
        <v>1000</v>
      </c>
      <c r="F1870" t="inlineStr">
        <is>
          <t>TN</t>
        </is>
      </c>
      <c r="G1870" t="n">
        <v>1386</v>
      </c>
      <c r="H1870" t="inlineStr">
        <is>
          <t>PIEDRA NO.7 (1/2 - NO.4) IND VAL CO</t>
        </is>
      </c>
    </row>
    <row r="1871">
      <c r="A1871" t="n">
        <v>10222216</v>
      </c>
      <c r="B1871" t="inlineStr">
        <is>
          <t>ZFE3</t>
        </is>
      </c>
      <c r="C1871" t="inlineStr">
        <is>
          <t>1000</t>
        </is>
      </c>
      <c r="D1871" t="inlineStr">
        <is>
          <t>M3</t>
        </is>
      </c>
      <c r="E1871" t="n">
        <v>1000</v>
      </c>
      <c r="F1871" t="inlineStr">
        <is>
          <t>TN</t>
        </is>
      </c>
      <c r="G1871" t="n">
        <v>1327</v>
      </c>
      <c r="H1871" t="inlineStr">
        <is>
          <t>PIEDRA NO.56 (1-3/8") IND VAL CO.</t>
        </is>
      </c>
    </row>
    <row r="1872">
      <c r="A1872" t="n">
        <v>10222792</v>
      </c>
      <c r="B1872" t="inlineStr">
        <is>
          <t>ZFE3</t>
        </is>
      </c>
      <c r="C1872" t="inlineStr">
        <is>
          <t>1000</t>
        </is>
      </c>
      <c r="D1872" t="inlineStr">
        <is>
          <t>M3</t>
        </is>
      </c>
      <c r="E1872" t="n">
        <v>1000</v>
      </c>
      <c r="F1872" t="inlineStr">
        <is>
          <t>TN</t>
        </is>
      </c>
      <c r="G1872" t="n">
        <v>1331</v>
      </c>
      <c r="H1872" t="inlineStr">
        <is>
          <t>ARENA CALIZA TRITURADA MALLA 4</t>
        </is>
      </c>
    </row>
    <row r="1873">
      <c r="A1873" t="n">
        <v>10222836</v>
      </c>
      <c r="B1873" t="inlineStr">
        <is>
          <t>ZFE3</t>
        </is>
      </c>
      <c r="C1873" t="inlineStr">
        <is>
          <t>1000</t>
        </is>
      </c>
      <c r="D1873" t="inlineStr">
        <is>
          <t>M3</t>
        </is>
      </c>
      <c r="E1873" t="n">
        <v>1000</v>
      </c>
      <c r="F1873" t="inlineStr">
        <is>
          <t>TN</t>
        </is>
      </c>
      <c r="G1873" t="n">
        <v>1450</v>
      </c>
      <c r="H1873" t="inlineStr">
        <is>
          <t>ARENA FINA LAVADA ALTARSTONES</t>
        </is>
      </c>
    </row>
    <row r="1874">
      <c r="A1874" t="n">
        <v>10222859</v>
      </c>
      <c r="B1874" t="inlineStr">
        <is>
          <t>ZFE3</t>
        </is>
      </c>
      <c r="C1874" t="inlineStr">
        <is>
          <t>1000</t>
        </is>
      </c>
      <c r="D1874" t="inlineStr">
        <is>
          <t>M3</t>
        </is>
      </c>
      <c r="E1874" t="n">
        <v>1000</v>
      </c>
      <c r="F1874" t="inlineStr">
        <is>
          <t>TN</t>
        </is>
      </c>
      <c r="G1874" t="n">
        <v>1689</v>
      </c>
      <c r="H1874" t="inlineStr">
        <is>
          <t>ARENA TRITURADA T.M.N.A 04 MM</t>
        </is>
      </c>
    </row>
    <row r="1875">
      <c r="A1875" t="n">
        <v>10222897</v>
      </c>
      <c r="B1875" t="inlineStr">
        <is>
          <t>ZFE3</t>
        </is>
      </c>
      <c r="C1875" t="inlineStr">
        <is>
          <t>1000</t>
        </is>
      </c>
      <c r="D1875" t="inlineStr">
        <is>
          <t>M3</t>
        </is>
      </c>
      <c r="E1875" t="n">
        <v>1000</v>
      </c>
      <c r="F1875" t="inlineStr">
        <is>
          <t>TN</t>
        </is>
      </c>
      <c r="G1875" t="n">
        <v>1500</v>
      </c>
      <c r="H1875" t="inlineStr">
        <is>
          <t>PIEDRA BOLA DE RIO 4"</t>
        </is>
      </c>
    </row>
    <row r="1876">
      <c r="A1876" t="n">
        <v>10222898</v>
      </c>
      <c r="B1876" t="inlineStr">
        <is>
          <t>ZFE3</t>
        </is>
      </c>
      <c r="C1876" t="inlineStr">
        <is>
          <t>1000</t>
        </is>
      </c>
      <c r="D1876" t="inlineStr">
        <is>
          <t>M3</t>
        </is>
      </c>
      <c r="E1876" t="n">
        <v>1000</v>
      </c>
      <c r="F1876" t="inlineStr">
        <is>
          <t>TN</t>
        </is>
      </c>
      <c r="G1876" t="n">
        <v>1183</v>
      </c>
      <c r="H1876" t="inlineStr">
        <is>
          <t>GRAVA TRITURADA CALIZA 40 MM - 1 1/2"</t>
        </is>
      </c>
    </row>
    <row r="1877">
      <c r="A1877" t="n">
        <v>10222899</v>
      </c>
      <c r="B1877" t="inlineStr">
        <is>
          <t>ZFE3</t>
        </is>
      </c>
      <c r="C1877" t="inlineStr">
        <is>
          <t>1000</t>
        </is>
      </c>
      <c r="D1877" t="inlineStr">
        <is>
          <t>M3</t>
        </is>
      </c>
      <c r="E1877" t="n">
        <v>1000</v>
      </c>
      <c r="F1877" t="inlineStr">
        <is>
          <t>TN</t>
        </is>
      </c>
      <c r="G1877" t="n">
        <v>1216</v>
      </c>
      <c r="H1877" t="inlineStr">
        <is>
          <t>GRAVA TRITURADA CALIZA 20 MM - 3/4"</t>
        </is>
      </c>
    </row>
    <row r="1878">
      <c r="A1878" t="n">
        <v>10223154</v>
      </c>
      <c r="B1878" t="inlineStr">
        <is>
          <t>ZFE3</t>
        </is>
      </c>
      <c r="C1878" t="inlineStr">
        <is>
          <t>1000</t>
        </is>
      </c>
      <c r="D1878" t="inlineStr">
        <is>
          <t>M3</t>
        </is>
      </c>
      <c r="E1878" t="n">
        <v>1000</v>
      </c>
      <c r="F1878" t="inlineStr">
        <is>
          <t>TN</t>
        </is>
      </c>
      <c r="G1878" t="n">
        <v>1520</v>
      </c>
      <c r="H1878" t="inlineStr">
        <is>
          <t>LIMO CRIBADO</t>
        </is>
      </c>
    </row>
    <row r="1879">
      <c r="A1879" t="n">
        <v>10223251</v>
      </c>
      <c r="B1879" t="inlineStr">
        <is>
          <t>ZFE3</t>
        </is>
      </c>
      <c r="C1879" t="inlineStr">
        <is>
          <t>1000</t>
        </is>
      </c>
      <c r="D1879" t="inlineStr">
        <is>
          <t>M3</t>
        </is>
      </c>
      <c r="E1879" t="n">
        <v>1000</v>
      </c>
      <c r="F1879" t="inlineStr">
        <is>
          <t>TN</t>
        </is>
      </c>
      <c r="G1879" t="n">
        <v>1100</v>
      </c>
      <c r="H1879" t="inlineStr">
        <is>
          <t>GRAVA DESHIDRATADA</t>
        </is>
      </c>
    </row>
    <row r="1880">
      <c r="A1880" t="n">
        <v>10223252</v>
      </c>
      <c r="B1880" t="inlineStr">
        <is>
          <t>ZFE3</t>
        </is>
      </c>
      <c r="C1880" t="inlineStr">
        <is>
          <t>1000</t>
        </is>
      </c>
      <c r="D1880" t="inlineStr">
        <is>
          <t>M3</t>
        </is>
      </c>
      <c r="E1880" t="n">
        <v>1000</v>
      </c>
      <c r="F1880" t="inlineStr">
        <is>
          <t>TN</t>
        </is>
      </c>
      <c r="G1880" t="n">
        <v>1100</v>
      </c>
      <c r="H1880" t="inlineStr">
        <is>
          <t>ARENA DESHIDRATADA</t>
        </is>
      </c>
    </row>
    <row r="1881">
      <c r="A1881" t="n">
        <v>10223313</v>
      </c>
      <c r="B1881" t="inlineStr">
        <is>
          <t>ZFE3</t>
        </is>
      </c>
      <c r="C1881" t="inlineStr">
        <is>
          <t>1000</t>
        </is>
      </c>
      <c r="D1881" t="inlineStr">
        <is>
          <t>M3</t>
        </is>
      </c>
      <c r="E1881" t="n">
        <v>1000</v>
      </c>
      <c r="F1881" t="inlineStr">
        <is>
          <t>TN</t>
        </is>
      </c>
      <c r="G1881" t="n">
        <v>1450</v>
      </c>
      <c r="H1881" t="inlineStr">
        <is>
          <t>ARENA SILICA NG</t>
        </is>
      </c>
    </row>
    <row r="1882">
      <c r="A1882" t="n">
        <v>10223345</v>
      </c>
      <c r="B1882" t="inlineStr">
        <is>
          <t>ZFE3</t>
        </is>
      </c>
      <c r="C1882" t="inlineStr">
        <is>
          <t>1000</t>
        </is>
      </c>
      <c r="D1882" t="inlineStr">
        <is>
          <t>M3</t>
        </is>
      </c>
      <c r="E1882" t="n">
        <v>1000</v>
      </c>
      <c r="F1882" t="inlineStr">
        <is>
          <t>TN</t>
        </is>
      </c>
      <c r="G1882" t="n">
        <v>1220</v>
      </c>
      <c r="H1882" t="inlineStr">
        <is>
          <t>GRAVA TRITURADA CALIZA 20 MM - 3/4"</t>
        </is>
      </c>
    </row>
    <row r="1883">
      <c r="A1883" t="n">
        <v>10223522</v>
      </c>
      <c r="B1883" t="inlineStr">
        <is>
          <t>ZFE3</t>
        </is>
      </c>
      <c r="C1883" t="inlineStr">
        <is>
          <t>1000</t>
        </is>
      </c>
      <c r="D1883" t="inlineStr">
        <is>
          <t>M3</t>
        </is>
      </c>
      <c r="E1883" t="n">
        <v>1000</v>
      </c>
      <c r="F1883" t="inlineStr">
        <is>
          <t>TN</t>
        </is>
      </c>
      <c r="G1883" t="n">
        <v>1500</v>
      </c>
      <c r="H1883" t="inlineStr">
        <is>
          <t>GRAVA ALUVIAL 3/8" AVENSA</t>
        </is>
      </c>
    </row>
    <row r="1884">
      <c r="A1884" t="n">
        <v>10224050</v>
      </c>
      <c r="B1884" t="inlineStr">
        <is>
          <t>ZFE3</t>
        </is>
      </c>
      <c r="C1884" t="inlineStr">
        <is>
          <t>1000</t>
        </is>
      </c>
      <c r="D1884" t="inlineStr">
        <is>
          <t>M3</t>
        </is>
      </c>
      <c r="E1884" t="n">
        <v>1000</v>
      </c>
      <c r="F1884" t="inlineStr">
        <is>
          <t>TN</t>
        </is>
      </c>
      <c r="G1884" t="n">
        <v>1595</v>
      </c>
      <c r="H1884" t="inlineStr">
        <is>
          <t>POLVILLO (3/8" - 0) ROCK IND</t>
        </is>
      </c>
    </row>
    <row r="1885">
      <c r="A1885" t="n">
        <v>10224397</v>
      </c>
      <c r="B1885" t="inlineStr">
        <is>
          <t>ZFE3</t>
        </is>
      </c>
      <c r="C1885" t="inlineStr">
        <is>
          <t>1000</t>
        </is>
      </c>
      <c r="D1885" t="inlineStr">
        <is>
          <t>M3</t>
        </is>
      </c>
      <c r="E1885" t="n">
        <v>1000</v>
      </c>
      <c r="F1885" t="inlineStr">
        <is>
          <t>TN</t>
        </is>
      </c>
      <c r="G1885" t="n">
        <v>1486</v>
      </c>
      <c r="H1885" t="inlineStr">
        <is>
          <t>ARENA TRITURADA CALIZA MALLA 4</t>
        </is>
      </c>
    </row>
    <row r="1886">
      <c r="A1886" t="n">
        <v>10224398</v>
      </c>
      <c r="B1886" t="inlineStr">
        <is>
          <t>ZFE3</t>
        </is>
      </c>
      <c r="C1886" t="inlineStr">
        <is>
          <t>1000</t>
        </is>
      </c>
      <c r="D1886" t="inlineStr">
        <is>
          <t>M3</t>
        </is>
      </c>
      <c r="E1886" t="n">
        <v>1000</v>
      </c>
      <c r="F1886" t="inlineStr">
        <is>
          <t>TN</t>
        </is>
      </c>
      <c r="G1886" t="n">
        <v>1275</v>
      </c>
      <c r="H1886" t="inlineStr">
        <is>
          <t>GRAVA TRITURADA CALIZA 20MM-3/4"</t>
        </is>
      </c>
    </row>
    <row r="1887">
      <c r="A1887" t="n">
        <v>10224430</v>
      </c>
      <c r="B1887" t="inlineStr">
        <is>
          <t>ZFE3</t>
        </is>
      </c>
      <c r="C1887" t="inlineStr">
        <is>
          <t>1000</t>
        </is>
      </c>
      <c r="D1887" t="inlineStr">
        <is>
          <t>M3</t>
        </is>
      </c>
      <c r="E1887" t="n">
        <v>1000</v>
      </c>
      <c r="F1887" t="inlineStr">
        <is>
          <t>TN</t>
        </is>
      </c>
      <c r="G1887" t="n">
        <v>1350</v>
      </c>
      <c r="H1887" t="inlineStr">
        <is>
          <t>SELLO 3-A TRITURADO BASALTO BY PRODUCTS</t>
        </is>
      </c>
    </row>
    <row r="1888">
      <c r="A1888" t="n">
        <v>10224750</v>
      </c>
      <c r="B1888" t="inlineStr">
        <is>
          <t>ZFE3</t>
        </is>
      </c>
      <c r="C1888" t="inlineStr">
        <is>
          <t>1000</t>
        </is>
      </c>
      <c r="D1888" t="inlineStr">
        <is>
          <t>M3</t>
        </is>
      </c>
      <c r="E1888" t="n">
        <v>1000</v>
      </c>
      <c r="F1888" t="inlineStr">
        <is>
          <t>TN</t>
        </is>
      </c>
      <c r="G1888" t="n">
        <v>1322</v>
      </c>
      <c r="H1888" t="inlineStr">
        <is>
          <t>ARENA TRITURADA CALIZA MALLA 4</t>
        </is>
      </c>
    </row>
    <row r="1889">
      <c r="A1889" t="n">
        <v>10224775</v>
      </c>
      <c r="B1889" t="inlineStr">
        <is>
          <t>ZFE3</t>
        </is>
      </c>
      <c r="C1889" t="inlineStr">
        <is>
          <t>1000</t>
        </is>
      </c>
      <c r="D1889" t="inlineStr">
        <is>
          <t>M3</t>
        </is>
      </c>
      <c r="E1889" t="n">
        <v>1000</v>
      </c>
      <c r="F1889" t="inlineStr">
        <is>
          <t>TN</t>
        </is>
      </c>
      <c r="G1889" t="n">
        <v>1595</v>
      </c>
      <c r="H1889" t="inlineStr">
        <is>
          <t>ARENA ALUVIAL TUNJUELO TOLIMA</t>
        </is>
      </c>
    </row>
    <row r="1890">
      <c r="A1890" t="n">
        <v>10224776</v>
      </c>
      <c r="B1890" t="inlineStr">
        <is>
          <t>ZFE3</t>
        </is>
      </c>
      <c r="C1890" t="inlineStr">
        <is>
          <t>1000</t>
        </is>
      </c>
      <c r="D1890" t="inlineStr">
        <is>
          <t>M3</t>
        </is>
      </c>
      <c r="E1890" t="n">
        <v>1000</v>
      </c>
      <c r="F1890" t="inlineStr">
        <is>
          <t>TN</t>
        </is>
      </c>
      <c r="G1890" t="n">
        <v>1602</v>
      </c>
      <c r="H1890" t="inlineStr">
        <is>
          <t>ARENA ALUVIAL TUNJUELO VILLAVICENCIO</t>
        </is>
      </c>
    </row>
    <row r="1891">
      <c r="A1891" t="n">
        <v>10226085</v>
      </c>
      <c r="B1891" t="inlineStr">
        <is>
          <t>ZFE3</t>
        </is>
      </c>
      <c r="C1891" t="inlineStr">
        <is>
          <t>1000</t>
        </is>
      </c>
      <c r="D1891" t="inlineStr">
        <is>
          <t>M3</t>
        </is>
      </c>
      <c r="E1891" t="n">
        <v>1000</v>
      </c>
      <c r="F1891" t="inlineStr">
        <is>
          <t>TN</t>
        </is>
      </c>
      <c r="G1891" t="n">
        <v>1536</v>
      </c>
      <c r="H1891" t="inlineStr">
        <is>
          <t>GRAVA 20MM</t>
        </is>
      </c>
    </row>
    <row r="1892">
      <c r="A1892" t="n">
        <v>10226174</v>
      </c>
      <c r="B1892" t="inlineStr">
        <is>
          <t>ZFE3</t>
        </is>
      </c>
      <c r="C1892" t="inlineStr">
        <is>
          <t>1000</t>
        </is>
      </c>
      <c r="D1892" t="inlineStr">
        <is>
          <t>M3</t>
        </is>
      </c>
      <c r="E1892" t="n">
        <v>1000</v>
      </c>
      <c r="F1892" t="inlineStr">
        <is>
          <t>TN</t>
        </is>
      </c>
      <c r="G1892" t="n">
        <v>1440</v>
      </c>
      <c r="H1892" t="inlineStr">
        <is>
          <t>GRAVA CLASIFICADA RÍO 20 MM - 3/4" - NG</t>
        </is>
      </c>
    </row>
    <row r="1893">
      <c r="A1893" t="n">
        <v>10226233</v>
      </c>
      <c r="B1893" t="inlineStr">
        <is>
          <t>ZFE3</t>
        </is>
      </c>
      <c r="C1893" t="inlineStr">
        <is>
          <t>1000</t>
        </is>
      </c>
      <c r="D1893" t="inlineStr">
        <is>
          <t>M3</t>
        </is>
      </c>
      <c r="E1893" t="n">
        <v>1000</v>
      </c>
      <c r="F1893" t="inlineStr">
        <is>
          <t>TN</t>
        </is>
      </c>
      <c r="G1893" t="n">
        <v>1650</v>
      </c>
      <c r="H1893" t="inlineStr">
        <is>
          <t>AFIRMADO 10% PLAST CANTERA MALABRIGO</t>
        </is>
      </c>
    </row>
    <row r="1894">
      <c r="A1894" t="n">
        <v>10226234</v>
      </c>
      <c r="B1894" t="inlineStr">
        <is>
          <t>ZFE3</t>
        </is>
      </c>
      <c r="C1894" t="inlineStr">
        <is>
          <t>1000</t>
        </is>
      </c>
      <c r="D1894" t="inlineStr">
        <is>
          <t>M3</t>
        </is>
      </c>
      <c r="E1894" t="n">
        <v>1000</v>
      </c>
      <c r="F1894" t="inlineStr">
        <is>
          <t>TN</t>
        </is>
      </c>
      <c r="G1894" t="n">
        <v>1700</v>
      </c>
      <c r="H1894" t="inlineStr">
        <is>
          <t>PIEDRA FILTRO CANTERA MALABRIGO</t>
        </is>
      </c>
    </row>
    <row r="1895">
      <c r="A1895" t="n">
        <v>10226235</v>
      </c>
      <c r="B1895" t="inlineStr">
        <is>
          <t>ZFE3</t>
        </is>
      </c>
      <c r="C1895" t="inlineStr">
        <is>
          <t>1000</t>
        </is>
      </c>
      <c r="D1895" t="inlineStr">
        <is>
          <t>M3</t>
        </is>
      </c>
      <c r="E1895" t="n">
        <v>1000</v>
      </c>
      <c r="F1895" t="inlineStr">
        <is>
          <t>TN</t>
        </is>
      </c>
      <c r="G1895" t="n">
        <v>1750</v>
      </c>
      <c r="H1895" t="inlineStr">
        <is>
          <t>BASE GRANULAR CANTERA MALABRIGO</t>
        </is>
      </c>
    </row>
    <row r="1896">
      <c r="A1896" t="n">
        <v>10226393</v>
      </c>
      <c r="B1896" t="inlineStr">
        <is>
          <t>ZFE3</t>
        </is>
      </c>
      <c r="C1896" t="inlineStr">
        <is>
          <t>1000</t>
        </is>
      </c>
      <c r="D1896" t="inlineStr">
        <is>
          <t>M3</t>
        </is>
      </c>
      <c r="E1896" t="n">
        <v>1000</v>
      </c>
      <c r="F1896" t="inlineStr">
        <is>
          <t>TN</t>
        </is>
      </c>
      <c r="G1896" t="n">
        <v>1470</v>
      </c>
      <c r="H1896" t="inlineStr">
        <is>
          <t>GRAVA TRITURADA ANDESITA 10 MM - 3/8" -N</t>
        </is>
      </c>
    </row>
    <row r="1897">
      <c r="A1897" t="n">
        <v>10226398</v>
      </c>
      <c r="B1897" t="inlineStr">
        <is>
          <t>ZFE3</t>
        </is>
      </c>
      <c r="C1897" t="inlineStr">
        <is>
          <t>1000</t>
        </is>
      </c>
      <c r="D1897" t="inlineStr">
        <is>
          <t>M3</t>
        </is>
      </c>
      <c r="E1897" t="n">
        <v>1000</v>
      </c>
      <c r="F1897" t="inlineStr">
        <is>
          <t>TN</t>
        </is>
      </c>
      <c r="G1897" t="n">
        <v>1450</v>
      </c>
      <c r="H1897" t="inlineStr">
        <is>
          <t>GRAVA TRITURADA ANDESITA 10 MM - 3/8"-NG</t>
        </is>
      </c>
    </row>
    <row r="1898">
      <c r="A1898" t="n">
        <v>10226523</v>
      </c>
      <c r="B1898" t="inlineStr">
        <is>
          <t>ZFE3</t>
        </is>
      </c>
      <c r="C1898" t="inlineStr">
        <is>
          <t>1000</t>
        </is>
      </c>
      <c r="D1898" t="inlineStr">
        <is>
          <t>M3</t>
        </is>
      </c>
      <c r="E1898" t="n">
        <v>1000</v>
      </c>
      <c r="F1898" t="inlineStr">
        <is>
          <t>TN</t>
        </is>
      </c>
      <c r="G1898" t="n">
        <v>1611</v>
      </c>
      <c r="H1898" t="inlineStr">
        <is>
          <t>BASE H TRIT CALIZA CEM 3% 1 1/2" A FINOS</t>
        </is>
      </c>
    </row>
    <row r="1899">
      <c r="A1899" t="n">
        <v>10226537</v>
      </c>
      <c r="B1899" t="inlineStr">
        <is>
          <t>ZFE3</t>
        </is>
      </c>
      <c r="C1899" t="inlineStr">
        <is>
          <t>1000</t>
        </is>
      </c>
      <c r="D1899" t="inlineStr">
        <is>
          <t>M3</t>
        </is>
      </c>
      <c r="E1899" t="n">
        <v>1000</v>
      </c>
      <c r="F1899" t="inlineStr">
        <is>
          <t>TN</t>
        </is>
      </c>
      <c r="G1899" t="n">
        <v>1533</v>
      </c>
      <c r="H1899" t="inlineStr">
        <is>
          <t>SCREEN (DESPOLVE NOCLA)</t>
        </is>
      </c>
    </row>
    <row r="1900">
      <c r="A1900" t="n">
        <v>10226538</v>
      </c>
      <c r="B1900" t="inlineStr">
        <is>
          <t>ZFE3</t>
        </is>
      </c>
      <c r="C1900" t="inlineStr">
        <is>
          <t>1000</t>
        </is>
      </c>
      <c r="D1900" t="inlineStr">
        <is>
          <t>M3</t>
        </is>
      </c>
      <c r="E1900" t="n">
        <v>1000</v>
      </c>
      <c r="F1900" t="inlineStr">
        <is>
          <t>TN</t>
        </is>
      </c>
      <c r="G1900" t="n">
        <v>1630</v>
      </c>
      <c r="H1900" t="inlineStr">
        <is>
          <t>ARENA 4</t>
        </is>
      </c>
    </row>
    <row r="1901">
      <c r="A1901" t="n">
        <v>10226539</v>
      </c>
      <c r="B1901" t="inlineStr">
        <is>
          <t>ZFE3</t>
        </is>
      </c>
      <c r="C1901" t="inlineStr">
        <is>
          <t>1000</t>
        </is>
      </c>
      <c r="D1901" t="inlineStr">
        <is>
          <t>M3</t>
        </is>
      </c>
      <c r="E1901" t="n">
        <v>1000</v>
      </c>
      <c r="F1901" t="inlineStr">
        <is>
          <t>TN</t>
        </is>
      </c>
      <c r="G1901" t="n">
        <v>1457</v>
      </c>
      <c r="H1901" t="inlineStr">
        <is>
          <t>PIEDRA NO.7 (1/2 - NO.4) GO. CO.</t>
        </is>
      </c>
    </row>
    <row r="1902">
      <c r="A1902" t="n">
        <v>10226544</v>
      </c>
      <c r="B1902" t="inlineStr">
        <is>
          <t>ZFE3</t>
        </is>
      </c>
      <c r="C1902" t="inlineStr">
        <is>
          <t>1000</t>
        </is>
      </c>
      <c r="D1902" t="inlineStr">
        <is>
          <t>M3</t>
        </is>
      </c>
      <c r="E1902" t="n">
        <v>1000</v>
      </c>
      <c r="F1902" t="inlineStr">
        <is>
          <t>TN</t>
        </is>
      </c>
      <c r="G1902" t="n">
        <v>1379</v>
      </c>
      <c r="H1902" t="inlineStr">
        <is>
          <t>PIEDRA NO.56 (1 - 3/8") GO. CO.</t>
        </is>
      </c>
    </row>
    <row r="1903">
      <c r="A1903" t="n">
        <v>10226561</v>
      </c>
      <c r="B1903" t="inlineStr">
        <is>
          <t>ZFE3</t>
        </is>
      </c>
      <c r="C1903" t="inlineStr">
        <is>
          <t>1000</t>
        </is>
      </c>
      <c r="D1903" t="inlineStr">
        <is>
          <t>M3</t>
        </is>
      </c>
      <c r="E1903" t="n">
        <v>1000</v>
      </c>
      <c r="F1903" t="inlineStr">
        <is>
          <t>TN</t>
        </is>
      </c>
      <c r="G1903" t="n">
        <v>1700</v>
      </c>
      <c r="H1903" t="inlineStr">
        <is>
          <t>BASE HIDRÁULICA 70%FINOS-30%GRUESOS C</t>
        </is>
      </c>
    </row>
    <row r="1904">
      <c r="A1904" t="n">
        <v>10226574</v>
      </c>
      <c r="B1904" t="inlineStr">
        <is>
          <t>ZFE3</t>
        </is>
      </c>
      <c r="C1904" t="inlineStr">
        <is>
          <t>1000</t>
        </is>
      </c>
      <c r="D1904" t="inlineStr">
        <is>
          <t>M3</t>
        </is>
      </c>
      <c r="E1904" t="n">
        <v>1000</v>
      </c>
      <c r="F1904" t="inlineStr">
        <is>
          <t>TN</t>
        </is>
      </c>
      <c r="G1904" t="n">
        <v>1239</v>
      </c>
      <c r="H1904" t="inlineStr">
        <is>
          <t>GRAVA TRITURADA CALIZA 20MM 3/4</t>
        </is>
      </c>
    </row>
    <row r="1905">
      <c r="A1905" t="n">
        <v>10227581</v>
      </c>
      <c r="B1905" t="inlineStr">
        <is>
          <t>ZFE3</t>
        </is>
      </c>
      <c r="C1905" t="inlineStr">
        <is>
          <t>1000</t>
        </is>
      </c>
      <c r="D1905" t="inlineStr">
        <is>
          <t>M3</t>
        </is>
      </c>
      <c r="E1905" t="n">
        <v>1000</v>
      </c>
      <c r="F1905" t="inlineStr">
        <is>
          <t>TN</t>
        </is>
      </c>
      <c r="G1905" t="n">
        <v>1607</v>
      </c>
      <c r="H1905" t="inlineStr">
        <is>
          <t>ARENA TRITURADA CALIZA MALLA 4</t>
        </is>
      </c>
    </row>
    <row r="1906">
      <c r="A1906" t="n">
        <v>10227582</v>
      </c>
      <c r="B1906" t="inlineStr">
        <is>
          <t>ZFE3</t>
        </is>
      </c>
      <c r="C1906" t="inlineStr">
        <is>
          <t>1000</t>
        </is>
      </c>
      <c r="D1906" t="inlineStr">
        <is>
          <t>M3</t>
        </is>
      </c>
      <c r="E1906" t="n">
        <v>1000</v>
      </c>
      <c r="F1906" t="inlineStr">
        <is>
          <t>TN</t>
        </is>
      </c>
      <c r="G1906" t="n">
        <v>1217</v>
      </c>
      <c r="H1906" t="inlineStr">
        <is>
          <t>GRAVA TRITURADA CALIZA 20 MM - 3/4"</t>
        </is>
      </c>
    </row>
    <row r="1907">
      <c r="A1907" t="n">
        <v>10227586</v>
      </c>
      <c r="B1907" t="inlineStr">
        <is>
          <t>ZFE3</t>
        </is>
      </c>
      <c r="C1907" t="inlineStr">
        <is>
          <t>1000</t>
        </is>
      </c>
      <c r="D1907" t="inlineStr">
        <is>
          <t>M3</t>
        </is>
      </c>
      <c r="E1907" t="n">
        <v>1000</v>
      </c>
      <c r="F1907" t="inlineStr">
        <is>
          <t>TN</t>
        </is>
      </c>
      <c r="G1907" t="n">
        <v>1650</v>
      </c>
      <c r="H1907" t="inlineStr">
        <is>
          <t>CRUDO 12" DE DIAMETRO MALABRIGO</t>
        </is>
      </c>
    </row>
    <row r="1908">
      <c r="A1908" t="n">
        <v>10227598</v>
      </c>
      <c r="B1908" t="inlineStr">
        <is>
          <t>ZFE3</t>
        </is>
      </c>
      <c r="C1908" t="inlineStr">
        <is>
          <t>1000</t>
        </is>
      </c>
      <c r="D1908" t="inlineStr">
        <is>
          <t>M3</t>
        </is>
      </c>
      <c r="E1908" t="n">
        <v>1000</v>
      </c>
      <c r="F1908" t="inlineStr">
        <is>
          <t>TN</t>
        </is>
      </c>
      <c r="G1908" t="n">
        <v>1185</v>
      </c>
      <c r="H1908" t="inlineStr">
        <is>
          <t>ARENA ANDESITA LIGERA</t>
        </is>
      </c>
    </row>
    <row r="1909">
      <c r="A1909" t="n">
        <v>10227599</v>
      </c>
      <c r="B1909" t="inlineStr">
        <is>
          <t>ZFE3</t>
        </is>
      </c>
      <c r="C1909" t="inlineStr">
        <is>
          <t>1000</t>
        </is>
      </c>
      <c r="D1909" t="inlineStr">
        <is>
          <t>M3</t>
        </is>
      </c>
      <c r="E1909" t="n">
        <v>1000</v>
      </c>
      <c r="F1909" t="inlineStr">
        <is>
          <t>TN</t>
        </is>
      </c>
      <c r="G1909" t="n">
        <v>1440</v>
      </c>
      <c r="H1909" t="inlineStr">
        <is>
          <t>GRAVA TRITURADA CALIZA 20 MM - 3/4" NG</t>
        </is>
      </c>
    </row>
    <row r="1910">
      <c r="A1910" t="n">
        <v>10227664</v>
      </c>
      <c r="B1910" t="inlineStr">
        <is>
          <t>ZFE3</t>
        </is>
      </c>
      <c r="C1910" t="inlineStr">
        <is>
          <t>1000</t>
        </is>
      </c>
      <c r="D1910" t="inlineStr">
        <is>
          <t>M3</t>
        </is>
      </c>
      <c r="E1910" t="n">
        <v>1000</v>
      </c>
      <c r="F1910" t="inlineStr">
        <is>
          <t>TN</t>
        </is>
      </c>
      <c r="G1910" t="n">
        <v>1600</v>
      </c>
      <c r="H1910" t="inlineStr">
        <is>
          <t>ARENA TRITURADA DEL LLANO CONCIVILES</t>
        </is>
      </c>
    </row>
    <row r="1911">
      <c r="A1911" t="n">
        <v>10227665</v>
      </c>
      <c r="B1911" t="inlineStr">
        <is>
          <t>ZFE3</t>
        </is>
      </c>
      <c r="C1911" t="inlineStr">
        <is>
          <t>1000</t>
        </is>
      </c>
      <c r="D1911" t="inlineStr">
        <is>
          <t>M3</t>
        </is>
      </c>
      <c r="E1911" t="n">
        <v>1000</v>
      </c>
      <c r="F1911" t="inlineStr">
        <is>
          <t>TN</t>
        </is>
      </c>
      <c r="G1911" t="n">
        <v>1307</v>
      </c>
      <c r="H1911" t="inlineStr">
        <is>
          <t>GRAVA TRITURADA CALIZA 10MM -3/8</t>
        </is>
      </c>
    </row>
    <row r="1912">
      <c r="A1912" t="n">
        <v>10227666</v>
      </c>
      <c r="B1912" t="inlineStr">
        <is>
          <t>ZFE3</t>
        </is>
      </c>
      <c r="C1912" t="inlineStr">
        <is>
          <t>1000</t>
        </is>
      </c>
      <c r="D1912" t="inlineStr">
        <is>
          <t>M3</t>
        </is>
      </c>
      <c r="E1912" t="n">
        <v>1000</v>
      </c>
      <c r="F1912" t="inlineStr">
        <is>
          <t>TN</t>
        </is>
      </c>
      <c r="G1912" t="n">
        <v>1374</v>
      </c>
      <c r="H1912" t="inlineStr">
        <is>
          <t>ARENA TRITURADA CALIZA MALLA 4</t>
        </is>
      </c>
    </row>
    <row r="1913">
      <c r="A1913" t="n">
        <v>10227667</v>
      </c>
      <c r="B1913" t="inlineStr">
        <is>
          <t>ZFE3</t>
        </is>
      </c>
      <c r="C1913" t="inlineStr">
        <is>
          <t>1000</t>
        </is>
      </c>
      <c r="D1913" t="inlineStr">
        <is>
          <t>M3</t>
        </is>
      </c>
      <c r="E1913" t="n">
        <v>1000</v>
      </c>
      <c r="F1913" t="inlineStr">
        <is>
          <t>TN</t>
        </is>
      </c>
      <c r="G1913" t="n">
        <v>1332</v>
      </c>
      <c r="H1913" t="inlineStr">
        <is>
          <t>GRAVA TRITURDA CALIZA 20MM 3/4</t>
        </is>
      </c>
    </row>
    <row r="1914">
      <c r="A1914" t="n">
        <v>10227693</v>
      </c>
      <c r="B1914" t="inlineStr">
        <is>
          <t>ZFE3</t>
        </is>
      </c>
      <c r="C1914" t="inlineStr">
        <is>
          <t>1000</t>
        </is>
      </c>
      <c r="D1914" t="inlineStr">
        <is>
          <t>M3</t>
        </is>
      </c>
      <c r="E1914" t="n">
        <v>1000</v>
      </c>
      <c r="F1914" t="inlineStr">
        <is>
          <t>TN</t>
        </is>
      </c>
      <c r="G1914" t="n">
        <v>1610</v>
      </c>
      <c r="H1914" t="inlineStr">
        <is>
          <t>ARENA GRUESA GRUPO SCHZ &amp; CONSTS</t>
        </is>
      </c>
    </row>
    <row r="1915">
      <c r="A1915" t="n">
        <v>10227694</v>
      </c>
      <c r="B1915" t="inlineStr">
        <is>
          <t>ZFE3</t>
        </is>
      </c>
      <c r="C1915" t="inlineStr">
        <is>
          <t>1000</t>
        </is>
      </c>
      <c r="D1915" t="inlineStr">
        <is>
          <t>M3</t>
        </is>
      </c>
      <c r="E1915" t="n">
        <v>1000</v>
      </c>
      <c r="F1915" t="inlineStr">
        <is>
          <t>TN</t>
        </is>
      </c>
      <c r="G1915" t="n">
        <v>1415</v>
      </c>
      <c r="H1915" t="inlineStr">
        <is>
          <t>GRAVA TRITURADA ANDESITA 20 MM - 3/4" NG</t>
        </is>
      </c>
    </row>
    <row r="1916">
      <c r="A1916" t="n">
        <v>10227695</v>
      </c>
      <c r="B1916" t="inlineStr">
        <is>
          <t>ZFE3</t>
        </is>
      </c>
      <c r="C1916" t="inlineStr">
        <is>
          <t>1000</t>
        </is>
      </c>
      <c r="D1916" t="inlineStr">
        <is>
          <t>M3</t>
        </is>
      </c>
      <c r="E1916" t="n">
        <v>1000</v>
      </c>
      <c r="F1916" t="inlineStr">
        <is>
          <t>TN</t>
        </is>
      </c>
      <c r="G1916" t="n">
        <v>1434</v>
      </c>
      <c r="H1916" t="inlineStr">
        <is>
          <t>GRAVA TRITURADA GRANITO 20MM ¾</t>
        </is>
      </c>
    </row>
    <row r="1917">
      <c r="A1917" t="n">
        <v>10227851</v>
      </c>
      <c r="B1917" t="inlineStr">
        <is>
          <t>ZFE3</t>
        </is>
      </c>
      <c r="C1917" t="inlineStr">
        <is>
          <t>1000</t>
        </is>
      </c>
      <c r="D1917" t="inlineStr">
        <is>
          <t>M3</t>
        </is>
      </c>
      <c r="E1917" t="n">
        <v>1000</v>
      </c>
      <c r="F1917" t="inlineStr">
        <is>
          <t>TN</t>
        </is>
      </c>
      <c r="G1917" t="n">
        <v>1440</v>
      </c>
      <c r="H1917" t="inlineStr">
        <is>
          <t>GRAVA TRITURADA CALIZA 20 MM - 3/4" NG</t>
        </is>
      </c>
    </row>
    <row r="1918">
      <c r="A1918" t="n">
        <v>10227855</v>
      </c>
      <c r="B1918" t="inlineStr">
        <is>
          <t>ZFE3</t>
        </is>
      </c>
      <c r="C1918" t="inlineStr">
        <is>
          <t>1000</t>
        </is>
      </c>
      <c r="D1918" t="inlineStr">
        <is>
          <t>M3</t>
        </is>
      </c>
      <c r="E1918" t="n">
        <v>1000</v>
      </c>
      <c r="F1918" t="inlineStr">
        <is>
          <t>TN</t>
        </is>
      </c>
      <c r="G1918" t="n">
        <v>1315</v>
      </c>
      <c r="H1918" t="inlineStr">
        <is>
          <t>GRAVA TRITURADA ANDESITA 10 MM - 3/8" NG</t>
        </is>
      </c>
    </row>
    <row r="1919">
      <c r="A1919" t="n">
        <v>10227870</v>
      </c>
      <c r="B1919" t="inlineStr">
        <is>
          <t>ZFE3</t>
        </is>
      </c>
      <c r="C1919" t="inlineStr">
        <is>
          <t>1000</t>
        </is>
      </c>
      <c r="D1919" t="inlineStr">
        <is>
          <t>M3</t>
        </is>
      </c>
      <c r="E1919" t="n">
        <v>1000</v>
      </c>
      <c r="F1919" t="inlineStr">
        <is>
          <t>TN</t>
        </is>
      </c>
      <c r="G1919" t="n">
        <v>1271</v>
      </c>
      <c r="H1919" t="inlineStr">
        <is>
          <t>ARENA ANDESITA LIGERA</t>
        </is>
      </c>
    </row>
    <row r="1920">
      <c r="A1920" t="n">
        <v>10227871</v>
      </c>
      <c r="B1920" t="inlineStr">
        <is>
          <t>ZFE3</t>
        </is>
      </c>
      <c r="C1920" t="inlineStr">
        <is>
          <t>1000</t>
        </is>
      </c>
      <c r="D1920" t="inlineStr">
        <is>
          <t>M3</t>
        </is>
      </c>
      <c r="E1920" t="n">
        <v>1000</v>
      </c>
      <c r="F1920" t="inlineStr">
        <is>
          <t>TN</t>
        </is>
      </c>
      <c r="G1920" t="n">
        <v>1382</v>
      </c>
      <c r="H1920" t="inlineStr">
        <is>
          <t>GRAVA CLASIFICADA RIO 20 MM - 3/4"</t>
        </is>
      </c>
    </row>
    <row r="1921">
      <c r="A1921" t="n">
        <v>10227873</v>
      </c>
      <c r="B1921" t="inlineStr">
        <is>
          <t>ZFE3</t>
        </is>
      </c>
      <c r="C1921" t="inlineStr">
        <is>
          <t>1000</t>
        </is>
      </c>
      <c r="D1921" t="inlineStr">
        <is>
          <t>M3</t>
        </is>
      </c>
      <c r="E1921" t="n">
        <v>1000</v>
      </c>
      <c r="F1921" t="inlineStr">
        <is>
          <t>TN</t>
        </is>
      </c>
      <c r="G1921" t="n">
        <v>1378</v>
      </c>
      <c r="H1921" t="inlineStr">
        <is>
          <t>GRAVA CLASIFICADA RÍO 40 MM - 1 1/2"</t>
        </is>
      </c>
    </row>
    <row r="1922">
      <c r="A1922" t="n">
        <v>10227874</v>
      </c>
      <c r="B1922" t="inlineStr">
        <is>
          <t>ZFE3</t>
        </is>
      </c>
      <c r="C1922" t="inlineStr">
        <is>
          <t>1000</t>
        </is>
      </c>
      <c r="D1922" t="inlineStr">
        <is>
          <t>M3</t>
        </is>
      </c>
      <c r="E1922" t="n">
        <v>1000</v>
      </c>
      <c r="F1922" t="inlineStr">
        <is>
          <t>TN</t>
        </is>
      </c>
      <c r="G1922" t="n">
        <v>1449</v>
      </c>
      <c r="H1922" t="inlineStr">
        <is>
          <t>GRAVA CLASIFICADA RIO 10 MM 3/8</t>
        </is>
      </c>
    </row>
    <row r="1923">
      <c r="A1923" t="n">
        <v>10228031</v>
      </c>
      <c r="B1923" t="inlineStr">
        <is>
          <t>ZFE3</t>
        </is>
      </c>
      <c r="C1923" t="inlineStr">
        <is>
          <t>1000</t>
        </is>
      </c>
      <c r="D1923" t="inlineStr">
        <is>
          <t>M3</t>
        </is>
      </c>
      <c r="E1923" t="n">
        <v>1000</v>
      </c>
      <c r="F1923" t="inlineStr">
        <is>
          <t>TN</t>
        </is>
      </c>
      <c r="G1923" t="n">
        <v>1406</v>
      </c>
      <c r="H1923" t="inlineStr">
        <is>
          <t>ARENA MEZCLA 50% LAVADA 50% CRIBADA</t>
        </is>
      </c>
    </row>
    <row r="1924">
      <c r="A1924" t="n">
        <v>10228149</v>
      </c>
      <c r="B1924" t="inlineStr">
        <is>
          <t>ZFE3</t>
        </is>
      </c>
      <c r="C1924" t="inlineStr">
        <is>
          <t>1000</t>
        </is>
      </c>
      <c r="D1924" t="inlineStr">
        <is>
          <t>M3</t>
        </is>
      </c>
      <c r="E1924" t="n">
        <v>1000</v>
      </c>
      <c r="F1924" t="inlineStr">
        <is>
          <t>TN</t>
        </is>
      </c>
      <c r="G1924" t="n">
        <v>1717</v>
      </c>
      <c r="H1924" t="inlineStr">
        <is>
          <t>ARENA TRITURADA BASALTO MALLA 4</t>
        </is>
      </c>
    </row>
    <row r="1925">
      <c r="A1925" t="n">
        <v>10228198</v>
      </c>
      <c r="B1925" t="inlineStr">
        <is>
          <t>ZFE3</t>
        </is>
      </c>
      <c r="C1925" t="inlineStr">
        <is>
          <t>1000</t>
        </is>
      </c>
      <c r="D1925" t="inlineStr">
        <is>
          <t>M3</t>
        </is>
      </c>
      <c r="E1925" t="n">
        <v>1000</v>
      </c>
      <c r="F1925" t="inlineStr">
        <is>
          <t>TN</t>
        </is>
      </c>
      <c r="G1925" t="n">
        <v>1317</v>
      </c>
      <c r="H1925" t="inlineStr">
        <is>
          <t>ARENA TRITURADA CALIZA MALLA 4</t>
        </is>
      </c>
    </row>
    <row r="1926">
      <c r="A1926" t="n">
        <v>10228199</v>
      </c>
      <c r="B1926" t="inlineStr">
        <is>
          <t>ZFE3</t>
        </is>
      </c>
      <c r="C1926" t="inlineStr">
        <is>
          <t>1000</t>
        </is>
      </c>
      <c r="D1926" t="inlineStr">
        <is>
          <t>M3</t>
        </is>
      </c>
      <c r="E1926" t="n">
        <v>1000</v>
      </c>
      <c r="F1926" t="inlineStr">
        <is>
          <t>TN</t>
        </is>
      </c>
      <c r="G1926" t="n">
        <v>1273</v>
      </c>
      <c r="H1926" t="inlineStr">
        <is>
          <t>GRAVA TRITURDA CALIZA 20MM 3/4</t>
        </is>
      </c>
    </row>
    <row r="1927">
      <c r="A1927" t="n">
        <v>10228304</v>
      </c>
      <c r="B1927" t="inlineStr">
        <is>
          <t>ZFE3</t>
        </is>
      </c>
      <c r="C1927" t="inlineStr">
        <is>
          <t>1000</t>
        </is>
      </c>
      <c r="D1927" t="inlineStr">
        <is>
          <t>M3</t>
        </is>
      </c>
      <c r="E1927" t="n">
        <v>1000</v>
      </c>
      <c r="F1927" t="inlineStr">
        <is>
          <t>TN</t>
        </is>
      </c>
      <c r="G1927" t="n">
        <v>1419</v>
      </c>
      <c r="H1927" t="inlineStr">
        <is>
          <t>ARENA ANDESITA LAVADA MALLA 4</t>
        </is>
      </c>
    </row>
    <row r="1928">
      <c r="A1928" t="n">
        <v>10228308</v>
      </c>
      <c r="B1928" t="inlineStr">
        <is>
          <t>ZFE3</t>
        </is>
      </c>
      <c r="C1928" t="inlineStr">
        <is>
          <t>1000</t>
        </is>
      </c>
      <c r="D1928" t="inlineStr">
        <is>
          <t>M3</t>
        </is>
      </c>
      <c r="E1928" t="n">
        <v>1000</v>
      </c>
      <c r="F1928" t="inlineStr">
        <is>
          <t>TN</t>
        </is>
      </c>
      <c r="G1928" t="n">
        <v>1460</v>
      </c>
      <c r="H1928" t="inlineStr">
        <is>
          <t>GRAVA TRITURADA RÍO 40 MM - 1 1/2"</t>
        </is>
      </c>
    </row>
    <row r="1929">
      <c r="A1929" t="n">
        <v>10228357</v>
      </c>
      <c r="B1929" t="inlineStr">
        <is>
          <t>ZFE3</t>
        </is>
      </c>
      <c r="C1929" t="inlineStr">
        <is>
          <t>1000</t>
        </is>
      </c>
      <c r="D1929" t="inlineStr">
        <is>
          <t>M3</t>
        </is>
      </c>
      <c r="E1929" t="n">
        <v>1000</v>
      </c>
      <c r="F1929" t="inlineStr">
        <is>
          <t>TN</t>
        </is>
      </c>
      <c r="G1929" t="n">
        <v>1550</v>
      </c>
      <c r="H1929" t="inlineStr">
        <is>
          <t>QUARRY RUN-NG</t>
        </is>
      </c>
    </row>
    <row r="1930">
      <c r="A1930" t="n">
        <v>10228359</v>
      </c>
      <c r="B1930" t="inlineStr">
        <is>
          <t>ZFE3</t>
        </is>
      </c>
      <c r="C1930" t="inlineStr">
        <is>
          <t>1000</t>
        </is>
      </c>
      <c r="D1930" t="inlineStr">
        <is>
          <t>M3</t>
        </is>
      </c>
      <c r="E1930" t="n">
        <v>1000</v>
      </c>
      <c r="F1930" t="inlineStr">
        <is>
          <t>TN</t>
        </is>
      </c>
      <c r="G1930" t="n">
        <v>1550</v>
      </c>
      <c r="H1930" t="inlineStr">
        <is>
          <t>CALIZA DE 45 A 180 MM-NG</t>
        </is>
      </c>
    </row>
    <row r="1931">
      <c r="A1931" t="n">
        <v>10229016</v>
      </c>
      <c r="B1931" t="inlineStr">
        <is>
          <t>ZFE3</t>
        </is>
      </c>
      <c r="C1931" t="inlineStr">
        <is>
          <t>1000</t>
        </is>
      </c>
      <c r="D1931" t="inlineStr">
        <is>
          <t>M3</t>
        </is>
      </c>
      <c r="E1931" t="n">
        <v>1000</v>
      </c>
      <c r="F1931" t="inlineStr">
        <is>
          <t>TN</t>
        </is>
      </c>
      <c r="G1931" t="n">
        <v>1413</v>
      </c>
      <c r="H1931" t="inlineStr">
        <is>
          <t>ARENA TRITURADA CALIZA MALLA 4</t>
        </is>
      </c>
    </row>
    <row r="1932">
      <c r="A1932" t="n">
        <v>10229017</v>
      </c>
      <c r="B1932" t="inlineStr">
        <is>
          <t>ZFE3</t>
        </is>
      </c>
      <c r="C1932" t="inlineStr">
        <is>
          <t>1000</t>
        </is>
      </c>
      <c r="D1932" t="inlineStr">
        <is>
          <t>M3</t>
        </is>
      </c>
      <c r="E1932" t="n">
        <v>1000</v>
      </c>
      <c r="F1932" t="inlineStr">
        <is>
          <t>TN</t>
        </is>
      </c>
      <c r="G1932" t="n">
        <v>1550</v>
      </c>
      <c r="H1932" t="inlineStr">
        <is>
          <t>UNDERLAYER- NG</t>
        </is>
      </c>
    </row>
    <row r="1933">
      <c r="A1933" t="n">
        <v>10229019</v>
      </c>
      <c r="B1933" t="inlineStr">
        <is>
          <t>ZFE3</t>
        </is>
      </c>
      <c r="C1933" t="inlineStr">
        <is>
          <t>1000</t>
        </is>
      </c>
      <c r="D1933" t="inlineStr">
        <is>
          <t>M3</t>
        </is>
      </c>
      <c r="E1933" t="n">
        <v>1000</v>
      </c>
      <c r="F1933" t="inlineStr">
        <is>
          <t>TN</t>
        </is>
      </c>
      <c r="G1933" t="n">
        <v>1550</v>
      </c>
      <c r="H1933" t="inlineStr">
        <is>
          <t>ARMOUR (1-3T) -NG</t>
        </is>
      </c>
    </row>
    <row r="1934">
      <c r="A1934" t="n">
        <v>10229189</v>
      </c>
      <c r="B1934" t="inlineStr">
        <is>
          <t>ZFE3</t>
        </is>
      </c>
      <c r="C1934" t="inlineStr">
        <is>
          <t>1000</t>
        </is>
      </c>
      <c r="D1934" t="inlineStr">
        <is>
          <t>M3</t>
        </is>
      </c>
      <c r="E1934" t="n">
        <v>1000</v>
      </c>
      <c r="F1934" t="inlineStr">
        <is>
          <t>TN</t>
        </is>
      </c>
      <c r="G1934" t="n">
        <v>1700</v>
      </c>
      <c r="H1934" t="inlineStr">
        <is>
          <t>CRUDO SAVA</t>
        </is>
      </c>
    </row>
    <row r="1935">
      <c r="A1935" t="n">
        <v>10229215</v>
      </c>
      <c r="B1935" t="inlineStr">
        <is>
          <t>ZFE3</t>
        </is>
      </c>
      <c r="C1935" t="inlineStr">
        <is>
          <t>1000</t>
        </is>
      </c>
      <c r="D1935" t="inlineStr">
        <is>
          <t>M3</t>
        </is>
      </c>
      <c r="E1935" t="n">
        <v>1000</v>
      </c>
      <c r="F1935" t="inlineStr">
        <is>
          <t>TN</t>
        </is>
      </c>
      <c r="G1935" t="n">
        <v>1396</v>
      </c>
      <c r="H1935" t="inlineStr">
        <is>
          <t>ARENA TRITURADA CALIZA MALLA 4</t>
        </is>
      </c>
    </row>
    <row r="1936">
      <c r="A1936" t="n">
        <v>10229494</v>
      </c>
      <c r="B1936" t="inlineStr">
        <is>
          <t>ZFE3</t>
        </is>
      </c>
      <c r="C1936" t="inlineStr">
        <is>
          <t>1000</t>
        </is>
      </c>
      <c r="D1936" t="inlineStr">
        <is>
          <t>M3</t>
        </is>
      </c>
      <c r="E1936" t="n">
        <v>1000</v>
      </c>
      <c r="F1936" t="inlineStr">
        <is>
          <t>TN</t>
        </is>
      </c>
      <c r="G1936" t="n">
        <v>1800</v>
      </c>
      <c r="H1936" t="inlineStr">
        <is>
          <t>AFIRMADO SAVA</t>
        </is>
      </c>
    </row>
    <row r="1937">
      <c r="A1937" t="n">
        <v>10230102</v>
      </c>
      <c r="B1937" t="inlineStr">
        <is>
          <t>ZFE3</t>
        </is>
      </c>
      <c r="C1937" t="inlineStr">
        <is>
          <t>1000</t>
        </is>
      </c>
      <c r="D1937" t="inlineStr">
        <is>
          <t>M3</t>
        </is>
      </c>
      <c r="E1937" t="n">
        <v>1000</v>
      </c>
      <c r="F1937" t="inlineStr">
        <is>
          <t>TN</t>
        </is>
      </c>
      <c r="G1937" t="n">
        <v>1600</v>
      </c>
      <c r="H1937" t="inlineStr">
        <is>
          <t>ARENA GRUESA A&amp;G SAN PEDRO</t>
        </is>
      </c>
    </row>
    <row r="1938">
      <c r="A1938" t="n">
        <v>10230221</v>
      </c>
      <c r="B1938" t="inlineStr">
        <is>
          <t>ZFE3</t>
        </is>
      </c>
      <c r="C1938" t="inlineStr">
        <is>
          <t>1000</t>
        </is>
      </c>
      <c r="D1938" t="inlineStr">
        <is>
          <t>M3</t>
        </is>
      </c>
      <c r="E1938" t="n">
        <v>1000</v>
      </c>
      <c r="F1938" t="inlineStr">
        <is>
          <t>TN</t>
        </is>
      </c>
      <c r="G1938" t="n">
        <v>1400</v>
      </c>
      <c r="H1938" t="inlineStr">
        <is>
          <t>GRAVA ALUVIAL 3/4" DRAGADOS DEL VALLE</t>
        </is>
      </c>
    </row>
    <row r="1939">
      <c r="A1939" t="n">
        <v>10230222</v>
      </c>
      <c r="B1939" t="inlineStr">
        <is>
          <t>ZFE3</t>
        </is>
      </c>
      <c r="C1939" t="inlineStr">
        <is>
          <t>1000</t>
        </is>
      </c>
      <c r="D1939" t="inlineStr">
        <is>
          <t>M3</t>
        </is>
      </c>
      <c r="E1939" t="n">
        <v>1000</v>
      </c>
      <c r="F1939" t="inlineStr">
        <is>
          <t>TN</t>
        </is>
      </c>
      <c r="G1939" t="n">
        <v>1400</v>
      </c>
      <c r="H1939" t="inlineStr">
        <is>
          <t>GRAVA ALUVIAL ½# DRAGADOS DEL VALLE</t>
        </is>
      </c>
    </row>
    <row r="1940">
      <c r="A1940" t="n">
        <v>10230421</v>
      </c>
      <c r="B1940" t="inlineStr">
        <is>
          <t>ZFE3</t>
        </is>
      </c>
      <c r="C1940" t="inlineStr">
        <is>
          <t>1000</t>
        </is>
      </c>
      <c r="D1940" t="inlineStr">
        <is>
          <t>M3</t>
        </is>
      </c>
      <c r="E1940" t="n">
        <v>1000</v>
      </c>
      <c r="F1940" t="inlineStr">
        <is>
          <t>TN</t>
        </is>
      </c>
      <c r="G1940" t="n">
        <v>1419</v>
      </c>
      <c r="H1940" t="inlineStr">
        <is>
          <t>ARENA MOLIDA</t>
        </is>
      </c>
    </row>
    <row r="1941">
      <c r="A1941" t="n">
        <v>10230501</v>
      </c>
      <c r="B1941" t="inlineStr">
        <is>
          <t>ZFE3</t>
        </is>
      </c>
      <c r="C1941" t="inlineStr">
        <is>
          <t>1000</t>
        </is>
      </c>
      <c r="D1941" t="inlineStr">
        <is>
          <t>M3</t>
        </is>
      </c>
      <c r="E1941" t="n">
        <v>1000</v>
      </c>
      <c r="F1941" t="inlineStr">
        <is>
          <t>TN</t>
        </is>
      </c>
      <c r="G1941" t="n">
        <v>1503</v>
      </c>
      <c r="H1941" t="inlineStr">
        <is>
          <t>ARENA TRITURADA CALIZA MALLA 5</t>
        </is>
      </c>
    </row>
    <row r="1942">
      <c r="A1942" t="n">
        <v>10230502</v>
      </c>
      <c r="B1942" t="inlineStr">
        <is>
          <t>ZFE3</t>
        </is>
      </c>
      <c r="C1942" t="inlineStr">
        <is>
          <t>1000</t>
        </is>
      </c>
      <c r="D1942" t="inlineStr">
        <is>
          <t>M3</t>
        </is>
      </c>
      <c r="E1942" t="n">
        <v>1000</v>
      </c>
      <c r="F1942" t="inlineStr">
        <is>
          <t>TN</t>
        </is>
      </c>
      <c r="G1942" t="n">
        <v>1273</v>
      </c>
      <c r="H1942" t="inlineStr">
        <is>
          <t>GRAVA TRITURADA CALIZA 3/4 20MM</t>
        </is>
      </c>
    </row>
    <row r="1943">
      <c r="A1943" t="n">
        <v>10230503</v>
      </c>
      <c r="B1943" t="inlineStr">
        <is>
          <t>ZFE3</t>
        </is>
      </c>
      <c r="C1943" t="inlineStr">
        <is>
          <t>1000</t>
        </is>
      </c>
      <c r="D1943" t="inlineStr">
        <is>
          <t>M3</t>
        </is>
      </c>
      <c r="E1943" t="n">
        <v>1000</v>
      </c>
      <c r="F1943" t="inlineStr">
        <is>
          <t>TN</t>
        </is>
      </c>
      <c r="G1943" t="n">
        <v>1276</v>
      </c>
      <c r="H1943" t="inlineStr">
        <is>
          <t>GRAVA TRITURADA CALIZA 3/4 20MM</t>
        </is>
      </c>
    </row>
    <row r="1944">
      <c r="A1944" t="n">
        <v>10230504</v>
      </c>
      <c r="B1944" t="inlineStr">
        <is>
          <t>ZFE3</t>
        </is>
      </c>
      <c r="C1944" t="inlineStr">
        <is>
          <t>1000</t>
        </is>
      </c>
      <c r="D1944" t="inlineStr">
        <is>
          <t>M3</t>
        </is>
      </c>
      <c r="E1944" t="n">
        <v>1000</v>
      </c>
      <c r="F1944" t="inlineStr">
        <is>
          <t>TN</t>
        </is>
      </c>
      <c r="G1944" t="n">
        <v>1409</v>
      </c>
      <c r="H1944" t="inlineStr">
        <is>
          <t>ARENA TRITURADA CALIZA MALLA 5</t>
        </is>
      </c>
    </row>
    <row r="1945">
      <c r="A1945" t="n">
        <v>10230536</v>
      </c>
      <c r="B1945" t="inlineStr">
        <is>
          <t>ZFE3</t>
        </is>
      </c>
      <c r="C1945" t="inlineStr">
        <is>
          <t>1000</t>
        </is>
      </c>
      <c r="D1945" t="inlineStr">
        <is>
          <t>M3</t>
        </is>
      </c>
      <c r="E1945" t="n">
        <v>1000</v>
      </c>
      <c r="F1945" t="inlineStr">
        <is>
          <t>TN</t>
        </is>
      </c>
      <c r="G1945" t="n">
        <v>1450</v>
      </c>
      <c r="H1945" t="inlineStr">
        <is>
          <t>GRAVA ALUVIAL ¾# BELLAVISTA</t>
        </is>
      </c>
    </row>
    <row r="1946">
      <c r="A1946" t="n">
        <v>10230578</v>
      </c>
      <c r="B1946" t="inlineStr">
        <is>
          <t>ZFE3</t>
        </is>
      </c>
      <c r="C1946" t="inlineStr">
        <is>
          <t>1000</t>
        </is>
      </c>
      <c r="D1946" t="inlineStr">
        <is>
          <t>M3</t>
        </is>
      </c>
      <c r="E1946" t="n">
        <v>1000</v>
      </c>
      <c r="F1946" t="inlineStr">
        <is>
          <t>TN</t>
        </is>
      </c>
      <c r="G1946" t="n">
        <v>1670</v>
      </c>
      <c r="H1946" t="inlineStr">
        <is>
          <t>ARENA CANTRAX PEP PLANTA BELLO</t>
        </is>
      </c>
    </row>
    <row r="1947">
      <c r="A1947" t="n">
        <v>10230579</v>
      </c>
      <c r="B1947" t="inlineStr">
        <is>
          <t>ZFE3</t>
        </is>
      </c>
      <c r="C1947" t="inlineStr">
        <is>
          <t>1000</t>
        </is>
      </c>
      <c r="D1947" t="inlineStr">
        <is>
          <t>M3</t>
        </is>
      </c>
      <c r="E1947" t="n">
        <v>1000</v>
      </c>
      <c r="F1947" t="inlineStr">
        <is>
          <t>TN</t>
        </is>
      </c>
      <c r="G1947" t="n">
        <v>1530</v>
      </c>
      <c r="H1947" t="inlineStr">
        <is>
          <t>GRAVA 1/2" CANTRAX PEP PLANTA BELLO</t>
        </is>
      </c>
    </row>
    <row r="1948">
      <c r="A1948" t="n">
        <v>10230707</v>
      </c>
      <c r="B1948" t="inlineStr">
        <is>
          <t>ZFE3</t>
        </is>
      </c>
      <c r="C1948" t="inlineStr">
        <is>
          <t>1000</t>
        </is>
      </c>
      <c r="D1948" t="inlineStr">
        <is>
          <t>M3</t>
        </is>
      </c>
      <c r="E1948" t="n">
        <v>1000</v>
      </c>
      <c r="F1948" t="inlineStr">
        <is>
          <t>TN</t>
        </is>
      </c>
      <c r="G1948" t="n">
        <v>1323</v>
      </c>
      <c r="H1948" t="inlineStr">
        <is>
          <t>GRAVA TRITURADA BASALTO  20 MM - 3/4" ES</t>
        </is>
      </c>
    </row>
    <row r="1949">
      <c r="A1949" t="n">
        <v>10230708</v>
      </c>
      <c r="B1949" t="inlineStr">
        <is>
          <t>ZFE3</t>
        </is>
      </c>
      <c r="C1949" t="inlineStr">
        <is>
          <t>1000</t>
        </is>
      </c>
      <c r="D1949" t="inlineStr">
        <is>
          <t>M3</t>
        </is>
      </c>
      <c r="E1949" t="n">
        <v>1000</v>
      </c>
      <c r="F1949" t="inlineStr">
        <is>
          <t>TN</t>
        </is>
      </c>
      <c r="G1949" t="n">
        <v>1508</v>
      </c>
      <c r="H1949" t="inlineStr">
        <is>
          <t>GRAVA TRITURADA BASALTO 3/4 - 3/8</t>
        </is>
      </c>
    </row>
    <row r="1950">
      <c r="A1950" t="n">
        <v>10230709</v>
      </c>
      <c r="B1950" t="inlineStr">
        <is>
          <t>ZFE3</t>
        </is>
      </c>
      <c r="C1950" t="inlineStr">
        <is>
          <t>1000</t>
        </is>
      </c>
      <c r="D1950" t="inlineStr">
        <is>
          <t>M3</t>
        </is>
      </c>
      <c r="E1950" t="n">
        <v>1000</v>
      </c>
      <c r="F1950" t="inlineStr">
        <is>
          <t>TN</t>
        </is>
      </c>
      <c r="G1950" t="n">
        <v>2200</v>
      </c>
      <c r="H1950" t="inlineStr">
        <is>
          <t>ESCOMBRO CONCRETO NG</t>
        </is>
      </c>
    </row>
    <row r="1951">
      <c r="A1951" t="n">
        <v>10230731</v>
      </c>
      <c r="B1951" t="inlineStr">
        <is>
          <t>ZFE3</t>
        </is>
      </c>
      <c r="C1951" t="inlineStr">
        <is>
          <t>1000</t>
        </is>
      </c>
      <c r="D1951" t="inlineStr">
        <is>
          <t>M3</t>
        </is>
      </c>
      <c r="E1951" t="n">
        <v>1000</v>
      </c>
      <c r="F1951" t="inlineStr">
        <is>
          <t>TN</t>
        </is>
      </c>
      <c r="G1951" t="n">
        <v>1292</v>
      </c>
      <c r="H1951" t="inlineStr">
        <is>
          <t>GRAVA TRITURADA CALIZA 3/4 20MM</t>
        </is>
      </c>
    </row>
    <row r="1952">
      <c r="A1952" t="n">
        <v>10230732</v>
      </c>
      <c r="B1952" t="inlineStr">
        <is>
          <t>ZFE3</t>
        </is>
      </c>
      <c r="C1952" t="inlineStr">
        <is>
          <t>1000</t>
        </is>
      </c>
      <c r="D1952" t="inlineStr">
        <is>
          <t>M3</t>
        </is>
      </c>
      <c r="E1952" t="n">
        <v>1000</v>
      </c>
      <c r="F1952" t="inlineStr">
        <is>
          <t>TN</t>
        </is>
      </c>
      <c r="G1952" t="n">
        <v>1670</v>
      </c>
      <c r="H1952" t="inlineStr">
        <is>
          <t>ARENA CANTRAX PEP PLANTA ESTRELLA</t>
        </is>
      </c>
    </row>
    <row r="1953">
      <c r="A1953" t="n">
        <v>10230733</v>
      </c>
      <c r="B1953" t="inlineStr">
        <is>
          <t>ZFE3</t>
        </is>
      </c>
      <c r="C1953" t="inlineStr">
        <is>
          <t>1000</t>
        </is>
      </c>
      <c r="D1953" t="inlineStr">
        <is>
          <t>M3</t>
        </is>
      </c>
      <c r="E1953" t="n">
        <v>1000</v>
      </c>
      <c r="F1953" t="inlineStr">
        <is>
          <t>TN</t>
        </is>
      </c>
      <c r="G1953" t="n">
        <v>1530</v>
      </c>
      <c r="H1953" t="inlineStr">
        <is>
          <t>GRAVA 1/2" CANTRAX PEP PLANTA ESTRELLA</t>
        </is>
      </c>
    </row>
    <row r="1954">
      <c r="A1954" t="n">
        <v>10230734</v>
      </c>
      <c r="B1954" t="inlineStr">
        <is>
          <t>ZFE3</t>
        </is>
      </c>
      <c r="C1954" t="inlineStr">
        <is>
          <t>1000</t>
        </is>
      </c>
      <c r="D1954" t="inlineStr">
        <is>
          <t>M3</t>
        </is>
      </c>
      <c r="E1954" t="n">
        <v>1000</v>
      </c>
      <c r="F1954" t="inlineStr">
        <is>
          <t>TN</t>
        </is>
      </c>
      <c r="G1954" t="n">
        <v>1530</v>
      </c>
      <c r="H1954" t="inlineStr">
        <is>
          <t>GRAVA 1" CANTRAX PEP PLANTA ESTRELLA</t>
        </is>
      </c>
    </row>
    <row r="1955">
      <c r="A1955" t="n">
        <v>10231370</v>
      </c>
      <c r="B1955" t="inlineStr">
        <is>
          <t>ZFE3</t>
        </is>
      </c>
      <c r="C1955" t="inlineStr">
        <is>
          <t>1000</t>
        </is>
      </c>
      <c r="D1955" t="inlineStr">
        <is>
          <t>M3</t>
        </is>
      </c>
      <c r="E1955" t="n">
        <v>1000</v>
      </c>
      <c r="F1955" t="inlineStr">
        <is>
          <t>TN</t>
        </is>
      </c>
      <c r="G1955" t="n">
        <v>1530</v>
      </c>
      <c r="H1955" t="inlineStr">
        <is>
          <t>GRAVA 1" CANTRAX PEP PLANTA BELLO</t>
        </is>
      </c>
    </row>
    <row r="1956">
      <c r="A1956" t="n">
        <v>10231377</v>
      </c>
      <c r="B1956" t="inlineStr">
        <is>
          <t>ZFE3</t>
        </is>
      </c>
      <c r="C1956" t="inlineStr">
        <is>
          <t>1000</t>
        </is>
      </c>
      <c r="D1956" t="inlineStr">
        <is>
          <t>M3</t>
        </is>
      </c>
      <c r="E1956" t="n">
        <v>1000</v>
      </c>
      <c r="F1956" t="inlineStr">
        <is>
          <t>TN</t>
        </is>
      </c>
      <c r="G1956" t="n">
        <v>1670</v>
      </c>
      <c r="H1956" t="inlineStr">
        <is>
          <t>ARENA CANTRAX PEP PLANTA RIONEGRO</t>
        </is>
      </c>
    </row>
    <row r="1957">
      <c r="A1957" t="n">
        <v>10231378</v>
      </c>
      <c r="B1957" t="inlineStr">
        <is>
          <t>ZFE3</t>
        </is>
      </c>
      <c r="C1957" t="inlineStr">
        <is>
          <t>1000</t>
        </is>
      </c>
      <c r="D1957" t="inlineStr">
        <is>
          <t>M3</t>
        </is>
      </c>
      <c r="E1957" t="n">
        <v>1000</v>
      </c>
      <c r="F1957" t="inlineStr">
        <is>
          <t>TN</t>
        </is>
      </c>
      <c r="G1957" t="n">
        <v>1530</v>
      </c>
      <c r="H1957" t="inlineStr">
        <is>
          <t>GRAVA 1/2" CANTRAX PEP PLANTA RIONEGRO</t>
        </is>
      </c>
    </row>
    <row r="1958">
      <c r="A1958" t="n">
        <v>10231379</v>
      </c>
      <c r="B1958" t="inlineStr">
        <is>
          <t>ZFE3</t>
        </is>
      </c>
      <c r="C1958" t="inlineStr">
        <is>
          <t>1000</t>
        </is>
      </c>
      <c r="D1958" t="inlineStr">
        <is>
          <t>M3</t>
        </is>
      </c>
      <c r="E1958" t="n">
        <v>1000</v>
      </c>
      <c r="F1958" t="inlineStr">
        <is>
          <t>TN</t>
        </is>
      </c>
      <c r="G1958" t="n">
        <v>1530</v>
      </c>
      <c r="H1958" t="inlineStr">
        <is>
          <t>GRAVA 1" CANTRAX PEP PLANTA RIONEGRO</t>
        </is>
      </c>
    </row>
    <row r="1959">
      <c r="A1959" t="n">
        <v>10231740</v>
      </c>
      <c r="B1959" t="inlineStr">
        <is>
          <t>ZFE3</t>
        </is>
      </c>
      <c r="C1959" t="inlineStr">
        <is>
          <t>1000</t>
        </is>
      </c>
      <c r="D1959" t="inlineStr">
        <is>
          <t>M3</t>
        </is>
      </c>
      <c r="E1959" t="n">
        <v>1000</v>
      </c>
      <c r="F1959" t="inlineStr">
        <is>
          <t>TN</t>
        </is>
      </c>
      <c r="G1959" t="n">
        <v>1271</v>
      </c>
      <c r="H1959" t="inlineStr">
        <is>
          <t>GRAVA TRITURADA CALIZA 20MM 3/4</t>
        </is>
      </c>
    </row>
    <row r="1960">
      <c r="A1960" t="n">
        <v>10232465</v>
      </c>
      <c r="B1960" t="inlineStr">
        <is>
          <t>ZFE3</t>
        </is>
      </c>
      <c r="C1960" t="inlineStr">
        <is>
          <t>1000</t>
        </is>
      </c>
      <c r="D1960" t="inlineStr">
        <is>
          <t>M3</t>
        </is>
      </c>
      <c r="E1960" t="n">
        <v>1000</v>
      </c>
      <c r="F1960" t="inlineStr">
        <is>
          <t>TN</t>
        </is>
      </c>
      <c r="G1960" t="n">
        <v>1205</v>
      </c>
      <c r="H1960" t="inlineStr">
        <is>
          <t>GRAVA TRITURADA CALIZA 13 MM - 1/2"</t>
        </is>
      </c>
    </row>
    <row r="1961">
      <c r="A1961" t="n">
        <v>10232466</v>
      </c>
      <c r="B1961" t="inlineStr">
        <is>
          <t>ZFE3</t>
        </is>
      </c>
      <c r="C1961" t="inlineStr">
        <is>
          <t>1000</t>
        </is>
      </c>
      <c r="D1961" t="inlineStr">
        <is>
          <t>M3</t>
        </is>
      </c>
      <c r="E1961" t="n">
        <v>1000</v>
      </c>
      <c r="F1961" t="inlineStr">
        <is>
          <t>TN</t>
        </is>
      </c>
      <c r="G1961" t="n">
        <v>1125</v>
      </c>
      <c r="H1961" t="inlineStr">
        <is>
          <t>GRAVA TRITURADA CALIZA 10 MM - 3/8"</t>
        </is>
      </c>
    </row>
    <row r="1962">
      <c r="A1962" t="n">
        <v>10232467</v>
      </c>
      <c r="B1962" t="inlineStr">
        <is>
          <t>ZFE3</t>
        </is>
      </c>
      <c r="C1962" t="inlineStr">
        <is>
          <t>1000</t>
        </is>
      </c>
      <c r="D1962" t="inlineStr">
        <is>
          <t>M3</t>
        </is>
      </c>
      <c r="E1962" t="n">
        <v>1000</v>
      </c>
      <c r="F1962" t="inlineStr">
        <is>
          <t>TN</t>
        </is>
      </c>
      <c r="G1962" t="n">
        <v>1158</v>
      </c>
      <c r="H1962" t="inlineStr">
        <is>
          <t>GRAVA TRITURADA CALIZA 20 MM - 3/4"</t>
        </is>
      </c>
    </row>
    <row r="1963">
      <c r="A1963" t="n">
        <v>10232468</v>
      </c>
      <c r="B1963" t="inlineStr">
        <is>
          <t>ZFE3</t>
        </is>
      </c>
      <c r="C1963" t="inlineStr">
        <is>
          <t>1000</t>
        </is>
      </c>
      <c r="D1963" t="inlineStr">
        <is>
          <t>M3</t>
        </is>
      </c>
      <c r="E1963" t="n">
        <v>1000</v>
      </c>
      <c r="F1963" t="inlineStr">
        <is>
          <t>TN</t>
        </is>
      </c>
      <c r="G1963" t="n">
        <v>1430</v>
      </c>
      <c r="H1963" t="inlineStr">
        <is>
          <t>ARENA TRITURADA CALIZA MALLA 4</t>
        </is>
      </c>
    </row>
    <row r="1964">
      <c r="A1964" t="n">
        <v>10232469</v>
      </c>
      <c r="B1964" t="inlineStr">
        <is>
          <t>ZFE3</t>
        </is>
      </c>
      <c r="C1964" t="inlineStr">
        <is>
          <t>1000</t>
        </is>
      </c>
      <c r="D1964" t="inlineStr">
        <is>
          <t>M3</t>
        </is>
      </c>
      <c r="E1964" t="n">
        <v>1000</v>
      </c>
      <c r="F1964" t="inlineStr">
        <is>
          <t>TN</t>
        </is>
      </c>
      <c r="G1964" t="n">
        <v>1449</v>
      </c>
      <c r="H1964" t="inlineStr">
        <is>
          <t>ARENA TRITURADA CALIZA MALLA 4</t>
        </is>
      </c>
    </row>
    <row r="1965">
      <c r="A1965" t="n">
        <v>10232510</v>
      </c>
      <c r="B1965" t="inlineStr">
        <is>
          <t>ZFE3</t>
        </is>
      </c>
      <c r="C1965" t="inlineStr">
        <is>
          <t>1000</t>
        </is>
      </c>
      <c r="D1965" t="inlineStr">
        <is>
          <t>M3</t>
        </is>
      </c>
      <c r="E1965" t="n">
        <v>1000</v>
      </c>
      <c r="F1965" t="inlineStr">
        <is>
          <t>TN</t>
        </is>
      </c>
      <c r="G1965" t="n">
        <v>1488</v>
      </c>
      <c r="H1965" t="inlineStr">
        <is>
          <t>ARENA TRITURADA CALIZA MALLA 4</t>
        </is>
      </c>
    </row>
    <row r="1966">
      <c r="A1966" t="n">
        <v>10232717</v>
      </c>
      <c r="B1966" t="inlineStr">
        <is>
          <t>ZFE3</t>
        </is>
      </c>
      <c r="C1966" t="inlineStr">
        <is>
          <t>1000</t>
        </is>
      </c>
      <c r="D1966" t="inlineStr">
        <is>
          <t>M3</t>
        </is>
      </c>
      <c r="E1966" t="n">
        <v>1000</v>
      </c>
      <c r="F1966" t="inlineStr">
        <is>
          <t>TN</t>
        </is>
      </c>
      <c r="G1966" t="n">
        <v>1541</v>
      </c>
      <c r="H1966" t="inlineStr">
        <is>
          <t>ARENA TRITURADA CALIZA MALLA 4</t>
        </is>
      </c>
    </row>
    <row r="1967">
      <c r="A1967" t="n">
        <v>10233033</v>
      </c>
      <c r="B1967" t="inlineStr">
        <is>
          <t>ZFE3</t>
        </is>
      </c>
      <c r="C1967" t="inlineStr">
        <is>
          <t>1000</t>
        </is>
      </c>
      <c r="D1967" t="inlineStr">
        <is>
          <t>M3</t>
        </is>
      </c>
      <c r="E1967" t="n">
        <v>1000</v>
      </c>
      <c r="F1967" t="inlineStr">
        <is>
          <t>TN</t>
        </is>
      </c>
      <c r="G1967" t="n">
        <v>1400</v>
      </c>
      <c r="H1967" t="inlineStr">
        <is>
          <t>GRAVA TRITURADA CALIZA 13 MM - 1/2" P</t>
        </is>
      </c>
    </row>
    <row r="1968">
      <c r="A1968" t="n">
        <v>10233126</v>
      </c>
      <c r="B1968" t="inlineStr">
        <is>
          <t>ZFE3</t>
        </is>
      </c>
      <c r="C1968" t="inlineStr">
        <is>
          <t>1000</t>
        </is>
      </c>
      <c r="D1968" t="inlineStr">
        <is>
          <t>M3</t>
        </is>
      </c>
      <c r="E1968" t="n">
        <v>1000</v>
      </c>
      <c r="F1968" t="inlineStr">
        <is>
          <t>TN</t>
        </is>
      </c>
      <c r="G1968" t="n">
        <v>1249</v>
      </c>
      <c r="H1968" t="inlineStr">
        <is>
          <t>GRAVA TRITURADA CALIZA 20 MM - 3/4"</t>
        </is>
      </c>
    </row>
    <row r="1969">
      <c r="A1969" t="n">
        <v>10233127</v>
      </c>
      <c r="B1969" t="inlineStr">
        <is>
          <t>ZFE3</t>
        </is>
      </c>
      <c r="C1969" t="inlineStr">
        <is>
          <t>1000</t>
        </is>
      </c>
      <c r="D1969" t="inlineStr">
        <is>
          <t>M3</t>
        </is>
      </c>
      <c r="E1969" t="n">
        <v>1000</v>
      </c>
      <c r="F1969" t="inlineStr">
        <is>
          <t>TN</t>
        </is>
      </c>
      <c r="G1969" t="n">
        <v>1177</v>
      </c>
      <c r="H1969" t="inlineStr">
        <is>
          <t>GRAVA TRITURADA CALIZA 13 MM - 1/2"</t>
        </is>
      </c>
    </row>
    <row r="1970">
      <c r="A1970" t="n">
        <v>10233134</v>
      </c>
      <c r="B1970" t="inlineStr">
        <is>
          <t>ZFE3</t>
        </is>
      </c>
      <c r="C1970" t="inlineStr">
        <is>
          <t>1000</t>
        </is>
      </c>
      <c r="D1970" t="inlineStr">
        <is>
          <t>M3</t>
        </is>
      </c>
      <c r="E1970" t="n">
        <v>1000</v>
      </c>
      <c r="F1970" t="inlineStr">
        <is>
          <t>TN</t>
        </is>
      </c>
      <c r="G1970" t="n">
        <v>1577</v>
      </c>
      <c r="H1970" t="inlineStr">
        <is>
          <t>ARENA TRITURADA BASALTO MALLA 1/4"</t>
        </is>
      </c>
    </row>
    <row r="1971">
      <c r="A1971" t="n">
        <v>10233143</v>
      </c>
      <c r="B1971" t="inlineStr">
        <is>
          <t>ZFE3</t>
        </is>
      </c>
      <c r="C1971" t="inlineStr">
        <is>
          <t>1000</t>
        </is>
      </c>
      <c r="D1971" t="inlineStr">
        <is>
          <t>M3</t>
        </is>
      </c>
      <c r="E1971" t="n">
        <v>1000</v>
      </c>
      <c r="F1971" t="inlineStr">
        <is>
          <t>TN</t>
        </is>
      </c>
      <c r="G1971" t="n">
        <v>1645</v>
      </c>
      <c r="H1971" t="inlineStr">
        <is>
          <t>ARENA TRITURADA BASALTO MALLA 4</t>
        </is>
      </c>
    </row>
    <row r="1972">
      <c r="A1972" t="n">
        <v>10233331</v>
      </c>
      <c r="B1972" t="inlineStr">
        <is>
          <t>ZFE3</t>
        </is>
      </c>
      <c r="C1972" t="inlineStr">
        <is>
          <t>1000</t>
        </is>
      </c>
      <c r="D1972" t="inlineStr">
        <is>
          <t>M3</t>
        </is>
      </c>
      <c r="E1972" t="n">
        <v>1000</v>
      </c>
      <c r="F1972" t="inlineStr">
        <is>
          <t>TN</t>
        </is>
      </c>
      <c r="G1972" t="n">
        <v>1335</v>
      </c>
      <c r="H1972" t="inlineStr">
        <is>
          <t>GRAVA TRITURADA CALIZA 20 MM - 3/4" P</t>
        </is>
      </c>
    </row>
    <row r="1973">
      <c r="A1973" t="n">
        <v>10233332</v>
      </c>
      <c r="B1973" t="inlineStr">
        <is>
          <t>ZFE3</t>
        </is>
      </c>
      <c r="C1973" t="inlineStr">
        <is>
          <t>1000</t>
        </is>
      </c>
      <c r="D1973" t="inlineStr">
        <is>
          <t>M3</t>
        </is>
      </c>
      <c r="E1973" t="n">
        <v>1000</v>
      </c>
      <c r="F1973" t="inlineStr">
        <is>
          <t>TN</t>
        </is>
      </c>
      <c r="G1973" t="n">
        <v>1472</v>
      </c>
      <c r="H1973" t="inlineStr">
        <is>
          <t>GRAVA TRITURADA CALIZA 40 MM - 1 1/2" P</t>
        </is>
      </c>
    </row>
    <row r="1974">
      <c r="A1974" t="n">
        <v>10233339</v>
      </c>
      <c r="B1974" t="inlineStr">
        <is>
          <t>ZFE3</t>
        </is>
      </c>
      <c r="C1974" t="inlineStr">
        <is>
          <t>1000</t>
        </is>
      </c>
      <c r="D1974" t="inlineStr">
        <is>
          <t>M3</t>
        </is>
      </c>
      <c r="E1974" t="n">
        <v>1000</v>
      </c>
      <c r="F1974" t="inlineStr">
        <is>
          <t>TN</t>
        </is>
      </c>
      <c r="G1974" t="n">
        <v>1620</v>
      </c>
      <c r="H1974" t="inlineStr">
        <is>
          <t>GRAVA 1# ALUVIAL CONCIVILES</t>
        </is>
      </c>
    </row>
    <row r="1975">
      <c r="A1975" t="n">
        <v>10233432</v>
      </c>
      <c r="B1975" t="inlineStr">
        <is>
          <t>ZFE3</t>
        </is>
      </c>
      <c r="C1975" t="inlineStr">
        <is>
          <t>1000</t>
        </is>
      </c>
      <c r="D1975" t="inlineStr">
        <is>
          <t>M3</t>
        </is>
      </c>
      <c r="E1975" t="n">
        <v>1000</v>
      </c>
      <c r="F1975" t="inlineStr">
        <is>
          <t>TN</t>
        </is>
      </c>
      <c r="G1975" t="n">
        <v>1409</v>
      </c>
      <c r="H1975" t="inlineStr">
        <is>
          <t>ARENA TRITURADA ANDESITA MALLA 4 P</t>
        </is>
      </c>
    </row>
    <row r="1976">
      <c r="A1976" t="n">
        <v>10233508</v>
      </c>
      <c r="B1976" t="inlineStr">
        <is>
          <t>ZFE3</t>
        </is>
      </c>
      <c r="C1976" t="inlineStr">
        <is>
          <t>1000</t>
        </is>
      </c>
      <c r="D1976" t="inlineStr">
        <is>
          <t>M3</t>
        </is>
      </c>
      <c r="E1976" t="n">
        <v>1000</v>
      </c>
      <c r="F1976" t="inlineStr">
        <is>
          <t>TN</t>
        </is>
      </c>
      <c r="G1976" t="n">
        <v>1429</v>
      </c>
      <c r="H1976" t="inlineStr">
        <is>
          <t>ARENA CRIBADA ANDESITA MALLA NO 4</t>
        </is>
      </c>
    </row>
    <row r="1977">
      <c r="A1977" t="n">
        <v>10233509</v>
      </c>
      <c r="B1977" t="inlineStr">
        <is>
          <t>ZFE3</t>
        </is>
      </c>
      <c r="C1977" t="inlineStr">
        <is>
          <t>1000</t>
        </is>
      </c>
      <c r="D1977" t="inlineStr">
        <is>
          <t>M3</t>
        </is>
      </c>
      <c r="E1977" t="n">
        <v>1000</v>
      </c>
      <c r="F1977" t="inlineStr">
        <is>
          <t>TN</t>
        </is>
      </c>
      <c r="G1977" t="n">
        <v>1455</v>
      </c>
      <c r="H1977" t="inlineStr">
        <is>
          <t>ARENA TRITURADA CALIZA MALLA 4</t>
        </is>
      </c>
    </row>
    <row r="1978">
      <c r="A1978" t="n">
        <v>10233511</v>
      </c>
      <c r="B1978" t="inlineStr">
        <is>
          <t>ZFE3</t>
        </is>
      </c>
      <c r="C1978" t="inlineStr">
        <is>
          <t>1000</t>
        </is>
      </c>
      <c r="D1978" t="inlineStr">
        <is>
          <t>M3</t>
        </is>
      </c>
      <c r="E1978" t="n">
        <v>1000</v>
      </c>
      <c r="F1978" t="inlineStr">
        <is>
          <t>TN</t>
        </is>
      </c>
      <c r="G1978" t="n">
        <v>1669</v>
      </c>
      <c r="H1978" t="inlineStr">
        <is>
          <t>CRUDO MONTERREY RIORION-RETIRADO</t>
        </is>
      </c>
    </row>
    <row r="1979">
      <c r="A1979" t="n">
        <v>10233512</v>
      </c>
      <c r="B1979" t="inlineStr">
        <is>
          <t>ZFE3</t>
        </is>
      </c>
      <c r="C1979" t="inlineStr">
        <is>
          <t>1000</t>
        </is>
      </c>
      <c r="D1979" t="inlineStr">
        <is>
          <t>M3</t>
        </is>
      </c>
      <c r="E1979" t="n">
        <v>1000</v>
      </c>
      <c r="F1979" t="inlineStr">
        <is>
          <t>TN</t>
        </is>
      </c>
      <c r="G1979" t="n">
        <v>1727</v>
      </c>
      <c r="H1979" t="inlineStr">
        <is>
          <t>BASE GRANULAR MONTERREY RIORION-RETIRADO</t>
        </is>
      </c>
    </row>
    <row r="1980">
      <c r="A1980" t="n">
        <v>10233513</v>
      </c>
      <c r="B1980" t="inlineStr">
        <is>
          <t>ZFE3</t>
        </is>
      </c>
      <c r="C1980" t="inlineStr">
        <is>
          <t>1000</t>
        </is>
      </c>
      <c r="D1980" t="inlineStr">
        <is>
          <t>M3</t>
        </is>
      </c>
      <c r="E1980" t="n">
        <v>1000</v>
      </c>
      <c r="F1980" t="inlineStr">
        <is>
          <t>TN</t>
        </is>
      </c>
      <c r="G1980" t="n">
        <v>1461</v>
      </c>
      <c r="H1980" t="inlineStr">
        <is>
          <t>AFIRMADO MONTERREY RIORION-RETIRADO</t>
        </is>
      </c>
    </row>
    <row r="1981">
      <c r="A1981" t="n">
        <v>10233515</v>
      </c>
      <c r="B1981" t="inlineStr">
        <is>
          <t>ZFE3</t>
        </is>
      </c>
      <c r="C1981" t="inlineStr">
        <is>
          <t>1000</t>
        </is>
      </c>
      <c r="D1981" t="inlineStr">
        <is>
          <t>M3</t>
        </is>
      </c>
      <c r="E1981" t="n">
        <v>1000</v>
      </c>
      <c r="F1981" t="inlineStr">
        <is>
          <t>TN</t>
        </is>
      </c>
      <c r="G1981" t="n">
        <v>1591</v>
      </c>
      <c r="H1981" t="inlineStr">
        <is>
          <t>PIEDRA FILTRO MONTERREY RIORION-RETIRADO</t>
        </is>
      </c>
    </row>
    <row r="1982">
      <c r="A1982" t="n">
        <v>10233517</v>
      </c>
      <c r="B1982" t="inlineStr">
        <is>
          <t>ZFE3</t>
        </is>
      </c>
      <c r="C1982" t="inlineStr">
        <is>
          <t>1000</t>
        </is>
      </c>
      <c r="D1982" t="inlineStr">
        <is>
          <t>M3</t>
        </is>
      </c>
      <c r="E1982" t="n">
        <v>1000</v>
      </c>
      <c r="F1982" t="inlineStr">
        <is>
          <t>TN</t>
        </is>
      </c>
      <c r="G1982" t="n">
        <v>1479</v>
      </c>
      <c r="H1982" t="inlineStr">
        <is>
          <t>GRAVA 1" MONTERREY - RIORION</t>
        </is>
      </c>
    </row>
    <row r="1983">
      <c r="A1983" t="n">
        <v>10233518</v>
      </c>
      <c r="B1983" t="inlineStr">
        <is>
          <t>ZFE3</t>
        </is>
      </c>
      <c r="C1983" t="inlineStr">
        <is>
          <t>1000</t>
        </is>
      </c>
      <c r="D1983" t="inlineStr">
        <is>
          <t>M3</t>
        </is>
      </c>
      <c r="E1983" t="n">
        <v>1000</v>
      </c>
      <c r="F1983" t="inlineStr">
        <is>
          <t>TN</t>
        </is>
      </c>
      <c r="G1983" t="n">
        <v>1515</v>
      </c>
      <c r="H1983" t="inlineStr">
        <is>
          <t>GRAVA 1 ½¨ MONTERREY - RIORION</t>
        </is>
      </c>
    </row>
    <row r="1984">
      <c r="A1984" t="n">
        <v>10233519</v>
      </c>
      <c r="B1984" t="inlineStr">
        <is>
          <t>ZFE3</t>
        </is>
      </c>
      <c r="C1984" t="inlineStr">
        <is>
          <t>1000</t>
        </is>
      </c>
      <c r="D1984" t="inlineStr">
        <is>
          <t>M3</t>
        </is>
      </c>
      <c r="E1984" t="n">
        <v>1000</v>
      </c>
      <c r="F1984" t="inlineStr">
        <is>
          <t>TN</t>
        </is>
      </c>
      <c r="G1984" t="n">
        <v>1493</v>
      </c>
      <c r="H1984" t="inlineStr">
        <is>
          <t>GRAVA ½" MONTERREY - RIORION</t>
        </is>
      </c>
    </row>
    <row r="1985">
      <c r="A1985" t="n">
        <v>10233560</v>
      </c>
      <c r="B1985" t="inlineStr">
        <is>
          <t>ZFE3</t>
        </is>
      </c>
      <c r="C1985" t="inlineStr">
        <is>
          <t>1000</t>
        </is>
      </c>
      <c r="D1985" t="inlineStr">
        <is>
          <t>M3</t>
        </is>
      </c>
      <c r="E1985" t="n">
        <v>1000</v>
      </c>
      <c r="F1985" t="inlineStr">
        <is>
          <t>TN</t>
        </is>
      </c>
      <c r="G1985" t="n">
        <v>1736</v>
      </c>
      <c r="H1985" t="inlineStr">
        <is>
          <t>ARENA MONTERREY - RIORION</t>
        </is>
      </c>
    </row>
    <row r="1986">
      <c r="A1986" t="n">
        <v>10233565</v>
      </c>
      <c r="B1986" t="inlineStr">
        <is>
          <t>ZFE3</t>
        </is>
      </c>
      <c r="C1986" t="inlineStr">
        <is>
          <t>1000</t>
        </is>
      </c>
      <c r="D1986" t="inlineStr">
        <is>
          <t>M3</t>
        </is>
      </c>
      <c r="E1986" t="n">
        <v>1000</v>
      </c>
      <c r="F1986" t="inlineStr">
        <is>
          <t>TN</t>
        </is>
      </c>
      <c r="G1986" t="n">
        <v>1500</v>
      </c>
      <c r="H1986" t="inlineStr">
        <is>
          <t>GRAVA ½# ALUVIAL CONCIVILES</t>
        </is>
      </c>
    </row>
    <row r="1987">
      <c r="A1987" t="n">
        <v>10233677</v>
      </c>
      <c r="B1987" t="inlineStr">
        <is>
          <t>ZFE3</t>
        </is>
      </c>
      <c r="C1987" t="inlineStr">
        <is>
          <t>1000</t>
        </is>
      </c>
      <c r="D1987" t="inlineStr">
        <is>
          <t>M3</t>
        </is>
      </c>
      <c r="E1987" t="n">
        <v>1000</v>
      </c>
      <c r="F1987" t="inlineStr">
        <is>
          <t>TN</t>
        </is>
      </c>
      <c r="G1987" t="n">
        <v>1135</v>
      </c>
      <c r="H1987" t="inlineStr">
        <is>
          <t>GRAVA TRITURADA CALIZA 20 MM - 3/4"</t>
        </is>
      </c>
    </row>
    <row r="1988">
      <c r="A1988" t="n">
        <v>10233678</v>
      </c>
      <c r="B1988" t="inlineStr">
        <is>
          <t>ZFE3</t>
        </is>
      </c>
      <c r="C1988" t="inlineStr">
        <is>
          <t>1000</t>
        </is>
      </c>
      <c r="D1988" t="inlineStr">
        <is>
          <t>M3</t>
        </is>
      </c>
      <c r="E1988" t="n">
        <v>1000</v>
      </c>
      <c r="F1988" t="inlineStr">
        <is>
          <t>TN</t>
        </is>
      </c>
      <c r="G1988" t="n">
        <v>1450</v>
      </c>
      <c r="H1988" t="inlineStr">
        <is>
          <t>BALASTO CALIZO CONTROLADO DE 4 A 1#</t>
        </is>
      </c>
    </row>
    <row r="1989">
      <c r="A1989" t="n">
        <v>10233905</v>
      </c>
      <c r="B1989" t="inlineStr">
        <is>
          <t>ZFE3</t>
        </is>
      </c>
      <c r="C1989" t="inlineStr">
        <is>
          <t>1000</t>
        </is>
      </c>
      <c r="D1989" t="inlineStr">
        <is>
          <t>M3</t>
        </is>
      </c>
      <c r="E1989" t="n">
        <v>1000</v>
      </c>
      <c r="F1989" t="inlineStr">
        <is>
          <t>TN</t>
        </is>
      </c>
      <c r="G1989" t="n">
        <v>1791</v>
      </c>
      <c r="H1989" t="inlineStr">
        <is>
          <t>BASE HIDRÁULICA DE ¾ A FINOS</t>
        </is>
      </c>
    </row>
    <row r="1990">
      <c r="A1990" t="n">
        <v>10233952</v>
      </c>
      <c r="B1990" t="inlineStr">
        <is>
          <t>ZFE3</t>
        </is>
      </c>
      <c r="C1990" t="inlineStr">
        <is>
          <t>1000</t>
        </is>
      </c>
      <c r="D1990" t="inlineStr">
        <is>
          <t>M3</t>
        </is>
      </c>
      <c r="E1990" t="n">
        <v>1000</v>
      </c>
      <c r="F1990" t="inlineStr">
        <is>
          <t>TN</t>
        </is>
      </c>
      <c r="G1990" t="n">
        <v>1600</v>
      </c>
      <c r="H1990" t="inlineStr">
        <is>
          <t>CANTERA NG</t>
        </is>
      </c>
    </row>
    <row r="1991">
      <c r="A1991" t="n">
        <v>10233953</v>
      </c>
      <c r="B1991" t="inlineStr">
        <is>
          <t>ZFE3</t>
        </is>
      </c>
      <c r="C1991" t="inlineStr">
        <is>
          <t>1000</t>
        </is>
      </c>
      <c r="D1991" t="inlineStr">
        <is>
          <t>M3</t>
        </is>
      </c>
      <c r="E1991" t="n">
        <v>1000</v>
      </c>
      <c r="F1991" t="inlineStr">
        <is>
          <t>TN</t>
        </is>
      </c>
      <c r="G1991" t="n">
        <v>1600</v>
      </c>
      <c r="H1991" t="inlineStr">
        <is>
          <t>ROCA 300-1000KG NG</t>
        </is>
      </c>
    </row>
    <row r="1992">
      <c r="A1992" t="n">
        <v>10233954</v>
      </c>
      <c r="B1992" t="inlineStr">
        <is>
          <t>ZFE3</t>
        </is>
      </c>
      <c r="C1992" t="inlineStr">
        <is>
          <t>1000</t>
        </is>
      </c>
      <c r="D1992" t="inlineStr">
        <is>
          <t>M3</t>
        </is>
      </c>
      <c r="E1992" t="n">
        <v>1000</v>
      </c>
      <c r="F1992" t="inlineStr">
        <is>
          <t>TN</t>
        </is>
      </c>
      <c r="G1992" t="n">
        <v>1600</v>
      </c>
      <c r="H1992" t="inlineStr">
        <is>
          <t>ROCA 1-3TN NG</t>
        </is>
      </c>
    </row>
    <row r="1993">
      <c r="A1993" t="n">
        <v>10233955</v>
      </c>
      <c r="B1993" t="inlineStr">
        <is>
          <t>ZFE3</t>
        </is>
      </c>
      <c r="C1993" t="inlineStr">
        <is>
          <t>1000</t>
        </is>
      </c>
      <c r="D1993" t="inlineStr">
        <is>
          <t>M3</t>
        </is>
      </c>
      <c r="E1993" t="n">
        <v>1000</v>
      </c>
      <c r="F1993" t="inlineStr">
        <is>
          <t>TN</t>
        </is>
      </c>
      <c r="G1993" t="n">
        <v>1600</v>
      </c>
      <c r="H1993" t="inlineStr">
        <is>
          <t>FILTRO NG</t>
        </is>
      </c>
    </row>
    <row r="1994">
      <c r="A1994" t="n">
        <v>10234073</v>
      </c>
      <c r="B1994" t="inlineStr">
        <is>
          <t>ZFE3</t>
        </is>
      </c>
      <c r="C1994" t="inlineStr">
        <is>
          <t>1000</t>
        </is>
      </c>
      <c r="D1994" t="inlineStr">
        <is>
          <t>M3</t>
        </is>
      </c>
      <c r="E1994" t="n">
        <v>1000</v>
      </c>
      <c r="F1994" t="inlineStr">
        <is>
          <t>TN</t>
        </is>
      </c>
      <c r="G1994" t="n">
        <v>1400</v>
      </c>
      <c r="H1994" t="inlineStr">
        <is>
          <t>GRAVA CALIZA 20 MM - 3/4" SIN LAVAR</t>
        </is>
      </c>
    </row>
    <row r="1995">
      <c r="A1995" t="n">
        <v>10234123</v>
      </c>
      <c r="B1995" t="inlineStr">
        <is>
          <t>ZFE3</t>
        </is>
      </c>
      <c r="C1995" t="inlineStr">
        <is>
          <t>1000</t>
        </is>
      </c>
      <c r="D1995" t="inlineStr">
        <is>
          <t>M3</t>
        </is>
      </c>
      <c r="E1995" t="n">
        <v>1000</v>
      </c>
      <c r="F1995" t="inlineStr">
        <is>
          <t>TN</t>
        </is>
      </c>
      <c r="G1995" t="n">
        <v>1540</v>
      </c>
      <c r="H1995" t="inlineStr">
        <is>
          <t>ARENA TRITURADA ANDESITA MALLA 8</t>
        </is>
      </c>
    </row>
    <row r="1996">
      <c r="A1996" t="n">
        <v>10234149</v>
      </c>
      <c r="B1996" t="inlineStr">
        <is>
          <t>ZFE3</t>
        </is>
      </c>
      <c r="C1996" t="inlineStr">
        <is>
          <t>1000</t>
        </is>
      </c>
      <c r="D1996" t="inlineStr">
        <is>
          <t>M3</t>
        </is>
      </c>
      <c r="E1996" t="n">
        <v>1000</v>
      </c>
      <c r="F1996" t="inlineStr">
        <is>
          <t>TN</t>
        </is>
      </c>
      <c r="G1996" t="n">
        <v>1423</v>
      </c>
      <c r="H1996" t="inlineStr">
        <is>
          <t>ARENA TRITURADA CALIZA MALLA 4 - MYM INF</t>
        </is>
      </c>
    </row>
    <row r="1997">
      <c r="A1997" t="n">
        <v>10234193</v>
      </c>
      <c r="B1997" t="inlineStr">
        <is>
          <t>ZFE3</t>
        </is>
      </c>
      <c r="C1997" t="inlineStr">
        <is>
          <t>1000</t>
        </is>
      </c>
      <c r="D1997" t="inlineStr">
        <is>
          <t>M3</t>
        </is>
      </c>
      <c r="E1997" t="n">
        <v>1000</v>
      </c>
      <c r="F1997" t="inlineStr">
        <is>
          <t>TN</t>
        </is>
      </c>
      <c r="G1997" t="n">
        <v>1338</v>
      </c>
      <c r="H1997" t="inlineStr">
        <is>
          <t>ARENA TRITURADA CALIZA MALLA 4</t>
        </is>
      </c>
    </row>
    <row r="1998">
      <c r="A1998" t="n">
        <v>10234221</v>
      </c>
      <c r="B1998" t="inlineStr">
        <is>
          <t>ZFE3</t>
        </is>
      </c>
      <c r="C1998" t="inlineStr">
        <is>
          <t>1000</t>
        </is>
      </c>
      <c r="D1998" t="inlineStr">
        <is>
          <t>M3</t>
        </is>
      </c>
      <c r="E1998" t="n">
        <v>1000</v>
      </c>
      <c r="F1998" t="inlineStr">
        <is>
          <t>TN</t>
        </is>
      </c>
      <c r="G1998" t="n">
        <v>1167</v>
      </c>
      <c r="H1998" t="inlineStr">
        <is>
          <t>GRAVA TRITURADA CALIZA 20 MM - 3/4"</t>
        </is>
      </c>
    </row>
    <row r="1999">
      <c r="A1999" t="n">
        <v>10234222</v>
      </c>
      <c r="B1999" t="inlineStr">
        <is>
          <t>ZFE3</t>
        </is>
      </c>
      <c r="C1999" t="inlineStr">
        <is>
          <t>1000</t>
        </is>
      </c>
      <c r="D1999" t="inlineStr">
        <is>
          <t>M3</t>
        </is>
      </c>
      <c r="E1999" t="n">
        <v>1000</v>
      </c>
      <c r="F1999" t="inlineStr">
        <is>
          <t>TN</t>
        </is>
      </c>
      <c r="G1999" t="n">
        <v>1152</v>
      </c>
      <c r="H1999" t="inlineStr">
        <is>
          <t>GRAVA TRITURADA CALIZA 13MM - 1/2''</t>
        </is>
      </c>
    </row>
    <row r="2000">
      <c r="A2000" t="n">
        <v>10234223</v>
      </c>
      <c r="B2000" t="inlineStr">
        <is>
          <t>ZFE3</t>
        </is>
      </c>
      <c r="C2000" t="inlineStr">
        <is>
          <t>1000</t>
        </is>
      </c>
      <c r="D2000" t="inlineStr">
        <is>
          <t>M3</t>
        </is>
      </c>
      <c r="E2000" t="n">
        <v>1000</v>
      </c>
      <c r="F2000" t="inlineStr">
        <is>
          <t>TN</t>
        </is>
      </c>
      <c r="G2000" t="n">
        <v>1325</v>
      </c>
      <c r="H2000" t="inlineStr">
        <is>
          <t>ARENA TRITURADA CALIZA MALLA 4</t>
        </is>
      </c>
    </row>
    <row r="2001">
      <c r="A2001" t="n">
        <v>10234224</v>
      </c>
      <c r="B2001" t="inlineStr">
        <is>
          <t>ZFE3</t>
        </is>
      </c>
      <c r="C2001" t="inlineStr">
        <is>
          <t>1000</t>
        </is>
      </c>
      <c r="D2001" t="inlineStr">
        <is>
          <t>M3</t>
        </is>
      </c>
      <c r="E2001" t="n">
        <v>1000</v>
      </c>
      <c r="F2001" t="inlineStr">
        <is>
          <t>TN</t>
        </is>
      </c>
      <c r="G2001" t="n">
        <v>1153</v>
      </c>
      <c r="H2001" t="inlineStr">
        <is>
          <t>GRAVA TRITURADA CALIZA 20 MM - 3/4"</t>
        </is>
      </c>
    </row>
    <row r="2002">
      <c r="A2002" t="n">
        <v>10234226</v>
      </c>
      <c r="B2002" t="inlineStr">
        <is>
          <t>ZFE3</t>
        </is>
      </c>
      <c r="C2002" t="inlineStr">
        <is>
          <t>1000</t>
        </is>
      </c>
      <c r="D2002" t="inlineStr">
        <is>
          <t>M3</t>
        </is>
      </c>
      <c r="E2002" t="n">
        <v>1000</v>
      </c>
      <c r="F2002" t="inlineStr">
        <is>
          <t>TN</t>
        </is>
      </c>
      <c r="G2002" t="n">
        <v>1302</v>
      </c>
      <c r="H2002" t="inlineStr">
        <is>
          <t>ARENA TRITURADA CALIZA MALLA 4 - IP INFR</t>
        </is>
      </c>
    </row>
    <row r="2003">
      <c r="A2003" t="n">
        <v>10234385</v>
      </c>
      <c r="B2003" t="inlineStr">
        <is>
          <t>ZFE3</t>
        </is>
      </c>
      <c r="C2003" t="inlineStr">
        <is>
          <t>1000</t>
        </is>
      </c>
      <c r="D2003" t="inlineStr">
        <is>
          <t>M3</t>
        </is>
      </c>
      <c r="E2003" t="n">
        <v>1000</v>
      </c>
      <c r="F2003" t="inlineStr">
        <is>
          <t>TN</t>
        </is>
      </c>
      <c r="G2003" t="n">
        <v>1744</v>
      </c>
      <c r="H2003" t="inlineStr">
        <is>
          <t>BASE HIDRAULICA 3/4</t>
        </is>
      </c>
    </row>
    <row r="2004">
      <c r="A2004" t="n">
        <v>10234700</v>
      </c>
      <c r="B2004" t="inlineStr">
        <is>
          <t>ZFE3</t>
        </is>
      </c>
      <c r="C2004" t="inlineStr">
        <is>
          <t>1000</t>
        </is>
      </c>
      <c r="D2004" t="inlineStr">
        <is>
          <t>M3</t>
        </is>
      </c>
      <c r="E2004" t="n">
        <v>1000</v>
      </c>
      <c r="F2004" t="inlineStr">
        <is>
          <t>TN</t>
        </is>
      </c>
      <c r="G2004" t="n">
        <v>1400</v>
      </c>
      <c r="H2004" t="inlineStr">
        <is>
          <t>MARMOL ROSA 3/8 - NG</t>
        </is>
      </c>
    </row>
    <row r="2005">
      <c r="A2005" t="n">
        <v>10234701</v>
      </c>
      <c r="B2005" t="inlineStr">
        <is>
          <t>ZFE3</t>
        </is>
      </c>
      <c r="C2005" t="inlineStr">
        <is>
          <t>1000</t>
        </is>
      </c>
      <c r="D2005" t="inlineStr">
        <is>
          <t>M3</t>
        </is>
      </c>
      <c r="E2005" t="n">
        <v>1000</v>
      </c>
      <c r="F2005" t="inlineStr">
        <is>
          <t>TN</t>
        </is>
      </c>
      <c r="G2005" t="n">
        <v>1400</v>
      </c>
      <c r="H2005" t="inlineStr">
        <is>
          <t>MARMOL ROSA 3/8 ESPECIAL - NG</t>
        </is>
      </c>
    </row>
    <row r="2006">
      <c r="A2006" t="n">
        <v>10234910</v>
      </c>
      <c r="B2006" t="inlineStr">
        <is>
          <t>ZFE3</t>
        </is>
      </c>
      <c r="C2006" t="inlineStr">
        <is>
          <t>1000</t>
        </is>
      </c>
      <c r="D2006" t="inlineStr">
        <is>
          <t>M3</t>
        </is>
      </c>
      <c r="E2006" t="n">
        <v>1000</v>
      </c>
      <c r="F2006" t="inlineStr">
        <is>
          <t>TN</t>
        </is>
      </c>
      <c r="G2006" t="n">
        <v>1419</v>
      </c>
      <c r="H2006" t="inlineStr">
        <is>
          <t>ARENA MOLIDA MALLA 4 PLANTA LEGO</t>
        </is>
      </c>
    </row>
    <row r="2007">
      <c r="A2007" t="n">
        <v>10234911</v>
      </c>
      <c r="B2007" t="inlineStr">
        <is>
          <t>ZFE3</t>
        </is>
      </c>
      <c r="C2007" t="inlineStr">
        <is>
          <t>1000</t>
        </is>
      </c>
      <c r="D2007" t="inlineStr">
        <is>
          <t>M3</t>
        </is>
      </c>
      <c r="E2007" t="n">
        <v>1000</v>
      </c>
      <c r="F2007" t="inlineStr">
        <is>
          <t>TN</t>
        </is>
      </c>
      <c r="G2007" t="n">
        <v>1457</v>
      </c>
      <c r="H2007" t="inlineStr">
        <is>
          <t>GRAVA TRITURADA CALIZA 20 MM - 3/4"</t>
        </is>
      </c>
    </row>
    <row r="2008">
      <c r="A2008" t="n">
        <v>10234912</v>
      </c>
      <c r="B2008" t="inlineStr">
        <is>
          <t>ZFE3</t>
        </is>
      </c>
      <c r="C2008" t="inlineStr">
        <is>
          <t>1000</t>
        </is>
      </c>
      <c r="D2008" t="inlineStr">
        <is>
          <t>M3</t>
        </is>
      </c>
      <c r="E2008" t="n">
        <v>1000</v>
      </c>
      <c r="F2008" t="inlineStr">
        <is>
          <t>TN</t>
        </is>
      </c>
      <c r="G2008" t="n">
        <v>1750</v>
      </c>
      <c r="H2008" t="inlineStr">
        <is>
          <t>NO CLASIFICADO TRITURADO BASALTO</t>
        </is>
      </c>
    </row>
    <row r="2009">
      <c r="A2009" t="n">
        <v>10234999</v>
      </c>
      <c r="B2009" t="inlineStr">
        <is>
          <t>ZFE3</t>
        </is>
      </c>
      <c r="C2009" t="inlineStr">
        <is>
          <t>1000</t>
        </is>
      </c>
      <c r="D2009" t="inlineStr">
        <is>
          <t>M3</t>
        </is>
      </c>
      <c r="E2009" t="n">
        <v>1000</v>
      </c>
      <c r="F2009" t="inlineStr">
        <is>
          <t>TN</t>
        </is>
      </c>
      <c r="G2009" t="n">
        <v>1670</v>
      </c>
      <c r="H2009" t="inlineStr">
        <is>
          <t>ARENA CANTRAX DOBLETROQUE P. ESTRELLA</t>
        </is>
      </c>
    </row>
    <row r="2010">
      <c r="A2010" t="n">
        <v>10236401</v>
      </c>
      <c r="B2010" t="inlineStr">
        <is>
          <t>ZFE3</t>
        </is>
      </c>
      <c r="C2010" t="inlineStr">
        <is>
          <t>1000</t>
        </is>
      </c>
      <c r="D2010" t="inlineStr">
        <is>
          <t>M3</t>
        </is>
      </c>
      <c r="E2010" t="n">
        <v>1000</v>
      </c>
      <c r="F2010" t="inlineStr">
        <is>
          <t>TN</t>
        </is>
      </c>
      <c r="G2010" t="n">
        <v>1505</v>
      </c>
      <c r="H2010" t="inlineStr">
        <is>
          <t>GRAVA DE RIO ¾ A&amp;G CUCUANA</t>
        </is>
      </c>
    </row>
    <row r="2011">
      <c r="A2011" t="n">
        <v>10236866</v>
      </c>
      <c r="B2011" t="inlineStr">
        <is>
          <t>ZFE3</t>
        </is>
      </c>
      <c r="C2011" t="inlineStr">
        <is>
          <t>1000</t>
        </is>
      </c>
      <c r="D2011" t="inlineStr">
        <is>
          <t>M3</t>
        </is>
      </c>
      <c r="E2011" t="n">
        <v>1000</v>
      </c>
      <c r="F2011" t="inlineStr">
        <is>
          <t>TN</t>
        </is>
      </c>
      <c r="G2011" t="n">
        <v>1600</v>
      </c>
      <c r="H2011" t="inlineStr">
        <is>
          <t>BALASTO CONTROLADO DE 7" A 1"</t>
        </is>
      </c>
    </row>
    <row r="2012">
      <c r="A2012" t="n">
        <v>10236867</v>
      </c>
      <c r="B2012" t="inlineStr">
        <is>
          <t>ZFE3</t>
        </is>
      </c>
      <c r="C2012" t="inlineStr">
        <is>
          <t>1000</t>
        </is>
      </c>
      <c r="D2012" t="inlineStr">
        <is>
          <t>M3</t>
        </is>
      </c>
      <c r="E2012" t="n">
        <v>1000</v>
      </c>
      <c r="F2012" t="inlineStr">
        <is>
          <t>TN</t>
        </is>
      </c>
      <c r="G2012" t="n">
        <v>1680</v>
      </c>
      <c r="H2012" t="inlineStr">
        <is>
          <t>CERO FINO MARMOL - NG</t>
        </is>
      </c>
    </row>
    <row r="2013">
      <c r="A2013" t="n">
        <v>10237050</v>
      </c>
      <c r="B2013" t="inlineStr">
        <is>
          <t>ZFE3</t>
        </is>
      </c>
      <c r="C2013" t="inlineStr">
        <is>
          <t>1000</t>
        </is>
      </c>
      <c r="D2013" t="inlineStr">
        <is>
          <t>M3</t>
        </is>
      </c>
      <c r="E2013" t="n">
        <v>1000</v>
      </c>
      <c r="F2013" t="inlineStr">
        <is>
          <t>TN</t>
        </is>
      </c>
      <c r="G2013" t="n">
        <v>1512</v>
      </c>
      <c r="H2013" t="inlineStr">
        <is>
          <t>ARENA RIO # 4</t>
        </is>
      </c>
    </row>
    <row r="2014">
      <c r="A2014" t="n">
        <v>10237051</v>
      </c>
      <c r="B2014" t="inlineStr">
        <is>
          <t>ZFE3</t>
        </is>
      </c>
      <c r="C2014" t="inlineStr">
        <is>
          <t>1000</t>
        </is>
      </c>
      <c r="D2014" t="inlineStr">
        <is>
          <t>M3</t>
        </is>
      </c>
      <c r="E2014" t="n">
        <v>1000</v>
      </c>
      <c r="F2014" t="inlineStr">
        <is>
          <t>TN</t>
        </is>
      </c>
      <c r="G2014" t="n">
        <v>1468</v>
      </c>
      <c r="H2014" t="inlineStr">
        <is>
          <t>GRAVA RIO 20 MM</t>
        </is>
      </c>
    </row>
    <row r="2015">
      <c r="A2015" t="n">
        <v>10237052</v>
      </c>
      <c r="B2015" t="inlineStr">
        <is>
          <t>ZFE3</t>
        </is>
      </c>
      <c r="C2015" t="inlineStr">
        <is>
          <t>1000</t>
        </is>
      </c>
      <c r="D2015" t="inlineStr">
        <is>
          <t>M3</t>
        </is>
      </c>
      <c r="E2015" t="n">
        <v>1000</v>
      </c>
      <c r="F2015" t="inlineStr">
        <is>
          <t>TN</t>
        </is>
      </c>
      <c r="G2015" t="n">
        <v>1584</v>
      </c>
      <c r="H2015" t="inlineStr">
        <is>
          <t>GRAVA RIO 40 MM</t>
        </is>
      </c>
    </row>
    <row r="2016">
      <c r="A2016" t="n">
        <v>10237053</v>
      </c>
      <c r="B2016" t="inlineStr">
        <is>
          <t>ZFE3</t>
        </is>
      </c>
      <c r="C2016" t="inlineStr">
        <is>
          <t>1000</t>
        </is>
      </c>
      <c r="D2016" t="inlineStr">
        <is>
          <t>M3</t>
        </is>
      </c>
      <c r="E2016" t="n">
        <v>1000</v>
      </c>
      <c r="F2016" t="inlineStr">
        <is>
          <t>TN</t>
        </is>
      </c>
      <c r="G2016" t="n">
        <v>1177</v>
      </c>
      <c r="H2016" t="inlineStr">
        <is>
          <t>GRAVA TRITURADA CALIZA 10MM - 3/8"</t>
        </is>
      </c>
    </row>
    <row r="2017">
      <c r="A2017" t="n">
        <v>10237611</v>
      </c>
      <c r="B2017" t="inlineStr">
        <is>
          <t>ZFE3</t>
        </is>
      </c>
      <c r="C2017" t="inlineStr">
        <is>
          <t>1000</t>
        </is>
      </c>
      <c r="D2017" t="inlineStr">
        <is>
          <t>M3</t>
        </is>
      </c>
      <c r="E2017" t="n">
        <v>1000</v>
      </c>
      <c r="F2017" t="inlineStr">
        <is>
          <t>TN</t>
        </is>
      </c>
      <c r="G2017" t="n">
        <v>1378</v>
      </c>
      <c r="H2017" t="inlineStr">
        <is>
          <t>ARENA TRITURADA CALIZA MALLA 4 PARAISO</t>
        </is>
      </c>
    </row>
    <row r="2018">
      <c r="A2018" t="n">
        <v>10237615</v>
      </c>
      <c r="B2018" t="inlineStr">
        <is>
          <t>ZFE3</t>
        </is>
      </c>
      <c r="C2018" t="inlineStr">
        <is>
          <t>1000</t>
        </is>
      </c>
      <c r="D2018" t="inlineStr">
        <is>
          <t>M3</t>
        </is>
      </c>
      <c r="E2018" t="n">
        <v>1000</v>
      </c>
      <c r="F2018" t="inlineStr">
        <is>
          <t>TN</t>
        </is>
      </c>
      <c r="G2018" t="n">
        <v>1191</v>
      </c>
      <c r="H2018" t="inlineStr">
        <is>
          <t>GRAVA TRITURADA CALIZA 20 MM - 3/4" PARA</t>
        </is>
      </c>
    </row>
    <row r="2019">
      <c r="A2019" t="n">
        <v>10238157</v>
      </c>
      <c r="B2019" t="inlineStr">
        <is>
          <t>ZFE3</t>
        </is>
      </c>
      <c r="C2019" t="inlineStr">
        <is>
          <t>1000</t>
        </is>
      </c>
      <c r="D2019" t="inlineStr">
        <is>
          <t>M3</t>
        </is>
      </c>
      <c r="E2019" t="n">
        <v>1000</v>
      </c>
      <c r="F2019" t="inlineStr">
        <is>
          <t>TN</t>
        </is>
      </c>
      <c r="G2019" t="n">
        <v>1415</v>
      </c>
      <c r="H2019" t="inlineStr">
        <is>
          <t>GRAVA CALIZA 25MM - 1"</t>
        </is>
      </c>
    </row>
    <row r="2020">
      <c r="A2020" t="n">
        <v>10238245</v>
      </c>
      <c r="B2020" t="inlineStr">
        <is>
          <t>ZFE3</t>
        </is>
      </c>
      <c r="C2020" t="inlineStr">
        <is>
          <t>1000</t>
        </is>
      </c>
      <c r="D2020" t="inlineStr">
        <is>
          <t>M3</t>
        </is>
      </c>
      <c r="E2020" t="n">
        <v>1000</v>
      </c>
      <c r="F2020" t="inlineStr">
        <is>
          <t>TN</t>
        </is>
      </c>
      <c r="G2020" t="n">
        <v>1534</v>
      </c>
      <c r="H2020" t="inlineStr">
        <is>
          <t>ARENA TRIT. ANDESITA MALLA 4</t>
        </is>
      </c>
    </row>
    <row r="2021">
      <c r="A2021" t="n">
        <v>10238332</v>
      </c>
      <c r="B2021" t="inlineStr">
        <is>
          <t>ZFE3</t>
        </is>
      </c>
      <c r="C2021" t="inlineStr">
        <is>
          <t>1000</t>
        </is>
      </c>
      <c r="D2021" t="inlineStr">
        <is>
          <t>M3</t>
        </is>
      </c>
      <c r="E2021" t="n">
        <v>100</v>
      </c>
      <c r="F2021" t="inlineStr">
        <is>
          <t>TN</t>
        </is>
      </c>
      <c r="G2021" t="n">
        <v>141</v>
      </c>
      <c r="H2021" t="inlineStr">
        <is>
          <t>SF-8199 ARENA DE RÍO LAVADA (DE 0 MM A 8</t>
        </is>
      </c>
    </row>
    <row r="2022">
      <c r="A2022" t="n">
        <v>10238333</v>
      </c>
      <c r="B2022" t="inlineStr">
        <is>
          <t>ZFE3</t>
        </is>
      </c>
      <c r="C2022" t="inlineStr">
        <is>
          <t>1000</t>
        </is>
      </c>
      <c r="D2022" t="inlineStr">
        <is>
          <t>M3</t>
        </is>
      </c>
      <c r="E2022" t="n">
        <v>100</v>
      </c>
      <c r="F2022" t="inlineStr">
        <is>
          <t>TN</t>
        </is>
      </c>
      <c r="G2022" t="n">
        <v>154</v>
      </c>
      <c r="H2022" t="inlineStr">
        <is>
          <t>SF-8199 POLVO DE PIEDRA</t>
        </is>
      </c>
    </row>
    <row r="2023">
      <c r="A2023" t="n">
        <v>10238334</v>
      </c>
      <c r="B2023" t="inlineStr">
        <is>
          <t>ZFE3</t>
        </is>
      </c>
      <c r="C2023" t="inlineStr">
        <is>
          <t>1000</t>
        </is>
      </c>
      <c r="D2023" t="inlineStr">
        <is>
          <t>M3</t>
        </is>
      </c>
      <c r="E2023" t="n">
        <v>100</v>
      </c>
      <c r="F2023" t="inlineStr">
        <is>
          <t>TN</t>
        </is>
      </c>
      <c r="G2023" t="n">
        <v>134</v>
      </c>
      <c r="H2023" t="inlineStr">
        <is>
          <t>SF-8199 PIEDRA CUARTA (MÁXIMO DE 19 MM)</t>
        </is>
      </c>
    </row>
    <row r="2024">
      <c r="A2024" t="n">
        <v>10238335</v>
      </c>
      <c r="B2024" t="inlineStr">
        <is>
          <t>ZFE3</t>
        </is>
      </c>
      <c r="C2024" t="inlineStr">
        <is>
          <t>1000</t>
        </is>
      </c>
      <c r="D2024" t="inlineStr">
        <is>
          <t>M3</t>
        </is>
      </c>
      <c r="E2024" t="n">
        <v>100</v>
      </c>
      <c r="F2024" t="inlineStr">
        <is>
          <t>TN</t>
        </is>
      </c>
      <c r="G2024" t="n">
        <v>141</v>
      </c>
      <c r="H2024" t="inlineStr">
        <is>
          <t>SF-8199 PIEDRA QUINTA (MÁXIMO DE 12MM)</t>
        </is>
      </c>
    </row>
    <row r="2025">
      <c r="A2025" t="n">
        <v>10238500</v>
      </c>
      <c r="B2025" t="inlineStr">
        <is>
          <t>ZFE3</t>
        </is>
      </c>
      <c r="C2025" t="inlineStr">
        <is>
          <t>1000</t>
        </is>
      </c>
      <c r="D2025" t="inlineStr">
        <is>
          <t>M3</t>
        </is>
      </c>
      <c r="E2025" t="n">
        <v>1000</v>
      </c>
      <c r="F2025" t="inlineStr">
        <is>
          <t>TN</t>
        </is>
      </c>
      <c r="G2025" t="n">
        <v>1411</v>
      </c>
      <c r="H2025" t="inlineStr">
        <is>
          <t>ARENA CLASIFICADA DE RÍO MALLA 4 - DC</t>
        </is>
      </c>
    </row>
    <row r="2026">
      <c r="A2026" t="n">
        <v>10238508</v>
      </c>
      <c r="B2026" t="inlineStr">
        <is>
          <t>ZFE3</t>
        </is>
      </c>
      <c r="C2026" t="inlineStr">
        <is>
          <t>1000</t>
        </is>
      </c>
      <c r="D2026" t="inlineStr">
        <is>
          <t>M3</t>
        </is>
      </c>
      <c r="E2026" t="n">
        <v>1000</v>
      </c>
      <c r="F2026" t="inlineStr">
        <is>
          <t>TN</t>
        </is>
      </c>
      <c r="G2026" t="n">
        <v>1579</v>
      </c>
      <c r="H2026" t="inlineStr">
        <is>
          <t>GRAVA RIO 3/8 - 10 MM</t>
        </is>
      </c>
    </row>
    <row r="2027">
      <c r="A2027" t="n">
        <v>10238528</v>
      </c>
      <c r="B2027" t="inlineStr">
        <is>
          <t>ZFE3</t>
        </is>
      </c>
      <c r="C2027" t="inlineStr">
        <is>
          <t>1000</t>
        </is>
      </c>
      <c r="D2027" t="inlineStr">
        <is>
          <t>M3</t>
        </is>
      </c>
      <c r="E2027" t="n">
        <v>1000</v>
      </c>
      <c r="F2027" t="inlineStr">
        <is>
          <t>TN</t>
        </is>
      </c>
      <c r="G2027" t="n">
        <v>1176</v>
      </c>
      <c r="H2027" t="inlineStr">
        <is>
          <t>GRAVA TRIT. CALIZA 3/4" - 20MM</t>
        </is>
      </c>
    </row>
    <row r="2028">
      <c r="A2028" t="n">
        <v>10238608</v>
      </c>
      <c r="B2028" t="inlineStr">
        <is>
          <t>ZFE3</t>
        </is>
      </c>
      <c r="C2028" t="inlineStr">
        <is>
          <t>1000</t>
        </is>
      </c>
      <c r="D2028" t="inlineStr">
        <is>
          <t>M3</t>
        </is>
      </c>
      <c r="E2028" t="n">
        <v>1000</v>
      </c>
      <c r="F2028" t="inlineStr">
        <is>
          <t>TN</t>
        </is>
      </c>
      <c r="G2028" t="n">
        <v>1366</v>
      </c>
      <c r="H2028" t="inlineStr">
        <is>
          <t>GRAVA TRITURADA BASALTO 1 1/2</t>
        </is>
      </c>
    </row>
    <row r="2029">
      <c r="A2029" t="n">
        <v>10238609</v>
      </c>
      <c r="B2029" t="inlineStr">
        <is>
          <t>ZFE3</t>
        </is>
      </c>
      <c r="C2029" t="inlineStr">
        <is>
          <t>1000</t>
        </is>
      </c>
      <c r="D2029" t="inlineStr">
        <is>
          <t>M3</t>
        </is>
      </c>
      <c r="E2029" t="n">
        <v>1000</v>
      </c>
      <c r="F2029" t="inlineStr">
        <is>
          <t>TN</t>
        </is>
      </c>
      <c r="G2029" t="n">
        <v>1427</v>
      </c>
      <c r="H2029" t="inlineStr">
        <is>
          <t>GRAVA TRITURADA BASALTO 3/8</t>
        </is>
      </c>
    </row>
    <row r="2030">
      <c r="A2030" t="n">
        <v>10238734</v>
      </c>
      <c r="B2030" t="inlineStr">
        <is>
          <t>ZFE3</t>
        </is>
      </c>
      <c r="C2030" t="inlineStr">
        <is>
          <t>1000</t>
        </is>
      </c>
      <c r="D2030" t="inlineStr">
        <is>
          <t>M3</t>
        </is>
      </c>
      <c r="E2030" t="n">
        <v>1000</v>
      </c>
      <c r="F2030" t="inlineStr">
        <is>
          <t>TN</t>
        </is>
      </c>
      <c r="G2030" t="n">
        <v>1137</v>
      </c>
      <c r="H2030" t="inlineStr">
        <is>
          <t>GRAVA TRITURADA CALIZA 20MM 3/4</t>
        </is>
      </c>
    </row>
    <row r="2031">
      <c r="A2031" t="n">
        <v>10238803</v>
      </c>
      <c r="B2031" t="inlineStr">
        <is>
          <t>ZFE3</t>
        </is>
      </c>
      <c r="C2031" t="inlineStr">
        <is>
          <t>1000</t>
        </is>
      </c>
      <c r="D2031" t="inlineStr">
        <is>
          <t>M3</t>
        </is>
      </c>
      <c r="E2031" t="n">
        <v>1000</v>
      </c>
      <c r="F2031" t="inlineStr">
        <is>
          <t>TN</t>
        </is>
      </c>
      <c r="G2031" t="n">
        <v>1295</v>
      </c>
      <c r="H2031" t="inlineStr">
        <is>
          <t>GRAVA ANDESITA 20 MM 3/4- PUE</t>
        </is>
      </c>
    </row>
    <row r="2032">
      <c r="A2032" t="n">
        <v>10238804</v>
      </c>
      <c r="B2032" t="inlineStr">
        <is>
          <t>ZFE3</t>
        </is>
      </c>
      <c r="C2032" t="inlineStr">
        <is>
          <t>1000</t>
        </is>
      </c>
      <c r="D2032" t="inlineStr">
        <is>
          <t>M3</t>
        </is>
      </c>
      <c r="E2032" t="n">
        <v>1000</v>
      </c>
      <c r="F2032" t="inlineStr">
        <is>
          <t>TN</t>
        </is>
      </c>
      <c r="G2032" t="n">
        <v>1243</v>
      </c>
      <c r="H2032" t="inlineStr">
        <is>
          <t>GRAVA ANDESITA 40 MM 1 ½ - PUE</t>
        </is>
      </c>
    </row>
    <row r="2033">
      <c r="A2033" t="n">
        <v>10238805</v>
      </c>
      <c r="B2033" t="inlineStr">
        <is>
          <t>ZFE3</t>
        </is>
      </c>
      <c r="C2033" t="inlineStr">
        <is>
          <t>1000</t>
        </is>
      </c>
      <c r="D2033" t="inlineStr">
        <is>
          <t>M3</t>
        </is>
      </c>
      <c r="E2033" t="n">
        <v>1000</v>
      </c>
      <c r="F2033" t="inlineStr">
        <is>
          <t>TN</t>
        </is>
      </c>
      <c r="G2033" t="n">
        <v>1412</v>
      </c>
      <c r="H2033" t="inlineStr">
        <is>
          <t>ARENA ANDESITA NO 4 - ITA PUE</t>
        </is>
      </c>
    </row>
    <row r="2034">
      <c r="A2034" t="n">
        <v>10238806</v>
      </c>
      <c r="B2034" t="inlineStr">
        <is>
          <t>ZFE3</t>
        </is>
      </c>
      <c r="C2034" t="inlineStr">
        <is>
          <t>1000</t>
        </is>
      </c>
      <c r="D2034" t="inlineStr">
        <is>
          <t>M3</t>
        </is>
      </c>
      <c r="E2034" t="n">
        <v>1000</v>
      </c>
      <c r="F2034" t="inlineStr">
        <is>
          <t>TN</t>
        </is>
      </c>
      <c r="G2034" t="n">
        <v>1464</v>
      </c>
      <c r="H2034" t="inlineStr">
        <is>
          <t>ARENA ANDESITA NO 4 - RIVO PUE</t>
        </is>
      </c>
    </row>
    <row r="2035">
      <c r="A2035" t="n">
        <v>10238940</v>
      </c>
      <c r="B2035" t="inlineStr">
        <is>
          <t>ZFE3</t>
        </is>
      </c>
      <c r="C2035" t="inlineStr">
        <is>
          <t>1000</t>
        </is>
      </c>
      <c r="D2035" t="inlineStr">
        <is>
          <t>M3</t>
        </is>
      </c>
      <c r="E2035" t="n">
        <v>1000</v>
      </c>
      <c r="F2035" t="inlineStr">
        <is>
          <t>TN</t>
        </is>
      </c>
      <c r="G2035" t="n">
        <v>1322</v>
      </c>
      <c r="H2035" t="inlineStr">
        <is>
          <t>ARENA TRIT. CALIZA MALLA N° 4</t>
        </is>
      </c>
    </row>
    <row r="2036">
      <c r="A2036" t="n">
        <v>10238980</v>
      </c>
      <c r="B2036" t="inlineStr">
        <is>
          <t>ZFE3</t>
        </is>
      </c>
      <c r="C2036" t="inlineStr">
        <is>
          <t>1000</t>
        </is>
      </c>
      <c r="D2036" t="inlineStr">
        <is>
          <t>M3</t>
        </is>
      </c>
      <c r="E2036" t="n">
        <v>1000</v>
      </c>
      <c r="F2036" t="inlineStr">
        <is>
          <t>TN</t>
        </is>
      </c>
      <c r="G2036" t="n">
        <v>1727</v>
      </c>
      <c r="H2036" t="inlineStr">
        <is>
          <t>BASE GRANULAR MONTERREY RIORION-MACEO</t>
        </is>
      </c>
    </row>
    <row r="2037">
      <c r="A2037" t="n">
        <v>10238981</v>
      </c>
      <c r="B2037" t="inlineStr">
        <is>
          <t>ZFE3</t>
        </is>
      </c>
      <c r="C2037" t="inlineStr">
        <is>
          <t>1000</t>
        </is>
      </c>
      <c r="D2037" t="inlineStr">
        <is>
          <t>M3</t>
        </is>
      </c>
      <c r="E2037" t="n">
        <v>1000</v>
      </c>
      <c r="F2037" t="inlineStr">
        <is>
          <t>TN</t>
        </is>
      </c>
      <c r="G2037" t="n">
        <v>1727</v>
      </c>
      <c r="H2037" t="inlineStr">
        <is>
          <t>BASE GRANULAR MONTERREY RIORION-KM16</t>
        </is>
      </c>
    </row>
    <row r="2038">
      <c r="A2038" t="n">
        <v>10238982</v>
      </c>
      <c r="B2038" t="inlineStr">
        <is>
          <t>ZFE3</t>
        </is>
      </c>
      <c r="C2038" t="inlineStr">
        <is>
          <t>1000</t>
        </is>
      </c>
      <c r="D2038" t="inlineStr">
        <is>
          <t>M3</t>
        </is>
      </c>
      <c r="E2038" t="n">
        <v>1000</v>
      </c>
      <c r="F2038" t="inlineStr">
        <is>
          <t>TN</t>
        </is>
      </c>
      <c r="G2038" t="n">
        <v>1727</v>
      </c>
      <c r="H2038" t="inlineStr">
        <is>
          <t>BASE GRANULAR MONTERREY RIORION-SUSANA</t>
        </is>
      </c>
    </row>
    <row r="2039">
      <c r="A2039" t="n">
        <v>10238989</v>
      </c>
      <c r="B2039" t="inlineStr">
        <is>
          <t>ZFE3</t>
        </is>
      </c>
      <c r="C2039" t="inlineStr">
        <is>
          <t>1000</t>
        </is>
      </c>
      <c r="D2039" t="inlineStr">
        <is>
          <t>M3</t>
        </is>
      </c>
      <c r="E2039" t="n">
        <v>1000</v>
      </c>
      <c r="F2039" t="inlineStr">
        <is>
          <t>TN</t>
        </is>
      </c>
      <c r="G2039" t="n">
        <v>1450</v>
      </c>
      <c r="H2039" t="inlineStr">
        <is>
          <t>GRAVA 3/4" BERSOLBA</t>
        </is>
      </c>
    </row>
    <row r="2040">
      <c r="A2040" t="n">
        <v>10239109</v>
      </c>
      <c r="B2040" t="inlineStr">
        <is>
          <t>ZFE3</t>
        </is>
      </c>
      <c r="C2040" t="inlineStr">
        <is>
          <t>1000</t>
        </is>
      </c>
      <c r="D2040" t="inlineStr">
        <is>
          <t>M3</t>
        </is>
      </c>
      <c r="E2040" t="n">
        <v>1000</v>
      </c>
      <c r="F2040" t="inlineStr">
        <is>
          <t>TN</t>
        </is>
      </c>
      <c r="G2040" t="n">
        <v>1479</v>
      </c>
      <c r="H2040" t="inlineStr">
        <is>
          <t>ARENA DE RIO N° 4</t>
        </is>
      </c>
    </row>
    <row r="2041">
      <c r="A2041" t="n">
        <v>10239170</v>
      </c>
      <c r="B2041" t="inlineStr">
        <is>
          <t>ZFE3</t>
        </is>
      </c>
      <c r="C2041" t="inlineStr">
        <is>
          <t>1000</t>
        </is>
      </c>
      <c r="D2041" t="inlineStr">
        <is>
          <t>M3</t>
        </is>
      </c>
      <c r="E2041" t="n">
        <v>1000</v>
      </c>
      <c r="F2041" t="inlineStr">
        <is>
          <t>TN</t>
        </is>
      </c>
      <c r="G2041" t="n">
        <v>1450</v>
      </c>
      <c r="H2041" t="inlineStr">
        <is>
          <t>GRAVA 1/2" BERSOLBA</t>
        </is>
      </c>
    </row>
    <row r="2042">
      <c r="A2042" t="n">
        <v>10239171</v>
      </c>
      <c r="B2042" t="inlineStr">
        <is>
          <t>ZFE3</t>
        </is>
      </c>
      <c r="C2042" t="inlineStr">
        <is>
          <t>1000</t>
        </is>
      </c>
      <c r="D2042" t="inlineStr">
        <is>
          <t>M3</t>
        </is>
      </c>
      <c r="E2042" t="n">
        <v>1000</v>
      </c>
      <c r="F2042" t="inlineStr">
        <is>
          <t>TN</t>
        </is>
      </c>
      <c r="G2042" t="n">
        <v>1560</v>
      </c>
      <c r="H2042" t="inlineStr">
        <is>
          <t>ARENA NATURAL BERSOLBA</t>
        </is>
      </c>
    </row>
    <row r="2043">
      <c r="A2043" t="n">
        <v>10239172</v>
      </c>
      <c r="B2043" t="inlineStr">
        <is>
          <t>ZFE3</t>
        </is>
      </c>
      <c r="C2043" t="inlineStr">
        <is>
          <t>1000</t>
        </is>
      </c>
      <c r="D2043" t="inlineStr">
        <is>
          <t>M3</t>
        </is>
      </c>
      <c r="E2043" t="n">
        <v>1000</v>
      </c>
      <c r="F2043" t="inlineStr">
        <is>
          <t>TN</t>
        </is>
      </c>
      <c r="G2043" t="n">
        <v>1553</v>
      </c>
      <c r="H2043" t="inlineStr">
        <is>
          <t>ARENA DE TRITURACION LAVADA ASPHALTEX</t>
        </is>
      </c>
    </row>
    <row r="2044">
      <c r="A2044" t="n">
        <v>10239173</v>
      </c>
      <c r="B2044" t="inlineStr">
        <is>
          <t>ZFE3</t>
        </is>
      </c>
      <c r="C2044" t="inlineStr">
        <is>
          <t>1000</t>
        </is>
      </c>
      <c r="D2044" t="inlineStr">
        <is>
          <t>M3</t>
        </is>
      </c>
      <c r="E2044" t="n">
        <v>1000</v>
      </c>
      <c r="F2044" t="inlineStr">
        <is>
          <t>TN</t>
        </is>
      </c>
      <c r="G2044" t="n">
        <v>1394</v>
      </c>
      <c r="H2044" t="inlineStr">
        <is>
          <t>GRAVA 1/2" ASPHALTEX</t>
        </is>
      </c>
    </row>
    <row r="2045">
      <c r="A2045" t="n">
        <v>10239174</v>
      </c>
      <c r="B2045" t="inlineStr">
        <is>
          <t>ZFE3</t>
        </is>
      </c>
      <c r="C2045" t="inlineStr">
        <is>
          <t>1000</t>
        </is>
      </c>
      <c r="D2045" t="inlineStr">
        <is>
          <t>M3</t>
        </is>
      </c>
      <c r="E2045" t="n">
        <v>1000</v>
      </c>
      <c r="F2045" t="inlineStr">
        <is>
          <t>TN</t>
        </is>
      </c>
      <c r="G2045" t="n">
        <v>1392</v>
      </c>
      <c r="H2045" t="inlineStr">
        <is>
          <t>GRAVA 1" ASPHALTEX</t>
        </is>
      </c>
    </row>
    <row r="2046">
      <c r="A2046" t="n">
        <v>10239212</v>
      </c>
      <c r="B2046" t="inlineStr">
        <is>
          <t>ZFE3</t>
        </is>
      </c>
      <c r="C2046" t="inlineStr">
        <is>
          <t>1000</t>
        </is>
      </c>
      <c r="D2046" t="inlineStr">
        <is>
          <t>M3</t>
        </is>
      </c>
      <c r="E2046" t="n">
        <v>1000</v>
      </c>
      <c r="F2046" t="inlineStr">
        <is>
          <t>TN</t>
        </is>
      </c>
      <c r="G2046" t="n">
        <v>1450</v>
      </c>
      <c r="H2046" t="inlineStr">
        <is>
          <t>GRAVA 1/2" PETREOTEC</t>
        </is>
      </c>
    </row>
    <row r="2047">
      <c r="A2047" t="n">
        <v>10239213</v>
      </c>
      <c r="B2047" t="inlineStr">
        <is>
          <t>ZFE3</t>
        </is>
      </c>
      <c r="C2047" t="inlineStr">
        <is>
          <t>1000</t>
        </is>
      </c>
      <c r="D2047" t="inlineStr">
        <is>
          <t>M3</t>
        </is>
      </c>
      <c r="E2047" t="n">
        <v>1000</v>
      </c>
      <c r="F2047" t="inlineStr">
        <is>
          <t>TN</t>
        </is>
      </c>
      <c r="G2047" t="n">
        <v>1450</v>
      </c>
      <c r="H2047" t="inlineStr">
        <is>
          <t>GRAVA 3/4" PETREOTEC</t>
        </is>
      </c>
    </row>
    <row r="2048">
      <c r="A2048" t="n">
        <v>10239280</v>
      </c>
      <c r="B2048" t="inlineStr">
        <is>
          <t>ZFE3</t>
        </is>
      </c>
      <c r="C2048" t="inlineStr">
        <is>
          <t>1000</t>
        </is>
      </c>
      <c r="D2048" t="inlineStr">
        <is>
          <t>M3</t>
        </is>
      </c>
      <c r="E2048" t="n">
        <v>1000</v>
      </c>
      <c r="F2048" t="inlineStr">
        <is>
          <t>TN</t>
        </is>
      </c>
      <c r="G2048" t="n">
        <v>1461</v>
      </c>
      <c r="H2048" t="inlineStr">
        <is>
          <t>AFIRMADO MONTERREY RIORION-SUSANA</t>
        </is>
      </c>
    </row>
    <row r="2049">
      <c r="A2049" t="n">
        <v>10239281</v>
      </c>
      <c r="B2049" t="inlineStr">
        <is>
          <t>ZFE3</t>
        </is>
      </c>
      <c r="C2049" t="inlineStr">
        <is>
          <t>1000</t>
        </is>
      </c>
      <c r="D2049" t="inlineStr">
        <is>
          <t>M3</t>
        </is>
      </c>
      <c r="E2049" t="n">
        <v>1000</v>
      </c>
      <c r="F2049" t="inlineStr">
        <is>
          <t>TN</t>
        </is>
      </c>
      <c r="G2049" t="n">
        <v>1500</v>
      </c>
      <c r="H2049" t="inlineStr">
        <is>
          <t>GRAVA ESPECIAL RECICLADA 25 MM</t>
        </is>
      </c>
    </row>
    <row r="2050">
      <c r="A2050" t="n">
        <v>10239282</v>
      </c>
      <c r="B2050" t="inlineStr">
        <is>
          <t>ZFE3</t>
        </is>
      </c>
      <c r="C2050" t="inlineStr">
        <is>
          <t>1000</t>
        </is>
      </c>
      <c r="D2050" t="inlineStr">
        <is>
          <t>M3</t>
        </is>
      </c>
      <c r="E2050" t="n">
        <v>1000</v>
      </c>
      <c r="F2050" t="inlineStr">
        <is>
          <t>TN</t>
        </is>
      </c>
      <c r="G2050" t="n">
        <v>1500</v>
      </c>
      <c r="H2050" t="inlineStr">
        <is>
          <t>GRAVA ESPECIAL RECICLADA 13 MM</t>
        </is>
      </c>
    </row>
    <row r="2051">
      <c r="A2051" t="n">
        <v>10239283</v>
      </c>
      <c r="B2051" t="inlineStr">
        <is>
          <t>ZFE3</t>
        </is>
      </c>
      <c r="C2051" t="inlineStr">
        <is>
          <t>1000</t>
        </is>
      </c>
      <c r="D2051" t="inlineStr">
        <is>
          <t>M3</t>
        </is>
      </c>
      <c r="E2051" t="n">
        <v>1000</v>
      </c>
      <c r="F2051" t="inlineStr">
        <is>
          <t>TN</t>
        </is>
      </c>
      <c r="G2051" t="n">
        <v>1461</v>
      </c>
      <c r="H2051" t="inlineStr">
        <is>
          <t>AFIRMADO MONTERREY RIORION-KM16</t>
        </is>
      </c>
    </row>
    <row r="2052">
      <c r="A2052" t="n">
        <v>10239284</v>
      </c>
      <c r="B2052" t="inlineStr">
        <is>
          <t>ZFE3</t>
        </is>
      </c>
      <c r="C2052" t="inlineStr">
        <is>
          <t>1000</t>
        </is>
      </c>
      <c r="D2052" t="inlineStr">
        <is>
          <t>M3</t>
        </is>
      </c>
      <c r="E2052" t="n">
        <v>1000</v>
      </c>
      <c r="F2052" t="inlineStr">
        <is>
          <t>TN</t>
        </is>
      </c>
      <c r="G2052" t="n">
        <v>1461</v>
      </c>
      <c r="H2052" t="inlineStr">
        <is>
          <t>AFIRMADO MONTERREY RIORION-MACEO</t>
        </is>
      </c>
    </row>
    <row r="2053">
      <c r="A2053" t="n">
        <v>10239285</v>
      </c>
      <c r="B2053" t="inlineStr">
        <is>
          <t>ZFE3</t>
        </is>
      </c>
      <c r="C2053" t="inlineStr">
        <is>
          <t>1000</t>
        </is>
      </c>
      <c r="D2053" t="inlineStr">
        <is>
          <t>M3</t>
        </is>
      </c>
      <c r="E2053" t="n">
        <v>1000</v>
      </c>
      <c r="F2053" t="inlineStr">
        <is>
          <t>TN</t>
        </is>
      </c>
      <c r="G2053" t="n">
        <v>1669</v>
      </c>
      <c r="H2053" t="inlineStr">
        <is>
          <t>CRUDO MONTERREY RIORION-SUSANA</t>
        </is>
      </c>
    </row>
    <row r="2054">
      <c r="A2054" t="n">
        <v>10239286</v>
      </c>
      <c r="B2054" t="inlineStr">
        <is>
          <t>ZFE3</t>
        </is>
      </c>
      <c r="C2054" t="inlineStr">
        <is>
          <t>1000</t>
        </is>
      </c>
      <c r="D2054" t="inlineStr">
        <is>
          <t>M3</t>
        </is>
      </c>
      <c r="E2054" t="n">
        <v>1000</v>
      </c>
      <c r="F2054" t="inlineStr">
        <is>
          <t>TN</t>
        </is>
      </c>
      <c r="G2054" t="n">
        <v>1669</v>
      </c>
      <c r="H2054" t="inlineStr">
        <is>
          <t>CRUDO MONTERREY RIORION-KM16</t>
        </is>
      </c>
    </row>
    <row r="2055">
      <c r="A2055" t="n">
        <v>10239287</v>
      </c>
      <c r="B2055" t="inlineStr">
        <is>
          <t>ZFE3</t>
        </is>
      </c>
      <c r="C2055" t="inlineStr">
        <is>
          <t>1000</t>
        </is>
      </c>
      <c r="D2055" t="inlineStr">
        <is>
          <t>M3</t>
        </is>
      </c>
      <c r="E2055" t="n">
        <v>1000</v>
      </c>
      <c r="F2055" t="inlineStr">
        <is>
          <t>TN</t>
        </is>
      </c>
      <c r="G2055" t="n">
        <v>1669</v>
      </c>
      <c r="H2055" t="inlineStr">
        <is>
          <t>CRUDO MONTERREY RIORION-MACEO</t>
        </is>
      </c>
    </row>
    <row r="2056">
      <c r="A2056" t="n">
        <v>10239288</v>
      </c>
      <c r="B2056" t="inlineStr">
        <is>
          <t>ZFE3</t>
        </is>
      </c>
      <c r="C2056" t="inlineStr">
        <is>
          <t>1000</t>
        </is>
      </c>
      <c r="D2056" t="inlineStr">
        <is>
          <t>M3</t>
        </is>
      </c>
      <c r="E2056" t="n">
        <v>1000</v>
      </c>
      <c r="F2056" t="inlineStr">
        <is>
          <t>TN</t>
        </is>
      </c>
      <c r="G2056" t="n">
        <v>1591</v>
      </c>
      <c r="H2056" t="inlineStr">
        <is>
          <t>PIEDRA FILTRO MONTERREY RIORION-SUSANA</t>
        </is>
      </c>
    </row>
    <row r="2057">
      <c r="A2057" t="n">
        <v>10239289</v>
      </c>
      <c r="B2057" t="inlineStr">
        <is>
          <t>ZFE3</t>
        </is>
      </c>
      <c r="C2057" t="inlineStr">
        <is>
          <t>1000</t>
        </is>
      </c>
      <c r="D2057" t="inlineStr">
        <is>
          <t>M3</t>
        </is>
      </c>
      <c r="E2057" t="n">
        <v>1000</v>
      </c>
      <c r="F2057" t="inlineStr">
        <is>
          <t>TN</t>
        </is>
      </c>
      <c r="G2057" t="n">
        <v>1591</v>
      </c>
      <c r="H2057" t="inlineStr">
        <is>
          <t>PIEDRA FILTRO MONTERREY RIORION-KM16</t>
        </is>
      </c>
    </row>
    <row r="2058">
      <c r="A2058" t="n">
        <v>10239300</v>
      </c>
      <c r="B2058" t="inlineStr">
        <is>
          <t>ZFE3</t>
        </is>
      </c>
      <c r="C2058" t="inlineStr">
        <is>
          <t>1000</t>
        </is>
      </c>
      <c r="D2058" t="inlineStr">
        <is>
          <t>M3</t>
        </is>
      </c>
      <c r="E2058" t="n">
        <v>1000</v>
      </c>
      <c r="F2058" t="inlineStr">
        <is>
          <t>TN</t>
        </is>
      </c>
      <c r="G2058" t="n">
        <v>1591</v>
      </c>
      <c r="H2058" t="inlineStr">
        <is>
          <t>PIEDRA FILTRO MONTERREY RIORION-MACEO</t>
        </is>
      </c>
    </row>
    <row r="2059">
      <c r="A2059" t="n">
        <v>10239308</v>
      </c>
      <c r="B2059" t="inlineStr">
        <is>
          <t>ZFE3</t>
        </is>
      </c>
      <c r="C2059" t="inlineStr">
        <is>
          <t>1000</t>
        </is>
      </c>
      <c r="D2059" t="inlineStr">
        <is>
          <t>M3</t>
        </is>
      </c>
      <c r="E2059" t="n">
        <v>1000</v>
      </c>
      <c r="F2059" t="inlineStr">
        <is>
          <t>TN</t>
        </is>
      </c>
      <c r="G2059" t="n">
        <v>1183</v>
      </c>
      <c r="H2059" t="inlineStr">
        <is>
          <t>GRAVA TRITURADA CALIZA 3/4 - ELEMAR</t>
        </is>
      </c>
    </row>
    <row r="2060">
      <c r="A2060" t="n">
        <v>10239309</v>
      </c>
      <c r="B2060" t="inlineStr">
        <is>
          <t>ZFE3</t>
        </is>
      </c>
      <c r="C2060" t="inlineStr">
        <is>
          <t>1000</t>
        </is>
      </c>
      <c r="D2060" t="inlineStr">
        <is>
          <t>M3</t>
        </is>
      </c>
      <c r="E2060" t="n">
        <v>1000</v>
      </c>
      <c r="F2060" t="inlineStr">
        <is>
          <t>TN</t>
        </is>
      </c>
      <c r="G2060" t="n">
        <v>1218</v>
      </c>
      <c r="H2060" t="inlineStr">
        <is>
          <t>ARENA TRITURADA CALIZA MALLA 4 - ELEMAR</t>
        </is>
      </c>
    </row>
    <row r="2061">
      <c r="A2061" t="n">
        <v>10239371</v>
      </c>
      <c r="B2061" t="inlineStr">
        <is>
          <t>ZFE3</t>
        </is>
      </c>
      <c r="C2061" t="inlineStr">
        <is>
          <t>1000</t>
        </is>
      </c>
      <c r="D2061" t="inlineStr">
        <is>
          <t>M3</t>
        </is>
      </c>
      <c r="E2061" t="n">
        <v>1000</v>
      </c>
      <c r="F2061" t="inlineStr">
        <is>
          <t>TN</t>
        </is>
      </c>
      <c r="G2061" t="n">
        <v>1553</v>
      </c>
      <c r="H2061" t="inlineStr">
        <is>
          <t>ARENA GRUESA EL SAMAN</t>
        </is>
      </c>
    </row>
    <row r="2062">
      <c r="A2062" t="n">
        <v>10239372</v>
      </c>
      <c r="B2062" t="inlineStr">
        <is>
          <t>ZFE3</t>
        </is>
      </c>
      <c r="C2062" t="inlineStr">
        <is>
          <t>1000</t>
        </is>
      </c>
      <c r="D2062" t="inlineStr">
        <is>
          <t>M3</t>
        </is>
      </c>
      <c r="E2062" t="n">
        <v>1000</v>
      </c>
      <c r="F2062" t="inlineStr">
        <is>
          <t>TN</t>
        </is>
      </c>
      <c r="G2062" t="n">
        <v>1553</v>
      </c>
      <c r="H2062" t="inlineStr">
        <is>
          <t>ARENA TRITURADA EMCALDAS</t>
        </is>
      </c>
    </row>
    <row r="2063">
      <c r="A2063" t="n">
        <v>10239373</v>
      </c>
      <c r="B2063" t="inlineStr">
        <is>
          <t>ZFE3</t>
        </is>
      </c>
      <c r="C2063" t="inlineStr">
        <is>
          <t>1000</t>
        </is>
      </c>
      <c r="D2063" t="inlineStr">
        <is>
          <t>M3</t>
        </is>
      </c>
      <c r="E2063" t="n">
        <v>1000</v>
      </c>
      <c r="F2063" t="inlineStr">
        <is>
          <t>TN</t>
        </is>
      </c>
      <c r="G2063" t="n">
        <v>1450</v>
      </c>
      <c r="H2063" t="inlineStr">
        <is>
          <t>GRAVA TRITURADO ¾# EMCALDAS</t>
        </is>
      </c>
    </row>
    <row r="2064">
      <c r="A2064" t="n">
        <v>10239374</v>
      </c>
      <c r="B2064" t="inlineStr">
        <is>
          <t>ZFE3</t>
        </is>
      </c>
      <c r="C2064" t="inlineStr">
        <is>
          <t>1000</t>
        </is>
      </c>
      <c r="D2064" t="inlineStr">
        <is>
          <t>M3</t>
        </is>
      </c>
      <c r="E2064" t="n">
        <v>1000</v>
      </c>
      <c r="F2064" t="inlineStr">
        <is>
          <t>TN</t>
        </is>
      </c>
      <c r="G2064" t="n">
        <v>1450</v>
      </c>
      <c r="H2064" t="inlineStr">
        <is>
          <t>GRAVA TRITURADO 1# EMCALDAS</t>
        </is>
      </c>
    </row>
    <row r="2065">
      <c r="A2065" t="n">
        <v>10239379</v>
      </c>
      <c r="B2065" t="inlineStr">
        <is>
          <t>ZFE3</t>
        </is>
      </c>
      <c r="C2065" t="inlineStr">
        <is>
          <t>1000</t>
        </is>
      </c>
      <c r="D2065" t="inlineStr">
        <is>
          <t>M3</t>
        </is>
      </c>
      <c r="E2065" t="n">
        <v>1000</v>
      </c>
      <c r="F2065" t="inlineStr">
        <is>
          <t>TN</t>
        </is>
      </c>
      <c r="G2065" t="n">
        <v>1456</v>
      </c>
      <c r="H2065" t="inlineStr">
        <is>
          <t>GRAVA TRITURADA BASALTO 10MM-3/8 SUBPROD</t>
        </is>
      </c>
    </row>
    <row r="2066">
      <c r="A2066" t="n">
        <v>10239420</v>
      </c>
      <c r="B2066" t="inlineStr">
        <is>
          <t>ZFE3</t>
        </is>
      </c>
      <c r="C2066" t="inlineStr">
        <is>
          <t>1000</t>
        </is>
      </c>
      <c r="D2066" t="inlineStr">
        <is>
          <t>M3</t>
        </is>
      </c>
      <c r="E2066" t="n">
        <v>1000</v>
      </c>
      <c r="F2066" t="inlineStr">
        <is>
          <t>TN</t>
        </is>
      </c>
      <c r="G2066" t="n">
        <v>1810</v>
      </c>
      <c r="H2066" t="inlineStr">
        <is>
          <t>YESO NACUMA TRADING</t>
        </is>
      </c>
    </row>
    <row r="2067">
      <c r="A2067" t="n">
        <v>10239695</v>
      </c>
      <c r="B2067" t="inlineStr">
        <is>
          <t>ZFE3</t>
        </is>
      </c>
      <c r="C2067" t="inlineStr">
        <is>
          <t>1000</t>
        </is>
      </c>
      <c r="D2067" t="inlineStr">
        <is>
          <t>M3</t>
        </is>
      </c>
      <c r="E2067" t="n">
        <v>1000</v>
      </c>
      <c r="F2067" t="inlineStr">
        <is>
          <t>TN</t>
        </is>
      </c>
      <c r="G2067" t="n">
        <v>1254</v>
      </c>
      <c r="H2067" t="inlineStr">
        <is>
          <t>GRAVA TRITURADA CALIZA 3/4 - FRISO</t>
        </is>
      </c>
    </row>
    <row r="2068">
      <c r="A2068" t="n">
        <v>10239696</v>
      </c>
      <c r="B2068" t="inlineStr">
        <is>
          <t>ZFE3</t>
        </is>
      </c>
      <c r="C2068" t="inlineStr">
        <is>
          <t>1000</t>
        </is>
      </c>
      <c r="D2068" t="inlineStr">
        <is>
          <t>M3</t>
        </is>
      </c>
      <c r="E2068" t="n">
        <v>1000</v>
      </c>
      <c r="F2068" t="inlineStr">
        <is>
          <t>TN</t>
        </is>
      </c>
      <c r="G2068" t="n">
        <v>1316</v>
      </c>
      <c r="H2068" t="inlineStr">
        <is>
          <t>ARENA TRITURADA CALIZA MALLA 4 - FRISO</t>
        </is>
      </c>
    </row>
    <row r="2069">
      <c r="A2069" t="n">
        <v>10239844</v>
      </c>
      <c r="B2069" t="inlineStr">
        <is>
          <t>ZFE3</t>
        </is>
      </c>
      <c r="C2069" t="inlineStr">
        <is>
          <t>1000</t>
        </is>
      </c>
      <c r="D2069" t="inlineStr">
        <is>
          <t>M3</t>
        </is>
      </c>
      <c r="E2069" t="n">
        <v>1000</v>
      </c>
      <c r="F2069" t="inlineStr">
        <is>
          <t>TN</t>
        </is>
      </c>
      <c r="G2069" t="n">
        <v>1355</v>
      </c>
      <c r="H2069" t="inlineStr">
        <is>
          <t>GRAVA TRITURADA CALIZA 3/4 - MAV. MATISA</t>
        </is>
      </c>
    </row>
    <row r="2070">
      <c r="A2070" t="n">
        <v>10239845</v>
      </c>
      <c r="B2070" t="inlineStr">
        <is>
          <t>ZFE3</t>
        </is>
      </c>
      <c r="C2070" t="inlineStr">
        <is>
          <t>1000</t>
        </is>
      </c>
      <c r="D2070" t="inlineStr">
        <is>
          <t>M3</t>
        </is>
      </c>
      <c r="E2070" t="n">
        <v>1000</v>
      </c>
      <c r="F2070" t="inlineStr">
        <is>
          <t>TN</t>
        </is>
      </c>
      <c r="G2070" t="n">
        <v>1483</v>
      </c>
      <c r="H2070" t="inlineStr">
        <is>
          <t>ARENA TRITURADA CALIZA MALLA 4 - MAV. MA</t>
        </is>
      </c>
    </row>
    <row r="2071">
      <c r="A2071" t="n">
        <v>10246791</v>
      </c>
      <c r="B2071" t="inlineStr">
        <is>
          <t>ZFE3</t>
        </is>
      </c>
      <c r="C2071" t="inlineStr">
        <is>
          <t>1000</t>
        </is>
      </c>
      <c r="D2071" t="inlineStr">
        <is>
          <t>M3</t>
        </is>
      </c>
      <c r="E2071" t="n">
        <v>1000</v>
      </c>
      <c r="F2071" t="inlineStr">
        <is>
          <t>TN</t>
        </is>
      </c>
      <c r="G2071" t="n">
        <v>1350</v>
      </c>
      <c r="H2071" t="inlineStr">
        <is>
          <t>GRAVA ANDESITA 3/4-20MM PUE</t>
        </is>
      </c>
    </row>
    <row r="2072">
      <c r="A2072" t="n">
        <v>10246792</v>
      </c>
      <c r="B2072" t="inlineStr">
        <is>
          <t>ZFE3</t>
        </is>
      </c>
      <c r="C2072" t="inlineStr">
        <is>
          <t>1000</t>
        </is>
      </c>
      <c r="D2072" t="inlineStr">
        <is>
          <t>M3</t>
        </is>
      </c>
      <c r="E2072" t="n">
        <v>1000</v>
      </c>
      <c r="F2072" t="inlineStr">
        <is>
          <t>TN</t>
        </is>
      </c>
      <c r="G2072" t="n">
        <v>1426</v>
      </c>
      <c r="H2072" t="inlineStr">
        <is>
          <t>ARENA TRITURADA ANDESITA AZUL MALLA 4</t>
        </is>
      </c>
    </row>
    <row r="2073">
      <c r="A2073" t="n">
        <v>10246793</v>
      </c>
      <c r="B2073" t="inlineStr">
        <is>
          <t>ZFE3</t>
        </is>
      </c>
      <c r="C2073" t="inlineStr">
        <is>
          <t>1000</t>
        </is>
      </c>
      <c r="D2073" t="inlineStr">
        <is>
          <t>M3</t>
        </is>
      </c>
      <c r="E2073" t="n">
        <v>1000</v>
      </c>
      <c r="F2073" t="inlineStr">
        <is>
          <t>TN</t>
        </is>
      </c>
      <c r="G2073" t="n">
        <v>1253</v>
      </c>
      <c r="H2073" t="inlineStr">
        <is>
          <t>GRAVA ANDESITA 1 1/2 - 40 MM AZUL</t>
        </is>
      </c>
    </row>
    <row r="2074">
      <c r="A2074" t="n">
        <v>10246794</v>
      </c>
      <c r="B2074" t="inlineStr">
        <is>
          <t>ZFE3</t>
        </is>
      </c>
      <c r="C2074" t="inlineStr">
        <is>
          <t>1000</t>
        </is>
      </c>
      <c r="D2074" t="inlineStr">
        <is>
          <t>M3</t>
        </is>
      </c>
      <c r="E2074" t="n">
        <v>1000</v>
      </c>
      <c r="F2074" t="inlineStr">
        <is>
          <t>TN</t>
        </is>
      </c>
      <c r="G2074" t="n">
        <v>1306</v>
      </c>
      <c r="H2074" t="inlineStr">
        <is>
          <t>GRAVA TRIT ANDESITA 1 1/2" A 1/4" INTEGR</t>
        </is>
      </c>
    </row>
    <row r="2075">
      <c r="A2075" t="n">
        <v>10246795</v>
      </c>
      <c r="B2075" t="inlineStr">
        <is>
          <t>ZFE3</t>
        </is>
      </c>
      <c r="C2075" t="inlineStr">
        <is>
          <t>1000</t>
        </is>
      </c>
      <c r="D2075" t="inlineStr">
        <is>
          <t>M3</t>
        </is>
      </c>
      <c r="E2075" t="n">
        <v>1000</v>
      </c>
      <c r="F2075" t="inlineStr">
        <is>
          <t>TN</t>
        </is>
      </c>
      <c r="G2075" t="n">
        <v>1294</v>
      </c>
      <c r="H2075" t="inlineStr">
        <is>
          <t>GRAVA TRIT ANDESITA 1 1/2" -1/4" INTEGRA</t>
        </is>
      </c>
    </row>
    <row r="2076">
      <c r="A2076" t="n">
        <v>10246796</v>
      </c>
      <c r="B2076" t="inlineStr">
        <is>
          <t>ZFE3</t>
        </is>
      </c>
      <c r="C2076" t="inlineStr">
        <is>
          <t>1000</t>
        </is>
      </c>
      <c r="D2076" t="inlineStr">
        <is>
          <t>M3</t>
        </is>
      </c>
      <c r="E2076" t="n">
        <v>1000</v>
      </c>
      <c r="F2076" t="inlineStr">
        <is>
          <t>TN</t>
        </is>
      </c>
      <c r="G2076" t="n">
        <v>1232</v>
      </c>
      <c r="H2076" t="inlineStr">
        <is>
          <t>GRAVA TRIT CALIZA 13MM - 1/2 ABC INFRA</t>
        </is>
      </c>
    </row>
    <row r="2077">
      <c r="A2077" t="n">
        <v>10246797</v>
      </c>
      <c r="B2077" t="inlineStr">
        <is>
          <t>ZFE3</t>
        </is>
      </c>
      <c r="C2077" t="inlineStr">
        <is>
          <t>1000</t>
        </is>
      </c>
      <c r="D2077" t="inlineStr">
        <is>
          <t>M3</t>
        </is>
      </c>
      <c r="E2077" t="n">
        <v>1000</v>
      </c>
      <c r="F2077" t="inlineStr">
        <is>
          <t>TN</t>
        </is>
      </c>
      <c r="G2077" t="n">
        <v>1265</v>
      </c>
      <c r="H2077" t="inlineStr">
        <is>
          <t>ARENA CALIZA TRIT MALLA 4 - MYM INFRA</t>
        </is>
      </c>
    </row>
    <row r="2078">
      <c r="A2078" t="n">
        <v>10246849</v>
      </c>
      <c r="B2078" t="inlineStr">
        <is>
          <t>ZFE3</t>
        </is>
      </c>
      <c r="C2078" t="inlineStr">
        <is>
          <t>1000</t>
        </is>
      </c>
      <c r="D2078" t="inlineStr">
        <is>
          <t>M3</t>
        </is>
      </c>
      <c r="E2078" t="n">
        <v>1000</v>
      </c>
      <c r="F2078" t="inlineStr">
        <is>
          <t>TN</t>
        </is>
      </c>
      <c r="G2078" t="n">
        <v>1136</v>
      </c>
      <c r="H2078" t="inlineStr">
        <is>
          <t>GRAVA CALIZA TRIT 10MM - 3/8 MEXLAM</t>
        </is>
      </c>
    </row>
    <row r="2079">
      <c r="A2079" t="n">
        <v>10248596</v>
      </c>
      <c r="B2079" t="inlineStr">
        <is>
          <t>ZFE3</t>
        </is>
      </c>
      <c r="C2079" t="inlineStr">
        <is>
          <t>1000</t>
        </is>
      </c>
      <c r="D2079" t="inlineStr">
        <is>
          <t>M3</t>
        </is>
      </c>
      <c r="E2079" t="n">
        <v>1000</v>
      </c>
      <c r="F2079" t="inlineStr">
        <is>
          <t>TN</t>
        </is>
      </c>
      <c r="G2079" t="n">
        <v>1367</v>
      </c>
      <c r="H2079" t="inlineStr">
        <is>
          <t>ARENA CALIZA TRIT MALLA 4 - ALAMILLA INF</t>
        </is>
      </c>
    </row>
    <row r="2080">
      <c r="A2080" t="n">
        <v>10248597</v>
      </c>
      <c r="B2080" t="inlineStr">
        <is>
          <t>ZFE3</t>
        </is>
      </c>
      <c r="C2080" t="inlineStr">
        <is>
          <t>1000</t>
        </is>
      </c>
      <c r="D2080" t="inlineStr">
        <is>
          <t>M3</t>
        </is>
      </c>
      <c r="E2080" t="n">
        <v>1000</v>
      </c>
      <c r="F2080" t="inlineStr">
        <is>
          <t>TN</t>
        </is>
      </c>
      <c r="G2080" t="n">
        <v>1197</v>
      </c>
      <c r="H2080" t="inlineStr">
        <is>
          <t>GRAVA CALIZA TRIT 20MM - ALAMILLA INF</t>
        </is>
      </c>
    </row>
    <row r="2081">
      <c r="A2081" t="n">
        <v>10248659</v>
      </c>
      <c r="B2081" t="inlineStr">
        <is>
          <t>ZFE3</t>
        </is>
      </c>
      <c r="C2081" t="inlineStr">
        <is>
          <t>1000</t>
        </is>
      </c>
      <c r="D2081" t="inlineStr">
        <is>
          <t>M3</t>
        </is>
      </c>
      <c r="E2081" t="n">
        <v>1000</v>
      </c>
      <c r="F2081" t="inlineStr">
        <is>
          <t>TN</t>
        </is>
      </c>
      <c r="G2081" t="n">
        <v>1673</v>
      </c>
      <c r="H2081" t="inlineStr">
        <is>
          <t>ARENA NO. 4</t>
        </is>
      </c>
    </row>
    <row r="2082">
      <c r="A2082" t="n">
        <v>10248791</v>
      </c>
      <c r="B2082" t="inlineStr">
        <is>
          <t>ZFE3</t>
        </is>
      </c>
      <c r="C2082" t="inlineStr">
        <is>
          <t>1000</t>
        </is>
      </c>
      <c r="D2082" t="inlineStr">
        <is>
          <t>M3</t>
        </is>
      </c>
      <c r="E2082" t="n">
        <v>1000</v>
      </c>
      <c r="F2082" t="inlineStr">
        <is>
          <t>TN</t>
        </is>
      </c>
      <c r="G2082" t="n">
        <v>1165</v>
      </c>
      <c r="H2082" t="inlineStr">
        <is>
          <t>GRAVA CALIZA TRIT 20MM-CARACOL INFRA</t>
        </is>
      </c>
    </row>
    <row r="2083">
      <c r="A2083" t="n">
        <v>10248830</v>
      </c>
      <c r="B2083" t="inlineStr">
        <is>
          <t>ZFE3</t>
        </is>
      </c>
      <c r="C2083" t="inlineStr">
        <is>
          <t>1000</t>
        </is>
      </c>
      <c r="D2083" t="inlineStr">
        <is>
          <t>M3</t>
        </is>
      </c>
      <c r="E2083" t="n">
        <v>1000</v>
      </c>
      <c r="F2083" t="inlineStr">
        <is>
          <t>TN</t>
        </is>
      </c>
      <c r="G2083" t="n">
        <v>1421</v>
      </c>
      <c r="H2083" t="inlineStr">
        <is>
          <t>ARENA CLASIFICADA RIO LAVADA MALLA 4</t>
        </is>
      </c>
    </row>
    <row r="2084">
      <c r="A2084" t="n">
        <v>10248868</v>
      </c>
      <c r="B2084" t="inlineStr">
        <is>
          <t>ZFE3</t>
        </is>
      </c>
      <c r="C2084" t="inlineStr">
        <is>
          <t>1000</t>
        </is>
      </c>
      <c r="D2084" t="inlineStr">
        <is>
          <t>M3</t>
        </is>
      </c>
      <c r="E2084" t="n">
        <v>1000</v>
      </c>
      <c r="F2084" t="inlineStr">
        <is>
          <t>TN</t>
        </is>
      </c>
      <c r="G2084" t="n">
        <v>1198</v>
      </c>
      <c r="H2084" t="inlineStr">
        <is>
          <t>GRAVA TRIT CALIZA 13MM - 1/2</t>
        </is>
      </c>
    </row>
    <row r="2085">
      <c r="A2085" t="n">
        <v>10249976</v>
      </c>
      <c r="B2085" t="inlineStr">
        <is>
          <t>ZFE3</t>
        </is>
      </c>
      <c r="C2085" t="inlineStr">
        <is>
          <t>1000</t>
        </is>
      </c>
      <c r="D2085" t="inlineStr">
        <is>
          <t>M3</t>
        </is>
      </c>
      <c r="E2085" t="n">
        <v>1000</v>
      </c>
      <c r="F2085" t="inlineStr">
        <is>
          <t>TN</t>
        </is>
      </c>
      <c r="G2085" t="n">
        <v>1206</v>
      </c>
      <c r="H2085" t="inlineStr">
        <is>
          <t>GRAVA TRITURADA 1 1/2" INTEGRAL DIAMANTE</t>
        </is>
      </c>
    </row>
    <row r="2086">
      <c r="A2086" t="n">
        <v>10250123</v>
      </c>
      <c r="B2086" t="inlineStr">
        <is>
          <t>ZFE3</t>
        </is>
      </c>
      <c r="C2086" t="inlineStr">
        <is>
          <t>1000</t>
        </is>
      </c>
      <c r="D2086" t="inlineStr">
        <is>
          <t>M3</t>
        </is>
      </c>
      <c r="E2086" t="n">
        <v>1000</v>
      </c>
      <c r="F2086" t="inlineStr">
        <is>
          <t>TN</t>
        </is>
      </c>
      <c r="G2086" t="n">
        <v>1209</v>
      </c>
      <c r="H2086" t="inlineStr">
        <is>
          <t>GRAVA TRITURADA CALIZA 13MM - 1/2</t>
        </is>
      </c>
    </row>
    <row r="2087">
      <c r="A2087" t="n">
        <v>10251199</v>
      </c>
      <c r="B2087" t="inlineStr">
        <is>
          <t>ZFE3</t>
        </is>
      </c>
      <c r="C2087" t="inlineStr">
        <is>
          <t>1000</t>
        </is>
      </c>
      <c r="D2087" t="inlineStr">
        <is>
          <t>M3</t>
        </is>
      </c>
      <c r="E2087" t="n">
        <v>1000</v>
      </c>
      <c r="F2087" t="inlineStr">
        <is>
          <t>TN</t>
        </is>
      </c>
      <c r="G2087" t="n">
        <v>1487</v>
      </c>
      <c r="H2087" t="inlineStr">
        <is>
          <t>ARENA TRITURADA CALIZA M.4 TRICO PAAMUL</t>
        </is>
      </c>
    </row>
    <row r="2088">
      <c r="A2088" t="n">
        <v>10251250</v>
      </c>
      <c r="B2088" t="inlineStr">
        <is>
          <t>ZFE3</t>
        </is>
      </c>
      <c r="C2088" t="inlineStr">
        <is>
          <t>1000</t>
        </is>
      </c>
      <c r="D2088" t="inlineStr">
        <is>
          <t>M3</t>
        </is>
      </c>
      <c r="E2088" t="n">
        <v>1000</v>
      </c>
      <c r="F2088" t="inlineStr">
        <is>
          <t>TN</t>
        </is>
      </c>
      <c r="G2088" t="n">
        <v>1404</v>
      </c>
      <c r="H2088" t="inlineStr">
        <is>
          <t>ARENA TRITURADA CALIZA MALLA 4</t>
        </is>
      </c>
    </row>
    <row r="2089">
      <c r="A2089" t="n">
        <v>10251251</v>
      </c>
      <c r="B2089" t="inlineStr">
        <is>
          <t>ZFE3</t>
        </is>
      </c>
      <c r="C2089" t="inlineStr">
        <is>
          <t>1000</t>
        </is>
      </c>
      <c r="D2089" t="inlineStr">
        <is>
          <t>M3</t>
        </is>
      </c>
      <c r="E2089" t="n">
        <v>1000</v>
      </c>
      <c r="F2089" t="inlineStr">
        <is>
          <t>TN</t>
        </is>
      </c>
      <c r="G2089" t="n">
        <v>1443</v>
      </c>
      <c r="H2089" t="inlineStr">
        <is>
          <t>ARENA TRITURADA CALIZA MALLA 4</t>
        </is>
      </c>
    </row>
    <row r="2090">
      <c r="A2090" t="n">
        <v>10251252</v>
      </c>
      <c r="B2090" t="inlineStr">
        <is>
          <t>ZFE3</t>
        </is>
      </c>
      <c r="C2090" t="inlineStr">
        <is>
          <t>1000</t>
        </is>
      </c>
      <c r="D2090" t="inlineStr">
        <is>
          <t>M3</t>
        </is>
      </c>
      <c r="E2090" t="n">
        <v>1000</v>
      </c>
      <c r="F2090" t="inlineStr">
        <is>
          <t>TN</t>
        </is>
      </c>
      <c r="G2090" t="n">
        <v>1298</v>
      </c>
      <c r="H2090" t="inlineStr">
        <is>
          <t>ARENA TRITURADA CALIZA MALLA 4</t>
        </is>
      </c>
    </row>
    <row r="2091">
      <c r="A2091" t="n">
        <v>10251260</v>
      </c>
      <c r="B2091" t="inlineStr">
        <is>
          <t>ZFE3</t>
        </is>
      </c>
      <c r="C2091" t="inlineStr">
        <is>
          <t>1000</t>
        </is>
      </c>
      <c r="D2091" t="inlineStr">
        <is>
          <t>M3</t>
        </is>
      </c>
      <c r="E2091" t="n">
        <v>1000</v>
      </c>
      <c r="F2091" t="inlineStr">
        <is>
          <t>TN</t>
        </is>
      </c>
      <c r="G2091" t="n">
        <v>1396</v>
      </c>
      <c r="H2091" t="inlineStr">
        <is>
          <t>ARENA TRITURADA CALIZA MALLA 4 ORUS</t>
        </is>
      </c>
    </row>
    <row r="2092">
      <c r="A2092" t="n">
        <v>10251334</v>
      </c>
      <c r="B2092" t="inlineStr">
        <is>
          <t>ZFE3</t>
        </is>
      </c>
      <c r="C2092" t="inlineStr">
        <is>
          <t>1000</t>
        </is>
      </c>
      <c r="D2092" t="inlineStr">
        <is>
          <t>M3</t>
        </is>
      </c>
      <c r="E2092" t="n">
        <v>1000</v>
      </c>
      <c r="F2092" t="inlineStr">
        <is>
          <t>TN</t>
        </is>
      </c>
      <c r="G2092" t="n">
        <v>1330</v>
      </c>
      <c r="H2092" t="inlineStr">
        <is>
          <t>GRAVA TRIT ANDESITA 20MM - 3/4" AZUL</t>
        </is>
      </c>
    </row>
    <row r="2093">
      <c r="A2093" t="n">
        <v>10251335</v>
      </c>
      <c r="B2093" t="inlineStr">
        <is>
          <t>ZFE3</t>
        </is>
      </c>
      <c r="C2093" t="inlineStr">
        <is>
          <t>1000</t>
        </is>
      </c>
      <c r="D2093" t="inlineStr">
        <is>
          <t>M3</t>
        </is>
      </c>
      <c r="E2093" t="n">
        <v>1000</v>
      </c>
      <c r="F2093" t="inlineStr">
        <is>
          <t>TN</t>
        </is>
      </c>
      <c r="G2093" t="n">
        <v>1229</v>
      </c>
      <c r="H2093" t="inlineStr">
        <is>
          <t>ARENA DE RÍO MALLA 4 CLASIFICADA</t>
        </is>
      </c>
    </row>
    <row r="2094">
      <c r="A2094" t="n">
        <v>10251385</v>
      </c>
      <c r="B2094" t="inlineStr">
        <is>
          <t>ZFE3</t>
        </is>
      </c>
      <c r="C2094" t="inlineStr">
        <is>
          <t>1000</t>
        </is>
      </c>
      <c r="D2094" t="inlineStr">
        <is>
          <t>M3</t>
        </is>
      </c>
      <c r="E2094" t="n">
        <v>1000</v>
      </c>
      <c r="F2094" t="inlineStr">
        <is>
          <t>TN</t>
        </is>
      </c>
      <c r="G2094" t="n">
        <v>1450</v>
      </c>
      <c r="H2094" t="inlineStr">
        <is>
          <t>BASE H TRITURADA BASALTO 1 1/2" A FINOS-</t>
        </is>
      </c>
    </row>
    <row r="2095">
      <c r="A2095" t="n">
        <v>10251421</v>
      </c>
      <c r="B2095" t="inlineStr">
        <is>
          <t>ZFE3</t>
        </is>
      </c>
      <c r="C2095" t="inlineStr">
        <is>
          <t>1000</t>
        </is>
      </c>
      <c r="D2095" t="inlineStr">
        <is>
          <t>M3</t>
        </is>
      </c>
      <c r="E2095" t="n">
        <v>1000</v>
      </c>
      <c r="F2095" t="inlineStr">
        <is>
          <t>TN</t>
        </is>
      </c>
      <c r="G2095" t="n">
        <v>1323</v>
      </c>
      <c r="H2095" t="inlineStr">
        <is>
          <t>ARENA TRIT CALIZA MALLA 4 - CARACOL</t>
        </is>
      </c>
    </row>
    <row r="2096">
      <c r="A2096" t="n">
        <v>10251586</v>
      </c>
      <c r="B2096" t="inlineStr">
        <is>
          <t>ZFE3</t>
        </is>
      </c>
      <c r="C2096" t="inlineStr">
        <is>
          <t>1000</t>
        </is>
      </c>
      <c r="D2096" t="inlineStr">
        <is>
          <t>M3</t>
        </is>
      </c>
      <c r="E2096" t="n">
        <v>1000</v>
      </c>
      <c r="F2096" t="inlineStr">
        <is>
          <t>TN</t>
        </is>
      </c>
      <c r="G2096" t="n">
        <v>1335</v>
      </c>
      <c r="H2096" t="inlineStr">
        <is>
          <t>ARENA CALIZA TRIT MALLA 4 - I JABALI T</t>
        </is>
      </c>
    </row>
    <row r="2097">
      <c r="A2097" t="n">
        <v>10251587</v>
      </c>
      <c r="B2097" t="inlineStr">
        <is>
          <t>ZFE3</t>
        </is>
      </c>
      <c r="C2097" t="inlineStr">
        <is>
          <t>1000</t>
        </is>
      </c>
      <c r="D2097" t="inlineStr">
        <is>
          <t>M3</t>
        </is>
      </c>
      <c r="E2097" t="n">
        <v>1000</v>
      </c>
      <c r="F2097" t="inlineStr">
        <is>
          <t>TN</t>
        </is>
      </c>
      <c r="G2097" t="n">
        <v>1325</v>
      </c>
      <c r="H2097" t="inlineStr">
        <is>
          <t>GRAVA TRIT CALIZA 20MM 3/4" - I JABALI T</t>
        </is>
      </c>
    </row>
    <row r="2098">
      <c r="A2098" t="n">
        <v>10251657</v>
      </c>
      <c r="B2098" t="inlineStr">
        <is>
          <t>ZFE3</t>
        </is>
      </c>
      <c r="C2098" t="inlineStr">
        <is>
          <t>1000</t>
        </is>
      </c>
      <c r="D2098" t="inlineStr">
        <is>
          <t>M3</t>
        </is>
      </c>
      <c r="E2098" t="n">
        <v>1000</v>
      </c>
      <c r="F2098" t="inlineStr">
        <is>
          <t>TN</t>
        </is>
      </c>
      <c r="G2098" t="n">
        <v>1550</v>
      </c>
      <c r="H2098" t="inlineStr">
        <is>
          <t>GRAVA TRITURADA BASALTO 20 MM - 3/4"</t>
        </is>
      </c>
    </row>
    <row r="2099">
      <c r="A2099" t="n">
        <v>10251658</v>
      </c>
      <c r="B2099" t="inlineStr">
        <is>
          <t>ZFE3</t>
        </is>
      </c>
      <c r="C2099" t="inlineStr">
        <is>
          <t>1000</t>
        </is>
      </c>
      <c r="D2099" t="inlineStr">
        <is>
          <t>M3</t>
        </is>
      </c>
      <c r="E2099" t="n">
        <v>1000</v>
      </c>
      <c r="F2099" t="inlineStr">
        <is>
          <t>TN</t>
        </is>
      </c>
      <c r="G2099" t="n">
        <v>1510</v>
      </c>
      <c r="H2099" t="inlineStr">
        <is>
          <t>GRAVA TRITURADA BASALTO 40 MM - 1 1/2"</t>
        </is>
      </c>
    </row>
    <row r="2100">
      <c r="A2100" t="n">
        <v>10251742</v>
      </c>
      <c r="B2100" t="inlineStr">
        <is>
          <t>ZFE3</t>
        </is>
      </c>
      <c r="C2100" t="inlineStr">
        <is>
          <t>1000</t>
        </is>
      </c>
      <c r="D2100" t="inlineStr">
        <is>
          <t>M3</t>
        </is>
      </c>
      <c r="E2100" t="n">
        <v>1000</v>
      </c>
      <c r="F2100" t="inlineStr">
        <is>
          <t>TN</t>
        </is>
      </c>
      <c r="G2100" t="n">
        <v>1417</v>
      </c>
      <c r="H2100" t="inlineStr">
        <is>
          <t>ARENA TRITURADA CALIZA 10MM -3/8"-CMX</t>
        </is>
      </c>
    </row>
    <row r="2101">
      <c r="A2101" t="n">
        <v>10251745</v>
      </c>
      <c r="B2101" t="inlineStr">
        <is>
          <t>ZFE3</t>
        </is>
      </c>
      <c r="C2101" t="inlineStr">
        <is>
          <t>1000</t>
        </is>
      </c>
      <c r="D2101" t="inlineStr">
        <is>
          <t>M3</t>
        </is>
      </c>
      <c r="E2101" t="n">
        <v>1000</v>
      </c>
      <c r="F2101" t="inlineStr">
        <is>
          <t>TN</t>
        </is>
      </c>
      <c r="G2101" t="n">
        <v>1500</v>
      </c>
      <c r="H2101" t="inlineStr">
        <is>
          <t>MIXTO TEPETATE</t>
        </is>
      </c>
    </row>
    <row r="2102">
      <c r="A2102" t="n">
        <v>10251894</v>
      </c>
      <c r="B2102" t="inlineStr">
        <is>
          <t>ZFE3</t>
        </is>
      </c>
      <c r="C2102" t="inlineStr">
        <is>
          <t>1000</t>
        </is>
      </c>
      <c r="D2102" t="inlineStr">
        <is>
          <t>M3</t>
        </is>
      </c>
      <c r="E2102" t="n">
        <v>1000</v>
      </c>
      <c r="F2102" t="inlineStr">
        <is>
          <t>TN</t>
        </is>
      </c>
      <c r="G2102" t="n">
        <v>1282</v>
      </c>
      <c r="H2102" t="inlineStr">
        <is>
          <t>GRAVA TRITURADA CALIZA 10MM - 3/8"</t>
        </is>
      </c>
    </row>
    <row r="2103">
      <c r="A2103" t="n">
        <v>10252010</v>
      </c>
      <c r="B2103" t="inlineStr">
        <is>
          <t>ZFE3</t>
        </is>
      </c>
      <c r="C2103" t="inlineStr">
        <is>
          <t>1000</t>
        </is>
      </c>
      <c r="D2103" t="inlineStr">
        <is>
          <t>M3</t>
        </is>
      </c>
      <c r="E2103" t="n">
        <v>1000</v>
      </c>
      <c r="F2103" t="inlineStr">
        <is>
          <t>TN</t>
        </is>
      </c>
      <c r="G2103" t="n">
        <v>1083</v>
      </c>
      <c r="H2103" t="inlineStr">
        <is>
          <t>GRAVA TRIT CALIZA 20MM 3/4" - I JABALI P</t>
        </is>
      </c>
    </row>
    <row r="2104">
      <c r="A2104" t="n">
        <v>10252019</v>
      </c>
      <c r="B2104" t="inlineStr">
        <is>
          <t>ZFE3</t>
        </is>
      </c>
      <c r="C2104" t="inlineStr">
        <is>
          <t>1000</t>
        </is>
      </c>
      <c r="D2104" t="inlineStr">
        <is>
          <t>M3</t>
        </is>
      </c>
      <c r="E2104" t="n">
        <v>1000</v>
      </c>
      <c r="F2104" t="inlineStr">
        <is>
          <t>TN</t>
        </is>
      </c>
      <c r="G2104" t="n">
        <v>1654</v>
      </c>
      <c r="H2104" t="inlineStr">
        <is>
          <t>ARENA CALIZA TRITUTADA MALLA 4 - MERC. C</t>
        </is>
      </c>
    </row>
    <row r="2105">
      <c r="A2105" t="n">
        <v>10252029</v>
      </c>
      <c r="B2105" t="inlineStr">
        <is>
          <t>ZFE3</t>
        </is>
      </c>
      <c r="C2105" t="inlineStr">
        <is>
          <t>1000</t>
        </is>
      </c>
      <c r="D2105" t="inlineStr">
        <is>
          <t>M3</t>
        </is>
      </c>
      <c r="E2105" t="n">
        <v>1000</v>
      </c>
      <c r="F2105" t="inlineStr">
        <is>
          <t>TN</t>
        </is>
      </c>
      <c r="G2105" t="n">
        <v>1475</v>
      </c>
      <c r="H2105" t="inlineStr">
        <is>
          <t>ARENA PULVERIZADA LAVADA</t>
        </is>
      </c>
    </row>
    <row r="2106">
      <c r="A2106" t="n">
        <v>10252050</v>
      </c>
      <c r="B2106" t="inlineStr">
        <is>
          <t>ZFE3</t>
        </is>
      </c>
      <c r="C2106" t="inlineStr">
        <is>
          <t>1000</t>
        </is>
      </c>
      <c r="D2106" t="inlineStr">
        <is>
          <t>M3</t>
        </is>
      </c>
      <c r="E2106" t="n">
        <v>1000</v>
      </c>
      <c r="F2106" t="inlineStr">
        <is>
          <t>TN</t>
        </is>
      </c>
      <c r="G2106" t="n">
        <v>1253</v>
      </c>
      <c r="H2106" t="inlineStr">
        <is>
          <t>GRAVA TRITURADA CALIZA 20MM 3/4" - MERC.</t>
        </is>
      </c>
    </row>
    <row r="2107">
      <c r="A2107" t="n">
        <v>10252051</v>
      </c>
      <c r="B2107" t="inlineStr">
        <is>
          <t>ZFE3</t>
        </is>
      </c>
      <c r="C2107" t="inlineStr">
        <is>
          <t>1000</t>
        </is>
      </c>
      <c r="D2107" t="inlineStr">
        <is>
          <t>M3</t>
        </is>
      </c>
      <c r="E2107" t="n">
        <v>1000</v>
      </c>
      <c r="F2107" t="inlineStr">
        <is>
          <t>TN</t>
        </is>
      </c>
      <c r="G2107" t="n">
        <v>1340</v>
      </c>
      <c r="H2107" t="inlineStr">
        <is>
          <t>GRAVA TRITURADA CALIZA 10MM 3/8" - MERC.</t>
        </is>
      </c>
    </row>
    <row r="2108">
      <c r="A2108" t="n">
        <v>10252183</v>
      </c>
      <c r="B2108" t="inlineStr">
        <is>
          <t>ZFE3</t>
        </is>
      </c>
      <c r="C2108" t="inlineStr">
        <is>
          <t>1000</t>
        </is>
      </c>
      <c r="D2108" t="inlineStr">
        <is>
          <t>M3</t>
        </is>
      </c>
      <c r="E2108" t="n">
        <v>1000</v>
      </c>
      <c r="F2108" t="inlineStr">
        <is>
          <t>TN</t>
        </is>
      </c>
      <c r="G2108" t="n">
        <v>1570</v>
      </c>
      <c r="H2108" t="inlineStr">
        <is>
          <t>REVESTIMIENTO BASALTO 2" A 1 1/2"</t>
        </is>
      </c>
    </row>
    <row r="2109">
      <c r="A2109" t="n">
        <v>10252238</v>
      </c>
      <c r="B2109" t="inlineStr">
        <is>
          <t>ZFE3</t>
        </is>
      </c>
      <c r="C2109" t="inlineStr">
        <is>
          <t>1000</t>
        </is>
      </c>
      <c r="D2109" t="inlineStr">
        <is>
          <t>M3</t>
        </is>
      </c>
      <c r="E2109" t="n">
        <v>1000</v>
      </c>
      <c r="F2109" t="inlineStr">
        <is>
          <t>TN</t>
        </is>
      </c>
      <c r="G2109" t="n">
        <v>1466</v>
      </c>
      <c r="H2109" t="inlineStr">
        <is>
          <t>ARENA TRIT CALIZA MALLA 4-MAV VALLADOLID</t>
        </is>
      </c>
    </row>
    <row r="2110">
      <c r="A2110" t="n">
        <v>10252239</v>
      </c>
      <c r="B2110" t="inlineStr">
        <is>
          <t>ZFE3</t>
        </is>
      </c>
      <c r="C2110" t="inlineStr">
        <is>
          <t>1000</t>
        </is>
      </c>
      <c r="D2110" t="inlineStr">
        <is>
          <t>M3</t>
        </is>
      </c>
      <c r="E2110" t="n">
        <v>1000</v>
      </c>
      <c r="F2110" t="inlineStr">
        <is>
          <t>TN</t>
        </is>
      </c>
      <c r="G2110" t="n">
        <v>1402</v>
      </c>
      <c r="H2110" t="inlineStr">
        <is>
          <t>ARENA TRIT CALIZA MALLA 4-MAV TEMOZÓN</t>
        </is>
      </c>
    </row>
    <row r="2111">
      <c r="A2111" t="n">
        <v>10252353</v>
      </c>
      <c r="B2111" t="inlineStr">
        <is>
          <t>ZFE3</t>
        </is>
      </c>
      <c r="C2111" t="inlineStr">
        <is>
          <t>1000</t>
        </is>
      </c>
      <c r="D2111" t="inlineStr">
        <is>
          <t>M3</t>
        </is>
      </c>
      <c r="E2111" t="n">
        <v>1000</v>
      </c>
      <c r="F2111" t="inlineStr">
        <is>
          <t>TN</t>
        </is>
      </c>
      <c r="G2111" t="n">
        <v>1399</v>
      </c>
      <c r="H2111" t="inlineStr">
        <is>
          <t>ARENA TRIT CALIZA MALLA 4-LA ESCONDIDA</t>
        </is>
      </c>
    </row>
    <row r="2112">
      <c r="A2112" t="n">
        <v>10252469</v>
      </c>
      <c r="B2112" t="inlineStr">
        <is>
          <t>ZFE3</t>
        </is>
      </c>
      <c r="C2112" t="inlineStr">
        <is>
          <t>1000</t>
        </is>
      </c>
      <c r="D2112" t="inlineStr">
        <is>
          <t>M3</t>
        </is>
      </c>
      <c r="E2112" t="n">
        <v>1000</v>
      </c>
      <c r="F2112" t="inlineStr">
        <is>
          <t>TN</t>
        </is>
      </c>
      <c r="G2112" t="n">
        <v>1453</v>
      </c>
      <c r="H2112" t="inlineStr">
        <is>
          <t>ARENA CRIBADA VOLCANICA MALLA 4</t>
        </is>
      </c>
    </row>
    <row r="2113">
      <c r="A2113" t="n">
        <v>10252521</v>
      </c>
      <c r="B2113" t="inlineStr">
        <is>
          <t>ZFE3</t>
        </is>
      </c>
      <c r="C2113" t="inlineStr">
        <is>
          <t>1000</t>
        </is>
      </c>
      <c r="D2113" t="inlineStr">
        <is>
          <t>M3</t>
        </is>
      </c>
      <c r="E2113" t="n">
        <v>1000</v>
      </c>
      <c r="F2113" t="inlineStr">
        <is>
          <t>TN</t>
        </is>
      </c>
      <c r="G2113" t="n">
        <v>1135</v>
      </c>
      <c r="H2113" t="inlineStr">
        <is>
          <t>GRAVA TRIT CALIZA 3/4"- 20MM LA ESCONDID</t>
        </is>
      </c>
    </row>
    <row r="2114">
      <c r="A2114" t="n">
        <v>10252809</v>
      </c>
      <c r="B2114" t="inlineStr">
        <is>
          <t>ZFE3</t>
        </is>
      </c>
      <c r="C2114" t="inlineStr">
        <is>
          <t>1000</t>
        </is>
      </c>
      <c r="D2114" t="inlineStr">
        <is>
          <t>M3</t>
        </is>
      </c>
      <c r="E2114" t="n">
        <v>1000</v>
      </c>
      <c r="F2114" t="inlineStr">
        <is>
          <t>TN</t>
        </is>
      </c>
      <c r="G2114" t="n">
        <v>1530</v>
      </c>
      <c r="H2114" t="inlineStr">
        <is>
          <t>ARENA TRITURADA BASALTO MALLA 4</t>
        </is>
      </c>
    </row>
    <row r="2115">
      <c r="A2115" t="n">
        <v>10252850</v>
      </c>
      <c r="B2115" t="inlineStr">
        <is>
          <t>ZFE3</t>
        </is>
      </c>
      <c r="C2115" t="inlineStr">
        <is>
          <t>1000</t>
        </is>
      </c>
      <c r="D2115" t="inlineStr">
        <is>
          <t>M3</t>
        </is>
      </c>
      <c r="E2115" t="n">
        <v>1000</v>
      </c>
      <c r="F2115" t="inlineStr">
        <is>
          <t>TN</t>
        </is>
      </c>
      <c r="G2115" t="n">
        <v>1393</v>
      </c>
      <c r="H2115" t="inlineStr">
        <is>
          <t>GRAVA TRIT BASALTO 20MM - 3/4</t>
        </is>
      </c>
    </row>
    <row r="2116">
      <c r="A2116" t="n">
        <v>10252851</v>
      </c>
      <c r="B2116" t="inlineStr">
        <is>
          <t>ZFE3</t>
        </is>
      </c>
      <c r="C2116" t="inlineStr">
        <is>
          <t>1000</t>
        </is>
      </c>
      <c r="D2116" t="inlineStr">
        <is>
          <t>M3</t>
        </is>
      </c>
      <c r="E2116" t="n">
        <v>1000</v>
      </c>
      <c r="F2116" t="inlineStr">
        <is>
          <t>TN</t>
        </is>
      </c>
      <c r="G2116" t="n">
        <v>1355</v>
      </c>
      <c r="H2116" t="inlineStr">
        <is>
          <t>GRAVA TRIT BASALTO 40MM - 1 1/2</t>
        </is>
      </c>
    </row>
    <row r="2117">
      <c r="A2117" t="n">
        <v>10252852</v>
      </c>
      <c r="B2117" t="inlineStr">
        <is>
          <t>ZFE3</t>
        </is>
      </c>
      <c r="C2117" t="inlineStr">
        <is>
          <t>1000</t>
        </is>
      </c>
      <c r="D2117" t="inlineStr">
        <is>
          <t>M3</t>
        </is>
      </c>
      <c r="E2117" t="n">
        <v>1000</v>
      </c>
      <c r="F2117" t="inlineStr">
        <is>
          <t>TN</t>
        </is>
      </c>
      <c r="G2117" t="n">
        <v>1238</v>
      </c>
      <c r="H2117" t="inlineStr">
        <is>
          <t>ARENA DE RIO MALLA 4</t>
        </is>
      </c>
    </row>
    <row r="2118">
      <c r="A2118" t="n">
        <v>10253148</v>
      </c>
      <c r="B2118" t="inlineStr">
        <is>
          <t>ZFE3</t>
        </is>
      </c>
      <c r="C2118" t="inlineStr">
        <is>
          <t>1000</t>
        </is>
      </c>
      <c r="D2118" t="inlineStr">
        <is>
          <t>M3</t>
        </is>
      </c>
      <c r="E2118" t="n">
        <v>1000</v>
      </c>
      <c r="F2118" t="inlineStr">
        <is>
          <t>TN</t>
        </is>
      </c>
      <c r="G2118" t="n">
        <v>1533</v>
      </c>
      <c r="H2118" t="inlineStr">
        <is>
          <t>CRUDO DE MINA DESPERDICIO</t>
        </is>
      </c>
    </row>
    <row r="2119">
      <c r="A2119" t="n">
        <v>10253840</v>
      </c>
      <c r="B2119" t="inlineStr">
        <is>
          <t>ZFE3</t>
        </is>
      </c>
      <c r="C2119" t="inlineStr">
        <is>
          <t>1000</t>
        </is>
      </c>
      <c r="D2119" t="inlineStr">
        <is>
          <t>M3</t>
        </is>
      </c>
      <c r="E2119" t="n">
        <v>1000</v>
      </c>
      <c r="F2119" t="inlineStr">
        <is>
          <t>TN</t>
        </is>
      </c>
      <c r="G2119" t="n">
        <v>1707</v>
      </c>
      <c r="H2119" t="inlineStr">
        <is>
          <t>ARENA TRITURADA CALIZA MALLA 4</t>
        </is>
      </c>
    </row>
    <row r="2120">
      <c r="A2120" t="n">
        <v>10254047</v>
      </c>
      <c r="B2120" t="inlineStr">
        <is>
          <t>ZFE3</t>
        </is>
      </c>
      <c r="C2120" t="inlineStr">
        <is>
          <t>1000</t>
        </is>
      </c>
      <c r="D2120" t="inlineStr">
        <is>
          <t>M3</t>
        </is>
      </c>
      <c r="E2120" t="n">
        <v>1000</v>
      </c>
      <c r="F2120" t="inlineStr">
        <is>
          <t>TN</t>
        </is>
      </c>
      <c r="G2120" t="n">
        <v>1480</v>
      </c>
      <c r="H2120" t="inlineStr">
        <is>
          <t>ARENA DE RIO LAVADA MALLA 4</t>
        </is>
      </c>
    </row>
    <row r="2121">
      <c r="A2121" t="n">
        <v>10254064</v>
      </c>
      <c r="B2121" t="inlineStr">
        <is>
          <t>ZFE3</t>
        </is>
      </c>
      <c r="C2121" t="inlineStr">
        <is>
          <t>1000</t>
        </is>
      </c>
      <c r="D2121" t="inlineStr">
        <is>
          <t>M3</t>
        </is>
      </c>
      <c r="E2121" t="n">
        <v>1000</v>
      </c>
      <c r="F2121" t="inlineStr">
        <is>
          <t>TN</t>
        </is>
      </c>
      <c r="G2121" t="n">
        <v>1744</v>
      </c>
      <c r="H2121" t="inlineStr">
        <is>
          <t>BASE HIDRAULICA 3/4 DESPERDICIO</t>
        </is>
      </c>
    </row>
    <row r="2122">
      <c r="A2122" t="n">
        <v>10254171</v>
      </c>
      <c r="B2122" t="inlineStr">
        <is>
          <t>ZFE3</t>
        </is>
      </c>
      <c r="C2122" t="inlineStr">
        <is>
          <t>1000</t>
        </is>
      </c>
      <c r="D2122" t="inlineStr">
        <is>
          <t>M3</t>
        </is>
      </c>
      <c r="E2122" t="n">
        <v>1000</v>
      </c>
      <c r="F2122" t="inlineStr">
        <is>
          <t>TN</t>
        </is>
      </c>
      <c r="G2122" t="n">
        <v>1542</v>
      </c>
      <c r="H2122" t="inlineStr">
        <is>
          <t>ARENA CALIZA TRIT MALLA 4</t>
        </is>
      </c>
    </row>
    <row r="2123">
      <c r="A2123" t="n">
        <v>10254912</v>
      </c>
      <c r="B2123" t="inlineStr">
        <is>
          <t>ZFE3</t>
        </is>
      </c>
      <c r="C2123" t="inlineStr">
        <is>
          <t>1000</t>
        </is>
      </c>
      <c r="D2123" t="inlineStr">
        <is>
          <t>M3</t>
        </is>
      </c>
      <c r="E2123" t="n">
        <v>1000</v>
      </c>
      <c r="F2123" t="inlineStr">
        <is>
          <t>TN</t>
        </is>
      </c>
      <c r="G2123" t="n">
        <v>1350</v>
      </c>
      <c r="H2123" t="inlineStr">
        <is>
          <t>GRAVA TRITURADA BASALTO 40 MM - 1 1/2"</t>
        </is>
      </c>
    </row>
    <row r="2124">
      <c r="A2124" t="n">
        <v>10254913</v>
      </c>
      <c r="B2124" t="inlineStr">
        <is>
          <t>ZFE3</t>
        </is>
      </c>
      <c r="C2124" t="inlineStr">
        <is>
          <t>1000</t>
        </is>
      </c>
      <c r="D2124" t="inlineStr">
        <is>
          <t>M3</t>
        </is>
      </c>
      <c r="E2124" t="n">
        <v>1000</v>
      </c>
      <c r="F2124" t="inlineStr">
        <is>
          <t>TN</t>
        </is>
      </c>
      <c r="G2124" t="n">
        <v>1620</v>
      </c>
      <c r="H2124" t="inlineStr">
        <is>
          <t>ARENA TRITURADA BASALTO 4</t>
        </is>
      </c>
    </row>
    <row r="2125">
      <c r="A2125" t="n">
        <v>10254914</v>
      </c>
      <c r="B2125" t="inlineStr">
        <is>
          <t>ZFE3</t>
        </is>
      </c>
      <c r="C2125" t="inlineStr">
        <is>
          <t>1000</t>
        </is>
      </c>
      <c r="D2125" t="inlineStr">
        <is>
          <t>M3</t>
        </is>
      </c>
      <c r="E2125" t="n">
        <v>1000</v>
      </c>
      <c r="F2125" t="inlineStr">
        <is>
          <t>TN</t>
        </is>
      </c>
      <c r="G2125" t="n">
        <v>1361</v>
      </c>
      <c r="H2125" t="inlineStr">
        <is>
          <t>GRAVA TRITURADA BASALTO 10MM, 3/8</t>
        </is>
      </c>
    </row>
    <row r="2126">
      <c r="A2126" t="n">
        <v>10254915</v>
      </c>
      <c r="B2126" t="inlineStr">
        <is>
          <t>ZFE3</t>
        </is>
      </c>
      <c r="C2126" t="inlineStr">
        <is>
          <t>1000</t>
        </is>
      </c>
      <c r="D2126" t="inlineStr">
        <is>
          <t>M3</t>
        </is>
      </c>
      <c r="E2126" t="n">
        <v>1000</v>
      </c>
      <c r="F2126" t="inlineStr">
        <is>
          <t>TN</t>
        </is>
      </c>
      <c r="G2126" t="n">
        <v>1393</v>
      </c>
      <c r="H2126" t="inlineStr">
        <is>
          <t>GRAVA TRITURADA BASALTO 20MM, 3/4</t>
        </is>
      </c>
    </row>
    <row r="2127">
      <c r="A2127" t="n">
        <v>10254916</v>
      </c>
      <c r="B2127" t="inlineStr">
        <is>
          <t>ZFE3</t>
        </is>
      </c>
      <c r="C2127" t="inlineStr">
        <is>
          <t>1000</t>
        </is>
      </c>
      <c r="D2127" t="inlineStr">
        <is>
          <t>M3</t>
        </is>
      </c>
      <c r="E2127" t="n">
        <v>1000</v>
      </c>
      <c r="F2127" t="inlineStr">
        <is>
          <t>TN</t>
        </is>
      </c>
      <c r="G2127" t="n">
        <v>1393</v>
      </c>
      <c r="H2127" t="inlineStr">
        <is>
          <t>GRAVA TRITURADA BASALTO 40MM, 1 1/2</t>
        </is>
      </c>
    </row>
    <row r="2128">
      <c r="A2128" t="n">
        <v>10255248</v>
      </c>
      <c r="B2128" t="inlineStr">
        <is>
          <t>ZFE3</t>
        </is>
      </c>
      <c r="C2128" t="inlineStr">
        <is>
          <t>1000</t>
        </is>
      </c>
      <c r="D2128" t="inlineStr">
        <is>
          <t>M3</t>
        </is>
      </c>
      <c r="E2128" t="n">
        <v>1000</v>
      </c>
      <c r="F2128" t="inlineStr">
        <is>
          <t>TN</t>
        </is>
      </c>
      <c r="G2128" t="n">
        <v>1465</v>
      </c>
      <c r="H2128" t="inlineStr">
        <is>
          <t>ARENA TRIT BASALTO MALLA 4</t>
        </is>
      </c>
    </row>
    <row r="2129">
      <c r="A2129" t="n">
        <v>10255249</v>
      </c>
      <c r="B2129" t="inlineStr">
        <is>
          <t>ZFE3</t>
        </is>
      </c>
      <c r="C2129" t="inlineStr">
        <is>
          <t>1000</t>
        </is>
      </c>
      <c r="D2129" t="inlineStr">
        <is>
          <t>M3</t>
        </is>
      </c>
      <c r="E2129" t="n">
        <v>1000</v>
      </c>
      <c r="F2129" t="inlineStr">
        <is>
          <t>TN</t>
        </is>
      </c>
      <c r="G2129" t="n">
        <v>1337</v>
      </c>
      <c r="H2129" t="inlineStr">
        <is>
          <t>GRAVA TRIT BASALTO 20MM - 3/4</t>
        </is>
      </c>
    </row>
    <row r="2130">
      <c r="A2130" t="n">
        <v>10255304</v>
      </c>
      <c r="B2130" t="inlineStr">
        <is>
          <t>ZFE3</t>
        </is>
      </c>
      <c r="C2130" t="inlineStr">
        <is>
          <t>1000</t>
        </is>
      </c>
      <c r="D2130" t="inlineStr">
        <is>
          <t>M3</t>
        </is>
      </c>
      <c r="E2130" t="n">
        <v>1000</v>
      </c>
      <c r="F2130" t="inlineStr">
        <is>
          <t>TN</t>
        </is>
      </c>
      <c r="G2130" t="n">
        <v>1444</v>
      </c>
      <c r="H2130" t="inlineStr">
        <is>
          <t>ARENA CLASIFICADA RÍO LAVADA MALLA 4</t>
        </is>
      </c>
    </row>
    <row r="2131">
      <c r="A2131" t="n">
        <v>10255320</v>
      </c>
      <c r="B2131" t="inlineStr">
        <is>
          <t>ZFE3</t>
        </is>
      </c>
      <c r="C2131" t="inlineStr">
        <is>
          <t>1000</t>
        </is>
      </c>
      <c r="D2131" t="inlineStr">
        <is>
          <t>M3</t>
        </is>
      </c>
      <c r="E2131" t="n">
        <v>1000</v>
      </c>
      <c r="F2131" t="inlineStr">
        <is>
          <t>TN</t>
        </is>
      </c>
      <c r="G2131" t="n">
        <v>1264</v>
      </c>
      <c r="H2131" t="inlineStr">
        <is>
          <t>GRAVA TRIT BASALTO 40MM - 1 1/2</t>
        </is>
      </c>
    </row>
    <row r="2132">
      <c r="A2132" t="n">
        <v>10255395</v>
      </c>
      <c r="B2132" t="inlineStr">
        <is>
          <t>ZFE3</t>
        </is>
      </c>
      <c r="C2132" t="inlineStr">
        <is>
          <t>1000</t>
        </is>
      </c>
      <c r="D2132" t="inlineStr">
        <is>
          <t>M3</t>
        </is>
      </c>
      <c r="E2132" t="n">
        <v>1000</v>
      </c>
      <c r="F2132" t="inlineStr">
        <is>
          <t>TN</t>
        </is>
      </c>
      <c r="G2132" t="n">
        <v>1448</v>
      </c>
      <c r="H2132" t="inlineStr">
        <is>
          <t>GRAVA TRITURADA CALIZA 20 MM - 3/4"</t>
        </is>
      </c>
    </row>
    <row r="2133">
      <c r="A2133" t="n">
        <v>10255416</v>
      </c>
      <c r="B2133" t="inlineStr">
        <is>
          <t>ZFE3</t>
        </is>
      </c>
      <c r="C2133" t="inlineStr">
        <is>
          <t>1000</t>
        </is>
      </c>
      <c r="D2133" t="inlineStr">
        <is>
          <t>M3</t>
        </is>
      </c>
      <c r="E2133" t="n">
        <v>1000</v>
      </c>
      <c r="F2133" t="inlineStr">
        <is>
          <t>TN</t>
        </is>
      </c>
      <c r="G2133" t="n">
        <v>1448</v>
      </c>
      <c r="H2133" t="inlineStr">
        <is>
          <t>ARENA CLASIF RÍO MALLA 4</t>
        </is>
      </c>
    </row>
    <row r="2134">
      <c r="A2134" t="n">
        <v>10255428</v>
      </c>
      <c r="B2134" t="inlineStr">
        <is>
          <t>ZFE3</t>
        </is>
      </c>
      <c r="C2134" t="inlineStr">
        <is>
          <t>1000</t>
        </is>
      </c>
      <c r="D2134" t="inlineStr">
        <is>
          <t>M3</t>
        </is>
      </c>
      <c r="E2134" t="n">
        <v>1000</v>
      </c>
      <c r="F2134" t="inlineStr">
        <is>
          <t>TN</t>
        </is>
      </c>
      <c r="G2134" t="n">
        <v>1512</v>
      </c>
      <c r="H2134" t="inlineStr">
        <is>
          <t>ARENA CLASIFICADA RIO MALLA 4</t>
        </is>
      </c>
    </row>
    <row r="2135">
      <c r="A2135" t="n">
        <v>10255740</v>
      </c>
      <c r="B2135" t="inlineStr">
        <is>
          <t>ZFE3</t>
        </is>
      </c>
      <c r="C2135" t="inlineStr">
        <is>
          <t>1000</t>
        </is>
      </c>
      <c r="D2135" t="inlineStr">
        <is>
          <t>M3</t>
        </is>
      </c>
      <c r="E2135" t="n">
        <v>1000</v>
      </c>
      <c r="F2135" t="inlineStr">
        <is>
          <t>TN</t>
        </is>
      </c>
      <c r="G2135" t="n">
        <v>1522</v>
      </c>
      <c r="H2135" t="inlineStr">
        <is>
          <t>GRAVA TRIT 1 1/2" INTEGRAL BASALTO</t>
        </is>
      </c>
    </row>
    <row r="2136">
      <c r="A2136" t="n">
        <v>10255742</v>
      </c>
      <c r="B2136" t="inlineStr">
        <is>
          <t>ZFE3</t>
        </is>
      </c>
      <c r="C2136" t="inlineStr">
        <is>
          <t>1000</t>
        </is>
      </c>
      <c r="D2136" t="inlineStr">
        <is>
          <t>M3</t>
        </is>
      </c>
      <c r="E2136" t="n">
        <v>1000</v>
      </c>
      <c r="F2136" t="inlineStr">
        <is>
          <t>TN</t>
        </is>
      </c>
      <c r="G2136" t="n">
        <v>1305</v>
      </c>
      <c r="H2136" t="inlineStr">
        <is>
          <t>GRAVA TRIT 1 1/2" INTEGRAL ANDESITA</t>
        </is>
      </c>
    </row>
    <row r="2137">
      <c r="A2137" t="n">
        <v>10255828</v>
      </c>
      <c r="B2137" t="inlineStr">
        <is>
          <t>ZFE3</t>
        </is>
      </c>
      <c r="C2137" t="inlineStr">
        <is>
          <t>1000</t>
        </is>
      </c>
      <c r="D2137" t="inlineStr">
        <is>
          <t>M3</t>
        </is>
      </c>
      <c r="E2137" t="n">
        <v>1000</v>
      </c>
      <c r="F2137" t="inlineStr">
        <is>
          <t>TN</t>
        </is>
      </c>
      <c r="G2137" t="n">
        <v>1280</v>
      </c>
      <c r="H2137" t="inlineStr">
        <is>
          <t>ARENA TRITURADA ANDESITA MALLA 8</t>
        </is>
      </c>
    </row>
    <row r="2138">
      <c r="A2138" t="n">
        <v>10255937</v>
      </c>
      <c r="B2138" t="inlineStr">
        <is>
          <t>ZFE3</t>
        </is>
      </c>
      <c r="C2138" t="inlineStr">
        <is>
          <t>1000</t>
        </is>
      </c>
      <c r="D2138" t="inlineStr">
        <is>
          <t>M3</t>
        </is>
      </c>
      <c r="E2138" t="n">
        <v>1000</v>
      </c>
      <c r="F2138" t="inlineStr">
        <is>
          <t>TN</t>
        </is>
      </c>
      <c r="G2138" t="n">
        <v>1362</v>
      </c>
      <c r="H2138" t="inlineStr">
        <is>
          <t>GRAVA ¾ DOLOMITA</t>
        </is>
      </c>
    </row>
    <row r="2139">
      <c r="A2139" t="n">
        <v>10256033</v>
      </c>
      <c r="B2139" t="inlineStr">
        <is>
          <t>ZFE3</t>
        </is>
      </c>
      <c r="C2139" t="inlineStr">
        <is>
          <t>1000</t>
        </is>
      </c>
      <c r="D2139" t="inlineStr">
        <is>
          <t>M3</t>
        </is>
      </c>
      <c r="E2139" t="n">
        <v>1000</v>
      </c>
      <c r="F2139" t="inlineStr">
        <is>
          <t>TN</t>
        </is>
      </c>
      <c r="G2139" t="n">
        <v>1339</v>
      </c>
      <c r="H2139" t="inlineStr">
        <is>
          <t>GRAVA TRITURADA CALIZA 40 MM - 1 1/2"</t>
        </is>
      </c>
    </row>
    <row r="2140">
      <c r="A2140" t="n">
        <v>10256402</v>
      </c>
      <c r="B2140" t="inlineStr">
        <is>
          <t>ZFE3</t>
        </is>
      </c>
      <c r="C2140" t="inlineStr">
        <is>
          <t>1000</t>
        </is>
      </c>
      <c r="D2140" t="inlineStr">
        <is>
          <t>M3</t>
        </is>
      </c>
      <c r="E2140" t="n">
        <v>1000</v>
      </c>
      <c r="F2140" t="inlineStr">
        <is>
          <t>TN</t>
        </is>
      </c>
      <c r="G2140" t="n">
        <v>1552</v>
      </c>
      <c r="H2140" t="inlineStr">
        <is>
          <t>BASE H TRITURADA BASALTO  1 1/2" A FINOS</t>
        </is>
      </c>
    </row>
    <row r="2141">
      <c r="A2141" t="n">
        <v>10256709</v>
      </c>
      <c r="B2141" t="inlineStr">
        <is>
          <t>ZFE3</t>
        </is>
      </c>
      <c r="C2141" t="inlineStr">
        <is>
          <t>1000</t>
        </is>
      </c>
      <c r="D2141" t="inlineStr">
        <is>
          <t>M3</t>
        </is>
      </c>
      <c r="E2141" t="n">
        <v>1000</v>
      </c>
      <c r="F2141" t="inlineStr">
        <is>
          <t>TN</t>
        </is>
      </c>
      <c r="G2141" t="n">
        <v>1202</v>
      </c>
      <c r="H2141" t="inlineStr">
        <is>
          <t>GRAVA TRITURADA BASALTO 20 MM - 3/4"</t>
        </is>
      </c>
    </row>
    <row r="2142">
      <c r="A2142" t="n">
        <v>10256759</v>
      </c>
      <c r="B2142" t="inlineStr">
        <is>
          <t>ZFE3</t>
        </is>
      </c>
      <c r="C2142" t="inlineStr">
        <is>
          <t>1000</t>
        </is>
      </c>
      <c r="D2142" t="inlineStr">
        <is>
          <t>M3</t>
        </is>
      </c>
      <c r="E2142" t="n">
        <v>1000</v>
      </c>
      <c r="F2142" t="inlineStr">
        <is>
          <t>TN</t>
        </is>
      </c>
      <c r="G2142" t="n">
        <v>1406</v>
      </c>
      <c r="H2142" t="inlineStr">
        <is>
          <t>ARENA TRIT CALIZA MALLA 4 - I JABALI PLA</t>
        </is>
      </c>
    </row>
    <row r="2143">
      <c r="A2143" t="n">
        <v>10256971</v>
      </c>
      <c r="B2143" t="inlineStr">
        <is>
          <t>ZFE3</t>
        </is>
      </c>
      <c r="C2143" t="inlineStr">
        <is>
          <t>1000</t>
        </is>
      </c>
      <c r="D2143" t="inlineStr">
        <is>
          <t>M3</t>
        </is>
      </c>
      <c r="E2143" t="n">
        <v>1000</v>
      </c>
      <c r="F2143" t="inlineStr">
        <is>
          <t>TN</t>
        </is>
      </c>
      <c r="G2143" t="n">
        <v>1328</v>
      </c>
      <c r="H2143" t="inlineStr">
        <is>
          <t>ARENA CLASIF RÍO MALLA 4 (Q) INFRA</t>
        </is>
      </c>
    </row>
    <row r="2144">
      <c r="A2144" t="n">
        <v>10256975</v>
      </c>
      <c r="B2144" t="inlineStr">
        <is>
          <t>ZFE3</t>
        </is>
      </c>
      <c r="C2144" t="inlineStr">
        <is>
          <t>1000</t>
        </is>
      </c>
      <c r="D2144" t="inlineStr">
        <is>
          <t>M3</t>
        </is>
      </c>
      <c r="E2144" t="n">
        <v>1000</v>
      </c>
      <c r="F2144" t="inlineStr">
        <is>
          <t>TN</t>
        </is>
      </c>
      <c r="G2144" t="n">
        <v>1432</v>
      </c>
      <c r="H2144" t="inlineStr">
        <is>
          <t>ARENA CLASIFICADA RIO MALLA 4</t>
        </is>
      </c>
    </row>
    <row r="2145">
      <c r="A2145" t="n">
        <v>10257024</v>
      </c>
      <c r="B2145" t="inlineStr">
        <is>
          <t>ZFE3</t>
        </is>
      </c>
      <c r="C2145" t="inlineStr">
        <is>
          <t>1000</t>
        </is>
      </c>
      <c r="D2145" t="inlineStr">
        <is>
          <t>M3</t>
        </is>
      </c>
      <c r="E2145" t="n">
        <v>1000</v>
      </c>
      <c r="F2145" t="inlineStr">
        <is>
          <t>TN</t>
        </is>
      </c>
      <c r="G2145" t="n">
        <v>1649</v>
      </c>
      <c r="H2145" t="inlineStr">
        <is>
          <t>ARENA TRITURADA CALIZA 4</t>
        </is>
      </c>
    </row>
    <row r="2146">
      <c r="A2146" t="n">
        <v>10257608</v>
      </c>
      <c r="B2146" t="inlineStr">
        <is>
          <t>ZFE3</t>
        </is>
      </c>
      <c r="C2146" t="inlineStr">
        <is>
          <t>1000</t>
        </is>
      </c>
      <c r="D2146" t="inlineStr">
        <is>
          <t>M3</t>
        </is>
      </c>
      <c r="E2146" t="n">
        <v>1000</v>
      </c>
      <c r="F2146" t="inlineStr">
        <is>
          <t>TN</t>
        </is>
      </c>
      <c r="G2146" t="n">
        <v>1467</v>
      </c>
      <c r="H2146" t="inlineStr">
        <is>
          <t>GRAVA TRITURADA CALIZA 10 MM - 3/8"</t>
        </is>
      </c>
    </row>
    <row r="2147">
      <c r="A2147" t="n">
        <v>10257762</v>
      </c>
      <c r="B2147" t="inlineStr">
        <is>
          <t>ZFE3</t>
        </is>
      </c>
      <c r="C2147" t="inlineStr">
        <is>
          <t>1000</t>
        </is>
      </c>
      <c r="D2147" t="inlineStr">
        <is>
          <t>M3</t>
        </is>
      </c>
      <c r="E2147" t="n">
        <v>1000</v>
      </c>
      <c r="F2147" t="inlineStr">
        <is>
          <t>TN</t>
        </is>
      </c>
      <c r="G2147" t="n">
        <v>1193</v>
      </c>
      <c r="H2147" t="inlineStr">
        <is>
          <t>GRAVA TRITURADA CALIZA 10 MM - 3/8"</t>
        </is>
      </c>
    </row>
    <row r="2148">
      <c r="A2148" t="n">
        <v>10257828</v>
      </c>
      <c r="B2148" t="inlineStr">
        <is>
          <t>ZFE3</t>
        </is>
      </c>
      <c r="C2148" t="inlineStr">
        <is>
          <t>1000</t>
        </is>
      </c>
      <c r="D2148" t="inlineStr">
        <is>
          <t>M3</t>
        </is>
      </c>
      <c r="E2148" t="n">
        <v>1000</v>
      </c>
      <c r="F2148" t="inlineStr">
        <is>
          <t>TN</t>
        </is>
      </c>
      <c r="G2148" t="n">
        <v>1374</v>
      </c>
      <c r="H2148" t="inlineStr">
        <is>
          <t>GRAVA TRITURADA BASALTO 40 MM - 1 1/2"</t>
        </is>
      </c>
    </row>
    <row r="2149">
      <c r="A2149" t="n">
        <v>10257880</v>
      </c>
      <c r="B2149" t="inlineStr">
        <is>
          <t>ZFE3</t>
        </is>
      </c>
      <c r="C2149" t="inlineStr">
        <is>
          <t>1000</t>
        </is>
      </c>
      <c r="D2149" t="inlineStr">
        <is>
          <t>M3</t>
        </is>
      </c>
      <c r="E2149" t="n">
        <v>1000</v>
      </c>
      <c r="F2149" t="inlineStr">
        <is>
          <t>TN</t>
        </is>
      </c>
      <c r="G2149" t="n">
        <v>1900</v>
      </c>
      <c r="H2149" t="inlineStr">
        <is>
          <t>ARENA SÍLICA DE 1.8 A 2.3 MM</t>
        </is>
      </c>
    </row>
    <row r="2150">
      <c r="A2150" t="n">
        <v>10258182</v>
      </c>
      <c r="B2150" t="inlineStr">
        <is>
          <t>ZFE3</t>
        </is>
      </c>
      <c r="C2150" t="inlineStr">
        <is>
          <t>1000</t>
        </is>
      </c>
      <c r="D2150" t="inlineStr">
        <is>
          <t>M3</t>
        </is>
      </c>
      <c r="E2150" t="n">
        <v>1000</v>
      </c>
      <c r="F2150" t="inlineStr">
        <is>
          <t>TN</t>
        </is>
      </c>
      <c r="G2150" t="n">
        <v>1625</v>
      </c>
      <c r="H2150" t="inlineStr">
        <is>
          <t>SOBRETAMAÑO ROCA NATURAL DE 0.5 A 0.80TN</t>
        </is>
      </c>
    </row>
    <row r="2151">
      <c r="A2151" t="n">
        <v>10258183</v>
      </c>
      <c r="B2151" t="inlineStr">
        <is>
          <t>ZFE3</t>
        </is>
      </c>
      <c r="C2151" t="inlineStr">
        <is>
          <t>1000</t>
        </is>
      </c>
      <c r="D2151" t="inlineStr">
        <is>
          <t>M3</t>
        </is>
      </c>
      <c r="E2151" t="n">
        <v>1000</v>
      </c>
      <c r="F2151" t="inlineStr">
        <is>
          <t>TN</t>
        </is>
      </c>
      <c r="G2151" t="n">
        <v>1625</v>
      </c>
      <c r="H2151" t="inlineStr">
        <is>
          <t>SOBRETAMAÑO ROCA NATURAL DE 0.8 A 1.2 TN</t>
        </is>
      </c>
    </row>
    <row r="2152">
      <c r="A2152" t="n">
        <v>10258184</v>
      </c>
      <c r="B2152" t="inlineStr">
        <is>
          <t>ZFE3</t>
        </is>
      </c>
      <c r="C2152" t="inlineStr">
        <is>
          <t>1000</t>
        </is>
      </c>
      <c r="D2152" t="inlineStr">
        <is>
          <t>M3</t>
        </is>
      </c>
      <c r="E2152" t="n">
        <v>1000</v>
      </c>
      <c r="F2152" t="inlineStr">
        <is>
          <t>TN</t>
        </is>
      </c>
      <c r="G2152" t="n">
        <v>1625</v>
      </c>
      <c r="H2152" t="inlineStr">
        <is>
          <t>SOBRETAMAÑO ROCA NATURAL DE 0.2 A 0.56TN</t>
        </is>
      </c>
    </row>
    <row r="2153">
      <c r="A2153" t="n">
        <v>10258185</v>
      </c>
      <c r="B2153" t="inlineStr">
        <is>
          <t>ZFE3</t>
        </is>
      </c>
      <c r="C2153" t="inlineStr">
        <is>
          <t>1000</t>
        </is>
      </c>
      <c r="D2153" t="inlineStr">
        <is>
          <t>M3</t>
        </is>
      </c>
      <c r="E2153" t="n">
        <v>1000</v>
      </c>
      <c r="F2153" t="inlineStr">
        <is>
          <t>TN</t>
        </is>
      </c>
      <c r="G2153" t="n">
        <v>1625</v>
      </c>
      <c r="H2153" t="inlineStr">
        <is>
          <t>SOBRETAMAÑO ROCA NATURAL DE 0.56 A 1TN</t>
        </is>
      </c>
    </row>
    <row r="2154">
      <c r="A2154" t="n">
        <v>10258286</v>
      </c>
      <c r="B2154" t="inlineStr">
        <is>
          <t>ZFE3</t>
        </is>
      </c>
      <c r="C2154" t="inlineStr">
        <is>
          <t>1000</t>
        </is>
      </c>
      <c r="D2154" t="inlineStr">
        <is>
          <t>M3</t>
        </is>
      </c>
      <c r="E2154" t="n">
        <v>1000</v>
      </c>
      <c r="F2154" t="inlineStr">
        <is>
          <t>TN</t>
        </is>
      </c>
      <c r="G2154" t="n">
        <v>1682</v>
      </c>
      <c r="H2154" t="inlineStr">
        <is>
          <t>NV ARENA TRITURADA BASALTO MALLA 5</t>
        </is>
      </c>
    </row>
    <row r="2155">
      <c r="A2155" t="n">
        <v>10258287</v>
      </c>
      <c r="B2155" t="inlineStr">
        <is>
          <t>ZFE3</t>
        </is>
      </c>
      <c r="C2155" t="inlineStr">
        <is>
          <t>1000</t>
        </is>
      </c>
      <c r="D2155" t="inlineStr">
        <is>
          <t>M3</t>
        </is>
      </c>
      <c r="E2155" t="n">
        <v>1000</v>
      </c>
      <c r="F2155" t="inlineStr">
        <is>
          <t>TN</t>
        </is>
      </c>
      <c r="G2155" t="n">
        <v>1471</v>
      </c>
      <c r="H2155" t="inlineStr">
        <is>
          <t>NV GRAVA TRITURADA BASALTO 20 MM - 3/4"</t>
        </is>
      </c>
    </row>
    <row r="2156">
      <c r="A2156" t="n">
        <v>10258288</v>
      </c>
      <c r="B2156" t="inlineStr">
        <is>
          <t>ZFE3</t>
        </is>
      </c>
      <c r="C2156" t="inlineStr">
        <is>
          <t>1000</t>
        </is>
      </c>
      <c r="D2156" t="inlineStr">
        <is>
          <t>M3</t>
        </is>
      </c>
      <c r="E2156" t="n">
        <v>1000</v>
      </c>
      <c r="F2156" t="inlineStr">
        <is>
          <t>TN</t>
        </is>
      </c>
      <c r="G2156" t="n">
        <v>1739</v>
      </c>
      <c r="H2156" t="inlineStr">
        <is>
          <t>NV ARENA TRITURADA CALIZA MALLA 4</t>
        </is>
      </c>
    </row>
    <row r="2157">
      <c r="A2157" t="n">
        <v>10258289</v>
      </c>
      <c r="B2157" t="inlineStr">
        <is>
          <t>ZFE3</t>
        </is>
      </c>
      <c r="C2157" t="inlineStr">
        <is>
          <t>1000</t>
        </is>
      </c>
      <c r="D2157" t="inlineStr">
        <is>
          <t>M3</t>
        </is>
      </c>
      <c r="E2157" t="n">
        <v>1000</v>
      </c>
      <c r="F2157" t="inlineStr">
        <is>
          <t>TN</t>
        </is>
      </c>
      <c r="G2157" t="n">
        <v>1720</v>
      </c>
      <c r="H2157" t="inlineStr">
        <is>
          <t>NV ARENA TRITURADA CALIZA MALLA 5</t>
        </is>
      </c>
    </row>
    <row r="2158">
      <c r="A2158" t="n">
        <v>10258300</v>
      </c>
      <c r="B2158" t="inlineStr">
        <is>
          <t>ZFE3</t>
        </is>
      </c>
      <c r="C2158" t="inlineStr">
        <is>
          <t>1000</t>
        </is>
      </c>
      <c r="D2158" t="inlineStr">
        <is>
          <t>M3</t>
        </is>
      </c>
      <c r="E2158" t="n">
        <v>1000</v>
      </c>
      <c r="F2158" t="inlineStr">
        <is>
          <t>TN</t>
        </is>
      </c>
      <c r="G2158" t="n">
        <v>1389</v>
      </c>
      <c r="H2158" t="inlineStr">
        <is>
          <t>ARENA TRITURADA CALIZA MALLA 5</t>
        </is>
      </c>
    </row>
    <row r="2159">
      <c r="A2159" t="n">
        <v>10258301</v>
      </c>
      <c r="B2159" t="inlineStr">
        <is>
          <t>ZFE3</t>
        </is>
      </c>
      <c r="C2159" t="inlineStr">
        <is>
          <t>1000</t>
        </is>
      </c>
      <c r="D2159" t="inlineStr">
        <is>
          <t>M3</t>
        </is>
      </c>
      <c r="E2159" t="n">
        <v>1000</v>
      </c>
      <c r="F2159" t="inlineStr">
        <is>
          <t>TN</t>
        </is>
      </c>
      <c r="G2159" t="n">
        <v>1205</v>
      </c>
      <c r="H2159" t="inlineStr">
        <is>
          <t>GRAVA TRITURADA CALIZA 20 MM - 3/4"</t>
        </is>
      </c>
    </row>
    <row r="2160">
      <c r="A2160" t="n">
        <v>10258302</v>
      </c>
      <c r="B2160" t="inlineStr">
        <is>
          <t>ZFE3</t>
        </is>
      </c>
      <c r="C2160" t="inlineStr">
        <is>
          <t>1000</t>
        </is>
      </c>
      <c r="D2160" t="inlineStr">
        <is>
          <t>M3</t>
        </is>
      </c>
      <c r="E2160" t="n">
        <v>1000</v>
      </c>
      <c r="F2160" t="inlineStr">
        <is>
          <t>TN</t>
        </is>
      </c>
      <c r="G2160" t="n">
        <v>1296</v>
      </c>
      <c r="H2160" t="inlineStr">
        <is>
          <t>ARENA TRITURADA CALIZA MALLA 5</t>
        </is>
      </c>
    </row>
    <row r="2161">
      <c r="A2161" t="n">
        <v>10258303</v>
      </c>
      <c r="B2161" t="inlineStr">
        <is>
          <t>ZFE3</t>
        </is>
      </c>
      <c r="C2161" t="inlineStr">
        <is>
          <t>1000</t>
        </is>
      </c>
      <c r="D2161" t="inlineStr">
        <is>
          <t>M3</t>
        </is>
      </c>
      <c r="E2161" t="n">
        <v>1000</v>
      </c>
      <c r="F2161" t="inlineStr">
        <is>
          <t>TN</t>
        </is>
      </c>
      <c r="G2161" t="n">
        <v>1153</v>
      </c>
      <c r="H2161" t="inlineStr">
        <is>
          <t>GRAVA TRITURADA CALIZA 20 MM - 3/4"</t>
        </is>
      </c>
    </row>
    <row r="2162">
      <c r="A2162" t="n">
        <v>10258360</v>
      </c>
      <c r="B2162" t="inlineStr">
        <is>
          <t>ZFE3</t>
        </is>
      </c>
      <c r="C2162" t="inlineStr">
        <is>
          <t>1000</t>
        </is>
      </c>
      <c r="D2162" t="inlineStr">
        <is>
          <t>M3</t>
        </is>
      </c>
      <c r="E2162" t="n">
        <v>1000</v>
      </c>
      <c r="F2162" t="inlineStr">
        <is>
          <t>TN</t>
        </is>
      </c>
      <c r="G2162" t="n">
        <v>1771</v>
      </c>
      <c r="H2162" t="inlineStr">
        <is>
          <t>NV ARENA TRITURADA CALIZA BLOCK</t>
        </is>
      </c>
    </row>
    <row r="2163">
      <c r="A2163" t="n">
        <v>10258361</v>
      </c>
      <c r="B2163" t="inlineStr">
        <is>
          <t>ZFE3</t>
        </is>
      </c>
      <c r="C2163" t="inlineStr">
        <is>
          <t>1000</t>
        </is>
      </c>
      <c r="D2163" t="inlineStr">
        <is>
          <t>M3</t>
        </is>
      </c>
      <c r="E2163" t="n">
        <v>1000</v>
      </c>
      <c r="F2163" t="inlineStr">
        <is>
          <t>TN</t>
        </is>
      </c>
      <c r="G2163" t="n">
        <v>1430</v>
      </c>
      <c r="H2163" t="inlineStr">
        <is>
          <t>NV GRAVA TRITURADA CALIZA 20 MM - 3/4"</t>
        </is>
      </c>
    </row>
    <row r="2164">
      <c r="A2164" t="n">
        <v>10258362</v>
      </c>
      <c r="B2164" t="inlineStr">
        <is>
          <t>ZFE3</t>
        </is>
      </c>
      <c r="C2164" t="inlineStr">
        <is>
          <t>1000</t>
        </is>
      </c>
      <c r="D2164" t="inlineStr">
        <is>
          <t>M3</t>
        </is>
      </c>
      <c r="E2164" t="n">
        <v>1000</v>
      </c>
      <c r="F2164" t="inlineStr">
        <is>
          <t>TN</t>
        </is>
      </c>
      <c r="G2164" t="n">
        <v>1562</v>
      </c>
      <c r="H2164" t="inlineStr">
        <is>
          <t>NV GRAVA TRITURADA CALIZA 10 MM - 3/8"</t>
        </is>
      </c>
    </row>
    <row r="2165">
      <c r="A2165" t="n">
        <v>10258373</v>
      </c>
      <c r="B2165" t="inlineStr">
        <is>
          <t>ZFE3</t>
        </is>
      </c>
      <c r="C2165" t="inlineStr">
        <is>
          <t>1000</t>
        </is>
      </c>
      <c r="D2165" t="inlineStr">
        <is>
          <t>M3</t>
        </is>
      </c>
      <c r="E2165" t="n">
        <v>1000</v>
      </c>
      <c r="F2165" t="inlineStr">
        <is>
          <t>TN</t>
        </is>
      </c>
      <c r="G2165" t="n">
        <v>1332</v>
      </c>
      <c r="H2165" t="inlineStr">
        <is>
          <t>NV GRAVA TRITURADA CALIZA 13MM 1/2</t>
        </is>
      </c>
    </row>
    <row r="2166">
      <c r="A2166" t="n">
        <v>10258375</v>
      </c>
      <c r="B2166" t="inlineStr">
        <is>
          <t>ZFE3</t>
        </is>
      </c>
      <c r="C2166" t="inlineStr">
        <is>
          <t>1000</t>
        </is>
      </c>
      <c r="D2166" t="inlineStr">
        <is>
          <t>M3</t>
        </is>
      </c>
      <c r="E2166" t="n">
        <v>1000</v>
      </c>
      <c r="F2166" t="inlineStr">
        <is>
          <t>TN</t>
        </is>
      </c>
      <c r="G2166" t="n">
        <v>1462</v>
      </c>
      <c r="H2166" t="inlineStr">
        <is>
          <t>NV BASE H TRITURADA CALIZA 1 1/2 A FINOS</t>
        </is>
      </c>
    </row>
    <row r="2167">
      <c r="A2167" t="n">
        <v>10258376</v>
      </c>
      <c r="B2167" t="inlineStr">
        <is>
          <t>ZFE3</t>
        </is>
      </c>
      <c r="C2167" t="inlineStr">
        <is>
          <t>1000</t>
        </is>
      </c>
      <c r="D2167" t="inlineStr">
        <is>
          <t>M3</t>
        </is>
      </c>
      <c r="E2167" t="n">
        <v>1000</v>
      </c>
      <c r="F2167" t="inlineStr">
        <is>
          <t>TN</t>
        </is>
      </c>
      <c r="G2167" t="n">
        <v>1201</v>
      </c>
      <c r="H2167" t="inlineStr">
        <is>
          <t>NV GRAVA TRIT. CALIZA 20MM 3/4 TER INTEG</t>
        </is>
      </c>
    </row>
    <row r="2168">
      <c r="A2168" t="n">
        <v>10258379</v>
      </c>
      <c r="B2168" t="inlineStr">
        <is>
          <t>ZFE3</t>
        </is>
      </c>
      <c r="C2168" t="inlineStr">
        <is>
          <t>1000</t>
        </is>
      </c>
      <c r="D2168" t="inlineStr">
        <is>
          <t>M3</t>
        </is>
      </c>
      <c r="E2168" t="n">
        <v>1000</v>
      </c>
      <c r="F2168" t="inlineStr">
        <is>
          <t>TN</t>
        </is>
      </c>
      <c r="G2168" t="n">
        <v>1560</v>
      </c>
      <c r="H2168" t="inlineStr">
        <is>
          <t>NV ARENA TRITURADA CALIZA MALLA 4</t>
        </is>
      </c>
    </row>
    <row r="2169">
      <c r="A2169" t="n">
        <v>10258386</v>
      </c>
      <c r="B2169" t="inlineStr">
        <is>
          <t>ZFE3</t>
        </is>
      </c>
      <c r="C2169" t="inlineStr">
        <is>
          <t>1000</t>
        </is>
      </c>
      <c r="D2169" t="inlineStr">
        <is>
          <t>M3</t>
        </is>
      </c>
      <c r="E2169" t="n">
        <v>1000</v>
      </c>
      <c r="F2169" t="inlineStr">
        <is>
          <t>TN</t>
        </is>
      </c>
      <c r="G2169" t="n">
        <v>1323</v>
      </c>
      <c r="H2169" t="inlineStr">
        <is>
          <t>GRAVA TRITURADA BASALTO 20 MM - 3/4"</t>
        </is>
      </c>
    </row>
    <row r="2170">
      <c r="A2170" t="n">
        <v>10258387</v>
      </c>
      <c r="B2170" t="inlineStr">
        <is>
          <t>ZFE3</t>
        </is>
      </c>
      <c r="C2170" t="inlineStr">
        <is>
          <t>1000</t>
        </is>
      </c>
      <c r="D2170" t="inlineStr">
        <is>
          <t>M3</t>
        </is>
      </c>
      <c r="E2170" t="n">
        <v>1000</v>
      </c>
      <c r="F2170" t="inlineStr">
        <is>
          <t>TN</t>
        </is>
      </c>
      <c r="G2170" t="n">
        <v>1400</v>
      </c>
      <c r="H2170" t="inlineStr">
        <is>
          <t>GRAVA TRITURADA BASALTO  40 MM - 1 1/2"</t>
        </is>
      </c>
    </row>
    <row r="2171">
      <c r="A2171" t="n">
        <v>10258388</v>
      </c>
      <c r="B2171" t="inlineStr">
        <is>
          <t>ZFE3</t>
        </is>
      </c>
      <c r="C2171" t="inlineStr">
        <is>
          <t>1000</t>
        </is>
      </c>
      <c r="D2171" t="inlineStr">
        <is>
          <t>M3</t>
        </is>
      </c>
      <c r="E2171" t="n">
        <v>1000</v>
      </c>
      <c r="F2171" t="inlineStr">
        <is>
          <t>TN</t>
        </is>
      </c>
      <c r="G2171" t="n">
        <v>1500</v>
      </c>
      <c r="H2171" t="inlineStr">
        <is>
          <t>ARENA CLASIFICADA VOLCANICA MALLA 4</t>
        </is>
      </c>
    </row>
    <row r="2172">
      <c r="A2172" t="n">
        <v>10258489</v>
      </c>
      <c r="B2172" t="inlineStr">
        <is>
          <t>ZFE3</t>
        </is>
      </c>
      <c r="C2172" t="inlineStr">
        <is>
          <t>1000</t>
        </is>
      </c>
      <c r="D2172" t="inlineStr">
        <is>
          <t>M3</t>
        </is>
      </c>
      <c r="E2172" t="n">
        <v>1000</v>
      </c>
      <c r="F2172" t="inlineStr">
        <is>
          <t>TN</t>
        </is>
      </c>
      <c r="G2172" t="n">
        <v>1739</v>
      </c>
      <c r="H2172" t="inlineStr">
        <is>
          <t>NV ARENA TRITURADA CALIZA MALLA 4 B47 F</t>
        </is>
      </c>
    </row>
    <row r="2173">
      <c r="A2173" t="n">
        <v>10258539</v>
      </c>
      <c r="B2173" t="inlineStr">
        <is>
          <t>ZFE3</t>
        </is>
      </c>
      <c r="C2173" t="inlineStr">
        <is>
          <t>1000</t>
        </is>
      </c>
      <c r="D2173" t="inlineStr">
        <is>
          <t>M3</t>
        </is>
      </c>
      <c r="E2173" t="n">
        <v>1000</v>
      </c>
      <c r="F2173" t="inlineStr">
        <is>
          <t>TN</t>
        </is>
      </c>
      <c r="G2173" t="n">
        <v>1591</v>
      </c>
      <c r="H2173" t="inlineStr">
        <is>
          <t>ARENA TRITURADA BASALTO MALLA 5</t>
        </is>
      </c>
    </row>
    <row r="2174">
      <c r="A2174" t="n">
        <v>10258859</v>
      </c>
      <c r="B2174" t="inlineStr">
        <is>
          <t>ZFE3</t>
        </is>
      </c>
      <c r="C2174" t="inlineStr">
        <is>
          <t>1000</t>
        </is>
      </c>
      <c r="D2174" t="inlineStr">
        <is>
          <t>M3</t>
        </is>
      </c>
      <c r="E2174" t="n">
        <v>1000</v>
      </c>
      <c r="F2174" t="inlineStr">
        <is>
          <t>TN</t>
        </is>
      </c>
      <c r="G2174" t="n">
        <v>1436</v>
      </c>
      <c r="H2174" t="inlineStr">
        <is>
          <t>ARENA CALIZA TRITURADA MALLA 4</t>
        </is>
      </c>
    </row>
    <row r="2175">
      <c r="A2175" t="n">
        <v>10259171</v>
      </c>
      <c r="B2175" t="inlineStr">
        <is>
          <t>ZFE3</t>
        </is>
      </c>
      <c r="C2175" t="inlineStr">
        <is>
          <t>1000</t>
        </is>
      </c>
      <c r="D2175" t="inlineStr">
        <is>
          <t>M3</t>
        </is>
      </c>
      <c r="E2175" t="n">
        <v>1000</v>
      </c>
      <c r="F2175" t="inlineStr">
        <is>
          <t>TN</t>
        </is>
      </c>
      <c r="G2175" t="n">
        <v>1400</v>
      </c>
      <c r="H2175" t="inlineStr">
        <is>
          <t>GRAVA TRITURADA DE RIO ''1''</t>
        </is>
      </c>
    </row>
    <row r="2176">
      <c r="A2176" t="n">
        <v>10259172</v>
      </c>
      <c r="B2176" t="inlineStr">
        <is>
          <t>ZFE3</t>
        </is>
      </c>
      <c r="C2176" t="inlineStr">
        <is>
          <t>1000</t>
        </is>
      </c>
      <c r="D2176" t="inlineStr">
        <is>
          <t>M3</t>
        </is>
      </c>
      <c r="E2176" t="n">
        <v>1000</v>
      </c>
      <c r="F2176" t="inlineStr">
        <is>
          <t>TN</t>
        </is>
      </c>
      <c r="G2176" t="n">
        <v>1510</v>
      </c>
      <c r="H2176" t="inlineStr">
        <is>
          <t>ARENA TRITURADA RIO VSI</t>
        </is>
      </c>
    </row>
    <row r="2177">
      <c r="A2177" t="n">
        <v>10259173</v>
      </c>
      <c r="B2177" t="inlineStr">
        <is>
          <t>ZFE3</t>
        </is>
      </c>
      <c r="C2177" t="inlineStr">
        <is>
          <t>1000</t>
        </is>
      </c>
      <c r="D2177" t="inlineStr">
        <is>
          <t>M3</t>
        </is>
      </c>
      <c r="E2177" t="n">
        <v>1000</v>
      </c>
      <c r="F2177" t="inlineStr">
        <is>
          <t>TN</t>
        </is>
      </c>
      <c r="G2177" t="n">
        <v>1500</v>
      </c>
      <c r="H2177" t="inlineStr">
        <is>
          <t>GRAVARENA</t>
        </is>
      </c>
    </row>
    <row r="2178">
      <c r="A2178" t="n">
        <v>10259174</v>
      </c>
      <c r="B2178" t="inlineStr">
        <is>
          <t>ZFE3</t>
        </is>
      </c>
      <c r="C2178" t="inlineStr">
        <is>
          <t>1000</t>
        </is>
      </c>
      <c r="D2178" t="inlineStr">
        <is>
          <t>M3</t>
        </is>
      </c>
      <c r="E2178" t="n">
        <v>1000</v>
      </c>
      <c r="F2178" t="inlineStr">
        <is>
          <t>TN</t>
        </is>
      </c>
      <c r="G2178" t="n">
        <v>1700</v>
      </c>
      <c r="H2178" t="inlineStr">
        <is>
          <t>GRAVON</t>
        </is>
      </c>
    </row>
    <row r="2179">
      <c r="A2179" t="n">
        <v>10259175</v>
      </c>
      <c r="B2179" t="inlineStr">
        <is>
          <t>ZFE3</t>
        </is>
      </c>
      <c r="C2179" t="inlineStr">
        <is>
          <t>1000</t>
        </is>
      </c>
      <c r="D2179" t="inlineStr">
        <is>
          <t>M3</t>
        </is>
      </c>
      <c r="E2179" t="n">
        <v>1000</v>
      </c>
      <c r="F2179" t="inlineStr">
        <is>
          <t>TN</t>
        </is>
      </c>
      <c r="G2179" t="n">
        <v>1620</v>
      </c>
      <c r="H2179" t="inlineStr">
        <is>
          <t>PIEDRA TERRAPLEN 4'' A 16''</t>
        </is>
      </c>
    </row>
    <row r="2180">
      <c r="A2180" t="n">
        <v>10259176</v>
      </c>
      <c r="B2180" t="inlineStr">
        <is>
          <t>ZFE3</t>
        </is>
      </c>
      <c r="C2180" t="inlineStr">
        <is>
          <t>1000</t>
        </is>
      </c>
      <c r="D2180" t="inlineStr">
        <is>
          <t>M3</t>
        </is>
      </c>
      <c r="E2180" t="n">
        <v>1000</v>
      </c>
      <c r="F2180" t="inlineStr">
        <is>
          <t>TN</t>
        </is>
      </c>
      <c r="G2180" t="n">
        <v>1600</v>
      </c>
      <c r="H2180" t="inlineStr">
        <is>
          <t>PIEDRA DE EMPEDRADO</t>
        </is>
      </c>
    </row>
    <row r="2181">
      <c r="A2181" t="n">
        <v>10259177</v>
      </c>
      <c r="B2181" t="inlineStr">
        <is>
          <t>ZFE3</t>
        </is>
      </c>
      <c r="C2181" t="inlineStr">
        <is>
          <t>1000</t>
        </is>
      </c>
      <c r="D2181" t="inlineStr">
        <is>
          <t>M3</t>
        </is>
      </c>
      <c r="E2181" t="n">
        <v>1000</v>
      </c>
      <c r="F2181" t="inlineStr">
        <is>
          <t>TN</t>
        </is>
      </c>
      <c r="G2181" t="n">
        <v>1400</v>
      </c>
      <c r="H2181" t="inlineStr">
        <is>
          <t>PIEDRA DE CIMIENTO</t>
        </is>
      </c>
    </row>
    <row r="2182">
      <c r="A2182" t="n">
        <v>10259178</v>
      </c>
      <c r="B2182" t="inlineStr">
        <is>
          <t>ZFE3</t>
        </is>
      </c>
      <c r="C2182" t="inlineStr">
        <is>
          <t>1000</t>
        </is>
      </c>
      <c r="D2182" t="inlineStr">
        <is>
          <t>M3</t>
        </is>
      </c>
      <c r="E2182" t="n">
        <v>1000</v>
      </c>
      <c r="F2182" t="inlineStr">
        <is>
          <t>TN</t>
        </is>
      </c>
      <c r="G2182" t="n">
        <v>1530</v>
      </c>
      <c r="H2182" t="inlineStr">
        <is>
          <t>SELLO 3E LAVADO</t>
        </is>
      </c>
    </row>
    <row r="2183">
      <c r="A2183" t="n">
        <v>10259384</v>
      </c>
      <c r="B2183" t="inlineStr">
        <is>
          <t>ZFE3</t>
        </is>
      </c>
      <c r="C2183" t="inlineStr">
        <is>
          <t>1000</t>
        </is>
      </c>
      <c r="D2183" t="inlineStr">
        <is>
          <t>M3</t>
        </is>
      </c>
      <c r="E2183" t="n">
        <v>1000</v>
      </c>
      <c r="F2183" t="inlineStr">
        <is>
          <t>TN</t>
        </is>
      </c>
      <c r="G2183" t="n">
        <v>1478</v>
      </c>
      <c r="H2183" t="inlineStr">
        <is>
          <t>ARENA TRIT. CALIZA 04 MM INFRA</t>
        </is>
      </c>
    </row>
    <row r="2184">
      <c r="A2184" t="n">
        <v>10259543</v>
      </c>
      <c r="B2184" t="inlineStr">
        <is>
          <t>ZFE3</t>
        </is>
      </c>
      <c r="C2184" t="inlineStr">
        <is>
          <t>1000</t>
        </is>
      </c>
      <c r="D2184" t="inlineStr">
        <is>
          <t>M3</t>
        </is>
      </c>
      <c r="E2184" t="n">
        <v>1000</v>
      </c>
      <c r="F2184" t="inlineStr">
        <is>
          <t>TN</t>
        </is>
      </c>
      <c r="G2184" t="n">
        <v>1600</v>
      </c>
      <c r="H2184" t="inlineStr">
        <is>
          <t>MATERIAL SUBRASANTE</t>
        </is>
      </c>
    </row>
    <row r="2185">
      <c r="A2185" t="n">
        <v>10259644</v>
      </c>
      <c r="B2185" t="inlineStr">
        <is>
          <t>ZFE3</t>
        </is>
      </c>
      <c r="C2185" t="inlineStr">
        <is>
          <t>1000</t>
        </is>
      </c>
      <c r="D2185" t="inlineStr">
        <is>
          <t>M3</t>
        </is>
      </c>
      <c r="E2185" t="n">
        <v>1000</v>
      </c>
      <c r="F2185" t="inlineStr">
        <is>
          <t>TN</t>
        </is>
      </c>
      <c r="G2185" t="n">
        <v>1590</v>
      </c>
      <c r="H2185" t="inlineStr">
        <is>
          <t>ARENA TRITURADA CALIZA #4</t>
        </is>
      </c>
    </row>
    <row r="2186">
      <c r="A2186" t="n">
        <v>10259792</v>
      </c>
      <c r="B2186" t="inlineStr">
        <is>
          <t>ZFE3</t>
        </is>
      </c>
      <c r="C2186" t="inlineStr">
        <is>
          <t>1000</t>
        </is>
      </c>
      <c r="D2186" t="inlineStr">
        <is>
          <t>M3</t>
        </is>
      </c>
      <c r="E2186" t="n">
        <v>1000</v>
      </c>
      <c r="F2186" t="inlineStr">
        <is>
          <t>TN</t>
        </is>
      </c>
      <c r="G2186" t="n">
        <v>1555</v>
      </c>
      <c r="H2186" t="inlineStr">
        <is>
          <t>ARENA TRIT ANDESITA #4 - FZ</t>
        </is>
      </c>
    </row>
    <row r="2187">
      <c r="A2187" t="n">
        <v>10259793</v>
      </c>
      <c r="B2187" t="inlineStr">
        <is>
          <t>ZFE3</t>
        </is>
      </c>
      <c r="C2187" t="inlineStr">
        <is>
          <t>1000</t>
        </is>
      </c>
      <c r="D2187" t="inlineStr">
        <is>
          <t>M3</t>
        </is>
      </c>
      <c r="E2187" t="n">
        <v>1000</v>
      </c>
      <c r="F2187" t="inlineStr">
        <is>
          <t>TN</t>
        </is>
      </c>
      <c r="G2187" t="n">
        <v>1603</v>
      </c>
      <c r="H2187" t="inlineStr">
        <is>
          <t>ARENA CALIZA TRIT # 4 - JR</t>
        </is>
      </c>
    </row>
    <row r="2188">
      <c r="A2188" t="n">
        <v>10259906</v>
      </c>
      <c r="B2188" t="inlineStr">
        <is>
          <t>ZFE3</t>
        </is>
      </c>
      <c r="C2188" t="inlineStr">
        <is>
          <t>1000</t>
        </is>
      </c>
      <c r="D2188" t="inlineStr">
        <is>
          <t>M3</t>
        </is>
      </c>
      <c r="E2188" t="n">
        <v>1000</v>
      </c>
      <c r="F2188" t="inlineStr">
        <is>
          <t>TN</t>
        </is>
      </c>
      <c r="G2188" t="n">
        <v>1925</v>
      </c>
      <c r="H2188" t="inlineStr">
        <is>
          <t>MATERIAL BANCO TRITURADO 1 1/2" A FINOS</t>
        </is>
      </c>
    </row>
    <row r="2189">
      <c r="A2189" t="n">
        <v>10259932</v>
      </c>
      <c r="B2189" t="inlineStr">
        <is>
          <t>ZFE3</t>
        </is>
      </c>
      <c r="C2189" t="inlineStr">
        <is>
          <t>1000</t>
        </is>
      </c>
      <c r="D2189" t="inlineStr">
        <is>
          <t>M3</t>
        </is>
      </c>
      <c r="E2189" t="n">
        <v>1000</v>
      </c>
      <c r="F2189" t="inlineStr">
        <is>
          <t>TN</t>
        </is>
      </c>
      <c r="G2189" t="n">
        <v>1610</v>
      </c>
      <c r="H2189" t="inlineStr">
        <is>
          <t>NV ARENA TRITURADA CALIZA MALLA 4 - DV42</t>
        </is>
      </c>
    </row>
    <row r="2190">
      <c r="A2190" t="n">
        <v>10260052</v>
      </c>
      <c r="B2190" t="inlineStr">
        <is>
          <t>ZFE3</t>
        </is>
      </c>
      <c r="C2190" t="inlineStr">
        <is>
          <t>1000</t>
        </is>
      </c>
      <c r="D2190" t="inlineStr">
        <is>
          <t>M3</t>
        </is>
      </c>
      <c r="E2190" t="n">
        <v>1000</v>
      </c>
      <c r="F2190" t="inlineStr">
        <is>
          <t>TN</t>
        </is>
      </c>
      <c r="G2190" t="n">
        <v>1530</v>
      </c>
      <c r="H2190" t="inlineStr">
        <is>
          <t>GRAVILLA 3/4</t>
        </is>
      </c>
    </row>
    <row r="2191">
      <c r="A2191" t="n">
        <v>10260053</v>
      </c>
      <c r="B2191" t="inlineStr">
        <is>
          <t>ZFE3</t>
        </is>
      </c>
      <c r="C2191" t="inlineStr">
        <is>
          <t>1000</t>
        </is>
      </c>
      <c r="D2191" t="inlineStr">
        <is>
          <t>M3</t>
        </is>
      </c>
      <c r="E2191" t="n">
        <v>1000</v>
      </c>
      <c r="F2191" t="inlineStr">
        <is>
          <t>TN</t>
        </is>
      </c>
      <c r="G2191" t="n">
        <v>1530</v>
      </c>
      <c r="H2191" t="inlineStr">
        <is>
          <t>GRAVILLA ROJA 3/4</t>
        </is>
      </c>
    </row>
    <row r="2192">
      <c r="A2192" t="n">
        <v>10260054</v>
      </c>
      <c r="B2192" t="inlineStr">
        <is>
          <t>ZFE3</t>
        </is>
      </c>
      <c r="C2192" t="inlineStr">
        <is>
          <t>1000</t>
        </is>
      </c>
      <c r="D2192" t="inlineStr">
        <is>
          <t>M3</t>
        </is>
      </c>
      <c r="E2192" t="n">
        <v>1000</v>
      </c>
      <c r="F2192" t="inlineStr">
        <is>
          <t>TN</t>
        </is>
      </c>
      <c r="G2192" t="n">
        <v>1700</v>
      </c>
      <c r="H2192" t="inlineStr">
        <is>
          <t>ARENILLA ROJA</t>
        </is>
      </c>
    </row>
    <row r="2193">
      <c r="A2193" t="n">
        <v>10260055</v>
      </c>
      <c r="B2193" t="inlineStr">
        <is>
          <t>ZFE3</t>
        </is>
      </c>
      <c r="C2193" t="inlineStr">
        <is>
          <t>1000</t>
        </is>
      </c>
      <c r="D2193" t="inlineStr">
        <is>
          <t>M3</t>
        </is>
      </c>
      <c r="E2193" t="n">
        <v>1000</v>
      </c>
      <c r="F2193" t="inlineStr">
        <is>
          <t>TN</t>
        </is>
      </c>
      <c r="G2193" t="n">
        <v>2500</v>
      </c>
      <c r="H2193" t="inlineStr">
        <is>
          <t>GREÑA</t>
        </is>
      </c>
    </row>
    <row r="2194">
      <c r="A2194" t="n">
        <v>10260064</v>
      </c>
      <c r="B2194" t="inlineStr">
        <is>
          <t>ZFE3</t>
        </is>
      </c>
      <c r="C2194" t="inlineStr">
        <is>
          <t>1000</t>
        </is>
      </c>
      <c r="D2194" t="inlineStr">
        <is>
          <t>M3</t>
        </is>
      </c>
      <c r="E2194" t="n">
        <v>1000</v>
      </c>
      <c r="F2194" t="inlineStr">
        <is>
          <t>TN</t>
        </is>
      </c>
      <c r="G2194" t="n">
        <v>1621</v>
      </c>
      <c r="H2194" t="inlineStr">
        <is>
          <t>ARENA FINA</t>
        </is>
      </c>
    </row>
    <row r="2195">
      <c r="A2195" t="n">
        <v>10260168</v>
      </c>
      <c r="B2195" t="inlineStr">
        <is>
          <t>ZFE3</t>
        </is>
      </c>
      <c r="C2195" t="inlineStr">
        <is>
          <t>1000</t>
        </is>
      </c>
      <c r="D2195" t="inlineStr">
        <is>
          <t>M3</t>
        </is>
      </c>
      <c r="E2195" t="n">
        <v>1000</v>
      </c>
      <c r="F2195" t="inlineStr">
        <is>
          <t>TN</t>
        </is>
      </c>
      <c r="G2195" t="n">
        <v>1566</v>
      </c>
      <c r="H2195" t="inlineStr">
        <is>
          <t>ARENA MALLA 4 - RIO</t>
        </is>
      </c>
    </row>
    <row r="2196">
      <c r="A2196" t="n">
        <v>10260169</v>
      </c>
      <c r="B2196" t="inlineStr">
        <is>
          <t>ZFE3</t>
        </is>
      </c>
      <c r="C2196" t="inlineStr">
        <is>
          <t>1000</t>
        </is>
      </c>
      <c r="D2196" t="inlineStr">
        <is>
          <t>M3</t>
        </is>
      </c>
      <c r="E2196" t="n">
        <v>1000</v>
      </c>
      <c r="F2196" t="inlineStr">
        <is>
          <t>TN</t>
        </is>
      </c>
      <c r="G2196" t="n">
        <v>1555</v>
      </c>
      <c r="H2196" t="inlineStr">
        <is>
          <t>ARENA DE RIO MALLA 4#</t>
        </is>
      </c>
    </row>
    <row r="2197">
      <c r="A2197" t="n">
        <v>10260189</v>
      </c>
      <c r="B2197" t="inlineStr">
        <is>
          <t>ZFE3</t>
        </is>
      </c>
      <c r="C2197" t="inlineStr">
        <is>
          <t>1000</t>
        </is>
      </c>
      <c r="D2197" t="inlineStr">
        <is>
          <t>M3</t>
        </is>
      </c>
      <c r="E2197" t="n">
        <v>1000</v>
      </c>
      <c r="F2197" t="inlineStr">
        <is>
          <t>TN</t>
        </is>
      </c>
      <c r="G2197" t="n">
        <v>1544</v>
      </c>
      <c r="H2197" t="inlineStr">
        <is>
          <t>ARENA DE RIO MALLA 4#</t>
        </is>
      </c>
    </row>
    <row r="2198">
      <c r="A2198" t="n">
        <v>10260230</v>
      </c>
      <c r="B2198" t="inlineStr">
        <is>
          <t>ZFE3</t>
        </is>
      </c>
      <c r="C2198" t="inlineStr">
        <is>
          <t>1000</t>
        </is>
      </c>
      <c r="D2198" t="inlineStr">
        <is>
          <t>M3</t>
        </is>
      </c>
      <c r="E2198" t="n">
        <v>1000</v>
      </c>
      <c r="F2198" t="inlineStr">
        <is>
          <t>TN</t>
        </is>
      </c>
      <c r="G2198" t="n">
        <v>1524</v>
      </c>
      <c r="H2198" t="inlineStr">
        <is>
          <t>GRAVA 3/4 CLASIF. RIOLITA 20 MM</t>
        </is>
      </c>
    </row>
    <row r="2199">
      <c r="A2199" t="n">
        <v>10260231</v>
      </c>
      <c r="B2199" t="inlineStr">
        <is>
          <t>ZFE3</t>
        </is>
      </c>
      <c r="C2199" t="inlineStr">
        <is>
          <t>1000</t>
        </is>
      </c>
      <c r="D2199" t="inlineStr">
        <is>
          <t>M3</t>
        </is>
      </c>
      <c r="E2199" t="n">
        <v>1000</v>
      </c>
      <c r="F2199" t="inlineStr">
        <is>
          <t>TN</t>
        </is>
      </c>
      <c r="G2199" t="n">
        <v>1544</v>
      </c>
      <c r="H2199" t="inlineStr">
        <is>
          <t>ARENA DE RIO MALLA 4#</t>
        </is>
      </c>
    </row>
    <row r="2200">
      <c r="A2200" t="n">
        <v>10260332</v>
      </c>
      <c r="B2200" t="inlineStr">
        <is>
          <t>ZFE3</t>
        </is>
      </c>
      <c r="C2200" t="inlineStr">
        <is>
          <t>1000</t>
        </is>
      </c>
      <c r="D2200" t="inlineStr">
        <is>
          <t>M3</t>
        </is>
      </c>
      <c r="E2200" t="n">
        <v>1000</v>
      </c>
      <c r="F2200" t="inlineStr">
        <is>
          <t>TN</t>
        </is>
      </c>
      <c r="G2200" t="n">
        <v>1473</v>
      </c>
      <c r="H2200" t="inlineStr">
        <is>
          <t>GRAVA CLASIFICADA RIOLITA 20 MM (3/4")</t>
        </is>
      </c>
    </row>
    <row r="2201">
      <c r="A2201" t="n">
        <v>10260385</v>
      </c>
      <c r="B2201" t="inlineStr">
        <is>
          <t>ZFE3</t>
        </is>
      </c>
      <c r="C2201" t="inlineStr">
        <is>
          <t>1000</t>
        </is>
      </c>
      <c r="D2201" t="inlineStr">
        <is>
          <t>M3</t>
        </is>
      </c>
      <c r="E2201" t="n">
        <v>1000</v>
      </c>
      <c r="F2201" t="inlineStr">
        <is>
          <t>TN</t>
        </is>
      </c>
      <c r="G2201" t="n">
        <v>1514</v>
      </c>
      <c r="H2201" t="inlineStr">
        <is>
          <t>GRAVA TRIT. 40MM CALIZA - 1 1/2"</t>
        </is>
      </c>
    </row>
    <row r="2202">
      <c r="A2202" t="n">
        <v>10260470</v>
      </c>
      <c r="B2202" t="inlineStr">
        <is>
          <t>ZFE3</t>
        </is>
      </c>
      <c r="C2202" t="inlineStr">
        <is>
          <t>1000</t>
        </is>
      </c>
      <c r="D2202" t="inlineStr">
        <is>
          <t>M3</t>
        </is>
      </c>
      <c r="E2202" t="n">
        <v>1000</v>
      </c>
      <c r="F2202" t="inlineStr">
        <is>
          <t>TN</t>
        </is>
      </c>
      <c r="G2202" t="n">
        <v>1461</v>
      </c>
      <c r="H2202" t="inlineStr">
        <is>
          <t>ARENA CLASIFICADA RÍO #4 LAVADA</t>
        </is>
      </c>
    </row>
    <row r="2203">
      <c r="A2203" t="n">
        <v>10260652</v>
      </c>
      <c r="B2203" t="inlineStr">
        <is>
          <t>ZFE3</t>
        </is>
      </c>
      <c r="C2203" t="inlineStr">
        <is>
          <t>1000</t>
        </is>
      </c>
      <c r="D2203" t="inlineStr">
        <is>
          <t>M3</t>
        </is>
      </c>
      <c r="E2203" t="n">
        <v>1000</v>
      </c>
      <c r="F2203" t="inlineStr">
        <is>
          <t>TN</t>
        </is>
      </c>
      <c r="G2203" t="n">
        <v>1461</v>
      </c>
      <c r="H2203" t="inlineStr">
        <is>
          <t>ARENA CLASIFICADA RÍO #4 LAVADA</t>
        </is>
      </c>
    </row>
    <row r="2204">
      <c r="A2204" t="n">
        <v>10260794</v>
      </c>
      <c r="B2204" t="inlineStr">
        <is>
          <t>ZFE3</t>
        </is>
      </c>
      <c r="C2204" t="inlineStr">
        <is>
          <t>1000</t>
        </is>
      </c>
      <c r="D2204" t="inlineStr">
        <is>
          <t>M3</t>
        </is>
      </c>
      <c r="E2204" t="n">
        <v>1000</v>
      </c>
      <c r="F2204" t="inlineStr">
        <is>
          <t>TN</t>
        </is>
      </c>
      <c r="G2204" t="n">
        <v>1350</v>
      </c>
      <c r="H2204" t="inlineStr">
        <is>
          <t>GRAVA TRIT. BASALTO 10 MM - 3/8"</t>
        </is>
      </c>
    </row>
    <row r="2205">
      <c r="A2205" t="n">
        <v>10260861</v>
      </c>
      <c r="B2205" t="inlineStr">
        <is>
          <t>ZFE3</t>
        </is>
      </c>
      <c r="C2205" t="inlineStr">
        <is>
          <t>1000</t>
        </is>
      </c>
      <c r="D2205" t="inlineStr">
        <is>
          <t>M3</t>
        </is>
      </c>
      <c r="E2205" t="n">
        <v>1000</v>
      </c>
      <c r="F2205" t="inlineStr">
        <is>
          <t>TN</t>
        </is>
      </c>
      <c r="G2205" t="n">
        <v>1358</v>
      </c>
      <c r="H2205" t="inlineStr">
        <is>
          <t>GRAVA TRIT CALIZA 1 1/2" - 40 MM</t>
        </is>
      </c>
    </row>
    <row r="2206">
      <c r="A2206" t="n">
        <v>10260870</v>
      </c>
      <c r="B2206" t="inlineStr">
        <is>
          <t>ZFE3</t>
        </is>
      </c>
      <c r="C2206" t="inlineStr">
        <is>
          <t>1000</t>
        </is>
      </c>
      <c r="D2206" t="inlineStr">
        <is>
          <t>M3</t>
        </is>
      </c>
      <c r="E2206" t="n">
        <v>1000</v>
      </c>
      <c r="F2206" t="inlineStr">
        <is>
          <t>TN</t>
        </is>
      </c>
      <c r="G2206" t="n">
        <v>1419</v>
      </c>
      <c r="H2206" t="inlineStr">
        <is>
          <t>GRAVA TRIT CALIZA 10 MM - 3/8"</t>
        </is>
      </c>
    </row>
    <row r="2207">
      <c r="A2207" t="n">
        <v>10260871</v>
      </c>
      <c r="B2207" t="inlineStr">
        <is>
          <t>ZFE3</t>
        </is>
      </c>
      <c r="C2207" t="inlineStr">
        <is>
          <t>1000</t>
        </is>
      </c>
      <c r="D2207" t="inlineStr">
        <is>
          <t>M3</t>
        </is>
      </c>
      <c r="E2207" t="n">
        <v>1000</v>
      </c>
      <c r="F2207" t="inlineStr">
        <is>
          <t>TN</t>
        </is>
      </c>
      <c r="G2207" t="n">
        <v>1359</v>
      </c>
      <c r="H2207" t="inlineStr">
        <is>
          <t>GRAVA TRIT CALIZA 20 MM - 3/4"</t>
        </is>
      </c>
    </row>
    <row r="2208">
      <c r="A2208" t="n">
        <v>10261071</v>
      </c>
      <c r="B2208" t="inlineStr">
        <is>
          <t>ZFE3</t>
        </is>
      </c>
      <c r="C2208" t="inlineStr">
        <is>
          <t>1000</t>
        </is>
      </c>
      <c r="D2208" t="inlineStr">
        <is>
          <t>M3</t>
        </is>
      </c>
      <c r="E2208" t="n">
        <v>1000</v>
      </c>
      <c r="F2208" t="inlineStr">
        <is>
          <t>TN</t>
        </is>
      </c>
      <c r="G2208" t="n">
        <v>1500</v>
      </c>
      <c r="H2208" t="inlineStr">
        <is>
          <t>CRUDO CALIZA - NG</t>
        </is>
      </c>
    </row>
    <row r="2209">
      <c r="A2209" t="n">
        <v>10261072</v>
      </c>
      <c r="B2209" t="inlineStr">
        <is>
          <t>ZFE3</t>
        </is>
      </c>
      <c r="C2209" t="inlineStr">
        <is>
          <t>1000</t>
        </is>
      </c>
      <c r="D2209" t="inlineStr">
        <is>
          <t>M3</t>
        </is>
      </c>
      <c r="E2209" t="n">
        <v>1000</v>
      </c>
      <c r="F2209" t="inlineStr">
        <is>
          <t>TN</t>
        </is>
      </c>
      <c r="G2209" t="n">
        <v>1360</v>
      </c>
      <c r="H2209" t="inlineStr">
        <is>
          <t>SUB BASE CALIZA DE 3” A FINOS - NG</t>
        </is>
      </c>
    </row>
    <row r="2210">
      <c r="A2210" t="n">
        <v>10261150</v>
      </c>
      <c r="B2210" t="inlineStr">
        <is>
          <t>ZFE3</t>
        </is>
      </c>
      <c r="C2210" t="inlineStr">
        <is>
          <t>1000</t>
        </is>
      </c>
      <c r="D2210" t="inlineStr">
        <is>
          <t>M3</t>
        </is>
      </c>
      <c r="E2210" t="n">
        <v>1000</v>
      </c>
      <c r="F2210" t="inlineStr">
        <is>
          <t>TN</t>
        </is>
      </c>
      <c r="G2210" t="n">
        <v>1497</v>
      </c>
      <c r="H2210" t="inlineStr">
        <is>
          <t>GRAVA RIOLITA 10 MM (3/8)</t>
        </is>
      </c>
    </row>
    <row r="2211">
      <c r="A2211" t="n">
        <v>10261162</v>
      </c>
      <c r="B2211" t="inlineStr">
        <is>
          <t>ZFE3</t>
        </is>
      </c>
      <c r="C2211" t="inlineStr">
        <is>
          <t>1000</t>
        </is>
      </c>
      <c r="D2211" t="inlineStr">
        <is>
          <t>M3</t>
        </is>
      </c>
      <c r="E2211" t="n">
        <v>1000</v>
      </c>
      <c r="F2211" t="inlineStr">
        <is>
          <t>TN</t>
        </is>
      </c>
      <c r="G2211" t="n">
        <v>1589</v>
      </c>
      <c r="H2211" t="inlineStr">
        <is>
          <t>BASE HIDRÁULICA ANDESITA 1 1/2 A FINO</t>
        </is>
      </c>
    </row>
    <row r="2212">
      <c r="A2212" t="n">
        <v>10261163</v>
      </c>
      <c r="B2212" t="inlineStr">
        <is>
          <t>ZFE3</t>
        </is>
      </c>
      <c r="C2212" t="inlineStr">
        <is>
          <t>1000</t>
        </is>
      </c>
      <c r="D2212" t="inlineStr">
        <is>
          <t>M3</t>
        </is>
      </c>
      <c r="E2212" t="n">
        <v>1000</v>
      </c>
      <c r="F2212" t="inlineStr">
        <is>
          <t>TN</t>
        </is>
      </c>
      <c r="G2212" t="n">
        <v>1480</v>
      </c>
      <c r="H2212" t="inlineStr">
        <is>
          <t>SUB - RASANTE</t>
        </is>
      </c>
    </row>
    <row r="2213">
      <c r="A2213" t="n">
        <v>10261482</v>
      </c>
      <c r="B2213" t="inlineStr">
        <is>
          <t>ZFE3</t>
        </is>
      </c>
      <c r="C2213" t="inlineStr">
        <is>
          <t>1000</t>
        </is>
      </c>
      <c r="D2213" t="inlineStr">
        <is>
          <t>M3</t>
        </is>
      </c>
      <c r="E2213" t="n">
        <v>1000</v>
      </c>
      <c r="F2213" t="inlineStr">
        <is>
          <t>TN</t>
        </is>
      </c>
      <c r="G2213" t="n">
        <v>1515</v>
      </c>
      <c r="H2213" t="inlineStr">
        <is>
          <t>CALIZA EXTRACCIÓN CEMENTO-NB9</t>
        </is>
      </c>
    </row>
    <row r="2214">
      <c r="A2214" t="n">
        <v>10261568</v>
      </c>
      <c r="B2214" t="inlineStr">
        <is>
          <t>ZFE3</t>
        </is>
      </c>
      <c r="C2214" t="inlineStr">
        <is>
          <t>1000</t>
        </is>
      </c>
      <c r="D2214" t="inlineStr">
        <is>
          <t>M3</t>
        </is>
      </c>
      <c r="E2214" t="n">
        <v>1000</v>
      </c>
      <c r="F2214" t="inlineStr">
        <is>
          <t>TN</t>
        </is>
      </c>
      <c r="G2214" t="n">
        <v>1538</v>
      </c>
      <c r="H2214" t="inlineStr">
        <is>
          <t>ARENA CLASIFICADA RÍO FINA</t>
        </is>
      </c>
    </row>
    <row r="2215">
      <c r="A2215" t="n">
        <v>10261589</v>
      </c>
      <c r="B2215" t="inlineStr">
        <is>
          <t>ZFE3</t>
        </is>
      </c>
      <c r="C2215" t="inlineStr">
        <is>
          <t>1000</t>
        </is>
      </c>
      <c r="D2215" t="inlineStr">
        <is>
          <t>M3</t>
        </is>
      </c>
      <c r="E2215" t="n">
        <v>1000</v>
      </c>
      <c r="F2215" t="inlineStr">
        <is>
          <t>TN</t>
        </is>
      </c>
      <c r="G2215" t="n">
        <v>1700</v>
      </c>
      <c r="H2215" t="inlineStr">
        <is>
          <t>ARENILLA NEGRA</t>
        </is>
      </c>
    </row>
    <row r="2216">
      <c r="A2216" t="n">
        <v>10261598</v>
      </c>
      <c r="B2216" t="inlineStr">
        <is>
          <t>ZFE3</t>
        </is>
      </c>
      <c r="C2216" t="inlineStr">
        <is>
          <t>1000</t>
        </is>
      </c>
      <c r="D2216" t="inlineStr">
        <is>
          <t>M3</t>
        </is>
      </c>
      <c r="E2216" t="n">
        <v>1000</v>
      </c>
      <c r="F2216" t="inlineStr">
        <is>
          <t>TN</t>
        </is>
      </c>
      <c r="G2216" t="n">
        <v>1358</v>
      </c>
      <c r="H2216" t="inlineStr">
        <is>
          <t>GRAVA TRITURADA BASALTO 40MM- 1½”</t>
        </is>
      </c>
    </row>
    <row r="2217">
      <c r="A2217" t="n">
        <v>10261599</v>
      </c>
      <c r="B2217" t="inlineStr">
        <is>
          <t>ZFE3</t>
        </is>
      </c>
      <c r="C2217" t="inlineStr">
        <is>
          <t>1000</t>
        </is>
      </c>
      <c r="D2217" t="inlineStr">
        <is>
          <t>M3</t>
        </is>
      </c>
      <c r="E2217" t="n">
        <v>1000</v>
      </c>
      <c r="F2217" t="inlineStr">
        <is>
          <t>TN</t>
        </is>
      </c>
      <c r="G2217" t="n">
        <v>1425</v>
      </c>
      <c r="H2217" t="inlineStr">
        <is>
          <t>GRAVA TRITURADA BASALTO 20MM- ¾”</t>
        </is>
      </c>
    </row>
    <row r="2218">
      <c r="A2218" t="n">
        <v>10261660</v>
      </c>
      <c r="B2218" t="inlineStr">
        <is>
          <t>ZFE3</t>
        </is>
      </c>
      <c r="C2218" t="inlineStr">
        <is>
          <t>1000</t>
        </is>
      </c>
      <c r="D2218" t="inlineStr">
        <is>
          <t>M3</t>
        </is>
      </c>
      <c r="E2218" t="n">
        <v>1000</v>
      </c>
      <c r="F2218" t="inlineStr">
        <is>
          <t>TN</t>
        </is>
      </c>
      <c r="G2218" t="n">
        <v>1583</v>
      </c>
      <c r="H2218" t="inlineStr">
        <is>
          <t>ARENA TRITURADA BASALTO MALLA #4</t>
        </is>
      </c>
    </row>
    <row r="2219">
      <c r="A2219" t="n">
        <v>10261826</v>
      </c>
      <c r="B2219" t="inlineStr">
        <is>
          <t>ZFE3</t>
        </is>
      </c>
      <c r="C2219" t="inlineStr">
        <is>
          <t>1000</t>
        </is>
      </c>
      <c r="D2219" t="inlineStr">
        <is>
          <t>M3</t>
        </is>
      </c>
      <c r="E2219" t="n">
        <v>1000</v>
      </c>
      <c r="F2219" t="inlineStr">
        <is>
          <t>TN</t>
        </is>
      </c>
      <c r="G2219" t="n">
        <v>1950</v>
      </c>
      <c r="H2219" t="inlineStr">
        <is>
          <t>DESPERDICIO CRUDO CALIZA MINA</t>
        </is>
      </c>
    </row>
    <row r="2220">
      <c r="A2220" t="n">
        <v>10261849</v>
      </c>
      <c r="B2220" t="inlineStr">
        <is>
          <t>ZFE3</t>
        </is>
      </c>
      <c r="C2220" t="inlineStr">
        <is>
          <t>1000</t>
        </is>
      </c>
      <c r="D2220" t="inlineStr">
        <is>
          <t>M3</t>
        </is>
      </c>
      <c r="E2220" t="n">
        <v>1000</v>
      </c>
      <c r="F2220" t="inlineStr">
        <is>
          <t>TN</t>
        </is>
      </c>
      <c r="G2220" t="n">
        <v>1352</v>
      </c>
      <c r="H2220" t="inlineStr">
        <is>
          <t>GRAVA TRITU. CALIZA 20 MM - 3/4"</t>
        </is>
      </c>
    </row>
    <row r="2221">
      <c r="A2221" t="n">
        <v>10261896</v>
      </c>
      <c r="B2221" t="inlineStr">
        <is>
          <t>ZFE3</t>
        </is>
      </c>
      <c r="C2221" t="inlineStr">
        <is>
          <t>1000</t>
        </is>
      </c>
      <c r="D2221" t="inlineStr">
        <is>
          <t>M3</t>
        </is>
      </c>
      <c r="E2221" t="n">
        <v>1000</v>
      </c>
      <c r="F2221" t="inlineStr">
        <is>
          <t>TN</t>
        </is>
      </c>
      <c r="G2221" t="n">
        <v>1450</v>
      </c>
      <c r="H2221" t="inlineStr">
        <is>
          <t>ARENA TRIT. ANDESITA MALLA 4 CAFÉ</t>
        </is>
      </c>
    </row>
    <row r="2222">
      <c r="A2222" t="n">
        <v>10261958</v>
      </c>
      <c r="B2222" t="inlineStr">
        <is>
          <t>ZFE3</t>
        </is>
      </c>
      <c r="C2222" t="inlineStr">
        <is>
          <t>1000</t>
        </is>
      </c>
      <c r="D2222" t="inlineStr">
        <is>
          <t>M3</t>
        </is>
      </c>
      <c r="E2222" t="n">
        <v>1000</v>
      </c>
      <c r="F2222" t="inlineStr">
        <is>
          <t>TN</t>
        </is>
      </c>
      <c r="G2222" t="n">
        <v>1577</v>
      </c>
      <c r="H2222" t="inlineStr">
        <is>
          <t>NV ARENA TRITURADA BASALTO MALLA 1/4"</t>
        </is>
      </c>
    </row>
    <row r="2223">
      <c r="A2223" t="n">
        <v>10261959</v>
      </c>
      <c r="B2223" t="inlineStr">
        <is>
          <t>ZFE3</t>
        </is>
      </c>
      <c r="C2223" t="inlineStr">
        <is>
          <t>1000</t>
        </is>
      </c>
      <c r="D2223" t="inlineStr">
        <is>
          <t>M3</t>
        </is>
      </c>
      <c r="E2223" t="n">
        <v>1000</v>
      </c>
      <c r="F2223" t="inlineStr">
        <is>
          <t>TN</t>
        </is>
      </c>
      <c r="G2223" t="n">
        <v>1456</v>
      </c>
      <c r="H2223" t="inlineStr">
        <is>
          <t>NV GRAVA TRITURADA BASALTO 10MM-3/8 TIPO</t>
        </is>
      </c>
    </row>
    <row r="2224">
      <c r="A2224" t="n">
        <v>10262224</v>
      </c>
      <c r="B2224" t="inlineStr">
        <is>
          <t>ZFE3</t>
        </is>
      </c>
      <c r="C2224" t="inlineStr">
        <is>
          <t>1000</t>
        </is>
      </c>
      <c r="D2224" t="inlineStr">
        <is>
          <t>M3</t>
        </is>
      </c>
      <c r="E2224" t="n">
        <v>1000</v>
      </c>
      <c r="F2224" t="inlineStr">
        <is>
          <t>TN</t>
        </is>
      </c>
      <c r="G2224" t="n">
        <v>1844</v>
      </c>
      <c r="H2224" t="inlineStr">
        <is>
          <t>BASE HIDRÁULICA</t>
        </is>
      </c>
    </row>
    <row r="2225">
      <c r="A2225" t="n">
        <v>10262248</v>
      </c>
      <c r="B2225" t="inlineStr">
        <is>
          <t>ZFE3</t>
        </is>
      </c>
      <c r="C2225" t="inlineStr">
        <is>
          <t>1000</t>
        </is>
      </c>
      <c r="D2225" t="inlineStr">
        <is>
          <t>M3</t>
        </is>
      </c>
      <c r="E2225" t="n">
        <v>1000</v>
      </c>
      <c r="F2225" t="inlineStr">
        <is>
          <t>TN</t>
        </is>
      </c>
      <c r="G2225" t="n">
        <v>1156</v>
      </c>
      <c r="H2225" t="inlineStr">
        <is>
          <t>NV GRAVA TRITURADA CALIZA 10 MM - 3/8"</t>
        </is>
      </c>
    </row>
    <row r="2226">
      <c r="A2226" t="n">
        <v>10262395</v>
      </c>
      <c r="B2226" t="inlineStr">
        <is>
          <t>ZFE3</t>
        </is>
      </c>
      <c r="C2226" t="inlineStr">
        <is>
          <t>1000</t>
        </is>
      </c>
      <c r="D2226" t="inlineStr">
        <is>
          <t>M3</t>
        </is>
      </c>
      <c r="E2226" t="n">
        <v>1000</v>
      </c>
      <c r="F2226" t="inlineStr">
        <is>
          <t>TN</t>
        </is>
      </c>
      <c r="G2226" t="n">
        <v>1401</v>
      </c>
      <c r="H2226" t="inlineStr">
        <is>
          <t>MP GRAVA TRIT. BASALTO 3/4"</t>
        </is>
      </c>
    </row>
    <row r="2227">
      <c r="A2227" t="n">
        <v>10262396</v>
      </c>
      <c r="B2227" t="inlineStr">
        <is>
          <t>ZFE3</t>
        </is>
      </c>
      <c r="C2227" t="inlineStr">
        <is>
          <t>1000</t>
        </is>
      </c>
      <c r="D2227" t="inlineStr">
        <is>
          <t>M3</t>
        </is>
      </c>
      <c r="E2227" t="n">
        <v>1000</v>
      </c>
      <c r="F2227" t="inlineStr">
        <is>
          <t>TN</t>
        </is>
      </c>
      <c r="G2227" t="n">
        <v>1444</v>
      </c>
      <c r="H2227" t="inlineStr">
        <is>
          <t>MP ARENA TRIT. BASALTO # 4</t>
        </is>
      </c>
    </row>
    <row r="2228">
      <c r="A2228" t="n">
        <v>10262397</v>
      </c>
      <c r="B2228" t="inlineStr">
        <is>
          <t>ZFE3</t>
        </is>
      </c>
      <c r="C2228" t="inlineStr">
        <is>
          <t>1000</t>
        </is>
      </c>
      <c r="D2228" t="inlineStr">
        <is>
          <t>M3</t>
        </is>
      </c>
      <c r="E2228" t="n">
        <v>1000</v>
      </c>
      <c r="F2228" t="inlineStr">
        <is>
          <t>TN</t>
        </is>
      </c>
      <c r="G2228" t="n">
        <v>1558</v>
      </c>
      <c r="H2228" t="inlineStr">
        <is>
          <t>MP ARENA TRIT. BASALTO # 4</t>
        </is>
      </c>
    </row>
    <row r="2229">
      <c r="A2229" t="n">
        <v>10262573</v>
      </c>
      <c r="B2229" t="inlineStr">
        <is>
          <t>ZFE3</t>
        </is>
      </c>
      <c r="C2229" t="inlineStr">
        <is>
          <t>1000</t>
        </is>
      </c>
      <c r="D2229" t="inlineStr">
        <is>
          <t>M3</t>
        </is>
      </c>
      <c r="E2229" t="n">
        <v>1000</v>
      </c>
      <c r="F2229" t="inlineStr">
        <is>
          <t>TN</t>
        </is>
      </c>
      <c r="G2229" t="n">
        <v>1500</v>
      </c>
      <c r="H2229" t="inlineStr">
        <is>
          <t>MP ARENA TRITURADA BASALTO 3/16"</t>
        </is>
      </c>
    </row>
    <row r="2230">
      <c r="A2230" t="n">
        <v>10262581</v>
      </c>
      <c r="B2230" t="inlineStr">
        <is>
          <t>ZFE3</t>
        </is>
      </c>
      <c r="C2230" t="inlineStr">
        <is>
          <t>1000</t>
        </is>
      </c>
      <c r="D2230" t="inlineStr">
        <is>
          <t>M3</t>
        </is>
      </c>
      <c r="E2230" t="n">
        <v>1000</v>
      </c>
      <c r="F2230" t="inlineStr">
        <is>
          <t>TN</t>
        </is>
      </c>
      <c r="G2230" t="n">
        <v>1400</v>
      </c>
      <c r="H2230" t="inlineStr">
        <is>
          <t>MP GRAVA CERO RETENIDO</t>
        </is>
      </c>
    </row>
    <row r="2231">
      <c r="A2231" t="n">
        <v>10262751</v>
      </c>
      <c r="B2231" t="inlineStr">
        <is>
          <t>ZFE3</t>
        </is>
      </c>
      <c r="C2231" t="inlineStr">
        <is>
          <t>1000</t>
        </is>
      </c>
      <c r="D2231" t="inlineStr">
        <is>
          <t>M3</t>
        </is>
      </c>
      <c r="E2231" t="n">
        <v>1000</v>
      </c>
      <c r="F2231" t="inlineStr">
        <is>
          <t>TN</t>
        </is>
      </c>
      <c r="G2231" t="n">
        <v>1440</v>
      </c>
      <c r="H2231" t="inlineStr">
        <is>
          <t>MP GRAVA RIOLITA 40 MM 1 1/2"</t>
        </is>
      </c>
    </row>
    <row r="2232">
      <c r="A2232" t="n">
        <v>10262797</v>
      </c>
      <c r="B2232" t="inlineStr">
        <is>
          <t>ZFE3</t>
        </is>
      </c>
      <c r="C2232" t="inlineStr">
        <is>
          <t>1000</t>
        </is>
      </c>
      <c r="D2232" t="inlineStr">
        <is>
          <t>M3</t>
        </is>
      </c>
      <c r="E2232" t="n">
        <v>1000</v>
      </c>
      <c r="F2232" t="inlineStr">
        <is>
          <t>TN</t>
        </is>
      </c>
      <c r="G2232" t="n">
        <v>1416</v>
      </c>
      <c r="H2232" t="inlineStr">
        <is>
          <t>MP GRAVA RIOLITA 40 MM 1 1/2"</t>
        </is>
      </c>
    </row>
    <row r="2233">
      <c r="A2233" t="n">
        <v>10263166</v>
      </c>
      <c r="B2233" t="inlineStr">
        <is>
          <t>ZFE3</t>
        </is>
      </c>
      <c r="C2233" t="inlineStr">
        <is>
          <t>1000</t>
        </is>
      </c>
      <c r="D2233" t="inlineStr">
        <is>
          <t>M3</t>
        </is>
      </c>
      <c r="E2233" t="n">
        <v>1000</v>
      </c>
      <c r="F2233" t="inlineStr">
        <is>
          <t>TN</t>
        </is>
      </c>
      <c r="G2233" t="n">
        <v>1202</v>
      </c>
      <c r="H2233" t="inlineStr">
        <is>
          <t>MP GRAVA CLASIFICADA RIO 10MM 3/8</t>
        </is>
      </c>
    </row>
    <row r="2234">
      <c r="A2234" t="n">
        <v>10263490</v>
      </c>
      <c r="B2234" t="inlineStr">
        <is>
          <t>ZFE3</t>
        </is>
      </c>
      <c r="C2234" t="inlineStr">
        <is>
          <t>1000</t>
        </is>
      </c>
      <c r="D2234" t="inlineStr">
        <is>
          <t>M3</t>
        </is>
      </c>
      <c r="E2234" t="n">
        <v>1000</v>
      </c>
      <c r="F2234" t="inlineStr">
        <is>
          <t>TN</t>
        </is>
      </c>
      <c r="G2234" t="n">
        <v>1437</v>
      </c>
      <c r="H2234" t="inlineStr">
        <is>
          <t>MP GRAVA TRITURADA GRANITO 25MM - 1"</t>
        </is>
      </c>
    </row>
    <row r="2235">
      <c r="A2235" t="n">
        <v>10263701</v>
      </c>
      <c r="B2235" t="inlineStr">
        <is>
          <t>ZFE3</t>
        </is>
      </c>
      <c r="C2235" t="inlineStr">
        <is>
          <t>1000</t>
        </is>
      </c>
      <c r="D2235" t="inlineStr">
        <is>
          <t>M3</t>
        </is>
      </c>
      <c r="E2235" t="n">
        <v>1000</v>
      </c>
      <c r="F2235" t="inlineStr">
        <is>
          <t>TN</t>
        </is>
      </c>
      <c r="G2235" t="n">
        <v>1363</v>
      </c>
      <c r="H2235" t="inlineStr">
        <is>
          <t>GRAVA TRITURADA CALIZA 20MM</t>
        </is>
      </c>
    </row>
    <row r="2236">
      <c r="A2236" t="n">
        <v>10263708</v>
      </c>
      <c r="B2236" t="inlineStr">
        <is>
          <t>ZFE3</t>
        </is>
      </c>
      <c r="C2236" t="inlineStr">
        <is>
          <t>1000</t>
        </is>
      </c>
      <c r="D2236" t="inlineStr">
        <is>
          <t>M3</t>
        </is>
      </c>
      <c r="E2236" t="n">
        <v>1000</v>
      </c>
      <c r="F2236" t="inlineStr">
        <is>
          <t>TN</t>
        </is>
      </c>
      <c r="G2236" t="n">
        <v>1707</v>
      </c>
      <c r="H2236" t="inlineStr">
        <is>
          <t>BASE HIDRAULICA DESPERDICIO</t>
        </is>
      </c>
    </row>
    <row r="2237">
      <c r="A2237" t="n">
        <v>10263929</v>
      </c>
      <c r="B2237" t="inlineStr">
        <is>
          <t>ZFE3</t>
        </is>
      </c>
      <c r="C2237" t="inlineStr">
        <is>
          <t>1000</t>
        </is>
      </c>
      <c r="D2237" t="inlineStr">
        <is>
          <t>M3</t>
        </is>
      </c>
      <c r="E2237" t="n">
        <v>1000</v>
      </c>
      <c r="F2237" t="inlineStr">
        <is>
          <t>TN</t>
        </is>
      </c>
      <c r="G2237" t="n">
        <v>1508</v>
      </c>
      <c r="H2237" t="inlineStr">
        <is>
          <t>MP ARENA DE RIO LAVADA N° 4</t>
        </is>
      </c>
    </row>
    <row r="2238">
      <c r="A2238" t="n">
        <v>10264038</v>
      </c>
      <c r="B2238" t="inlineStr">
        <is>
          <t>ZFE3</t>
        </is>
      </c>
      <c r="C2238" t="inlineStr">
        <is>
          <t>1000</t>
        </is>
      </c>
      <c r="D2238" t="inlineStr">
        <is>
          <t>M3</t>
        </is>
      </c>
      <c r="E2238" t="n">
        <v>1000</v>
      </c>
      <c r="F2238" t="inlineStr">
        <is>
          <t>TN</t>
        </is>
      </c>
      <c r="G2238" t="n">
        <v>1417</v>
      </c>
      <c r="H2238" t="inlineStr">
        <is>
          <t>MOV ARENA TRITURADA CALIZA MALLA 4</t>
        </is>
      </c>
    </row>
    <row r="2239">
      <c r="A2239" t="n">
        <v>10264039</v>
      </c>
      <c r="B2239" t="inlineStr">
        <is>
          <t>ZFE3</t>
        </is>
      </c>
      <c r="C2239" t="inlineStr">
        <is>
          <t>1000</t>
        </is>
      </c>
      <c r="D2239" t="inlineStr">
        <is>
          <t>M3</t>
        </is>
      </c>
      <c r="E2239" t="n">
        <v>1000</v>
      </c>
      <c r="F2239" t="inlineStr">
        <is>
          <t>TN</t>
        </is>
      </c>
      <c r="G2239" t="n">
        <v>1201</v>
      </c>
      <c r="H2239" t="inlineStr">
        <is>
          <t>MOV GRAVA TRITURADA CALIZA 20MM 3/4 INTE</t>
        </is>
      </c>
    </row>
    <row r="2240">
      <c r="A2240" t="n">
        <v>10264103</v>
      </c>
      <c r="B2240" t="inlineStr">
        <is>
          <t>ZFE3</t>
        </is>
      </c>
      <c r="C2240" t="inlineStr">
        <is>
          <t>1000</t>
        </is>
      </c>
      <c r="D2240" t="inlineStr">
        <is>
          <t>M3</t>
        </is>
      </c>
      <c r="E2240" t="n">
        <v>1000</v>
      </c>
      <c r="F2240" t="inlineStr">
        <is>
          <t>TN</t>
        </is>
      </c>
      <c r="G2240" t="n">
        <v>1462</v>
      </c>
      <c r="H2240" t="inlineStr">
        <is>
          <t>MOV BASE H TRITURADA CALIZA 1 1/2</t>
        </is>
      </c>
    </row>
    <row r="2241">
      <c r="A2241" t="n">
        <v>10264104</v>
      </c>
      <c r="B2241" t="inlineStr">
        <is>
          <t>ZFE3</t>
        </is>
      </c>
      <c r="C2241" t="inlineStr">
        <is>
          <t>1000</t>
        </is>
      </c>
      <c r="D2241" t="inlineStr">
        <is>
          <t>M3</t>
        </is>
      </c>
      <c r="E2241" t="n">
        <v>1000</v>
      </c>
      <c r="F2241" t="inlineStr">
        <is>
          <t>TN</t>
        </is>
      </c>
      <c r="G2241" t="n">
        <v>1320</v>
      </c>
      <c r="H2241" t="inlineStr">
        <is>
          <t>MP ARENA TRITURADA BASALTO N° 5</t>
        </is>
      </c>
    </row>
    <row r="2242">
      <c r="A2242" t="n">
        <v>10264116</v>
      </c>
      <c r="B2242" t="inlineStr">
        <is>
          <t>ZFE3</t>
        </is>
      </c>
      <c r="C2242" t="inlineStr">
        <is>
          <t>1000</t>
        </is>
      </c>
      <c r="D2242" t="inlineStr">
        <is>
          <t>M3</t>
        </is>
      </c>
      <c r="E2242" t="n">
        <v>1000</v>
      </c>
      <c r="F2242" t="inlineStr">
        <is>
          <t>TN</t>
        </is>
      </c>
      <c r="G2242" t="n">
        <v>1753</v>
      </c>
      <c r="H2242" t="inlineStr">
        <is>
          <t>CONCRETO SECO 25 KG</t>
        </is>
      </c>
    </row>
    <row r="2243">
      <c r="A2243" t="n">
        <v>10264117</v>
      </c>
      <c r="B2243" t="inlineStr">
        <is>
          <t>ZFE3</t>
        </is>
      </c>
      <c r="C2243" t="inlineStr">
        <is>
          <t>1000</t>
        </is>
      </c>
      <c r="D2243" t="inlineStr">
        <is>
          <t>M3</t>
        </is>
      </c>
      <c r="E2243" t="n">
        <v>1000</v>
      </c>
      <c r="F2243" t="inlineStr">
        <is>
          <t>TN</t>
        </is>
      </c>
      <c r="G2243" t="n">
        <v>1407</v>
      </c>
      <c r="H2243" t="inlineStr">
        <is>
          <t>MORTERO SECO 25 KG</t>
        </is>
      </c>
    </row>
    <row r="2244">
      <c r="A2244" t="n">
        <v>10264162</v>
      </c>
      <c r="B2244" t="inlineStr">
        <is>
          <t>ZFE3</t>
        </is>
      </c>
      <c r="C2244" t="inlineStr">
        <is>
          <t>1000</t>
        </is>
      </c>
      <c r="D2244" t="inlineStr">
        <is>
          <t>M3</t>
        </is>
      </c>
      <c r="E2244" t="n">
        <v>1000</v>
      </c>
      <c r="F2244" t="inlineStr">
        <is>
          <t>TN</t>
        </is>
      </c>
      <c r="G2244" t="n">
        <v>1354</v>
      </c>
      <c r="H2244" t="inlineStr">
        <is>
          <t>MP ARENA TRITURADA ANDESITA N° 4</t>
        </is>
      </c>
    </row>
    <row r="2245">
      <c r="A2245" t="n">
        <v>10264668</v>
      </c>
      <c r="B2245" t="inlineStr">
        <is>
          <t>ZFE3</t>
        </is>
      </c>
      <c r="C2245" t="inlineStr">
        <is>
          <t>1000</t>
        </is>
      </c>
      <c r="D2245" t="inlineStr">
        <is>
          <t>M3</t>
        </is>
      </c>
      <c r="E2245" t="n">
        <v>1000</v>
      </c>
      <c r="F2245" t="inlineStr">
        <is>
          <t>TN</t>
        </is>
      </c>
      <c r="G2245" t="n">
        <v>1214</v>
      </c>
      <c r="H2245" t="inlineStr">
        <is>
          <t>MP BASE H. SE DE 1 ½ A FINOS (SUBRASANTE</t>
        </is>
      </c>
    </row>
    <row r="2246">
      <c r="A2246" t="n">
        <v>10266051</v>
      </c>
      <c r="B2246" t="inlineStr">
        <is>
          <t>ZFE3</t>
        </is>
      </c>
      <c r="C2246" t="inlineStr">
        <is>
          <t>1000</t>
        </is>
      </c>
      <c r="D2246" t="inlineStr">
        <is>
          <t>M3</t>
        </is>
      </c>
      <c r="E2246" t="n">
        <v>1000</v>
      </c>
      <c r="F2246" t="inlineStr">
        <is>
          <t>TN</t>
        </is>
      </c>
      <c r="G2246" t="n">
        <v>1392</v>
      </c>
      <c r="H2246" t="inlineStr">
        <is>
          <t>GRAVA GRANITO 20 MM 3/4".</t>
        </is>
      </c>
    </row>
    <row r="2247">
      <c r="A2247" t="n">
        <v>10266121</v>
      </c>
      <c r="B2247" t="inlineStr">
        <is>
          <t>ZFE3</t>
        </is>
      </c>
      <c r="C2247" t="inlineStr">
        <is>
          <t>1000</t>
        </is>
      </c>
      <c r="D2247" t="inlineStr">
        <is>
          <t>M3</t>
        </is>
      </c>
      <c r="E2247" t="n">
        <v>1000</v>
      </c>
      <c r="F2247" t="inlineStr">
        <is>
          <t>TN</t>
        </is>
      </c>
      <c r="G2247" t="n">
        <v>1250</v>
      </c>
      <c r="H2247" t="inlineStr">
        <is>
          <t>RESIDUO DE CONCRETO LIMPIO</t>
        </is>
      </c>
    </row>
    <row r="2248">
      <c r="A2248" t="n">
        <v>10266819</v>
      </c>
      <c r="B2248" t="inlineStr">
        <is>
          <t>ZFE3</t>
        </is>
      </c>
      <c r="C2248" t="inlineStr">
        <is>
          <t>1000</t>
        </is>
      </c>
      <c r="D2248" t="inlineStr">
        <is>
          <t>M3</t>
        </is>
      </c>
      <c r="E2248" t="n">
        <v>1000</v>
      </c>
      <c r="F2248" t="inlineStr">
        <is>
          <t>TN</t>
        </is>
      </c>
      <c r="G2248" t="n">
        <v>1377</v>
      </c>
      <c r="H2248" t="inlineStr">
        <is>
          <t>MP BASE H. 40MM A FINOS -SCT ASUR</t>
        </is>
      </c>
    </row>
    <row r="2249">
      <c r="A2249" t="n">
        <v>10266967</v>
      </c>
      <c r="B2249" t="inlineStr">
        <is>
          <t>ZFE3</t>
        </is>
      </c>
      <c r="C2249" t="inlineStr">
        <is>
          <t>1000</t>
        </is>
      </c>
      <c r="D2249" t="inlineStr">
        <is>
          <t>M3</t>
        </is>
      </c>
      <c r="E2249" t="n">
        <v>1000</v>
      </c>
      <c r="F2249" t="inlineStr">
        <is>
          <t>TN</t>
        </is>
      </c>
      <c r="G2249" t="n">
        <v>1925</v>
      </c>
      <c r="H2249" t="inlineStr">
        <is>
          <t>BASE H TRIT CAL 11/2" A FINOS DESPERDICI</t>
        </is>
      </c>
    </row>
    <row r="2250">
      <c r="A2250" t="n">
        <v>10267271</v>
      </c>
      <c r="B2250" t="inlineStr">
        <is>
          <t>ZFE3</t>
        </is>
      </c>
      <c r="C2250" t="inlineStr">
        <is>
          <t>1000</t>
        </is>
      </c>
      <c r="D2250" t="inlineStr">
        <is>
          <t>M3</t>
        </is>
      </c>
      <c r="E2250" t="n">
        <v>1000</v>
      </c>
      <c r="F2250" t="inlineStr">
        <is>
          <t>TN</t>
        </is>
      </c>
      <c r="G2250" t="n">
        <v>2000</v>
      </c>
      <c r="H2250" t="inlineStr">
        <is>
          <t>MP TEZONTLE 2 1/2" A 1"</t>
        </is>
      </c>
    </row>
    <row r="2251">
      <c r="A2251" t="n">
        <v>10267272</v>
      </c>
      <c r="B2251" t="inlineStr">
        <is>
          <t>ZFE3</t>
        </is>
      </c>
      <c r="C2251" t="inlineStr">
        <is>
          <t>1000</t>
        </is>
      </c>
      <c r="D2251" t="inlineStr">
        <is>
          <t>M3</t>
        </is>
      </c>
      <c r="E2251" t="n">
        <v>1000</v>
      </c>
      <c r="F2251" t="inlineStr">
        <is>
          <t>TN</t>
        </is>
      </c>
      <c r="G2251" t="n">
        <v>2000</v>
      </c>
      <c r="H2251" t="inlineStr">
        <is>
          <t>MP TEZONTLE 2 1/2" A FINOS</t>
        </is>
      </c>
    </row>
    <row r="2252">
      <c r="A2252" t="n">
        <v>10267273</v>
      </c>
      <c r="B2252" t="inlineStr">
        <is>
          <t>ZFE3</t>
        </is>
      </c>
      <c r="C2252" t="inlineStr">
        <is>
          <t>1000</t>
        </is>
      </c>
      <c r="D2252" t="inlineStr">
        <is>
          <t>M3</t>
        </is>
      </c>
      <c r="E2252" t="n">
        <v>1000</v>
      </c>
      <c r="F2252" t="inlineStr">
        <is>
          <t>TN</t>
        </is>
      </c>
      <c r="G2252" t="n">
        <v>2000</v>
      </c>
      <c r="H2252" t="inlineStr">
        <is>
          <t>MP TEZONTLE 1 1/2" A FINOS</t>
        </is>
      </c>
    </row>
    <row r="2253">
      <c r="A2253" t="n">
        <v>10267274</v>
      </c>
      <c r="B2253" t="inlineStr">
        <is>
          <t>ZFE3</t>
        </is>
      </c>
      <c r="C2253" t="inlineStr">
        <is>
          <t>1000</t>
        </is>
      </c>
      <c r="D2253" t="inlineStr">
        <is>
          <t>M3</t>
        </is>
      </c>
      <c r="E2253" t="n">
        <v>1000</v>
      </c>
      <c r="F2253" t="inlineStr">
        <is>
          <t>TN</t>
        </is>
      </c>
      <c r="G2253" t="n">
        <v>1700</v>
      </c>
      <c r="H2253" t="inlineStr">
        <is>
          <t>MP ARENILLA</t>
        </is>
      </c>
    </row>
    <row r="2254">
      <c r="A2254" t="n">
        <v>10267472</v>
      </c>
      <c r="B2254" t="inlineStr">
        <is>
          <t>ZFE3</t>
        </is>
      </c>
      <c r="C2254" t="inlineStr">
        <is>
          <t>1000</t>
        </is>
      </c>
      <c r="D2254" t="inlineStr">
        <is>
          <t>M3</t>
        </is>
      </c>
      <c r="E2254" t="n">
        <v>1000</v>
      </c>
      <c r="F2254" t="inlineStr">
        <is>
          <t>TN</t>
        </is>
      </c>
      <c r="G2254" t="n">
        <v>1488</v>
      </c>
      <c r="H2254" t="inlineStr">
        <is>
          <t>GRAVA BASALTO 13 MM 1/2".</t>
        </is>
      </c>
    </row>
    <row r="2255">
      <c r="A2255" t="n">
        <v>10267473</v>
      </c>
      <c r="B2255" t="inlineStr">
        <is>
          <t>ZFE3</t>
        </is>
      </c>
      <c r="C2255" t="inlineStr">
        <is>
          <t>1000</t>
        </is>
      </c>
      <c r="D2255" t="inlineStr">
        <is>
          <t>M3</t>
        </is>
      </c>
      <c r="E2255" t="n">
        <v>1000</v>
      </c>
      <c r="F2255" t="inlineStr">
        <is>
          <t>TN</t>
        </is>
      </c>
      <c r="G2255" t="n">
        <v>1443</v>
      </c>
      <c r="H2255" t="inlineStr">
        <is>
          <t>GRAVA CALIZA 10MM 3/8".</t>
        </is>
      </c>
    </row>
    <row r="2256">
      <c r="A2256" t="n">
        <v>10267474</v>
      </c>
      <c r="B2256" t="inlineStr">
        <is>
          <t>ZFE3</t>
        </is>
      </c>
      <c r="C2256" t="inlineStr">
        <is>
          <t>1000</t>
        </is>
      </c>
      <c r="D2256" t="inlineStr">
        <is>
          <t>M3</t>
        </is>
      </c>
      <c r="E2256" t="n">
        <v>1000</v>
      </c>
      <c r="F2256" t="inlineStr">
        <is>
          <t>TN</t>
        </is>
      </c>
      <c r="G2256" t="n">
        <v>1358</v>
      </c>
      <c r="H2256" t="inlineStr">
        <is>
          <t>GRAVA CALIZA 13 MM 1/2"</t>
        </is>
      </c>
    </row>
    <row r="2257">
      <c r="A2257" t="n">
        <v>10267475</v>
      </c>
      <c r="B2257" t="inlineStr">
        <is>
          <t>ZFE3</t>
        </is>
      </c>
      <c r="C2257" t="inlineStr">
        <is>
          <t>1000</t>
        </is>
      </c>
      <c r="D2257" t="inlineStr">
        <is>
          <t>M3</t>
        </is>
      </c>
      <c r="E2257" t="n">
        <v>1000</v>
      </c>
      <c r="F2257" t="inlineStr">
        <is>
          <t>TN</t>
        </is>
      </c>
      <c r="G2257" t="n">
        <v>1397</v>
      </c>
      <c r="H2257" t="inlineStr">
        <is>
          <t>GRAVA CALIZA 40 MM (1/2")</t>
        </is>
      </c>
    </row>
    <row r="2258">
      <c r="A2258" t="n">
        <v>10267476</v>
      </c>
      <c r="B2258" t="inlineStr">
        <is>
          <t>ZFE3</t>
        </is>
      </c>
      <c r="C2258" t="inlineStr">
        <is>
          <t>1000</t>
        </is>
      </c>
      <c r="D2258" t="inlineStr">
        <is>
          <t>M3</t>
        </is>
      </c>
      <c r="E2258" t="n">
        <v>1000</v>
      </c>
      <c r="F2258" t="inlineStr">
        <is>
          <t>TN</t>
        </is>
      </c>
      <c r="G2258" t="n">
        <v>1490</v>
      </c>
      <c r="H2258" t="inlineStr">
        <is>
          <t>GRAVA RIO 10 MM 3/8".</t>
        </is>
      </c>
    </row>
    <row r="2259">
      <c r="A2259" t="n">
        <v>10267477</v>
      </c>
      <c r="B2259" t="inlineStr">
        <is>
          <t>ZFE3</t>
        </is>
      </c>
      <c r="C2259" t="inlineStr">
        <is>
          <t>1000</t>
        </is>
      </c>
      <c r="D2259" t="inlineStr">
        <is>
          <t>M3</t>
        </is>
      </c>
      <c r="E2259" t="n">
        <v>1000</v>
      </c>
      <c r="F2259" t="inlineStr">
        <is>
          <t>TN</t>
        </is>
      </c>
      <c r="G2259" t="n">
        <v>1306</v>
      </c>
      <c r="H2259" t="inlineStr">
        <is>
          <t>GRAVA RIO 13MM 1/2"</t>
        </is>
      </c>
    </row>
    <row r="2260">
      <c r="A2260" t="n">
        <v>10267478</v>
      </c>
      <c r="B2260" t="inlineStr">
        <is>
          <t>ZFE3</t>
        </is>
      </c>
      <c r="C2260" t="inlineStr">
        <is>
          <t>1000</t>
        </is>
      </c>
      <c r="D2260" t="inlineStr">
        <is>
          <t>M3</t>
        </is>
      </c>
      <c r="E2260" t="n">
        <v>1000</v>
      </c>
      <c r="F2260" t="inlineStr">
        <is>
          <t>TN</t>
        </is>
      </c>
      <c r="G2260" t="n">
        <v>1550</v>
      </c>
      <c r="H2260" t="inlineStr">
        <is>
          <t>GRAVA RIO 40 MM 1 1/2"</t>
        </is>
      </c>
    </row>
    <row r="2261">
      <c r="A2261" t="n">
        <v>10267479</v>
      </c>
      <c r="B2261" t="inlineStr">
        <is>
          <t>ZFE3</t>
        </is>
      </c>
      <c r="C2261" t="inlineStr">
        <is>
          <t>1000</t>
        </is>
      </c>
      <c r="D2261" t="inlineStr">
        <is>
          <t>M3</t>
        </is>
      </c>
      <c r="E2261" t="n">
        <v>1000</v>
      </c>
      <c r="F2261" t="inlineStr">
        <is>
          <t>TN</t>
        </is>
      </c>
      <c r="G2261" t="n">
        <v>1370</v>
      </c>
      <c r="H2261" t="inlineStr">
        <is>
          <t>GRAVA ANDESITA 10 MM 3/8"</t>
        </is>
      </c>
    </row>
    <row r="2262">
      <c r="A2262" t="n">
        <v>10267510</v>
      </c>
      <c r="B2262" t="inlineStr">
        <is>
          <t>ZFE3</t>
        </is>
      </c>
      <c r="C2262" t="inlineStr">
        <is>
          <t>1000</t>
        </is>
      </c>
      <c r="D2262" t="inlineStr">
        <is>
          <t>M3</t>
        </is>
      </c>
      <c r="E2262" t="n">
        <v>1000</v>
      </c>
      <c r="F2262" t="inlineStr">
        <is>
          <t>TN</t>
        </is>
      </c>
      <c r="G2262" t="n">
        <v>1526</v>
      </c>
      <c r="H2262" t="inlineStr">
        <is>
          <t>GRAVA ANDESITA 20MM 3/4''</t>
        </is>
      </c>
    </row>
    <row r="2263">
      <c r="A2263" t="n">
        <v>10267511</v>
      </c>
      <c r="B2263" t="inlineStr">
        <is>
          <t>ZFE3</t>
        </is>
      </c>
      <c r="C2263" t="inlineStr">
        <is>
          <t>1000</t>
        </is>
      </c>
      <c r="D2263" t="inlineStr">
        <is>
          <t>M3</t>
        </is>
      </c>
      <c r="E2263" t="n">
        <v>1000</v>
      </c>
      <c r="F2263" t="inlineStr">
        <is>
          <t>TN</t>
        </is>
      </c>
      <c r="G2263" t="n">
        <v>1410</v>
      </c>
      <c r="H2263" t="inlineStr">
        <is>
          <t>GRAVA ANDESITA 13 MM 1/2"</t>
        </is>
      </c>
    </row>
    <row r="2264">
      <c r="A2264" t="n">
        <v>10267512</v>
      </c>
      <c r="B2264" t="inlineStr">
        <is>
          <t>ZFE3</t>
        </is>
      </c>
      <c r="C2264" t="inlineStr">
        <is>
          <t>1000</t>
        </is>
      </c>
      <c r="D2264" t="inlineStr">
        <is>
          <t>M3</t>
        </is>
      </c>
      <c r="E2264" t="n">
        <v>1000</v>
      </c>
      <c r="F2264" t="inlineStr">
        <is>
          <t>TN</t>
        </is>
      </c>
      <c r="G2264" t="n">
        <v>1410</v>
      </c>
      <c r="H2264" t="inlineStr">
        <is>
          <t>GRAVA ANDESITA 13 MM 1/2".</t>
        </is>
      </c>
    </row>
    <row r="2265">
      <c r="A2265" t="n">
        <v>10267513</v>
      </c>
      <c r="B2265" t="inlineStr">
        <is>
          <t>ZFE3</t>
        </is>
      </c>
      <c r="C2265" t="inlineStr">
        <is>
          <t>1000</t>
        </is>
      </c>
      <c r="D2265" t="inlineStr">
        <is>
          <t>M3</t>
        </is>
      </c>
      <c r="E2265" t="n">
        <v>1000</v>
      </c>
      <c r="F2265" t="inlineStr">
        <is>
          <t>TN</t>
        </is>
      </c>
      <c r="G2265" t="n">
        <v>1350</v>
      </c>
      <c r="H2265" t="inlineStr">
        <is>
          <t>GRAVA ANDESITA 40MM 1 1/2"</t>
        </is>
      </c>
    </row>
    <row r="2266">
      <c r="A2266" t="n">
        <v>10267514</v>
      </c>
      <c r="B2266" t="inlineStr">
        <is>
          <t>ZFE3</t>
        </is>
      </c>
      <c r="C2266" t="inlineStr">
        <is>
          <t>1000</t>
        </is>
      </c>
      <c r="D2266" t="inlineStr">
        <is>
          <t>M3</t>
        </is>
      </c>
      <c r="E2266" t="n">
        <v>1000</v>
      </c>
      <c r="F2266" t="inlineStr">
        <is>
          <t>TN</t>
        </is>
      </c>
      <c r="G2266" t="n">
        <v>1370</v>
      </c>
      <c r="H2266" t="inlineStr">
        <is>
          <t>GRAVA ANDESITA 25 MM 1"</t>
        </is>
      </c>
    </row>
    <row r="2267">
      <c r="A2267" t="n">
        <v>10267515</v>
      </c>
      <c r="B2267" t="inlineStr">
        <is>
          <t>ZFE3</t>
        </is>
      </c>
      <c r="C2267" t="inlineStr">
        <is>
          <t>1000</t>
        </is>
      </c>
      <c r="D2267" t="inlineStr">
        <is>
          <t>M3</t>
        </is>
      </c>
      <c r="E2267" t="n">
        <v>1000</v>
      </c>
      <c r="F2267" t="inlineStr">
        <is>
          <t>TN</t>
        </is>
      </c>
      <c r="G2267" t="n">
        <v>1370</v>
      </c>
      <c r="H2267" t="inlineStr">
        <is>
          <t>GRAVA ANDESITA 25 MM 1".</t>
        </is>
      </c>
    </row>
    <row r="2268">
      <c r="A2268" t="n">
        <v>10267516</v>
      </c>
      <c r="B2268" t="inlineStr">
        <is>
          <t>ZFE3</t>
        </is>
      </c>
      <c r="C2268" t="inlineStr">
        <is>
          <t>1000</t>
        </is>
      </c>
      <c r="D2268" t="inlineStr">
        <is>
          <t>M3</t>
        </is>
      </c>
      <c r="E2268" t="n">
        <v>1000</v>
      </c>
      <c r="F2268" t="inlineStr">
        <is>
          <t>TN</t>
        </is>
      </c>
      <c r="G2268" t="n">
        <v>1488</v>
      </c>
      <c r="H2268" t="inlineStr">
        <is>
          <t>GRAVA BASALTO 13 MM 1/2"</t>
        </is>
      </c>
    </row>
    <row r="2269">
      <c r="A2269" t="n">
        <v>10267564</v>
      </c>
      <c r="B2269" t="inlineStr">
        <is>
          <t>ZFE3</t>
        </is>
      </c>
      <c r="C2269" t="inlineStr">
        <is>
          <t>1000</t>
        </is>
      </c>
      <c r="D2269" t="inlineStr">
        <is>
          <t>M3</t>
        </is>
      </c>
      <c r="E2269" t="n">
        <v>1000</v>
      </c>
      <c r="F2269" t="inlineStr">
        <is>
          <t>TN</t>
        </is>
      </c>
      <c r="G2269" t="n">
        <v>1500</v>
      </c>
      <c r="H2269" t="inlineStr">
        <is>
          <t>MP RESIDUO DE CONCRETO LIMPIO</t>
        </is>
      </c>
    </row>
    <row r="2270">
      <c r="A2270" t="n">
        <v>10267636</v>
      </c>
      <c r="B2270" t="inlineStr">
        <is>
          <t>ZFE3</t>
        </is>
      </c>
      <c r="C2270" t="inlineStr">
        <is>
          <t>1000</t>
        </is>
      </c>
      <c r="D2270" t="inlineStr">
        <is>
          <t>M3</t>
        </is>
      </c>
      <c r="E2270" t="n">
        <v>1000</v>
      </c>
      <c r="F2270" t="inlineStr">
        <is>
          <t>TN</t>
        </is>
      </c>
      <c r="G2270" t="n">
        <v>1469</v>
      </c>
      <c r="H2270" t="inlineStr">
        <is>
          <t>ARENA ANDESITA NO. (4)</t>
        </is>
      </c>
    </row>
    <row r="2271">
      <c r="A2271" t="n">
        <v>10267637</v>
      </c>
      <c r="B2271" t="inlineStr">
        <is>
          <t>ZFE3</t>
        </is>
      </c>
      <c r="C2271" t="inlineStr">
        <is>
          <t>1000</t>
        </is>
      </c>
      <c r="D2271" t="inlineStr">
        <is>
          <t>M3</t>
        </is>
      </c>
      <c r="E2271" t="n">
        <v>1000</v>
      </c>
      <c r="F2271" t="inlineStr">
        <is>
          <t>TN</t>
        </is>
      </c>
      <c r="G2271" t="n">
        <v>1670</v>
      </c>
      <c r="H2271" t="inlineStr">
        <is>
          <t>ARENA ANDESITA NO. (8)</t>
        </is>
      </c>
    </row>
    <row r="2272">
      <c r="A2272" t="n">
        <v>10267638</v>
      </c>
      <c r="B2272" t="inlineStr">
        <is>
          <t>ZFE3</t>
        </is>
      </c>
      <c r="C2272" t="inlineStr">
        <is>
          <t>1000</t>
        </is>
      </c>
      <c r="D2272" t="inlineStr">
        <is>
          <t>M3</t>
        </is>
      </c>
      <c r="E2272" t="n">
        <v>1000</v>
      </c>
      <c r="F2272" t="inlineStr">
        <is>
          <t>TN</t>
        </is>
      </c>
      <c r="G2272" t="n">
        <v>1760</v>
      </c>
      <c r="H2272" t="inlineStr">
        <is>
          <t>BASALTO NO. (4)</t>
        </is>
      </c>
    </row>
    <row r="2273">
      <c r="A2273" t="n">
        <v>10267639</v>
      </c>
      <c r="B2273" t="inlineStr">
        <is>
          <t>ZFE3</t>
        </is>
      </c>
      <c r="C2273" t="inlineStr">
        <is>
          <t>1000</t>
        </is>
      </c>
      <c r="D2273" t="inlineStr">
        <is>
          <t>M3</t>
        </is>
      </c>
      <c r="E2273" t="n">
        <v>1000</v>
      </c>
      <c r="F2273" t="inlineStr">
        <is>
          <t>TN</t>
        </is>
      </c>
      <c r="G2273" t="n">
        <v>1471</v>
      </c>
      <c r="H2273" t="inlineStr">
        <is>
          <t>ARENA BASALTO NO. (4)</t>
        </is>
      </c>
    </row>
    <row r="2274">
      <c r="A2274" t="n">
        <v>10267640</v>
      </c>
      <c r="B2274" t="inlineStr">
        <is>
          <t>ZFE3</t>
        </is>
      </c>
      <c r="C2274" t="inlineStr">
        <is>
          <t>1000</t>
        </is>
      </c>
      <c r="D2274" t="inlineStr">
        <is>
          <t>M3</t>
        </is>
      </c>
      <c r="E2274" t="n">
        <v>1000</v>
      </c>
      <c r="F2274" t="inlineStr">
        <is>
          <t>TN</t>
        </is>
      </c>
      <c r="G2274" t="n">
        <v>1471</v>
      </c>
      <c r="H2274" t="inlineStr">
        <is>
          <t>ARENA CALIZA LAVADA NO.(4)</t>
        </is>
      </c>
    </row>
    <row r="2275">
      <c r="A2275" t="n">
        <v>10267641</v>
      </c>
      <c r="B2275" t="inlineStr">
        <is>
          <t>ZFE3</t>
        </is>
      </c>
      <c r="C2275" t="inlineStr">
        <is>
          <t>1000</t>
        </is>
      </c>
      <c r="D2275" t="inlineStr">
        <is>
          <t>M3</t>
        </is>
      </c>
      <c r="E2275" t="n">
        <v>1000</v>
      </c>
      <c r="F2275" t="inlineStr">
        <is>
          <t>TN</t>
        </is>
      </c>
      <c r="G2275" t="n">
        <v>1380</v>
      </c>
      <c r="H2275" t="inlineStr">
        <is>
          <t>ARENA DE RIO.</t>
        </is>
      </c>
    </row>
    <row r="2276">
      <c r="A2276" t="n">
        <v>10267642</v>
      </c>
      <c r="B2276" t="inlineStr">
        <is>
          <t>ZFE3</t>
        </is>
      </c>
      <c r="C2276" t="inlineStr">
        <is>
          <t>1000</t>
        </is>
      </c>
      <c r="D2276" t="inlineStr">
        <is>
          <t>M3</t>
        </is>
      </c>
      <c r="E2276" t="n">
        <v>1000</v>
      </c>
      <c r="F2276" t="inlineStr">
        <is>
          <t>TN</t>
        </is>
      </c>
      <c r="G2276" t="n">
        <v>1600</v>
      </c>
      <c r="H2276" t="inlineStr">
        <is>
          <t>RESIDUO DE CONCRETO CON ACERO</t>
        </is>
      </c>
    </row>
    <row r="2277">
      <c r="A2277" t="n">
        <v>10267643</v>
      </c>
      <c r="B2277" t="inlineStr">
        <is>
          <t>ZFE3</t>
        </is>
      </c>
      <c r="C2277" t="inlineStr">
        <is>
          <t>1000</t>
        </is>
      </c>
      <c r="D2277" t="inlineStr">
        <is>
          <t>M3</t>
        </is>
      </c>
      <c r="E2277" t="n">
        <v>1000</v>
      </c>
      <c r="F2277" t="inlineStr">
        <is>
          <t>TN</t>
        </is>
      </c>
      <c r="G2277" t="n">
        <v>1529</v>
      </c>
      <c r="H2277" t="inlineStr">
        <is>
          <t>ARENA CLASIFICADA RIO MALLA 4 (ON)</t>
        </is>
      </c>
    </row>
    <row r="2278">
      <c r="A2278" t="n">
        <v>10267899</v>
      </c>
      <c r="B2278" t="inlineStr">
        <is>
          <t>ZFE3</t>
        </is>
      </c>
      <c r="C2278" t="inlineStr">
        <is>
          <t>1000</t>
        </is>
      </c>
      <c r="D2278" t="inlineStr">
        <is>
          <t>M3</t>
        </is>
      </c>
      <c r="E2278" t="n">
        <v>1000</v>
      </c>
      <c r="F2278" t="inlineStr">
        <is>
          <t>TN</t>
        </is>
      </c>
      <c r="G2278" t="n">
        <v>1580</v>
      </c>
      <c r="H2278" t="inlineStr">
        <is>
          <t>MP ARENA TRIT. BASALTO 3/16 A FINOS</t>
        </is>
      </c>
    </row>
    <row r="2279">
      <c r="A2279" t="n">
        <v>10267961</v>
      </c>
      <c r="B2279" t="inlineStr">
        <is>
          <t>ZFE3</t>
        </is>
      </c>
      <c r="C2279" t="inlineStr">
        <is>
          <t>1000</t>
        </is>
      </c>
      <c r="D2279" t="inlineStr">
        <is>
          <t>M3</t>
        </is>
      </c>
      <c r="E2279" t="n">
        <v>1000</v>
      </c>
      <c r="F2279" t="inlineStr">
        <is>
          <t>TN</t>
        </is>
      </c>
      <c r="G2279" t="n">
        <v>1616</v>
      </c>
      <c r="H2279" t="inlineStr">
        <is>
          <t>MP ARENA TRIT. BASALTO 1/4 A FINOS</t>
        </is>
      </c>
    </row>
    <row r="2280">
      <c r="A2280" t="n">
        <v>10267983</v>
      </c>
      <c r="B2280" t="inlineStr">
        <is>
          <t>ZFE3</t>
        </is>
      </c>
      <c r="C2280" t="inlineStr">
        <is>
          <t>1000</t>
        </is>
      </c>
      <c r="D2280" t="inlineStr">
        <is>
          <t>M3</t>
        </is>
      </c>
      <c r="E2280" t="n">
        <v>1000</v>
      </c>
      <c r="F2280" t="inlineStr">
        <is>
          <t>TN</t>
        </is>
      </c>
      <c r="G2280" t="n">
        <v>1800</v>
      </c>
      <c r="H2280" t="inlineStr">
        <is>
          <t>ESCORIA DE ALTO HORNO</t>
        </is>
      </c>
    </row>
    <row r="2281">
      <c r="A2281" t="n">
        <v>10268133</v>
      </c>
      <c r="B2281" t="inlineStr">
        <is>
          <t>ZFE3</t>
        </is>
      </c>
      <c r="C2281" t="inlineStr">
        <is>
          <t>1000</t>
        </is>
      </c>
      <c r="D2281" t="inlineStr">
        <is>
          <t>M3</t>
        </is>
      </c>
      <c r="E2281" t="n">
        <v>1000</v>
      </c>
      <c r="F2281" t="inlineStr">
        <is>
          <t>TN</t>
        </is>
      </c>
      <c r="G2281" t="n">
        <v>1480</v>
      </c>
      <c r="H2281" t="inlineStr">
        <is>
          <t>MP GRAVA TRIT CALIZA 20 MM - 3/4"</t>
        </is>
      </c>
    </row>
    <row r="2282">
      <c r="A2282" t="n">
        <v>10268134</v>
      </c>
      <c r="B2282" t="inlineStr">
        <is>
          <t>ZFE3</t>
        </is>
      </c>
      <c r="C2282" t="inlineStr">
        <is>
          <t>1000</t>
        </is>
      </c>
      <c r="D2282" t="inlineStr">
        <is>
          <t>M3</t>
        </is>
      </c>
      <c r="E2282" t="n">
        <v>1000</v>
      </c>
      <c r="F2282" t="inlineStr">
        <is>
          <t>TN</t>
        </is>
      </c>
      <c r="G2282" t="n">
        <v>1610</v>
      </c>
      <c r="H2282" t="inlineStr">
        <is>
          <t>MP ARENA TRIT CALIZA MALLA 4</t>
        </is>
      </c>
    </row>
    <row r="2283">
      <c r="A2283" t="n">
        <v>10268261</v>
      </c>
      <c r="B2283" t="inlineStr">
        <is>
          <t>ZFE3</t>
        </is>
      </c>
      <c r="C2283" t="inlineStr">
        <is>
          <t>1000</t>
        </is>
      </c>
      <c r="D2283" t="inlineStr">
        <is>
          <t>M3</t>
        </is>
      </c>
      <c r="E2283" t="n">
        <v>1000</v>
      </c>
      <c r="F2283" t="inlineStr">
        <is>
          <t>TN</t>
        </is>
      </c>
      <c r="G2283" t="n">
        <v>1309</v>
      </c>
      <c r="H2283" t="inlineStr">
        <is>
          <t>MP GRAVA TRIT CALIZA 10 MM (3/8")</t>
        </is>
      </c>
    </row>
    <row r="2284">
      <c r="A2284" t="n">
        <v>40003218</v>
      </c>
      <c r="B2284" t="inlineStr">
        <is>
          <t>ZHAW</t>
        </is>
      </c>
      <c r="C2284" t="inlineStr">
        <is>
          <t>1000</t>
        </is>
      </c>
      <c r="D2284" t="inlineStr">
        <is>
          <t>M3</t>
        </is>
      </c>
      <c r="E2284" t="n">
        <v>1</v>
      </c>
      <c r="F2284" t="inlineStr">
        <is>
          <t>M3</t>
        </is>
      </c>
      <c r="G2284" t="n">
        <v>1</v>
      </c>
      <c r="H2284" t="inlineStr">
        <is>
          <t>GRAVA DE RIO 3/4"</t>
        </is>
      </c>
    </row>
    <row r="2285">
      <c r="A2285" t="n">
        <v>10268435</v>
      </c>
      <c r="B2285" t="inlineStr">
        <is>
          <t>ZFE3</t>
        </is>
      </c>
      <c r="C2285" t="inlineStr">
        <is>
          <t>1000</t>
        </is>
      </c>
      <c r="D2285" t="inlineStr">
        <is>
          <t>M3</t>
        </is>
      </c>
      <c r="E2285" t="n">
        <v>1000</v>
      </c>
      <c r="F2285" t="inlineStr">
        <is>
          <t>TN</t>
        </is>
      </c>
      <c r="G2285" t="n">
        <v>1400</v>
      </c>
      <c r="H2285" t="inlineStr">
        <is>
          <t>MP GRAVA TRIT CALIZA 20 MM (3/4")</t>
        </is>
      </c>
    </row>
    <row r="2286">
      <c r="A2286" t="n">
        <v>10268650</v>
      </c>
      <c r="B2286" t="inlineStr">
        <is>
          <t>ZFE3</t>
        </is>
      </c>
      <c r="C2286" t="inlineStr">
        <is>
          <t>1000</t>
        </is>
      </c>
      <c r="D2286" t="inlineStr">
        <is>
          <t>M3</t>
        </is>
      </c>
      <c r="E2286" t="n">
        <v>1000</v>
      </c>
      <c r="F2286" t="inlineStr">
        <is>
          <t>TN</t>
        </is>
      </c>
      <c r="G2286" t="n">
        <v>1300</v>
      </c>
      <c r="H2286" t="inlineStr">
        <is>
          <t>MP GRAVA TRIT BASALTO 40MM - 1 1/2</t>
        </is>
      </c>
    </row>
    <row r="2287">
      <c r="A2287" t="n">
        <v>10268651</v>
      </c>
      <c r="B2287" t="inlineStr">
        <is>
          <t>ZFE3</t>
        </is>
      </c>
      <c r="C2287" t="inlineStr">
        <is>
          <t>1000</t>
        </is>
      </c>
      <c r="D2287" t="inlineStr">
        <is>
          <t>M3</t>
        </is>
      </c>
      <c r="E2287" t="n">
        <v>1000</v>
      </c>
      <c r="F2287" t="inlineStr">
        <is>
          <t>TN</t>
        </is>
      </c>
      <c r="G2287" t="n">
        <v>1600</v>
      </c>
      <c r="H2287" t="inlineStr">
        <is>
          <t>MP PIEDRA CALIZA 6 - 8"</t>
        </is>
      </c>
    </row>
    <row r="2288">
      <c r="A2288" t="n">
        <v>10268717</v>
      </c>
      <c r="B2288" t="inlineStr">
        <is>
          <t>ZFE3</t>
        </is>
      </c>
      <c r="C2288" t="inlineStr">
        <is>
          <t>1000</t>
        </is>
      </c>
      <c r="D2288" t="inlineStr">
        <is>
          <t>M3</t>
        </is>
      </c>
      <c r="E2288" t="n">
        <v>1000</v>
      </c>
      <c r="F2288" t="inlineStr">
        <is>
          <t>TN</t>
        </is>
      </c>
      <c r="G2288" t="n">
        <v>1350</v>
      </c>
      <c r="H2288" t="inlineStr">
        <is>
          <t>MP ARENA TRIT CALIZA SECA MALLA 4 - ESP</t>
        </is>
      </c>
    </row>
    <row r="2289">
      <c r="A2289" t="n">
        <v>10268718</v>
      </c>
      <c r="B2289" t="inlineStr">
        <is>
          <t>ZFE3</t>
        </is>
      </c>
      <c r="C2289" t="inlineStr">
        <is>
          <t>1000</t>
        </is>
      </c>
      <c r="D2289" t="inlineStr">
        <is>
          <t>M3</t>
        </is>
      </c>
      <c r="E2289" t="n">
        <v>1000</v>
      </c>
      <c r="F2289" t="inlineStr">
        <is>
          <t>TN</t>
        </is>
      </c>
      <c r="G2289" t="n">
        <v>1220</v>
      </c>
      <c r="H2289" t="inlineStr">
        <is>
          <t>MP GRAVA TRIT CALIZA 20MM 3/4" - ESP</t>
        </is>
      </c>
    </row>
    <row r="2290">
      <c r="A2290" t="n">
        <v>10268719</v>
      </c>
      <c r="B2290" t="inlineStr">
        <is>
          <t>ZFE3</t>
        </is>
      </c>
      <c r="C2290" t="inlineStr">
        <is>
          <t>1000</t>
        </is>
      </c>
      <c r="D2290" t="inlineStr">
        <is>
          <t>M3</t>
        </is>
      </c>
      <c r="E2290" t="n">
        <v>1000</v>
      </c>
      <c r="F2290" t="inlineStr">
        <is>
          <t>TN</t>
        </is>
      </c>
      <c r="G2290" t="n">
        <v>1230</v>
      </c>
      <c r="H2290" t="inlineStr">
        <is>
          <t>MP GRAVA TRIT CALIZA 10 MM 3/8" - ESP</t>
        </is>
      </c>
    </row>
    <row r="2291">
      <c r="A2291" t="n">
        <v>10268770</v>
      </c>
      <c r="B2291" t="inlineStr">
        <is>
          <t>ZFE3</t>
        </is>
      </c>
      <c r="C2291" t="inlineStr">
        <is>
          <t>1000</t>
        </is>
      </c>
      <c r="D2291" t="inlineStr">
        <is>
          <t>M3</t>
        </is>
      </c>
      <c r="E2291" t="n">
        <v>1000</v>
      </c>
      <c r="F2291" t="inlineStr">
        <is>
          <t>TN</t>
        </is>
      </c>
      <c r="G2291" t="n">
        <v>1240</v>
      </c>
      <c r="H2291" t="inlineStr">
        <is>
          <t>MP GRAVA TRIT CALIZA 40MM 1 1/2" - ESP</t>
        </is>
      </c>
    </row>
    <row r="2292">
      <c r="A2292" t="n">
        <v>10268901</v>
      </c>
      <c r="B2292" t="inlineStr">
        <is>
          <t>ZFE3</t>
        </is>
      </c>
      <c r="C2292" t="inlineStr">
        <is>
          <t>1000</t>
        </is>
      </c>
      <c r="D2292" t="inlineStr">
        <is>
          <t>M3</t>
        </is>
      </c>
      <c r="E2292" t="n">
        <v>1000</v>
      </c>
      <c r="F2292" t="inlineStr"/>
      <c r="G2292" t="n">
        <v>1560</v>
      </c>
      <c r="H2292" t="inlineStr">
        <is>
          <t>MP GRAVA ANDESITA GRIS 3/4" - CAPADA</t>
        </is>
      </c>
    </row>
    <row r="2293">
      <c r="A2293" t="n">
        <v>10267983</v>
      </c>
      <c r="B2293" t="inlineStr"/>
      <c r="C2293" t="inlineStr">
        <is>
          <t>1000</t>
        </is>
      </c>
      <c r="D2293" t="inlineStr"/>
      <c r="E2293" t="n">
        <v/>
      </c>
      <c r="F2293" t="inlineStr"/>
      <c r="G2293" t="n">
        <v>1800</v>
      </c>
      <c r="H2293" t="inlineStr">
        <is>
          <t>ESCORIA ALTO HORNO 3/4</t>
        </is>
      </c>
    </row>
    <row r="2294">
      <c r="A2294" t="n">
        <v>10268996</v>
      </c>
      <c r="B2294" t="inlineStr"/>
      <c r="C2294" t="inlineStr">
        <is>
          <t>1000</t>
        </is>
      </c>
      <c r="D2294" t="inlineStr"/>
      <c r="E2294" t="n">
        <v/>
      </c>
      <c r="F2294" t="inlineStr"/>
      <c r="G2294" t="n">
        <v>1329</v>
      </c>
      <c r="H2294" t="inlineStr">
        <is>
          <t>GRAVA TRITURADA CALIZA 40 MM - 11/2"</t>
        </is>
      </c>
    </row>
    <row r="2295">
      <c r="A2295" t="n">
        <v>10269072</v>
      </c>
      <c r="B2295" t="inlineStr"/>
      <c r="C2295" t="inlineStr">
        <is>
          <t>1000</t>
        </is>
      </c>
      <c r="D2295" t="inlineStr"/>
      <c r="E2295" t="n">
        <v/>
      </c>
      <c r="F2295" t="inlineStr"/>
      <c r="G2295" t="n">
        <v>1700</v>
      </c>
      <c r="H2295" t="inlineStr">
        <is>
          <t>BASE HIDRÁULICA SCREEN</t>
        </is>
      </c>
    </row>
    <row r="2296">
      <c r="A2296" t="n">
        <v>10269225</v>
      </c>
      <c r="B2296" t="inlineStr">
        <is>
          <t>ZFE3</t>
        </is>
      </c>
      <c r="C2296" t="inlineStr">
        <is>
          <t>1000</t>
        </is>
      </c>
      <c r="D2296" t="inlineStr">
        <is>
          <t>M3</t>
        </is>
      </c>
      <c r="E2296" t="n">
        <v>1000</v>
      </c>
      <c r="F2296" t="inlineStr"/>
      <c r="G2296" t="n">
        <v>1289</v>
      </c>
      <c r="H2296" t="inlineStr">
        <is>
          <t>MP ARENA CALIZA LAVADA MALLA 4 - DELTA I</t>
        </is>
      </c>
    </row>
    <row r="2297">
      <c r="A2297" t="n">
        <v>10269245</v>
      </c>
      <c r="B2297" t="inlineStr">
        <is>
          <t>ZFE3</t>
        </is>
      </c>
      <c r="C2297" t="inlineStr">
        <is>
          <t>1000</t>
        </is>
      </c>
      <c r="D2297" t="inlineStr">
        <is>
          <t>M3</t>
        </is>
      </c>
      <c r="E2297" t="n">
        <v>1000</v>
      </c>
      <c r="F2297" t="inlineStr"/>
      <c r="G2297" t="n">
        <v>1410</v>
      </c>
      <c r="H2297" t="inlineStr">
        <is>
          <t>MP GRAVA TRITURADA CALIZA 3/8 - 10MM</t>
        </is>
      </c>
    </row>
    <row r="2298">
      <c r="A2298" t="n">
        <v>10269246</v>
      </c>
      <c r="B2298" t="inlineStr">
        <is>
          <t>ZFE3</t>
        </is>
      </c>
      <c r="C2298" t="inlineStr">
        <is>
          <t>1000</t>
        </is>
      </c>
      <c r="D2298" t="inlineStr">
        <is>
          <t>M3</t>
        </is>
      </c>
      <c r="E2298" t="n">
        <v>1000</v>
      </c>
      <c r="F2298" t="inlineStr"/>
      <c r="G2298" t="n">
        <v>1400</v>
      </c>
      <c r="H2298" t="inlineStr">
        <is>
          <t>MP GRAVA TRITURADA CALIZA 1 1/2 - 40MM</t>
        </is>
      </c>
    </row>
    <row r="2299">
      <c r="A2299" t="n">
        <v>10269247</v>
      </c>
      <c r="B2299" t="inlineStr">
        <is>
          <t>ZFE3</t>
        </is>
      </c>
      <c r="C2299" t="inlineStr">
        <is>
          <t>1000</t>
        </is>
      </c>
      <c r="D2299" t="inlineStr">
        <is>
          <t>M3</t>
        </is>
      </c>
      <c r="E2299" t="n">
        <v>1000</v>
      </c>
      <c r="F2299" t="inlineStr"/>
      <c r="G2299" t="n">
        <v>1560</v>
      </c>
      <c r="H2299" t="inlineStr">
        <is>
          <t>MP ARENA TRIT CALIZA M-4</t>
        </is>
      </c>
    </row>
    <row r="2300">
      <c r="A2300" t="n">
        <v>10270431</v>
      </c>
      <c r="B2300" t="inlineStr">
        <is>
          <t>ZFE3</t>
        </is>
      </c>
      <c r="C2300" t="inlineStr">
        <is>
          <t>1000</t>
        </is>
      </c>
      <c r="D2300" t="inlineStr">
        <is>
          <t>M3</t>
        </is>
      </c>
      <c r="E2300" t="n">
        <v>1000</v>
      </c>
      <c r="F2300" t="inlineStr"/>
      <c r="G2300" t="n">
        <v>1423</v>
      </c>
      <c r="H2300" t="inlineStr">
        <is>
          <t>MP GRAVA RIOLITA 13 MM - 1/2"</t>
        </is>
      </c>
    </row>
    <row r="2301">
      <c r="A2301" t="n">
        <v>10270898</v>
      </c>
      <c r="B2301" t="inlineStr">
        <is>
          <t>ZFE3</t>
        </is>
      </c>
      <c r="C2301" t="inlineStr">
        <is>
          <t>1000</t>
        </is>
      </c>
      <c r="D2301" t="inlineStr">
        <is>
          <t>M3</t>
        </is>
      </c>
      <c r="E2301" t="n">
        <v>1000</v>
      </c>
      <c r="F2301" t="inlineStr"/>
      <c r="G2301" t="n">
        <v>1551</v>
      </c>
      <c r="H2301" t="inlineStr">
        <is>
          <t>MP BASE H. TRIT. BASALTO 1 1/2" A FINOS</t>
        </is>
      </c>
    </row>
    <row r="2302">
      <c r="A2302" t="n">
        <v>10270911</v>
      </c>
      <c r="B2302" t="inlineStr">
        <is>
          <t>ZFE3</t>
        </is>
      </c>
      <c r="C2302" t="inlineStr">
        <is>
          <t>1000</t>
        </is>
      </c>
      <c r="D2302" t="inlineStr">
        <is>
          <t>M3</t>
        </is>
      </c>
      <c r="E2302" t="n">
        <v>1000</v>
      </c>
      <c r="F2302" t="inlineStr"/>
      <c r="G2302" t="n">
        <v>1360</v>
      </c>
      <c r="H2302" t="inlineStr">
        <is>
          <t>MP GRAVA TRIT. BASALTO 40 MM - 1 1/2"</t>
        </is>
      </c>
    </row>
    <row r="2303">
      <c r="A2303" t="n">
        <v>10270912</v>
      </c>
      <c r="B2303" t="inlineStr">
        <is>
          <t>ZFE3</t>
        </is>
      </c>
      <c r="C2303" t="inlineStr">
        <is>
          <t>1000</t>
        </is>
      </c>
      <c r="D2303" t="inlineStr">
        <is>
          <t>M3</t>
        </is>
      </c>
      <c r="E2303" t="n">
        <v>1000</v>
      </c>
      <c r="F2303" t="inlineStr"/>
      <c r="G2303" t="n">
        <v>1589</v>
      </c>
      <c r="H2303" t="inlineStr">
        <is>
          <t>MP ARENA TRIT. BASALTO MALLA 4</t>
        </is>
      </c>
    </row>
    <row r="2304">
      <c r="A2304" t="n">
        <v>10270913</v>
      </c>
      <c r="B2304" t="inlineStr">
        <is>
          <t>ZFE3</t>
        </is>
      </c>
      <c r="C2304" t="inlineStr">
        <is>
          <t>1000</t>
        </is>
      </c>
      <c r="D2304" t="inlineStr">
        <is>
          <t>M3</t>
        </is>
      </c>
      <c r="E2304" t="n">
        <v>1000</v>
      </c>
      <c r="F2304" t="inlineStr"/>
      <c r="G2304" t="n">
        <v>1395</v>
      </c>
      <c r="H2304" t="inlineStr">
        <is>
          <t>MP GRAVA TRIT. BASALTO 20 MM - 3/4</t>
        </is>
      </c>
    </row>
    <row r="2305">
      <c r="A2305" t="n">
        <v>10270914</v>
      </c>
      <c r="B2305" t="inlineStr">
        <is>
          <t>ZFE3</t>
        </is>
      </c>
      <c r="C2305" t="inlineStr">
        <is>
          <t>1000</t>
        </is>
      </c>
      <c r="D2305" t="inlineStr">
        <is>
          <t>M3</t>
        </is>
      </c>
      <c r="E2305" t="n">
        <v>1000</v>
      </c>
      <c r="F2305" t="inlineStr"/>
      <c r="G2305" t="n">
        <v>1623</v>
      </c>
      <c r="H2305" t="inlineStr">
        <is>
          <t>MP ARENA ANDESITA BC</t>
        </is>
      </c>
    </row>
    <row r="2306">
      <c r="A2306" t="n">
        <v>10270824</v>
      </c>
      <c r="B2306" t="inlineStr">
        <is>
          <t>M3</t>
        </is>
      </c>
      <c r="C2306" t="inlineStr">
        <is>
          <t>1000</t>
        </is>
      </c>
      <c r="D2306" t="inlineStr">
        <is>
          <t>M3</t>
        </is>
      </c>
      <c r="E2306" t="n">
        <v>10007640</v>
      </c>
      <c r="F2306" t="inlineStr"/>
      <c r="G2306" t="n">
        <v>1325</v>
      </c>
      <c r="H2306" t="inlineStr">
        <is>
          <t>MP ARENA TRITURADA CALIZA MALLA 5</t>
        </is>
      </c>
    </row>
    <row r="2307">
      <c r="A2307" t="n">
        <v>10270825</v>
      </c>
      <c r="B2307" t="inlineStr">
        <is>
          <t>M3</t>
        </is>
      </c>
      <c r="C2307" t="inlineStr">
        <is>
          <t>1000</t>
        </is>
      </c>
      <c r="D2307" t="inlineStr">
        <is>
          <t>M3</t>
        </is>
      </c>
      <c r="E2307" t="n">
        <v>10000003</v>
      </c>
      <c r="F2307" t="inlineStr"/>
      <c r="G2307" t="n">
        <v>1242</v>
      </c>
      <c r="H2307" t="inlineStr">
        <is>
          <t>MP GRAVA TRITURADA CALIZA 10MM (3/8”)</t>
        </is>
      </c>
    </row>
    <row r="2308">
      <c r="A2308" t="n">
        <v>10000635</v>
      </c>
      <c r="B2308" t="inlineStr">
        <is>
          <t>M3</t>
        </is>
      </c>
      <c r="C2308" t="inlineStr">
        <is>
          <t>1000</t>
        </is>
      </c>
      <c r="D2308" t="inlineStr">
        <is>
          <t>M3</t>
        </is>
      </c>
      <c r="E2308" t="n">
        <v>10000055</v>
      </c>
      <c r="F2308" t="inlineStr"/>
      <c r="G2308" t="n">
        <v>1650</v>
      </c>
      <c r="H2308" t="inlineStr">
        <is>
          <t>Arena Triturada Marmol Malla 4</t>
        </is>
      </c>
    </row>
    <row r="2309">
      <c r="A2309" t="n">
        <v>10000655</v>
      </c>
      <c r="B2309" t="inlineStr">
        <is>
          <t>M3</t>
        </is>
      </c>
      <c r="C2309" t="inlineStr">
        <is>
          <t>1000</t>
        </is>
      </c>
      <c r="D2309" t="inlineStr">
        <is>
          <t>M3</t>
        </is>
      </c>
      <c r="E2309" t="n">
        <v>10000056</v>
      </c>
      <c r="F2309" t="inlineStr"/>
      <c r="G2309" t="n">
        <v>1400</v>
      </c>
      <c r="H2309" t="inlineStr">
        <is>
          <t>Grava Triturada Marmol 10 mm - 3/8"</t>
        </is>
      </c>
    </row>
    <row r="2310">
      <c r="A2310" t="n">
        <v>10271129</v>
      </c>
      <c r="B2310" t="inlineStr">
        <is>
          <t>ZFE3</t>
        </is>
      </c>
      <c r="C2310" t="inlineStr">
        <is>
          <t>1000</t>
        </is>
      </c>
      <c r="D2310" t="inlineStr">
        <is>
          <t>M3</t>
        </is>
      </c>
      <c r="E2310" t="n">
        <v>1000</v>
      </c>
      <c r="F2310" t="inlineStr"/>
      <c r="G2310" t="n">
        <v>1512</v>
      </c>
      <c r="H2310" t="inlineStr">
        <is>
          <t>MP ARENA CRIBADA VOLCANICA MALLA 4</t>
        </is>
      </c>
    </row>
    <row r="2311">
      <c r="A2311" t="n">
        <v>10271251</v>
      </c>
      <c r="B2311" t="inlineStr">
        <is>
          <t>ZFE3</t>
        </is>
      </c>
      <c r="C2311" t="inlineStr">
        <is>
          <t>1000</t>
        </is>
      </c>
      <c r="D2311" t="inlineStr">
        <is>
          <t>M3</t>
        </is>
      </c>
      <c r="E2311" t="n">
        <v>1000</v>
      </c>
      <c r="F2311" t="inlineStr"/>
      <c r="G2311" t="n">
        <v>1461</v>
      </c>
      <c r="H2311" t="inlineStr">
        <is>
          <t>MP GRAVA DE RIO 3/4</t>
        </is>
      </c>
    </row>
    <row r="2312">
      <c r="A2312" t="n">
        <v>10271252</v>
      </c>
      <c r="B2312" t="inlineStr">
        <is>
          <t>ZFE3</t>
        </is>
      </c>
      <c r="C2312" t="inlineStr">
        <is>
          <t>1000</t>
        </is>
      </c>
      <c r="D2312" t="inlineStr">
        <is>
          <t>M3</t>
        </is>
      </c>
      <c r="E2312" t="n">
        <v>1000</v>
      </c>
      <c r="F2312" t="inlineStr"/>
      <c r="G2312" t="n">
        <v>1375</v>
      </c>
      <c r="H2312" t="inlineStr">
        <is>
          <t>MP GRAVA DE RIO 3/8</t>
        </is>
      </c>
    </row>
    <row r="2313">
      <c r="A2313" t="n">
        <v>10271476</v>
      </c>
      <c r="B2313" t="inlineStr">
        <is>
          <t>ZFE3</t>
        </is>
      </c>
      <c r="C2313" t="inlineStr">
        <is>
          <t>1000</t>
        </is>
      </c>
      <c r="D2313" t="inlineStr">
        <is>
          <t>M3</t>
        </is>
      </c>
      <c r="E2313" t="n">
        <v>1000</v>
      </c>
      <c r="F2313" t="inlineStr"/>
      <c r="G2313" t="n">
        <v>1680</v>
      </c>
      <c r="H2313" t="inlineStr">
        <is>
          <t>MP ARENA TRIT. ANDESITA MALLA 4 ESP</t>
        </is>
      </c>
    </row>
    <row r="2314">
      <c r="A2314" t="n">
        <v>10271477</v>
      </c>
      <c r="B2314" t="inlineStr">
        <is>
          <t>ZFE3</t>
        </is>
      </c>
      <c r="C2314" t="inlineStr">
        <is>
          <t>1000</t>
        </is>
      </c>
      <c r="D2314" t="inlineStr">
        <is>
          <t>M3</t>
        </is>
      </c>
      <c r="E2314" t="n">
        <v>1000</v>
      </c>
      <c r="F2314" t="inlineStr"/>
      <c r="G2314" t="n">
        <v>1610</v>
      </c>
      <c r="H2314" t="inlineStr">
        <is>
          <t>MP BALASTO PIEDRA CALIZA DE 8" A 12"</t>
        </is>
      </c>
    </row>
    <row r="2315">
      <c r="A2315" t="n">
        <v>10271683</v>
      </c>
      <c r="B2315" t="inlineStr">
        <is>
          <t>ZFE3</t>
        </is>
      </c>
      <c r="C2315" t="inlineStr">
        <is>
          <t>1000</t>
        </is>
      </c>
      <c r="D2315" t="inlineStr">
        <is>
          <t>M3</t>
        </is>
      </c>
      <c r="E2315" t="n">
        <v>1000</v>
      </c>
      <c r="F2315" t="inlineStr"/>
      <c r="G2315" t="n">
        <v>1635</v>
      </c>
      <c r="H2315" t="inlineStr">
        <is>
          <t>MP ARENA DE RIO MALLA 4</t>
        </is>
      </c>
    </row>
    <row r="2316">
      <c r="A2316" t="n">
        <v>10272234</v>
      </c>
      <c r="B2316" t="inlineStr">
        <is>
          <t>ZFE3</t>
        </is>
      </c>
      <c r="C2316" t="inlineStr">
        <is>
          <t>1000</t>
        </is>
      </c>
      <c r="D2316" t="inlineStr">
        <is>
          <t>M3</t>
        </is>
      </c>
      <c r="E2316" t="n">
        <v>1000</v>
      </c>
      <c r="F2316" t="inlineStr"/>
      <c r="G2316" t="n">
        <v>1617</v>
      </c>
      <c r="H2316" t="inlineStr">
        <is>
          <t>MP ARENA CALIZA NO.4 - 3/16"</t>
        </is>
      </c>
    </row>
    <row r="2317">
      <c r="A2317" t="n">
        <v>10272235</v>
      </c>
      <c r="B2317" t="inlineStr">
        <is>
          <t>ZFE3</t>
        </is>
      </c>
      <c r="C2317" t="inlineStr">
        <is>
          <t>1000</t>
        </is>
      </c>
      <c r="D2317" t="inlineStr">
        <is>
          <t>M3</t>
        </is>
      </c>
      <c r="E2317" t="n">
        <v>1000</v>
      </c>
      <c r="F2317" t="inlineStr"/>
      <c r="G2317" t="n">
        <v>1439</v>
      </c>
      <c r="H2317" t="inlineStr">
        <is>
          <t>MP GRAVA CALIZA 20MM - 3/4"</t>
        </is>
      </c>
    </row>
    <row r="2318">
      <c r="A2318" t="n">
        <v>10272307</v>
      </c>
      <c r="B2318" t="inlineStr">
        <is>
          <t>ZFE3</t>
        </is>
      </c>
      <c r="C2318" t="inlineStr">
        <is>
          <t>1000</t>
        </is>
      </c>
      <c r="D2318" t="inlineStr">
        <is>
          <t>M3</t>
        </is>
      </c>
      <c r="E2318" t="n">
        <v>1000</v>
      </c>
      <c r="F2318" t="inlineStr"/>
      <c r="G2318" t="n">
        <v>1950</v>
      </c>
      <c r="H2318" t="inlineStr">
        <is>
          <t>ARCILLA-BASE HIDRÁULICA ¾ A FINOS (C-25)</t>
        </is>
      </c>
    </row>
    <row r="2319">
      <c r="A2319" t="n">
        <v>10272527</v>
      </c>
      <c r="B2319" t="inlineStr">
        <is>
          <t>ZFE3</t>
        </is>
      </c>
      <c r="C2319" t="inlineStr">
        <is>
          <t>1000</t>
        </is>
      </c>
      <c r="D2319" t="inlineStr">
        <is>
          <t>M3</t>
        </is>
      </c>
      <c r="E2319" t="n">
        <v>1000</v>
      </c>
      <c r="F2319" t="inlineStr"/>
      <c r="G2319" t="n">
        <v>1620</v>
      </c>
      <c r="H2319" t="inlineStr">
        <is>
          <t>CNC - NO CLASIFICADO</t>
        </is>
      </c>
    </row>
    <row r="2320">
      <c r="A2320" t="n">
        <v>10000332</v>
      </c>
      <c r="B2320" t="inlineStr"/>
      <c r="C2320" t="inlineStr">
        <is>
          <t>1000</t>
        </is>
      </c>
      <c r="D2320" t="inlineStr">
        <is>
          <t>M3</t>
        </is>
      </c>
      <c r="E2320" t="n">
        <v>1000</v>
      </c>
      <c r="F2320" t="inlineStr"/>
      <c r="G2320" t="n">
        <v>800</v>
      </c>
      <c r="H2320" t="inlineStr">
        <is>
          <t>Grava Triturada Pomez - Jal 20 mm - 3/4"</t>
        </is>
      </c>
    </row>
    <row r="2321">
      <c r="A2321" t="n">
        <v>10273001</v>
      </c>
      <c r="B2321" t="inlineStr">
        <is>
          <t>ZFE3</t>
        </is>
      </c>
      <c r="C2321" t="inlineStr">
        <is>
          <t>1000</t>
        </is>
      </c>
      <c r="D2321" t="inlineStr">
        <is>
          <t>M3</t>
        </is>
      </c>
      <c r="E2321" t="n">
        <v>1000</v>
      </c>
      <c r="F2321" t="inlineStr"/>
      <c r="G2321" t="n">
        <v>1688</v>
      </c>
      <c r="H2321" t="inlineStr">
        <is>
          <t>MP ARENA TRIT. BASALTO MALLA 4</t>
        </is>
      </c>
    </row>
    <row r="2322">
      <c r="A2322" t="n">
        <v>10273002</v>
      </c>
      <c r="B2322" t="inlineStr">
        <is>
          <t>ZFE3</t>
        </is>
      </c>
      <c r="C2322" t="inlineStr">
        <is>
          <t>1000</t>
        </is>
      </c>
      <c r="D2322" t="inlineStr">
        <is>
          <t>M3</t>
        </is>
      </c>
      <c r="E2322" t="n">
        <v>1000</v>
      </c>
      <c r="F2322" t="inlineStr"/>
      <c r="G2322" t="n">
        <v>1466</v>
      </c>
      <c r="H2322" t="inlineStr">
        <is>
          <t>MP GRAVA TRIT. BASALTO 20 MM - 3/4"</t>
        </is>
      </c>
    </row>
    <row r="2323">
      <c r="A2323" t="n">
        <v>10273351</v>
      </c>
      <c r="B2323" t="inlineStr">
        <is>
          <t>ZFE3</t>
        </is>
      </c>
      <c r="C2323" t="inlineStr">
        <is>
          <t>1000</t>
        </is>
      </c>
      <c r="D2323" t="inlineStr">
        <is>
          <t>M3</t>
        </is>
      </c>
      <c r="E2323" t="n">
        <v>1000</v>
      </c>
      <c r="F2323" t="inlineStr"/>
      <c r="G2323" t="n">
        <v>1612</v>
      </c>
      <c r="H2323" t="inlineStr">
        <is>
          <t>MP ARENA TRIT. CALIZA MALLA 4</t>
        </is>
      </c>
    </row>
    <row r="2324">
      <c r="A2324" t="n">
        <v>10273352</v>
      </c>
      <c r="B2324" t="inlineStr">
        <is>
          <t>ZFE3</t>
        </is>
      </c>
      <c r="C2324" t="inlineStr">
        <is>
          <t>1000</t>
        </is>
      </c>
      <c r="D2324" t="inlineStr">
        <is>
          <t>M3</t>
        </is>
      </c>
      <c r="E2324" t="n">
        <v>1000</v>
      </c>
      <c r="F2324" t="inlineStr"/>
      <c r="G2324" t="n">
        <v>1492</v>
      </c>
      <c r="H2324" t="inlineStr">
        <is>
          <t>MP GRAVA TRIT. CALIZA 20 MM - 3/4"</t>
        </is>
      </c>
    </row>
    <row r="2325">
      <c r="A2325" t="n">
        <v>10271724</v>
      </c>
      <c r="B2325" t="inlineStr">
        <is>
          <t>ZFE3</t>
        </is>
      </c>
      <c r="C2325" t="inlineStr">
        <is>
          <t>1000</t>
        </is>
      </c>
      <c r="D2325" t="inlineStr">
        <is>
          <t>M3</t>
        </is>
      </c>
      <c r="E2325" t="n">
        <v>1000</v>
      </c>
      <c r="F2325" t="inlineStr"/>
      <c r="G2325" t="n">
        <v>1900</v>
      </c>
      <c r="H2325" t="inlineStr">
        <is>
          <t>MP RESIDUO DE CONCRETO</t>
        </is>
      </c>
    </row>
    <row r="2326">
      <c r="A2326" t="n">
        <v>10000677</v>
      </c>
      <c r="B2326" t="inlineStr"/>
      <c r="C2326" t="inlineStr">
        <is>
          <t>1000</t>
        </is>
      </c>
      <c r="D2326" t="inlineStr">
        <is>
          <t>M3</t>
        </is>
      </c>
      <c r="E2326" t="n">
        <v/>
      </c>
      <c r="F2326" t="inlineStr"/>
      <c r="G2326" t="n">
        <v>1164</v>
      </c>
      <c r="H2326" t="inlineStr">
        <is>
          <t>Grava Triturada Caliza 20 mm - 3/4"</t>
        </is>
      </c>
    </row>
    <row r="2327">
      <c r="A2327" t="n">
        <v>10274190</v>
      </c>
      <c r="B2327" t="inlineStr">
        <is>
          <t>ZFE3</t>
        </is>
      </c>
      <c r="C2327" t="inlineStr">
        <is>
          <t>1000</t>
        </is>
      </c>
      <c r="D2327" t="inlineStr">
        <is>
          <t>M3</t>
        </is>
      </c>
      <c r="E2327" t="n">
        <v>1000</v>
      </c>
      <c r="F2327" t="inlineStr"/>
      <c r="G2327" t="n">
        <v>1800</v>
      </c>
      <c r="H2327" t="inlineStr">
        <is>
          <t>MP BASE HIDRAULICA ANDESITA 70-30</t>
        </is>
      </c>
    </row>
    <row r="2328">
      <c r="A2328" t="n">
        <v>10274601</v>
      </c>
      <c r="B2328" t="inlineStr">
        <is>
          <t>ZFE3</t>
        </is>
      </c>
      <c r="C2328" t="inlineStr">
        <is>
          <t>1000</t>
        </is>
      </c>
      <c r="D2328" t="inlineStr">
        <is>
          <t>M3</t>
        </is>
      </c>
      <c r="E2328" t="n">
        <v>1000</v>
      </c>
      <c r="F2328" t="inlineStr"/>
      <c r="G2328" t="n">
        <v>1447</v>
      </c>
      <c r="H2328" t="inlineStr">
        <is>
          <t>MP ARENA BASALTO N° 4</t>
        </is>
      </c>
    </row>
    <row r="2329">
      <c r="A2329" t="n">
        <v>10274754</v>
      </c>
      <c r="B2329" t="inlineStr">
        <is>
          <t>ZFE3</t>
        </is>
      </c>
      <c r="C2329" t="inlineStr">
        <is>
          <t>1000</t>
        </is>
      </c>
      <c r="D2329" t="inlineStr">
        <is>
          <t>M3</t>
        </is>
      </c>
      <c r="E2329" t="n">
        <v>1000</v>
      </c>
      <c r="F2329" t="inlineStr"/>
      <c r="G2329" t="n">
        <v>1397</v>
      </c>
      <c r="H2329" t="inlineStr">
        <is>
          <t>MP GRAVA TRIT. ANDESITA 20 MM - 3/4"</t>
        </is>
      </c>
    </row>
    <row r="2330">
      <c r="A2330" t="n">
        <v>10169718</v>
      </c>
      <c r="B2330" t="inlineStr">
        <is>
          <t>ZFE3</t>
        </is>
      </c>
      <c r="C2330" t="inlineStr">
        <is>
          <t>1000</t>
        </is>
      </c>
      <c r="D2330" t="inlineStr">
        <is>
          <t>M3</t>
        </is>
      </c>
      <c r="E2330" t="n">
        <v>1000</v>
      </c>
      <c r="F2330" t="inlineStr"/>
      <c r="G2330" t="n">
        <v>1400</v>
      </c>
      <c r="H2330" t="inlineStr">
        <is>
          <t>GRAVA CLASIFICADA RÍO 40 MM - 1 1/2"</t>
        </is>
      </c>
    </row>
    <row r="2331">
      <c r="A2331" t="n">
        <v>10274813</v>
      </c>
      <c r="B2331" t="inlineStr">
        <is>
          <t>ZFE3</t>
        </is>
      </c>
      <c r="C2331" t="inlineStr">
        <is>
          <t>1000</t>
        </is>
      </c>
      <c r="D2331" t="inlineStr">
        <is>
          <t>M3</t>
        </is>
      </c>
      <c r="E2331" t="n">
        <v>1000</v>
      </c>
      <c r="F2331" t="inlineStr"/>
      <c r="G2331" t="n">
        <v>1448</v>
      </c>
      <c r="H2331" t="inlineStr">
        <is>
          <t>MP ARENA TRIT RÍO MALLA 4</t>
        </is>
      </c>
    </row>
    <row r="2332">
      <c r="A2332" t="n">
        <v>10274815</v>
      </c>
      <c r="B2332" t="inlineStr">
        <is>
          <t>ZFE3</t>
        </is>
      </c>
      <c r="C2332" t="inlineStr">
        <is>
          <t>1000</t>
        </is>
      </c>
      <c r="D2332" t="inlineStr">
        <is>
          <t>M3</t>
        </is>
      </c>
      <c r="E2332" t="n">
        <v>1000</v>
      </c>
      <c r="F2332" t="inlineStr"/>
      <c r="G2332" t="n">
        <v>1366</v>
      </c>
      <c r="H2332" t="inlineStr">
        <is>
          <t>MP ARENA CLASIFICADA RÍO MALLA 5</t>
        </is>
      </c>
    </row>
    <row r="2333">
      <c r="A2333" t="n">
        <v>10274816</v>
      </c>
      <c r="B2333" t="inlineStr">
        <is>
          <t>ZFE3</t>
        </is>
      </c>
      <c r="C2333" t="inlineStr">
        <is>
          <t>1000</t>
        </is>
      </c>
      <c r="D2333" t="inlineStr">
        <is>
          <t>M3</t>
        </is>
      </c>
      <c r="E2333" t="n">
        <v>1000</v>
      </c>
      <c r="F2333" t="inlineStr"/>
      <c r="G2333" t="n">
        <v>1472</v>
      </c>
      <c r="H2333" t="inlineStr">
        <is>
          <t>MP GRAVA CLASIF RÍO 20 MM - 3/4"</t>
        </is>
      </c>
    </row>
    <row r="2334">
      <c r="A2334" t="n">
        <v>10275113</v>
      </c>
      <c r="B2334" t="inlineStr">
        <is>
          <t>ZFE3</t>
        </is>
      </c>
      <c r="C2334" t="inlineStr">
        <is>
          <t>1000</t>
        </is>
      </c>
      <c r="D2334" t="inlineStr">
        <is>
          <t>M3</t>
        </is>
      </c>
      <c r="E2334" t="n">
        <v>1000</v>
      </c>
      <c r="F2334" t="inlineStr"/>
      <c r="G2334" t="n">
        <v>1409</v>
      </c>
      <c r="H2334" t="inlineStr">
        <is>
          <t>MP ARENA TRIT ANDESITA MALLA 4</t>
        </is>
      </c>
    </row>
    <row r="2335">
      <c r="A2335" t="n">
        <v>10275114</v>
      </c>
      <c r="B2335" t="inlineStr">
        <is>
          <t>ZFE3</t>
        </is>
      </c>
      <c r="C2335" t="inlineStr">
        <is>
          <t>1000</t>
        </is>
      </c>
      <c r="D2335" t="inlineStr">
        <is>
          <t>M3</t>
        </is>
      </c>
      <c r="E2335" t="n">
        <v>1000</v>
      </c>
      <c r="F2335" t="inlineStr"/>
      <c r="G2335" t="n">
        <v>1418</v>
      </c>
      <c r="H2335" t="inlineStr">
        <is>
          <t>MP ARENA CLASIF RIO MALLA 4 - LAVADO</t>
        </is>
      </c>
    </row>
    <row r="2336">
      <c r="A2336" t="n">
        <v>10275115</v>
      </c>
      <c r="B2336" t="inlineStr">
        <is>
          <t>ZFE3</t>
        </is>
      </c>
      <c r="C2336" t="inlineStr">
        <is>
          <t>1000</t>
        </is>
      </c>
      <c r="D2336" t="inlineStr">
        <is>
          <t>M3</t>
        </is>
      </c>
      <c r="E2336" t="n">
        <v>1000</v>
      </c>
      <c r="F2336" t="inlineStr"/>
      <c r="G2336" t="n">
        <v>1259</v>
      </c>
      <c r="H2336" t="inlineStr">
        <is>
          <t>MP ARENA TRIT ANDESITA MALLA 4</t>
        </is>
      </c>
    </row>
    <row r="2337">
      <c r="A2337" t="n">
        <v>10275116</v>
      </c>
      <c r="B2337" t="inlineStr">
        <is>
          <t>ZFE3</t>
        </is>
      </c>
      <c r="C2337" t="inlineStr">
        <is>
          <t>1000</t>
        </is>
      </c>
      <c r="D2337" t="inlineStr">
        <is>
          <t>M3</t>
        </is>
      </c>
      <c r="E2337" t="n">
        <v>1000</v>
      </c>
      <c r="F2337" t="inlineStr"/>
      <c r="G2337" t="n">
        <v>1401</v>
      </c>
      <c r="H2337" t="inlineStr">
        <is>
          <t>MP GRAVA TRIT ANDESITA 3/4 - 20 MM</t>
        </is>
      </c>
    </row>
    <row r="2338">
      <c r="A2338" t="n">
        <v>10275118</v>
      </c>
      <c r="B2338" t="inlineStr">
        <is>
          <t>ZFE3</t>
        </is>
      </c>
      <c r="C2338" t="inlineStr">
        <is>
          <t>1000</t>
        </is>
      </c>
      <c r="D2338" t="inlineStr">
        <is>
          <t>M3</t>
        </is>
      </c>
      <c r="E2338" t="n">
        <v>1000</v>
      </c>
      <c r="F2338" t="inlineStr"/>
      <c r="G2338" t="n">
        <v>1401</v>
      </c>
      <c r="H2338" t="inlineStr">
        <is>
          <t>MP ARENA TRIT ANDESITA MALLA 4</t>
        </is>
      </c>
    </row>
    <row r="2339">
      <c r="A2339" t="n">
        <v>10275055</v>
      </c>
      <c r="B2339" t="inlineStr">
        <is>
          <t>ZFE3</t>
        </is>
      </c>
      <c r="C2339" t="inlineStr">
        <is>
          <t>1000</t>
        </is>
      </c>
      <c r="D2339" t="inlineStr">
        <is>
          <t>M3</t>
        </is>
      </c>
      <c r="E2339" t="n">
        <v>1000</v>
      </c>
      <c r="F2339" t="inlineStr"/>
      <c r="G2339" t="n">
        <v>1408</v>
      </c>
      <c r="H2339" t="inlineStr">
        <is>
          <t>MP GRAVA DECORATIVA TIPO 2 - NG</t>
        </is>
      </c>
    </row>
    <row r="2340">
      <c r="A2340" t="n">
        <v>10275599</v>
      </c>
      <c r="B2340" t="inlineStr">
        <is>
          <t>ZFE3</t>
        </is>
      </c>
      <c r="C2340" t="inlineStr">
        <is>
          <t>1000</t>
        </is>
      </c>
      <c r="D2340" t="inlineStr">
        <is>
          <t>M3</t>
        </is>
      </c>
      <c r="E2340" t="n">
        <v>1000</v>
      </c>
      <c r="F2340" t="inlineStr"/>
      <c r="G2340" t="n">
        <v>1480</v>
      </c>
      <c r="H2340" t="inlineStr">
        <is>
          <t>MP ARENA DE RÍO CLASIF - MALLA 4</t>
        </is>
      </c>
    </row>
    <row r="2341">
      <c r="A2341" t="n">
        <v>10275058</v>
      </c>
      <c r="B2341" t="inlineStr">
        <is>
          <t>ZFE3</t>
        </is>
      </c>
      <c r="C2341" t="inlineStr">
        <is>
          <t>1000</t>
        </is>
      </c>
      <c r="D2341" t="inlineStr">
        <is>
          <t>M3</t>
        </is>
      </c>
      <c r="E2341" t="n">
        <v>1000</v>
      </c>
      <c r="F2341" t="inlineStr"/>
      <c r="G2341" t="n">
        <v>1363</v>
      </c>
      <c r="H2341" t="inlineStr">
        <is>
          <t>MP GRAVA TRIT. BASALTO 40-4MM - 1 1/2"</t>
        </is>
      </c>
    </row>
    <row r="2342">
      <c r="A2342" t="n">
        <v>10276180</v>
      </c>
      <c r="B2342" t="inlineStr">
        <is>
          <t>ZFE3</t>
        </is>
      </c>
      <c r="C2342" t="inlineStr">
        <is>
          <t>1000</t>
        </is>
      </c>
      <c r="D2342" t="inlineStr">
        <is>
          <t>M3</t>
        </is>
      </c>
      <c r="E2342" t="n">
        <v>1000</v>
      </c>
      <c r="F2342" t="inlineStr"/>
      <c r="G2342" t="n">
        <v>1116</v>
      </c>
      <c r="H2342" t="inlineStr">
        <is>
          <t>MP GRAVA TRIT. CALIZA 13MM - 1/2"</t>
        </is>
      </c>
    </row>
    <row r="2343">
      <c r="A2343" t="n">
        <v>10276149</v>
      </c>
      <c r="B2343" t="inlineStr">
        <is>
          <t>ZFE3</t>
        </is>
      </c>
      <c r="C2343" t="inlineStr">
        <is>
          <t>1000</t>
        </is>
      </c>
      <c r="D2343" t="inlineStr">
        <is>
          <t>M3</t>
        </is>
      </c>
      <c r="E2343" t="n">
        <v>1000</v>
      </c>
      <c r="F2343" t="inlineStr"/>
      <c r="G2343" t="n">
        <v>1370</v>
      </c>
      <c r="H2343" t="inlineStr">
        <is>
          <t>MP GRAVA TRIT CALIZA 10 MM (3/8")</t>
        </is>
      </c>
    </row>
    <row r="2344">
      <c r="A2344" t="n">
        <v>10276230</v>
      </c>
      <c r="B2344" t="inlineStr">
        <is>
          <t>ZFE3</t>
        </is>
      </c>
      <c r="C2344" t="inlineStr">
        <is>
          <t>1000</t>
        </is>
      </c>
      <c r="D2344" t="inlineStr">
        <is>
          <t>M3</t>
        </is>
      </c>
      <c r="E2344" t="n">
        <v>1000</v>
      </c>
      <c r="F2344" t="inlineStr"/>
      <c r="G2344" t="n">
        <v>1402</v>
      </c>
      <c r="H2344" t="inlineStr">
        <is>
          <t>MP GRAVA TRIT CALIZA 20 MM (3/4")</t>
        </is>
      </c>
    </row>
    <row r="2345">
      <c r="A2345" t="n">
        <v>10276711</v>
      </c>
      <c r="B2345" t="inlineStr">
        <is>
          <t>ZFE3</t>
        </is>
      </c>
      <c r="C2345" t="inlineStr">
        <is>
          <t>1000</t>
        </is>
      </c>
      <c r="D2345" t="inlineStr">
        <is>
          <t>M3</t>
        </is>
      </c>
      <c r="E2345" t="n">
        <v>1000</v>
      </c>
      <c r="F2345" t="inlineStr"/>
      <c r="G2345" t="n">
        <v>1500</v>
      </c>
      <c r="H2345" t="inlineStr">
        <is>
          <t>MP ARENA TRIT ANDESITA MALLA 4 FZ</t>
        </is>
      </c>
    </row>
    <row r="2346">
      <c r="A2346" t="n">
        <v>10276713</v>
      </c>
      <c r="B2346" t="inlineStr">
        <is>
          <t>ZFE3</t>
        </is>
      </c>
      <c r="C2346" t="inlineStr">
        <is>
          <t>1000</t>
        </is>
      </c>
      <c r="D2346" t="inlineStr">
        <is>
          <t>M3</t>
        </is>
      </c>
      <c r="E2346" t="n">
        <v>1000</v>
      </c>
      <c r="F2346" t="inlineStr"/>
      <c r="G2346" t="n">
        <v>1364</v>
      </c>
      <c r="H2346" t="inlineStr">
        <is>
          <t>MP ARENA TRIT DE RÍO N° 4</t>
        </is>
      </c>
    </row>
    <row r="2347">
      <c r="A2347" t="n">
        <v>10276936</v>
      </c>
      <c r="B2347" t="inlineStr">
        <is>
          <t>ZFE3</t>
        </is>
      </c>
      <c r="C2347" t="inlineStr">
        <is>
          <t>1000</t>
        </is>
      </c>
      <c r="D2347" t="inlineStr">
        <is>
          <t>M3</t>
        </is>
      </c>
      <c r="E2347" t="n">
        <v>1000</v>
      </c>
      <c r="F2347" t="inlineStr"/>
      <c r="G2347" t="n">
        <v>1539</v>
      </c>
      <c r="H2347" t="inlineStr">
        <is>
          <t>MP GRAVA CLASIF RÍO 3/8 - 10 MM</t>
        </is>
      </c>
    </row>
    <row r="2348">
      <c r="A2348" t="n">
        <v>10276937</v>
      </c>
      <c r="B2348" t="inlineStr">
        <is>
          <t>ZFE3</t>
        </is>
      </c>
      <c r="C2348" t="inlineStr">
        <is>
          <t>1000</t>
        </is>
      </c>
      <c r="D2348" t="inlineStr">
        <is>
          <t>M3</t>
        </is>
      </c>
      <c r="E2348" t="n">
        <v>1000</v>
      </c>
      <c r="F2348" t="inlineStr"/>
      <c r="G2348" t="n">
        <v>1459</v>
      </c>
      <c r="H2348" t="inlineStr">
        <is>
          <t>MP GRAVA CLASIF RÍO 1 1/2 - 40 MM</t>
        </is>
      </c>
    </row>
    <row r="2349">
      <c r="A2349" t="n">
        <v>10277153</v>
      </c>
      <c r="B2349" t="inlineStr">
        <is>
          <t>ZFE3</t>
        </is>
      </c>
      <c r="C2349" t="inlineStr">
        <is>
          <t>1000</t>
        </is>
      </c>
      <c r="D2349" t="inlineStr">
        <is>
          <t>M3</t>
        </is>
      </c>
      <c r="E2349" t="n">
        <v>1000</v>
      </c>
      <c r="F2349" t="inlineStr"/>
      <c r="G2349" t="n">
        <v>1268</v>
      </c>
      <c r="H2349" t="inlineStr">
        <is>
          <t>MP GRAVA TRIT CALIZA 20 MM - 3/4"</t>
        </is>
      </c>
    </row>
    <row r="2350">
      <c r="A2350" t="n">
        <v>10277192</v>
      </c>
      <c r="B2350" t="inlineStr">
        <is>
          <t>ZFE3</t>
        </is>
      </c>
      <c r="C2350" t="inlineStr">
        <is>
          <t>1000</t>
        </is>
      </c>
      <c r="D2350" t="inlineStr">
        <is>
          <t>M3</t>
        </is>
      </c>
      <c r="E2350" t="n">
        <v>1000</v>
      </c>
      <c r="F2350" t="inlineStr"/>
      <c r="G2350" t="n">
        <v>1476</v>
      </c>
      <c r="H2350" t="inlineStr">
        <is>
          <t>MP GRAVA TRIT BASALTO 40 MM (1 1/2")</t>
        </is>
      </c>
    </row>
    <row r="2351">
      <c r="A2351" t="n">
        <v>10276712</v>
      </c>
      <c r="B2351" t="inlineStr">
        <is>
          <t>ZFE3</t>
        </is>
      </c>
      <c r="C2351" t="inlineStr">
        <is>
          <t>1000</t>
        </is>
      </c>
      <c r="D2351" t="inlineStr">
        <is>
          <t>M3</t>
        </is>
      </c>
      <c r="E2351" t="n">
        <v>1000</v>
      </c>
      <c r="F2351" t="inlineStr"/>
      <c r="G2351" t="n">
        <v>1274</v>
      </c>
      <c r="H2351" t="inlineStr">
        <is>
          <t>MP GRAVA TRIT BASALTO 20 MM (3/4")</t>
        </is>
      </c>
    </row>
    <row r="2352">
      <c r="A2352" t="n">
        <v>10277235</v>
      </c>
      <c r="B2352" t="inlineStr">
        <is>
          <t>ZFE3</t>
        </is>
      </c>
      <c r="C2352" t="inlineStr">
        <is>
          <t>1000</t>
        </is>
      </c>
      <c r="D2352" t="inlineStr">
        <is>
          <t>M3</t>
        </is>
      </c>
      <c r="E2352" t="n">
        <v>1000</v>
      </c>
      <c r="F2352" t="inlineStr"/>
      <c r="G2352" t="n">
        <v>1370</v>
      </c>
      <c r="H2352" t="inlineStr">
        <is>
          <t>MP GRAVA TRIT BASALTO VSI - 3/8"</t>
        </is>
      </c>
    </row>
    <row r="2353">
      <c r="A2353" t="n">
        <v>10277236</v>
      </c>
      <c r="B2353" t="inlineStr">
        <is>
          <t>ZFE3</t>
        </is>
      </c>
      <c r="C2353" t="inlineStr">
        <is>
          <t>1000</t>
        </is>
      </c>
      <c r="D2353" t="inlineStr">
        <is>
          <t>M3</t>
        </is>
      </c>
      <c r="E2353" t="n">
        <v>1000</v>
      </c>
      <c r="F2353" t="inlineStr"/>
      <c r="G2353" t="n">
        <v>1372</v>
      </c>
      <c r="H2353" t="inlineStr">
        <is>
          <t>MP GRAVA TRIT BASALTO 1 1/2"</t>
        </is>
      </c>
    </row>
    <row r="2354">
      <c r="A2354" t="n">
        <v>10277238</v>
      </c>
      <c r="B2354" t="inlineStr">
        <is>
          <t>ZFE3</t>
        </is>
      </c>
      <c r="C2354" t="inlineStr">
        <is>
          <t>1000</t>
        </is>
      </c>
      <c r="D2354" t="inlineStr">
        <is>
          <t>M3</t>
        </is>
      </c>
      <c r="E2354" t="n">
        <v>1000</v>
      </c>
      <c r="F2354" t="inlineStr"/>
      <c r="G2354" t="n">
        <v>1399</v>
      </c>
      <c r="H2354" t="inlineStr">
        <is>
          <t>MP GRAVA TRIT BASALTO VSI - 3/4"</t>
        </is>
      </c>
    </row>
    <row r="2355">
      <c r="A2355" t="n">
        <v>10277239</v>
      </c>
      <c r="B2355" t="inlineStr">
        <is>
          <t>ZFE3</t>
        </is>
      </c>
      <c r="C2355" t="inlineStr">
        <is>
          <t>1000</t>
        </is>
      </c>
      <c r="D2355" t="inlineStr">
        <is>
          <t>M3</t>
        </is>
      </c>
      <c r="E2355" t="n">
        <v>1000</v>
      </c>
      <c r="F2355" t="inlineStr"/>
      <c r="G2355" t="n">
        <v>1539</v>
      </c>
      <c r="H2355" t="inlineStr">
        <is>
          <t>MP ARENA TRIT BASALTO VSI</t>
        </is>
      </c>
    </row>
    <row r="2356">
      <c r="A2356" t="n">
        <v>10277346</v>
      </c>
      <c r="B2356" t="inlineStr">
        <is>
          <t>ZFE3</t>
        </is>
      </c>
      <c r="C2356" t="inlineStr">
        <is>
          <t>1000</t>
        </is>
      </c>
      <c r="D2356" t="inlineStr">
        <is>
          <t>M3</t>
        </is>
      </c>
      <c r="E2356" t="n">
        <v>1000</v>
      </c>
      <c r="F2356" t="inlineStr"/>
      <c r="G2356" t="n">
        <v>1246</v>
      </c>
      <c r="H2356" t="inlineStr">
        <is>
          <t>MP GRAVA TRIT. ANDESITA 10 MM - 3/8" FZ</t>
        </is>
      </c>
    </row>
    <row r="2357">
      <c r="A2357" t="n">
        <v>10277378</v>
      </c>
      <c r="B2357" t="inlineStr">
        <is>
          <t>ZFE3</t>
        </is>
      </c>
      <c r="C2357" t="inlineStr">
        <is>
          <t>1000</t>
        </is>
      </c>
      <c r="D2357" t="inlineStr">
        <is>
          <t>M3</t>
        </is>
      </c>
      <c r="E2357" t="n">
        <v>1000</v>
      </c>
      <c r="F2357" t="inlineStr"/>
      <c r="G2357" t="n">
        <v>1522</v>
      </c>
      <c r="H2357" t="inlineStr">
        <is>
          <t>MP GRAVA TRIT BASALTO 20MM - 3/4"</t>
        </is>
      </c>
    </row>
    <row r="2358">
      <c r="A2358" t="n">
        <v>10277513</v>
      </c>
      <c r="B2358" t="inlineStr">
        <is>
          <t>ZFE3</t>
        </is>
      </c>
      <c r="C2358" t="inlineStr">
        <is>
          <t>1000</t>
        </is>
      </c>
      <c r="D2358" t="inlineStr">
        <is>
          <t>M3</t>
        </is>
      </c>
      <c r="E2358" t="n">
        <v>1000</v>
      </c>
      <c r="F2358" t="inlineStr"/>
      <c r="G2358" t="n">
        <v>1398</v>
      </c>
      <c r="H2358" t="inlineStr">
        <is>
          <t>MP GRAVA ANDESITA TRIT. 3/8" - 10 MM</t>
        </is>
      </c>
    </row>
    <row r="2359">
      <c r="A2359" t="n">
        <v>10278707</v>
      </c>
      <c r="B2359" t="inlineStr">
        <is>
          <t>ZFE3</t>
        </is>
      </c>
      <c r="C2359" t="inlineStr">
        <is>
          <t>1000</t>
        </is>
      </c>
      <c r="D2359" t="inlineStr">
        <is>
          <t>M3</t>
        </is>
      </c>
      <c r="E2359" t="n">
        <v>1000</v>
      </c>
      <c r="F2359" t="inlineStr"/>
      <c r="G2359" t="n">
        <v>1558</v>
      </c>
      <c r="H2359" t="inlineStr">
        <is>
          <t>MP GRAVA DE RIO 20MM - 3/4"</t>
        </is>
      </c>
    </row>
    <row r="2360">
      <c r="A2360" t="n">
        <v>10279397</v>
      </c>
      <c r="B2360" t="inlineStr">
        <is>
          <t>ZFE3</t>
        </is>
      </c>
      <c r="C2360" t="inlineStr">
        <is>
          <t>1000</t>
        </is>
      </c>
      <c r="D2360" t="inlineStr">
        <is>
          <t>M3</t>
        </is>
      </c>
      <c r="E2360" t="n">
        <v>1000</v>
      </c>
      <c r="F2360" t="inlineStr"/>
      <c r="G2360" t="n">
        <v>1317</v>
      </c>
      <c r="H2360" t="inlineStr">
        <is>
          <t>MP GRAVA TRIT BASALTO 3/4 - 20MM</t>
        </is>
      </c>
    </row>
    <row r="2361">
      <c r="A2361" t="n">
        <v>10280049</v>
      </c>
      <c r="B2361" t="inlineStr">
        <is>
          <t>ZFE3</t>
        </is>
      </c>
      <c r="C2361" t="inlineStr">
        <is>
          <t>1000</t>
        </is>
      </c>
      <c r="D2361" t="inlineStr">
        <is>
          <t>M3</t>
        </is>
      </c>
      <c r="E2361" t="n">
        <v>1000</v>
      </c>
      <c r="F2361" t="inlineStr"/>
      <c r="G2361" t="n">
        <v>1584</v>
      </c>
      <c r="H2361" t="inlineStr">
        <is>
          <t>MP B. HID CALIZA 40% FINOS Y 60% GRUESOS</t>
        </is>
      </c>
    </row>
    <row r="2362">
      <c r="A2362" t="n">
        <v>10280365</v>
      </c>
      <c r="B2362" t="inlineStr"/>
      <c r="C2362" t="inlineStr">
        <is>
          <t>1000</t>
        </is>
      </c>
      <c r="D2362" t="inlineStr">
        <is>
          <t>M3</t>
        </is>
      </c>
      <c r="E2362" t="n">
        <v>1000</v>
      </c>
      <c r="F2362" t="inlineStr"/>
      <c r="G2362" t="n">
        <v>1274</v>
      </c>
      <c r="H2362" t="inlineStr">
        <is>
          <t>MP GRAVA BASALTO 20 MM -3/4</t>
        </is>
      </c>
    </row>
    <row r="2363">
      <c r="A2363" t="n">
        <v>10280538</v>
      </c>
      <c r="B2363" t="inlineStr">
        <is>
          <t>ZFE3</t>
        </is>
      </c>
      <c r="C2363" t="inlineStr">
        <is>
          <t>1000</t>
        </is>
      </c>
      <c r="D2363" t="inlineStr">
        <is>
          <t>M3</t>
        </is>
      </c>
      <c r="E2363" t="n">
        <v>1000</v>
      </c>
      <c r="F2363" t="inlineStr"/>
      <c r="G2363" t="n">
        <v>1262</v>
      </c>
      <c r="H2363" t="inlineStr">
        <is>
          <t>MP GRAVA TRIT BASALTO 3/8 - 10MM</t>
        </is>
      </c>
    </row>
    <row r="2364">
      <c r="A2364" t="n">
        <v>10280679</v>
      </c>
      <c r="B2364" t="inlineStr">
        <is>
          <t>ZFE3</t>
        </is>
      </c>
      <c r="C2364" t="inlineStr">
        <is>
          <t>1000</t>
        </is>
      </c>
      <c r="D2364" t="inlineStr">
        <is>
          <t>M3</t>
        </is>
      </c>
      <c r="E2364" t="n">
        <v>1000</v>
      </c>
      <c r="F2364" t="inlineStr"/>
      <c r="G2364" t="n">
        <v>1349</v>
      </c>
      <c r="H2364" t="inlineStr">
        <is>
          <t>MP GRAVA CLASIF RÍO 13MM - 1/2"</t>
        </is>
      </c>
    </row>
    <row r="2365">
      <c r="A2365" t="n">
        <v>10281171</v>
      </c>
      <c r="B2365" t="inlineStr">
        <is>
          <t>ZFE3</t>
        </is>
      </c>
      <c r="C2365" t="inlineStr">
        <is>
          <t>1000</t>
        </is>
      </c>
      <c r="D2365" t="inlineStr">
        <is>
          <t>M3</t>
        </is>
      </c>
      <c r="E2365" t="n">
        <v>1000</v>
      </c>
      <c r="F2365" t="inlineStr"/>
      <c r="G2365" t="n">
        <v>1271</v>
      </c>
      <c r="H2365" t="inlineStr">
        <is>
          <t>MP GRAVA TRIT CALIZA 10MM - 3/8"</t>
        </is>
      </c>
    </row>
    <row r="2366">
      <c r="A2366" t="n">
        <v>10281183</v>
      </c>
      <c r="B2366" t="inlineStr">
        <is>
          <t>ZFE3</t>
        </is>
      </c>
      <c r="C2366" t="inlineStr">
        <is>
          <t>1000</t>
        </is>
      </c>
      <c r="D2366" t="inlineStr">
        <is>
          <t>M3</t>
        </is>
      </c>
      <c r="E2366" t="n">
        <v>1000</v>
      </c>
      <c r="F2366" t="inlineStr"/>
      <c r="G2366" t="n">
        <v>1468</v>
      </c>
      <c r="H2366" t="inlineStr">
        <is>
          <t>MP ARENA TRIT CALIZA MALLA 4</t>
        </is>
      </c>
    </row>
    <row r="2367">
      <c r="A2367" t="n">
        <v>10281384</v>
      </c>
      <c r="B2367" t="inlineStr">
        <is>
          <t>ZFE3</t>
        </is>
      </c>
      <c r="C2367" t="inlineStr">
        <is>
          <t>1000</t>
        </is>
      </c>
      <c r="D2367" t="inlineStr">
        <is>
          <t>M3</t>
        </is>
      </c>
      <c r="E2367" t="n">
        <v>1000</v>
      </c>
      <c r="F2367" t="inlineStr"/>
      <c r="G2367" t="n">
        <v>1285</v>
      </c>
      <c r="H2367" t="inlineStr">
        <is>
          <t>MP GRAVA BASALTO 40 MM (1 1/2")</t>
        </is>
      </c>
    </row>
    <row r="2368">
      <c r="A2368" t="n">
        <v>10281379</v>
      </c>
      <c r="B2368" t="inlineStr">
        <is>
          <t>ZFE3</t>
        </is>
      </c>
      <c r="C2368" t="inlineStr">
        <is>
          <t>1000</t>
        </is>
      </c>
      <c r="D2368" t="inlineStr">
        <is>
          <t>M3</t>
        </is>
      </c>
      <c r="E2368" t="n">
        <v>1000</v>
      </c>
      <c r="F2368" t="inlineStr"/>
      <c r="G2368" t="n">
        <v>1536</v>
      </c>
      <c r="H2368" t="inlineStr">
        <is>
          <t>MP ARENA CLASIF. RÍO MALLA 4</t>
        </is>
      </c>
    </row>
    <row r="2369">
      <c r="A2369" t="n">
        <v>10281450</v>
      </c>
      <c r="B2369" t="inlineStr">
        <is>
          <t>ZFE3</t>
        </is>
      </c>
      <c r="C2369" t="inlineStr">
        <is>
          <t>1000</t>
        </is>
      </c>
      <c r="D2369" t="inlineStr">
        <is>
          <t>M3</t>
        </is>
      </c>
      <c r="E2369" t="n">
        <v>1000</v>
      </c>
      <c r="F2369" t="inlineStr"/>
      <c r="G2369" t="n">
        <v>1325</v>
      </c>
      <c r="H2369" t="inlineStr">
        <is>
          <t>MP GRAVA CLASIF. RIO 20MM - 3/4</t>
        </is>
      </c>
    </row>
    <row r="2370">
      <c r="A2370" t="n">
        <v>10281451</v>
      </c>
      <c r="B2370" t="inlineStr">
        <is>
          <t>ZFE3</t>
        </is>
      </c>
      <c r="C2370" t="inlineStr">
        <is>
          <t>1000</t>
        </is>
      </c>
      <c r="D2370" t="inlineStr">
        <is>
          <t>M3</t>
        </is>
      </c>
      <c r="E2370" t="n">
        <v>1000</v>
      </c>
      <c r="F2370" t="inlineStr"/>
      <c r="G2370" t="n">
        <v>1564</v>
      </c>
      <c r="H2370" t="inlineStr">
        <is>
          <t>MP ARENA CLASIF. RÍO MALLA 4</t>
        </is>
      </c>
    </row>
    <row r="2371">
      <c r="A2371" t="n">
        <v>10281452</v>
      </c>
      <c r="B2371" t="inlineStr">
        <is>
          <t>ZFE3</t>
        </is>
      </c>
      <c r="C2371" t="inlineStr">
        <is>
          <t>1000</t>
        </is>
      </c>
      <c r="D2371" t="inlineStr">
        <is>
          <t>M3</t>
        </is>
      </c>
      <c r="E2371" t="n">
        <v>1000</v>
      </c>
      <c r="F2371" t="inlineStr"/>
      <c r="G2371" t="n">
        <v>1427</v>
      </c>
      <c r="H2371" t="inlineStr">
        <is>
          <t>MP GRAVA CLASIF. RIO 20MM - 3/4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1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</cols>
  <sheetData>
    <row r="1">
      <c r="A1" s="3" t="inlineStr">
        <is>
          <t>Concat1</t>
        </is>
      </c>
      <c r="B1" s="3" t="inlineStr">
        <is>
          <t>Contrato_Pos</t>
        </is>
      </c>
      <c r="C1" s="3" t="inlineStr">
        <is>
          <t>Doc. Compras</t>
        </is>
      </c>
      <c r="D1" s="3" t="inlineStr">
        <is>
          <t>Pos</t>
        </is>
      </c>
      <c r="E1" s="3" t="inlineStr">
        <is>
          <t>Org.compras</t>
        </is>
      </c>
      <c r="F1" s="3" t="inlineStr">
        <is>
          <t>Grp-Compr.</t>
        </is>
      </c>
      <c r="G1" s="3" t="inlineStr">
        <is>
          <t>Ship From</t>
        </is>
      </c>
      <c r="H1" s="3" t="inlineStr">
        <is>
          <t>Nombre SF</t>
        </is>
      </c>
      <c r="I1" s="3" t="inlineStr">
        <is>
          <t>Proveedor</t>
        </is>
      </c>
      <c r="J1" s="3" t="inlineStr">
        <is>
          <t>Nombre Prov</t>
        </is>
      </c>
      <c r="K1" s="3" t="inlineStr">
        <is>
          <t>Cond. Pago</t>
        </is>
      </c>
      <c r="L1" s="3" t="inlineStr">
        <is>
          <t>Descr. Cond Pago</t>
        </is>
      </c>
      <c r="M1" s="3" t="inlineStr">
        <is>
          <t>Material</t>
        </is>
      </c>
      <c r="N1" s="3" t="inlineStr">
        <is>
          <t>Descripción</t>
        </is>
      </c>
      <c r="O1" s="3" t="inlineStr">
        <is>
          <t>Centro</t>
        </is>
      </c>
      <c r="P1" s="3" t="inlineStr">
        <is>
          <t>Descripción Centro</t>
        </is>
      </c>
      <c r="Q1" s="3" t="inlineStr">
        <is>
          <t>In.perído validez</t>
        </is>
      </c>
      <c r="R1" s="3" t="inlineStr">
        <is>
          <t>Fin perído validez</t>
        </is>
      </c>
      <c r="S1" s="3" t="inlineStr">
        <is>
          <t>Válido de</t>
        </is>
      </c>
      <c r="T1" s="3" t="inlineStr">
        <is>
          <t>Validez a</t>
        </is>
      </c>
      <c r="U1" s="3" t="inlineStr">
        <is>
          <t>Precio neto pedido</t>
        </is>
      </c>
      <c r="V1" s="3" t="inlineStr">
        <is>
          <t>Moneda</t>
        </is>
      </c>
      <c r="W1" s="3" t="inlineStr">
        <is>
          <t>UM Precio Pedido</t>
        </is>
      </c>
      <c r="X1" s="3" t="inlineStr">
        <is>
          <t>Importe Condición</t>
        </is>
      </c>
      <c r="Y1" s="3" t="inlineStr">
        <is>
          <t>Moneda KONP</t>
        </is>
      </c>
      <c r="Z1" s="3" t="inlineStr">
        <is>
          <t>UM Ctd Base</t>
        </is>
      </c>
      <c r="AA1" s="3" t="inlineStr">
        <is>
          <t>Destino</t>
        </is>
      </c>
      <c r="AB1" s="3" t="inlineStr">
        <is>
          <t>Nombre Destino</t>
        </is>
      </c>
      <c r="AC1" s="3" t="inlineStr">
        <is>
          <t>Cuenta de mayor</t>
        </is>
      </c>
      <c r="AD1" s="3" t="inlineStr">
        <is>
          <t>Centro de costo</t>
        </is>
      </c>
      <c r="AE1" s="3" t="inlineStr">
        <is>
          <t>Cond. Exp.</t>
        </is>
      </c>
      <c r="AF1" s="3" t="inlineStr">
        <is>
          <t>Descr. Cond. Exp.</t>
        </is>
      </c>
      <c r="AG1" s="3" t="inlineStr">
        <is>
          <t>Peso Vol.</t>
        </is>
      </c>
      <c r="AH1" s="3" t="inlineStr">
        <is>
          <t>UMB</t>
        </is>
      </c>
      <c r="AI1" s="3" t="inlineStr">
        <is>
          <t>Ind. Oblig. Conf. Ped.</t>
        </is>
      </c>
      <c r="AJ1" s="3" t="inlineStr">
        <is>
          <t>Ctrl-Conf.</t>
        </is>
      </c>
      <c r="AK1" s="3" t="inlineStr">
        <is>
          <t>IVA</t>
        </is>
      </c>
      <c r="AL1" s="3" t="inlineStr">
        <is>
          <t>Modif_Date</t>
        </is>
      </c>
      <c r="AM1" s="3" t="inlineStr">
        <is>
          <t>Ruta</t>
        </is>
      </c>
    </row>
    <row r="2">
      <c r="A2" t="inlineStr">
        <is>
          <t>900007611D8606738237310190637</t>
        </is>
      </c>
      <c r="B2" t="inlineStr">
        <is>
          <t>4600053981-500</t>
        </is>
      </c>
      <c r="C2" t="n">
        <v>4600053981</v>
      </c>
      <c r="D2" t="n">
        <v>500</v>
      </c>
      <c r="E2" t="inlineStr">
        <is>
          <t>MXPO</t>
        </is>
      </c>
      <c r="F2" t="inlineStr">
        <is>
          <t>MXL</t>
        </is>
      </c>
      <c r="G2" t="n">
        <v>900007611</v>
      </c>
      <c r="H2" t="inlineStr">
        <is>
          <t>SF TP-ED-GOMOSA</t>
        </is>
      </c>
      <c r="I2" t="n">
        <v>5083069</v>
      </c>
      <c r="J2" t="inlineStr">
        <is>
          <t>GOMO DESARROLLOS Y MATERIALES S DE</t>
        </is>
      </c>
      <c r="K2" t="inlineStr">
        <is>
          <t>Z09</t>
        </is>
      </c>
      <c r="L2" t="inlineStr">
        <is>
          <t>(AP) 90 Dias</t>
        </is>
      </c>
      <c r="M2" t="n">
        <v>10190637</v>
      </c>
      <c r="N2" t="inlineStr">
        <is>
          <t>GRAVA CLASIFICADA RIOLITA 20 MM (3/4")</t>
        </is>
      </c>
      <c r="O2" t="inlineStr">
        <is>
          <t>D860</t>
        </is>
      </c>
      <c r="P2" t="inlineStr">
        <is>
          <t>MX-CED. HERMOSILLO</t>
        </is>
      </c>
      <c r="Q2" t="n">
        <v>20220512</v>
      </c>
      <c r="R2" t="n">
        <v>20291231</v>
      </c>
      <c r="S2" t="n">
        <v>20260716</v>
      </c>
      <c r="T2" t="n">
        <v>20301231</v>
      </c>
      <c r="U2" t="n">
        <v>231.67</v>
      </c>
      <c r="V2" t="inlineStr">
        <is>
          <t>MXN</t>
        </is>
      </c>
      <c r="W2" t="inlineStr">
        <is>
          <t>M3</t>
        </is>
      </c>
      <c r="X2" t="n">
        <v>86.67</v>
      </c>
      <c r="Y2" t="inlineStr">
        <is>
          <t>MXN</t>
        </is>
      </c>
      <c r="Z2" t="inlineStr">
        <is>
          <t>M3</t>
        </is>
      </c>
      <c r="AA2" t="inlineStr">
        <is>
          <t>67382373</t>
        </is>
      </c>
      <c r="AB2" t="inlineStr">
        <is>
          <t>CONCRETOS BALUARTE HERMOSILLO</t>
        </is>
      </c>
      <c r="AC2" t="n">
        <v>56103637</v>
      </c>
      <c r="AD2" t="n">
        <v>6622501540</v>
      </c>
      <c r="AE2" t="n">
        <v>4</v>
      </c>
      <c r="AF2" t="inlineStr">
        <is>
          <t>ENTREGA DIRECTA</t>
        </is>
      </c>
      <c r="AG2" t="n">
        <v>1.445</v>
      </c>
      <c r="AH2" t="inlineStr">
        <is>
          <t>M3</t>
        </is>
      </c>
      <c r="AI2" t="inlineStr">
        <is>
          <t>X</t>
        </is>
      </c>
      <c r="AJ2" t="n">
        <v>4</v>
      </c>
      <c r="AK2" t="inlineStr">
        <is>
          <t>V4</t>
        </is>
      </c>
      <c r="AL2" t="n">
        <v>20260721</v>
      </c>
      <c r="AM2" t="inlineStr">
        <is>
          <t>D860-900007611-67382373-10190637-4</t>
        </is>
      </c>
    </row>
    <row r="3">
      <c r="A3" t="inlineStr">
        <is>
          <t>900007611D8606738237310052402</t>
        </is>
      </c>
      <c r="B3" t="inlineStr">
        <is>
          <t>4600053981-490</t>
        </is>
      </c>
      <c r="C3" t="n">
        <v>4600053981</v>
      </c>
      <c r="D3" t="n">
        <v>490</v>
      </c>
      <c r="E3" t="inlineStr">
        <is>
          <t>MXPO</t>
        </is>
      </c>
      <c r="F3" t="inlineStr">
        <is>
          <t>MXL</t>
        </is>
      </c>
      <c r="G3" t="n">
        <v>900007611</v>
      </c>
      <c r="H3" t="inlineStr">
        <is>
          <t>SF TP-ED-GOMOSA</t>
        </is>
      </c>
      <c r="I3" t="n">
        <v>5083069</v>
      </c>
      <c r="J3" t="inlineStr">
        <is>
          <t>GOMO DESARROLLOS Y MATERIALES S DE</t>
        </is>
      </c>
      <c r="K3" t="inlineStr">
        <is>
          <t>Z09</t>
        </is>
      </c>
      <c r="L3" t="inlineStr">
        <is>
          <t>(AP) 90 Dias</t>
        </is>
      </c>
      <c r="M3" t="n">
        <v>10052402</v>
      </c>
      <c r="N3" t="inlineStr">
        <is>
          <t>Grava Riolita 10 MM (3/8")</t>
        </is>
      </c>
      <c r="O3" t="inlineStr">
        <is>
          <t>D860</t>
        </is>
      </c>
      <c r="P3" t="inlineStr">
        <is>
          <t>MX-CED. HERMOSILLO</t>
        </is>
      </c>
      <c r="Q3" t="n">
        <v>20220512</v>
      </c>
      <c r="R3" t="n">
        <v>20291231</v>
      </c>
      <c r="S3" t="n">
        <v>20260716</v>
      </c>
      <c r="T3" t="n">
        <v>20301231</v>
      </c>
      <c r="U3" t="n">
        <v>286.67</v>
      </c>
      <c r="V3" t="inlineStr">
        <is>
          <t>MXN</t>
        </is>
      </c>
      <c r="W3" t="inlineStr">
        <is>
          <t>M3</t>
        </is>
      </c>
      <c r="X3" t="n">
        <v>86.67</v>
      </c>
      <c r="Y3" t="inlineStr">
        <is>
          <t>MXN</t>
        </is>
      </c>
      <c r="Z3" t="inlineStr">
        <is>
          <t>M3</t>
        </is>
      </c>
      <c r="AA3" t="inlineStr">
        <is>
          <t>67382373</t>
        </is>
      </c>
      <c r="AB3" t="inlineStr">
        <is>
          <t>CONCRETOS BALUARTE HERMOSILLO</t>
        </is>
      </c>
      <c r="AC3" t="n">
        <v>56103637</v>
      </c>
      <c r="AD3" t="n">
        <v>6622501540</v>
      </c>
      <c r="AE3" t="n">
        <v>4</v>
      </c>
      <c r="AF3" t="inlineStr">
        <is>
          <t>ENTREGA DIRECTA</t>
        </is>
      </c>
      <c r="AG3" t="n">
        <v>1.52</v>
      </c>
      <c r="AH3" t="inlineStr">
        <is>
          <t>M3</t>
        </is>
      </c>
      <c r="AI3" t="inlineStr">
        <is>
          <t>X</t>
        </is>
      </c>
      <c r="AJ3" t="n">
        <v>4</v>
      </c>
      <c r="AK3" t="inlineStr">
        <is>
          <t>V4</t>
        </is>
      </c>
      <c r="AL3" t="n">
        <v>20260721</v>
      </c>
      <c r="AM3" t="inlineStr">
        <is>
          <t>D860-900007611-67382373-10052402-4</t>
        </is>
      </c>
    </row>
    <row r="4">
      <c r="A4" t="inlineStr">
        <is>
          <t>900007611D8606738237310052407</t>
        </is>
      </c>
      <c r="B4" t="inlineStr">
        <is>
          <t>4600053981-510</t>
        </is>
      </c>
      <c r="C4" t="n">
        <v>4600053981</v>
      </c>
      <c r="D4" t="n">
        <v>510</v>
      </c>
      <c r="E4" t="inlineStr">
        <is>
          <t>MXPO</t>
        </is>
      </c>
      <c r="F4" t="inlineStr">
        <is>
          <t>MXL</t>
        </is>
      </c>
      <c r="G4" t="n">
        <v>900007611</v>
      </c>
      <c r="H4" t="inlineStr">
        <is>
          <t>SF TP-ED-GOMOSA</t>
        </is>
      </c>
      <c r="I4" t="n">
        <v>5083069</v>
      </c>
      <c r="J4" t="inlineStr">
        <is>
          <t>GOMO DESARROLLOS Y MATERIALES S DE</t>
        </is>
      </c>
      <c r="K4" t="inlineStr">
        <is>
          <t>Z09</t>
        </is>
      </c>
      <c r="L4" t="inlineStr">
        <is>
          <t>(AP) 90 Dias</t>
        </is>
      </c>
      <c r="M4" t="n">
        <v>10052407</v>
      </c>
      <c r="N4" t="inlineStr">
        <is>
          <t>Arena Triturada Rio Malla 4</t>
        </is>
      </c>
      <c r="O4" t="inlineStr">
        <is>
          <t>D860</t>
        </is>
      </c>
      <c r="P4" t="inlineStr">
        <is>
          <t>MX-CED. HERMOSILLO</t>
        </is>
      </c>
      <c r="Q4" t="n">
        <v>20220512</v>
      </c>
      <c r="R4" t="n">
        <v>20291231</v>
      </c>
      <c r="S4" t="n">
        <v>20260716</v>
      </c>
      <c r="T4" t="n">
        <v>20301231</v>
      </c>
      <c r="U4" t="n">
        <v>216.67</v>
      </c>
      <c r="V4" t="inlineStr">
        <is>
          <t>MXN</t>
        </is>
      </c>
      <c r="W4" t="inlineStr">
        <is>
          <t>M3</t>
        </is>
      </c>
      <c r="X4" t="n">
        <v>86.67</v>
      </c>
      <c r="Y4" t="inlineStr">
        <is>
          <t>MXN</t>
        </is>
      </c>
      <c r="Z4" t="inlineStr">
        <is>
          <t>M3</t>
        </is>
      </c>
      <c r="AA4" t="inlineStr">
        <is>
          <t>67382373</t>
        </is>
      </c>
      <c r="AB4" t="inlineStr">
        <is>
          <t>CONCRETOS BALUARTE HERMOSILLO</t>
        </is>
      </c>
      <c r="AC4" t="n">
        <v>56103638</v>
      </c>
      <c r="AD4" t="n">
        <v>6622501540</v>
      </c>
      <c r="AE4" t="n">
        <v>4</v>
      </c>
      <c r="AF4" t="inlineStr">
        <is>
          <t>ENTREGA DIRECTA</t>
        </is>
      </c>
      <c r="AG4" t="n">
        <v>1.51</v>
      </c>
      <c r="AH4" t="inlineStr">
        <is>
          <t>M3</t>
        </is>
      </c>
      <c r="AI4" t="inlineStr">
        <is>
          <t>X</t>
        </is>
      </c>
      <c r="AJ4" t="n">
        <v>4</v>
      </c>
      <c r="AK4" t="inlineStr">
        <is>
          <t>V4</t>
        </is>
      </c>
      <c r="AL4" t="n">
        <v>20260721</v>
      </c>
      <c r="AM4" t="inlineStr">
        <is>
          <t>D860-900007611-67382373-10052407-4</t>
        </is>
      </c>
    </row>
    <row r="5">
      <c r="A5" t="inlineStr">
        <is>
          <t>900007611D8606711881910052405</t>
        </is>
      </c>
      <c r="B5" t="inlineStr">
        <is>
          <t>4600053981-330</t>
        </is>
      </c>
      <c r="C5" t="n">
        <v>4600053981</v>
      </c>
      <c r="D5" t="n">
        <v>330</v>
      </c>
      <c r="E5" t="inlineStr">
        <is>
          <t>MXPO</t>
        </is>
      </c>
      <c r="F5" t="inlineStr">
        <is>
          <t>MXL</t>
        </is>
      </c>
      <c r="G5" t="n">
        <v>900007611</v>
      </c>
      <c r="H5" t="inlineStr">
        <is>
          <t>SF TP-ED-GOMOSA</t>
        </is>
      </c>
      <c r="I5" t="n">
        <v>5083069</v>
      </c>
      <c r="J5" t="inlineStr">
        <is>
          <t>GOMO DESARROLLOS Y MATERIALES S DE</t>
        </is>
      </c>
      <c r="K5" t="inlineStr">
        <is>
          <t>Z09</t>
        </is>
      </c>
      <c r="L5" t="inlineStr">
        <is>
          <t>(AP) 90 Dias</t>
        </is>
      </c>
      <c r="M5" t="n">
        <v>10052405</v>
      </c>
      <c r="N5" t="inlineStr">
        <is>
          <t>Grava Riolita 40 MM (1 1/2")</t>
        </is>
      </c>
      <c r="O5" t="inlineStr">
        <is>
          <t>D860</t>
        </is>
      </c>
      <c r="P5" t="inlineStr">
        <is>
          <t>MX-CED. HERMOSILLO</t>
        </is>
      </c>
      <c r="Q5" t="n">
        <v>20220512</v>
      </c>
      <c r="R5" t="n">
        <v>20291231</v>
      </c>
      <c r="S5" t="n">
        <v>20240528</v>
      </c>
      <c r="T5" t="n">
        <v>20291231</v>
      </c>
      <c r="U5" t="n">
        <v>226.66</v>
      </c>
      <c r="V5" t="inlineStr">
        <is>
          <t>MXN</t>
        </is>
      </c>
      <c r="W5" t="inlineStr">
        <is>
          <t>M3</t>
        </is>
      </c>
      <c r="X5" t="n">
        <v>106.66</v>
      </c>
      <c r="Y5" t="inlineStr">
        <is>
          <t>MXN</t>
        </is>
      </c>
      <c r="Z5" t="inlineStr">
        <is>
          <t>M3</t>
        </is>
      </c>
      <c r="AA5" t="inlineStr">
        <is>
          <t>67118819</t>
        </is>
      </c>
      <c r="AB5" t="inlineStr">
        <is>
          <t>GIDERENO SONORA (MEZTA)</t>
        </is>
      </c>
      <c r="AC5" t="n">
        <v>56103637</v>
      </c>
      <c r="AD5" t="n">
        <v>6622501540</v>
      </c>
      <c r="AE5" t="n">
        <v>4</v>
      </c>
      <c r="AF5" t="inlineStr">
        <is>
          <t>ENTREGA DIRECTA</t>
        </is>
      </c>
      <c r="AG5" t="n">
        <v>1.48</v>
      </c>
      <c r="AH5" t="inlineStr">
        <is>
          <t>M3</t>
        </is>
      </c>
      <c r="AI5" t="inlineStr">
        <is>
          <t>X</t>
        </is>
      </c>
      <c r="AJ5" t="n">
        <v>4</v>
      </c>
      <c r="AK5" t="inlineStr">
        <is>
          <t>V4</t>
        </is>
      </c>
      <c r="AL5" t="n">
        <v>20240531</v>
      </c>
      <c r="AM5" t="inlineStr">
        <is>
          <t>D860-900007611-67118819-10052405-4</t>
        </is>
      </c>
    </row>
    <row r="6">
      <c r="A6" t="inlineStr">
        <is>
          <t>900007611D8606711881910052404</t>
        </is>
      </c>
      <c r="B6" t="inlineStr">
        <is>
          <t>4600053981-340</t>
        </is>
      </c>
      <c r="C6" t="n">
        <v>4600053981</v>
      </c>
      <c r="D6" t="n">
        <v>340</v>
      </c>
      <c r="E6" t="inlineStr">
        <is>
          <t>MXPO</t>
        </is>
      </c>
      <c r="F6" t="inlineStr">
        <is>
          <t>MXL</t>
        </is>
      </c>
      <c r="G6" t="n">
        <v>900007611</v>
      </c>
      <c r="H6" t="inlineStr">
        <is>
          <t>SF TP-ED-GOMOSA</t>
        </is>
      </c>
      <c r="I6" t="n">
        <v>5083069</v>
      </c>
      <c r="J6" t="inlineStr">
        <is>
          <t>GOMO DESARROLLOS Y MATERIALES S DE</t>
        </is>
      </c>
      <c r="K6" t="inlineStr">
        <is>
          <t>Z09</t>
        </is>
      </c>
      <c r="L6" t="inlineStr">
        <is>
          <t>(AP) 90 Dias</t>
        </is>
      </c>
      <c r="M6" t="n">
        <v>10052404</v>
      </c>
      <c r="N6" t="inlineStr">
        <is>
          <t>Grava Riolita 20 MM (3/4")</t>
        </is>
      </c>
      <c r="O6" t="inlineStr">
        <is>
          <t>D860</t>
        </is>
      </c>
      <c r="P6" t="inlineStr">
        <is>
          <t>MX-CED. HERMOSILLO</t>
        </is>
      </c>
      <c r="Q6" t="n">
        <v>20220512</v>
      </c>
      <c r="R6" t="n">
        <v>20291231</v>
      </c>
      <c r="S6" t="n">
        <v>20240528</v>
      </c>
      <c r="T6" t="n">
        <v>20291231</v>
      </c>
      <c r="U6" t="n">
        <v>229.66</v>
      </c>
      <c r="V6" t="inlineStr">
        <is>
          <t>MXN</t>
        </is>
      </c>
      <c r="W6" t="inlineStr">
        <is>
          <t>M3</t>
        </is>
      </c>
      <c r="X6" t="n">
        <v>106.66</v>
      </c>
      <c r="Y6" t="inlineStr">
        <is>
          <t>MXN</t>
        </is>
      </c>
      <c r="Z6" t="inlineStr">
        <is>
          <t>M3</t>
        </is>
      </c>
      <c r="AA6" t="inlineStr">
        <is>
          <t>67118819</t>
        </is>
      </c>
      <c r="AB6" t="inlineStr">
        <is>
          <t>GIDERENO SONORA (MEZTA)</t>
        </is>
      </c>
      <c r="AC6" t="n">
        <v>56103637</v>
      </c>
      <c r="AD6" t="n">
        <v>6622501540</v>
      </c>
      <c r="AE6" t="n">
        <v>4</v>
      </c>
      <c r="AF6" t="inlineStr">
        <is>
          <t>ENTREGA DIRECTA</t>
        </is>
      </c>
      <c r="AG6" t="n">
        <v>1.445</v>
      </c>
      <c r="AH6" t="inlineStr">
        <is>
          <t>M3</t>
        </is>
      </c>
      <c r="AI6" t="inlineStr">
        <is>
          <t>X</t>
        </is>
      </c>
      <c r="AJ6" t="n">
        <v>4</v>
      </c>
      <c r="AK6" t="inlineStr">
        <is>
          <t>V4</t>
        </is>
      </c>
      <c r="AL6" t="n">
        <v>20240531</v>
      </c>
      <c r="AM6" t="inlineStr">
        <is>
          <t>D860-900007611-67118819-10052404-4</t>
        </is>
      </c>
    </row>
    <row r="7">
      <c r="A7" t="inlineStr">
        <is>
          <t>900007611D8606654082210052407</t>
        </is>
      </c>
      <c r="B7" t="inlineStr">
        <is>
          <t>4600053981-140</t>
        </is>
      </c>
      <c r="C7" t="n">
        <v>4600053981</v>
      </c>
      <c r="D7" t="n">
        <v>140</v>
      </c>
      <c r="E7" t="inlineStr">
        <is>
          <t>MXPO</t>
        </is>
      </c>
      <c r="F7" t="inlineStr">
        <is>
          <t>MXL</t>
        </is>
      </c>
      <c r="G7" t="n">
        <v>900007611</v>
      </c>
      <c r="H7" t="inlineStr">
        <is>
          <t>SF TP-ED-GOMOSA</t>
        </is>
      </c>
      <c r="I7" t="n">
        <v>5083069</v>
      </c>
      <c r="J7" t="inlineStr">
        <is>
          <t>GOMO DESARROLLOS Y MATERIALES S DE</t>
        </is>
      </c>
      <c r="K7" t="inlineStr">
        <is>
          <t>Z09</t>
        </is>
      </c>
      <c r="L7" t="inlineStr">
        <is>
          <t>(AP) 90 Dias</t>
        </is>
      </c>
      <c r="M7" t="n">
        <v>10052407</v>
      </c>
      <c r="N7" t="inlineStr">
        <is>
          <t>Arena Triturada Rio Malla 4</t>
        </is>
      </c>
      <c r="O7" t="inlineStr">
        <is>
          <t>D860</t>
        </is>
      </c>
      <c r="P7" t="inlineStr">
        <is>
          <t>MX-CED. HERMOSILLO</t>
        </is>
      </c>
      <c r="Q7" t="n">
        <v>20220512</v>
      </c>
      <c r="R7" t="n">
        <v>20291231</v>
      </c>
      <c r="S7" t="n">
        <v>20230629</v>
      </c>
      <c r="T7" t="n">
        <v>20281231</v>
      </c>
      <c r="U7" t="n">
        <v>205</v>
      </c>
      <c r="V7" t="inlineStr">
        <is>
          <t>MXN</t>
        </is>
      </c>
      <c r="W7" t="inlineStr">
        <is>
          <t>M3</t>
        </is>
      </c>
      <c r="X7" t="n">
        <v>85</v>
      </c>
      <c r="Y7" t="inlineStr">
        <is>
          <t>MXN</t>
        </is>
      </c>
      <c r="Z7" t="inlineStr">
        <is>
          <t>M3</t>
        </is>
      </c>
      <c r="AA7" t="inlineStr">
        <is>
          <t>66540822</t>
        </is>
      </c>
      <c r="AB7" t="inlineStr">
        <is>
          <t>ALTA CALIDAD EN CONCRETOS PLANTA</t>
        </is>
      </c>
      <c r="AC7" t="n">
        <v>56103638</v>
      </c>
      <c r="AD7" t="n">
        <v>6622501540</v>
      </c>
      <c r="AE7" t="n">
        <v>4</v>
      </c>
      <c r="AF7" t="inlineStr">
        <is>
          <t>ENTREGA DIRECTA</t>
        </is>
      </c>
      <c r="AG7" t="n">
        <v>1.51</v>
      </c>
      <c r="AH7" t="inlineStr">
        <is>
          <t>M3</t>
        </is>
      </c>
      <c r="AI7" t="inlineStr">
        <is>
          <t>X</t>
        </is>
      </c>
      <c r="AJ7" t="n">
        <v>4</v>
      </c>
      <c r="AK7" t="inlineStr">
        <is>
          <t>V4</t>
        </is>
      </c>
      <c r="AL7" t="n">
        <v>20230920</v>
      </c>
      <c r="AM7" t="inlineStr">
        <is>
          <t>D860-900007611-66540822-10052407-4</t>
        </is>
      </c>
    </row>
    <row r="8">
      <c r="A8" t="inlineStr">
        <is>
          <t>900007611D8606685656210052404</t>
        </is>
      </c>
      <c r="B8" t="inlineStr">
        <is>
          <t>4600053981-380</t>
        </is>
      </c>
      <c r="C8" t="n">
        <v>4600053981</v>
      </c>
      <c r="D8" t="n">
        <v>380</v>
      </c>
      <c r="E8" t="inlineStr">
        <is>
          <t>MXPO</t>
        </is>
      </c>
      <c r="F8" t="inlineStr">
        <is>
          <t>MXL</t>
        </is>
      </c>
      <c r="G8" t="n">
        <v>900007611</v>
      </c>
      <c r="H8" t="inlineStr">
        <is>
          <t>SF TP-ED-GOMOSA</t>
        </is>
      </c>
      <c r="I8" t="n">
        <v>5083069</v>
      </c>
      <c r="J8" t="inlineStr">
        <is>
          <t>GOMO DESARROLLOS Y MATERIALES S DE</t>
        </is>
      </c>
      <c r="K8" t="inlineStr">
        <is>
          <t>Z09</t>
        </is>
      </c>
      <c r="L8" t="inlineStr">
        <is>
          <t>(AP) 90 Dias</t>
        </is>
      </c>
      <c r="M8" t="n">
        <v>10052404</v>
      </c>
      <c r="N8" t="inlineStr">
        <is>
          <t>Grava Riolita 20 MM (3/4")</t>
        </is>
      </c>
      <c r="O8" t="inlineStr">
        <is>
          <t>D860</t>
        </is>
      </c>
      <c r="P8" t="inlineStr">
        <is>
          <t>MX-CED. HERMOSILLO</t>
        </is>
      </c>
      <c r="Q8" t="n">
        <v>20220512</v>
      </c>
      <c r="R8" t="n">
        <v>20291231</v>
      </c>
      <c r="S8" t="n">
        <v>20240528</v>
      </c>
      <c r="T8" t="n">
        <v>20291231</v>
      </c>
      <c r="U8" t="n">
        <v>229.66</v>
      </c>
      <c r="V8" t="inlineStr">
        <is>
          <t>MXN</t>
        </is>
      </c>
      <c r="W8" t="inlineStr">
        <is>
          <t>M3</t>
        </is>
      </c>
      <c r="X8" t="n">
        <v>106.66</v>
      </c>
      <c r="Y8" t="inlineStr">
        <is>
          <t>MXN</t>
        </is>
      </c>
      <c r="Z8" t="inlineStr">
        <is>
          <t>M3</t>
        </is>
      </c>
      <c r="AA8" t="inlineStr">
        <is>
          <t>66856562</t>
        </is>
      </c>
      <c r="AB8" t="inlineStr">
        <is>
          <t>CONSTRUSELECT MEZTA SONORA</t>
        </is>
      </c>
      <c r="AC8" t="n">
        <v>56103637</v>
      </c>
      <c r="AD8" t="n">
        <v>6622501540</v>
      </c>
      <c r="AE8" t="n">
        <v>4</v>
      </c>
      <c r="AF8" t="inlineStr">
        <is>
          <t>ENTREGA DIRECTA</t>
        </is>
      </c>
      <c r="AG8" t="n">
        <v>1.445</v>
      </c>
      <c r="AH8" t="inlineStr">
        <is>
          <t>M3</t>
        </is>
      </c>
      <c r="AI8" t="inlineStr">
        <is>
          <t>X</t>
        </is>
      </c>
      <c r="AJ8" t="n">
        <v>4</v>
      </c>
      <c r="AK8" t="inlineStr">
        <is>
          <t>V4</t>
        </is>
      </c>
      <c r="AL8" t="n">
        <v>20240531</v>
      </c>
      <c r="AM8" t="inlineStr">
        <is>
          <t>D860-900007611-66856562-10052404-4</t>
        </is>
      </c>
    </row>
    <row r="9">
      <c r="A9" t="inlineStr">
        <is>
          <t>900007611D8606711881910052407</t>
        </is>
      </c>
      <c r="B9" t="inlineStr">
        <is>
          <t>4600053981-360</t>
        </is>
      </c>
      <c r="C9" t="n">
        <v>4600053981</v>
      </c>
      <c r="D9" t="n">
        <v>360</v>
      </c>
      <c r="E9" t="inlineStr">
        <is>
          <t>MXPO</t>
        </is>
      </c>
      <c r="F9" t="inlineStr">
        <is>
          <t>MXL</t>
        </is>
      </c>
      <c r="G9" t="n">
        <v>900007611</v>
      </c>
      <c r="H9" t="inlineStr">
        <is>
          <t>SF TP-ED-GOMOSA</t>
        </is>
      </c>
      <c r="I9" t="n">
        <v>5083069</v>
      </c>
      <c r="J9" t="inlineStr">
        <is>
          <t>GOMO DESARROLLOS Y MATERIALES S DE</t>
        </is>
      </c>
      <c r="K9" t="inlineStr">
        <is>
          <t>Z09</t>
        </is>
      </c>
      <c r="L9" t="inlineStr">
        <is>
          <t>(AP) 90 Dias</t>
        </is>
      </c>
      <c r="M9" t="n">
        <v>10052407</v>
      </c>
      <c r="N9" t="inlineStr">
        <is>
          <t>Arena Triturada Rio Malla 4</t>
        </is>
      </c>
      <c r="O9" t="inlineStr">
        <is>
          <t>D860</t>
        </is>
      </c>
      <c r="P9" t="inlineStr">
        <is>
          <t>MX-CED. HERMOSILLO</t>
        </is>
      </c>
      <c r="Q9" t="n">
        <v>20220512</v>
      </c>
      <c r="R9" t="n">
        <v>20291231</v>
      </c>
      <c r="S9" t="n">
        <v>20240528</v>
      </c>
      <c r="T9" t="n">
        <v>20291231</v>
      </c>
      <c r="U9" t="n">
        <v>218.66</v>
      </c>
      <c r="V9" t="inlineStr">
        <is>
          <t>MXN</t>
        </is>
      </c>
      <c r="W9" t="inlineStr">
        <is>
          <t>M3</t>
        </is>
      </c>
      <c r="X9" t="n">
        <v>106.66</v>
      </c>
      <c r="Y9" t="inlineStr">
        <is>
          <t>MXN</t>
        </is>
      </c>
      <c r="Z9" t="inlineStr">
        <is>
          <t>M3</t>
        </is>
      </c>
      <c r="AA9" t="inlineStr">
        <is>
          <t>67118819</t>
        </is>
      </c>
      <c r="AB9" t="inlineStr">
        <is>
          <t>GIDERENO SONORA (MEZTA)</t>
        </is>
      </c>
      <c r="AC9" t="n">
        <v>56103638</v>
      </c>
      <c r="AD9" t="n">
        <v>6622501540</v>
      </c>
      <c r="AE9" t="n">
        <v>4</v>
      </c>
      <c r="AF9" t="inlineStr">
        <is>
          <t>ENTREGA DIRECTA</t>
        </is>
      </c>
      <c r="AG9" t="n">
        <v>1.51</v>
      </c>
      <c r="AH9" t="inlineStr">
        <is>
          <t>M3</t>
        </is>
      </c>
      <c r="AI9" t="inlineStr">
        <is>
          <t>X</t>
        </is>
      </c>
      <c r="AJ9" t="n">
        <v>4</v>
      </c>
      <c r="AK9" t="inlineStr">
        <is>
          <t>V4</t>
        </is>
      </c>
      <c r="AL9" t="n">
        <v>20240531</v>
      </c>
      <c r="AM9" t="inlineStr">
        <is>
          <t>D860-900007611-67118819-10052407-4</t>
        </is>
      </c>
    </row>
    <row r="10">
      <c r="A10" t="inlineStr">
        <is>
          <t>900007611D8606685656210052402</t>
        </is>
      </c>
      <c r="B10" t="inlineStr">
        <is>
          <t>4600053981-390</t>
        </is>
      </c>
      <c r="C10" t="n">
        <v>4600053981</v>
      </c>
      <c r="D10" t="n">
        <v>390</v>
      </c>
      <c r="E10" t="inlineStr">
        <is>
          <t>MXPO</t>
        </is>
      </c>
      <c r="F10" t="inlineStr">
        <is>
          <t>MXL</t>
        </is>
      </c>
      <c r="G10" t="n">
        <v>900007611</v>
      </c>
      <c r="H10" t="inlineStr">
        <is>
          <t>SF TP-ED-GOMOSA</t>
        </is>
      </c>
      <c r="I10" t="n">
        <v>5083069</v>
      </c>
      <c r="J10" t="inlineStr">
        <is>
          <t>GOMO DESARROLLOS Y MATERIALES S DE</t>
        </is>
      </c>
      <c r="K10" t="inlineStr">
        <is>
          <t>Z09</t>
        </is>
      </c>
      <c r="L10" t="inlineStr">
        <is>
          <t>(AP) 90 Dias</t>
        </is>
      </c>
      <c r="M10" t="n">
        <v>10052402</v>
      </c>
      <c r="N10" t="inlineStr">
        <is>
          <t>Grava Riolita 10 MM (3/8")</t>
        </is>
      </c>
      <c r="O10" t="inlineStr">
        <is>
          <t>D860</t>
        </is>
      </c>
      <c r="P10" t="inlineStr">
        <is>
          <t>MX-CED. HERMOSILLO</t>
        </is>
      </c>
      <c r="Q10" t="n">
        <v>20220512</v>
      </c>
      <c r="R10" t="n">
        <v>20291231</v>
      </c>
      <c r="S10" t="n">
        <v>20240528</v>
      </c>
      <c r="T10" t="n">
        <v>20291231</v>
      </c>
      <c r="U10" t="n">
        <v>235.66</v>
      </c>
      <c r="V10" t="inlineStr">
        <is>
          <t>MXN</t>
        </is>
      </c>
      <c r="W10" t="inlineStr">
        <is>
          <t>M3</t>
        </is>
      </c>
      <c r="X10" t="n">
        <v>106.66</v>
      </c>
      <c r="Y10" t="inlineStr">
        <is>
          <t>MXN</t>
        </is>
      </c>
      <c r="Z10" t="inlineStr">
        <is>
          <t>M3</t>
        </is>
      </c>
      <c r="AA10" t="inlineStr">
        <is>
          <t>66856562</t>
        </is>
      </c>
      <c r="AB10" t="inlineStr">
        <is>
          <t>CONSTRUSELECT MEZTA SONORA</t>
        </is>
      </c>
      <c r="AC10" t="n">
        <v>56103637</v>
      </c>
      <c r="AD10" t="n">
        <v>6622501540</v>
      </c>
      <c r="AE10" t="n">
        <v>4</v>
      </c>
      <c r="AF10" t="inlineStr">
        <is>
          <t>ENTREGA DIRECTA</t>
        </is>
      </c>
      <c r="AG10" t="n">
        <v>1.52</v>
      </c>
      <c r="AH10" t="inlineStr">
        <is>
          <t>M3</t>
        </is>
      </c>
      <c r="AI10" t="inlineStr">
        <is>
          <t>X</t>
        </is>
      </c>
      <c r="AJ10" t="n">
        <v>4</v>
      </c>
      <c r="AK10" t="inlineStr">
        <is>
          <t>V4</t>
        </is>
      </c>
      <c r="AL10" t="n">
        <v>20240531</v>
      </c>
      <c r="AM10" t="inlineStr">
        <is>
          <t>D860-900007611-66856562-10052402-4</t>
        </is>
      </c>
    </row>
    <row r="11">
      <c r="A11" t="inlineStr">
        <is>
          <t>900007611D8606689613610052407</t>
        </is>
      </c>
      <c r="B11" t="inlineStr">
        <is>
          <t>4600053981-320</t>
        </is>
      </c>
      <c r="C11" t="n">
        <v>4600053981</v>
      </c>
      <c r="D11" t="n">
        <v>320</v>
      </c>
      <c r="E11" t="inlineStr">
        <is>
          <t>MXPO</t>
        </is>
      </c>
      <c r="F11" t="inlineStr">
        <is>
          <t>MXL</t>
        </is>
      </c>
      <c r="G11" t="n">
        <v>900007611</v>
      </c>
      <c r="H11" t="inlineStr">
        <is>
          <t>SF TP-ED-GOMOSA</t>
        </is>
      </c>
      <c r="I11" t="n">
        <v>5083069</v>
      </c>
      <c r="J11" t="inlineStr">
        <is>
          <t>GOMO DESARROLLOS Y MATERIALES S DE</t>
        </is>
      </c>
      <c r="K11" t="inlineStr">
        <is>
          <t>Z09</t>
        </is>
      </c>
      <c r="L11" t="inlineStr">
        <is>
          <t>(AP) 90 Dias</t>
        </is>
      </c>
      <c r="M11" t="n">
        <v>10052407</v>
      </c>
      <c r="N11" t="inlineStr">
        <is>
          <t>Arena Triturada Rio Malla 4</t>
        </is>
      </c>
      <c r="O11" t="inlineStr">
        <is>
          <t>D860</t>
        </is>
      </c>
      <c r="P11" t="inlineStr">
        <is>
          <t>MX-CED. HERMOSILLO</t>
        </is>
      </c>
      <c r="Q11" t="n">
        <v>20220512</v>
      </c>
      <c r="R11" t="n">
        <v>20291231</v>
      </c>
      <c r="S11" t="n">
        <v>20240528</v>
      </c>
      <c r="T11" t="n">
        <v>20291231</v>
      </c>
      <c r="U11" t="n">
        <v>218.66</v>
      </c>
      <c r="V11" t="inlineStr">
        <is>
          <t>MXN</t>
        </is>
      </c>
      <c r="W11" t="inlineStr">
        <is>
          <t>M3</t>
        </is>
      </c>
      <c r="X11" t="n">
        <v>106.66</v>
      </c>
      <c r="Y11" t="inlineStr">
        <is>
          <t>MXN</t>
        </is>
      </c>
      <c r="Z11" t="inlineStr">
        <is>
          <t>M3</t>
        </is>
      </c>
      <c r="AA11" t="inlineStr">
        <is>
          <t>66896136</t>
        </is>
      </c>
      <c r="AB11" t="inlineStr">
        <is>
          <t>MEZTA CORPORATIVO HERMOSILLO (AGG)</t>
        </is>
      </c>
      <c r="AC11" t="n">
        <v>56103638</v>
      </c>
      <c r="AD11" t="n">
        <v>6622501540</v>
      </c>
      <c r="AE11" t="n">
        <v>4</v>
      </c>
      <c r="AF11" t="inlineStr">
        <is>
          <t>ENTREGA DIRECTA</t>
        </is>
      </c>
      <c r="AG11" t="n">
        <v>1.51</v>
      </c>
      <c r="AH11" t="inlineStr">
        <is>
          <t>M3</t>
        </is>
      </c>
      <c r="AI11" t="inlineStr">
        <is>
          <t>X</t>
        </is>
      </c>
      <c r="AJ11" t="n">
        <v>4</v>
      </c>
      <c r="AK11" t="inlineStr">
        <is>
          <t>V4</t>
        </is>
      </c>
      <c r="AL11" t="n">
        <v>20240531</v>
      </c>
      <c r="AM11" t="inlineStr">
        <is>
          <t>D860-900007611-66896136-10052407-4</t>
        </is>
      </c>
    </row>
    <row r="12">
      <c r="A12" t="inlineStr">
        <is>
          <t>900007611D8606685656210052405</t>
        </is>
      </c>
      <c r="B12" t="inlineStr">
        <is>
          <t>4600053981-370</t>
        </is>
      </c>
      <c r="C12" t="n">
        <v>4600053981</v>
      </c>
      <c r="D12" t="n">
        <v>370</v>
      </c>
      <c r="E12" t="inlineStr">
        <is>
          <t>MXPO</t>
        </is>
      </c>
      <c r="F12" t="inlineStr">
        <is>
          <t>MXL</t>
        </is>
      </c>
      <c r="G12" t="n">
        <v>900007611</v>
      </c>
      <c r="H12" t="inlineStr">
        <is>
          <t>SF TP-ED-GOMOSA</t>
        </is>
      </c>
      <c r="I12" t="n">
        <v>5083069</v>
      </c>
      <c r="J12" t="inlineStr">
        <is>
          <t>GOMO DESARROLLOS Y MATERIALES S DE</t>
        </is>
      </c>
      <c r="K12" t="inlineStr">
        <is>
          <t>Z09</t>
        </is>
      </c>
      <c r="L12" t="inlineStr">
        <is>
          <t>(AP) 90 Dias</t>
        </is>
      </c>
      <c r="M12" t="n">
        <v>10052405</v>
      </c>
      <c r="N12" t="inlineStr">
        <is>
          <t>Grava Riolita 40 MM (1 1/2")</t>
        </is>
      </c>
      <c r="O12" t="inlineStr">
        <is>
          <t>D860</t>
        </is>
      </c>
      <c r="P12" t="inlineStr">
        <is>
          <t>MX-CED. HERMOSILLO</t>
        </is>
      </c>
      <c r="Q12" t="n">
        <v>20220512</v>
      </c>
      <c r="R12" t="n">
        <v>20291231</v>
      </c>
      <c r="S12" t="n">
        <v>20240528</v>
      </c>
      <c r="T12" t="n">
        <v>20291231</v>
      </c>
      <c r="U12" t="n">
        <v>226.66</v>
      </c>
      <c r="V12" t="inlineStr">
        <is>
          <t>MXN</t>
        </is>
      </c>
      <c r="W12" t="inlineStr">
        <is>
          <t>M3</t>
        </is>
      </c>
      <c r="X12" t="n">
        <v>106.66</v>
      </c>
      <c r="Y12" t="inlineStr">
        <is>
          <t>MXN</t>
        </is>
      </c>
      <c r="Z12" t="inlineStr">
        <is>
          <t>M3</t>
        </is>
      </c>
      <c r="AA12" t="inlineStr">
        <is>
          <t>66856562</t>
        </is>
      </c>
      <c r="AB12" t="inlineStr">
        <is>
          <t>CONSTRUSELECT MEZTA SONORA</t>
        </is>
      </c>
      <c r="AC12" t="n">
        <v>56103637</v>
      </c>
      <c r="AD12" t="n">
        <v>6622501540</v>
      </c>
      <c r="AE12" t="n">
        <v>4</v>
      </c>
      <c r="AF12" t="inlineStr">
        <is>
          <t>ENTREGA DIRECTA</t>
        </is>
      </c>
      <c r="AG12" t="n">
        <v>1.48</v>
      </c>
      <c r="AH12" t="inlineStr">
        <is>
          <t>M3</t>
        </is>
      </c>
      <c r="AI12" t="inlineStr">
        <is>
          <t>X</t>
        </is>
      </c>
      <c r="AJ12" t="n">
        <v>4</v>
      </c>
      <c r="AK12" t="inlineStr">
        <is>
          <t>V4</t>
        </is>
      </c>
      <c r="AL12" t="n">
        <v>20240531</v>
      </c>
      <c r="AM12" t="inlineStr">
        <is>
          <t>D860-900007611-66856562-10052405-4</t>
        </is>
      </c>
    </row>
    <row r="13">
      <c r="A13" t="inlineStr">
        <is>
          <t>900007611D8606685656210052407</t>
        </is>
      </c>
      <c r="B13" t="inlineStr">
        <is>
          <t>4600053981-400</t>
        </is>
      </c>
      <c r="C13" t="n">
        <v>4600053981</v>
      </c>
      <c r="D13" t="n">
        <v>400</v>
      </c>
      <c r="E13" t="inlineStr">
        <is>
          <t>MXPO</t>
        </is>
      </c>
      <c r="F13" t="inlineStr">
        <is>
          <t>MXL</t>
        </is>
      </c>
      <c r="G13" t="n">
        <v>900007611</v>
      </c>
      <c r="H13" t="inlineStr">
        <is>
          <t>SF TP-ED-GOMOSA</t>
        </is>
      </c>
      <c r="I13" t="n">
        <v>5083069</v>
      </c>
      <c r="J13" t="inlineStr">
        <is>
          <t>GOMO DESARROLLOS Y MATERIALES S DE</t>
        </is>
      </c>
      <c r="K13" t="inlineStr">
        <is>
          <t>Z09</t>
        </is>
      </c>
      <c r="L13" t="inlineStr">
        <is>
          <t>(AP) 90 Dias</t>
        </is>
      </c>
      <c r="M13" t="n">
        <v>10052407</v>
      </c>
      <c r="N13" t="inlineStr">
        <is>
          <t>Arena Triturada Rio Malla 4</t>
        </is>
      </c>
      <c r="O13" t="inlineStr">
        <is>
          <t>D860</t>
        </is>
      </c>
      <c r="P13" t="inlineStr">
        <is>
          <t>MX-CED. HERMOSILLO</t>
        </is>
      </c>
      <c r="Q13" t="n">
        <v>20220512</v>
      </c>
      <c r="R13" t="n">
        <v>20291231</v>
      </c>
      <c r="S13" t="n">
        <v>20240528</v>
      </c>
      <c r="T13" t="n">
        <v>20291231</v>
      </c>
      <c r="U13" t="n">
        <v>218.66</v>
      </c>
      <c r="V13" t="inlineStr">
        <is>
          <t>MXN</t>
        </is>
      </c>
      <c r="W13" t="inlineStr">
        <is>
          <t>M3</t>
        </is>
      </c>
      <c r="X13" t="n">
        <v>106.66</v>
      </c>
      <c r="Y13" t="inlineStr">
        <is>
          <t>MXN</t>
        </is>
      </c>
      <c r="Z13" t="inlineStr">
        <is>
          <t>M3</t>
        </is>
      </c>
      <c r="AA13" t="inlineStr">
        <is>
          <t>66856562</t>
        </is>
      </c>
      <c r="AB13" t="inlineStr">
        <is>
          <t>CONSTRUSELECT MEZTA SONORA</t>
        </is>
      </c>
      <c r="AC13" t="n">
        <v>56103638</v>
      </c>
      <c r="AD13" t="n">
        <v>6622501540</v>
      </c>
      <c r="AE13" t="n">
        <v>4</v>
      </c>
      <c r="AF13" t="inlineStr">
        <is>
          <t>ENTREGA DIRECTA</t>
        </is>
      </c>
      <c r="AG13" t="n">
        <v>1.51</v>
      </c>
      <c r="AH13" t="inlineStr">
        <is>
          <t>M3</t>
        </is>
      </c>
      <c r="AI13" t="inlineStr">
        <is>
          <t>X</t>
        </is>
      </c>
      <c r="AJ13" t="n">
        <v>4</v>
      </c>
      <c r="AK13" t="inlineStr">
        <is>
          <t>V4</t>
        </is>
      </c>
      <c r="AL13" t="n">
        <v>20240531</v>
      </c>
      <c r="AM13" t="inlineStr">
        <is>
          <t>D860-900007611-66856562-10052407-4</t>
        </is>
      </c>
    </row>
    <row r="14">
      <c r="A14" t="inlineStr">
        <is>
          <t>900007611D8606689613610052402</t>
        </is>
      </c>
      <c r="B14" t="inlineStr">
        <is>
          <t>4600053981-310</t>
        </is>
      </c>
      <c r="C14" t="n">
        <v>4600053981</v>
      </c>
      <c r="D14" t="n">
        <v>310</v>
      </c>
      <c r="E14" t="inlineStr">
        <is>
          <t>MXPO</t>
        </is>
      </c>
      <c r="F14" t="inlineStr">
        <is>
          <t>MXL</t>
        </is>
      </c>
      <c r="G14" t="n">
        <v>900007611</v>
      </c>
      <c r="H14" t="inlineStr">
        <is>
          <t>SF TP-ED-GOMOSA</t>
        </is>
      </c>
      <c r="I14" t="n">
        <v>5083069</v>
      </c>
      <c r="J14" t="inlineStr">
        <is>
          <t>GOMO DESARROLLOS Y MATERIALES S DE</t>
        </is>
      </c>
      <c r="K14" t="inlineStr">
        <is>
          <t>Z09</t>
        </is>
      </c>
      <c r="L14" t="inlineStr">
        <is>
          <t>(AP) 90 Dias</t>
        </is>
      </c>
      <c r="M14" t="n">
        <v>10052402</v>
      </c>
      <c r="N14" t="inlineStr">
        <is>
          <t>Grava Riolita 10 MM (3/8")</t>
        </is>
      </c>
      <c r="O14" t="inlineStr">
        <is>
          <t>D860</t>
        </is>
      </c>
      <c r="P14" t="inlineStr">
        <is>
          <t>MX-CED. HERMOSILLO</t>
        </is>
      </c>
      <c r="Q14" t="n">
        <v>20220512</v>
      </c>
      <c r="R14" t="n">
        <v>20291231</v>
      </c>
      <c r="S14" t="n">
        <v>20240528</v>
      </c>
      <c r="T14" t="n">
        <v>20291231</v>
      </c>
      <c r="U14" t="n">
        <v>235.66</v>
      </c>
      <c r="V14" t="inlineStr">
        <is>
          <t>MXN</t>
        </is>
      </c>
      <c r="W14" t="inlineStr">
        <is>
          <t>M3</t>
        </is>
      </c>
      <c r="X14" t="n">
        <v>106.66</v>
      </c>
      <c r="Y14" t="inlineStr">
        <is>
          <t>MXN</t>
        </is>
      </c>
      <c r="Z14" t="inlineStr">
        <is>
          <t>M3</t>
        </is>
      </c>
      <c r="AA14" t="inlineStr">
        <is>
          <t>66896136</t>
        </is>
      </c>
      <c r="AB14" t="inlineStr">
        <is>
          <t>MEZTA CORPORATIVO HERMOSILLO (AGG)</t>
        </is>
      </c>
      <c r="AC14" t="n">
        <v>56103637</v>
      </c>
      <c r="AD14" t="n">
        <v>6622501540</v>
      </c>
      <c r="AE14" t="n">
        <v>4</v>
      </c>
      <c r="AF14" t="inlineStr">
        <is>
          <t>ENTREGA DIRECTA</t>
        </is>
      </c>
      <c r="AG14" t="n">
        <v>1.52</v>
      </c>
      <c r="AH14" t="inlineStr">
        <is>
          <t>M3</t>
        </is>
      </c>
      <c r="AI14" t="inlineStr">
        <is>
          <t>X</t>
        </is>
      </c>
      <c r="AJ14" t="n">
        <v>4</v>
      </c>
      <c r="AK14" t="inlineStr">
        <is>
          <t>V4</t>
        </is>
      </c>
      <c r="AL14" t="n">
        <v>20240531</v>
      </c>
      <c r="AM14" t="inlineStr">
        <is>
          <t>D860-900007611-66896136-10052402-4</t>
        </is>
      </c>
    </row>
    <row r="15">
      <c r="A15" t="inlineStr">
        <is>
          <t>900007611D8606689613610052405</t>
        </is>
      </c>
      <c r="B15" t="inlineStr">
        <is>
          <t>4600053981-290</t>
        </is>
      </c>
      <c r="C15" t="n">
        <v>4600053981</v>
      </c>
      <c r="D15" t="n">
        <v>290</v>
      </c>
      <c r="E15" t="inlineStr">
        <is>
          <t>MXPO</t>
        </is>
      </c>
      <c r="F15" t="inlineStr">
        <is>
          <t>MXL</t>
        </is>
      </c>
      <c r="G15" t="n">
        <v>900007611</v>
      </c>
      <c r="H15" t="inlineStr">
        <is>
          <t>SF TP-ED-GOMOSA</t>
        </is>
      </c>
      <c r="I15" t="n">
        <v>5083069</v>
      </c>
      <c r="J15" t="inlineStr">
        <is>
          <t>GOMO DESARROLLOS Y MATERIALES S DE</t>
        </is>
      </c>
      <c r="K15" t="inlineStr">
        <is>
          <t>Z09</t>
        </is>
      </c>
      <c r="L15" t="inlineStr">
        <is>
          <t>(AP) 90 Dias</t>
        </is>
      </c>
      <c r="M15" t="n">
        <v>10052405</v>
      </c>
      <c r="N15" t="inlineStr">
        <is>
          <t>Grava Riolita 40 MM (1 1/2")</t>
        </is>
      </c>
      <c r="O15" t="inlineStr">
        <is>
          <t>D860</t>
        </is>
      </c>
      <c r="P15" t="inlineStr">
        <is>
          <t>MX-CED. HERMOSILLO</t>
        </is>
      </c>
      <c r="Q15" t="n">
        <v>20220512</v>
      </c>
      <c r="R15" t="n">
        <v>20291231</v>
      </c>
      <c r="S15" t="n">
        <v>20240528</v>
      </c>
      <c r="T15" t="n">
        <v>20291231</v>
      </c>
      <c r="U15" t="n">
        <v>226.66</v>
      </c>
      <c r="V15" t="inlineStr">
        <is>
          <t>MXN</t>
        </is>
      </c>
      <c r="W15" t="inlineStr">
        <is>
          <t>M3</t>
        </is>
      </c>
      <c r="X15" t="n">
        <v>106.66</v>
      </c>
      <c r="Y15" t="inlineStr">
        <is>
          <t>MXN</t>
        </is>
      </c>
      <c r="Z15" t="inlineStr">
        <is>
          <t>M3</t>
        </is>
      </c>
      <c r="AA15" t="inlineStr">
        <is>
          <t>66896136</t>
        </is>
      </c>
      <c r="AB15" t="inlineStr">
        <is>
          <t>MEZTA CORPORATIVO HERMOSILLO (AGG)</t>
        </is>
      </c>
      <c r="AC15" t="n">
        <v>56103637</v>
      </c>
      <c r="AD15" t="n">
        <v>6622501540</v>
      </c>
      <c r="AE15" t="n">
        <v>4</v>
      </c>
      <c r="AF15" t="inlineStr">
        <is>
          <t>ENTREGA DIRECTA</t>
        </is>
      </c>
      <c r="AG15" t="n">
        <v>1.48</v>
      </c>
      <c r="AH15" t="inlineStr">
        <is>
          <t>M3</t>
        </is>
      </c>
      <c r="AI15" t="inlineStr">
        <is>
          <t>X</t>
        </is>
      </c>
      <c r="AJ15" t="n">
        <v>4</v>
      </c>
      <c r="AK15" t="inlineStr">
        <is>
          <t>V4</t>
        </is>
      </c>
      <c r="AL15" t="n">
        <v>20240531</v>
      </c>
      <c r="AM15" t="inlineStr">
        <is>
          <t>D860-900007611-66896136-10052405-4</t>
        </is>
      </c>
    </row>
    <row r="16">
      <c r="A16" t="inlineStr">
        <is>
          <t>900007611D8606711881910052402</t>
        </is>
      </c>
      <c r="B16" t="inlineStr">
        <is>
          <t>4600053981-350</t>
        </is>
      </c>
      <c r="C16" t="n">
        <v>4600053981</v>
      </c>
      <c r="D16" t="n">
        <v>350</v>
      </c>
      <c r="E16" t="inlineStr">
        <is>
          <t>MXPO</t>
        </is>
      </c>
      <c r="F16" t="inlineStr">
        <is>
          <t>MXL</t>
        </is>
      </c>
      <c r="G16" t="n">
        <v>900007611</v>
      </c>
      <c r="H16" t="inlineStr">
        <is>
          <t>SF TP-ED-GOMOSA</t>
        </is>
      </c>
      <c r="I16" t="n">
        <v>5083069</v>
      </c>
      <c r="J16" t="inlineStr">
        <is>
          <t>GOMO DESARROLLOS Y MATERIALES S DE</t>
        </is>
      </c>
      <c r="K16" t="inlineStr">
        <is>
          <t>Z09</t>
        </is>
      </c>
      <c r="L16" t="inlineStr">
        <is>
          <t>(AP) 90 Dias</t>
        </is>
      </c>
      <c r="M16" t="n">
        <v>10052402</v>
      </c>
      <c r="N16" t="inlineStr">
        <is>
          <t>Grava Riolita 10 MM (3/8")</t>
        </is>
      </c>
      <c r="O16" t="inlineStr">
        <is>
          <t>D860</t>
        </is>
      </c>
      <c r="P16" t="inlineStr">
        <is>
          <t>MX-CED. HERMOSILLO</t>
        </is>
      </c>
      <c r="Q16" t="n">
        <v>20220512</v>
      </c>
      <c r="R16" t="n">
        <v>20291231</v>
      </c>
      <c r="S16" t="n">
        <v>20240528</v>
      </c>
      <c r="T16" t="n">
        <v>20291231</v>
      </c>
      <c r="U16" t="n">
        <v>235.66</v>
      </c>
      <c r="V16" t="inlineStr">
        <is>
          <t>MXN</t>
        </is>
      </c>
      <c r="W16" t="inlineStr">
        <is>
          <t>M3</t>
        </is>
      </c>
      <c r="X16" t="n">
        <v>106.66</v>
      </c>
      <c r="Y16" t="inlineStr">
        <is>
          <t>MXN</t>
        </is>
      </c>
      <c r="Z16" t="inlineStr">
        <is>
          <t>M3</t>
        </is>
      </c>
      <c r="AA16" t="inlineStr">
        <is>
          <t>67118819</t>
        </is>
      </c>
      <c r="AB16" t="inlineStr">
        <is>
          <t>GIDERENO SONORA (MEZTA)</t>
        </is>
      </c>
      <c r="AC16" t="n">
        <v>56103637</v>
      </c>
      <c r="AD16" t="n">
        <v>6622501540</v>
      </c>
      <c r="AE16" t="n">
        <v>4</v>
      </c>
      <c r="AF16" t="inlineStr">
        <is>
          <t>ENTREGA DIRECTA</t>
        </is>
      </c>
      <c r="AG16" t="n">
        <v>1.52</v>
      </c>
      <c r="AH16" t="inlineStr">
        <is>
          <t>M3</t>
        </is>
      </c>
      <c r="AI16" t="inlineStr">
        <is>
          <t>X</t>
        </is>
      </c>
      <c r="AJ16" t="n">
        <v>4</v>
      </c>
      <c r="AK16" t="inlineStr">
        <is>
          <t>V4</t>
        </is>
      </c>
      <c r="AL16" t="n">
        <v>20240531</v>
      </c>
      <c r="AM16" t="inlineStr">
        <is>
          <t>D860-900007611-67118819-10052402-4</t>
        </is>
      </c>
    </row>
    <row r="17">
      <c r="A17" t="inlineStr">
        <is>
          <t>900007611D8606689613610052404</t>
        </is>
      </c>
      <c r="B17" t="inlineStr">
        <is>
          <t>4600053981-300</t>
        </is>
      </c>
      <c r="C17" t="n">
        <v>4600053981</v>
      </c>
      <c r="D17" t="n">
        <v>300</v>
      </c>
      <c r="E17" t="inlineStr">
        <is>
          <t>MXPO</t>
        </is>
      </c>
      <c r="F17" t="inlineStr">
        <is>
          <t>MXL</t>
        </is>
      </c>
      <c r="G17" t="n">
        <v>900007611</v>
      </c>
      <c r="H17" t="inlineStr">
        <is>
          <t>SF TP-ED-GOMOSA</t>
        </is>
      </c>
      <c r="I17" t="n">
        <v>5083069</v>
      </c>
      <c r="J17" t="inlineStr">
        <is>
          <t>GOMO DESARROLLOS Y MATERIALES S DE</t>
        </is>
      </c>
      <c r="K17" t="inlineStr">
        <is>
          <t>Z09</t>
        </is>
      </c>
      <c r="L17" t="inlineStr">
        <is>
          <t>(AP) 90 Dias</t>
        </is>
      </c>
      <c r="M17" t="n">
        <v>10052404</v>
      </c>
      <c r="N17" t="inlineStr">
        <is>
          <t>Grava Riolita 20 MM (3/4")</t>
        </is>
      </c>
      <c r="O17" t="inlineStr">
        <is>
          <t>D860</t>
        </is>
      </c>
      <c r="P17" t="inlineStr">
        <is>
          <t>MX-CED. HERMOSILLO</t>
        </is>
      </c>
      <c r="Q17" t="n">
        <v>20220512</v>
      </c>
      <c r="R17" t="n">
        <v>20291231</v>
      </c>
      <c r="S17" t="n">
        <v>20240528</v>
      </c>
      <c r="T17" t="n">
        <v>20291231</v>
      </c>
      <c r="U17" t="n">
        <v>229.66</v>
      </c>
      <c r="V17" t="inlineStr">
        <is>
          <t>MXN</t>
        </is>
      </c>
      <c r="W17" t="inlineStr">
        <is>
          <t>M3</t>
        </is>
      </c>
      <c r="X17" t="n">
        <v>106.66</v>
      </c>
      <c r="Y17" t="inlineStr">
        <is>
          <t>MXN</t>
        </is>
      </c>
      <c r="Z17" t="inlineStr">
        <is>
          <t>M3</t>
        </is>
      </c>
      <c r="AA17" t="inlineStr">
        <is>
          <t>66896136</t>
        </is>
      </c>
      <c r="AB17" t="inlineStr">
        <is>
          <t>MEZTA CORPORATIVO HERMOSILLO (AGG)</t>
        </is>
      </c>
      <c r="AC17" t="n">
        <v>56103637</v>
      </c>
      <c r="AD17" t="n">
        <v>6622501540</v>
      </c>
      <c r="AE17" t="n">
        <v>4</v>
      </c>
      <c r="AF17" t="inlineStr">
        <is>
          <t>ENTREGA DIRECTA</t>
        </is>
      </c>
      <c r="AG17" t="n">
        <v>1.445</v>
      </c>
      <c r="AH17" t="inlineStr">
        <is>
          <t>M3</t>
        </is>
      </c>
      <c r="AI17" t="inlineStr">
        <is>
          <t>X</t>
        </is>
      </c>
      <c r="AJ17" t="n">
        <v>4</v>
      </c>
      <c r="AK17" t="inlineStr">
        <is>
          <t>V4</t>
        </is>
      </c>
      <c r="AL17" t="n">
        <v>20240531</v>
      </c>
      <c r="AM17" t="inlineStr">
        <is>
          <t>D860-900007611-66896136-10052404-4</t>
        </is>
      </c>
    </row>
    <row r="18">
      <c r="A18" t="inlineStr">
        <is>
          <t>900005375D86010052402</t>
        </is>
      </c>
      <c r="B18" t="inlineStr">
        <is>
          <t>4600039662-30</t>
        </is>
      </c>
      <c r="C18" t="n">
        <v>4600039662</v>
      </c>
      <c r="D18" t="n">
        <v>30</v>
      </c>
      <c r="E18" t="inlineStr">
        <is>
          <t>MXPO</t>
        </is>
      </c>
      <c r="F18" t="inlineStr">
        <is>
          <t>MXL</t>
        </is>
      </c>
      <c r="G18" t="n">
        <v>900005375</v>
      </c>
      <c r="H18" t="inlineStr">
        <is>
          <t>SF TP- PROPESO</t>
        </is>
      </c>
      <c r="I18" t="n">
        <v>5001601</v>
      </c>
      <c r="J18" t="inlineStr">
        <is>
          <t>PRODUCTOS PETREOS DE SONORA SA DE</t>
        </is>
      </c>
      <c r="K18" t="inlineStr">
        <is>
          <t>Z03</t>
        </is>
      </c>
      <c r="L18" t="inlineStr">
        <is>
          <t>(AP) 15 Dias</t>
        </is>
      </c>
      <c r="M18" t="n">
        <v>10052402</v>
      </c>
      <c r="N18" t="inlineStr">
        <is>
          <t>Grava Riolita 10 MM (3/8")</t>
        </is>
      </c>
      <c r="O18" t="inlineStr">
        <is>
          <t>D860</t>
        </is>
      </c>
      <c r="P18" t="inlineStr">
        <is>
          <t>MX-CED. HERMOSILLO</t>
        </is>
      </c>
      <c r="Q18" t="n">
        <v>20170906</v>
      </c>
      <c r="R18" t="n">
        <v>20261231</v>
      </c>
      <c r="S18" t="n">
        <v>20250502</v>
      </c>
      <c r="T18" t="n">
        <v>20301231</v>
      </c>
      <c r="U18" t="n">
        <v>188.6</v>
      </c>
      <c r="V18" t="inlineStr">
        <is>
          <t>MXN</t>
        </is>
      </c>
      <c r="W18" t="inlineStr">
        <is>
          <t>M3</t>
        </is>
      </c>
      <c r="X18" t="n">
        <v>0</v>
      </c>
      <c r="Y18" t="inlineStr">
        <is>
          <t>MXN</t>
        </is>
      </c>
      <c r="Z18" t="inlineStr">
        <is>
          <t>M3</t>
        </is>
      </c>
      <c r="AC18" t="n">
        <v>56103637</v>
      </c>
      <c r="AD18" t="n">
        <v>6622501540</v>
      </c>
      <c r="AE18" t="n">
        <v>1</v>
      </c>
      <c r="AF18" t="inlineStr">
        <is>
          <t>ENTREGADO</t>
        </is>
      </c>
      <c r="AG18" t="n">
        <v>1.52</v>
      </c>
      <c r="AH18" t="inlineStr">
        <is>
          <t>M3</t>
        </is>
      </c>
      <c r="AI18" t="inlineStr">
        <is>
          <t>X</t>
        </is>
      </c>
      <c r="AJ18" t="n">
        <v>4</v>
      </c>
      <c r="AK18" t="inlineStr">
        <is>
          <t>V4</t>
        </is>
      </c>
      <c r="AL18" t="n">
        <v>20250502</v>
      </c>
      <c r="AM18" t="inlineStr">
        <is>
          <t>D860-900005375-10052402</t>
        </is>
      </c>
    </row>
    <row r="19">
      <c r="A19" t="inlineStr">
        <is>
          <t>900005375D86010190637</t>
        </is>
      </c>
      <c r="B19" t="inlineStr">
        <is>
          <t>4600039662-80</t>
        </is>
      </c>
      <c r="C19" t="n">
        <v>4600039662</v>
      </c>
      <c r="D19" t="n">
        <v>80</v>
      </c>
      <c r="E19" t="inlineStr">
        <is>
          <t>MXPO</t>
        </is>
      </c>
      <c r="F19" t="inlineStr">
        <is>
          <t>MXL</t>
        </is>
      </c>
      <c r="G19" t="n">
        <v>900005375</v>
      </c>
      <c r="H19" t="inlineStr">
        <is>
          <t>SF TP- PROPESO</t>
        </is>
      </c>
      <c r="I19" t="n">
        <v>5001601</v>
      </c>
      <c r="J19" t="inlineStr">
        <is>
          <t>PRODUCTOS PETREOS DE SONORA SA DE</t>
        </is>
      </c>
      <c r="K19" t="inlineStr">
        <is>
          <t>Z03</t>
        </is>
      </c>
      <c r="L19" t="inlineStr">
        <is>
          <t>(AP) 15 Dias</t>
        </is>
      </c>
      <c r="M19" t="n">
        <v>10190637</v>
      </c>
      <c r="N19" t="inlineStr">
        <is>
          <t>GRAVA CLASIFICADA RIOLITA 20 MM (3/4")</t>
        </is>
      </c>
      <c r="O19" t="inlineStr">
        <is>
          <t>D860</t>
        </is>
      </c>
      <c r="P19" t="inlineStr">
        <is>
          <t>MX-CED. HERMOSILLO</t>
        </is>
      </c>
      <c r="Q19" t="n">
        <v>20170906</v>
      </c>
      <c r="R19" t="n">
        <v>20261231</v>
      </c>
      <c r="S19" t="n">
        <v>20250502</v>
      </c>
      <c r="T19" t="n">
        <v>20301231</v>
      </c>
      <c r="U19" t="n">
        <v>120</v>
      </c>
      <c r="V19" t="inlineStr">
        <is>
          <t>MXN</t>
        </is>
      </c>
      <c r="W19" t="inlineStr">
        <is>
          <t>M3</t>
        </is>
      </c>
      <c r="X19" t="n">
        <v>0</v>
      </c>
      <c r="Y19" t="inlineStr">
        <is>
          <t>MXN</t>
        </is>
      </c>
      <c r="Z19" t="inlineStr">
        <is>
          <t>M3</t>
        </is>
      </c>
      <c r="AC19" t="n">
        <v>56103637</v>
      </c>
      <c r="AD19" t="n">
        <v>6622501540</v>
      </c>
      <c r="AE19" t="n">
        <v>1</v>
      </c>
      <c r="AF19" t="inlineStr">
        <is>
          <t>ENTREGADO</t>
        </is>
      </c>
      <c r="AG19" t="n">
        <v>1.445</v>
      </c>
      <c r="AH19" t="inlineStr">
        <is>
          <t>M3</t>
        </is>
      </c>
      <c r="AI19" t="inlineStr">
        <is>
          <t>X</t>
        </is>
      </c>
      <c r="AJ19" t="n">
        <v>4</v>
      </c>
      <c r="AK19" t="inlineStr">
        <is>
          <t>V4</t>
        </is>
      </c>
      <c r="AL19" t="n">
        <v>20250502</v>
      </c>
      <c r="AM19" t="inlineStr">
        <is>
          <t>D860-900005375-10190637</t>
        </is>
      </c>
    </row>
    <row r="20">
      <c r="A20" t="inlineStr">
        <is>
          <t>900005375D86010052405</t>
        </is>
      </c>
      <c r="B20" t="inlineStr">
        <is>
          <t>4600039662-10</t>
        </is>
      </c>
      <c r="C20" t="n">
        <v>4600039662</v>
      </c>
      <c r="D20" t="n">
        <v>10</v>
      </c>
      <c r="E20" t="inlineStr">
        <is>
          <t>MXPO</t>
        </is>
      </c>
      <c r="F20" t="inlineStr">
        <is>
          <t>MXL</t>
        </is>
      </c>
      <c r="G20" t="n">
        <v>900005375</v>
      </c>
      <c r="H20" t="inlineStr">
        <is>
          <t>SF TP- PROPESO</t>
        </is>
      </c>
      <c r="I20" t="n">
        <v>5001601</v>
      </c>
      <c r="J20" t="inlineStr">
        <is>
          <t>PRODUCTOS PETREOS DE SONORA SA DE</t>
        </is>
      </c>
      <c r="K20" t="inlineStr">
        <is>
          <t>Z03</t>
        </is>
      </c>
      <c r="L20" t="inlineStr">
        <is>
          <t>(AP) 15 Dias</t>
        </is>
      </c>
      <c r="M20" t="n">
        <v>10052405</v>
      </c>
      <c r="N20" t="inlineStr">
        <is>
          <t>Grava Riolita 40 MM (1 1/2")</t>
        </is>
      </c>
      <c r="O20" t="inlineStr">
        <is>
          <t>D860</t>
        </is>
      </c>
      <c r="P20" t="inlineStr">
        <is>
          <t>MX-CED. HERMOSILLO</t>
        </is>
      </c>
      <c r="Q20" t="n">
        <v>20170906</v>
      </c>
      <c r="R20" t="n">
        <v>20261231</v>
      </c>
      <c r="S20" t="n">
        <v>20250502</v>
      </c>
      <c r="T20" t="n">
        <v>20301231</v>
      </c>
      <c r="U20" t="n">
        <v>110</v>
      </c>
      <c r="V20" t="inlineStr">
        <is>
          <t>MXN</t>
        </is>
      </c>
      <c r="W20" t="inlineStr">
        <is>
          <t>M3</t>
        </is>
      </c>
      <c r="X20" t="n">
        <v>0</v>
      </c>
      <c r="Y20" t="inlineStr">
        <is>
          <t>MXN</t>
        </is>
      </c>
      <c r="Z20" t="inlineStr">
        <is>
          <t>M3</t>
        </is>
      </c>
      <c r="AC20" t="n">
        <v>56103637</v>
      </c>
      <c r="AD20" t="n">
        <v>6622501540</v>
      </c>
      <c r="AE20" t="n">
        <v>1</v>
      </c>
      <c r="AF20" t="inlineStr">
        <is>
          <t>ENTREGADO</t>
        </is>
      </c>
      <c r="AG20" t="n">
        <v>1.48</v>
      </c>
      <c r="AH20" t="inlineStr">
        <is>
          <t>M3</t>
        </is>
      </c>
      <c r="AI20" t="inlineStr">
        <is>
          <t>X</t>
        </is>
      </c>
      <c r="AJ20" t="n">
        <v>4</v>
      </c>
      <c r="AK20" t="inlineStr">
        <is>
          <t>V4</t>
        </is>
      </c>
      <c r="AL20" t="n">
        <v>20250502</v>
      </c>
      <c r="AM20" t="inlineStr">
        <is>
          <t>D860-900005375-10052405</t>
        </is>
      </c>
    </row>
    <row r="21">
      <c r="A21" t="inlineStr">
        <is>
          <t>900005572D8606678354810190637</t>
        </is>
      </c>
      <c r="B21" t="inlineStr">
        <is>
          <t>4600041494-550</t>
        </is>
      </c>
      <c r="C21" t="n">
        <v>4600041494</v>
      </c>
      <c r="D21" t="n">
        <v>550</v>
      </c>
      <c r="E21" t="inlineStr">
        <is>
          <t>MXPO</t>
        </is>
      </c>
      <c r="F21" t="inlineStr">
        <is>
          <t>MXL</t>
        </is>
      </c>
      <c r="G21" t="n">
        <v>900005572</v>
      </c>
      <c r="H21" t="inlineStr">
        <is>
          <t>TP- ED- PROPESO</t>
        </is>
      </c>
      <c r="I21" t="n">
        <v>5001601</v>
      </c>
      <c r="J21" t="inlineStr">
        <is>
          <t>PRODUCTOS PETREOS DE SONORA SA DE</t>
        </is>
      </c>
      <c r="K21" t="inlineStr">
        <is>
          <t>Z03</t>
        </is>
      </c>
      <c r="L21" t="inlineStr">
        <is>
          <t>(AP) 15 Dias</t>
        </is>
      </c>
      <c r="M21" t="n">
        <v>10190637</v>
      </c>
      <c r="N21" t="inlineStr">
        <is>
          <t>GRAVA CLASIFICADA RIOLITA 20 MM (3/4")</t>
        </is>
      </c>
      <c r="O21" t="inlineStr">
        <is>
          <t>D860</t>
        </is>
      </c>
      <c r="P21" t="inlineStr">
        <is>
          <t>MX-CED. HERMOSILLO</t>
        </is>
      </c>
      <c r="Q21" t="n">
        <v>20180308</v>
      </c>
      <c r="R21" t="n">
        <v>20281231</v>
      </c>
      <c r="U21" t="n">
        <v>208</v>
      </c>
      <c r="V21" t="inlineStr">
        <is>
          <t>MXN</t>
        </is>
      </c>
      <c r="W21" t="inlineStr">
        <is>
          <t>M3</t>
        </is>
      </c>
      <c r="AA21" t="inlineStr">
        <is>
          <t>66783548</t>
        </is>
      </c>
      <c r="AB21" t="inlineStr">
        <is>
          <t>BODEGA AURRERA BLVD MUSARO (EIAA)</t>
        </is>
      </c>
      <c r="AC21" t="n">
        <v>56103637</v>
      </c>
      <c r="AD21" t="n">
        <v>6622501540</v>
      </c>
      <c r="AE21" t="n">
        <v>4</v>
      </c>
      <c r="AF21" t="inlineStr">
        <is>
          <t>ENTREGA DIRECTA</t>
        </is>
      </c>
      <c r="AG21" t="n">
        <v>1.445</v>
      </c>
      <c r="AH21" t="inlineStr">
        <is>
          <t>M3</t>
        </is>
      </c>
      <c r="AI21" t="inlineStr">
        <is>
          <t>X</t>
        </is>
      </c>
      <c r="AJ21" t="n">
        <v>4</v>
      </c>
      <c r="AK21" t="inlineStr">
        <is>
          <t>V4</t>
        </is>
      </c>
      <c r="AL21" t="n">
        <v>20230920</v>
      </c>
      <c r="AM21" t="inlineStr">
        <is>
          <t>D860-900005572-66783548-10190637-4</t>
        </is>
      </c>
    </row>
    <row r="22">
      <c r="A22" t="inlineStr">
        <is>
          <t>900005572D8606590741210190637</t>
        </is>
      </c>
      <c r="B22" t="inlineStr">
        <is>
          <t>4600041494-500</t>
        </is>
      </c>
      <c r="C22" t="n">
        <v>4600041494</v>
      </c>
      <c r="D22" t="n">
        <v>500</v>
      </c>
      <c r="E22" t="inlineStr">
        <is>
          <t>MXPO</t>
        </is>
      </c>
      <c r="F22" t="inlineStr">
        <is>
          <t>MXL</t>
        </is>
      </c>
      <c r="G22" t="n">
        <v>900005572</v>
      </c>
      <c r="H22" t="inlineStr">
        <is>
          <t>TP- ED- PROPESO</t>
        </is>
      </c>
      <c r="I22" t="n">
        <v>5001601</v>
      </c>
      <c r="J22" t="inlineStr">
        <is>
          <t>PRODUCTOS PETREOS DE SONORA SA DE</t>
        </is>
      </c>
      <c r="K22" t="inlineStr">
        <is>
          <t>Z03</t>
        </is>
      </c>
      <c r="L22" t="inlineStr">
        <is>
          <t>(AP) 15 Dias</t>
        </is>
      </c>
      <c r="M22" t="n">
        <v>10190637</v>
      </c>
      <c r="N22" t="inlineStr">
        <is>
          <t>GRAVA CLASIFICADA RIOLITA 20 MM (3/4")</t>
        </is>
      </c>
      <c r="O22" t="inlineStr">
        <is>
          <t>D860</t>
        </is>
      </c>
      <c r="P22" t="inlineStr">
        <is>
          <t>MX-CED. HERMOSILLO</t>
        </is>
      </c>
      <c r="Q22" t="n">
        <v>20180308</v>
      </c>
      <c r="R22" t="n">
        <v>20281231</v>
      </c>
      <c r="U22" t="n">
        <v>242.94</v>
      </c>
      <c r="V22" t="inlineStr">
        <is>
          <t>MXN</t>
        </is>
      </c>
      <c r="W22" t="inlineStr">
        <is>
          <t>M3</t>
        </is>
      </c>
      <c r="AA22" t="inlineStr">
        <is>
          <t>65907412</t>
        </is>
      </c>
      <c r="AB22" t="inlineStr">
        <is>
          <t>VTL URBANIZACIONES MEZAMEX</t>
        </is>
      </c>
      <c r="AC22" t="n">
        <v>56103637</v>
      </c>
      <c r="AD22" t="n">
        <v>6622501540</v>
      </c>
      <c r="AE22" t="n">
        <v>4</v>
      </c>
      <c r="AF22" t="inlineStr">
        <is>
          <t>ENTREGA DIRECTA</t>
        </is>
      </c>
      <c r="AG22" t="n">
        <v>1.445</v>
      </c>
      <c r="AH22" t="inlineStr">
        <is>
          <t>M3</t>
        </is>
      </c>
      <c r="AI22" t="inlineStr">
        <is>
          <t>X</t>
        </is>
      </c>
      <c r="AJ22" t="n">
        <v>4</v>
      </c>
      <c r="AK22" t="inlineStr">
        <is>
          <t>V4</t>
        </is>
      </c>
      <c r="AL22" t="n">
        <v>20230920</v>
      </c>
      <c r="AM22" t="inlineStr">
        <is>
          <t>D860-900005572-65907412-10190637-4</t>
        </is>
      </c>
    </row>
    <row r="23">
      <c r="A23" t="inlineStr">
        <is>
          <t>900003456D86010190637</t>
        </is>
      </c>
      <c r="B23" t="inlineStr">
        <is>
          <t>4600046484-30</t>
        </is>
      </c>
      <c r="C23" t="n">
        <v>4600046484</v>
      </c>
      <c r="D23" t="n">
        <v>30</v>
      </c>
      <c r="E23" t="inlineStr">
        <is>
          <t>MXPO</t>
        </is>
      </c>
      <c r="F23" t="inlineStr">
        <is>
          <t>MXL</t>
        </is>
      </c>
      <c r="G23" t="n">
        <v>900003456</v>
      </c>
      <c r="H23" t="inlineStr">
        <is>
          <t>TP -PROPESO ZATO</t>
        </is>
      </c>
      <c r="I23" t="n">
        <v>5001601</v>
      </c>
      <c r="J23" t="inlineStr">
        <is>
          <t>PRODUCTOS PETREOS DE SONORA SA DE</t>
        </is>
      </c>
      <c r="K23" t="inlineStr">
        <is>
          <t>Z03</t>
        </is>
      </c>
      <c r="L23" t="inlineStr">
        <is>
          <t>(AP) 15 Dias</t>
        </is>
      </c>
      <c r="M23" t="n">
        <v>10190637</v>
      </c>
      <c r="N23" t="inlineStr">
        <is>
          <t>GRAVA CLASIFICADA RIOLITA 20 MM (3/4")</t>
        </is>
      </c>
      <c r="O23" t="inlineStr">
        <is>
          <t>D860</t>
        </is>
      </c>
      <c r="P23" t="inlineStr">
        <is>
          <t>MX-CED. HERMOSILLO</t>
        </is>
      </c>
      <c r="Q23" t="n">
        <v>20200130</v>
      </c>
      <c r="R23" t="n">
        <v>20241231</v>
      </c>
      <c r="S23" t="n">
        <v>20201112</v>
      </c>
      <c r="T23" t="n">
        <v>20291231</v>
      </c>
      <c r="U23" t="n">
        <v>92</v>
      </c>
      <c r="V23" t="inlineStr">
        <is>
          <t>MXN</t>
        </is>
      </c>
      <c r="W23" t="inlineStr">
        <is>
          <t>M3</t>
        </is>
      </c>
      <c r="AC23" t="n">
        <v>56103637</v>
      </c>
      <c r="AD23" t="n">
        <v>6622501540</v>
      </c>
      <c r="AE23" t="n">
        <v>1</v>
      </c>
      <c r="AF23" t="inlineStr">
        <is>
          <t>ENTREGADO</t>
        </is>
      </c>
      <c r="AG23" t="n">
        <v>1.445</v>
      </c>
      <c r="AH23" t="inlineStr">
        <is>
          <t>M3</t>
        </is>
      </c>
      <c r="AI23" t="inlineStr">
        <is>
          <t>X</t>
        </is>
      </c>
      <c r="AJ23" t="n">
        <v>4</v>
      </c>
      <c r="AK23" t="inlineStr">
        <is>
          <t>V4</t>
        </is>
      </c>
      <c r="AL23" t="n">
        <v>20230920</v>
      </c>
      <c r="AM23" t="inlineStr">
        <is>
          <t>D860-900003456-10190637</t>
        </is>
      </c>
    </row>
    <row r="24">
      <c r="A24" t="inlineStr">
        <is>
          <t>900005375D86010000176</t>
        </is>
      </c>
      <c r="B24" t="inlineStr">
        <is>
          <t>4600039662-50</t>
        </is>
      </c>
      <c r="C24" t="n">
        <v>4600039662</v>
      </c>
      <c r="D24" t="n">
        <v>50</v>
      </c>
      <c r="E24" t="inlineStr">
        <is>
          <t>MXPO</t>
        </is>
      </c>
      <c r="F24" t="inlineStr">
        <is>
          <t>MXL</t>
        </is>
      </c>
      <c r="G24" t="n">
        <v>900005375</v>
      </c>
      <c r="H24" t="inlineStr">
        <is>
          <t>SF TP- PROPESO</t>
        </is>
      </c>
      <c r="I24" t="n">
        <v>5001601</v>
      </c>
      <c r="J24" t="inlineStr">
        <is>
          <t>PRODUCTOS PETREOS DE SONORA SA DE</t>
        </is>
      </c>
      <c r="K24" t="inlineStr">
        <is>
          <t>Z03</t>
        </is>
      </c>
      <c r="L24" t="inlineStr">
        <is>
          <t>(AP) 15 Dias</t>
        </is>
      </c>
      <c r="M24" t="n">
        <v>10000176</v>
      </c>
      <c r="N24" t="inlineStr">
        <is>
          <t>Base H Clasificada Río  1 1/2" a Finos</t>
        </is>
      </c>
      <c r="O24" t="inlineStr">
        <is>
          <t>D860</t>
        </is>
      </c>
      <c r="P24" t="inlineStr">
        <is>
          <t>MX-CED. HERMOSILLO</t>
        </is>
      </c>
      <c r="Q24" t="n">
        <v>20170906</v>
      </c>
      <c r="R24" t="n">
        <v>20261231</v>
      </c>
      <c r="S24" t="n">
        <v>20180803</v>
      </c>
      <c r="T24" t="n">
        <v>20241231</v>
      </c>
      <c r="U24" t="n">
        <v>100</v>
      </c>
      <c r="V24" t="inlineStr">
        <is>
          <t>MXN</t>
        </is>
      </c>
      <c r="W24" t="inlineStr">
        <is>
          <t>M3</t>
        </is>
      </c>
      <c r="X24" t="n">
        <v>0</v>
      </c>
      <c r="Y24" t="inlineStr">
        <is>
          <t>MXN</t>
        </is>
      </c>
      <c r="Z24" t="inlineStr">
        <is>
          <t>M3</t>
        </is>
      </c>
      <c r="AC24" t="n">
        <v>56103590</v>
      </c>
      <c r="AD24" t="n">
        <v>6622501540</v>
      </c>
      <c r="AE24" t="n">
        <v>1</v>
      </c>
      <c r="AF24" t="inlineStr">
        <is>
          <t>ENTREGADO</t>
        </is>
      </c>
      <c r="AG24" t="n">
        <v>1.6</v>
      </c>
      <c r="AH24" t="inlineStr">
        <is>
          <t>M3</t>
        </is>
      </c>
      <c r="AI24" t="inlineStr">
        <is>
          <t>X</t>
        </is>
      </c>
      <c r="AJ24" t="n">
        <v>4</v>
      </c>
      <c r="AK24" t="inlineStr">
        <is>
          <t>V4</t>
        </is>
      </c>
      <c r="AL24" t="n">
        <v>20230920</v>
      </c>
      <c r="AM24" t="inlineStr">
        <is>
          <t>D860-900005375-10000176</t>
        </is>
      </c>
    </row>
    <row r="25">
      <c r="A25" t="inlineStr">
        <is>
          <t>900005375D86010000661</t>
        </is>
      </c>
      <c r="B25" t="inlineStr">
        <is>
          <t>4600039662-70</t>
        </is>
      </c>
      <c r="C25" t="n">
        <v>4600039662</v>
      </c>
      <c r="D25" t="n">
        <v>70</v>
      </c>
      <c r="E25" t="inlineStr">
        <is>
          <t>MXPO</t>
        </is>
      </c>
      <c r="F25" t="inlineStr">
        <is>
          <t>MXL</t>
        </is>
      </c>
      <c r="G25" t="n">
        <v>900005375</v>
      </c>
      <c r="H25" t="inlineStr">
        <is>
          <t>SF TP- PROPESO</t>
        </is>
      </c>
      <c r="I25" t="n">
        <v>5001601</v>
      </c>
      <c r="J25" t="inlineStr">
        <is>
          <t>PRODUCTOS PETREOS DE SONORA SA DE</t>
        </is>
      </c>
      <c r="K25" t="inlineStr">
        <is>
          <t>Z03</t>
        </is>
      </c>
      <c r="L25" t="inlineStr">
        <is>
          <t>(AP) 15 Dias</t>
        </is>
      </c>
      <c r="M25" t="n">
        <v>10000661</v>
      </c>
      <c r="N25" t="inlineStr">
        <is>
          <t>Sobretamaño Triturado Basalto</t>
        </is>
      </c>
      <c r="O25" t="inlineStr">
        <is>
          <t>D860</t>
        </is>
      </c>
      <c r="P25" t="inlineStr">
        <is>
          <t>MX-CED. HERMOSILLO</t>
        </is>
      </c>
      <c r="Q25" t="n">
        <v>20170906</v>
      </c>
      <c r="R25" t="n">
        <v>20261231</v>
      </c>
      <c r="S25" t="n">
        <v>20190415</v>
      </c>
      <c r="T25" t="n">
        <v>20241231</v>
      </c>
      <c r="U25" t="n">
        <v>91.8</v>
      </c>
      <c r="V25" t="inlineStr">
        <is>
          <t>MXN</t>
        </is>
      </c>
      <c r="W25" t="inlineStr">
        <is>
          <t>M3</t>
        </is>
      </c>
      <c r="X25" t="n">
        <v>0</v>
      </c>
      <c r="Y25" t="inlineStr">
        <is>
          <t>MXN</t>
        </is>
      </c>
      <c r="Z25" t="inlineStr">
        <is>
          <t>M3</t>
        </is>
      </c>
      <c r="AC25" t="n">
        <v>56103636</v>
      </c>
      <c r="AD25" t="n">
        <v>6622501540</v>
      </c>
      <c r="AE25" t="n">
        <v>1</v>
      </c>
      <c r="AF25" t="inlineStr">
        <is>
          <t>ENTREGADO</t>
        </is>
      </c>
      <c r="AG25" t="n">
        <v>1.47</v>
      </c>
      <c r="AH25" t="inlineStr">
        <is>
          <t>M3</t>
        </is>
      </c>
      <c r="AI25" t="inlineStr">
        <is>
          <t>X</t>
        </is>
      </c>
      <c r="AJ25" t="n">
        <v>4</v>
      </c>
      <c r="AK25" t="inlineStr">
        <is>
          <t>V4</t>
        </is>
      </c>
      <c r="AL25" t="n">
        <v>20230920</v>
      </c>
      <c r="AM25" t="inlineStr">
        <is>
          <t>D860-900005375-10000661</t>
        </is>
      </c>
    </row>
    <row r="26">
      <c r="A26" t="inlineStr">
        <is>
          <t>900003456D86010052407</t>
        </is>
      </c>
      <c r="B26" t="inlineStr">
        <is>
          <t>4600046484-10</t>
        </is>
      </c>
      <c r="C26" t="n">
        <v>4600046484</v>
      </c>
      <c r="D26" t="n">
        <v>10</v>
      </c>
      <c r="E26" t="inlineStr">
        <is>
          <t>MXPO</t>
        </is>
      </c>
      <c r="F26" t="inlineStr">
        <is>
          <t>MXL</t>
        </is>
      </c>
      <c r="G26" t="n">
        <v>900003456</v>
      </c>
      <c r="H26" t="inlineStr">
        <is>
          <t>TP -PROPESO ZATO</t>
        </is>
      </c>
      <c r="I26" t="n">
        <v>5001601</v>
      </c>
      <c r="J26" t="inlineStr">
        <is>
          <t>PRODUCTOS PETREOS DE SONORA SA DE</t>
        </is>
      </c>
      <c r="K26" t="inlineStr">
        <is>
          <t>Z03</t>
        </is>
      </c>
      <c r="L26" t="inlineStr">
        <is>
          <t>(AP) 15 Dias</t>
        </is>
      </c>
      <c r="M26" t="n">
        <v>10052407</v>
      </c>
      <c r="N26" t="inlineStr">
        <is>
          <t>Arena Triturada Rio Malla 4</t>
        </is>
      </c>
      <c r="O26" t="inlineStr">
        <is>
          <t>D860</t>
        </is>
      </c>
      <c r="P26" t="inlineStr">
        <is>
          <t>MX-CED. HERMOSILLO</t>
        </is>
      </c>
      <c r="Q26" t="n">
        <v>20200130</v>
      </c>
      <c r="R26" t="n">
        <v>20241231</v>
      </c>
      <c r="S26" t="n">
        <v>20190128</v>
      </c>
      <c r="T26" t="n">
        <v>20241231</v>
      </c>
      <c r="U26" t="n">
        <v>82</v>
      </c>
      <c r="V26" t="inlineStr">
        <is>
          <t>MXN</t>
        </is>
      </c>
      <c r="W26" t="inlineStr">
        <is>
          <t>M3</t>
        </is>
      </c>
      <c r="X26" t="n">
        <v>0</v>
      </c>
      <c r="Y26" t="inlineStr">
        <is>
          <t>MXN</t>
        </is>
      </c>
      <c r="Z26" t="inlineStr">
        <is>
          <t>M3</t>
        </is>
      </c>
      <c r="AC26" t="n">
        <v>56103638</v>
      </c>
      <c r="AD26" t="n">
        <v>6622501540</v>
      </c>
      <c r="AE26" t="n">
        <v>1</v>
      </c>
      <c r="AF26" t="inlineStr">
        <is>
          <t>ENTREGADO</t>
        </is>
      </c>
      <c r="AG26" t="n">
        <v>1.51</v>
      </c>
      <c r="AH26" t="inlineStr">
        <is>
          <t>M3</t>
        </is>
      </c>
      <c r="AI26" t="inlineStr">
        <is>
          <t>X</t>
        </is>
      </c>
      <c r="AJ26" t="n">
        <v>4</v>
      </c>
      <c r="AK26" t="inlineStr">
        <is>
          <t>V4</t>
        </is>
      </c>
      <c r="AL26" t="n">
        <v>20230920</v>
      </c>
      <c r="AM26" t="inlineStr">
        <is>
          <t>D860-900003456-10052407</t>
        </is>
      </c>
    </row>
    <row r="27">
      <c r="A27" t="inlineStr">
        <is>
          <t>900007612D86010190637</t>
        </is>
      </c>
      <c r="B27" t="inlineStr">
        <is>
          <t>4600053982-80</t>
        </is>
      </c>
      <c r="C27" t="n">
        <v>4600053982</v>
      </c>
      <c r="D27" t="n">
        <v>80</v>
      </c>
      <c r="E27" t="inlineStr">
        <is>
          <t>MXPO</t>
        </is>
      </c>
      <c r="F27" t="inlineStr">
        <is>
          <t>MXL</t>
        </is>
      </c>
      <c r="G27" t="n">
        <v>900007612</v>
      </c>
      <c r="H27" t="inlineStr">
        <is>
          <t>SF TP-GOMOSA</t>
        </is>
      </c>
      <c r="I27" t="n">
        <v>5083069</v>
      </c>
      <c r="J27" t="inlineStr">
        <is>
          <t>GOMO DESARROLLOS Y MATERIALES S DE</t>
        </is>
      </c>
      <c r="K27" t="inlineStr">
        <is>
          <t>Z09</t>
        </is>
      </c>
      <c r="L27" t="inlineStr">
        <is>
          <t>(AP) 90 Dias</t>
        </is>
      </c>
      <c r="M27" t="n">
        <v>10190637</v>
      </c>
      <c r="N27" t="inlineStr">
        <is>
          <t>GRAVA CLASIFICADA RIOLITA 20 MM (3/4")</t>
        </is>
      </c>
      <c r="O27" t="inlineStr">
        <is>
          <t>D860</t>
        </is>
      </c>
      <c r="P27" t="inlineStr">
        <is>
          <t>MX-CED. HERMOSILLO</t>
        </is>
      </c>
      <c r="Q27" t="n">
        <v>20220512</v>
      </c>
      <c r="R27" t="n">
        <v>20291231</v>
      </c>
      <c r="S27" t="n">
        <v>20220820</v>
      </c>
      <c r="T27" t="n">
        <v>20271231</v>
      </c>
      <c r="U27" t="n">
        <v>110</v>
      </c>
      <c r="V27" t="inlineStr">
        <is>
          <t>MXN</t>
        </is>
      </c>
      <c r="W27" t="inlineStr">
        <is>
          <t>M3</t>
        </is>
      </c>
      <c r="X27" t="n">
        <v>0</v>
      </c>
      <c r="Y27" t="inlineStr">
        <is>
          <t>MXN</t>
        </is>
      </c>
      <c r="Z27" t="inlineStr">
        <is>
          <t>M3</t>
        </is>
      </c>
      <c r="AC27" t="n">
        <v>56103637</v>
      </c>
      <c r="AD27" t="n">
        <v>6622501540</v>
      </c>
      <c r="AE27" t="n">
        <v>1</v>
      </c>
      <c r="AF27" t="inlineStr">
        <is>
          <t>ENTREGADO</t>
        </is>
      </c>
      <c r="AG27" t="n">
        <v>1.445</v>
      </c>
      <c r="AH27" t="inlineStr">
        <is>
          <t>M3</t>
        </is>
      </c>
      <c r="AI27" t="inlineStr">
        <is>
          <t>X</t>
        </is>
      </c>
      <c r="AJ27" t="n">
        <v>4</v>
      </c>
      <c r="AK27" t="inlineStr">
        <is>
          <t>V4</t>
        </is>
      </c>
      <c r="AL27" t="n">
        <v>20230920</v>
      </c>
      <c r="AM27" t="inlineStr">
        <is>
          <t>D860-900007612-10190637</t>
        </is>
      </c>
    </row>
    <row r="28">
      <c r="A28" t="inlineStr">
        <is>
          <t>900007612D86010208119</t>
        </is>
      </c>
      <c r="B28" t="inlineStr">
        <is>
          <t>4600053982-30</t>
        </is>
      </c>
      <c r="C28" t="n">
        <v>4600053982</v>
      </c>
      <c r="D28" t="n">
        <v>30</v>
      </c>
      <c r="E28" t="inlineStr">
        <is>
          <t>MXPO</t>
        </is>
      </c>
      <c r="F28" t="inlineStr">
        <is>
          <t>MXL</t>
        </is>
      </c>
      <c r="G28" t="n">
        <v>900007612</v>
      </c>
      <c r="H28" t="inlineStr">
        <is>
          <t>SF TP-GOMOSA</t>
        </is>
      </c>
      <c r="I28" t="n">
        <v>5083069</v>
      </c>
      <c r="J28" t="inlineStr">
        <is>
          <t>GOMO DESARROLLOS Y MATERIALES S DE</t>
        </is>
      </c>
      <c r="K28" t="inlineStr">
        <is>
          <t>Z09</t>
        </is>
      </c>
      <c r="L28" t="inlineStr">
        <is>
          <t>(AP) 90 Dias</t>
        </is>
      </c>
      <c r="M28" t="n">
        <v>10208119</v>
      </c>
      <c r="N28" t="inlineStr">
        <is>
          <t>ARENA DE RIO 50% - POLVO TRITURADO GRANI</t>
        </is>
      </c>
      <c r="O28" t="inlineStr">
        <is>
          <t>D860</t>
        </is>
      </c>
      <c r="P28" t="inlineStr">
        <is>
          <t>MX-CED. HERMOSILLO</t>
        </is>
      </c>
      <c r="Q28" t="n">
        <v>20220512</v>
      </c>
      <c r="R28" t="n">
        <v>20291231</v>
      </c>
      <c r="S28" t="n">
        <v>20220601</v>
      </c>
      <c r="T28" t="n">
        <v>20271231</v>
      </c>
      <c r="U28" t="n">
        <v>130</v>
      </c>
      <c r="V28" t="inlineStr">
        <is>
          <t>MXN</t>
        </is>
      </c>
      <c r="W28" t="inlineStr">
        <is>
          <t>M3</t>
        </is>
      </c>
      <c r="X28" t="n">
        <v>0</v>
      </c>
      <c r="Y28" t="inlineStr">
        <is>
          <t>MXN</t>
        </is>
      </c>
      <c r="Z28" t="inlineStr">
        <is>
          <t>M3</t>
        </is>
      </c>
      <c r="AC28" t="n">
        <v>56103638</v>
      </c>
      <c r="AD28" t="n">
        <v>6622501540</v>
      </c>
      <c r="AE28" t="n">
        <v>1</v>
      </c>
      <c r="AF28" t="inlineStr">
        <is>
          <t>ENTREGADO</t>
        </is>
      </c>
      <c r="AG28" t="n">
        <v>1.565</v>
      </c>
      <c r="AH28" t="inlineStr">
        <is>
          <t>M3</t>
        </is>
      </c>
      <c r="AI28" t="inlineStr">
        <is>
          <t>X</t>
        </is>
      </c>
      <c r="AJ28" t="n">
        <v>4</v>
      </c>
      <c r="AK28" t="inlineStr">
        <is>
          <t>V4</t>
        </is>
      </c>
      <c r="AL28" t="n">
        <v>20230920</v>
      </c>
      <c r="AM28" t="inlineStr">
        <is>
          <t>D860-900007612-10208119</t>
        </is>
      </c>
    </row>
    <row r="29">
      <c r="A29" t="inlineStr">
        <is>
          <t>900007612D86010190772</t>
        </is>
      </c>
      <c r="B29" t="inlineStr">
        <is>
          <t>4600053982-110</t>
        </is>
      </c>
      <c r="C29" t="n">
        <v>4600053982</v>
      </c>
      <c r="D29" t="n">
        <v>110</v>
      </c>
      <c r="E29" t="inlineStr">
        <is>
          <t>MXPO</t>
        </is>
      </c>
      <c r="F29" t="inlineStr">
        <is>
          <t>MXL</t>
        </is>
      </c>
      <c r="G29" t="n">
        <v>900007612</v>
      </c>
      <c r="H29" t="inlineStr">
        <is>
          <t>SF TP-GOMOSA</t>
        </is>
      </c>
      <c r="I29" t="n">
        <v>5083069</v>
      </c>
      <c r="J29" t="inlineStr">
        <is>
          <t>GOMO DESARROLLOS Y MATERIALES S DE</t>
        </is>
      </c>
      <c r="K29" t="inlineStr">
        <is>
          <t>Z09</t>
        </is>
      </c>
      <c r="L29" t="inlineStr">
        <is>
          <t>(AP) 90 Dias</t>
        </is>
      </c>
      <c r="M29" t="n">
        <v>10190772</v>
      </c>
      <c r="N29" t="inlineStr">
        <is>
          <t>MATERIAL DE EXTRACCION DE BANCO</t>
        </is>
      </c>
      <c r="O29" t="inlineStr">
        <is>
          <t>D860</t>
        </is>
      </c>
      <c r="P29" t="inlineStr">
        <is>
          <t>MX-CED. HERMOSILLO</t>
        </is>
      </c>
      <c r="Q29" t="n">
        <v>20220512</v>
      </c>
      <c r="R29" t="n">
        <v>20291231</v>
      </c>
      <c r="S29" t="n">
        <v>20220901</v>
      </c>
      <c r="T29" t="n">
        <v>20271231</v>
      </c>
      <c r="U29" t="n">
        <v>270</v>
      </c>
      <c r="V29" t="inlineStr">
        <is>
          <t>MXN</t>
        </is>
      </c>
      <c r="W29" t="inlineStr">
        <is>
          <t>M3</t>
        </is>
      </c>
      <c r="X29" t="n">
        <v>0</v>
      </c>
      <c r="Y29" t="inlineStr">
        <is>
          <t>MXN</t>
        </is>
      </c>
      <c r="Z29" t="inlineStr">
        <is>
          <t>M3</t>
        </is>
      </c>
      <c r="AC29" t="n">
        <v>56103636</v>
      </c>
      <c r="AD29" t="n">
        <v>6622501867</v>
      </c>
      <c r="AE29" t="n">
        <v>1</v>
      </c>
      <c r="AF29" t="inlineStr">
        <is>
          <t>ENTREGADO</t>
        </is>
      </c>
      <c r="AG29" t="n">
        <v>1.5</v>
      </c>
      <c r="AH29" t="inlineStr">
        <is>
          <t>M3</t>
        </is>
      </c>
      <c r="AI29" t="inlineStr">
        <is>
          <t>X</t>
        </is>
      </c>
      <c r="AJ29" t="n">
        <v>4</v>
      </c>
      <c r="AK29" t="inlineStr">
        <is>
          <t>V4</t>
        </is>
      </c>
      <c r="AL29" t="n">
        <v>20230920</v>
      </c>
      <c r="AM29" t="inlineStr">
        <is>
          <t>D860-900007612-10190772</t>
        </is>
      </c>
    </row>
    <row r="30">
      <c r="A30" t="inlineStr">
        <is>
          <t>900005572D8606651576710000661</t>
        </is>
      </c>
      <c r="B30" t="inlineStr">
        <is>
          <t>4600041494-40</t>
        </is>
      </c>
      <c r="C30" t="n">
        <v>4600041494</v>
      </c>
      <c r="D30" t="n">
        <v>40</v>
      </c>
      <c r="E30" t="inlineStr">
        <is>
          <t>MXPO</t>
        </is>
      </c>
      <c r="F30" t="inlineStr">
        <is>
          <t>MXL</t>
        </is>
      </c>
      <c r="G30" t="n">
        <v>900005572</v>
      </c>
      <c r="H30" t="inlineStr">
        <is>
          <t>TP- ED- PROPESO</t>
        </is>
      </c>
      <c r="I30" t="n">
        <v>5001601</v>
      </c>
      <c r="J30" t="inlineStr">
        <is>
          <t>PRODUCTOS PETREOS DE SONORA SA DE</t>
        </is>
      </c>
      <c r="K30" t="inlineStr">
        <is>
          <t>Z03</t>
        </is>
      </c>
      <c r="L30" t="inlineStr">
        <is>
          <t>(AP) 15 Dias</t>
        </is>
      </c>
      <c r="M30" t="n">
        <v>10000661</v>
      </c>
      <c r="N30" t="inlineStr">
        <is>
          <t>Sobretamaño Triturado Basalto</t>
        </is>
      </c>
      <c r="O30" t="inlineStr">
        <is>
          <t>D860</t>
        </is>
      </c>
      <c r="P30" t="inlineStr">
        <is>
          <t>MX-CED. HERMOSILLO</t>
        </is>
      </c>
      <c r="Q30" t="n">
        <v>20180308</v>
      </c>
      <c r="R30" t="n">
        <v>20281231</v>
      </c>
      <c r="S30" t="n">
        <v>20190415</v>
      </c>
      <c r="T30" t="n">
        <v>20241231</v>
      </c>
      <c r="U30" t="n">
        <v>194.4</v>
      </c>
      <c r="V30" t="inlineStr">
        <is>
          <t>MXN</t>
        </is>
      </c>
      <c r="W30" t="inlineStr">
        <is>
          <t>M3</t>
        </is>
      </c>
      <c r="X30" t="n">
        <v>102.6</v>
      </c>
      <c r="Y30" t="inlineStr">
        <is>
          <t>MXN</t>
        </is>
      </c>
      <c r="Z30" t="inlineStr">
        <is>
          <t>M3</t>
        </is>
      </c>
      <c r="AA30" t="inlineStr">
        <is>
          <t>66515767</t>
        </is>
      </c>
      <c r="AC30" t="n">
        <v>56103636</v>
      </c>
      <c r="AD30" t="n">
        <v>6622501540</v>
      </c>
      <c r="AE30" t="n">
        <v>4</v>
      </c>
      <c r="AF30" t="inlineStr">
        <is>
          <t>ENTREGA DIRECTA</t>
        </is>
      </c>
      <c r="AG30" t="n">
        <v>1.47</v>
      </c>
      <c r="AH30" t="inlineStr">
        <is>
          <t>M3</t>
        </is>
      </c>
      <c r="AI30" t="inlineStr">
        <is>
          <t>X</t>
        </is>
      </c>
      <c r="AJ30" t="n">
        <v>4</v>
      </c>
      <c r="AK30" t="inlineStr">
        <is>
          <t>V4</t>
        </is>
      </c>
      <c r="AL30" t="n">
        <v>20230920</v>
      </c>
      <c r="AM30" t="inlineStr">
        <is>
          <t>D860-900005572-66515767-10000661-4</t>
        </is>
      </c>
    </row>
    <row r="31">
      <c r="A31" t="inlineStr">
        <is>
          <t>900007611D8606654082210052402</t>
        </is>
      </c>
      <c r="B31" t="inlineStr">
        <is>
          <t>4600053981-150</t>
        </is>
      </c>
      <c r="C31" t="n">
        <v>4600053981</v>
      </c>
      <c r="D31" t="n">
        <v>150</v>
      </c>
      <c r="E31" t="inlineStr">
        <is>
          <t>MXPO</t>
        </is>
      </c>
      <c r="F31" t="inlineStr">
        <is>
          <t>MXL</t>
        </is>
      </c>
      <c r="G31" t="n">
        <v>900007611</v>
      </c>
      <c r="H31" t="inlineStr">
        <is>
          <t>SF TP-ED-GOMOSA</t>
        </is>
      </c>
      <c r="I31" t="n">
        <v>5083069</v>
      </c>
      <c r="J31" t="inlineStr">
        <is>
          <t>GOMO DESARROLLOS Y MATERIALES S DE</t>
        </is>
      </c>
      <c r="K31" t="inlineStr">
        <is>
          <t>Z09</t>
        </is>
      </c>
      <c r="L31" t="inlineStr">
        <is>
          <t>(AP) 90 Dias</t>
        </is>
      </c>
      <c r="M31" t="n">
        <v>10052402</v>
      </c>
      <c r="N31" t="inlineStr">
        <is>
          <t>Grava Riolita 10 MM (3/8")</t>
        </is>
      </c>
      <c r="O31" t="inlineStr">
        <is>
          <t>D860</t>
        </is>
      </c>
      <c r="P31" t="inlineStr">
        <is>
          <t>MX-CED. HERMOSILLO</t>
        </is>
      </c>
      <c r="Q31" t="n">
        <v>20220512</v>
      </c>
      <c r="R31" t="n">
        <v>20291231</v>
      </c>
      <c r="S31" t="n">
        <v>20230629</v>
      </c>
      <c r="T31" t="n">
        <v>20281231</v>
      </c>
      <c r="U31" t="n">
        <v>216</v>
      </c>
      <c r="V31" t="inlineStr">
        <is>
          <t>MXN</t>
        </is>
      </c>
      <c r="W31" t="inlineStr">
        <is>
          <t>M3</t>
        </is>
      </c>
      <c r="X31" t="n">
        <v>51</v>
      </c>
      <c r="Y31" t="inlineStr">
        <is>
          <t>MXN</t>
        </is>
      </c>
      <c r="Z31" t="inlineStr">
        <is>
          <t>M3</t>
        </is>
      </c>
      <c r="AA31" t="inlineStr">
        <is>
          <t>66540822</t>
        </is>
      </c>
      <c r="AB31" t="inlineStr">
        <is>
          <t>ALTA CALIDAD EN CONCRETOS PLANTA</t>
        </is>
      </c>
      <c r="AC31" t="n">
        <v>56103637</v>
      </c>
      <c r="AD31" t="n">
        <v>6622501540</v>
      </c>
      <c r="AE31" t="n">
        <v>4</v>
      </c>
      <c r="AF31" t="inlineStr">
        <is>
          <t>ENTREGA DIRECTA</t>
        </is>
      </c>
      <c r="AG31" t="n">
        <v>1.52</v>
      </c>
      <c r="AH31" t="inlineStr">
        <is>
          <t>M3</t>
        </is>
      </c>
      <c r="AI31" t="inlineStr">
        <is>
          <t>X</t>
        </is>
      </c>
      <c r="AJ31" t="n">
        <v>4</v>
      </c>
      <c r="AK31" t="inlineStr">
        <is>
          <t>V4</t>
        </is>
      </c>
      <c r="AL31" t="n">
        <v>20230920</v>
      </c>
      <c r="AM31" t="inlineStr">
        <is>
          <t>D860-900007611-66540822-10052402-4</t>
        </is>
      </c>
    </row>
    <row r="32">
      <c r="A32" t="inlineStr">
        <is>
          <t>900005572D8606654697410052407</t>
        </is>
      </c>
      <c r="B32" t="inlineStr">
        <is>
          <t>4600041494-170</t>
        </is>
      </c>
      <c r="C32" t="n">
        <v>4600041494</v>
      </c>
      <c r="D32" t="n">
        <v>170</v>
      </c>
      <c r="E32" t="inlineStr">
        <is>
          <t>MXPO</t>
        </is>
      </c>
      <c r="F32" t="inlineStr">
        <is>
          <t>MXL</t>
        </is>
      </c>
      <c r="G32" t="n">
        <v>900005572</v>
      </c>
      <c r="H32" t="inlineStr">
        <is>
          <t>TP- ED- PROPESO</t>
        </is>
      </c>
      <c r="I32" t="n">
        <v>5001601</v>
      </c>
      <c r="J32" t="inlineStr">
        <is>
          <t>PRODUCTOS PETREOS DE SONORA SA DE</t>
        </is>
      </c>
      <c r="K32" t="inlineStr">
        <is>
          <t>Z03</t>
        </is>
      </c>
      <c r="L32" t="inlineStr">
        <is>
          <t>(AP) 15 Dias</t>
        </is>
      </c>
      <c r="M32" t="n">
        <v>10052407</v>
      </c>
      <c r="N32" t="inlineStr">
        <is>
          <t>Arena Triturada Rio Malla 4</t>
        </is>
      </c>
      <c r="O32" t="inlineStr">
        <is>
          <t>D860</t>
        </is>
      </c>
      <c r="P32" t="inlineStr">
        <is>
          <t>MX-CED. HERMOSILLO</t>
        </is>
      </c>
      <c r="Q32" t="n">
        <v>20180308</v>
      </c>
      <c r="R32" t="n">
        <v>20281231</v>
      </c>
      <c r="S32" t="n">
        <v>20180606</v>
      </c>
      <c r="T32" t="n">
        <v>20241231</v>
      </c>
      <c r="U32" t="n">
        <v>265</v>
      </c>
      <c r="V32" t="inlineStr">
        <is>
          <t>MXN</t>
        </is>
      </c>
      <c r="W32" t="inlineStr">
        <is>
          <t>M3</t>
        </is>
      </c>
      <c r="X32" t="n">
        <v>173</v>
      </c>
      <c r="Y32" t="inlineStr">
        <is>
          <t>MXN</t>
        </is>
      </c>
      <c r="Z32" t="inlineStr">
        <is>
          <t>M3</t>
        </is>
      </c>
      <c r="AA32" t="inlineStr">
        <is>
          <t>66546974</t>
        </is>
      </c>
      <c r="AB32" t="inlineStr">
        <is>
          <t>AVAKO PREFABRICADOS PLANTA HERMOSIL</t>
        </is>
      </c>
      <c r="AC32" t="n">
        <v>56103638</v>
      </c>
      <c r="AD32" t="n">
        <v>6622501540</v>
      </c>
      <c r="AE32" t="n">
        <v>4</v>
      </c>
      <c r="AF32" t="inlineStr">
        <is>
          <t>ENTREGA DIRECTA</t>
        </is>
      </c>
      <c r="AG32" t="n">
        <v>1.51</v>
      </c>
      <c r="AH32" t="inlineStr">
        <is>
          <t>M3</t>
        </is>
      </c>
      <c r="AI32" t="inlineStr">
        <is>
          <t>X</t>
        </is>
      </c>
      <c r="AJ32" t="n">
        <v>4</v>
      </c>
      <c r="AK32" t="inlineStr">
        <is>
          <t>V4</t>
        </is>
      </c>
      <c r="AL32" t="n">
        <v>20230920</v>
      </c>
      <c r="AM32" t="inlineStr">
        <is>
          <t>D860-900005572-66546974-10052407-4</t>
        </is>
      </c>
    </row>
    <row r="33">
      <c r="A33" t="inlineStr">
        <is>
          <t>900005572D8606687759010052407</t>
        </is>
      </c>
      <c r="B33" t="inlineStr">
        <is>
          <t>4600041494-340</t>
        </is>
      </c>
      <c r="C33" t="n">
        <v>4600041494</v>
      </c>
      <c r="D33" t="n">
        <v>340</v>
      </c>
      <c r="E33" t="inlineStr">
        <is>
          <t>MXPO</t>
        </is>
      </c>
      <c r="F33" t="inlineStr">
        <is>
          <t>MXL</t>
        </is>
      </c>
      <c r="G33" t="n">
        <v>900005572</v>
      </c>
      <c r="H33" t="inlineStr">
        <is>
          <t>TP- ED- PROPESO</t>
        </is>
      </c>
      <c r="I33" t="n">
        <v>5001601</v>
      </c>
      <c r="J33" t="inlineStr">
        <is>
          <t>PRODUCTOS PETREOS DE SONORA SA DE</t>
        </is>
      </c>
      <c r="K33" t="inlineStr">
        <is>
          <t>Z03</t>
        </is>
      </c>
      <c r="L33" t="inlineStr">
        <is>
          <t>(AP) 15 Dias</t>
        </is>
      </c>
      <c r="M33" t="n">
        <v>10052407</v>
      </c>
      <c r="N33" t="inlineStr">
        <is>
          <t>Arena Triturada Rio Malla 4</t>
        </is>
      </c>
      <c r="O33" t="inlineStr">
        <is>
          <t>D860</t>
        </is>
      </c>
      <c r="P33" t="inlineStr">
        <is>
          <t>MX-CED. HERMOSILLO</t>
        </is>
      </c>
      <c r="Q33" t="n">
        <v>20180308</v>
      </c>
      <c r="R33" t="n">
        <v>20281231</v>
      </c>
      <c r="S33" t="n">
        <v>20300101</v>
      </c>
      <c r="T33" t="n">
        <v>99991231</v>
      </c>
      <c r="U33" t="n">
        <v>210.2</v>
      </c>
      <c r="V33" t="inlineStr">
        <is>
          <t>MXN</t>
        </is>
      </c>
      <c r="W33" t="inlineStr">
        <is>
          <t>M3</t>
        </is>
      </c>
      <c r="X33" t="n">
        <v>113</v>
      </c>
      <c r="Y33" t="inlineStr">
        <is>
          <t>MXN</t>
        </is>
      </c>
      <c r="Z33" t="inlineStr">
        <is>
          <t>M3</t>
        </is>
      </c>
      <c r="AA33" t="inlineStr">
        <is>
          <t>66877590</t>
        </is>
      </c>
      <c r="AB33" t="inlineStr">
        <is>
          <t>VT02302 FRACC. AZORES (JVM)</t>
        </is>
      </c>
      <c r="AC33" t="n">
        <v>56103638</v>
      </c>
      <c r="AD33" t="n">
        <v>6622501540</v>
      </c>
      <c r="AE33" t="n">
        <v>4</v>
      </c>
      <c r="AF33" t="inlineStr">
        <is>
          <t>ENTREGA DIRECTA</t>
        </is>
      </c>
      <c r="AG33" t="n">
        <v>1.51</v>
      </c>
      <c r="AH33" t="inlineStr">
        <is>
          <t>M3</t>
        </is>
      </c>
      <c r="AI33" t="inlineStr">
        <is>
          <t>X</t>
        </is>
      </c>
      <c r="AJ33" t="n">
        <v>4</v>
      </c>
      <c r="AK33" t="inlineStr">
        <is>
          <t>V4</t>
        </is>
      </c>
      <c r="AL33" t="n">
        <v>20230920</v>
      </c>
      <c r="AM33" t="inlineStr">
        <is>
          <t>D860-900005572-66877590-10052407-4</t>
        </is>
      </c>
    </row>
    <row r="34">
      <c r="A34" t="inlineStr">
        <is>
          <t>900005572D8606654697410052405</t>
        </is>
      </c>
      <c r="B34" t="inlineStr">
        <is>
          <t>4600041494-200</t>
        </is>
      </c>
      <c r="C34" t="n">
        <v>4600041494</v>
      </c>
      <c r="D34" t="n">
        <v>200</v>
      </c>
      <c r="E34" t="inlineStr">
        <is>
          <t>MXPO</t>
        </is>
      </c>
      <c r="F34" t="inlineStr">
        <is>
          <t>MXL</t>
        </is>
      </c>
      <c r="G34" t="n">
        <v>900005572</v>
      </c>
      <c r="H34" t="inlineStr">
        <is>
          <t>TP- ED- PROPESO</t>
        </is>
      </c>
      <c r="I34" t="n">
        <v>5001601</v>
      </c>
      <c r="J34" t="inlineStr">
        <is>
          <t>PRODUCTOS PETREOS DE SONORA SA DE</t>
        </is>
      </c>
      <c r="K34" t="inlineStr">
        <is>
          <t>Z03</t>
        </is>
      </c>
      <c r="L34" t="inlineStr">
        <is>
          <t>(AP) 15 Dias</t>
        </is>
      </c>
      <c r="M34" t="n">
        <v>10052405</v>
      </c>
      <c r="N34" t="inlineStr">
        <is>
          <t>Grava Riolita 40 MM (1 1/2")</t>
        </is>
      </c>
      <c r="O34" t="inlineStr">
        <is>
          <t>D860</t>
        </is>
      </c>
      <c r="P34" t="inlineStr">
        <is>
          <t>MX-CED. HERMOSILLO</t>
        </is>
      </c>
      <c r="Q34" t="n">
        <v>20180308</v>
      </c>
      <c r="R34" t="n">
        <v>20281231</v>
      </c>
      <c r="S34" t="n">
        <v>20180606</v>
      </c>
      <c r="T34" t="n">
        <v>20241231</v>
      </c>
      <c r="U34" t="n">
        <v>273</v>
      </c>
      <c r="V34" t="inlineStr">
        <is>
          <t>MXN</t>
        </is>
      </c>
      <c r="W34" t="inlineStr">
        <is>
          <t>M3</t>
        </is>
      </c>
      <c r="X34" t="n">
        <v>173</v>
      </c>
      <c r="Y34" t="inlineStr">
        <is>
          <t>MXN</t>
        </is>
      </c>
      <c r="Z34" t="inlineStr">
        <is>
          <t>M3</t>
        </is>
      </c>
      <c r="AA34" t="inlineStr">
        <is>
          <t>66546974</t>
        </is>
      </c>
      <c r="AB34" t="inlineStr">
        <is>
          <t>AVAKO PREFABRICADOS PLANTA HERMOSIL</t>
        </is>
      </c>
      <c r="AC34" t="n">
        <v>56103637</v>
      </c>
      <c r="AD34" t="n">
        <v>6622501540</v>
      </c>
      <c r="AE34" t="n">
        <v>4</v>
      </c>
      <c r="AF34" t="inlineStr">
        <is>
          <t>ENTREGA DIRECTA</t>
        </is>
      </c>
      <c r="AG34" t="n">
        <v>1.48</v>
      </c>
      <c r="AH34" t="inlineStr">
        <is>
          <t>M3</t>
        </is>
      </c>
      <c r="AI34" t="inlineStr">
        <is>
          <t>X</t>
        </is>
      </c>
      <c r="AJ34" t="n">
        <v>4</v>
      </c>
      <c r="AK34" t="inlineStr">
        <is>
          <t>V4</t>
        </is>
      </c>
      <c r="AL34" t="n">
        <v>20230920</v>
      </c>
      <c r="AM34" t="inlineStr">
        <is>
          <t>D860-900005572-66546974-10052405-4</t>
        </is>
      </c>
    </row>
    <row r="35">
      <c r="A35" t="inlineStr">
        <is>
          <t>900005572D8606654697410052402</t>
        </is>
      </c>
      <c r="B35" t="inlineStr">
        <is>
          <t>4600041494-180</t>
        </is>
      </c>
      <c r="C35" t="n">
        <v>4600041494</v>
      </c>
      <c r="D35" t="n">
        <v>180</v>
      </c>
      <c r="E35" t="inlineStr">
        <is>
          <t>MXPO</t>
        </is>
      </c>
      <c r="F35" t="inlineStr">
        <is>
          <t>MXL</t>
        </is>
      </c>
      <c r="G35" t="n">
        <v>900005572</v>
      </c>
      <c r="H35" t="inlineStr">
        <is>
          <t>TP- ED- PROPESO</t>
        </is>
      </c>
      <c r="I35" t="n">
        <v>5001601</v>
      </c>
      <c r="J35" t="inlineStr">
        <is>
          <t>PRODUCTOS PETREOS DE SONORA SA DE</t>
        </is>
      </c>
      <c r="K35" t="inlineStr">
        <is>
          <t>Z03</t>
        </is>
      </c>
      <c r="L35" t="inlineStr">
        <is>
          <t>(AP) 15 Dias</t>
        </is>
      </c>
      <c r="M35" t="n">
        <v>10052402</v>
      </c>
      <c r="N35" t="inlineStr">
        <is>
          <t>Grava Riolita 10 MM (3/8")</t>
        </is>
      </c>
      <c r="O35" t="inlineStr">
        <is>
          <t>D860</t>
        </is>
      </c>
      <c r="P35" t="inlineStr">
        <is>
          <t>MX-CED. HERMOSILLO</t>
        </is>
      </c>
      <c r="Q35" t="n">
        <v>20180308</v>
      </c>
      <c r="R35" t="n">
        <v>20281231</v>
      </c>
      <c r="S35" t="n">
        <v>20180606</v>
      </c>
      <c r="T35" t="n">
        <v>20241231</v>
      </c>
      <c r="U35" t="n">
        <v>323</v>
      </c>
      <c r="V35" t="inlineStr">
        <is>
          <t>MXN</t>
        </is>
      </c>
      <c r="W35" t="inlineStr">
        <is>
          <t>M3</t>
        </is>
      </c>
      <c r="X35" t="n">
        <v>173</v>
      </c>
      <c r="Y35" t="inlineStr">
        <is>
          <t>MXN</t>
        </is>
      </c>
      <c r="Z35" t="inlineStr">
        <is>
          <t>M3</t>
        </is>
      </c>
      <c r="AA35" t="inlineStr">
        <is>
          <t>66546974</t>
        </is>
      </c>
      <c r="AB35" t="inlineStr">
        <is>
          <t>AVAKO PREFABRICADOS PLANTA HERMOSIL</t>
        </is>
      </c>
      <c r="AC35" t="n">
        <v>56103637</v>
      </c>
      <c r="AD35" t="n">
        <v>6622501540</v>
      </c>
      <c r="AE35" t="n">
        <v>4</v>
      </c>
      <c r="AF35" t="inlineStr">
        <is>
          <t>ENTREGA DIRECTA</t>
        </is>
      </c>
      <c r="AG35" t="n">
        <v>1.52</v>
      </c>
      <c r="AH35" t="inlineStr">
        <is>
          <t>M3</t>
        </is>
      </c>
      <c r="AI35" t="inlineStr">
        <is>
          <t>X</t>
        </is>
      </c>
      <c r="AJ35" t="n">
        <v>4</v>
      </c>
      <c r="AK35" t="inlineStr">
        <is>
          <t>V4</t>
        </is>
      </c>
      <c r="AL35" t="n">
        <v>20230920</v>
      </c>
      <c r="AM35" t="inlineStr">
        <is>
          <t>D860-900005572-66546974-10052402-4</t>
        </is>
      </c>
    </row>
    <row r="36">
      <c r="A36" t="inlineStr">
        <is>
          <t>900005572D8606659739110052402</t>
        </is>
      </c>
      <c r="B36" t="inlineStr">
        <is>
          <t>4600041494-240</t>
        </is>
      </c>
      <c r="C36" t="n">
        <v>4600041494</v>
      </c>
      <c r="D36" t="n">
        <v>240</v>
      </c>
      <c r="E36" t="inlineStr">
        <is>
          <t>MXPO</t>
        </is>
      </c>
      <c r="F36" t="inlineStr">
        <is>
          <t>MXL</t>
        </is>
      </c>
      <c r="G36" t="n">
        <v>900005572</v>
      </c>
      <c r="H36" t="inlineStr">
        <is>
          <t>TP- ED- PROPESO</t>
        </is>
      </c>
      <c r="I36" t="n">
        <v>5001601</v>
      </c>
      <c r="J36" t="inlineStr">
        <is>
          <t>PRODUCTOS PETREOS DE SONORA SA DE</t>
        </is>
      </c>
      <c r="K36" t="inlineStr">
        <is>
          <t>Z03</t>
        </is>
      </c>
      <c r="L36" t="inlineStr">
        <is>
          <t>(AP) 15 Dias</t>
        </is>
      </c>
      <c r="M36" t="n">
        <v>10052402</v>
      </c>
      <c r="N36" t="inlineStr">
        <is>
          <t>Grava Riolita 10 MM (3/8")</t>
        </is>
      </c>
      <c r="O36" t="inlineStr">
        <is>
          <t>D860</t>
        </is>
      </c>
      <c r="P36" t="inlineStr">
        <is>
          <t>MX-CED. HERMOSILLO</t>
        </is>
      </c>
      <c r="Q36" t="n">
        <v>20180308</v>
      </c>
      <c r="R36" t="n">
        <v>20281231</v>
      </c>
      <c r="S36" t="n">
        <v>20190315</v>
      </c>
      <c r="T36" t="n">
        <v>20241231</v>
      </c>
      <c r="U36" t="n">
        <v>210.6</v>
      </c>
      <c r="V36" t="inlineStr">
        <is>
          <t>MXN</t>
        </is>
      </c>
      <c r="W36" t="inlineStr">
        <is>
          <t>M3</t>
        </is>
      </c>
      <c r="X36" t="n">
        <v>102.6</v>
      </c>
      <c r="Y36" t="inlineStr">
        <is>
          <t>MXN</t>
        </is>
      </c>
      <c r="Z36" t="inlineStr">
        <is>
          <t>M3</t>
        </is>
      </c>
      <c r="AA36" t="inlineStr">
        <is>
          <t>66597391</t>
        </is>
      </c>
      <c r="AB36" t="inlineStr">
        <is>
          <t>CEDIS MODELO (EIAA)</t>
        </is>
      </c>
      <c r="AC36" t="n">
        <v>56103637</v>
      </c>
      <c r="AD36" t="n">
        <v>6622501540</v>
      </c>
      <c r="AE36" t="n">
        <v>4</v>
      </c>
      <c r="AF36" t="inlineStr">
        <is>
          <t>ENTREGA DIRECTA</t>
        </is>
      </c>
      <c r="AG36" t="n">
        <v>1.52</v>
      </c>
      <c r="AH36" t="inlineStr">
        <is>
          <t>M3</t>
        </is>
      </c>
      <c r="AI36" t="inlineStr">
        <is>
          <t>X</t>
        </is>
      </c>
      <c r="AJ36" t="n">
        <v>4</v>
      </c>
      <c r="AK36" t="inlineStr">
        <is>
          <t>V4</t>
        </is>
      </c>
      <c r="AL36" t="n">
        <v>20230920</v>
      </c>
      <c r="AM36" t="inlineStr">
        <is>
          <t>D860-900005572-66597391-10052402-4</t>
        </is>
      </c>
    </row>
    <row r="37">
      <c r="A37" t="inlineStr">
        <is>
          <t>900005572D8606659739110000661</t>
        </is>
      </c>
      <c r="B37" t="inlineStr">
        <is>
          <t>4600041494-260</t>
        </is>
      </c>
      <c r="C37" t="n">
        <v>4600041494</v>
      </c>
      <c r="D37" t="n">
        <v>260</v>
      </c>
      <c r="E37" t="inlineStr">
        <is>
          <t>MXPO</t>
        </is>
      </c>
      <c r="F37" t="inlineStr">
        <is>
          <t>MXL</t>
        </is>
      </c>
      <c r="G37" t="n">
        <v>900005572</v>
      </c>
      <c r="H37" t="inlineStr">
        <is>
          <t>TP- ED- PROPESO</t>
        </is>
      </c>
      <c r="I37" t="n">
        <v>5001601</v>
      </c>
      <c r="J37" t="inlineStr">
        <is>
          <t>PRODUCTOS PETREOS DE SONORA SA DE</t>
        </is>
      </c>
      <c r="K37" t="inlineStr">
        <is>
          <t>Z03</t>
        </is>
      </c>
      <c r="L37" t="inlineStr">
        <is>
          <t>(AP) 15 Dias</t>
        </is>
      </c>
      <c r="M37" t="n">
        <v>10000661</v>
      </c>
      <c r="N37" t="inlineStr">
        <is>
          <t>Sobretamaño Triturado Basalto</t>
        </is>
      </c>
      <c r="O37" t="inlineStr">
        <is>
          <t>D860</t>
        </is>
      </c>
      <c r="P37" t="inlineStr">
        <is>
          <t>MX-CED. HERMOSILLO</t>
        </is>
      </c>
      <c r="Q37" t="n">
        <v>20180308</v>
      </c>
      <c r="R37" t="n">
        <v>20281231</v>
      </c>
      <c r="S37" t="n">
        <v>20190415</v>
      </c>
      <c r="T37" t="n">
        <v>20241231</v>
      </c>
      <c r="U37" t="n">
        <v>194.4</v>
      </c>
      <c r="V37" t="inlineStr">
        <is>
          <t>MXN</t>
        </is>
      </c>
      <c r="W37" t="inlineStr">
        <is>
          <t>M3</t>
        </is>
      </c>
      <c r="X37" t="n">
        <v>102.6</v>
      </c>
      <c r="Y37" t="inlineStr">
        <is>
          <t>MXN</t>
        </is>
      </c>
      <c r="Z37" t="inlineStr">
        <is>
          <t>M3</t>
        </is>
      </c>
      <c r="AA37" t="inlineStr">
        <is>
          <t>66597391</t>
        </is>
      </c>
      <c r="AB37" t="inlineStr">
        <is>
          <t>CEDIS MODELO (EIAA)</t>
        </is>
      </c>
      <c r="AC37" t="n">
        <v>56103636</v>
      </c>
      <c r="AD37" t="n">
        <v>6622501540</v>
      </c>
      <c r="AE37" t="n">
        <v>4</v>
      </c>
      <c r="AF37" t="inlineStr">
        <is>
          <t>ENTREGA DIRECTA</t>
        </is>
      </c>
      <c r="AG37" t="n">
        <v>1.47</v>
      </c>
      <c r="AH37" t="inlineStr">
        <is>
          <t>M3</t>
        </is>
      </c>
      <c r="AI37" t="inlineStr">
        <is>
          <t>X</t>
        </is>
      </c>
      <c r="AJ37" t="n">
        <v>4</v>
      </c>
      <c r="AK37" t="inlineStr">
        <is>
          <t>V4</t>
        </is>
      </c>
      <c r="AL37" t="n">
        <v>20230920</v>
      </c>
      <c r="AM37" t="inlineStr">
        <is>
          <t>D860-900005572-66597391-10000661-4</t>
        </is>
      </c>
    </row>
    <row r="38">
      <c r="A38" t="inlineStr">
        <is>
          <t>900005572D8606687759010052402</t>
        </is>
      </c>
      <c r="B38" t="inlineStr">
        <is>
          <t>4600041494-350</t>
        </is>
      </c>
      <c r="C38" t="n">
        <v>4600041494</v>
      </c>
      <c r="D38" t="n">
        <v>350</v>
      </c>
      <c r="E38" t="inlineStr">
        <is>
          <t>MXPO</t>
        </is>
      </c>
      <c r="F38" t="inlineStr">
        <is>
          <t>MXL</t>
        </is>
      </c>
      <c r="G38" t="n">
        <v>900005572</v>
      </c>
      <c r="H38" t="inlineStr">
        <is>
          <t>TP- ED- PROPESO</t>
        </is>
      </c>
      <c r="I38" t="n">
        <v>5001601</v>
      </c>
      <c r="J38" t="inlineStr">
        <is>
          <t>PRODUCTOS PETREOS DE SONORA SA DE</t>
        </is>
      </c>
      <c r="K38" t="inlineStr">
        <is>
          <t>Z03</t>
        </is>
      </c>
      <c r="L38" t="inlineStr">
        <is>
          <t>(AP) 15 Dias</t>
        </is>
      </c>
      <c r="M38" t="n">
        <v>10052402</v>
      </c>
      <c r="N38" t="inlineStr">
        <is>
          <t>Grava Riolita 10 MM (3/8")</t>
        </is>
      </c>
      <c r="O38" t="inlineStr">
        <is>
          <t>D860</t>
        </is>
      </c>
      <c r="P38" t="inlineStr">
        <is>
          <t>MX-CED. HERMOSILLO</t>
        </is>
      </c>
      <c r="Q38" t="n">
        <v>20180308</v>
      </c>
      <c r="R38" t="n">
        <v>20281231</v>
      </c>
      <c r="S38" t="n">
        <v>20300101</v>
      </c>
      <c r="T38" t="n">
        <v>99991231</v>
      </c>
      <c r="U38" t="n">
        <v>296.6</v>
      </c>
      <c r="V38" t="inlineStr">
        <is>
          <t>MXN</t>
        </is>
      </c>
      <c r="W38" t="inlineStr">
        <is>
          <t>M3</t>
        </is>
      </c>
      <c r="X38" t="n">
        <v>113</v>
      </c>
      <c r="Y38" t="inlineStr">
        <is>
          <t>MXN</t>
        </is>
      </c>
      <c r="Z38" t="inlineStr">
        <is>
          <t>M3</t>
        </is>
      </c>
      <c r="AA38" t="inlineStr">
        <is>
          <t>66877590</t>
        </is>
      </c>
      <c r="AB38" t="inlineStr">
        <is>
          <t>VT02302 FRACC. AZORES (JVM)</t>
        </is>
      </c>
      <c r="AC38" t="n">
        <v>56103637</v>
      </c>
      <c r="AD38" t="n">
        <v>6622501540</v>
      </c>
      <c r="AE38" t="n">
        <v>4</v>
      </c>
      <c r="AF38" t="inlineStr">
        <is>
          <t>ENTREGA DIRECTA</t>
        </is>
      </c>
      <c r="AG38" t="n">
        <v>1.52</v>
      </c>
      <c r="AH38" t="inlineStr">
        <is>
          <t>M3</t>
        </is>
      </c>
      <c r="AI38" t="inlineStr">
        <is>
          <t>X</t>
        </is>
      </c>
      <c r="AJ38" t="n">
        <v>4</v>
      </c>
      <c r="AK38" t="inlineStr">
        <is>
          <t>V4</t>
        </is>
      </c>
      <c r="AL38" t="n">
        <v>20230920</v>
      </c>
      <c r="AM38" t="inlineStr">
        <is>
          <t>D860-900005572-66877590-10052402-4</t>
        </is>
      </c>
    </row>
    <row r="39">
      <c r="A39" t="inlineStr">
        <is>
          <t>900005572D8606651576710052407</t>
        </is>
      </c>
      <c r="B39" t="inlineStr">
        <is>
          <t>4600041494-10</t>
        </is>
      </c>
      <c r="C39" t="n">
        <v>4600041494</v>
      </c>
      <c r="D39" t="n">
        <v>10</v>
      </c>
      <c r="E39" t="inlineStr">
        <is>
          <t>MXPO</t>
        </is>
      </c>
      <c r="F39" t="inlineStr">
        <is>
          <t>MXL</t>
        </is>
      </c>
      <c r="G39" t="n">
        <v>900005572</v>
      </c>
      <c r="H39" t="inlineStr">
        <is>
          <t>TP- ED- PROPESO</t>
        </is>
      </c>
      <c r="I39" t="n">
        <v>5001601</v>
      </c>
      <c r="J39" t="inlineStr">
        <is>
          <t>PRODUCTOS PETREOS DE SONORA SA DE</t>
        </is>
      </c>
      <c r="K39" t="inlineStr">
        <is>
          <t>Z03</t>
        </is>
      </c>
      <c r="L39" t="inlineStr">
        <is>
          <t>(AP) 15 Dias</t>
        </is>
      </c>
      <c r="M39" t="n">
        <v>10052407</v>
      </c>
      <c r="N39" t="inlineStr">
        <is>
          <t>Arena Triturada Rio Malla 4</t>
        </is>
      </c>
      <c r="O39" t="inlineStr">
        <is>
          <t>D860</t>
        </is>
      </c>
      <c r="P39" t="inlineStr">
        <is>
          <t>MX-CED. HERMOSILLO</t>
        </is>
      </c>
      <c r="Q39" t="n">
        <v>20180308</v>
      </c>
      <c r="R39" t="n">
        <v>20281231</v>
      </c>
      <c r="S39" t="n">
        <v>20190415</v>
      </c>
      <c r="T39" t="n">
        <v>20241231</v>
      </c>
      <c r="U39" t="n">
        <v>199.8</v>
      </c>
      <c r="V39" t="inlineStr">
        <is>
          <t>MXN</t>
        </is>
      </c>
      <c r="W39" t="inlineStr">
        <is>
          <t>M3</t>
        </is>
      </c>
      <c r="X39" t="n">
        <v>102.6</v>
      </c>
      <c r="Y39" t="inlineStr">
        <is>
          <t>MXN</t>
        </is>
      </c>
      <c r="Z39" t="inlineStr">
        <is>
          <t>M3</t>
        </is>
      </c>
      <c r="AA39" t="inlineStr">
        <is>
          <t>66515767</t>
        </is>
      </c>
      <c r="AC39" t="n">
        <v>56103638</v>
      </c>
      <c r="AD39" t="n">
        <v>6622501540</v>
      </c>
      <c r="AE39" t="n">
        <v>4</v>
      </c>
      <c r="AF39" t="inlineStr">
        <is>
          <t>ENTREGA DIRECTA</t>
        </is>
      </c>
      <c r="AG39" t="n">
        <v>1.51</v>
      </c>
      <c r="AH39" t="inlineStr">
        <is>
          <t>M3</t>
        </is>
      </c>
      <c r="AI39" t="inlineStr">
        <is>
          <t>X</t>
        </is>
      </c>
      <c r="AJ39" t="n">
        <v>4</v>
      </c>
      <c r="AK39" t="inlineStr">
        <is>
          <t>V4</t>
        </is>
      </c>
      <c r="AL39" t="n">
        <v>20230920</v>
      </c>
      <c r="AM39" t="inlineStr">
        <is>
          <t>D860-900005572-66515767-10052407-4</t>
        </is>
      </c>
    </row>
    <row r="40">
      <c r="A40" t="inlineStr">
        <is>
          <t>900007611D8606687759010052407</t>
        </is>
      </c>
      <c r="B40" t="inlineStr">
        <is>
          <t>4600053981-70</t>
        </is>
      </c>
      <c r="C40" t="n">
        <v>4600053981</v>
      </c>
      <c r="D40" t="n">
        <v>70</v>
      </c>
      <c r="E40" t="inlineStr">
        <is>
          <t>MXPO</t>
        </is>
      </c>
      <c r="F40" t="inlineStr">
        <is>
          <t>MXL</t>
        </is>
      </c>
      <c r="G40" t="n">
        <v>900007611</v>
      </c>
      <c r="H40" t="inlineStr">
        <is>
          <t>SF TP-ED-GOMOSA</t>
        </is>
      </c>
      <c r="I40" t="n">
        <v>5083069</v>
      </c>
      <c r="J40" t="inlineStr">
        <is>
          <t>GOMO DESARROLLOS Y MATERIALES S DE</t>
        </is>
      </c>
      <c r="K40" t="inlineStr">
        <is>
          <t>Z09</t>
        </is>
      </c>
      <c r="L40" t="inlineStr">
        <is>
          <t>(AP) 90 Dias</t>
        </is>
      </c>
      <c r="M40" t="n">
        <v>10052407</v>
      </c>
      <c r="N40" t="inlineStr">
        <is>
          <t>Arena Triturada Rio Malla 4</t>
        </is>
      </c>
      <c r="O40" t="inlineStr">
        <is>
          <t>D860</t>
        </is>
      </c>
      <c r="P40" t="inlineStr">
        <is>
          <t>MX-CED. HERMOSILLO</t>
        </is>
      </c>
      <c r="Q40" t="n">
        <v>20220512</v>
      </c>
      <c r="R40" t="n">
        <v>20291231</v>
      </c>
      <c r="S40" t="n">
        <v>20220727</v>
      </c>
      <c r="T40" t="n">
        <v>20271231</v>
      </c>
      <c r="U40" t="n">
        <v>229</v>
      </c>
      <c r="V40" t="inlineStr">
        <is>
          <t>MXN</t>
        </is>
      </c>
      <c r="W40" t="inlineStr">
        <is>
          <t>M3</t>
        </is>
      </c>
      <c r="X40" t="n">
        <v>129</v>
      </c>
      <c r="Y40" t="inlineStr">
        <is>
          <t>MXN</t>
        </is>
      </c>
      <c r="Z40" t="inlineStr">
        <is>
          <t>M3</t>
        </is>
      </c>
      <c r="AA40" t="inlineStr">
        <is>
          <t>66877590</t>
        </is>
      </c>
      <c r="AB40" t="inlineStr">
        <is>
          <t>VT02302 FRACC. AZORES (JVM)</t>
        </is>
      </c>
      <c r="AC40" t="n">
        <v>56103638</v>
      </c>
      <c r="AD40" t="n">
        <v>6622501540</v>
      </c>
      <c r="AE40" t="n">
        <v>4</v>
      </c>
      <c r="AF40" t="inlineStr">
        <is>
          <t>ENTREGA DIRECTA</t>
        </is>
      </c>
      <c r="AG40" t="n">
        <v>1.51</v>
      </c>
      <c r="AH40" t="inlineStr">
        <is>
          <t>M3</t>
        </is>
      </c>
      <c r="AI40" t="inlineStr">
        <is>
          <t>X</t>
        </is>
      </c>
      <c r="AJ40" t="n">
        <v>4</v>
      </c>
      <c r="AK40" t="inlineStr">
        <is>
          <t>V4</t>
        </is>
      </c>
      <c r="AL40" t="n">
        <v>20230920</v>
      </c>
      <c r="AM40" t="inlineStr">
        <is>
          <t>D860-900007611-66877590-10052407-4</t>
        </is>
      </c>
    </row>
    <row r="41">
      <c r="A41" t="inlineStr">
        <is>
          <t>900007611D8606687759010190637</t>
        </is>
      </c>
      <c r="B41" t="inlineStr">
        <is>
          <t>4600053981-90</t>
        </is>
      </c>
      <c r="C41" t="n">
        <v>4600053981</v>
      </c>
      <c r="D41" t="n">
        <v>90</v>
      </c>
      <c r="E41" t="inlineStr">
        <is>
          <t>MXPO</t>
        </is>
      </c>
      <c r="F41" t="inlineStr">
        <is>
          <t>MXL</t>
        </is>
      </c>
      <c r="G41" t="n">
        <v>900007611</v>
      </c>
      <c r="H41" t="inlineStr">
        <is>
          <t>SF TP-ED-GOMOSA</t>
        </is>
      </c>
      <c r="I41" t="n">
        <v>5083069</v>
      </c>
      <c r="J41" t="inlineStr">
        <is>
          <t>GOMO DESARROLLOS Y MATERIALES S DE</t>
        </is>
      </c>
      <c r="K41" t="inlineStr">
        <is>
          <t>Z09</t>
        </is>
      </c>
      <c r="L41" t="inlineStr">
        <is>
          <t>(AP) 90 Dias</t>
        </is>
      </c>
      <c r="M41" t="n">
        <v>10190637</v>
      </c>
      <c r="N41" t="inlineStr">
        <is>
          <t>GRAVA CLASIFICADA RIOLITA 20 MM (3/4")</t>
        </is>
      </c>
      <c r="O41" t="inlineStr">
        <is>
          <t>D860</t>
        </is>
      </c>
      <c r="P41" t="inlineStr">
        <is>
          <t>MX-CED. HERMOSILLO</t>
        </is>
      </c>
      <c r="Q41" t="n">
        <v>20220512</v>
      </c>
      <c r="R41" t="n">
        <v>20291231</v>
      </c>
      <c r="S41" t="n">
        <v>20220727</v>
      </c>
      <c r="T41" t="n">
        <v>20271231</v>
      </c>
      <c r="U41" t="n">
        <v>239</v>
      </c>
      <c r="V41" t="inlineStr">
        <is>
          <t>MXN</t>
        </is>
      </c>
      <c r="W41" t="inlineStr">
        <is>
          <t>M3</t>
        </is>
      </c>
      <c r="X41" t="n">
        <v>129</v>
      </c>
      <c r="Y41" t="inlineStr">
        <is>
          <t>MXN</t>
        </is>
      </c>
      <c r="Z41" t="inlineStr">
        <is>
          <t>M3</t>
        </is>
      </c>
      <c r="AA41" t="inlineStr">
        <is>
          <t>66877590</t>
        </is>
      </c>
      <c r="AB41" t="inlineStr">
        <is>
          <t>VT02302 FRACC. AZORES (JVM)</t>
        </is>
      </c>
      <c r="AC41" t="n">
        <v>56103637</v>
      </c>
      <c r="AD41" t="n">
        <v>6622501540</v>
      </c>
      <c r="AE41" t="n">
        <v>4</v>
      </c>
      <c r="AF41" t="inlineStr">
        <is>
          <t>ENTREGA DIRECTA</t>
        </is>
      </c>
      <c r="AG41" t="n">
        <v>1.445</v>
      </c>
      <c r="AH41" t="inlineStr">
        <is>
          <t>M3</t>
        </is>
      </c>
      <c r="AI41" t="inlineStr">
        <is>
          <t>X</t>
        </is>
      </c>
      <c r="AJ41" t="n">
        <v>4</v>
      </c>
      <c r="AK41" t="inlineStr">
        <is>
          <t>V4</t>
        </is>
      </c>
      <c r="AL41" t="n">
        <v>20230920</v>
      </c>
      <c r="AM41" t="inlineStr">
        <is>
          <t>D860-900007611-66877590-10190637-4</t>
        </is>
      </c>
    </row>
    <row r="42">
      <c r="A42" t="inlineStr">
        <is>
          <t>900007611D8606654082210052404</t>
        </is>
      </c>
      <c r="B42" t="inlineStr">
        <is>
          <t>4600053981-120</t>
        </is>
      </c>
      <c r="C42" t="n">
        <v>4600053981</v>
      </c>
      <c r="D42" t="n">
        <v>120</v>
      </c>
      <c r="E42" t="inlineStr">
        <is>
          <t>MXPO</t>
        </is>
      </c>
      <c r="F42" t="inlineStr">
        <is>
          <t>MXL</t>
        </is>
      </c>
      <c r="G42" t="n">
        <v>900007611</v>
      </c>
      <c r="H42" t="inlineStr">
        <is>
          <t>SF TP-ED-GOMOSA</t>
        </is>
      </c>
      <c r="I42" t="n">
        <v>5083069</v>
      </c>
      <c r="J42" t="inlineStr">
        <is>
          <t>GOMO DESARROLLOS Y MATERIALES S DE</t>
        </is>
      </c>
      <c r="K42" t="inlineStr">
        <is>
          <t>Z09</t>
        </is>
      </c>
      <c r="L42" t="inlineStr">
        <is>
          <t>(AP) 90 Dias</t>
        </is>
      </c>
      <c r="M42" t="n">
        <v>10052404</v>
      </c>
      <c r="N42" t="inlineStr">
        <is>
          <t>Grava Riolita 20 MM (3/4")</t>
        </is>
      </c>
      <c r="O42" t="inlineStr">
        <is>
          <t>D860</t>
        </is>
      </c>
      <c r="P42" t="inlineStr">
        <is>
          <t>MX-CED. HERMOSILLO</t>
        </is>
      </c>
      <c r="Q42" t="n">
        <v>20220512</v>
      </c>
      <c r="R42" t="n">
        <v>20291231</v>
      </c>
      <c r="S42" t="n">
        <v>20230629</v>
      </c>
      <c r="T42" t="n">
        <v>20281231</v>
      </c>
      <c r="U42" t="n">
        <v>216</v>
      </c>
      <c r="V42" t="inlineStr">
        <is>
          <t>MXN</t>
        </is>
      </c>
      <c r="W42" t="inlineStr">
        <is>
          <t>M3</t>
        </is>
      </c>
      <c r="X42" t="n">
        <v>96</v>
      </c>
      <c r="Y42" t="inlineStr">
        <is>
          <t>MXN</t>
        </is>
      </c>
      <c r="Z42" t="inlineStr">
        <is>
          <t>M3</t>
        </is>
      </c>
      <c r="AA42" t="inlineStr">
        <is>
          <t>66540822</t>
        </is>
      </c>
      <c r="AB42" t="inlineStr">
        <is>
          <t>ALTA CALIDAD EN CONCRETOS PLANTA</t>
        </is>
      </c>
      <c r="AC42" t="n">
        <v>56103637</v>
      </c>
      <c r="AD42" t="n">
        <v>6622501540</v>
      </c>
      <c r="AE42" t="n">
        <v>4</v>
      </c>
      <c r="AF42" t="inlineStr">
        <is>
          <t>ENTREGA DIRECTA</t>
        </is>
      </c>
      <c r="AG42" t="n">
        <v>1.445</v>
      </c>
      <c r="AH42" t="inlineStr">
        <is>
          <t>M3</t>
        </is>
      </c>
      <c r="AI42" t="inlineStr">
        <is>
          <t>X</t>
        </is>
      </c>
      <c r="AJ42" t="n">
        <v>4</v>
      </c>
      <c r="AK42" t="inlineStr">
        <is>
          <t>V4</t>
        </is>
      </c>
      <c r="AL42" t="n">
        <v>20230920</v>
      </c>
      <c r="AM42" t="inlineStr">
        <is>
          <t>D860-900007611-66540822-10052404-4</t>
        </is>
      </c>
    </row>
    <row r="43">
      <c r="A43" t="inlineStr">
        <is>
          <t>900007611D8606654082210052405</t>
        </is>
      </c>
      <c r="B43" t="inlineStr">
        <is>
          <t>4600053981-130</t>
        </is>
      </c>
      <c r="C43" t="n">
        <v>4600053981</v>
      </c>
      <c r="D43" t="n">
        <v>130</v>
      </c>
      <c r="E43" t="inlineStr">
        <is>
          <t>MXPO</t>
        </is>
      </c>
      <c r="F43" t="inlineStr">
        <is>
          <t>MXL</t>
        </is>
      </c>
      <c r="G43" t="n">
        <v>900007611</v>
      </c>
      <c r="H43" t="inlineStr">
        <is>
          <t>SF TP-ED-GOMOSA</t>
        </is>
      </c>
      <c r="I43" t="n">
        <v>5083069</v>
      </c>
      <c r="J43" t="inlineStr">
        <is>
          <t>GOMO DESARROLLOS Y MATERIALES S DE</t>
        </is>
      </c>
      <c r="K43" t="inlineStr">
        <is>
          <t>Z09</t>
        </is>
      </c>
      <c r="L43" t="inlineStr">
        <is>
          <t>(AP) 90 Dias</t>
        </is>
      </c>
      <c r="M43" t="n">
        <v>10052405</v>
      </c>
      <c r="N43" t="inlineStr">
        <is>
          <t>Grava Riolita 40 MM (1 1/2")</t>
        </is>
      </c>
      <c r="O43" t="inlineStr">
        <is>
          <t>D860</t>
        </is>
      </c>
      <c r="P43" t="inlineStr">
        <is>
          <t>MX-CED. HERMOSILLO</t>
        </is>
      </c>
      <c r="Q43" t="n">
        <v>20220512</v>
      </c>
      <c r="R43" t="n">
        <v>20291231</v>
      </c>
      <c r="S43" t="n">
        <v>20230629</v>
      </c>
      <c r="T43" t="n">
        <v>20281231</v>
      </c>
      <c r="U43" t="n">
        <v>216</v>
      </c>
      <c r="V43" t="inlineStr">
        <is>
          <t>MXN</t>
        </is>
      </c>
      <c r="W43" t="inlineStr">
        <is>
          <t>M3</t>
        </is>
      </c>
      <c r="X43" t="n">
        <v>96</v>
      </c>
      <c r="Y43" t="inlineStr">
        <is>
          <t>MXN</t>
        </is>
      </c>
      <c r="Z43" t="inlineStr">
        <is>
          <t>M3</t>
        </is>
      </c>
      <c r="AA43" t="inlineStr">
        <is>
          <t>66540822</t>
        </is>
      </c>
      <c r="AB43" t="inlineStr">
        <is>
          <t>ALTA CALIDAD EN CONCRETOS PLANTA</t>
        </is>
      </c>
      <c r="AC43" t="n">
        <v>56103637</v>
      </c>
      <c r="AD43" t="n">
        <v>6622501540</v>
      </c>
      <c r="AE43" t="n">
        <v>4</v>
      </c>
      <c r="AF43" t="inlineStr">
        <is>
          <t>ENTREGA DIRECTA</t>
        </is>
      </c>
      <c r="AG43" t="n">
        <v>1.48</v>
      </c>
      <c r="AH43" t="inlineStr">
        <is>
          <t>M3</t>
        </is>
      </c>
      <c r="AI43" t="inlineStr">
        <is>
          <t>X</t>
        </is>
      </c>
      <c r="AJ43" t="n">
        <v>4</v>
      </c>
      <c r="AK43" t="inlineStr">
        <is>
          <t>V4</t>
        </is>
      </c>
      <c r="AL43" t="n">
        <v>20230920</v>
      </c>
      <c r="AM43" t="inlineStr">
        <is>
          <t>D860-900007611-66540822-10052405-4</t>
        </is>
      </c>
    </row>
    <row r="44">
      <c r="A44" t="inlineStr">
        <is>
          <t>900007611D8606695806510052404</t>
        </is>
      </c>
      <c r="B44" t="inlineStr">
        <is>
          <t>4600053981-220</t>
        </is>
      </c>
      <c r="C44" t="n">
        <v>4600053981</v>
      </c>
      <c r="D44" t="n">
        <v>220</v>
      </c>
      <c r="E44" t="inlineStr">
        <is>
          <t>MXPO</t>
        </is>
      </c>
      <c r="F44" t="inlineStr">
        <is>
          <t>MXL</t>
        </is>
      </c>
      <c r="G44" t="n">
        <v>900007611</v>
      </c>
      <c r="H44" t="inlineStr">
        <is>
          <t>SF TP-ED-GOMOSA</t>
        </is>
      </c>
      <c r="I44" t="n">
        <v>5083069</v>
      </c>
      <c r="J44" t="inlineStr">
        <is>
          <t>GOMO DESARROLLOS Y MATERIALES S DE</t>
        </is>
      </c>
      <c r="K44" t="inlineStr">
        <is>
          <t>Z09</t>
        </is>
      </c>
      <c r="L44" t="inlineStr">
        <is>
          <t>(AP) 90 Dias</t>
        </is>
      </c>
      <c r="M44" t="n">
        <v>10052404</v>
      </c>
      <c r="N44" t="inlineStr">
        <is>
          <t>Grava Riolita 20 MM (3/4")</t>
        </is>
      </c>
      <c r="O44" t="inlineStr">
        <is>
          <t>D860</t>
        </is>
      </c>
      <c r="P44" t="inlineStr">
        <is>
          <t>MX-CED. HERMOSILLO</t>
        </is>
      </c>
      <c r="Q44" t="n">
        <v>20220512</v>
      </c>
      <c r="R44" t="n">
        <v>20291231</v>
      </c>
      <c r="S44" t="n">
        <v>20230629</v>
      </c>
      <c r="T44" t="n">
        <v>20281231</v>
      </c>
      <c r="U44" t="n">
        <v>194</v>
      </c>
      <c r="V44" t="inlineStr">
        <is>
          <t>MXN</t>
        </is>
      </c>
      <c r="W44" t="inlineStr">
        <is>
          <t>M3</t>
        </is>
      </c>
      <c r="X44" t="n">
        <v>74</v>
      </c>
      <c r="Y44" t="inlineStr">
        <is>
          <t>MXN</t>
        </is>
      </c>
      <c r="Z44" t="inlineStr">
        <is>
          <t>M3</t>
        </is>
      </c>
      <c r="AA44" t="inlineStr">
        <is>
          <t>66958065</t>
        </is>
      </c>
      <c r="AB44" t="inlineStr">
        <is>
          <t>FORTER PREFABRICADOS</t>
        </is>
      </c>
      <c r="AC44" t="n">
        <v>56103637</v>
      </c>
      <c r="AD44" t="n">
        <v>6622501540</v>
      </c>
      <c r="AE44" t="n">
        <v>4</v>
      </c>
      <c r="AF44" t="inlineStr">
        <is>
          <t>ENTREGA DIRECTA</t>
        </is>
      </c>
      <c r="AG44" t="n">
        <v>1.445</v>
      </c>
      <c r="AH44" t="inlineStr">
        <is>
          <t>M3</t>
        </is>
      </c>
      <c r="AI44" t="inlineStr">
        <is>
          <t>X</t>
        </is>
      </c>
      <c r="AJ44" t="n">
        <v>4</v>
      </c>
      <c r="AK44" t="inlineStr">
        <is>
          <t>V4</t>
        </is>
      </c>
      <c r="AL44" t="n">
        <v>20230920</v>
      </c>
      <c r="AM44" t="inlineStr">
        <is>
          <t>D860-900007611-66958065-10052404-4</t>
        </is>
      </c>
    </row>
    <row r="45">
      <c r="A45" t="inlineStr">
        <is>
          <t>900005572D8606651576710052402</t>
        </is>
      </c>
      <c r="B45" t="inlineStr">
        <is>
          <t>4600041494-20</t>
        </is>
      </c>
      <c r="C45" t="n">
        <v>4600041494</v>
      </c>
      <c r="D45" t="n">
        <v>20</v>
      </c>
      <c r="E45" t="inlineStr">
        <is>
          <t>MXPO</t>
        </is>
      </c>
      <c r="F45" t="inlineStr">
        <is>
          <t>MXL</t>
        </is>
      </c>
      <c r="G45" t="n">
        <v>900005572</v>
      </c>
      <c r="H45" t="inlineStr">
        <is>
          <t>TP- ED- PROPESO</t>
        </is>
      </c>
      <c r="I45" t="n">
        <v>5001601</v>
      </c>
      <c r="J45" t="inlineStr">
        <is>
          <t>PRODUCTOS PETREOS DE SONORA SA DE</t>
        </is>
      </c>
      <c r="K45" t="inlineStr">
        <is>
          <t>Z03</t>
        </is>
      </c>
      <c r="L45" t="inlineStr">
        <is>
          <t>(AP) 15 Dias</t>
        </is>
      </c>
      <c r="M45" t="n">
        <v>10052402</v>
      </c>
      <c r="N45" t="inlineStr">
        <is>
          <t>Grava Riolita 10 MM (3/8")</t>
        </is>
      </c>
      <c r="O45" t="inlineStr">
        <is>
          <t>D860</t>
        </is>
      </c>
      <c r="P45" t="inlineStr">
        <is>
          <t>MX-CED. HERMOSILLO</t>
        </is>
      </c>
      <c r="Q45" t="n">
        <v>20180308</v>
      </c>
      <c r="R45" t="n">
        <v>20281231</v>
      </c>
      <c r="S45" t="n">
        <v>20190415</v>
      </c>
      <c r="T45" t="n">
        <v>20241231</v>
      </c>
      <c r="U45" t="n">
        <v>286.2</v>
      </c>
      <c r="V45" t="inlineStr">
        <is>
          <t>MXN</t>
        </is>
      </c>
      <c r="W45" t="inlineStr">
        <is>
          <t>M3</t>
        </is>
      </c>
      <c r="X45" t="n">
        <v>102.6</v>
      </c>
      <c r="Y45" t="inlineStr">
        <is>
          <t>MXN</t>
        </is>
      </c>
      <c r="Z45" t="inlineStr">
        <is>
          <t>M3</t>
        </is>
      </c>
      <c r="AA45" t="inlineStr">
        <is>
          <t>66515767</t>
        </is>
      </c>
      <c r="AC45" t="n">
        <v>56103637</v>
      </c>
      <c r="AD45" t="n">
        <v>6622501540</v>
      </c>
      <c r="AE45" t="n">
        <v>4</v>
      </c>
      <c r="AF45" t="inlineStr">
        <is>
          <t>ENTREGA DIRECTA</t>
        </is>
      </c>
      <c r="AG45" t="n">
        <v>1.52</v>
      </c>
      <c r="AH45" t="inlineStr">
        <is>
          <t>M3</t>
        </is>
      </c>
      <c r="AI45" t="inlineStr">
        <is>
          <t>X</t>
        </is>
      </c>
      <c r="AJ45" t="n">
        <v>4</v>
      </c>
      <c r="AK45" t="inlineStr">
        <is>
          <t>V4</t>
        </is>
      </c>
      <c r="AL45" t="n">
        <v>20230920</v>
      </c>
      <c r="AM45" t="inlineStr">
        <is>
          <t>D860-900005572-66515767-10052402-4</t>
        </is>
      </c>
    </row>
    <row r="46">
      <c r="A46" t="inlineStr">
        <is>
          <t>900005572D8606659739110052407</t>
        </is>
      </c>
      <c r="B46" t="inlineStr">
        <is>
          <t>4600041494-230</t>
        </is>
      </c>
      <c r="C46" t="n">
        <v>4600041494</v>
      </c>
      <c r="D46" t="n">
        <v>230</v>
      </c>
      <c r="E46" t="inlineStr">
        <is>
          <t>MXPO</t>
        </is>
      </c>
      <c r="F46" t="inlineStr">
        <is>
          <t>MXL</t>
        </is>
      </c>
      <c r="G46" t="n">
        <v>900005572</v>
      </c>
      <c r="H46" t="inlineStr">
        <is>
          <t>TP- ED- PROPESO</t>
        </is>
      </c>
      <c r="I46" t="n">
        <v>5001601</v>
      </c>
      <c r="J46" t="inlineStr">
        <is>
          <t>PRODUCTOS PETREOS DE SONORA SA DE</t>
        </is>
      </c>
      <c r="K46" t="inlineStr">
        <is>
          <t>Z03</t>
        </is>
      </c>
      <c r="L46" t="inlineStr">
        <is>
          <t>(AP) 15 Dias</t>
        </is>
      </c>
      <c r="M46" t="n">
        <v>10052407</v>
      </c>
      <c r="N46" t="inlineStr">
        <is>
          <t>Arena Triturada Rio Malla 4</t>
        </is>
      </c>
      <c r="O46" t="inlineStr">
        <is>
          <t>D860</t>
        </is>
      </c>
      <c r="P46" t="inlineStr">
        <is>
          <t>MX-CED. HERMOSILLO</t>
        </is>
      </c>
      <c r="Q46" t="n">
        <v>20180308</v>
      </c>
      <c r="R46" t="n">
        <v>20281231</v>
      </c>
      <c r="S46" t="n">
        <v>20190415</v>
      </c>
      <c r="T46" t="n">
        <v>20241231</v>
      </c>
      <c r="U46" t="n">
        <v>199.8</v>
      </c>
      <c r="V46" t="inlineStr">
        <is>
          <t>MXN</t>
        </is>
      </c>
      <c r="W46" t="inlineStr">
        <is>
          <t>M3</t>
        </is>
      </c>
      <c r="X46" t="n">
        <v>102.6</v>
      </c>
      <c r="Y46" t="inlineStr">
        <is>
          <t>MXN</t>
        </is>
      </c>
      <c r="Z46" t="inlineStr">
        <is>
          <t>M3</t>
        </is>
      </c>
      <c r="AA46" t="inlineStr">
        <is>
          <t>66597391</t>
        </is>
      </c>
      <c r="AB46" t="inlineStr">
        <is>
          <t>CEDIS MODELO (EIAA)</t>
        </is>
      </c>
      <c r="AC46" t="n">
        <v>56103638</v>
      </c>
      <c r="AD46" t="n">
        <v>6622501540</v>
      </c>
      <c r="AE46" t="n">
        <v>4</v>
      </c>
      <c r="AF46" t="inlineStr">
        <is>
          <t>ENTREGA DIRECTA</t>
        </is>
      </c>
      <c r="AG46" t="n">
        <v>1.51</v>
      </c>
      <c r="AH46" t="inlineStr">
        <is>
          <t>M3</t>
        </is>
      </c>
      <c r="AI46" t="inlineStr">
        <is>
          <t>X</t>
        </is>
      </c>
      <c r="AJ46" t="n">
        <v>4</v>
      </c>
      <c r="AK46" t="inlineStr">
        <is>
          <t>V4</t>
        </is>
      </c>
      <c r="AL46" t="n">
        <v>20230920</v>
      </c>
      <c r="AM46" t="inlineStr">
        <is>
          <t>D860-900005572-66597391-10052407-4</t>
        </is>
      </c>
    </row>
    <row r="47">
      <c r="A47" t="inlineStr">
        <is>
          <t>900005572D8606684587610052407</t>
        </is>
      </c>
      <c r="B47" t="inlineStr">
        <is>
          <t>4600041494-320</t>
        </is>
      </c>
      <c r="C47" t="n">
        <v>4600041494</v>
      </c>
      <c r="D47" t="n">
        <v>320</v>
      </c>
      <c r="E47" t="inlineStr">
        <is>
          <t>MXPO</t>
        </is>
      </c>
      <c r="F47" t="inlineStr">
        <is>
          <t>MXL</t>
        </is>
      </c>
      <c r="G47" t="n">
        <v>900005572</v>
      </c>
      <c r="H47" t="inlineStr">
        <is>
          <t>TP- ED- PROPESO</t>
        </is>
      </c>
      <c r="I47" t="n">
        <v>5001601</v>
      </c>
      <c r="J47" t="inlineStr">
        <is>
          <t>PRODUCTOS PETREOS DE SONORA SA DE</t>
        </is>
      </c>
      <c r="K47" t="inlineStr">
        <is>
          <t>Z03</t>
        </is>
      </c>
      <c r="L47" t="inlineStr">
        <is>
          <t>(AP) 15 Dias</t>
        </is>
      </c>
      <c r="M47" t="n">
        <v>10052407</v>
      </c>
      <c r="N47" t="inlineStr">
        <is>
          <t>Arena Triturada Rio Malla 4</t>
        </is>
      </c>
      <c r="O47" t="inlineStr">
        <is>
          <t>D860</t>
        </is>
      </c>
      <c r="P47" t="inlineStr">
        <is>
          <t>MX-CED. HERMOSILLO</t>
        </is>
      </c>
      <c r="Q47" t="n">
        <v>20180308</v>
      </c>
      <c r="R47" t="n">
        <v>20281231</v>
      </c>
      <c r="S47" t="n">
        <v>20300101</v>
      </c>
      <c r="T47" t="n">
        <v>99991231</v>
      </c>
      <c r="U47" t="n">
        <v>210.2</v>
      </c>
      <c r="V47" t="inlineStr">
        <is>
          <t>MXN</t>
        </is>
      </c>
      <c r="W47" t="inlineStr">
        <is>
          <t>M3</t>
        </is>
      </c>
      <c r="X47" t="n">
        <v>113</v>
      </c>
      <c r="Y47" t="inlineStr">
        <is>
          <t>MXN</t>
        </is>
      </c>
      <c r="Z47" t="inlineStr">
        <is>
          <t>M3</t>
        </is>
      </c>
      <c r="AA47" t="inlineStr">
        <is>
          <t>66845876</t>
        </is>
      </c>
      <c r="AB47" t="inlineStr">
        <is>
          <t>CP-I FRACC. SANTA ANITA (JVM)</t>
        </is>
      </c>
      <c r="AC47" t="n">
        <v>56103638</v>
      </c>
      <c r="AD47" t="n">
        <v>6622501540</v>
      </c>
      <c r="AE47" t="n">
        <v>4</v>
      </c>
      <c r="AF47" t="inlineStr">
        <is>
          <t>ENTREGA DIRECTA</t>
        </is>
      </c>
      <c r="AG47" t="n">
        <v>1.51</v>
      </c>
      <c r="AH47" t="inlineStr">
        <is>
          <t>M3</t>
        </is>
      </c>
      <c r="AI47" t="inlineStr">
        <is>
          <t>X</t>
        </is>
      </c>
      <c r="AJ47" t="n">
        <v>4</v>
      </c>
      <c r="AK47" t="inlineStr">
        <is>
          <t>V4</t>
        </is>
      </c>
      <c r="AL47" t="n">
        <v>20230920</v>
      </c>
      <c r="AM47" t="inlineStr">
        <is>
          <t>D860-900005572-66845876-10052407-4</t>
        </is>
      </c>
    </row>
    <row r="48">
      <c r="A48" t="inlineStr">
        <is>
          <t>900005572D8606684587610052402</t>
        </is>
      </c>
      <c r="B48" t="inlineStr">
        <is>
          <t>4600041494-330</t>
        </is>
      </c>
      <c r="C48" t="n">
        <v>4600041494</v>
      </c>
      <c r="D48" t="n">
        <v>330</v>
      </c>
      <c r="E48" t="inlineStr">
        <is>
          <t>MXPO</t>
        </is>
      </c>
      <c r="F48" t="inlineStr">
        <is>
          <t>MXL</t>
        </is>
      </c>
      <c r="G48" t="n">
        <v>900005572</v>
      </c>
      <c r="H48" t="inlineStr">
        <is>
          <t>TP- ED- PROPESO</t>
        </is>
      </c>
      <c r="I48" t="n">
        <v>5001601</v>
      </c>
      <c r="J48" t="inlineStr">
        <is>
          <t>PRODUCTOS PETREOS DE SONORA SA DE</t>
        </is>
      </c>
      <c r="K48" t="inlineStr">
        <is>
          <t>Z03</t>
        </is>
      </c>
      <c r="L48" t="inlineStr">
        <is>
          <t>(AP) 15 Dias</t>
        </is>
      </c>
      <c r="M48" t="n">
        <v>10052402</v>
      </c>
      <c r="N48" t="inlineStr">
        <is>
          <t>Grava Riolita 10 MM (3/8")</t>
        </is>
      </c>
      <c r="O48" t="inlineStr">
        <is>
          <t>D860</t>
        </is>
      </c>
      <c r="P48" t="inlineStr">
        <is>
          <t>MX-CED. HERMOSILLO</t>
        </is>
      </c>
      <c r="Q48" t="n">
        <v>20180308</v>
      </c>
      <c r="R48" t="n">
        <v>20281231</v>
      </c>
      <c r="S48" t="n">
        <v>20300101</v>
      </c>
      <c r="T48" t="n">
        <v>99991231</v>
      </c>
      <c r="U48" t="n">
        <v>296.6</v>
      </c>
      <c r="V48" t="inlineStr">
        <is>
          <t>MXN</t>
        </is>
      </c>
      <c r="W48" t="inlineStr">
        <is>
          <t>M3</t>
        </is>
      </c>
      <c r="X48" t="n">
        <v>113</v>
      </c>
      <c r="Y48" t="inlineStr">
        <is>
          <t>MXN</t>
        </is>
      </c>
      <c r="Z48" t="inlineStr">
        <is>
          <t>M3</t>
        </is>
      </c>
      <c r="AA48" t="inlineStr">
        <is>
          <t>66845876</t>
        </is>
      </c>
      <c r="AB48" t="inlineStr">
        <is>
          <t>CP-I FRACC. SANTA ANITA (JVM)</t>
        </is>
      </c>
      <c r="AC48" t="n">
        <v>56103637</v>
      </c>
      <c r="AD48" t="n">
        <v>6622501540</v>
      </c>
      <c r="AE48" t="n">
        <v>4</v>
      </c>
      <c r="AF48" t="inlineStr">
        <is>
          <t>ENTREGA DIRECTA</t>
        </is>
      </c>
      <c r="AG48" t="n">
        <v>1.52</v>
      </c>
      <c r="AH48" t="inlineStr">
        <is>
          <t>M3</t>
        </is>
      </c>
      <c r="AI48" t="inlineStr">
        <is>
          <t>X</t>
        </is>
      </c>
      <c r="AJ48" t="n">
        <v>4</v>
      </c>
      <c r="AK48" t="inlineStr">
        <is>
          <t>V4</t>
        </is>
      </c>
      <c r="AL48" t="n">
        <v>20230920</v>
      </c>
      <c r="AM48" t="inlineStr">
        <is>
          <t>D860-900005572-66845876-10052402-4</t>
        </is>
      </c>
    </row>
    <row r="49">
      <c r="A49" t="inlineStr">
        <is>
          <t>900005572D8606590741210052402</t>
        </is>
      </c>
      <c r="B49" t="inlineStr">
        <is>
          <t>4600041494-60</t>
        </is>
      </c>
      <c r="C49" t="n">
        <v>4600041494</v>
      </c>
      <c r="D49" t="n">
        <v>60</v>
      </c>
      <c r="E49" t="inlineStr">
        <is>
          <t>MXPO</t>
        </is>
      </c>
      <c r="F49" t="inlineStr">
        <is>
          <t>MXL</t>
        </is>
      </c>
      <c r="G49" t="n">
        <v>900005572</v>
      </c>
      <c r="H49" t="inlineStr">
        <is>
          <t>TP- ED- PROPESO</t>
        </is>
      </c>
      <c r="I49" t="n">
        <v>5001601</v>
      </c>
      <c r="J49" t="inlineStr">
        <is>
          <t>PRODUCTOS PETREOS DE SONORA SA DE</t>
        </is>
      </c>
      <c r="K49" t="inlineStr">
        <is>
          <t>Z03</t>
        </is>
      </c>
      <c r="L49" t="inlineStr">
        <is>
          <t>(AP) 15 Dias</t>
        </is>
      </c>
      <c r="M49" t="n">
        <v>10052402</v>
      </c>
      <c r="N49" t="inlineStr">
        <is>
          <t>Grava Riolita 10 MM (3/8")</t>
        </is>
      </c>
      <c r="O49" t="inlineStr">
        <is>
          <t>D860</t>
        </is>
      </c>
      <c r="P49" t="inlineStr">
        <is>
          <t>MX-CED. HERMOSILLO</t>
        </is>
      </c>
      <c r="Q49" t="n">
        <v>20180308</v>
      </c>
      <c r="R49" t="n">
        <v>20281231</v>
      </c>
      <c r="S49" t="n">
        <v>20180511</v>
      </c>
      <c r="T49" t="n">
        <v>20241231</v>
      </c>
      <c r="U49" t="n">
        <v>302.94</v>
      </c>
      <c r="V49" t="inlineStr">
        <is>
          <t>MXN</t>
        </is>
      </c>
      <c r="W49" t="inlineStr">
        <is>
          <t>M3</t>
        </is>
      </c>
      <c r="X49" t="n">
        <v>142.94</v>
      </c>
      <c r="Y49" t="inlineStr">
        <is>
          <t>MXN</t>
        </is>
      </c>
      <c r="Z49" t="inlineStr">
        <is>
          <t>M3</t>
        </is>
      </c>
      <c r="AA49" t="inlineStr">
        <is>
          <t>65907412</t>
        </is>
      </c>
      <c r="AB49" t="inlineStr">
        <is>
          <t>VTL URBANIZACIONES MEZAMEX</t>
        </is>
      </c>
      <c r="AC49" t="n">
        <v>56103637</v>
      </c>
      <c r="AD49" t="n">
        <v>6622501540</v>
      </c>
      <c r="AE49" t="n">
        <v>4</v>
      </c>
      <c r="AF49" t="inlineStr">
        <is>
          <t>ENTREGA DIRECTA</t>
        </is>
      </c>
      <c r="AG49" t="n">
        <v>1.52</v>
      </c>
      <c r="AH49" t="inlineStr">
        <is>
          <t>M3</t>
        </is>
      </c>
      <c r="AI49" t="inlineStr">
        <is>
          <t>X</t>
        </is>
      </c>
      <c r="AJ49" t="n">
        <v>4</v>
      </c>
      <c r="AK49" t="inlineStr">
        <is>
          <t>V4</t>
        </is>
      </c>
      <c r="AL49" t="n">
        <v>20230920</v>
      </c>
      <c r="AM49" t="inlineStr">
        <is>
          <t>D860-900005572-65907412-10052402-4</t>
        </is>
      </c>
    </row>
    <row r="50">
      <c r="A50" t="inlineStr">
        <is>
          <t>900005572D8606590741210052405</t>
        </is>
      </c>
      <c r="B50" t="inlineStr">
        <is>
          <t>4600041494-80</t>
        </is>
      </c>
      <c r="C50" t="n">
        <v>4600041494</v>
      </c>
      <c r="D50" t="n">
        <v>80</v>
      </c>
      <c r="E50" t="inlineStr">
        <is>
          <t>MXPO</t>
        </is>
      </c>
      <c r="F50" t="inlineStr">
        <is>
          <t>MXL</t>
        </is>
      </c>
      <c r="G50" t="n">
        <v>900005572</v>
      </c>
      <c r="H50" t="inlineStr">
        <is>
          <t>TP- ED- PROPESO</t>
        </is>
      </c>
      <c r="I50" t="n">
        <v>5001601</v>
      </c>
      <c r="J50" t="inlineStr">
        <is>
          <t>PRODUCTOS PETREOS DE SONORA SA DE</t>
        </is>
      </c>
      <c r="K50" t="inlineStr">
        <is>
          <t>Z03</t>
        </is>
      </c>
      <c r="L50" t="inlineStr">
        <is>
          <t>(AP) 15 Dias</t>
        </is>
      </c>
      <c r="M50" t="n">
        <v>10052405</v>
      </c>
      <c r="N50" t="inlineStr">
        <is>
          <t>Grava Riolita 40 MM (1 1/2")</t>
        </is>
      </c>
      <c r="O50" t="inlineStr">
        <is>
          <t>D860</t>
        </is>
      </c>
      <c r="P50" t="inlineStr">
        <is>
          <t>MX-CED. HERMOSILLO</t>
        </is>
      </c>
      <c r="Q50" t="n">
        <v>20180308</v>
      </c>
      <c r="R50" t="n">
        <v>20281231</v>
      </c>
      <c r="S50" t="n">
        <v>20180511</v>
      </c>
      <c r="T50" t="n">
        <v>20241231</v>
      </c>
      <c r="U50" t="n">
        <v>242.94</v>
      </c>
      <c r="V50" t="inlineStr">
        <is>
          <t>MXN</t>
        </is>
      </c>
      <c r="W50" t="inlineStr">
        <is>
          <t>M3</t>
        </is>
      </c>
      <c r="X50" t="n">
        <v>142.94</v>
      </c>
      <c r="Y50" t="inlineStr">
        <is>
          <t>MXN</t>
        </is>
      </c>
      <c r="Z50" t="inlineStr">
        <is>
          <t>M3</t>
        </is>
      </c>
      <c r="AA50" t="inlineStr">
        <is>
          <t>65907412</t>
        </is>
      </c>
      <c r="AB50" t="inlineStr">
        <is>
          <t>VTL URBANIZACIONES MEZAMEX</t>
        </is>
      </c>
      <c r="AC50" t="n">
        <v>56103637</v>
      </c>
      <c r="AD50" t="n">
        <v>6622501540</v>
      </c>
      <c r="AE50" t="n">
        <v>4</v>
      </c>
      <c r="AF50" t="inlineStr">
        <is>
          <t>ENTREGA DIRECTA</t>
        </is>
      </c>
      <c r="AG50" t="n">
        <v>1.48</v>
      </c>
      <c r="AH50" t="inlineStr">
        <is>
          <t>M3</t>
        </is>
      </c>
      <c r="AI50" t="inlineStr">
        <is>
          <t>X</t>
        </is>
      </c>
      <c r="AJ50" t="n">
        <v>4</v>
      </c>
      <c r="AK50" t="inlineStr">
        <is>
          <t>V4</t>
        </is>
      </c>
      <c r="AL50" t="n">
        <v>20230920</v>
      </c>
      <c r="AM50" t="inlineStr">
        <is>
          <t>D860-900005572-65907412-10052405-4</t>
        </is>
      </c>
    </row>
    <row r="51">
      <c r="A51" t="inlineStr">
        <is>
          <t>900005572D8606648110910052407</t>
        </is>
      </c>
      <c r="B51" t="inlineStr">
        <is>
          <t>4600041494-90</t>
        </is>
      </c>
      <c r="C51" t="n">
        <v>4600041494</v>
      </c>
      <c r="D51" t="n">
        <v>90</v>
      </c>
      <c r="E51" t="inlineStr">
        <is>
          <t>MXPO</t>
        </is>
      </c>
      <c r="F51" t="inlineStr">
        <is>
          <t>MXL</t>
        </is>
      </c>
      <c r="G51" t="n">
        <v>900005572</v>
      </c>
      <c r="H51" t="inlineStr">
        <is>
          <t>TP- ED- PROPESO</t>
        </is>
      </c>
      <c r="I51" t="n">
        <v>5001601</v>
      </c>
      <c r="J51" t="inlineStr">
        <is>
          <t>PRODUCTOS PETREOS DE SONORA SA DE</t>
        </is>
      </c>
      <c r="K51" t="inlineStr">
        <is>
          <t>Z03</t>
        </is>
      </c>
      <c r="L51" t="inlineStr">
        <is>
          <t>(AP) 15 Dias</t>
        </is>
      </c>
      <c r="M51" t="n">
        <v>10052407</v>
      </c>
      <c r="N51" t="inlineStr">
        <is>
          <t>Arena Triturada Rio Malla 4</t>
        </is>
      </c>
      <c r="O51" t="inlineStr">
        <is>
          <t>D860</t>
        </is>
      </c>
      <c r="P51" t="inlineStr">
        <is>
          <t>MX-CED. HERMOSILLO</t>
        </is>
      </c>
      <c r="Q51" t="n">
        <v>20180308</v>
      </c>
      <c r="R51" t="n">
        <v>20281231</v>
      </c>
      <c r="S51" t="n">
        <v>20180511</v>
      </c>
      <c r="T51" t="n">
        <v>20241231</v>
      </c>
      <c r="U51" t="n">
        <v>232.94</v>
      </c>
      <c r="V51" t="inlineStr">
        <is>
          <t>MXN</t>
        </is>
      </c>
      <c r="W51" t="inlineStr">
        <is>
          <t>M3</t>
        </is>
      </c>
      <c r="X51" t="n">
        <v>142.94</v>
      </c>
      <c r="Y51" t="inlineStr">
        <is>
          <t>MXN</t>
        </is>
      </c>
      <c r="Z51" t="inlineStr">
        <is>
          <t>M3</t>
        </is>
      </c>
      <c r="AA51" t="inlineStr">
        <is>
          <t>66481109</t>
        </is>
      </c>
      <c r="AB51" t="inlineStr">
        <is>
          <t>Mezta Hermosillo</t>
        </is>
      </c>
      <c r="AC51" t="n">
        <v>56103638</v>
      </c>
      <c r="AD51" t="n">
        <v>6622501540</v>
      </c>
      <c r="AE51" t="n">
        <v>4</v>
      </c>
      <c r="AF51" t="inlineStr">
        <is>
          <t>ENTREGA DIRECTA</t>
        </is>
      </c>
      <c r="AG51" t="n">
        <v>1.51</v>
      </c>
      <c r="AH51" t="inlineStr">
        <is>
          <t>M3</t>
        </is>
      </c>
      <c r="AI51" t="inlineStr">
        <is>
          <t>X</t>
        </is>
      </c>
      <c r="AJ51" t="n">
        <v>4</v>
      </c>
      <c r="AK51" t="inlineStr">
        <is>
          <t>V4</t>
        </is>
      </c>
      <c r="AL51" t="n">
        <v>20230920</v>
      </c>
      <c r="AM51" t="inlineStr">
        <is>
          <t>D860-900005572-66481109-10052407-4</t>
        </is>
      </c>
    </row>
    <row r="52">
      <c r="A52" t="inlineStr">
        <is>
          <t>900005572D8606648110910052402</t>
        </is>
      </c>
      <c r="B52" t="inlineStr">
        <is>
          <t>4600041494-100</t>
        </is>
      </c>
      <c r="C52" t="n">
        <v>4600041494</v>
      </c>
      <c r="D52" t="n">
        <v>100</v>
      </c>
      <c r="E52" t="inlineStr">
        <is>
          <t>MXPO</t>
        </is>
      </c>
      <c r="F52" t="inlineStr">
        <is>
          <t>MXL</t>
        </is>
      </c>
      <c r="G52" t="n">
        <v>900005572</v>
      </c>
      <c r="H52" t="inlineStr">
        <is>
          <t>TP- ED- PROPESO</t>
        </is>
      </c>
      <c r="I52" t="n">
        <v>5001601</v>
      </c>
      <c r="J52" t="inlineStr">
        <is>
          <t>PRODUCTOS PETREOS DE SONORA SA DE</t>
        </is>
      </c>
      <c r="K52" t="inlineStr">
        <is>
          <t>Z03</t>
        </is>
      </c>
      <c r="L52" t="inlineStr">
        <is>
          <t>(AP) 15 Dias</t>
        </is>
      </c>
      <c r="M52" t="n">
        <v>10052402</v>
      </c>
      <c r="N52" t="inlineStr">
        <is>
          <t>Grava Riolita 10 MM (3/8")</t>
        </is>
      </c>
      <c r="O52" t="inlineStr">
        <is>
          <t>D860</t>
        </is>
      </c>
      <c r="P52" t="inlineStr">
        <is>
          <t>MX-CED. HERMOSILLO</t>
        </is>
      </c>
      <c r="Q52" t="n">
        <v>20180308</v>
      </c>
      <c r="R52" t="n">
        <v>20281231</v>
      </c>
      <c r="S52" t="n">
        <v>20180511</v>
      </c>
      <c r="T52" t="n">
        <v>20241231</v>
      </c>
      <c r="U52" t="n">
        <v>302.94</v>
      </c>
      <c r="V52" t="inlineStr">
        <is>
          <t>MXN</t>
        </is>
      </c>
      <c r="W52" t="inlineStr">
        <is>
          <t>M3</t>
        </is>
      </c>
      <c r="X52" t="n">
        <v>142.94</v>
      </c>
      <c r="Y52" t="inlineStr">
        <is>
          <t>MXN</t>
        </is>
      </c>
      <c r="Z52" t="inlineStr">
        <is>
          <t>M3</t>
        </is>
      </c>
      <c r="AA52" t="inlineStr">
        <is>
          <t>66481109</t>
        </is>
      </c>
      <c r="AB52" t="inlineStr">
        <is>
          <t>Mezta Hermosillo</t>
        </is>
      </c>
      <c r="AC52" t="n">
        <v>56103637</v>
      </c>
      <c r="AD52" t="n">
        <v>6622501540</v>
      </c>
      <c r="AE52" t="n">
        <v>4</v>
      </c>
      <c r="AF52" t="inlineStr">
        <is>
          <t>ENTREGA DIRECTA</t>
        </is>
      </c>
      <c r="AG52" t="n">
        <v>1.52</v>
      </c>
      <c r="AH52" t="inlineStr">
        <is>
          <t>M3</t>
        </is>
      </c>
      <c r="AI52" t="inlineStr">
        <is>
          <t>X</t>
        </is>
      </c>
      <c r="AJ52" t="n">
        <v>4</v>
      </c>
      <c r="AK52" t="inlineStr">
        <is>
          <t>V4</t>
        </is>
      </c>
      <c r="AL52" t="n">
        <v>20230920</v>
      </c>
      <c r="AM52" t="inlineStr">
        <is>
          <t>D860-900005572-66481109-10052402-4</t>
        </is>
      </c>
    </row>
    <row r="53">
      <c r="A53" t="inlineStr">
        <is>
          <t>900005572D8606590741210052407</t>
        </is>
      </c>
      <c r="B53" t="inlineStr">
        <is>
          <t>4600041494-50</t>
        </is>
      </c>
      <c r="C53" t="n">
        <v>4600041494</v>
      </c>
      <c r="D53" t="n">
        <v>50</v>
      </c>
      <c r="E53" t="inlineStr">
        <is>
          <t>MXPO</t>
        </is>
      </c>
      <c r="F53" t="inlineStr">
        <is>
          <t>MXL</t>
        </is>
      </c>
      <c r="G53" t="n">
        <v>900005572</v>
      </c>
      <c r="H53" t="inlineStr">
        <is>
          <t>TP- ED- PROPESO</t>
        </is>
      </c>
      <c r="I53" t="n">
        <v>5001601</v>
      </c>
      <c r="J53" t="inlineStr">
        <is>
          <t>PRODUCTOS PETREOS DE SONORA SA DE</t>
        </is>
      </c>
      <c r="K53" t="inlineStr">
        <is>
          <t>Z03</t>
        </is>
      </c>
      <c r="L53" t="inlineStr">
        <is>
          <t>(AP) 15 Dias</t>
        </is>
      </c>
      <c r="M53" t="n">
        <v>10052407</v>
      </c>
      <c r="N53" t="inlineStr">
        <is>
          <t>Arena Triturada Rio Malla 4</t>
        </is>
      </c>
      <c r="O53" t="inlineStr">
        <is>
          <t>D860</t>
        </is>
      </c>
      <c r="P53" t="inlineStr">
        <is>
          <t>MX-CED. HERMOSILLO</t>
        </is>
      </c>
      <c r="Q53" t="n">
        <v>20180308</v>
      </c>
      <c r="R53" t="n">
        <v>20281231</v>
      </c>
      <c r="S53" t="n">
        <v>20180511</v>
      </c>
      <c r="T53" t="n">
        <v>20241231</v>
      </c>
      <c r="U53" t="n">
        <v>232.94</v>
      </c>
      <c r="V53" t="inlineStr">
        <is>
          <t>MXN</t>
        </is>
      </c>
      <c r="W53" t="inlineStr">
        <is>
          <t>M3</t>
        </is>
      </c>
      <c r="X53" t="n">
        <v>142.94</v>
      </c>
      <c r="Y53" t="inlineStr">
        <is>
          <t>MXN</t>
        </is>
      </c>
      <c r="Z53" t="inlineStr">
        <is>
          <t>M3</t>
        </is>
      </c>
      <c r="AA53" t="inlineStr">
        <is>
          <t>65907412</t>
        </is>
      </c>
      <c r="AB53" t="inlineStr">
        <is>
          <t>VTL URBANIZACIONES MEZAMEX</t>
        </is>
      </c>
      <c r="AC53" t="n">
        <v>56103638</v>
      </c>
      <c r="AD53" t="n">
        <v>6622501540</v>
      </c>
      <c r="AE53" t="n">
        <v>4</v>
      </c>
      <c r="AF53" t="inlineStr">
        <is>
          <t>ENTREGA DIRECTA</t>
        </is>
      </c>
      <c r="AG53" t="n">
        <v>1.51</v>
      </c>
      <c r="AH53" t="inlineStr">
        <is>
          <t>M3</t>
        </is>
      </c>
      <c r="AI53" t="inlineStr">
        <is>
          <t>X</t>
        </is>
      </c>
      <c r="AJ53" t="n">
        <v>4</v>
      </c>
      <c r="AK53" t="inlineStr">
        <is>
          <t>V4</t>
        </is>
      </c>
      <c r="AL53" t="n">
        <v>20230920</v>
      </c>
      <c r="AM53" t="inlineStr">
        <is>
          <t>D860-900005572-65907412-10052407-4</t>
        </is>
      </c>
    </row>
    <row r="54">
      <c r="A54" t="inlineStr">
        <is>
          <t>900005572D8606648110910052405</t>
        </is>
      </c>
      <c r="B54" t="inlineStr">
        <is>
          <t>4600041494-120</t>
        </is>
      </c>
      <c r="C54" t="n">
        <v>4600041494</v>
      </c>
      <c r="D54" t="n">
        <v>120</v>
      </c>
      <c r="E54" t="inlineStr">
        <is>
          <t>MXPO</t>
        </is>
      </c>
      <c r="F54" t="inlineStr">
        <is>
          <t>MXL</t>
        </is>
      </c>
      <c r="G54" t="n">
        <v>900005572</v>
      </c>
      <c r="H54" t="inlineStr">
        <is>
          <t>TP- ED- PROPESO</t>
        </is>
      </c>
      <c r="I54" t="n">
        <v>5001601</v>
      </c>
      <c r="J54" t="inlineStr">
        <is>
          <t>PRODUCTOS PETREOS DE SONORA SA DE</t>
        </is>
      </c>
      <c r="K54" t="inlineStr">
        <is>
          <t>Z03</t>
        </is>
      </c>
      <c r="L54" t="inlineStr">
        <is>
          <t>(AP) 15 Dias</t>
        </is>
      </c>
      <c r="M54" t="n">
        <v>10052405</v>
      </c>
      <c r="N54" t="inlineStr">
        <is>
          <t>Grava Riolita 40 MM (1 1/2")</t>
        </is>
      </c>
      <c r="O54" t="inlineStr">
        <is>
          <t>D860</t>
        </is>
      </c>
      <c r="P54" t="inlineStr">
        <is>
          <t>MX-CED. HERMOSILLO</t>
        </is>
      </c>
      <c r="Q54" t="n">
        <v>20180308</v>
      </c>
      <c r="R54" t="n">
        <v>20281231</v>
      </c>
      <c r="S54" t="n">
        <v>20180511</v>
      </c>
      <c r="T54" t="n">
        <v>20241231</v>
      </c>
      <c r="U54" t="n">
        <v>242.94</v>
      </c>
      <c r="V54" t="inlineStr">
        <is>
          <t>MXN</t>
        </is>
      </c>
      <c r="W54" t="inlineStr">
        <is>
          <t>M3</t>
        </is>
      </c>
      <c r="X54" t="n">
        <v>142.94</v>
      </c>
      <c r="Y54" t="inlineStr">
        <is>
          <t>MXN</t>
        </is>
      </c>
      <c r="Z54" t="inlineStr">
        <is>
          <t>M3</t>
        </is>
      </c>
      <c r="AA54" t="inlineStr">
        <is>
          <t>66481109</t>
        </is>
      </c>
      <c r="AB54" t="inlineStr">
        <is>
          <t>Mezta Hermosillo</t>
        </is>
      </c>
      <c r="AC54" t="n">
        <v>56103637</v>
      </c>
      <c r="AD54" t="n">
        <v>6622501540</v>
      </c>
      <c r="AE54" t="n">
        <v>4</v>
      </c>
      <c r="AF54" t="inlineStr">
        <is>
          <t>ENTREGA DIRECTA</t>
        </is>
      </c>
      <c r="AG54" t="n">
        <v>1.48</v>
      </c>
      <c r="AH54" t="inlineStr">
        <is>
          <t>M3</t>
        </is>
      </c>
      <c r="AI54" t="inlineStr">
        <is>
          <t>X</t>
        </is>
      </c>
      <c r="AJ54" t="n">
        <v>4</v>
      </c>
      <c r="AK54" t="inlineStr">
        <is>
          <t>V4</t>
        </is>
      </c>
      <c r="AL54" t="n">
        <v>20230920</v>
      </c>
      <c r="AM54" t="inlineStr">
        <is>
          <t>D860-900005572-66481109-10052405-4</t>
        </is>
      </c>
    </row>
    <row r="55">
      <c r="A55" t="inlineStr">
        <is>
          <t>900005572D8606685476310052407</t>
        </is>
      </c>
      <c r="B55" t="inlineStr">
        <is>
          <t>4600041494-410</t>
        </is>
      </c>
      <c r="C55" t="n">
        <v>4600041494</v>
      </c>
      <c r="D55" t="n">
        <v>410</v>
      </c>
      <c r="E55" t="inlineStr">
        <is>
          <t>MXPO</t>
        </is>
      </c>
      <c r="F55" t="inlineStr">
        <is>
          <t>MXL</t>
        </is>
      </c>
      <c r="G55" t="n">
        <v>900005572</v>
      </c>
      <c r="H55" t="inlineStr">
        <is>
          <t>TP- ED- PROPESO</t>
        </is>
      </c>
      <c r="I55" t="n">
        <v>5001601</v>
      </c>
      <c r="J55" t="inlineStr">
        <is>
          <t>PRODUCTOS PETREOS DE SONORA SA DE</t>
        </is>
      </c>
      <c r="K55" t="inlineStr">
        <is>
          <t>Z03</t>
        </is>
      </c>
      <c r="L55" t="inlineStr">
        <is>
          <t>(AP) 15 Dias</t>
        </is>
      </c>
      <c r="M55" t="n">
        <v>10052407</v>
      </c>
      <c r="N55" t="inlineStr">
        <is>
          <t>Arena Triturada Rio Malla 4</t>
        </is>
      </c>
      <c r="O55" t="inlineStr">
        <is>
          <t>D860</t>
        </is>
      </c>
      <c r="P55" t="inlineStr">
        <is>
          <t>MX-CED. HERMOSILLO</t>
        </is>
      </c>
      <c r="Q55" t="n">
        <v>20180308</v>
      </c>
      <c r="R55" t="n">
        <v>20281231</v>
      </c>
      <c r="U55" t="n">
        <v>142.2</v>
      </c>
      <c r="V55" t="inlineStr">
        <is>
          <t>MXN</t>
        </is>
      </c>
      <c r="W55" t="inlineStr">
        <is>
          <t>M3</t>
        </is>
      </c>
      <c r="AA55" t="inlineStr">
        <is>
          <t>66854763</t>
        </is>
      </c>
      <c r="AB55" t="inlineStr">
        <is>
          <t>OBRA BONATERRA (JVM)</t>
        </is>
      </c>
      <c r="AC55" t="n">
        <v>56103638</v>
      </c>
      <c r="AD55" t="n">
        <v>6622501540</v>
      </c>
      <c r="AE55" t="n">
        <v>4</v>
      </c>
      <c r="AF55" t="inlineStr">
        <is>
          <t>ENTREGA DIRECTA</t>
        </is>
      </c>
      <c r="AG55" t="n">
        <v>1.51</v>
      </c>
      <c r="AH55" t="inlineStr">
        <is>
          <t>M3</t>
        </is>
      </c>
      <c r="AI55" t="inlineStr">
        <is>
          <t>X</t>
        </is>
      </c>
      <c r="AJ55" t="n">
        <v>4</v>
      </c>
      <c r="AK55" t="inlineStr">
        <is>
          <t>V4</t>
        </is>
      </c>
      <c r="AL55" t="n">
        <v>20230920</v>
      </c>
      <c r="AM55" t="inlineStr">
        <is>
          <t>D860-900005572-66854763-10052407-4</t>
        </is>
      </c>
    </row>
    <row r="56">
      <c r="A56" t="inlineStr">
        <is>
          <t>900005572D8606683351310190637</t>
        </is>
      </c>
      <c r="B56" t="inlineStr">
        <is>
          <t>4600041494-560</t>
        </is>
      </c>
      <c r="C56" t="n">
        <v>4600041494</v>
      </c>
      <c r="D56" t="n">
        <v>560</v>
      </c>
      <c r="E56" t="inlineStr">
        <is>
          <t>MXPO</t>
        </is>
      </c>
      <c r="F56" t="inlineStr">
        <is>
          <t>MXL</t>
        </is>
      </c>
      <c r="G56" t="n">
        <v>900005572</v>
      </c>
      <c r="H56" t="inlineStr">
        <is>
          <t>TP- ED- PROPESO</t>
        </is>
      </c>
      <c r="I56" t="n">
        <v>5001601</v>
      </c>
      <c r="J56" t="inlineStr">
        <is>
          <t>PRODUCTOS PETREOS DE SONORA SA DE</t>
        </is>
      </c>
      <c r="K56" t="inlineStr">
        <is>
          <t>Z03</t>
        </is>
      </c>
      <c r="L56" t="inlineStr">
        <is>
          <t>(AP) 15 Dias</t>
        </is>
      </c>
      <c r="M56" t="n">
        <v>10190637</v>
      </c>
      <c r="N56" t="inlineStr">
        <is>
          <t>GRAVA CLASIFICADA RIOLITA 20 MM (3/4")</t>
        </is>
      </c>
      <c r="O56" t="inlineStr">
        <is>
          <t>D860</t>
        </is>
      </c>
      <c r="P56" t="inlineStr">
        <is>
          <t>MX-CED. HERMOSILLO</t>
        </is>
      </c>
      <c r="Q56" t="n">
        <v>20180308</v>
      </c>
      <c r="R56" t="n">
        <v>20281231</v>
      </c>
      <c r="U56" t="n">
        <v>208</v>
      </c>
      <c r="V56" t="inlineStr">
        <is>
          <t>MXN</t>
        </is>
      </c>
      <c r="W56" t="inlineStr">
        <is>
          <t>M3</t>
        </is>
      </c>
      <c r="AA56" t="inlineStr">
        <is>
          <t>66833513</t>
        </is>
      </c>
      <c r="AB56" t="inlineStr">
        <is>
          <t>BODEGA AURRERA BLVD LIBERTAD (EIAA)</t>
        </is>
      </c>
      <c r="AC56" t="n">
        <v>56103637</v>
      </c>
      <c r="AD56" t="n">
        <v>6622501540</v>
      </c>
      <c r="AE56" t="n">
        <v>4</v>
      </c>
      <c r="AF56" t="inlineStr">
        <is>
          <t>ENTREGA DIRECTA</t>
        </is>
      </c>
      <c r="AG56" t="n">
        <v>1.445</v>
      </c>
      <c r="AH56" t="inlineStr">
        <is>
          <t>M3</t>
        </is>
      </c>
      <c r="AI56" t="inlineStr">
        <is>
          <t>X</t>
        </is>
      </c>
      <c r="AJ56" t="n">
        <v>4</v>
      </c>
      <c r="AK56" t="inlineStr">
        <is>
          <t>V4</t>
        </is>
      </c>
      <c r="AL56" t="n">
        <v>20230920</v>
      </c>
      <c r="AM56" t="inlineStr">
        <is>
          <t>D860-900005572-66833513-10190637-4</t>
        </is>
      </c>
    </row>
    <row r="57">
      <c r="A57" t="inlineStr">
        <is>
          <t>900005572D8606689505710052407</t>
        </is>
      </c>
      <c r="B57" t="inlineStr">
        <is>
          <t>4600041494-430</t>
        </is>
      </c>
      <c r="C57" t="n">
        <v>4600041494</v>
      </c>
      <c r="D57" t="n">
        <v>430</v>
      </c>
      <c r="E57" t="inlineStr">
        <is>
          <t>MXPO</t>
        </is>
      </c>
      <c r="F57" t="inlineStr">
        <is>
          <t>MXL</t>
        </is>
      </c>
      <c r="G57" t="n">
        <v>900005572</v>
      </c>
      <c r="H57" t="inlineStr">
        <is>
          <t>TP- ED- PROPESO</t>
        </is>
      </c>
      <c r="I57" t="n">
        <v>5001601</v>
      </c>
      <c r="J57" t="inlineStr">
        <is>
          <t>PRODUCTOS PETREOS DE SONORA SA DE</t>
        </is>
      </c>
      <c r="K57" t="inlineStr">
        <is>
          <t>Z03</t>
        </is>
      </c>
      <c r="L57" t="inlineStr">
        <is>
          <t>(AP) 15 Dias</t>
        </is>
      </c>
      <c r="M57" t="n">
        <v>10052407</v>
      </c>
      <c r="N57" t="inlineStr">
        <is>
          <t>Arena Triturada Rio Malla 4</t>
        </is>
      </c>
      <c r="O57" t="inlineStr">
        <is>
          <t>D860</t>
        </is>
      </c>
      <c r="P57" t="inlineStr">
        <is>
          <t>MX-CED. HERMOSILLO</t>
        </is>
      </c>
      <c r="Q57" t="n">
        <v>20180308</v>
      </c>
      <c r="R57" t="n">
        <v>20281231</v>
      </c>
      <c r="U57" t="n">
        <v>210.2</v>
      </c>
      <c r="V57" t="inlineStr">
        <is>
          <t>MXN</t>
        </is>
      </c>
      <c r="W57" t="inlineStr">
        <is>
          <t>M3</t>
        </is>
      </c>
      <c r="AA57" t="inlineStr">
        <is>
          <t>66895057</t>
        </is>
      </c>
      <c r="AB57" t="inlineStr">
        <is>
          <t>CP-I OBRA AZORE ELIHU (JVM)</t>
        </is>
      </c>
      <c r="AC57" t="n">
        <v>56103638</v>
      </c>
      <c r="AD57" t="n">
        <v>6622501540</v>
      </c>
      <c r="AE57" t="n">
        <v>4</v>
      </c>
      <c r="AF57" t="inlineStr">
        <is>
          <t>ENTREGA DIRECTA</t>
        </is>
      </c>
      <c r="AG57" t="n">
        <v>1.51</v>
      </c>
      <c r="AH57" t="inlineStr">
        <is>
          <t>M3</t>
        </is>
      </c>
      <c r="AI57" t="inlineStr">
        <is>
          <t>X</t>
        </is>
      </c>
      <c r="AJ57" t="n">
        <v>4</v>
      </c>
      <c r="AK57" t="inlineStr">
        <is>
          <t>V4</t>
        </is>
      </c>
      <c r="AL57" t="n">
        <v>20230920</v>
      </c>
      <c r="AM57" t="inlineStr">
        <is>
          <t>D860-900005572-66895057-10052407-4</t>
        </is>
      </c>
    </row>
    <row r="58">
      <c r="A58" t="inlineStr">
        <is>
          <t>900005572D8606689505710052402</t>
        </is>
      </c>
      <c r="B58" t="inlineStr">
        <is>
          <t>4600041494-460</t>
        </is>
      </c>
      <c r="C58" t="n">
        <v>4600041494</v>
      </c>
      <c r="D58" t="n">
        <v>460</v>
      </c>
      <c r="E58" t="inlineStr">
        <is>
          <t>MXPO</t>
        </is>
      </c>
      <c r="F58" t="inlineStr">
        <is>
          <t>MXL</t>
        </is>
      </c>
      <c r="G58" t="n">
        <v>900005572</v>
      </c>
      <c r="H58" t="inlineStr">
        <is>
          <t>TP- ED- PROPESO</t>
        </is>
      </c>
      <c r="I58" t="n">
        <v>5001601</v>
      </c>
      <c r="J58" t="inlineStr">
        <is>
          <t>PRODUCTOS PETREOS DE SONORA SA DE</t>
        </is>
      </c>
      <c r="K58" t="inlineStr">
        <is>
          <t>Z03</t>
        </is>
      </c>
      <c r="L58" t="inlineStr">
        <is>
          <t>(AP) 15 Dias</t>
        </is>
      </c>
      <c r="M58" t="n">
        <v>10052402</v>
      </c>
      <c r="N58" t="inlineStr">
        <is>
          <t>Grava Riolita 10 MM (3/8")</t>
        </is>
      </c>
      <c r="O58" t="inlineStr">
        <is>
          <t>D860</t>
        </is>
      </c>
      <c r="P58" t="inlineStr">
        <is>
          <t>MX-CED. HERMOSILLO</t>
        </is>
      </c>
      <c r="Q58" t="n">
        <v>20180308</v>
      </c>
      <c r="R58" t="n">
        <v>20281231</v>
      </c>
      <c r="U58" t="n">
        <v>296.6</v>
      </c>
      <c r="V58" t="inlineStr">
        <is>
          <t>MXN</t>
        </is>
      </c>
      <c r="W58" t="inlineStr">
        <is>
          <t>M3</t>
        </is>
      </c>
      <c r="AA58" t="inlineStr">
        <is>
          <t>66895057</t>
        </is>
      </c>
      <c r="AB58" t="inlineStr">
        <is>
          <t>CP-I OBRA AZORE ELIHU (JVM)</t>
        </is>
      </c>
      <c r="AC58" t="n">
        <v>56103637</v>
      </c>
      <c r="AD58" t="n">
        <v>6622501540</v>
      </c>
      <c r="AE58" t="n">
        <v>4</v>
      </c>
      <c r="AF58" t="inlineStr">
        <is>
          <t>ENTREGA DIRECTA</t>
        </is>
      </c>
      <c r="AG58" t="n">
        <v>1.52</v>
      </c>
      <c r="AH58" t="inlineStr">
        <is>
          <t>M3</t>
        </is>
      </c>
      <c r="AI58" t="inlineStr">
        <is>
          <t>X</t>
        </is>
      </c>
      <c r="AJ58" t="n">
        <v>4</v>
      </c>
      <c r="AK58" t="inlineStr">
        <is>
          <t>V4</t>
        </is>
      </c>
      <c r="AL58" t="n">
        <v>20230920</v>
      </c>
      <c r="AM58" t="inlineStr">
        <is>
          <t>D860-900005572-66895057-10052402-4</t>
        </is>
      </c>
    </row>
    <row r="59">
      <c r="A59" t="inlineStr">
        <is>
          <t>900008951D86010262224</t>
        </is>
      </c>
      <c r="B59" t="inlineStr">
        <is>
          <t>4600070997-10</t>
        </is>
      </c>
      <c r="C59" t="n">
        <v>4600070997</v>
      </c>
      <c r="D59" t="n">
        <v>10</v>
      </c>
      <c r="E59" t="inlineStr">
        <is>
          <t>MXPO</t>
        </is>
      </c>
      <c r="F59" t="inlineStr">
        <is>
          <t>MXL</t>
        </is>
      </c>
      <c r="G59" t="n">
        <v>900008951</v>
      </c>
      <c r="H59" t="inlineStr">
        <is>
          <t>SF TP-MAQ Y AGGS GALA</t>
        </is>
      </c>
      <c r="I59" t="n">
        <v>5094000</v>
      </c>
      <c r="J59" t="inlineStr">
        <is>
          <t>MAQUINARIA Y AGREGADOS GALA SA DE C</t>
        </is>
      </c>
      <c r="K59" t="inlineStr">
        <is>
          <t>Z09</t>
        </is>
      </c>
      <c r="L59" t="inlineStr">
        <is>
          <t>(AP) 90 Dias</t>
        </is>
      </c>
      <c r="M59" t="n">
        <v>10262224</v>
      </c>
      <c r="N59" t="inlineStr">
        <is>
          <t>BASE HIDRÁULICA</t>
        </is>
      </c>
      <c r="O59" t="inlineStr">
        <is>
          <t>D860</t>
        </is>
      </c>
      <c r="P59" t="inlineStr">
        <is>
          <t>MX-CED. HERMOSILLO</t>
        </is>
      </c>
      <c r="Q59" t="n">
        <v>20250305</v>
      </c>
      <c r="R59" t="n">
        <v>20301231</v>
      </c>
      <c r="S59" t="n">
        <v>20250305</v>
      </c>
      <c r="T59" t="n">
        <v>20301231</v>
      </c>
      <c r="U59" t="n">
        <v>120</v>
      </c>
      <c r="V59" t="inlineStr">
        <is>
          <t>MXN</t>
        </is>
      </c>
      <c r="W59" t="inlineStr">
        <is>
          <t>M3</t>
        </is>
      </c>
      <c r="X59" t="n">
        <v>0</v>
      </c>
      <c r="Y59" t="inlineStr">
        <is>
          <t>MXN</t>
        </is>
      </c>
      <c r="Z59" t="inlineStr">
        <is>
          <t>M3</t>
        </is>
      </c>
      <c r="AC59" t="n">
        <v>56103590</v>
      </c>
      <c r="AD59" t="n">
        <v>6622501540</v>
      </c>
      <c r="AE59" t="n">
        <v>1</v>
      </c>
      <c r="AF59" t="inlineStr">
        <is>
          <t>ENTREGADO</t>
        </is>
      </c>
      <c r="AG59" t="n">
        <v>1.844</v>
      </c>
      <c r="AH59" t="inlineStr">
        <is>
          <t>M3</t>
        </is>
      </c>
      <c r="AI59" t="inlineStr">
        <is>
          <t>X</t>
        </is>
      </c>
      <c r="AJ59" t="n">
        <v>4</v>
      </c>
      <c r="AK59" t="inlineStr">
        <is>
          <t>V4</t>
        </is>
      </c>
      <c r="AL59" t="n">
        <v>20250310</v>
      </c>
      <c r="AM59" t="inlineStr">
        <is>
          <t>D860-900008951-10262224</t>
        </is>
      </c>
    </row>
    <row r="60">
      <c r="A60" t="inlineStr">
        <is>
          <t>900005375D86010052407</t>
        </is>
      </c>
      <c r="B60" t="inlineStr">
        <is>
          <t>4600039662-20</t>
        </is>
      </c>
      <c r="C60" t="n">
        <v>4600039662</v>
      </c>
      <c r="D60" t="n">
        <v>20</v>
      </c>
      <c r="E60" t="inlineStr">
        <is>
          <t>MXPO</t>
        </is>
      </c>
      <c r="F60" t="inlineStr">
        <is>
          <t>MXL</t>
        </is>
      </c>
      <c r="G60" t="n">
        <v>900005375</v>
      </c>
      <c r="H60" t="inlineStr">
        <is>
          <t>SF TP- PROPESO</t>
        </is>
      </c>
      <c r="I60" t="n">
        <v>5001601</v>
      </c>
      <c r="J60" t="inlineStr">
        <is>
          <t>PRODUCTOS PETREOS DE SONORA SA DE</t>
        </is>
      </c>
      <c r="K60" t="inlineStr">
        <is>
          <t>Z03</t>
        </is>
      </c>
      <c r="L60" t="inlineStr">
        <is>
          <t>(AP) 15 Dias</t>
        </is>
      </c>
      <c r="M60" t="n">
        <v>10052407</v>
      </c>
      <c r="N60" t="inlineStr">
        <is>
          <t>Arena Triturada Rio Malla 4</t>
        </is>
      </c>
      <c r="O60" t="inlineStr">
        <is>
          <t>D860</t>
        </is>
      </c>
      <c r="P60" t="inlineStr">
        <is>
          <t>MX-CED. HERMOSILLO</t>
        </is>
      </c>
      <c r="Q60" t="n">
        <v>20170906</v>
      </c>
      <c r="R60" t="n">
        <v>20261231</v>
      </c>
      <c r="S60" t="n">
        <v>20250502</v>
      </c>
      <c r="T60" t="n">
        <v>20301231</v>
      </c>
      <c r="U60" t="n">
        <v>107.2</v>
      </c>
      <c r="V60" t="inlineStr">
        <is>
          <t>MXN</t>
        </is>
      </c>
      <c r="W60" t="inlineStr">
        <is>
          <t>M3</t>
        </is>
      </c>
      <c r="X60" t="n">
        <v>0</v>
      </c>
      <c r="Y60" t="inlineStr">
        <is>
          <t>MXN</t>
        </is>
      </c>
      <c r="Z60" t="inlineStr">
        <is>
          <t>M3</t>
        </is>
      </c>
      <c r="AC60" t="n">
        <v>56103638</v>
      </c>
      <c r="AD60" t="n">
        <v>6622501540</v>
      </c>
      <c r="AE60" t="n">
        <v>1</v>
      </c>
      <c r="AF60" t="inlineStr">
        <is>
          <t>ENTREGADO</t>
        </is>
      </c>
      <c r="AG60" t="n">
        <v>1.51</v>
      </c>
      <c r="AH60" t="inlineStr">
        <is>
          <t>M3</t>
        </is>
      </c>
      <c r="AI60" t="inlineStr">
        <is>
          <t>X</t>
        </is>
      </c>
      <c r="AJ60" t="n">
        <v>4</v>
      </c>
      <c r="AK60" t="inlineStr">
        <is>
          <t>V4</t>
        </is>
      </c>
      <c r="AL60" t="n">
        <v>20250505</v>
      </c>
      <c r="AM60" t="inlineStr">
        <is>
          <t>D860-900005375-10052407</t>
        </is>
      </c>
    </row>
    <row r="61">
      <c r="A61" t="inlineStr">
        <is>
          <t>900007612D86010052404</t>
        </is>
      </c>
      <c r="B61" t="inlineStr">
        <is>
          <t>4600053982-100</t>
        </is>
      </c>
      <c r="C61" t="n">
        <v>4600053982</v>
      </c>
      <c r="D61" t="n">
        <v>100</v>
      </c>
      <c r="E61" t="inlineStr">
        <is>
          <t>MXPO</t>
        </is>
      </c>
      <c r="F61" t="inlineStr">
        <is>
          <t>MXL</t>
        </is>
      </c>
      <c r="G61" t="n">
        <v>900007612</v>
      </c>
      <c r="H61" t="inlineStr">
        <is>
          <t>SF TP-GOMOSA</t>
        </is>
      </c>
      <c r="I61" t="n">
        <v>5083069</v>
      </c>
      <c r="J61" t="inlineStr">
        <is>
          <t>GOMO DESARROLLOS Y MATERIALES S DE</t>
        </is>
      </c>
      <c r="K61" t="inlineStr">
        <is>
          <t>Z09</t>
        </is>
      </c>
      <c r="L61" t="inlineStr">
        <is>
          <t>(AP) 90 Dias</t>
        </is>
      </c>
      <c r="M61" t="n">
        <v>10052404</v>
      </c>
      <c r="N61" t="inlineStr">
        <is>
          <t>Grava Riolita 20 MM (3/4")</t>
        </is>
      </c>
      <c r="O61" t="inlineStr">
        <is>
          <t>D860</t>
        </is>
      </c>
      <c r="P61" t="inlineStr">
        <is>
          <t>MX-CED. HERMOSILLO</t>
        </is>
      </c>
      <c r="Q61" t="n">
        <v>20220512</v>
      </c>
      <c r="R61" t="n">
        <v>20291231</v>
      </c>
      <c r="S61" t="n">
        <v>20250502</v>
      </c>
      <c r="T61" t="n">
        <v>20301231</v>
      </c>
      <c r="U61" t="n">
        <v>140</v>
      </c>
      <c r="V61" t="inlineStr">
        <is>
          <t>MXN</t>
        </is>
      </c>
      <c r="W61" t="inlineStr">
        <is>
          <t>M3</t>
        </is>
      </c>
      <c r="X61" t="n">
        <v>0</v>
      </c>
      <c r="Y61" t="inlineStr">
        <is>
          <t>MXN</t>
        </is>
      </c>
      <c r="Z61" t="inlineStr">
        <is>
          <t>M3</t>
        </is>
      </c>
      <c r="AC61" t="n">
        <v>56103637</v>
      </c>
      <c r="AD61" t="n">
        <v>6622501540</v>
      </c>
      <c r="AE61" t="n">
        <v>1</v>
      </c>
      <c r="AF61" t="inlineStr">
        <is>
          <t>ENTREGADO</t>
        </is>
      </c>
      <c r="AG61" t="n">
        <v>1.445</v>
      </c>
      <c r="AH61" t="inlineStr">
        <is>
          <t>M3</t>
        </is>
      </c>
      <c r="AI61" t="inlineStr">
        <is>
          <t>X</t>
        </is>
      </c>
      <c r="AJ61" t="n">
        <v>4</v>
      </c>
      <c r="AK61" t="inlineStr">
        <is>
          <t>V4</t>
        </is>
      </c>
      <c r="AL61" t="n">
        <v>20250505</v>
      </c>
      <c r="AM61" t="inlineStr">
        <is>
          <t>D860-900007612-10052404</t>
        </is>
      </c>
    </row>
    <row r="62">
      <c r="A62" t="inlineStr">
        <is>
          <t>900007612D86010052407</t>
        </is>
      </c>
      <c r="B62" t="inlineStr">
        <is>
          <t>4600053982-10</t>
        </is>
      </c>
      <c r="C62" t="n">
        <v>4600053982</v>
      </c>
      <c r="D62" t="n">
        <v>10</v>
      </c>
      <c r="E62" t="inlineStr">
        <is>
          <t>MXPO</t>
        </is>
      </c>
      <c r="F62" t="inlineStr">
        <is>
          <t>MXL</t>
        </is>
      </c>
      <c r="G62" t="n">
        <v>900007612</v>
      </c>
      <c r="H62" t="inlineStr">
        <is>
          <t>SF TP-GOMOSA</t>
        </is>
      </c>
      <c r="I62" t="n">
        <v>5083069</v>
      </c>
      <c r="J62" t="inlineStr">
        <is>
          <t>GOMO DESARROLLOS Y MATERIALES S DE</t>
        </is>
      </c>
      <c r="K62" t="inlineStr">
        <is>
          <t>Z09</t>
        </is>
      </c>
      <c r="L62" t="inlineStr">
        <is>
          <t>(AP) 90 Dias</t>
        </is>
      </c>
      <c r="M62" t="n">
        <v>10052407</v>
      </c>
      <c r="N62" t="inlineStr">
        <is>
          <t>Arena Triturada Rio Malla 4</t>
        </is>
      </c>
      <c r="O62" t="inlineStr">
        <is>
          <t>D860</t>
        </is>
      </c>
      <c r="P62" t="inlineStr">
        <is>
          <t>MX-CED. HERMOSILLO</t>
        </is>
      </c>
      <c r="Q62" t="n">
        <v>20220512</v>
      </c>
      <c r="R62" t="n">
        <v>20291231</v>
      </c>
      <c r="S62" t="n">
        <v>20250502</v>
      </c>
      <c r="T62" t="n">
        <v>20301231</v>
      </c>
      <c r="U62" t="n">
        <v>125</v>
      </c>
      <c r="V62" t="inlineStr">
        <is>
          <t>MXN</t>
        </is>
      </c>
      <c r="W62" t="inlineStr">
        <is>
          <t>M3</t>
        </is>
      </c>
      <c r="X62" t="n">
        <v>0</v>
      </c>
      <c r="Y62" t="inlineStr">
        <is>
          <t>MXN</t>
        </is>
      </c>
      <c r="Z62" t="inlineStr">
        <is>
          <t>M3</t>
        </is>
      </c>
      <c r="AC62" t="n">
        <v>56103638</v>
      </c>
      <c r="AD62" t="n">
        <v>6622501540</v>
      </c>
      <c r="AE62" t="n">
        <v>1</v>
      </c>
      <c r="AF62" t="inlineStr">
        <is>
          <t>ENTREGADO</t>
        </is>
      </c>
      <c r="AG62" t="n">
        <v>1.51</v>
      </c>
      <c r="AH62" t="inlineStr">
        <is>
          <t>M3</t>
        </is>
      </c>
      <c r="AI62" t="inlineStr">
        <is>
          <t>X</t>
        </is>
      </c>
      <c r="AJ62" t="n">
        <v>4</v>
      </c>
      <c r="AK62" t="inlineStr">
        <is>
          <t>V4</t>
        </is>
      </c>
      <c r="AL62" t="n">
        <v>20250505</v>
      </c>
      <c r="AM62" t="inlineStr">
        <is>
          <t>D860-900007612-10052407</t>
        </is>
      </c>
    </row>
    <row r="63">
      <c r="A63" t="inlineStr">
        <is>
          <t>900009296D86010052402</t>
        </is>
      </c>
      <c r="B63" t="inlineStr">
        <is>
          <t>4600071430-10</t>
        </is>
      </c>
      <c r="C63" t="n">
        <v>4600071430</v>
      </c>
      <c r="D63" t="n">
        <v>10</v>
      </c>
      <c r="E63" t="inlineStr">
        <is>
          <t>MXPO</t>
        </is>
      </c>
      <c r="F63" t="inlineStr">
        <is>
          <t>MXL</t>
        </is>
      </c>
      <c r="G63" t="n">
        <v>900009296</v>
      </c>
      <c r="H63" t="inlineStr">
        <is>
          <t>SF TP-PREMEZCLADOS NOGALES</t>
        </is>
      </c>
      <c r="I63" t="n">
        <v>5013527</v>
      </c>
      <c r="J63" t="inlineStr">
        <is>
          <t>PREMEZCLADOS NOGALES  SA DE CV</t>
        </is>
      </c>
      <c r="K63" t="inlineStr">
        <is>
          <t>Z03</t>
        </is>
      </c>
      <c r="L63" t="inlineStr">
        <is>
          <t>(AP) 15 Dias</t>
        </is>
      </c>
      <c r="M63" t="n">
        <v>10052402</v>
      </c>
      <c r="N63" t="inlineStr">
        <is>
          <t>Grava Riolita 10 MM (3/8")</t>
        </is>
      </c>
      <c r="O63" t="inlineStr">
        <is>
          <t>D860</t>
        </is>
      </c>
      <c r="P63" t="inlineStr">
        <is>
          <t>MX-CED. HERMOSILLO</t>
        </is>
      </c>
      <c r="Q63" t="n">
        <v>20250708</v>
      </c>
      <c r="R63" t="n">
        <v>20301231</v>
      </c>
      <c r="S63" t="n">
        <v>20250708</v>
      </c>
      <c r="T63" t="n">
        <v>20301231</v>
      </c>
      <c r="U63" t="n">
        <v>265</v>
      </c>
      <c r="V63" t="inlineStr">
        <is>
          <t>MXN</t>
        </is>
      </c>
      <c r="W63" t="inlineStr">
        <is>
          <t>M3</t>
        </is>
      </c>
      <c r="X63" t="n">
        <v>0</v>
      </c>
      <c r="Y63" t="inlineStr">
        <is>
          <t>MXN</t>
        </is>
      </c>
      <c r="Z63" t="inlineStr">
        <is>
          <t>M3</t>
        </is>
      </c>
      <c r="AC63" t="n">
        <v>56103637</v>
      </c>
      <c r="AD63" t="n">
        <v>6622501540</v>
      </c>
      <c r="AE63" t="n">
        <v>1</v>
      </c>
      <c r="AF63" t="inlineStr">
        <is>
          <t>ENTREGADO</t>
        </is>
      </c>
      <c r="AG63" t="n">
        <v>1.52</v>
      </c>
      <c r="AH63" t="inlineStr">
        <is>
          <t>M3</t>
        </is>
      </c>
      <c r="AI63" t="inlineStr">
        <is>
          <t>X</t>
        </is>
      </c>
      <c r="AJ63" t="n">
        <v>4</v>
      </c>
      <c r="AK63" t="inlineStr">
        <is>
          <t>V4</t>
        </is>
      </c>
      <c r="AL63" t="n">
        <v>20250711</v>
      </c>
      <c r="AM63" t="inlineStr">
        <is>
          <t>D860-900009296-10052402</t>
        </is>
      </c>
    </row>
    <row r="64">
      <c r="A64" t="inlineStr">
        <is>
          <t>900005572D8606654697410190637</t>
        </is>
      </c>
      <c r="B64" t="inlineStr">
        <is>
          <t>4600041494-530</t>
        </is>
      </c>
      <c r="C64" t="n">
        <v>4600041494</v>
      </c>
      <c r="D64" t="n">
        <v>530</v>
      </c>
      <c r="E64" t="inlineStr">
        <is>
          <t>MXPO</t>
        </is>
      </c>
      <c r="F64" t="inlineStr">
        <is>
          <t>MXL</t>
        </is>
      </c>
      <c r="G64" t="n">
        <v>900005572</v>
      </c>
      <c r="H64" t="inlineStr">
        <is>
          <t>TP- ED- PROPESO</t>
        </is>
      </c>
      <c r="I64" t="n">
        <v>5001601</v>
      </c>
      <c r="J64" t="inlineStr">
        <is>
          <t>PRODUCTOS PETREOS DE SONORA SA DE</t>
        </is>
      </c>
      <c r="K64" t="inlineStr">
        <is>
          <t>Z03</t>
        </is>
      </c>
      <c r="L64" t="inlineStr">
        <is>
          <t>(AP) 15 Dias</t>
        </is>
      </c>
      <c r="M64" t="n">
        <v>10190637</v>
      </c>
      <c r="N64" t="inlineStr">
        <is>
          <t>GRAVA CLASIFICADA RIOLITA 20 MM (3/4")</t>
        </is>
      </c>
      <c r="O64" t="inlineStr">
        <is>
          <t>D860</t>
        </is>
      </c>
      <c r="P64" t="inlineStr">
        <is>
          <t>MX-CED. HERMOSILLO</t>
        </is>
      </c>
      <c r="Q64" t="n">
        <v>20180308</v>
      </c>
      <c r="R64" t="n">
        <v>20281231</v>
      </c>
      <c r="U64" t="n">
        <v>273</v>
      </c>
      <c r="V64" t="inlineStr">
        <is>
          <t>MXN</t>
        </is>
      </c>
      <c r="W64" t="inlineStr">
        <is>
          <t>M3</t>
        </is>
      </c>
      <c r="AA64" t="inlineStr">
        <is>
          <t>66546974</t>
        </is>
      </c>
      <c r="AB64" t="inlineStr">
        <is>
          <t>AVAKO PREFABRICADOS PLANTA HERMOSIL</t>
        </is>
      </c>
      <c r="AC64" t="n">
        <v>56103637</v>
      </c>
      <c r="AD64" t="n">
        <v>6622501540</v>
      </c>
      <c r="AE64" t="n">
        <v>4</v>
      </c>
      <c r="AF64" t="inlineStr">
        <is>
          <t>ENTREGA DIRECTA</t>
        </is>
      </c>
      <c r="AG64" t="n">
        <v>1.445</v>
      </c>
      <c r="AH64" t="inlineStr">
        <is>
          <t>M3</t>
        </is>
      </c>
      <c r="AI64" t="inlineStr">
        <is>
          <t>X</t>
        </is>
      </c>
      <c r="AJ64" t="n">
        <v>4</v>
      </c>
      <c r="AK64" t="inlineStr">
        <is>
          <t>V4</t>
        </is>
      </c>
      <c r="AL64" t="n">
        <v>20230920</v>
      </c>
      <c r="AM64" t="inlineStr">
        <is>
          <t>D860-900005572-66546974-10190637-4</t>
        </is>
      </c>
    </row>
    <row r="65">
      <c r="A65" t="inlineStr">
        <is>
          <t>900005572D8606685476310190637</t>
        </is>
      </c>
      <c r="B65" t="inlineStr">
        <is>
          <t>4600041494-590</t>
        </is>
      </c>
      <c r="C65" t="n">
        <v>4600041494</v>
      </c>
      <c r="D65" t="n">
        <v>590</v>
      </c>
      <c r="E65" t="inlineStr">
        <is>
          <t>MXPO</t>
        </is>
      </c>
      <c r="F65" t="inlineStr">
        <is>
          <t>MXL</t>
        </is>
      </c>
      <c r="G65" t="n">
        <v>900005572</v>
      </c>
      <c r="H65" t="inlineStr">
        <is>
          <t>TP- ED- PROPESO</t>
        </is>
      </c>
      <c r="I65" t="n">
        <v>5001601</v>
      </c>
      <c r="J65" t="inlineStr">
        <is>
          <t>PRODUCTOS PETREOS DE SONORA SA DE</t>
        </is>
      </c>
      <c r="K65" t="inlineStr">
        <is>
          <t>Z03</t>
        </is>
      </c>
      <c r="L65" t="inlineStr">
        <is>
          <t>(AP) 15 Dias</t>
        </is>
      </c>
      <c r="M65" t="n">
        <v>10190637</v>
      </c>
      <c r="N65" t="inlineStr">
        <is>
          <t>GRAVA CLASIFICADA RIOLITA 20 MM (3/4")</t>
        </is>
      </c>
      <c r="O65" t="inlineStr">
        <is>
          <t>D860</t>
        </is>
      </c>
      <c r="P65" t="inlineStr">
        <is>
          <t>MX-CED. HERMOSILLO</t>
        </is>
      </c>
      <c r="Q65" t="n">
        <v>20180308</v>
      </c>
      <c r="R65" t="n">
        <v>20281231</v>
      </c>
      <c r="U65" t="n">
        <v>153</v>
      </c>
      <c r="V65" t="inlineStr">
        <is>
          <t>MXN</t>
        </is>
      </c>
      <c r="W65" t="inlineStr">
        <is>
          <t>M3</t>
        </is>
      </c>
      <c r="AA65" t="inlineStr">
        <is>
          <t>66854763</t>
        </is>
      </c>
      <c r="AB65" t="inlineStr">
        <is>
          <t>OBRA BONATERRA (JVM)</t>
        </is>
      </c>
      <c r="AC65" t="n">
        <v>56103637</v>
      </c>
      <c r="AD65" t="n">
        <v>6622501540</v>
      </c>
      <c r="AE65" t="n">
        <v>4</v>
      </c>
      <c r="AF65" t="inlineStr">
        <is>
          <t>ENTREGA DIRECTA</t>
        </is>
      </c>
      <c r="AG65" t="n">
        <v>1.445</v>
      </c>
      <c r="AH65" t="inlineStr">
        <is>
          <t>M3</t>
        </is>
      </c>
      <c r="AI65" t="inlineStr">
        <is>
          <t>X</t>
        </is>
      </c>
      <c r="AJ65" t="n">
        <v>4</v>
      </c>
      <c r="AK65" t="inlineStr">
        <is>
          <t>V4</t>
        </is>
      </c>
      <c r="AL65" t="n">
        <v>20230920</v>
      </c>
      <c r="AM65" t="inlineStr">
        <is>
          <t>D860-900005572-66854763-10190637-4</t>
        </is>
      </c>
    </row>
    <row r="66">
      <c r="A66" t="inlineStr">
        <is>
          <t>900005572D8606687759010190637</t>
        </is>
      </c>
      <c r="B66" t="inlineStr">
        <is>
          <t>4600041494-580</t>
        </is>
      </c>
      <c r="C66" t="n">
        <v>4600041494</v>
      </c>
      <c r="D66" t="n">
        <v>580</v>
      </c>
      <c r="E66" t="inlineStr">
        <is>
          <t>MXPO</t>
        </is>
      </c>
      <c r="F66" t="inlineStr">
        <is>
          <t>MXL</t>
        </is>
      </c>
      <c r="G66" t="n">
        <v>900005572</v>
      </c>
      <c r="H66" t="inlineStr">
        <is>
          <t>TP- ED- PROPESO</t>
        </is>
      </c>
      <c r="I66" t="n">
        <v>5001601</v>
      </c>
      <c r="J66" t="inlineStr">
        <is>
          <t>PRODUCTOS PETREOS DE SONORA SA DE</t>
        </is>
      </c>
      <c r="K66" t="inlineStr">
        <is>
          <t>Z03</t>
        </is>
      </c>
      <c r="L66" t="inlineStr">
        <is>
          <t>(AP) 15 Dias</t>
        </is>
      </c>
      <c r="M66" t="n">
        <v>10190637</v>
      </c>
      <c r="N66" t="inlineStr">
        <is>
          <t>GRAVA CLASIFICADA RIOLITA 20 MM (3/4")</t>
        </is>
      </c>
      <c r="O66" t="inlineStr">
        <is>
          <t>D860</t>
        </is>
      </c>
      <c r="P66" t="inlineStr">
        <is>
          <t>MX-CED. HERMOSILLO</t>
        </is>
      </c>
      <c r="Q66" t="n">
        <v>20180308</v>
      </c>
      <c r="R66" t="n">
        <v>20281231</v>
      </c>
      <c r="U66" t="n">
        <v>221</v>
      </c>
      <c r="V66" t="inlineStr">
        <is>
          <t>MXN</t>
        </is>
      </c>
      <c r="W66" t="inlineStr">
        <is>
          <t>M3</t>
        </is>
      </c>
      <c r="AA66" t="inlineStr">
        <is>
          <t>66877590</t>
        </is>
      </c>
      <c r="AB66" t="inlineStr">
        <is>
          <t>VT02302 FRACC. AZORES (JVM)</t>
        </is>
      </c>
      <c r="AC66" t="n">
        <v>56103637</v>
      </c>
      <c r="AD66" t="n">
        <v>6622501540</v>
      </c>
      <c r="AE66" t="n">
        <v>4</v>
      </c>
      <c r="AF66" t="inlineStr">
        <is>
          <t>ENTREGA DIRECTA</t>
        </is>
      </c>
      <c r="AG66" t="n">
        <v>1.445</v>
      </c>
      <c r="AH66" t="inlineStr">
        <is>
          <t>M3</t>
        </is>
      </c>
      <c r="AI66" t="inlineStr">
        <is>
          <t>X</t>
        </is>
      </c>
      <c r="AJ66" t="n">
        <v>4</v>
      </c>
      <c r="AK66" t="inlineStr">
        <is>
          <t>V4</t>
        </is>
      </c>
      <c r="AL66" t="n">
        <v>20230920</v>
      </c>
      <c r="AM66" t="inlineStr">
        <is>
          <t>D860-900005572-66877590-10190637-4</t>
        </is>
      </c>
    </row>
    <row r="67">
      <c r="A67" t="inlineStr">
        <is>
          <t>900005572D8606685472210052407</t>
        </is>
      </c>
      <c r="B67" t="inlineStr">
        <is>
          <t>4600041494-480</t>
        </is>
      </c>
      <c r="C67" t="n">
        <v>4600041494</v>
      </c>
      <c r="D67" t="n">
        <v>480</v>
      </c>
      <c r="E67" t="inlineStr">
        <is>
          <t>MXPO</t>
        </is>
      </c>
      <c r="F67" t="inlineStr">
        <is>
          <t>MXL</t>
        </is>
      </c>
      <c r="G67" t="n">
        <v>900005572</v>
      </c>
      <c r="H67" t="inlineStr">
        <is>
          <t>TP- ED- PROPESO</t>
        </is>
      </c>
      <c r="I67" t="n">
        <v>5001601</v>
      </c>
      <c r="J67" t="inlineStr">
        <is>
          <t>PRODUCTOS PETREOS DE SONORA SA DE</t>
        </is>
      </c>
      <c r="K67" t="inlineStr">
        <is>
          <t>Z03</t>
        </is>
      </c>
      <c r="L67" t="inlineStr">
        <is>
          <t>(AP) 15 Dias</t>
        </is>
      </c>
      <c r="M67" t="n">
        <v>10052407</v>
      </c>
      <c r="N67" t="inlineStr">
        <is>
          <t>Arena Triturada Rio Malla 4</t>
        </is>
      </c>
      <c r="O67" t="inlineStr">
        <is>
          <t>D860</t>
        </is>
      </c>
      <c r="P67" t="inlineStr">
        <is>
          <t>MX-CED. HERMOSILLO</t>
        </is>
      </c>
      <c r="Q67" t="n">
        <v>20180308</v>
      </c>
      <c r="R67" t="n">
        <v>20281231</v>
      </c>
      <c r="U67" t="n">
        <v>232.2</v>
      </c>
      <c r="V67" t="inlineStr">
        <is>
          <t>MXN</t>
        </is>
      </c>
      <c r="W67" t="inlineStr">
        <is>
          <t>M3</t>
        </is>
      </c>
      <c r="AA67" t="inlineStr">
        <is>
          <t>66854722</t>
        </is>
      </c>
      <c r="AB67" t="inlineStr">
        <is>
          <t>VT02402-CP-I OBRA VENTURA</t>
        </is>
      </c>
      <c r="AC67" t="n">
        <v>56103638</v>
      </c>
      <c r="AD67" t="n">
        <v>6622501540</v>
      </c>
      <c r="AE67" t="n">
        <v>4</v>
      </c>
      <c r="AF67" t="inlineStr">
        <is>
          <t>ENTREGA DIRECTA</t>
        </is>
      </c>
      <c r="AG67" t="n">
        <v>1.51</v>
      </c>
      <c r="AH67" t="inlineStr">
        <is>
          <t>M3</t>
        </is>
      </c>
      <c r="AI67" t="inlineStr">
        <is>
          <t>X</t>
        </is>
      </c>
      <c r="AJ67" t="n">
        <v>4</v>
      </c>
      <c r="AK67" t="inlineStr">
        <is>
          <t>V4</t>
        </is>
      </c>
      <c r="AL67" t="n">
        <v>20230920</v>
      </c>
      <c r="AM67" t="inlineStr">
        <is>
          <t>D860-900005572-66854722-10052407-4</t>
        </is>
      </c>
    </row>
    <row r="68">
      <c r="A68" t="inlineStr">
        <is>
          <t>900007611D8606728561610052407</t>
        </is>
      </c>
      <c r="B68" t="inlineStr">
        <is>
          <t>4600053981-440</t>
        </is>
      </c>
      <c r="C68" t="n">
        <v>4600053981</v>
      </c>
      <c r="D68" t="n">
        <v>440</v>
      </c>
      <c r="E68" t="inlineStr">
        <is>
          <t>MXPO</t>
        </is>
      </c>
      <c r="F68" t="inlineStr">
        <is>
          <t>MXL</t>
        </is>
      </c>
      <c r="G68" t="n">
        <v>900007611</v>
      </c>
      <c r="H68" t="inlineStr">
        <is>
          <t>SF TP-ED-GOMOSA</t>
        </is>
      </c>
      <c r="I68" t="n">
        <v>5083069</v>
      </c>
      <c r="J68" t="inlineStr">
        <is>
          <t>GOMO DESARROLLOS Y MATERIALES S DE</t>
        </is>
      </c>
      <c r="K68" t="inlineStr">
        <is>
          <t>Z09</t>
        </is>
      </c>
      <c r="L68" t="inlineStr">
        <is>
          <t>(AP) 90 Dias</t>
        </is>
      </c>
      <c r="M68" t="n">
        <v>10052407</v>
      </c>
      <c r="N68" t="inlineStr">
        <is>
          <t>Arena Triturada Rio Malla 4</t>
        </is>
      </c>
      <c r="O68" t="inlineStr">
        <is>
          <t>D860</t>
        </is>
      </c>
      <c r="P68" t="inlineStr">
        <is>
          <t>MX-CED. HERMOSILLO</t>
        </is>
      </c>
      <c r="Q68" t="n">
        <v>20220512</v>
      </c>
      <c r="R68" t="n">
        <v>20291231</v>
      </c>
      <c r="S68" t="n">
        <v>20250114</v>
      </c>
      <c r="T68" t="n">
        <v>20301231</v>
      </c>
      <c r="U68" t="n">
        <v>201.67</v>
      </c>
      <c r="V68" t="inlineStr">
        <is>
          <t>MXN</t>
        </is>
      </c>
      <c r="W68" t="inlineStr">
        <is>
          <t>M3</t>
        </is>
      </c>
      <c r="X68" t="n">
        <v>76.67</v>
      </c>
      <c r="Y68" t="inlineStr">
        <is>
          <t>MXN</t>
        </is>
      </c>
      <c r="Z68" t="inlineStr">
        <is>
          <t>M3</t>
        </is>
      </c>
      <c r="AA68" t="inlineStr">
        <is>
          <t>67285616</t>
        </is>
      </c>
      <c r="AB68" t="inlineStr">
        <is>
          <t>AGRECOBLOCK PLANTA HMO</t>
        </is>
      </c>
      <c r="AC68" t="n">
        <v>56103638</v>
      </c>
      <c r="AD68" t="n">
        <v>6622501540</v>
      </c>
      <c r="AE68" t="n">
        <v>4</v>
      </c>
      <c r="AF68" t="inlineStr">
        <is>
          <t>ENTREGA DIRECTA</t>
        </is>
      </c>
      <c r="AG68" t="n">
        <v>1.51</v>
      </c>
      <c r="AH68" t="inlineStr">
        <is>
          <t>M3</t>
        </is>
      </c>
      <c r="AI68" t="inlineStr">
        <is>
          <t>X</t>
        </is>
      </c>
      <c r="AJ68" t="n">
        <v>4</v>
      </c>
      <c r="AK68" t="inlineStr">
        <is>
          <t>V4</t>
        </is>
      </c>
      <c r="AL68" t="n">
        <v>20250117</v>
      </c>
      <c r="AM68" t="inlineStr">
        <is>
          <t>D860-900007611-67285616-10052407-4</t>
        </is>
      </c>
    </row>
    <row r="69">
      <c r="A69" t="inlineStr">
        <is>
          <t>900007611D8606728561610152920</t>
        </is>
      </c>
      <c r="B69" t="inlineStr">
        <is>
          <t>4600053981-430</t>
        </is>
      </c>
      <c r="C69" t="n">
        <v>4600053981</v>
      </c>
      <c r="D69" t="n">
        <v>430</v>
      </c>
      <c r="E69" t="inlineStr">
        <is>
          <t>MXPO</t>
        </is>
      </c>
      <c r="F69" t="inlineStr">
        <is>
          <t>MXL</t>
        </is>
      </c>
      <c r="G69" t="n">
        <v>900007611</v>
      </c>
      <c r="H69" t="inlineStr">
        <is>
          <t>SF TP-ED-GOMOSA</t>
        </is>
      </c>
      <c r="I69" t="n">
        <v>5083069</v>
      </c>
      <c r="J69" t="inlineStr">
        <is>
          <t>GOMO DESARROLLOS Y MATERIALES S DE</t>
        </is>
      </c>
      <c r="K69" t="inlineStr">
        <is>
          <t>Z09</t>
        </is>
      </c>
      <c r="L69" t="inlineStr">
        <is>
          <t>(AP) 90 Dias</t>
        </is>
      </c>
      <c r="M69" t="n">
        <v>10152920</v>
      </c>
      <c r="N69" t="inlineStr">
        <is>
          <t>POLVO TRITURADO GRANITO</t>
        </is>
      </c>
      <c r="O69" t="inlineStr">
        <is>
          <t>D860</t>
        </is>
      </c>
      <c r="P69" t="inlineStr">
        <is>
          <t>MX-CED. HERMOSILLO</t>
        </is>
      </c>
      <c r="Q69" t="n">
        <v>20220512</v>
      </c>
      <c r="R69" t="n">
        <v>20291231</v>
      </c>
      <c r="S69" t="n">
        <v>20250114</v>
      </c>
      <c r="T69" t="n">
        <v>20301231</v>
      </c>
      <c r="U69" t="n">
        <v>296.67</v>
      </c>
      <c r="V69" t="inlineStr">
        <is>
          <t>MXN</t>
        </is>
      </c>
      <c r="W69" t="inlineStr">
        <is>
          <t>M3</t>
        </is>
      </c>
      <c r="X69" t="n">
        <v>76.67</v>
      </c>
      <c r="Y69" t="inlineStr">
        <is>
          <t>MXN</t>
        </is>
      </c>
      <c r="Z69" t="inlineStr">
        <is>
          <t>M3</t>
        </is>
      </c>
      <c r="AA69" t="inlineStr">
        <is>
          <t>67285616</t>
        </is>
      </c>
      <c r="AB69" t="inlineStr">
        <is>
          <t>AGRECOBLOCK PLANTA HMO</t>
        </is>
      </c>
      <c r="AC69" t="n">
        <v>56103591</v>
      </c>
      <c r="AD69" t="n">
        <v>6622501540</v>
      </c>
      <c r="AE69" t="n">
        <v>4</v>
      </c>
      <c r="AF69" t="inlineStr">
        <is>
          <t>ENTREGA DIRECTA</t>
        </is>
      </c>
      <c r="AG69" t="n">
        <v>1.615</v>
      </c>
      <c r="AH69" t="inlineStr">
        <is>
          <t>M3</t>
        </is>
      </c>
      <c r="AI69" t="inlineStr">
        <is>
          <t>X</t>
        </is>
      </c>
      <c r="AJ69" t="n">
        <v>4</v>
      </c>
      <c r="AK69" t="inlineStr">
        <is>
          <t>V4</t>
        </is>
      </c>
      <c r="AL69" t="n">
        <v>20250117</v>
      </c>
      <c r="AM69" t="inlineStr">
        <is>
          <t>D860-900007611-67285616-10152920-4</t>
        </is>
      </c>
    </row>
    <row r="70">
      <c r="A70" t="inlineStr">
        <is>
          <t>900005572D8606654082210190637</t>
        </is>
      </c>
      <c r="B70" t="inlineStr">
        <is>
          <t>4600041494-520</t>
        </is>
      </c>
      <c r="C70" t="n">
        <v>4600041494</v>
      </c>
      <c r="D70" t="n">
        <v>520</v>
      </c>
      <c r="E70" t="inlineStr">
        <is>
          <t>MXPO</t>
        </is>
      </c>
      <c r="F70" t="inlineStr">
        <is>
          <t>MXL</t>
        </is>
      </c>
      <c r="G70" t="n">
        <v>900005572</v>
      </c>
      <c r="H70" t="inlineStr">
        <is>
          <t>TP- ED- PROPESO</t>
        </is>
      </c>
      <c r="I70" t="n">
        <v>5001601</v>
      </c>
      <c r="J70" t="inlineStr">
        <is>
          <t>PRODUCTOS PETREOS DE SONORA SA DE</t>
        </is>
      </c>
      <c r="K70" t="inlineStr">
        <is>
          <t>Z03</t>
        </is>
      </c>
      <c r="L70" t="inlineStr">
        <is>
          <t>(AP) 15 Dias</t>
        </is>
      </c>
      <c r="M70" t="n">
        <v>10190637</v>
      </c>
      <c r="N70" t="inlineStr">
        <is>
          <t>GRAVA CLASIFICADA RIOLITA 20 MM (3/4")</t>
        </is>
      </c>
      <c r="O70" t="inlineStr">
        <is>
          <t>D860</t>
        </is>
      </c>
      <c r="P70" t="inlineStr">
        <is>
          <t>MX-CED. HERMOSILLO</t>
        </is>
      </c>
      <c r="Q70" t="n">
        <v>20180308</v>
      </c>
      <c r="R70" t="n">
        <v>20281231</v>
      </c>
      <c r="U70" t="n">
        <v>140</v>
      </c>
      <c r="V70" t="inlineStr">
        <is>
          <t>MXN</t>
        </is>
      </c>
      <c r="W70" t="inlineStr">
        <is>
          <t>M3</t>
        </is>
      </c>
      <c r="AA70" t="inlineStr">
        <is>
          <t>66540822</t>
        </is>
      </c>
      <c r="AB70" t="inlineStr">
        <is>
          <t>ALTA CALIDAD EN CONCRETOS PLANTA</t>
        </is>
      </c>
      <c r="AC70" t="n">
        <v>56103637</v>
      </c>
      <c r="AD70" t="n">
        <v>6622501540</v>
      </c>
      <c r="AE70" t="n">
        <v>4</v>
      </c>
      <c r="AF70" t="inlineStr">
        <is>
          <t>ENTREGA DIRECTA</t>
        </is>
      </c>
      <c r="AG70" t="n">
        <v>1.445</v>
      </c>
      <c r="AH70" t="inlineStr">
        <is>
          <t>M3</t>
        </is>
      </c>
      <c r="AI70" t="inlineStr">
        <is>
          <t>X</t>
        </is>
      </c>
      <c r="AJ70" t="n">
        <v>4</v>
      </c>
      <c r="AK70" t="inlineStr">
        <is>
          <t>V4</t>
        </is>
      </c>
      <c r="AL70" t="n">
        <v>20230920</v>
      </c>
      <c r="AM70" t="inlineStr">
        <is>
          <t>D860-900005572-66540822-10190637-4</t>
        </is>
      </c>
    </row>
    <row r="71">
      <c r="A71" t="inlineStr">
        <is>
          <t>900005572D8606648110910190637</t>
        </is>
      </c>
      <c r="B71" t="inlineStr">
        <is>
          <t>4600041494-510</t>
        </is>
      </c>
      <c r="C71" t="n">
        <v>4600041494</v>
      </c>
      <c r="D71" t="n">
        <v>510</v>
      </c>
      <c r="E71" t="inlineStr">
        <is>
          <t>MXPO</t>
        </is>
      </c>
      <c r="F71" t="inlineStr">
        <is>
          <t>MXL</t>
        </is>
      </c>
      <c r="G71" t="n">
        <v>900005572</v>
      </c>
      <c r="H71" t="inlineStr">
        <is>
          <t>TP- ED- PROPESO</t>
        </is>
      </c>
      <c r="I71" t="n">
        <v>5001601</v>
      </c>
      <c r="J71" t="inlineStr">
        <is>
          <t>PRODUCTOS PETREOS DE SONORA SA DE</t>
        </is>
      </c>
      <c r="K71" t="inlineStr">
        <is>
          <t>Z03</t>
        </is>
      </c>
      <c r="L71" t="inlineStr">
        <is>
          <t>(AP) 15 Dias</t>
        </is>
      </c>
      <c r="M71" t="n">
        <v>10190637</v>
      </c>
      <c r="N71" t="inlineStr">
        <is>
          <t>GRAVA CLASIFICADA RIOLITA 20 MM (3/4")</t>
        </is>
      </c>
      <c r="O71" t="inlineStr">
        <is>
          <t>D860</t>
        </is>
      </c>
      <c r="P71" t="inlineStr">
        <is>
          <t>MX-CED. HERMOSILLO</t>
        </is>
      </c>
      <c r="Q71" t="n">
        <v>20180308</v>
      </c>
      <c r="R71" t="n">
        <v>20281231</v>
      </c>
      <c r="U71" t="n">
        <v>242.94</v>
      </c>
      <c r="V71" t="inlineStr">
        <is>
          <t>MXN</t>
        </is>
      </c>
      <c r="W71" t="inlineStr">
        <is>
          <t>M3</t>
        </is>
      </c>
      <c r="AA71" t="inlineStr">
        <is>
          <t>66481109</t>
        </is>
      </c>
      <c r="AB71" t="inlineStr">
        <is>
          <t>Mezta Hermosillo</t>
        </is>
      </c>
      <c r="AC71" t="n">
        <v>56103637</v>
      </c>
      <c r="AD71" t="n">
        <v>6622501540</v>
      </c>
      <c r="AE71" t="n">
        <v>4</v>
      </c>
      <c r="AF71" t="inlineStr">
        <is>
          <t>ENTREGA DIRECTA</t>
        </is>
      </c>
      <c r="AG71" t="n">
        <v>1.445</v>
      </c>
      <c r="AH71" t="inlineStr">
        <is>
          <t>M3</t>
        </is>
      </c>
      <c r="AI71" t="inlineStr">
        <is>
          <t>X</t>
        </is>
      </c>
      <c r="AJ71" t="n">
        <v>4</v>
      </c>
      <c r="AK71" t="inlineStr">
        <is>
          <t>V4</t>
        </is>
      </c>
      <c r="AL71" t="n">
        <v>20230920</v>
      </c>
      <c r="AM71" t="inlineStr">
        <is>
          <t>D860-900005572-66481109-10190637-4</t>
        </is>
      </c>
    </row>
    <row r="72">
      <c r="A72" t="inlineStr">
        <is>
          <t>900005572D8606688282010000248</t>
        </is>
      </c>
      <c r="B72" t="inlineStr">
        <is>
          <t>4600041494-620</t>
        </is>
      </c>
      <c r="C72" t="n">
        <v>4600041494</v>
      </c>
      <c r="D72" t="n">
        <v>620</v>
      </c>
      <c r="E72" t="inlineStr">
        <is>
          <t>MXPO</t>
        </is>
      </c>
      <c r="F72" t="inlineStr">
        <is>
          <t>MXL</t>
        </is>
      </c>
      <c r="G72" t="n">
        <v>900005572</v>
      </c>
      <c r="H72" t="inlineStr">
        <is>
          <t>TP- ED- PROPESO</t>
        </is>
      </c>
      <c r="I72" t="n">
        <v>5001601</v>
      </c>
      <c r="J72" t="inlineStr">
        <is>
          <t>PRODUCTOS PETREOS DE SONORA SA DE</t>
        </is>
      </c>
      <c r="K72" t="inlineStr">
        <is>
          <t>Z03</t>
        </is>
      </c>
      <c r="L72" t="inlineStr">
        <is>
          <t>(AP) 15 Dias</t>
        </is>
      </c>
      <c r="M72" t="n">
        <v>10000248</v>
      </c>
      <c r="N72" t="inlineStr">
        <is>
          <t>Sub-base Triturado Caliza 1 1/2" a Finos</t>
        </is>
      </c>
      <c r="O72" t="inlineStr">
        <is>
          <t>D860</t>
        </is>
      </c>
      <c r="P72" t="inlineStr">
        <is>
          <t>MX-CED. HERMOSILLO</t>
        </is>
      </c>
      <c r="Q72" t="n">
        <v>20180308</v>
      </c>
      <c r="R72" t="n">
        <v>20281231</v>
      </c>
      <c r="S72" t="n">
        <v>20220421</v>
      </c>
      <c r="T72" t="n">
        <v>20271231</v>
      </c>
      <c r="U72" t="n">
        <v>175.44</v>
      </c>
      <c r="V72" t="inlineStr">
        <is>
          <t>MXN</t>
        </is>
      </c>
      <c r="W72" t="inlineStr">
        <is>
          <t>TN</t>
        </is>
      </c>
      <c r="X72" t="n">
        <v>38.44</v>
      </c>
      <c r="Y72" t="inlineStr">
        <is>
          <t>MXN</t>
        </is>
      </c>
      <c r="Z72" t="inlineStr">
        <is>
          <t>TN</t>
        </is>
      </c>
      <c r="AA72" t="inlineStr">
        <is>
          <t>66882820</t>
        </is>
      </c>
      <c r="AB72" t="inlineStr">
        <is>
          <t>CP-I OBRA DEACERO (JVM)</t>
        </is>
      </c>
      <c r="AC72" t="n">
        <v>56103590</v>
      </c>
      <c r="AD72" t="n">
        <v>6622501540</v>
      </c>
      <c r="AE72" t="n">
        <v>4</v>
      </c>
      <c r="AF72" t="inlineStr">
        <is>
          <t>ENTREGA DIRECTA</t>
        </is>
      </c>
      <c r="AG72" t="n">
        <v>1</v>
      </c>
      <c r="AH72" t="inlineStr">
        <is>
          <t>TO</t>
        </is>
      </c>
      <c r="AI72" t="inlineStr">
        <is>
          <t>X</t>
        </is>
      </c>
      <c r="AJ72" t="n">
        <v>4</v>
      </c>
      <c r="AK72" t="inlineStr">
        <is>
          <t>V4</t>
        </is>
      </c>
      <c r="AL72" t="n">
        <v>20230920</v>
      </c>
      <c r="AM72" t="inlineStr">
        <is>
          <t>D860-900005572-66882820-10000248-4</t>
        </is>
      </c>
    </row>
    <row r="73">
      <c r="A73" t="inlineStr">
        <is>
          <t>900007611D8606540810910052404</t>
        </is>
      </c>
      <c r="B73" t="inlineStr">
        <is>
          <t>4600053981-240</t>
        </is>
      </c>
      <c r="C73" t="n">
        <v>4600053981</v>
      </c>
      <c r="D73" t="n">
        <v>240</v>
      </c>
      <c r="E73" t="inlineStr">
        <is>
          <t>MXPO</t>
        </is>
      </c>
      <c r="F73" t="inlineStr">
        <is>
          <t>MXL</t>
        </is>
      </c>
      <c r="G73" t="n">
        <v>900007611</v>
      </c>
      <c r="H73" t="inlineStr">
        <is>
          <t>SF TP-ED-GOMOSA</t>
        </is>
      </c>
      <c r="I73" t="n">
        <v>5083069</v>
      </c>
      <c r="J73" t="inlineStr">
        <is>
          <t>GOMO DESARROLLOS Y MATERIALES S DE</t>
        </is>
      </c>
      <c r="K73" t="inlineStr">
        <is>
          <t>Z09</t>
        </is>
      </c>
      <c r="L73" t="inlineStr">
        <is>
          <t>(AP) 90 Dias</t>
        </is>
      </c>
      <c r="M73" t="n">
        <v>10052404</v>
      </c>
      <c r="N73" t="inlineStr">
        <is>
          <t>Grava Riolita 20 MM (3/4")</t>
        </is>
      </c>
      <c r="O73" t="inlineStr">
        <is>
          <t>D860</t>
        </is>
      </c>
      <c r="P73" t="inlineStr">
        <is>
          <t>MX-CED. HERMOSILLO</t>
        </is>
      </c>
      <c r="Q73" t="n">
        <v>20220512</v>
      </c>
      <c r="R73" t="n">
        <v>20291231</v>
      </c>
      <c r="S73" t="n">
        <v>20230629</v>
      </c>
      <c r="T73" t="n">
        <v>20281231</v>
      </c>
      <c r="U73" t="n">
        <v>152</v>
      </c>
      <c r="V73" t="inlineStr">
        <is>
          <t>MXN</t>
        </is>
      </c>
      <c r="W73" t="inlineStr">
        <is>
          <t>M3</t>
        </is>
      </c>
      <c r="X73" t="n">
        <v>32.52</v>
      </c>
      <c r="Y73" t="inlineStr">
        <is>
          <t>MXN</t>
        </is>
      </c>
      <c r="Z73" t="inlineStr">
        <is>
          <t>M3</t>
        </is>
      </c>
      <c r="AA73" t="inlineStr">
        <is>
          <t>65408109</t>
        </is>
      </c>
      <c r="AB73" t="inlineStr">
        <is>
          <t>(P) PREMEZCLADOS NOGALES S A DE C V</t>
        </is>
      </c>
      <c r="AC73" t="n">
        <v>56103637</v>
      </c>
      <c r="AD73" t="n">
        <v>6622501540</v>
      </c>
      <c r="AE73" t="n">
        <v>4</v>
      </c>
      <c r="AF73" t="inlineStr">
        <is>
          <t>ENTREGA DIRECTA</t>
        </is>
      </c>
      <c r="AG73" t="n">
        <v>1.445</v>
      </c>
      <c r="AH73" t="inlineStr">
        <is>
          <t>M3</t>
        </is>
      </c>
      <c r="AI73" t="inlineStr">
        <is>
          <t>X</t>
        </is>
      </c>
      <c r="AJ73" t="n">
        <v>4</v>
      </c>
      <c r="AK73" t="inlineStr">
        <is>
          <t>V4</t>
        </is>
      </c>
      <c r="AL73" t="n">
        <v>20230920</v>
      </c>
      <c r="AM73" t="inlineStr">
        <is>
          <t>D860-900007611-65408109-10052404-4</t>
        </is>
      </c>
    </row>
    <row r="74">
      <c r="A74" t="inlineStr">
        <is>
          <t>900007611D8606540810910052407</t>
        </is>
      </c>
      <c r="B74" t="inlineStr">
        <is>
          <t>4600053981-250</t>
        </is>
      </c>
      <c r="C74" t="n">
        <v>4600053981</v>
      </c>
      <c r="D74" t="n">
        <v>250</v>
      </c>
      <c r="E74" t="inlineStr">
        <is>
          <t>MXPO</t>
        </is>
      </c>
      <c r="F74" t="inlineStr">
        <is>
          <t>MXL</t>
        </is>
      </c>
      <c r="G74" t="n">
        <v>900007611</v>
      </c>
      <c r="H74" t="inlineStr">
        <is>
          <t>SF TP-ED-GOMOSA</t>
        </is>
      </c>
      <c r="I74" t="n">
        <v>5083069</v>
      </c>
      <c r="J74" t="inlineStr">
        <is>
          <t>GOMO DESARROLLOS Y MATERIALES S DE</t>
        </is>
      </c>
      <c r="K74" t="inlineStr">
        <is>
          <t>Z09</t>
        </is>
      </c>
      <c r="L74" t="inlineStr">
        <is>
          <t>(AP) 90 Dias</t>
        </is>
      </c>
      <c r="M74" t="n">
        <v>10052407</v>
      </c>
      <c r="N74" t="inlineStr">
        <is>
          <t>Arena Triturada Rio Malla 4</t>
        </is>
      </c>
      <c r="O74" t="inlineStr">
        <is>
          <t>D860</t>
        </is>
      </c>
      <c r="P74" t="inlineStr">
        <is>
          <t>MX-CED. HERMOSILLO</t>
        </is>
      </c>
      <c r="Q74" t="n">
        <v>20220512</v>
      </c>
      <c r="R74" t="n">
        <v>20291231</v>
      </c>
      <c r="S74" t="n">
        <v>20230629</v>
      </c>
      <c r="T74" t="n">
        <v>20281231</v>
      </c>
      <c r="U74" t="n">
        <v>143</v>
      </c>
      <c r="V74" t="inlineStr">
        <is>
          <t>MXN</t>
        </is>
      </c>
      <c r="W74" t="inlineStr">
        <is>
          <t>M3</t>
        </is>
      </c>
      <c r="X74" t="n">
        <v>32.52</v>
      </c>
      <c r="Y74" t="inlineStr">
        <is>
          <t>MXN</t>
        </is>
      </c>
      <c r="Z74" t="inlineStr">
        <is>
          <t>M3</t>
        </is>
      </c>
      <c r="AA74" t="inlineStr">
        <is>
          <t>65408109</t>
        </is>
      </c>
      <c r="AB74" t="inlineStr">
        <is>
          <t>(P) PREMEZCLADOS NOGALES S A DE C V</t>
        </is>
      </c>
      <c r="AC74" t="n">
        <v>56103638</v>
      </c>
      <c r="AD74" t="n">
        <v>6622501540</v>
      </c>
      <c r="AE74" t="n">
        <v>4</v>
      </c>
      <c r="AF74" t="inlineStr">
        <is>
          <t>ENTREGA DIRECTA</t>
        </is>
      </c>
      <c r="AG74" t="n">
        <v>1.51</v>
      </c>
      <c r="AH74" t="inlineStr">
        <is>
          <t>M3</t>
        </is>
      </c>
      <c r="AI74" t="inlineStr">
        <is>
          <t>X</t>
        </is>
      </c>
      <c r="AJ74" t="n">
        <v>4</v>
      </c>
      <c r="AK74" t="inlineStr">
        <is>
          <t>V4</t>
        </is>
      </c>
      <c r="AL74" t="n">
        <v>20230920</v>
      </c>
      <c r="AM74" t="inlineStr">
        <is>
          <t>D860-900007611-65408109-10052407-4</t>
        </is>
      </c>
    </row>
    <row r="75">
      <c r="A75" t="inlineStr">
        <is>
          <t>900005375D86010052404</t>
        </is>
      </c>
      <c r="B75" t="inlineStr">
        <is>
          <t>4600039662-90</t>
        </is>
      </c>
      <c r="C75" t="n">
        <v>4600039662</v>
      </c>
      <c r="D75" t="n">
        <v>90</v>
      </c>
      <c r="E75" t="inlineStr">
        <is>
          <t>MXPO</t>
        </is>
      </c>
      <c r="F75" t="inlineStr">
        <is>
          <t>MXL</t>
        </is>
      </c>
      <c r="G75" t="n">
        <v>900005375</v>
      </c>
      <c r="H75" t="inlineStr">
        <is>
          <t>SF TP- PROPESO</t>
        </is>
      </c>
      <c r="I75" t="n">
        <v>5001601</v>
      </c>
      <c r="J75" t="inlineStr">
        <is>
          <t>PRODUCTOS PETREOS DE SONORA SA DE</t>
        </is>
      </c>
      <c r="K75" t="inlineStr">
        <is>
          <t>Z03</t>
        </is>
      </c>
      <c r="L75" t="inlineStr">
        <is>
          <t>(AP) 15 Dias</t>
        </is>
      </c>
      <c r="M75" t="n">
        <v>10052404</v>
      </c>
      <c r="N75" t="inlineStr">
        <is>
          <t>Grava Riolita 20 MM (3/4")</t>
        </is>
      </c>
      <c r="O75" t="inlineStr">
        <is>
          <t>D860</t>
        </is>
      </c>
      <c r="P75" t="inlineStr">
        <is>
          <t>MX-CED. HERMOSILLO</t>
        </is>
      </c>
      <c r="Q75" t="n">
        <v>20170906</v>
      </c>
      <c r="R75" t="n">
        <v>20261231</v>
      </c>
      <c r="S75" t="n">
        <v>20201120</v>
      </c>
      <c r="T75" t="n">
        <v>20201120</v>
      </c>
      <c r="U75" t="n">
        <v>0</v>
      </c>
      <c r="V75" t="inlineStr">
        <is>
          <t>MXN</t>
        </is>
      </c>
      <c r="W75" t="inlineStr">
        <is>
          <t>M3</t>
        </is>
      </c>
      <c r="AC75" t="n">
        <v>56103637</v>
      </c>
      <c r="AD75" t="n">
        <v>6622501540</v>
      </c>
      <c r="AE75" t="n">
        <v>1</v>
      </c>
      <c r="AF75" t="inlineStr">
        <is>
          <t>ENTREGADO</t>
        </is>
      </c>
      <c r="AG75" t="n">
        <v>1.445</v>
      </c>
      <c r="AH75" t="inlineStr">
        <is>
          <t>M3</t>
        </is>
      </c>
      <c r="AI75" t="inlineStr">
        <is>
          <t>X</t>
        </is>
      </c>
      <c r="AJ75" t="n">
        <v>4</v>
      </c>
      <c r="AK75" t="inlineStr">
        <is>
          <t>V4</t>
        </is>
      </c>
      <c r="AL75" t="n">
        <v>20230828</v>
      </c>
      <c r="AM75" t="inlineStr">
        <is>
          <t>D860-900005375-10052404</t>
        </is>
      </c>
    </row>
    <row r="76">
      <c r="A76" t="inlineStr">
        <is>
          <t>900007611D8606737364710190637</t>
        </is>
      </c>
      <c r="B76" t="inlineStr">
        <is>
          <t>4600053981-470</t>
        </is>
      </c>
      <c r="C76" t="n">
        <v>4600053981</v>
      </c>
      <c r="D76" t="n">
        <v>470</v>
      </c>
      <c r="E76" t="inlineStr">
        <is>
          <t>MXPO</t>
        </is>
      </c>
      <c r="F76" t="inlineStr">
        <is>
          <t>MXL</t>
        </is>
      </c>
      <c r="G76" t="n">
        <v>900007611</v>
      </c>
      <c r="H76" t="inlineStr">
        <is>
          <t>SF TP-ED-GOMOSA</t>
        </is>
      </c>
      <c r="I76" t="n">
        <v>5083069</v>
      </c>
      <c r="J76" t="inlineStr">
        <is>
          <t>GOMO DESARROLLOS Y MATERIALES S DE</t>
        </is>
      </c>
      <c r="K76" t="inlineStr">
        <is>
          <t>Z09</t>
        </is>
      </c>
      <c r="L76" t="inlineStr">
        <is>
          <t>(AP) 90 Dias</t>
        </is>
      </c>
      <c r="M76" t="n">
        <v>10190637</v>
      </c>
      <c r="N76" t="inlineStr">
        <is>
          <t>GRAVA CLASIFICADA RIOLITA 20 MM (3/4")</t>
        </is>
      </c>
      <c r="O76" t="inlineStr">
        <is>
          <t>D860</t>
        </is>
      </c>
      <c r="P76" t="inlineStr">
        <is>
          <t>MX-CED. HERMOSILLO</t>
        </is>
      </c>
      <c r="Q76" t="n">
        <v>20220512</v>
      </c>
      <c r="R76" t="n">
        <v>20291231</v>
      </c>
      <c r="S76" t="n">
        <v>20260409</v>
      </c>
      <c r="T76" t="n">
        <v>20301231</v>
      </c>
      <c r="U76" t="n">
        <v>201.67</v>
      </c>
      <c r="V76" t="inlineStr">
        <is>
          <t>MXN</t>
        </is>
      </c>
      <c r="W76" t="inlineStr">
        <is>
          <t>M3</t>
        </is>
      </c>
      <c r="X76" t="n">
        <v>56.67</v>
      </c>
      <c r="Y76" t="inlineStr">
        <is>
          <t>MXN</t>
        </is>
      </c>
      <c r="Z76" t="inlineStr">
        <is>
          <t>M3</t>
        </is>
      </c>
      <c r="AA76" t="inlineStr">
        <is>
          <t>67373647</t>
        </is>
      </c>
      <c r="AB76" t="inlineStr">
        <is>
          <t>CENTRIFUGADOS MEXICANOS HERMOSILLO</t>
        </is>
      </c>
      <c r="AC76" t="n">
        <v>56103637</v>
      </c>
      <c r="AD76" t="n">
        <v>6622501540</v>
      </c>
      <c r="AE76" t="n">
        <v>4</v>
      </c>
      <c r="AF76" t="inlineStr">
        <is>
          <t>ENTREGA DIRECTA</t>
        </is>
      </c>
      <c r="AG76" t="n">
        <v>1.445</v>
      </c>
      <c r="AH76" t="inlineStr">
        <is>
          <t>M3</t>
        </is>
      </c>
      <c r="AI76" t="inlineStr">
        <is>
          <t>X</t>
        </is>
      </c>
      <c r="AJ76" t="n">
        <v>4</v>
      </c>
      <c r="AK76" t="inlineStr">
        <is>
          <t>V4</t>
        </is>
      </c>
      <c r="AL76" t="n">
        <v>20260413</v>
      </c>
      <c r="AM76" t="inlineStr">
        <is>
          <t>D860-900007611-67373647-10190637-4</t>
        </is>
      </c>
    </row>
    <row r="77">
      <c r="A77" t="inlineStr">
        <is>
          <t>900007611D8606737364710052407</t>
        </is>
      </c>
      <c r="B77" t="inlineStr">
        <is>
          <t>4600053981-480</t>
        </is>
      </c>
      <c r="C77" t="n">
        <v>4600053981</v>
      </c>
      <c r="D77" t="n">
        <v>480</v>
      </c>
      <c r="E77" t="inlineStr">
        <is>
          <t>MXPO</t>
        </is>
      </c>
      <c r="F77" t="inlineStr">
        <is>
          <t>MXL</t>
        </is>
      </c>
      <c r="G77" t="n">
        <v>900007611</v>
      </c>
      <c r="H77" t="inlineStr">
        <is>
          <t>SF TP-ED-GOMOSA</t>
        </is>
      </c>
      <c r="I77" t="n">
        <v>5083069</v>
      </c>
      <c r="J77" t="inlineStr">
        <is>
          <t>GOMO DESARROLLOS Y MATERIALES S DE</t>
        </is>
      </c>
      <c r="K77" t="inlineStr">
        <is>
          <t>Z09</t>
        </is>
      </c>
      <c r="L77" t="inlineStr">
        <is>
          <t>(AP) 90 Dias</t>
        </is>
      </c>
      <c r="M77" t="n">
        <v>10052407</v>
      </c>
      <c r="N77" t="inlineStr">
        <is>
          <t>Arena Triturada Rio Malla 4</t>
        </is>
      </c>
      <c r="O77" t="inlineStr">
        <is>
          <t>D860</t>
        </is>
      </c>
      <c r="P77" t="inlineStr">
        <is>
          <t>MX-CED. HERMOSILLO</t>
        </is>
      </c>
      <c r="Q77" t="n">
        <v>20220512</v>
      </c>
      <c r="R77" t="n">
        <v>20291231</v>
      </c>
      <c r="S77" t="n">
        <v>20260409</v>
      </c>
      <c r="T77" t="n">
        <v>20301231</v>
      </c>
      <c r="U77" t="n">
        <v>186.67</v>
      </c>
      <c r="V77" t="inlineStr">
        <is>
          <t>MXN</t>
        </is>
      </c>
      <c r="W77" t="inlineStr">
        <is>
          <t>M3</t>
        </is>
      </c>
      <c r="X77" t="n">
        <v>56.67</v>
      </c>
      <c r="Y77" t="inlineStr">
        <is>
          <t>MXN</t>
        </is>
      </c>
      <c r="Z77" t="inlineStr">
        <is>
          <t>M3</t>
        </is>
      </c>
      <c r="AA77" t="inlineStr">
        <is>
          <t>67373647</t>
        </is>
      </c>
      <c r="AB77" t="inlineStr">
        <is>
          <t>CENTRIFUGADOS MEXICANOS HERMOSILLO</t>
        </is>
      </c>
      <c r="AC77" t="n">
        <v>56103638</v>
      </c>
      <c r="AD77" t="n">
        <v>6622501540</v>
      </c>
      <c r="AE77" t="n">
        <v>4</v>
      </c>
      <c r="AF77" t="inlineStr">
        <is>
          <t>ENTREGA DIRECTA</t>
        </is>
      </c>
      <c r="AG77" t="n">
        <v>1.51</v>
      </c>
      <c r="AH77" t="inlineStr">
        <is>
          <t>M3</t>
        </is>
      </c>
      <c r="AI77" t="inlineStr">
        <is>
          <t>X</t>
        </is>
      </c>
      <c r="AJ77" t="n">
        <v>4</v>
      </c>
      <c r="AK77" t="inlineStr">
        <is>
          <t>V4</t>
        </is>
      </c>
      <c r="AL77" t="n">
        <v>20260413</v>
      </c>
      <c r="AM77" t="inlineStr">
        <is>
          <t>D860-900007611-67373647-10052407-4</t>
        </is>
      </c>
    </row>
    <row r="78">
      <c r="A78" t="inlineStr">
        <is>
          <t>900007611D8606737364710052402</t>
        </is>
      </c>
      <c r="B78" t="inlineStr">
        <is>
          <t>4600053981-460</t>
        </is>
      </c>
      <c r="C78" t="n">
        <v>4600053981</v>
      </c>
      <c r="D78" t="n">
        <v>460</v>
      </c>
      <c r="E78" t="inlineStr">
        <is>
          <t>MXPO</t>
        </is>
      </c>
      <c r="F78" t="inlineStr">
        <is>
          <t>MXL</t>
        </is>
      </c>
      <c r="G78" t="n">
        <v>900007611</v>
      </c>
      <c r="H78" t="inlineStr">
        <is>
          <t>SF TP-ED-GOMOSA</t>
        </is>
      </c>
      <c r="I78" t="n">
        <v>5083069</v>
      </c>
      <c r="J78" t="inlineStr">
        <is>
          <t>GOMO DESARROLLOS Y MATERIALES S DE</t>
        </is>
      </c>
      <c r="K78" t="inlineStr">
        <is>
          <t>Z09</t>
        </is>
      </c>
      <c r="L78" t="inlineStr">
        <is>
          <t>(AP) 90 Dias</t>
        </is>
      </c>
      <c r="M78" t="n">
        <v>10052402</v>
      </c>
      <c r="N78" t="inlineStr">
        <is>
          <t>Grava Riolita 10 MM (3/8")</t>
        </is>
      </c>
      <c r="O78" t="inlineStr">
        <is>
          <t>D860</t>
        </is>
      </c>
      <c r="P78" t="inlineStr">
        <is>
          <t>MX-CED. HERMOSILLO</t>
        </is>
      </c>
      <c r="Q78" t="n">
        <v>20220512</v>
      </c>
      <c r="R78" t="n">
        <v>20291231</v>
      </c>
      <c r="S78" t="n">
        <v>20260409</v>
      </c>
      <c r="T78" t="n">
        <v>20301231</v>
      </c>
      <c r="U78" t="n">
        <v>256.67</v>
      </c>
      <c r="V78" t="inlineStr">
        <is>
          <t>MXN</t>
        </is>
      </c>
      <c r="W78" t="inlineStr">
        <is>
          <t>M3</t>
        </is>
      </c>
      <c r="X78" t="n">
        <v>56.67</v>
      </c>
      <c r="Y78" t="inlineStr">
        <is>
          <t>MXN</t>
        </is>
      </c>
      <c r="Z78" t="inlineStr">
        <is>
          <t>M3</t>
        </is>
      </c>
      <c r="AA78" t="inlineStr">
        <is>
          <t>67373647</t>
        </is>
      </c>
      <c r="AB78" t="inlineStr">
        <is>
          <t>CENTRIFUGADOS MEXICANOS HERMOSILLO</t>
        </is>
      </c>
      <c r="AC78" t="n">
        <v>56103637</v>
      </c>
      <c r="AD78" t="n">
        <v>6622501540</v>
      </c>
      <c r="AE78" t="n">
        <v>4</v>
      </c>
      <c r="AF78" t="inlineStr">
        <is>
          <t>ENTREGA DIRECTA</t>
        </is>
      </c>
      <c r="AG78" t="n">
        <v>1.52</v>
      </c>
      <c r="AH78" t="inlineStr">
        <is>
          <t>M3</t>
        </is>
      </c>
      <c r="AI78" t="inlineStr">
        <is>
          <t>X</t>
        </is>
      </c>
      <c r="AJ78" t="n">
        <v>4</v>
      </c>
      <c r="AK78" t="inlineStr">
        <is>
          <t>V4</t>
        </is>
      </c>
      <c r="AL78" t="n">
        <v>20260413</v>
      </c>
      <c r="AM78" t="inlineStr">
        <is>
          <t>D860-900007611-67373647-10052402-4</t>
        </is>
      </c>
    </row>
    <row r="79">
      <c r="A79" t="inlineStr">
        <is>
          <t>900009377D86010052405</t>
        </is>
      </c>
      <c r="B79" t="inlineStr">
        <is>
          <t>4600071746-40</t>
        </is>
      </c>
      <c r="C79" t="n">
        <v>4600071746</v>
      </c>
      <c r="D79" t="n">
        <v>40</v>
      </c>
      <c r="E79" t="inlineStr">
        <is>
          <t>MXPO</t>
        </is>
      </c>
      <c r="F79" t="inlineStr">
        <is>
          <t>MXL</t>
        </is>
      </c>
      <c r="G79" t="n">
        <v>900009377</v>
      </c>
      <c r="H79" t="inlineStr">
        <is>
          <t>SF TP-MAT PETREOS TEPEYAC</t>
        </is>
      </c>
      <c r="I79" t="n">
        <v>5097166</v>
      </c>
      <c r="J79" t="inlineStr">
        <is>
          <t>MATERIALES PETREOS DEL TEPEYAC SA D</t>
        </is>
      </c>
      <c r="K79" t="inlineStr">
        <is>
          <t>Z03</t>
        </is>
      </c>
      <c r="L79" t="inlineStr">
        <is>
          <t>(AP) 15 Dias</t>
        </is>
      </c>
      <c r="M79" t="n">
        <v>10052405</v>
      </c>
      <c r="N79" t="inlineStr">
        <is>
          <t>Grava Riolita 40 MM (1 1/2")</t>
        </is>
      </c>
      <c r="O79" t="inlineStr">
        <is>
          <t>D860</t>
        </is>
      </c>
      <c r="P79" t="inlineStr">
        <is>
          <t>MX-CED. HERMOSILLO</t>
        </is>
      </c>
      <c r="Q79" t="n">
        <v>20251028</v>
      </c>
      <c r="R79" t="n">
        <v>20301231</v>
      </c>
      <c r="S79" t="n">
        <v>20251028</v>
      </c>
      <c r="T79" t="n">
        <v>20301231</v>
      </c>
      <c r="U79" t="n">
        <v>110</v>
      </c>
      <c r="V79" t="inlineStr">
        <is>
          <t>MXN</t>
        </is>
      </c>
      <c r="W79" t="inlineStr">
        <is>
          <t>M3</t>
        </is>
      </c>
      <c r="X79" t="n">
        <v>0</v>
      </c>
      <c r="Y79" t="inlineStr">
        <is>
          <t>MXN</t>
        </is>
      </c>
      <c r="Z79" t="inlineStr">
        <is>
          <t>M3</t>
        </is>
      </c>
      <c r="AC79" t="n">
        <v>56103637</v>
      </c>
      <c r="AD79" t="n">
        <v>6622501540</v>
      </c>
      <c r="AE79" t="n">
        <v>1</v>
      </c>
      <c r="AF79" t="inlineStr">
        <is>
          <t>ENTREGADO</t>
        </is>
      </c>
      <c r="AG79" t="n">
        <v>1.48</v>
      </c>
      <c r="AH79" t="inlineStr">
        <is>
          <t>M3</t>
        </is>
      </c>
      <c r="AI79" t="inlineStr">
        <is>
          <t>X</t>
        </is>
      </c>
      <c r="AJ79" t="n">
        <v>4</v>
      </c>
      <c r="AK79" t="inlineStr">
        <is>
          <t>V4</t>
        </is>
      </c>
      <c r="AL79" t="n">
        <v>20251103</v>
      </c>
      <c r="AM79" t="inlineStr">
        <is>
          <t>D860-900009377-10052405</t>
        </is>
      </c>
    </row>
    <row r="80">
      <c r="A80" t="inlineStr">
        <is>
          <t>900009377D86010190637</t>
        </is>
      </c>
      <c r="B80" t="inlineStr">
        <is>
          <t>4600071746-20</t>
        </is>
      </c>
      <c r="C80" t="n">
        <v>4600071746</v>
      </c>
      <c r="D80" t="n">
        <v>20</v>
      </c>
      <c r="E80" t="inlineStr">
        <is>
          <t>MXPO</t>
        </is>
      </c>
      <c r="F80" t="inlineStr">
        <is>
          <t>MXL</t>
        </is>
      </c>
      <c r="G80" t="n">
        <v>900009377</v>
      </c>
      <c r="H80" t="inlineStr">
        <is>
          <t>SF TP-MAT PETREOS TEPEYAC</t>
        </is>
      </c>
      <c r="I80" t="n">
        <v>5097166</v>
      </c>
      <c r="J80" t="inlineStr">
        <is>
          <t>MATERIALES PETREOS DEL TEPEYAC SA D</t>
        </is>
      </c>
      <c r="K80" t="inlineStr">
        <is>
          <t>Z03</t>
        </is>
      </c>
      <c r="L80" t="inlineStr">
        <is>
          <t>(AP) 15 Dias</t>
        </is>
      </c>
      <c r="M80" t="n">
        <v>10190637</v>
      </c>
      <c r="N80" t="inlineStr">
        <is>
          <t>GRAVA CLASIFICADA RIOLITA 20 MM (3/4")</t>
        </is>
      </c>
      <c r="O80" t="inlineStr">
        <is>
          <t>D860</t>
        </is>
      </c>
      <c r="P80" t="inlineStr">
        <is>
          <t>MX-CED. HERMOSILLO</t>
        </is>
      </c>
      <c r="Q80" t="n">
        <v>20251028</v>
      </c>
      <c r="R80" t="n">
        <v>20301231</v>
      </c>
      <c r="S80" t="n">
        <v>20251028</v>
      </c>
      <c r="T80" t="n">
        <v>20301231</v>
      </c>
      <c r="U80" t="n">
        <v>120</v>
      </c>
      <c r="V80" t="inlineStr">
        <is>
          <t>MXN</t>
        </is>
      </c>
      <c r="W80" t="inlineStr">
        <is>
          <t>M3</t>
        </is>
      </c>
      <c r="X80" t="n">
        <v>0</v>
      </c>
      <c r="Y80" t="inlineStr">
        <is>
          <t>MXN</t>
        </is>
      </c>
      <c r="Z80" t="inlineStr">
        <is>
          <t>M3</t>
        </is>
      </c>
      <c r="AC80" t="n">
        <v>56103637</v>
      </c>
      <c r="AD80" t="n">
        <v>6622501540</v>
      </c>
      <c r="AE80" t="n">
        <v>1</v>
      </c>
      <c r="AF80" t="inlineStr">
        <is>
          <t>ENTREGADO</t>
        </is>
      </c>
      <c r="AG80" t="n">
        <v>1.445</v>
      </c>
      <c r="AH80" t="inlineStr">
        <is>
          <t>M3</t>
        </is>
      </c>
      <c r="AI80" t="inlineStr">
        <is>
          <t>X</t>
        </is>
      </c>
      <c r="AJ80" t="n">
        <v>4</v>
      </c>
      <c r="AK80" t="inlineStr">
        <is>
          <t>V4</t>
        </is>
      </c>
      <c r="AL80" t="n">
        <v>20251103</v>
      </c>
      <c r="AM80" t="inlineStr">
        <is>
          <t>D860-900009377-10190637</t>
        </is>
      </c>
    </row>
    <row r="81">
      <c r="A81" t="inlineStr">
        <is>
          <t>900009377D86010052402</t>
        </is>
      </c>
      <c r="B81" t="inlineStr">
        <is>
          <t>4600071746-10</t>
        </is>
      </c>
      <c r="C81" t="n">
        <v>4600071746</v>
      </c>
      <c r="D81" t="n">
        <v>10</v>
      </c>
      <c r="E81" t="inlineStr">
        <is>
          <t>MXPO</t>
        </is>
      </c>
      <c r="F81" t="inlineStr">
        <is>
          <t>MXL</t>
        </is>
      </c>
      <c r="G81" t="n">
        <v>900009377</v>
      </c>
      <c r="H81" t="inlineStr">
        <is>
          <t>SF TP-MAT PETREOS TEPEYAC</t>
        </is>
      </c>
      <c r="I81" t="n">
        <v>5097166</v>
      </c>
      <c r="J81" t="inlineStr">
        <is>
          <t>MATERIALES PETREOS DEL TEPEYAC SA D</t>
        </is>
      </c>
      <c r="K81" t="inlineStr">
        <is>
          <t>Z03</t>
        </is>
      </c>
      <c r="L81" t="inlineStr">
        <is>
          <t>(AP) 15 Dias</t>
        </is>
      </c>
      <c r="M81" t="n">
        <v>10052402</v>
      </c>
      <c r="N81" t="inlineStr">
        <is>
          <t>Grava Riolita 10 MM (3/8")</t>
        </is>
      </c>
      <c r="O81" t="inlineStr">
        <is>
          <t>D860</t>
        </is>
      </c>
      <c r="P81" t="inlineStr">
        <is>
          <t>MX-CED. HERMOSILLO</t>
        </is>
      </c>
      <c r="Q81" t="n">
        <v>20251028</v>
      </c>
      <c r="R81" t="n">
        <v>20301231</v>
      </c>
      <c r="S81" t="n">
        <v>20251028</v>
      </c>
      <c r="T81" t="n">
        <v>20301231</v>
      </c>
      <c r="U81" t="n">
        <v>188.6</v>
      </c>
      <c r="V81" t="inlineStr">
        <is>
          <t>MXN</t>
        </is>
      </c>
      <c r="W81" t="inlineStr">
        <is>
          <t>M3</t>
        </is>
      </c>
      <c r="X81" t="n">
        <v>0</v>
      </c>
      <c r="Y81" t="inlineStr">
        <is>
          <t>MXN</t>
        </is>
      </c>
      <c r="Z81" t="inlineStr">
        <is>
          <t>M3</t>
        </is>
      </c>
      <c r="AC81" t="n">
        <v>56103637</v>
      </c>
      <c r="AD81" t="n">
        <v>6622501540</v>
      </c>
      <c r="AE81" t="n">
        <v>1</v>
      </c>
      <c r="AF81" t="inlineStr">
        <is>
          <t>ENTREGADO</t>
        </is>
      </c>
      <c r="AG81" t="n">
        <v>1.52</v>
      </c>
      <c r="AH81" t="inlineStr">
        <is>
          <t>M3</t>
        </is>
      </c>
      <c r="AI81" t="inlineStr">
        <is>
          <t>X</t>
        </is>
      </c>
      <c r="AJ81" t="n">
        <v>4</v>
      </c>
      <c r="AK81" t="inlineStr">
        <is>
          <t>V4</t>
        </is>
      </c>
      <c r="AL81" t="n">
        <v>20251103</v>
      </c>
      <c r="AM81" t="inlineStr">
        <is>
          <t>D860-900009377-10052402</t>
        </is>
      </c>
    </row>
    <row r="82">
      <c r="A82" t="inlineStr">
        <is>
          <t>900009377D86010052407</t>
        </is>
      </c>
      <c r="B82" t="inlineStr">
        <is>
          <t>4600071746-30</t>
        </is>
      </c>
      <c r="C82" t="n">
        <v>4600071746</v>
      </c>
      <c r="D82" t="n">
        <v>30</v>
      </c>
      <c r="E82" t="inlineStr">
        <is>
          <t>MXPO</t>
        </is>
      </c>
      <c r="F82" t="inlineStr">
        <is>
          <t>MXL</t>
        </is>
      </c>
      <c r="G82" t="n">
        <v>900009377</v>
      </c>
      <c r="H82" t="inlineStr">
        <is>
          <t>SF TP-MAT PETREOS TEPEYAC</t>
        </is>
      </c>
      <c r="I82" t="n">
        <v>5097166</v>
      </c>
      <c r="J82" t="inlineStr">
        <is>
          <t>MATERIALES PETREOS DEL TEPEYAC SA D</t>
        </is>
      </c>
      <c r="K82" t="inlineStr">
        <is>
          <t>Z03</t>
        </is>
      </c>
      <c r="L82" t="inlineStr">
        <is>
          <t>(AP) 15 Dias</t>
        </is>
      </c>
      <c r="M82" t="n">
        <v>10052407</v>
      </c>
      <c r="N82" t="inlineStr">
        <is>
          <t>Arena Triturada Rio Malla 4</t>
        </is>
      </c>
      <c r="O82" t="inlineStr">
        <is>
          <t>D860</t>
        </is>
      </c>
      <c r="P82" t="inlineStr">
        <is>
          <t>MX-CED. HERMOSILLO</t>
        </is>
      </c>
      <c r="Q82" t="n">
        <v>20251028</v>
      </c>
      <c r="R82" t="n">
        <v>20301231</v>
      </c>
      <c r="S82" t="n">
        <v>20251028</v>
      </c>
      <c r="T82" t="n">
        <v>20301231</v>
      </c>
      <c r="U82" t="n">
        <v>107.2</v>
      </c>
      <c r="V82" t="inlineStr">
        <is>
          <t>MXN</t>
        </is>
      </c>
      <c r="W82" t="inlineStr">
        <is>
          <t>M3</t>
        </is>
      </c>
      <c r="X82" t="n">
        <v>0</v>
      </c>
      <c r="Y82" t="inlineStr">
        <is>
          <t>MXN</t>
        </is>
      </c>
      <c r="Z82" t="inlineStr">
        <is>
          <t>M3</t>
        </is>
      </c>
      <c r="AC82" t="n">
        <v>56103638</v>
      </c>
      <c r="AD82" t="n">
        <v>6622501540</v>
      </c>
      <c r="AE82" t="n">
        <v>1</v>
      </c>
      <c r="AF82" t="inlineStr">
        <is>
          <t>ENTREGADO</t>
        </is>
      </c>
      <c r="AG82" t="n">
        <v>1.51</v>
      </c>
      <c r="AH82" t="inlineStr">
        <is>
          <t>M3</t>
        </is>
      </c>
      <c r="AI82" t="inlineStr">
        <is>
          <t>X</t>
        </is>
      </c>
      <c r="AJ82" t="n">
        <v>4</v>
      </c>
      <c r="AK82" t="inlineStr">
        <is>
          <t>V4</t>
        </is>
      </c>
      <c r="AL82" t="n">
        <v>20251103</v>
      </c>
      <c r="AM82" t="inlineStr">
        <is>
          <t>D860-900009377-10052407</t>
        </is>
      </c>
    </row>
    <row r="83">
      <c r="A83" t="inlineStr">
        <is>
          <t>900005572D8606689613610190637</t>
        </is>
      </c>
      <c r="B83" t="inlineStr">
        <is>
          <t>4600041494-570</t>
        </is>
      </c>
      <c r="C83" t="n">
        <v>4600041494</v>
      </c>
      <c r="D83" t="n">
        <v>570</v>
      </c>
      <c r="E83" t="inlineStr">
        <is>
          <t>MXPO</t>
        </is>
      </c>
      <c r="F83" t="inlineStr">
        <is>
          <t>MXL</t>
        </is>
      </c>
      <c r="G83" t="n">
        <v>900005572</v>
      </c>
      <c r="H83" t="inlineStr">
        <is>
          <t>TP- ED- PROPESO</t>
        </is>
      </c>
      <c r="I83" t="n">
        <v>5001601</v>
      </c>
      <c r="J83" t="inlineStr">
        <is>
          <t>PRODUCTOS PETREOS DE SONORA SA DE</t>
        </is>
      </c>
      <c r="K83" t="inlineStr">
        <is>
          <t>Z03</t>
        </is>
      </c>
      <c r="L83" t="inlineStr">
        <is>
          <t>(AP) 15 Dias</t>
        </is>
      </c>
      <c r="M83" t="n">
        <v>10190637</v>
      </c>
      <c r="N83" t="inlineStr">
        <is>
          <t>GRAVA CLASIFICADA RIOLITA 20 MM (3/4")</t>
        </is>
      </c>
      <c r="O83" t="inlineStr">
        <is>
          <t>D860</t>
        </is>
      </c>
      <c r="P83" t="inlineStr">
        <is>
          <t>MX-CED. HERMOSILLO</t>
        </is>
      </c>
      <c r="Q83" t="n">
        <v>20180308</v>
      </c>
      <c r="R83" t="n">
        <v>20281231</v>
      </c>
      <c r="U83" t="n">
        <v>242.94</v>
      </c>
      <c r="V83" t="inlineStr">
        <is>
          <t>MXN</t>
        </is>
      </c>
      <c r="W83" t="inlineStr">
        <is>
          <t>M3</t>
        </is>
      </c>
      <c r="AA83" t="inlineStr">
        <is>
          <t>66896136</t>
        </is>
      </c>
      <c r="AB83" t="inlineStr">
        <is>
          <t>MEZTA CORPORATIVO HERMOSILLO (AGG)</t>
        </is>
      </c>
      <c r="AC83" t="n">
        <v>56103637</v>
      </c>
      <c r="AD83" t="n">
        <v>6622501540</v>
      </c>
      <c r="AE83" t="n">
        <v>4</v>
      </c>
      <c r="AF83" t="inlineStr">
        <is>
          <t>ENTREGA DIRECTA</t>
        </is>
      </c>
      <c r="AG83" t="n">
        <v>1.445</v>
      </c>
      <c r="AH83" t="inlineStr">
        <is>
          <t>M3</t>
        </is>
      </c>
      <c r="AI83" t="inlineStr">
        <is>
          <t>X</t>
        </is>
      </c>
      <c r="AJ83" t="n">
        <v>4</v>
      </c>
      <c r="AK83" t="inlineStr">
        <is>
          <t>V4</t>
        </is>
      </c>
      <c r="AL83" t="n">
        <v>20230920</v>
      </c>
      <c r="AM83" t="inlineStr">
        <is>
          <t>D860-900005572-66896136-10190637-4</t>
        </is>
      </c>
    </row>
    <row r="84">
      <c r="A84" t="inlineStr">
        <is>
          <t>900005572D8606689613610052407</t>
        </is>
      </c>
      <c r="B84" t="inlineStr">
        <is>
          <t>4600041494-360</t>
        </is>
      </c>
      <c r="C84" t="n">
        <v>4600041494</v>
      </c>
      <c r="D84" t="n">
        <v>360</v>
      </c>
      <c r="E84" t="inlineStr">
        <is>
          <t>MXPO</t>
        </is>
      </c>
      <c r="F84" t="inlineStr">
        <is>
          <t>MXL</t>
        </is>
      </c>
      <c r="G84" t="n">
        <v>900005572</v>
      </c>
      <c r="H84" t="inlineStr">
        <is>
          <t>TP- ED- PROPESO</t>
        </is>
      </c>
      <c r="I84" t="n">
        <v>5001601</v>
      </c>
      <c r="J84" t="inlineStr">
        <is>
          <t>PRODUCTOS PETREOS DE SONORA SA DE</t>
        </is>
      </c>
      <c r="K84" t="inlineStr">
        <is>
          <t>Z03</t>
        </is>
      </c>
      <c r="L84" t="inlineStr">
        <is>
          <t>(AP) 15 Dias</t>
        </is>
      </c>
      <c r="M84" t="n">
        <v>10052407</v>
      </c>
      <c r="N84" t="inlineStr">
        <is>
          <t>Arena Triturada Rio Malla 4</t>
        </is>
      </c>
      <c r="O84" t="inlineStr">
        <is>
          <t>D860</t>
        </is>
      </c>
      <c r="P84" t="inlineStr">
        <is>
          <t>MX-CED. HERMOSILLO</t>
        </is>
      </c>
      <c r="Q84" t="n">
        <v>20180308</v>
      </c>
      <c r="R84" t="n">
        <v>20281231</v>
      </c>
      <c r="U84" t="n">
        <v>232.94</v>
      </c>
      <c r="V84" t="inlineStr">
        <is>
          <t>MXN</t>
        </is>
      </c>
      <c r="W84" t="inlineStr">
        <is>
          <t>M3</t>
        </is>
      </c>
      <c r="AA84" t="inlineStr">
        <is>
          <t>66896136</t>
        </is>
      </c>
      <c r="AB84" t="inlineStr">
        <is>
          <t>MEZTA CORPORATIVO HERMOSILLO (AGG)</t>
        </is>
      </c>
      <c r="AC84" t="n">
        <v>56103638</v>
      </c>
      <c r="AD84" t="n">
        <v>6622501540</v>
      </c>
      <c r="AE84" t="n">
        <v>4</v>
      </c>
      <c r="AF84" t="inlineStr">
        <is>
          <t>ENTREGA DIRECTA</t>
        </is>
      </c>
      <c r="AG84" t="n">
        <v>1.51</v>
      </c>
      <c r="AH84" t="inlineStr">
        <is>
          <t>M3</t>
        </is>
      </c>
      <c r="AI84" t="inlineStr">
        <is>
          <t>X</t>
        </is>
      </c>
      <c r="AJ84" t="n">
        <v>4</v>
      </c>
      <c r="AK84" t="inlineStr">
        <is>
          <t>V4</t>
        </is>
      </c>
      <c r="AL84" t="n">
        <v>20230920</v>
      </c>
      <c r="AM84" t="inlineStr">
        <is>
          <t>D860-900005572-66896136-10052407-4</t>
        </is>
      </c>
    </row>
    <row r="85">
      <c r="A85" t="inlineStr">
        <is>
          <t>900007611D8606706402910208119</t>
        </is>
      </c>
      <c r="B85" t="inlineStr">
        <is>
          <t>4600053981-60</t>
        </is>
      </c>
      <c r="C85" t="n">
        <v>4600053981</v>
      </c>
      <c r="D85" t="n">
        <v>60</v>
      </c>
      <c r="E85" t="inlineStr">
        <is>
          <t>MXPO</t>
        </is>
      </c>
      <c r="F85" t="inlineStr">
        <is>
          <t>MXL</t>
        </is>
      </c>
      <c r="G85" t="n">
        <v>900007611</v>
      </c>
      <c r="H85" t="inlineStr">
        <is>
          <t>SF TP-ED-GOMOSA</t>
        </is>
      </c>
      <c r="I85" t="n">
        <v>5083069</v>
      </c>
      <c r="J85" t="inlineStr">
        <is>
          <t>GOMO DESARROLLOS Y MATERIALES S DE</t>
        </is>
      </c>
      <c r="K85" t="inlineStr">
        <is>
          <t>Z09</t>
        </is>
      </c>
      <c r="L85" t="inlineStr">
        <is>
          <t>(AP) 90 Dias</t>
        </is>
      </c>
      <c r="M85" t="n">
        <v>10208119</v>
      </c>
      <c r="N85" t="inlineStr">
        <is>
          <t>ARENA DE RIO 50% - POLVO TRITURADO GRANI</t>
        </is>
      </c>
      <c r="O85" t="inlineStr">
        <is>
          <t>D860</t>
        </is>
      </c>
      <c r="P85" t="inlineStr">
        <is>
          <t>MX-CED. HERMOSILLO</t>
        </is>
      </c>
      <c r="Q85" t="n">
        <v>20220512</v>
      </c>
      <c r="R85" t="n">
        <v>20291231</v>
      </c>
      <c r="U85" t="n">
        <v>200</v>
      </c>
      <c r="V85" t="inlineStr">
        <is>
          <t>MXN</t>
        </is>
      </c>
      <c r="W85" t="inlineStr">
        <is>
          <t>M3</t>
        </is>
      </c>
      <c r="AA85" t="inlineStr">
        <is>
          <t>67064029</t>
        </is>
      </c>
      <c r="AB85" t="inlineStr">
        <is>
          <t>Block 21</t>
        </is>
      </c>
      <c r="AC85" t="n">
        <v>56103638</v>
      </c>
      <c r="AD85" t="n">
        <v>6622501540</v>
      </c>
      <c r="AE85" t="n">
        <v>4</v>
      </c>
      <c r="AF85" t="inlineStr">
        <is>
          <t>ENTREGA DIRECTA</t>
        </is>
      </c>
      <c r="AG85" t="n">
        <v>1.565</v>
      </c>
      <c r="AH85" t="inlineStr">
        <is>
          <t>M3</t>
        </is>
      </c>
      <c r="AI85" t="inlineStr">
        <is>
          <t>X</t>
        </is>
      </c>
      <c r="AJ85" t="n">
        <v>4</v>
      </c>
      <c r="AK85" t="inlineStr">
        <is>
          <t>V4</t>
        </is>
      </c>
      <c r="AL85" t="n">
        <v>20230920</v>
      </c>
      <c r="AM85" t="inlineStr">
        <is>
          <t>D860-900007611-67064029-10208119-4</t>
        </is>
      </c>
    </row>
    <row r="86">
      <c r="A86" t="inlineStr">
        <is>
          <t>900005572D8606689613610052402</t>
        </is>
      </c>
      <c r="B86" t="inlineStr">
        <is>
          <t>4600041494-370</t>
        </is>
      </c>
      <c r="C86" t="n">
        <v>4600041494</v>
      </c>
      <c r="D86" t="n">
        <v>370</v>
      </c>
      <c r="E86" t="inlineStr">
        <is>
          <t>MXPO</t>
        </is>
      </c>
      <c r="F86" t="inlineStr">
        <is>
          <t>MXL</t>
        </is>
      </c>
      <c r="G86" t="n">
        <v>900005572</v>
      </c>
      <c r="H86" t="inlineStr">
        <is>
          <t>TP- ED- PROPESO</t>
        </is>
      </c>
      <c r="I86" t="n">
        <v>5001601</v>
      </c>
      <c r="J86" t="inlineStr">
        <is>
          <t>PRODUCTOS PETREOS DE SONORA SA DE</t>
        </is>
      </c>
      <c r="K86" t="inlineStr">
        <is>
          <t>Z03</t>
        </is>
      </c>
      <c r="L86" t="inlineStr">
        <is>
          <t>(AP) 15 Dias</t>
        </is>
      </c>
      <c r="M86" t="n">
        <v>10052402</v>
      </c>
      <c r="N86" t="inlineStr">
        <is>
          <t>Grava Riolita 10 MM (3/8")</t>
        </is>
      </c>
      <c r="O86" t="inlineStr">
        <is>
          <t>D860</t>
        </is>
      </c>
      <c r="P86" t="inlineStr">
        <is>
          <t>MX-CED. HERMOSILLO</t>
        </is>
      </c>
      <c r="Q86" t="n">
        <v>20180308</v>
      </c>
      <c r="R86" t="n">
        <v>20281231</v>
      </c>
      <c r="U86" t="n">
        <v>302.94</v>
      </c>
      <c r="V86" t="inlineStr">
        <is>
          <t>MXN</t>
        </is>
      </c>
      <c r="W86" t="inlineStr">
        <is>
          <t>M3</t>
        </is>
      </c>
      <c r="AA86" t="inlineStr">
        <is>
          <t>66896136</t>
        </is>
      </c>
      <c r="AB86" t="inlineStr">
        <is>
          <t>MEZTA CORPORATIVO HERMOSILLO (AGG)</t>
        </is>
      </c>
      <c r="AC86" t="n">
        <v>56103637</v>
      </c>
      <c r="AD86" t="n">
        <v>6622501540</v>
      </c>
      <c r="AE86" t="n">
        <v>4</v>
      </c>
      <c r="AF86" t="inlineStr">
        <is>
          <t>ENTREGA DIRECTA</t>
        </is>
      </c>
      <c r="AG86" t="n">
        <v>1.52</v>
      </c>
      <c r="AH86" t="inlineStr">
        <is>
          <t>M3</t>
        </is>
      </c>
      <c r="AI86" t="inlineStr">
        <is>
          <t>X</t>
        </is>
      </c>
      <c r="AJ86" t="n">
        <v>4</v>
      </c>
      <c r="AK86" t="inlineStr">
        <is>
          <t>V4</t>
        </is>
      </c>
      <c r="AL86" t="n">
        <v>20230920</v>
      </c>
      <c r="AM86" t="inlineStr">
        <is>
          <t>D860-900005572-66896136-10052402-4</t>
        </is>
      </c>
    </row>
    <row r="87">
      <c r="A87" t="inlineStr">
        <is>
          <t>900007612D86010262224</t>
        </is>
      </c>
      <c r="B87" t="inlineStr">
        <is>
          <t>4600053982-120</t>
        </is>
      </c>
      <c r="C87" t="n">
        <v>4600053982</v>
      </c>
      <c r="D87" t="n">
        <v>120</v>
      </c>
      <c r="E87" t="inlineStr">
        <is>
          <t>MXPO</t>
        </is>
      </c>
      <c r="F87" t="inlineStr">
        <is>
          <t>MXL</t>
        </is>
      </c>
      <c r="G87" t="n">
        <v>900007612</v>
      </c>
      <c r="H87" t="inlineStr">
        <is>
          <t>SF TP-GOMOSA</t>
        </is>
      </c>
      <c r="I87" t="n">
        <v>5083069</v>
      </c>
      <c r="J87" t="inlineStr">
        <is>
          <t>GOMO DESARROLLOS Y MATERIALES S DE</t>
        </is>
      </c>
      <c r="K87" t="inlineStr">
        <is>
          <t>Z09</t>
        </is>
      </c>
      <c r="L87" t="inlineStr">
        <is>
          <t>(AP) 90 Dias</t>
        </is>
      </c>
      <c r="M87" t="n">
        <v>10262224</v>
      </c>
      <c r="N87" t="inlineStr">
        <is>
          <t>BASE HIDRÁULICA</t>
        </is>
      </c>
      <c r="O87" t="inlineStr">
        <is>
          <t>D860</t>
        </is>
      </c>
      <c r="P87" t="inlineStr">
        <is>
          <t>MX-CED. HERMOSILLO</t>
        </is>
      </c>
      <c r="Q87" t="n">
        <v>20220512</v>
      </c>
      <c r="R87" t="n">
        <v>20291231</v>
      </c>
      <c r="S87" t="n">
        <v>20260327</v>
      </c>
      <c r="T87" t="n">
        <v>20301231</v>
      </c>
      <c r="U87" t="n">
        <v>145</v>
      </c>
      <c r="V87" t="inlineStr">
        <is>
          <t>MXN</t>
        </is>
      </c>
      <c r="W87" t="inlineStr">
        <is>
          <t>M3</t>
        </is>
      </c>
      <c r="X87" t="n">
        <v>0</v>
      </c>
      <c r="Y87" t="inlineStr">
        <is>
          <t>MXN</t>
        </is>
      </c>
      <c r="Z87" t="inlineStr">
        <is>
          <t>M3</t>
        </is>
      </c>
      <c r="AC87" t="n">
        <v>56103590</v>
      </c>
      <c r="AD87" t="n">
        <v>6622501540</v>
      </c>
      <c r="AE87" t="n">
        <v>1</v>
      </c>
      <c r="AF87" t="inlineStr">
        <is>
          <t>ENTREGADO</t>
        </is>
      </c>
      <c r="AG87" t="n">
        <v>1.844</v>
      </c>
      <c r="AH87" t="inlineStr">
        <is>
          <t>M3</t>
        </is>
      </c>
      <c r="AI87" t="inlineStr">
        <is>
          <t>X</t>
        </is>
      </c>
      <c r="AJ87" t="n">
        <v>4</v>
      </c>
      <c r="AK87" t="inlineStr">
        <is>
          <t>V4</t>
        </is>
      </c>
      <c r="AL87" t="n">
        <v>20260331</v>
      </c>
      <c r="AM87" t="inlineStr">
        <is>
          <t>D860-900007612-10262224</t>
        </is>
      </c>
    </row>
    <row r="88">
      <c r="A88" t="inlineStr">
        <is>
          <t>900007611D8606706402910052407</t>
        </is>
      </c>
      <c r="B88" t="inlineStr">
        <is>
          <t>4600053981-40</t>
        </is>
      </c>
      <c r="C88" t="n">
        <v>4600053981</v>
      </c>
      <c r="D88" t="n">
        <v>40</v>
      </c>
      <c r="E88" t="inlineStr">
        <is>
          <t>MXPO</t>
        </is>
      </c>
      <c r="F88" t="inlineStr">
        <is>
          <t>MXL</t>
        </is>
      </c>
      <c r="G88" t="n">
        <v>900007611</v>
      </c>
      <c r="H88" t="inlineStr">
        <is>
          <t>SF TP-ED-GOMOSA</t>
        </is>
      </c>
      <c r="I88" t="n">
        <v>5083069</v>
      </c>
      <c r="J88" t="inlineStr">
        <is>
          <t>GOMO DESARROLLOS Y MATERIALES S DE</t>
        </is>
      </c>
      <c r="K88" t="inlineStr">
        <is>
          <t>Z09</t>
        </is>
      </c>
      <c r="L88" t="inlineStr">
        <is>
          <t>(AP) 90 Dias</t>
        </is>
      </c>
      <c r="M88" t="n">
        <v>10052407</v>
      </c>
      <c r="N88" t="inlineStr">
        <is>
          <t>Arena Triturada Rio Malla 4</t>
        </is>
      </c>
      <c r="O88" t="inlineStr">
        <is>
          <t>D860</t>
        </is>
      </c>
      <c r="P88" t="inlineStr">
        <is>
          <t>MX-CED. HERMOSILLO</t>
        </is>
      </c>
      <c r="Q88" t="n">
        <v>20220512</v>
      </c>
      <c r="R88" t="n">
        <v>20291231</v>
      </c>
      <c r="S88" t="n">
        <v>20260327</v>
      </c>
      <c r="T88" t="n">
        <v>20301231</v>
      </c>
      <c r="U88" t="n">
        <v>238.33</v>
      </c>
      <c r="V88" t="inlineStr">
        <is>
          <t>MXN</t>
        </is>
      </c>
      <c r="W88" t="inlineStr">
        <is>
          <t>M3</t>
        </is>
      </c>
      <c r="X88" t="n">
        <v>108.33</v>
      </c>
      <c r="Y88" t="inlineStr">
        <is>
          <t>MXN</t>
        </is>
      </c>
      <c r="Z88" t="inlineStr">
        <is>
          <t>M3</t>
        </is>
      </c>
      <c r="AA88" t="inlineStr">
        <is>
          <t>67064029</t>
        </is>
      </c>
      <c r="AB88" t="inlineStr">
        <is>
          <t>Block 21</t>
        </is>
      </c>
      <c r="AC88" t="n">
        <v>56103638</v>
      </c>
      <c r="AD88" t="n">
        <v>6622501540</v>
      </c>
      <c r="AE88" t="n">
        <v>4</v>
      </c>
      <c r="AF88" t="inlineStr">
        <is>
          <t>ENTREGA DIRECTA</t>
        </is>
      </c>
      <c r="AG88" t="n">
        <v>1.51</v>
      </c>
      <c r="AH88" t="inlineStr">
        <is>
          <t>M3</t>
        </is>
      </c>
      <c r="AI88" t="inlineStr">
        <is>
          <t>X</t>
        </is>
      </c>
      <c r="AJ88" t="n">
        <v>4</v>
      </c>
      <c r="AK88" t="inlineStr">
        <is>
          <t>V4</t>
        </is>
      </c>
      <c r="AL88" t="n">
        <v>20260331</v>
      </c>
      <c r="AM88" t="inlineStr">
        <is>
          <t>D860-900007611-67064029-10052407-4</t>
        </is>
      </c>
    </row>
    <row r="89">
      <c r="A89" t="inlineStr">
        <is>
          <t>900007611D8606695806510190637</t>
        </is>
      </c>
      <c r="B89" t="inlineStr">
        <is>
          <t>4600053981-100</t>
        </is>
      </c>
      <c r="C89" t="n">
        <v>4600053981</v>
      </c>
      <c r="D89" t="n">
        <v>100</v>
      </c>
      <c r="E89" t="inlineStr">
        <is>
          <t>MXPO</t>
        </is>
      </c>
      <c r="F89" t="inlineStr">
        <is>
          <t>MXL</t>
        </is>
      </c>
      <c r="G89" t="n">
        <v>900007611</v>
      </c>
      <c r="H89" t="inlineStr">
        <is>
          <t>SF TP-ED-GOMOSA</t>
        </is>
      </c>
      <c r="I89" t="n">
        <v>5083069</v>
      </c>
      <c r="J89" t="inlineStr">
        <is>
          <t>GOMO DESARROLLOS Y MATERIALES S DE</t>
        </is>
      </c>
      <c r="K89" t="inlineStr">
        <is>
          <t>Z09</t>
        </is>
      </c>
      <c r="L89" t="inlineStr">
        <is>
          <t>(AP) 90 Dias</t>
        </is>
      </c>
      <c r="M89" t="n">
        <v>10190637</v>
      </c>
      <c r="N89" t="inlineStr">
        <is>
          <t>GRAVA CLASIFICADA RIOLITA 20 MM (3/4")</t>
        </is>
      </c>
      <c r="O89" t="inlineStr">
        <is>
          <t>D860</t>
        </is>
      </c>
      <c r="P89" t="inlineStr">
        <is>
          <t>MX-CED. HERMOSILLO</t>
        </is>
      </c>
      <c r="Q89" t="n">
        <v>20220512</v>
      </c>
      <c r="R89" t="n">
        <v>20291231</v>
      </c>
      <c r="S89" t="n">
        <v>20260327</v>
      </c>
      <c r="T89" t="n">
        <v>20301231</v>
      </c>
      <c r="U89" t="n">
        <v>253.33</v>
      </c>
      <c r="V89" t="inlineStr">
        <is>
          <t>MXN</t>
        </is>
      </c>
      <c r="W89" t="inlineStr">
        <is>
          <t>M3</t>
        </is>
      </c>
      <c r="X89" t="n">
        <v>108.33</v>
      </c>
      <c r="Y89" t="inlineStr">
        <is>
          <t>MXN</t>
        </is>
      </c>
      <c r="Z89" t="inlineStr">
        <is>
          <t>M3</t>
        </is>
      </c>
      <c r="AA89" t="inlineStr">
        <is>
          <t>66958065</t>
        </is>
      </c>
      <c r="AB89" t="inlineStr">
        <is>
          <t>FORTER PREFABRICADOS</t>
        </is>
      </c>
      <c r="AC89" t="n">
        <v>56103637</v>
      </c>
      <c r="AD89" t="n">
        <v>6622501540</v>
      </c>
      <c r="AE89" t="n">
        <v>4</v>
      </c>
      <c r="AF89" t="inlineStr">
        <is>
          <t>ENTREGA DIRECTA</t>
        </is>
      </c>
      <c r="AG89" t="n">
        <v>1.445</v>
      </c>
      <c r="AH89" t="inlineStr">
        <is>
          <t>M3</t>
        </is>
      </c>
      <c r="AI89" t="inlineStr">
        <is>
          <t>X</t>
        </is>
      </c>
      <c r="AJ89" t="n">
        <v>4</v>
      </c>
      <c r="AK89" t="inlineStr">
        <is>
          <t>V4</t>
        </is>
      </c>
      <c r="AL89" t="n">
        <v>20260331</v>
      </c>
      <c r="AM89" t="inlineStr">
        <is>
          <t>D860-900007611-66958065-10190637-4</t>
        </is>
      </c>
    </row>
    <row r="90">
      <c r="A90" t="inlineStr">
        <is>
          <t>900007611D8606695806510052402</t>
        </is>
      </c>
      <c r="B90" t="inlineStr">
        <is>
          <t>4600053981-20</t>
        </is>
      </c>
      <c r="C90" t="n">
        <v>4600053981</v>
      </c>
      <c r="D90" t="n">
        <v>20</v>
      </c>
      <c r="E90" t="inlineStr">
        <is>
          <t>MXPO</t>
        </is>
      </c>
      <c r="F90" t="inlineStr">
        <is>
          <t>MXL</t>
        </is>
      </c>
      <c r="G90" t="n">
        <v>900007611</v>
      </c>
      <c r="H90" t="inlineStr">
        <is>
          <t>SF TP-ED-GOMOSA</t>
        </is>
      </c>
      <c r="I90" t="n">
        <v>5083069</v>
      </c>
      <c r="J90" t="inlineStr">
        <is>
          <t>GOMO DESARROLLOS Y MATERIALES S DE</t>
        </is>
      </c>
      <c r="K90" t="inlineStr">
        <is>
          <t>Z09</t>
        </is>
      </c>
      <c r="L90" t="inlineStr">
        <is>
          <t>(AP) 90 Dias</t>
        </is>
      </c>
      <c r="M90" t="n">
        <v>10052402</v>
      </c>
      <c r="N90" t="inlineStr">
        <is>
          <t>Grava Riolita 10 MM (3/8")</t>
        </is>
      </c>
      <c r="O90" t="inlineStr">
        <is>
          <t>D860</t>
        </is>
      </c>
      <c r="P90" t="inlineStr">
        <is>
          <t>MX-CED. HERMOSILLO</t>
        </is>
      </c>
      <c r="Q90" t="n">
        <v>20220512</v>
      </c>
      <c r="R90" t="n">
        <v>20291231</v>
      </c>
      <c r="S90" t="n">
        <v>20260327</v>
      </c>
      <c r="T90" t="n">
        <v>20301231</v>
      </c>
      <c r="U90" t="n">
        <v>308.33</v>
      </c>
      <c r="V90" t="inlineStr">
        <is>
          <t>MXN</t>
        </is>
      </c>
      <c r="W90" t="inlineStr">
        <is>
          <t>M3</t>
        </is>
      </c>
      <c r="X90" t="n">
        <v>108.33</v>
      </c>
      <c r="Y90" t="inlineStr">
        <is>
          <t>MXN</t>
        </is>
      </c>
      <c r="Z90" t="inlineStr">
        <is>
          <t>M3</t>
        </is>
      </c>
      <c r="AA90" t="inlineStr">
        <is>
          <t>66958065</t>
        </is>
      </c>
      <c r="AB90" t="inlineStr">
        <is>
          <t>FORTER PREFABRICADOS</t>
        </is>
      </c>
      <c r="AC90" t="n">
        <v>56103637</v>
      </c>
      <c r="AD90" t="n">
        <v>6622501540</v>
      </c>
      <c r="AE90" t="n">
        <v>4</v>
      </c>
      <c r="AF90" t="inlineStr">
        <is>
          <t>ENTREGA DIRECTA</t>
        </is>
      </c>
      <c r="AG90" t="n">
        <v>1.52</v>
      </c>
      <c r="AH90" t="inlineStr">
        <is>
          <t>M3</t>
        </is>
      </c>
      <c r="AI90" t="inlineStr">
        <is>
          <t>X</t>
        </is>
      </c>
      <c r="AJ90" t="n">
        <v>4</v>
      </c>
      <c r="AK90" t="inlineStr">
        <is>
          <t>V4</t>
        </is>
      </c>
      <c r="AL90" t="n">
        <v>20260331</v>
      </c>
      <c r="AM90" t="inlineStr">
        <is>
          <t>D860-900007611-66958065-10052402-4</t>
        </is>
      </c>
    </row>
    <row r="91">
      <c r="A91" t="inlineStr">
        <is>
          <t>900007611D8606695806510262224</t>
        </is>
      </c>
      <c r="B91" t="inlineStr">
        <is>
          <t>4600053981-420</t>
        </is>
      </c>
      <c r="C91" t="n">
        <v>4600053981</v>
      </c>
      <c r="D91" t="n">
        <v>420</v>
      </c>
      <c r="E91" t="inlineStr">
        <is>
          <t>MXPO</t>
        </is>
      </c>
      <c r="F91" t="inlineStr">
        <is>
          <t>MXL</t>
        </is>
      </c>
      <c r="G91" t="n">
        <v>900007611</v>
      </c>
      <c r="H91" t="inlineStr">
        <is>
          <t>SF TP-ED-GOMOSA</t>
        </is>
      </c>
      <c r="I91" t="n">
        <v>5083069</v>
      </c>
      <c r="J91" t="inlineStr">
        <is>
          <t>GOMO DESARROLLOS Y MATERIALES S DE</t>
        </is>
      </c>
      <c r="K91" t="inlineStr">
        <is>
          <t>Z09</t>
        </is>
      </c>
      <c r="L91" t="inlineStr">
        <is>
          <t>(AP) 90 Dias</t>
        </is>
      </c>
      <c r="M91" t="n">
        <v>10262224</v>
      </c>
      <c r="N91" t="inlineStr">
        <is>
          <t>BASE HIDRÁULICA</t>
        </is>
      </c>
      <c r="O91" t="inlineStr">
        <is>
          <t>D860</t>
        </is>
      </c>
      <c r="P91" t="inlineStr">
        <is>
          <t>MX-CED. HERMOSILLO</t>
        </is>
      </c>
      <c r="Q91" t="n">
        <v>20220512</v>
      </c>
      <c r="R91" t="n">
        <v>20291231</v>
      </c>
      <c r="S91" t="n">
        <v>20260327</v>
      </c>
      <c r="T91" t="n">
        <v>20301231</v>
      </c>
      <c r="U91" t="n">
        <v>253.33</v>
      </c>
      <c r="V91" t="inlineStr">
        <is>
          <t>MXN</t>
        </is>
      </c>
      <c r="W91" t="inlineStr">
        <is>
          <t>M3</t>
        </is>
      </c>
      <c r="X91" t="n">
        <v>108.33</v>
      </c>
      <c r="Y91" t="inlineStr">
        <is>
          <t>MXN</t>
        </is>
      </c>
      <c r="Z91" t="inlineStr">
        <is>
          <t>M3</t>
        </is>
      </c>
      <c r="AA91" t="inlineStr">
        <is>
          <t>66958065</t>
        </is>
      </c>
      <c r="AB91" t="inlineStr">
        <is>
          <t>FORTER PREFABRICADOS</t>
        </is>
      </c>
      <c r="AC91" t="n">
        <v>56103590</v>
      </c>
      <c r="AD91" t="n">
        <v>6622501540</v>
      </c>
      <c r="AE91" t="n">
        <v>4</v>
      </c>
      <c r="AF91" t="inlineStr">
        <is>
          <t>ENTREGA DIRECTA</t>
        </is>
      </c>
      <c r="AG91" t="n">
        <v>1.844</v>
      </c>
      <c r="AH91" t="inlineStr">
        <is>
          <t>M3</t>
        </is>
      </c>
      <c r="AI91" t="inlineStr">
        <is>
          <t>X</t>
        </is>
      </c>
      <c r="AJ91" t="n">
        <v>4</v>
      </c>
      <c r="AK91" t="inlineStr">
        <is>
          <t>V4</t>
        </is>
      </c>
      <c r="AL91" t="n">
        <v>20260331</v>
      </c>
      <c r="AM91" t="inlineStr">
        <is>
          <t>D860-900007611-66958065-10262224-4</t>
        </is>
      </c>
    </row>
    <row r="92">
      <c r="A92" t="inlineStr">
        <is>
          <t>900007611D8606695806510052407</t>
        </is>
      </c>
      <c r="B92" t="inlineStr">
        <is>
          <t>4600053981-10</t>
        </is>
      </c>
      <c r="C92" t="n">
        <v>4600053981</v>
      </c>
      <c r="D92" t="n">
        <v>10</v>
      </c>
      <c r="E92" t="inlineStr">
        <is>
          <t>MXPO</t>
        </is>
      </c>
      <c r="F92" t="inlineStr">
        <is>
          <t>MXL</t>
        </is>
      </c>
      <c r="G92" t="n">
        <v>900007611</v>
      </c>
      <c r="H92" t="inlineStr">
        <is>
          <t>SF TP-ED-GOMOSA</t>
        </is>
      </c>
      <c r="I92" t="n">
        <v>5083069</v>
      </c>
      <c r="J92" t="inlineStr">
        <is>
          <t>GOMO DESARROLLOS Y MATERIALES S DE</t>
        </is>
      </c>
      <c r="K92" t="inlineStr">
        <is>
          <t>Z09</t>
        </is>
      </c>
      <c r="L92" t="inlineStr">
        <is>
          <t>(AP) 90 Dias</t>
        </is>
      </c>
      <c r="M92" t="n">
        <v>10052407</v>
      </c>
      <c r="N92" t="inlineStr">
        <is>
          <t>Arena Triturada Rio Malla 4</t>
        </is>
      </c>
      <c r="O92" t="inlineStr">
        <is>
          <t>D860</t>
        </is>
      </c>
      <c r="P92" t="inlineStr">
        <is>
          <t>MX-CED. HERMOSILLO</t>
        </is>
      </c>
      <c r="Q92" t="n">
        <v>20220512</v>
      </c>
      <c r="R92" t="n">
        <v>20291231</v>
      </c>
      <c r="S92" t="n">
        <v>20260327</v>
      </c>
      <c r="T92" t="n">
        <v>20301231</v>
      </c>
      <c r="U92" t="n">
        <v>238.33</v>
      </c>
      <c r="V92" t="inlineStr">
        <is>
          <t>MXN</t>
        </is>
      </c>
      <c r="W92" t="inlineStr">
        <is>
          <t>M3</t>
        </is>
      </c>
      <c r="X92" t="n">
        <v>108.33</v>
      </c>
      <c r="Y92" t="inlineStr">
        <is>
          <t>MXN</t>
        </is>
      </c>
      <c r="Z92" t="inlineStr">
        <is>
          <t>M3</t>
        </is>
      </c>
      <c r="AA92" t="inlineStr">
        <is>
          <t>66958065</t>
        </is>
      </c>
      <c r="AB92" t="inlineStr">
        <is>
          <t>FORTER PREFABRICADOS</t>
        </is>
      </c>
      <c r="AC92" t="n">
        <v>56103638</v>
      </c>
      <c r="AD92" t="n">
        <v>6622501540</v>
      </c>
      <c r="AE92" t="n">
        <v>4</v>
      </c>
      <c r="AF92" t="inlineStr">
        <is>
          <t>ENTREGA DIRECTA</t>
        </is>
      </c>
      <c r="AG92" t="n">
        <v>1.51</v>
      </c>
      <c r="AH92" t="inlineStr">
        <is>
          <t>M3</t>
        </is>
      </c>
      <c r="AI92" t="inlineStr">
        <is>
          <t>X</t>
        </is>
      </c>
      <c r="AJ92" t="n">
        <v>4</v>
      </c>
      <c r="AK92" t="inlineStr">
        <is>
          <t>V4</t>
        </is>
      </c>
      <c r="AL92" t="n">
        <v>20260331</v>
      </c>
      <c r="AM92" t="inlineStr">
        <is>
          <t>D860-900007611-66958065-10052407-4</t>
        </is>
      </c>
    </row>
    <row r="93">
      <c r="A93" t="inlineStr">
        <is>
          <t>900007611D8606706402910152920</t>
        </is>
      </c>
      <c r="B93" t="inlineStr">
        <is>
          <t>4600053981-410</t>
        </is>
      </c>
      <c r="C93" t="n">
        <v>4600053981</v>
      </c>
      <c r="D93" t="n">
        <v>410</v>
      </c>
      <c r="E93" t="inlineStr">
        <is>
          <t>MXPO</t>
        </is>
      </c>
      <c r="F93" t="inlineStr">
        <is>
          <t>MXL</t>
        </is>
      </c>
      <c r="G93" t="n">
        <v>900007611</v>
      </c>
      <c r="H93" t="inlineStr">
        <is>
          <t>SF TP-ED-GOMOSA</t>
        </is>
      </c>
      <c r="I93" t="n">
        <v>5083069</v>
      </c>
      <c r="J93" t="inlineStr">
        <is>
          <t>GOMO DESARROLLOS Y MATERIALES S DE</t>
        </is>
      </c>
      <c r="K93" t="inlineStr">
        <is>
          <t>Z09</t>
        </is>
      </c>
      <c r="L93" t="inlineStr">
        <is>
          <t>(AP) 90 Dias</t>
        </is>
      </c>
      <c r="M93" t="n">
        <v>10152920</v>
      </c>
      <c r="N93" t="inlineStr">
        <is>
          <t>POLVO TRITURADO GRANITO</t>
        </is>
      </c>
      <c r="O93" t="inlineStr">
        <is>
          <t>D860</t>
        </is>
      </c>
      <c r="P93" t="inlineStr">
        <is>
          <t>MX-CED. HERMOSILLO</t>
        </is>
      </c>
      <c r="Q93" t="n">
        <v>20220512</v>
      </c>
      <c r="R93" t="n">
        <v>20291231</v>
      </c>
      <c r="S93" t="n">
        <v>20260327</v>
      </c>
      <c r="T93" t="n">
        <v>20301231</v>
      </c>
      <c r="U93" t="n">
        <v>315.33</v>
      </c>
      <c r="V93" t="inlineStr">
        <is>
          <t>MXN</t>
        </is>
      </c>
      <c r="W93" t="inlineStr">
        <is>
          <t>M3</t>
        </is>
      </c>
      <c r="X93" t="n">
        <v>108.33</v>
      </c>
      <c r="Y93" t="inlineStr">
        <is>
          <t>MXN</t>
        </is>
      </c>
      <c r="Z93" t="inlineStr">
        <is>
          <t>M3</t>
        </is>
      </c>
      <c r="AA93" t="inlineStr">
        <is>
          <t>67064029</t>
        </is>
      </c>
      <c r="AB93" t="inlineStr">
        <is>
          <t>Block 21</t>
        </is>
      </c>
      <c r="AC93" t="n">
        <v>56103591</v>
      </c>
      <c r="AD93" t="n">
        <v>6622501540</v>
      </c>
      <c r="AE93" t="n">
        <v>4</v>
      </c>
      <c r="AF93" t="inlineStr">
        <is>
          <t>ENTREGA DIRECTA</t>
        </is>
      </c>
      <c r="AG93" t="n">
        <v>1.615</v>
      </c>
      <c r="AH93" t="inlineStr">
        <is>
          <t>M3</t>
        </is>
      </c>
      <c r="AI93" t="inlineStr">
        <is>
          <t>X</t>
        </is>
      </c>
      <c r="AJ93" t="n">
        <v>4</v>
      </c>
      <c r="AK93" t="inlineStr">
        <is>
          <t>V4</t>
        </is>
      </c>
      <c r="AL93" t="n">
        <v>20260331</v>
      </c>
      <c r="AM93" t="inlineStr">
        <is>
          <t>D860-900007611-67064029-10152920-4</t>
        </is>
      </c>
    </row>
    <row r="94">
      <c r="A94" t="inlineStr">
        <is>
          <t>900007611D8606706402910190637</t>
        </is>
      </c>
      <c r="B94" t="inlineStr">
        <is>
          <t>4600053981-450</t>
        </is>
      </c>
      <c r="C94" t="n">
        <v>4600053981</v>
      </c>
      <c r="D94" t="n">
        <v>450</v>
      </c>
      <c r="E94" t="inlineStr">
        <is>
          <t>MXPO</t>
        </is>
      </c>
      <c r="F94" t="inlineStr">
        <is>
          <t>MXL</t>
        </is>
      </c>
      <c r="G94" t="n">
        <v>900007611</v>
      </c>
      <c r="H94" t="inlineStr">
        <is>
          <t>SF TP-ED-GOMOSA</t>
        </is>
      </c>
      <c r="I94" t="n">
        <v>5083069</v>
      </c>
      <c r="J94" t="inlineStr">
        <is>
          <t>GOMO DESARROLLOS Y MATERIALES S DE</t>
        </is>
      </c>
      <c r="K94" t="inlineStr">
        <is>
          <t>Z09</t>
        </is>
      </c>
      <c r="L94" t="inlineStr">
        <is>
          <t>(AP) 90 Dias</t>
        </is>
      </c>
      <c r="M94" t="n">
        <v>10190637</v>
      </c>
      <c r="N94" t="inlineStr">
        <is>
          <t>GRAVA CLASIFICADA RIOLITA 20 MM (3/4")</t>
        </is>
      </c>
      <c r="O94" t="inlineStr">
        <is>
          <t>D860</t>
        </is>
      </c>
      <c r="P94" t="inlineStr">
        <is>
          <t>MX-CED. HERMOSILLO</t>
        </is>
      </c>
      <c r="Q94" t="n">
        <v>20220512</v>
      </c>
      <c r="R94" t="n">
        <v>20291231</v>
      </c>
      <c r="S94" t="n">
        <v>20260327</v>
      </c>
      <c r="T94" t="n">
        <v>20301231</v>
      </c>
      <c r="U94" t="n">
        <v>253.33</v>
      </c>
      <c r="V94" t="inlineStr">
        <is>
          <t>MXN</t>
        </is>
      </c>
      <c r="W94" t="inlineStr">
        <is>
          <t>M3</t>
        </is>
      </c>
      <c r="X94" t="n">
        <v>108.33</v>
      </c>
      <c r="Y94" t="inlineStr">
        <is>
          <t>MXN</t>
        </is>
      </c>
      <c r="Z94" t="inlineStr">
        <is>
          <t>M3</t>
        </is>
      </c>
      <c r="AA94" t="inlineStr">
        <is>
          <t>67064029</t>
        </is>
      </c>
      <c r="AB94" t="inlineStr">
        <is>
          <t>Block 21</t>
        </is>
      </c>
      <c r="AC94" t="n">
        <v>56103637</v>
      </c>
      <c r="AD94" t="n">
        <v>6622501540</v>
      </c>
      <c r="AE94" t="n">
        <v>4</v>
      </c>
      <c r="AF94" t="inlineStr">
        <is>
          <t>ENTREGA DIRECTA</t>
        </is>
      </c>
      <c r="AG94" t="n">
        <v>1.445</v>
      </c>
      <c r="AH94" t="inlineStr">
        <is>
          <t>M3</t>
        </is>
      </c>
      <c r="AI94" t="inlineStr">
        <is>
          <t>X</t>
        </is>
      </c>
      <c r="AJ94" t="n">
        <v>4</v>
      </c>
      <c r="AK94" t="inlineStr">
        <is>
          <t>V4</t>
        </is>
      </c>
      <c r="AL94" t="n">
        <v>20260331</v>
      </c>
      <c r="AM94" t="inlineStr">
        <is>
          <t>D860-900007611-67064029-10190637-4</t>
        </is>
      </c>
    </row>
    <row r="95">
      <c r="A95" t="inlineStr">
        <is>
          <t>900007611D8606706402910052402</t>
        </is>
      </c>
      <c r="B95" t="inlineStr">
        <is>
          <t>4600053981-50</t>
        </is>
      </c>
      <c r="C95" t="n">
        <v>4600053981</v>
      </c>
      <c r="D95" t="n">
        <v>50</v>
      </c>
      <c r="E95" t="inlineStr">
        <is>
          <t>MXPO</t>
        </is>
      </c>
      <c r="F95" t="inlineStr">
        <is>
          <t>MXL</t>
        </is>
      </c>
      <c r="G95" t="n">
        <v>900007611</v>
      </c>
      <c r="H95" t="inlineStr">
        <is>
          <t>SF TP-ED-GOMOSA</t>
        </is>
      </c>
      <c r="I95" t="n">
        <v>5083069</v>
      </c>
      <c r="J95" t="inlineStr">
        <is>
          <t>GOMO DESARROLLOS Y MATERIALES S DE</t>
        </is>
      </c>
      <c r="K95" t="inlineStr">
        <is>
          <t>Z09</t>
        </is>
      </c>
      <c r="L95" t="inlineStr">
        <is>
          <t>(AP) 90 Dias</t>
        </is>
      </c>
      <c r="M95" t="n">
        <v>10052402</v>
      </c>
      <c r="N95" t="inlineStr">
        <is>
          <t>Grava Riolita 10 MM (3/8")</t>
        </is>
      </c>
      <c r="O95" t="inlineStr">
        <is>
          <t>D860</t>
        </is>
      </c>
      <c r="P95" t="inlineStr">
        <is>
          <t>MX-CED. HERMOSILLO</t>
        </is>
      </c>
      <c r="Q95" t="n">
        <v>20220512</v>
      </c>
      <c r="R95" t="n">
        <v>20291231</v>
      </c>
      <c r="S95" t="n">
        <v>20260327</v>
      </c>
      <c r="T95" t="n">
        <v>20301231</v>
      </c>
      <c r="U95" t="n">
        <v>308.33</v>
      </c>
      <c r="V95" t="inlineStr">
        <is>
          <t>MXN</t>
        </is>
      </c>
      <c r="W95" t="inlineStr">
        <is>
          <t>M3</t>
        </is>
      </c>
      <c r="X95" t="n">
        <v>108.33</v>
      </c>
      <c r="Y95" t="inlineStr">
        <is>
          <t>MXN</t>
        </is>
      </c>
      <c r="Z95" t="inlineStr">
        <is>
          <t>M3</t>
        </is>
      </c>
      <c r="AA95" t="inlineStr">
        <is>
          <t>67064029</t>
        </is>
      </c>
      <c r="AB95" t="inlineStr">
        <is>
          <t>Block 21</t>
        </is>
      </c>
      <c r="AC95" t="n">
        <v>56103637</v>
      </c>
      <c r="AD95" t="n">
        <v>6622501540</v>
      </c>
      <c r="AE95" t="n">
        <v>4</v>
      </c>
      <c r="AF95" t="inlineStr">
        <is>
          <t>ENTREGA DIRECTA</t>
        </is>
      </c>
      <c r="AG95" t="n">
        <v>1.52</v>
      </c>
      <c r="AH95" t="inlineStr">
        <is>
          <t>M3</t>
        </is>
      </c>
      <c r="AI95" t="inlineStr">
        <is>
          <t>X</t>
        </is>
      </c>
      <c r="AJ95" t="n">
        <v>4</v>
      </c>
      <c r="AK95" t="inlineStr">
        <is>
          <t>V4</t>
        </is>
      </c>
      <c r="AL95" t="n">
        <v>20260331</v>
      </c>
      <c r="AM95" t="inlineStr">
        <is>
          <t>D860-900007611-67064029-10052402-4</t>
        </is>
      </c>
    </row>
    <row r="96">
      <c r="A96" t="inlineStr">
        <is>
          <t>900005572D8606678354810052407</t>
        </is>
      </c>
      <c r="B96" t="inlineStr">
        <is>
          <t>4600041494-270</t>
        </is>
      </c>
      <c r="C96" t="n">
        <v>4600041494</v>
      </c>
      <c r="D96" t="n">
        <v>270</v>
      </c>
      <c r="E96" t="inlineStr">
        <is>
          <t>MXPO</t>
        </is>
      </c>
      <c r="F96" t="inlineStr">
        <is>
          <t>MXL</t>
        </is>
      </c>
      <c r="G96" t="n">
        <v>900005572</v>
      </c>
      <c r="H96" t="inlineStr">
        <is>
          <t>TP- ED- PROPESO</t>
        </is>
      </c>
      <c r="I96" t="n">
        <v>5001601</v>
      </c>
      <c r="J96" t="inlineStr">
        <is>
          <t>PRODUCTOS PETREOS DE SONORA SA DE</t>
        </is>
      </c>
      <c r="K96" t="inlineStr">
        <is>
          <t>Z03</t>
        </is>
      </c>
      <c r="L96" t="inlineStr">
        <is>
          <t>(AP) 15 Dias</t>
        </is>
      </c>
      <c r="M96" t="n">
        <v>10052407</v>
      </c>
      <c r="N96" t="inlineStr">
        <is>
          <t>Arena Triturada Rio Malla 4</t>
        </is>
      </c>
      <c r="O96" t="inlineStr">
        <is>
          <t>D860</t>
        </is>
      </c>
      <c r="P96" t="inlineStr">
        <is>
          <t>MX-CED. HERMOSILLO</t>
        </is>
      </c>
      <c r="Q96" t="n">
        <v>20180308</v>
      </c>
      <c r="R96" t="n">
        <v>20281231</v>
      </c>
      <c r="S96" t="n">
        <v>20190607</v>
      </c>
      <c r="T96" t="n">
        <v>20241231</v>
      </c>
      <c r="U96" t="n">
        <v>197.2</v>
      </c>
      <c r="V96" t="inlineStr">
        <is>
          <t>MXN</t>
        </is>
      </c>
      <c r="W96" t="inlineStr">
        <is>
          <t>M3</t>
        </is>
      </c>
      <c r="X96" t="n">
        <v>100</v>
      </c>
      <c r="Y96" t="inlineStr">
        <is>
          <t>MXN</t>
        </is>
      </c>
      <c r="Z96" t="inlineStr">
        <is>
          <t>M3</t>
        </is>
      </c>
      <c r="AA96" t="inlineStr">
        <is>
          <t>66783548</t>
        </is>
      </c>
      <c r="AB96" t="inlineStr">
        <is>
          <t>BODEGA AURRERA BLVD MUSARO (EIAA)</t>
        </is>
      </c>
      <c r="AC96" t="n">
        <v>56103638</v>
      </c>
      <c r="AD96" t="n">
        <v>6622501540</v>
      </c>
      <c r="AE96" t="n">
        <v>4</v>
      </c>
      <c r="AF96" t="inlineStr">
        <is>
          <t>ENTREGA DIRECTA</t>
        </is>
      </c>
      <c r="AG96" t="n">
        <v>1.51</v>
      </c>
      <c r="AH96" t="inlineStr">
        <is>
          <t>M3</t>
        </is>
      </c>
      <c r="AI96" t="inlineStr">
        <is>
          <t>X</t>
        </is>
      </c>
      <c r="AJ96" t="n">
        <v>4</v>
      </c>
      <c r="AK96" t="inlineStr">
        <is>
          <t>V4</t>
        </is>
      </c>
      <c r="AL96" t="n">
        <v>20230920</v>
      </c>
      <c r="AM96" t="inlineStr">
        <is>
          <t>D860-900005572-66783548-10052407-4</t>
        </is>
      </c>
    </row>
    <row r="97">
      <c r="A97" t="inlineStr">
        <is>
          <t>900005572D8606683351310000176</t>
        </is>
      </c>
      <c r="B97" t="inlineStr">
        <is>
          <t>4600041494-310</t>
        </is>
      </c>
      <c r="C97" t="n">
        <v>4600041494</v>
      </c>
      <c r="D97" t="n">
        <v>310</v>
      </c>
      <c r="E97" t="inlineStr">
        <is>
          <t>MXPO</t>
        </is>
      </c>
      <c r="F97" t="inlineStr">
        <is>
          <t>MXL</t>
        </is>
      </c>
      <c r="G97" t="n">
        <v>900005572</v>
      </c>
      <c r="H97" t="inlineStr">
        <is>
          <t>TP- ED- PROPESO</t>
        </is>
      </c>
      <c r="I97" t="n">
        <v>5001601</v>
      </c>
      <c r="J97" t="inlineStr">
        <is>
          <t>PRODUCTOS PETREOS DE SONORA SA DE</t>
        </is>
      </c>
      <c r="K97" t="inlineStr">
        <is>
          <t>Z03</t>
        </is>
      </c>
      <c r="L97" t="inlineStr">
        <is>
          <t>(AP) 15 Dias</t>
        </is>
      </c>
      <c r="M97" t="n">
        <v>10000176</v>
      </c>
      <c r="N97" t="inlineStr">
        <is>
          <t>Base H Clasificada Río  1 1/2" a Finos</t>
        </is>
      </c>
      <c r="O97" t="inlineStr">
        <is>
          <t>D860</t>
        </is>
      </c>
      <c r="P97" t="inlineStr">
        <is>
          <t>MX-CED. HERMOSILLO</t>
        </is>
      </c>
      <c r="Q97" t="n">
        <v>20180308</v>
      </c>
      <c r="R97" t="n">
        <v>20281231</v>
      </c>
      <c r="S97" t="n">
        <v>20300101</v>
      </c>
      <c r="T97" t="n">
        <v>99991231</v>
      </c>
      <c r="U97" t="n">
        <v>200</v>
      </c>
      <c r="V97" t="inlineStr">
        <is>
          <t>MXN</t>
        </is>
      </c>
      <c r="W97" t="inlineStr">
        <is>
          <t>M3</t>
        </is>
      </c>
      <c r="X97" t="n">
        <v>100</v>
      </c>
      <c r="Y97" t="inlineStr">
        <is>
          <t>MXN</t>
        </is>
      </c>
      <c r="Z97" t="inlineStr">
        <is>
          <t>M3</t>
        </is>
      </c>
      <c r="AA97" t="inlineStr">
        <is>
          <t>66833513</t>
        </is>
      </c>
      <c r="AB97" t="inlineStr">
        <is>
          <t>BODEGA AURRERA BLVD LIBERTAD (EIAA)</t>
        </is>
      </c>
      <c r="AC97" t="n">
        <v>56103590</v>
      </c>
      <c r="AD97" t="n">
        <v>6622501540</v>
      </c>
      <c r="AE97" t="n">
        <v>4</v>
      </c>
      <c r="AF97" t="inlineStr">
        <is>
          <t>ENTREGA DIRECTA</t>
        </is>
      </c>
      <c r="AG97" t="n">
        <v>1.6</v>
      </c>
      <c r="AH97" t="inlineStr">
        <is>
          <t>M3</t>
        </is>
      </c>
      <c r="AI97" t="inlineStr">
        <is>
          <t>X</t>
        </is>
      </c>
      <c r="AJ97" t="n">
        <v>4</v>
      </c>
      <c r="AK97" t="inlineStr">
        <is>
          <t>V4</t>
        </is>
      </c>
      <c r="AL97" t="n">
        <v>20230920</v>
      </c>
      <c r="AM97" t="inlineStr">
        <is>
          <t>D860-900005572-66833513-10000176-4</t>
        </is>
      </c>
    </row>
    <row r="98">
      <c r="A98" t="inlineStr">
        <is>
          <t>900005572D8606683351310052407</t>
        </is>
      </c>
      <c r="B98" t="inlineStr">
        <is>
          <t>4600041494-290</t>
        </is>
      </c>
      <c r="C98" t="n">
        <v>4600041494</v>
      </c>
      <c r="D98" t="n">
        <v>290</v>
      </c>
      <c r="E98" t="inlineStr">
        <is>
          <t>MXPO</t>
        </is>
      </c>
      <c r="F98" t="inlineStr">
        <is>
          <t>MXL</t>
        </is>
      </c>
      <c r="G98" t="n">
        <v>900005572</v>
      </c>
      <c r="H98" t="inlineStr">
        <is>
          <t>TP- ED- PROPESO</t>
        </is>
      </c>
      <c r="I98" t="n">
        <v>5001601</v>
      </c>
      <c r="J98" t="inlineStr">
        <is>
          <t>PRODUCTOS PETREOS DE SONORA SA DE</t>
        </is>
      </c>
      <c r="K98" t="inlineStr">
        <is>
          <t>Z03</t>
        </is>
      </c>
      <c r="L98" t="inlineStr">
        <is>
          <t>(AP) 15 Dias</t>
        </is>
      </c>
      <c r="M98" t="n">
        <v>10052407</v>
      </c>
      <c r="N98" t="inlineStr">
        <is>
          <t>Arena Triturada Rio Malla 4</t>
        </is>
      </c>
      <c r="O98" t="inlineStr">
        <is>
          <t>D860</t>
        </is>
      </c>
      <c r="P98" t="inlineStr">
        <is>
          <t>MX-CED. HERMOSILLO</t>
        </is>
      </c>
      <c r="Q98" t="n">
        <v>20180308</v>
      </c>
      <c r="R98" t="n">
        <v>20281231</v>
      </c>
      <c r="S98" t="n">
        <v>20300101</v>
      </c>
      <c r="T98" t="n">
        <v>99991231</v>
      </c>
      <c r="U98" t="n">
        <v>197.2</v>
      </c>
      <c r="V98" t="inlineStr">
        <is>
          <t>MXN</t>
        </is>
      </c>
      <c r="W98" t="inlineStr">
        <is>
          <t>M3</t>
        </is>
      </c>
      <c r="X98" t="n">
        <v>100</v>
      </c>
      <c r="Y98" t="inlineStr">
        <is>
          <t>MXN</t>
        </is>
      </c>
      <c r="Z98" t="inlineStr">
        <is>
          <t>M3</t>
        </is>
      </c>
      <c r="AA98" t="inlineStr">
        <is>
          <t>66833513</t>
        </is>
      </c>
      <c r="AB98" t="inlineStr">
        <is>
          <t>BODEGA AURRERA BLVD LIBERTAD (EIAA)</t>
        </is>
      </c>
      <c r="AC98" t="n">
        <v>56103638</v>
      </c>
      <c r="AD98" t="n">
        <v>6622501540</v>
      </c>
      <c r="AE98" t="n">
        <v>4</v>
      </c>
      <c r="AF98" t="inlineStr">
        <is>
          <t>ENTREGA DIRECTA</t>
        </is>
      </c>
      <c r="AG98" t="n">
        <v>1.51</v>
      </c>
      <c r="AH98" t="inlineStr">
        <is>
          <t>M3</t>
        </is>
      </c>
      <c r="AI98" t="inlineStr">
        <is>
          <t>X</t>
        </is>
      </c>
      <c r="AJ98" t="n">
        <v>4</v>
      </c>
      <c r="AK98" t="inlineStr">
        <is>
          <t>V4</t>
        </is>
      </c>
      <c r="AL98" t="n">
        <v>20230920</v>
      </c>
      <c r="AM98" t="inlineStr">
        <is>
          <t>D860-900005572-66833513-10052407-4</t>
        </is>
      </c>
    </row>
    <row r="99">
      <c r="A99" t="inlineStr">
        <is>
          <t>900005572D8606659739110190637</t>
        </is>
      </c>
      <c r="B99" t="inlineStr">
        <is>
          <t>4600041494-540</t>
        </is>
      </c>
      <c r="C99" t="n">
        <v>4600041494</v>
      </c>
      <c r="D99" t="n">
        <v>540</v>
      </c>
      <c r="E99" t="inlineStr">
        <is>
          <t>MXPO</t>
        </is>
      </c>
      <c r="F99" t="inlineStr">
        <is>
          <t>MXL</t>
        </is>
      </c>
      <c r="G99" t="n">
        <v>900005572</v>
      </c>
      <c r="H99" t="inlineStr">
        <is>
          <t>TP- ED- PROPESO</t>
        </is>
      </c>
      <c r="I99" t="n">
        <v>5001601</v>
      </c>
      <c r="J99" t="inlineStr">
        <is>
          <t>PRODUCTOS PETREOS DE SONORA SA DE</t>
        </is>
      </c>
      <c r="K99" t="inlineStr">
        <is>
          <t>Z03</t>
        </is>
      </c>
      <c r="L99" t="inlineStr">
        <is>
          <t>(AP) 15 Dias</t>
        </is>
      </c>
      <c r="M99" t="n">
        <v>10190637</v>
      </c>
      <c r="N99" t="inlineStr">
        <is>
          <t>GRAVA CLASIFICADA RIOLITA 20 MM (3/4")</t>
        </is>
      </c>
      <c r="O99" t="inlineStr">
        <is>
          <t>D860</t>
        </is>
      </c>
      <c r="P99" t="inlineStr">
        <is>
          <t>MX-CED. HERMOSILLO</t>
        </is>
      </c>
      <c r="Q99" t="n">
        <v>20180308</v>
      </c>
      <c r="R99" t="n">
        <v>20281231</v>
      </c>
      <c r="U99" t="n">
        <v>210.4</v>
      </c>
      <c r="V99" t="inlineStr">
        <is>
          <t>MXN</t>
        </is>
      </c>
      <c r="W99" t="inlineStr">
        <is>
          <t>M3</t>
        </is>
      </c>
      <c r="AA99" t="inlineStr">
        <is>
          <t>66597391</t>
        </is>
      </c>
      <c r="AB99" t="inlineStr">
        <is>
          <t>CEDIS MODELO (EIAA)</t>
        </is>
      </c>
      <c r="AC99" t="n">
        <v>56103637</v>
      </c>
      <c r="AD99" t="n">
        <v>6622501540</v>
      </c>
      <c r="AE99" t="n">
        <v>4</v>
      </c>
      <c r="AF99" t="inlineStr">
        <is>
          <t>ENTREGA DIRECTA</t>
        </is>
      </c>
      <c r="AG99" t="n">
        <v>1.445</v>
      </c>
      <c r="AH99" t="inlineStr">
        <is>
          <t>M3</t>
        </is>
      </c>
      <c r="AI99" t="inlineStr">
        <is>
          <t>X</t>
        </is>
      </c>
      <c r="AJ99" t="n">
        <v>4</v>
      </c>
      <c r="AK99" t="inlineStr">
        <is>
          <t>V4</t>
        </is>
      </c>
      <c r="AL99" t="n">
        <v>20230920</v>
      </c>
      <c r="AM99" t="inlineStr">
        <is>
          <t>D860-900005572-66597391-10190637-4</t>
        </is>
      </c>
    </row>
    <row r="100">
      <c r="A100" t="inlineStr">
        <is>
          <t>900005572D8606651576710190637</t>
        </is>
      </c>
      <c r="B100" t="inlineStr">
        <is>
          <t>4600041494-490</t>
        </is>
      </c>
      <c r="C100" t="n">
        <v>4600041494</v>
      </c>
      <c r="D100" t="n">
        <v>490</v>
      </c>
      <c r="E100" t="inlineStr">
        <is>
          <t>MXPO</t>
        </is>
      </c>
      <c r="F100" t="inlineStr">
        <is>
          <t>MXL</t>
        </is>
      </c>
      <c r="G100" t="n">
        <v>900005572</v>
      </c>
      <c r="H100" t="inlineStr">
        <is>
          <t>TP- ED- PROPESO</t>
        </is>
      </c>
      <c r="I100" t="n">
        <v>5001601</v>
      </c>
      <c r="J100" t="inlineStr">
        <is>
          <t>PRODUCTOS PETREOS DE SONORA SA DE</t>
        </is>
      </c>
      <c r="K100" t="inlineStr">
        <is>
          <t>Z03</t>
        </is>
      </c>
      <c r="L100" t="inlineStr">
        <is>
          <t>(AP) 15 Dias</t>
        </is>
      </c>
      <c r="M100" t="n">
        <v>10190637</v>
      </c>
      <c r="N100" t="inlineStr">
        <is>
          <t>GRAVA CLASIFICADA RIOLITA 20 MM (3/4")</t>
        </is>
      </c>
      <c r="O100" t="inlineStr">
        <is>
          <t>D860</t>
        </is>
      </c>
      <c r="P100" t="inlineStr">
        <is>
          <t>MX-CED. HERMOSILLO</t>
        </is>
      </c>
      <c r="Q100" t="n">
        <v>20180308</v>
      </c>
      <c r="R100" t="n">
        <v>20281231</v>
      </c>
      <c r="U100" t="n">
        <v>210.6</v>
      </c>
      <c r="V100" t="inlineStr">
        <is>
          <t>MXN</t>
        </is>
      </c>
      <c r="W100" t="inlineStr">
        <is>
          <t>M3</t>
        </is>
      </c>
      <c r="AA100" t="inlineStr">
        <is>
          <t>66515767</t>
        </is>
      </c>
      <c r="AC100" t="n">
        <v>56103637</v>
      </c>
      <c r="AD100" t="n">
        <v>6622501540</v>
      </c>
      <c r="AE100" t="n">
        <v>4</v>
      </c>
      <c r="AF100" t="inlineStr">
        <is>
          <t>ENTREGA DIRECTA</t>
        </is>
      </c>
      <c r="AG100" t="n">
        <v>1.445</v>
      </c>
      <c r="AH100" t="inlineStr">
        <is>
          <t>M3</t>
        </is>
      </c>
      <c r="AI100" t="inlineStr">
        <is>
          <t>X</t>
        </is>
      </c>
      <c r="AJ100" t="n">
        <v>4</v>
      </c>
      <c r="AK100" t="inlineStr">
        <is>
          <t>V4</t>
        </is>
      </c>
      <c r="AL100" t="n">
        <v>20230920</v>
      </c>
      <c r="AM100" t="inlineStr">
        <is>
          <t>D860-900005572-66515767-10190637-4</t>
        </is>
      </c>
    </row>
    <row r="101">
      <c r="A101" t="inlineStr">
        <is>
          <t>900007611D8606695806510052405</t>
        </is>
      </c>
      <c r="B101" t="inlineStr">
        <is>
          <t>4600053981-110</t>
        </is>
      </c>
      <c r="C101" t="n">
        <v>4600053981</v>
      </c>
      <c r="D101" t="n">
        <v>110</v>
      </c>
      <c r="E101" t="inlineStr">
        <is>
          <t>MXPO</t>
        </is>
      </c>
      <c r="F101" t="inlineStr">
        <is>
          <t>MXL</t>
        </is>
      </c>
      <c r="G101" t="n">
        <v>900007611</v>
      </c>
      <c r="H101" t="inlineStr">
        <is>
          <t>SF TP-ED-GOMOSA</t>
        </is>
      </c>
      <c r="I101" t="n">
        <v>5083069</v>
      </c>
      <c r="J101" t="inlineStr">
        <is>
          <t>GOMO DESARROLLOS Y MATERIALES S DE</t>
        </is>
      </c>
      <c r="K101" t="inlineStr">
        <is>
          <t>Z09</t>
        </is>
      </c>
      <c r="L101" t="inlineStr">
        <is>
          <t>(AP) 90 Dias</t>
        </is>
      </c>
      <c r="M101" t="n">
        <v>10052405</v>
      </c>
      <c r="N101" t="inlineStr">
        <is>
          <t>Grava Riolita 40 MM (1 1/2")</t>
        </is>
      </c>
      <c r="O101" t="inlineStr">
        <is>
          <t>D860</t>
        </is>
      </c>
      <c r="P101" t="inlineStr">
        <is>
          <t>MX-CED. HERMOSILLO</t>
        </is>
      </c>
      <c r="Q101" t="n">
        <v>20220512</v>
      </c>
      <c r="R101" t="n">
        <v>20291231</v>
      </c>
      <c r="U101" t="n">
        <v>180</v>
      </c>
      <c r="V101" t="inlineStr">
        <is>
          <t>MXN</t>
        </is>
      </c>
      <c r="W101" t="inlineStr">
        <is>
          <t>M3</t>
        </is>
      </c>
      <c r="AA101" t="inlineStr">
        <is>
          <t>66958065</t>
        </is>
      </c>
      <c r="AB101" t="inlineStr">
        <is>
          <t>FORTER PREFABRICADOS</t>
        </is>
      </c>
      <c r="AC101" t="n">
        <v>56103637</v>
      </c>
      <c r="AD101" t="n">
        <v>6622501540</v>
      </c>
      <c r="AE101" t="n">
        <v>4</v>
      </c>
      <c r="AF101" t="inlineStr">
        <is>
          <t>ENTREGA DIRECTA</t>
        </is>
      </c>
      <c r="AG101" t="n">
        <v>1.48</v>
      </c>
      <c r="AH101" t="inlineStr">
        <is>
          <t>M3</t>
        </is>
      </c>
      <c r="AI101" t="inlineStr">
        <is>
          <t>X</t>
        </is>
      </c>
      <c r="AJ101" t="n">
        <v>4</v>
      </c>
      <c r="AK101" t="inlineStr">
        <is>
          <t>V4</t>
        </is>
      </c>
      <c r="AL101" t="n">
        <v>20230920</v>
      </c>
      <c r="AM101" t="inlineStr">
        <is>
          <t>D860-900007611-66958065-10052405-4</t>
        </is>
      </c>
    </row>
    <row r="102">
      <c r="A102" t="inlineStr">
        <is>
          <t>900005572D8606689505710190637</t>
        </is>
      </c>
      <c r="B102" t="inlineStr">
        <is>
          <t>4600041494-600</t>
        </is>
      </c>
      <c r="C102" t="n">
        <v>4600041494</v>
      </c>
      <c r="D102" t="n">
        <v>600</v>
      </c>
      <c r="E102" t="inlineStr">
        <is>
          <t>MXPO</t>
        </is>
      </c>
      <c r="F102" t="inlineStr">
        <is>
          <t>MXL</t>
        </is>
      </c>
      <c r="G102" t="n">
        <v>900005572</v>
      </c>
      <c r="H102" t="inlineStr">
        <is>
          <t>TP- ED- PROPESO</t>
        </is>
      </c>
      <c r="I102" t="n">
        <v>5001601</v>
      </c>
      <c r="J102" t="inlineStr">
        <is>
          <t>PRODUCTOS PETREOS DE SONORA SA DE</t>
        </is>
      </c>
      <c r="K102" t="inlineStr">
        <is>
          <t>Z03</t>
        </is>
      </c>
      <c r="L102" t="inlineStr">
        <is>
          <t>(AP) 15 Dias</t>
        </is>
      </c>
      <c r="M102" t="n">
        <v>10190637</v>
      </c>
      <c r="N102" t="inlineStr">
        <is>
          <t>GRAVA CLASIFICADA RIOLITA 20 MM (3/4")</t>
        </is>
      </c>
      <c r="O102" t="inlineStr">
        <is>
          <t>D860</t>
        </is>
      </c>
      <c r="P102" t="inlineStr">
        <is>
          <t>MX-CED. HERMOSILLO</t>
        </is>
      </c>
      <c r="Q102" t="n">
        <v>20180308</v>
      </c>
      <c r="R102" t="n">
        <v>20281231</v>
      </c>
      <c r="U102" t="n">
        <v>221</v>
      </c>
      <c r="V102" t="inlineStr">
        <is>
          <t>MXN</t>
        </is>
      </c>
      <c r="W102" t="inlineStr">
        <is>
          <t>M3</t>
        </is>
      </c>
      <c r="AA102" t="inlineStr">
        <is>
          <t>66895057</t>
        </is>
      </c>
      <c r="AB102" t="inlineStr">
        <is>
          <t>CP-I OBRA AZORE ELIHU (JVM)</t>
        </is>
      </c>
      <c r="AC102" t="n">
        <v>56103637</v>
      </c>
      <c r="AD102" t="n">
        <v>6622501540</v>
      </c>
      <c r="AE102" t="n">
        <v>4</v>
      </c>
      <c r="AF102" t="inlineStr">
        <is>
          <t>ENTREGA DIRECTA</t>
        </is>
      </c>
      <c r="AG102" t="n">
        <v>1.445</v>
      </c>
      <c r="AH102" t="inlineStr">
        <is>
          <t>M3</t>
        </is>
      </c>
      <c r="AI102" t="inlineStr">
        <is>
          <t>X</t>
        </is>
      </c>
      <c r="AJ102" t="n">
        <v>4</v>
      </c>
      <c r="AK102" t="inlineStr">
        <is>
          <t>V4</t>
        </is>
      </c>
      <c r="AL102" t="n">
        <v>20230920</v>
      </c>
      <c r="AM102" t="inlineStr">
        <is>
          <t>D860-900005572-66895057-10190637-4</t>
        </is>
      </c>
    </row>
    <row r="103">
      <c r="A103" t="inlineStr">
        <is>
          <t>900007611D8606690961310190772</t>
        </is>
      </c>
      <c r="B103" t="inlineStr">
        <is>
          <t>4600053981-180</t>
        </is>
      </c>
      <c r="C103" t="n">
        <v>4600053981</v>
      </c>
      <c r="D103" t="n">
        <v>180</v>
      </c>
      <c r="E103" t="inlineStr">
        <is>
          <t>MXPO</t>
        </is>
      </c>
      <c r="F103" t="inlineStr">
        <is>
          <t>MXL</t>
        </is>
      </c>
      <c r="G103" t="n">
        <v>900007611</v>
      </c>
      <c r="H103" t="inlineStr">
        <is>
          <t>SF TP-ED-GOMOSA</t>
        </is>
      </c>
      <c r="I103" t="n">
        <v>5083069</v>
      </c>
      <c r="J103" t="inlineStr">
        <is>
          <t>GOMO DESARROLLOS Y MATERIALES S DE</t>
        </is>
      </c>
      <c r="K103" t="inlineStr">
        <is>
          <t>Z09</t>
        </is>
      </c>
      <c r="L103" t="inlineStr">
        <is>
          <t>(AP) 90 Dias</t>
        </is>
      </c>
      <c r="M103" t="n">
        <v>10190772</v>
      </c>
      <c r="N103" t="inlineStr">
        <is>
          <t>MATERIAL DE EXTRACCION DE BANCO</t>
        </is>
      </c>
      <c r="O103" t="inlineStr">
        <is>
          <t>D860</t>
        </is>
      </c>
      <c r="P103" t="inlineStr">
        <is>
          <t>MX-CED. HERMOSILLO</t>
        </is>
      </c>
      <c r="Q103" t="n">
        <v>20220512</v>
      </c>
      <c r="R103" t="n">
        <v>20291231</v>
      </c>
      <c r="S103" t="n">
        <v>20220901</v>
      </c>
      <c r="T103" t="n">
        <v>20271231</v>
      </c>
      <c r="U103" t="n">
        <v>170</v>
      </c>
      <c r="V103" t="inlineStr">
        <is>
          <t>MXN</t>
        </is>
      </c>
      <c r="W103" t="inlineStr">
        <is>
          <t>M3</t>
        </is>
      </c>
      <c r="X103" t="n">
        <v>70</v>
      </c>
      <c r="Y103" t="inlineStr">
        <is>
          <t>MXN</t>
        </is>
      </c>
      <c r="Z103" t="inlineStr">
        <is>
          <t>M3</t>
        </is>
      </c>
      <c r="AA103" t="inlineStr">
        <is>
          <t>66909613</t>
        </is>
      </c>
      <c r="AB103" t="inlineStr">
        <is>
          <t>(PALLM) REAL DE CASTILLA II (EIAA)</t>
        </is>
      </c>
      <c r="AC103" t="n">
        <v>56103636</v>
      </c>
      <c r="AD103" t="n">
        <v>6622501867</v>
      </c>
      <c r="AE103" t="n">
        <v>4</v>
      </c>
      <c r="AF103" t="inlineStr">
        <is>
          <t>ENTREGA DIRECTA</t>
        </is>
      </c>
      <c r="AG103" t="n">
        <v>1.5</v>
      </c>
      <c r="AH103" t="inlineStr">
        <is>
          <t>M3</t>
        </is>
      </c>
      <c r="AI103" t="inlineStr">
        <is>
          <t>X</t>
        </is>
      </c>
      <c r="AJ103" t="n">
        <v>4</v>
      </c>
      <c r="AK103" t="inlineStr">
        <is>
          <t>V4</t>
        </is>
      </c>
      <c r="AL103" t="n">
        <v>20230920</v>
      </c>
      <c r="AM103" t="inlineStr">
        <is>
          <t>D860-900007611-66909613-10190772-4</t>
        </is>
      </c>
    </row>
    <row r="104">
      <c r="A104" t="inlineStr">
        <is>
          <t>900005572D8606648110910000176</t>
        </is>
      </c>
      <c r="B104" t="inlineStr">
        <is>
          <t>4600041494-220</t>
        </is>
      </c>
      <c r="C104" t="n">
        <v>4600041494</v>
      </c>
      <c r="D104" t="n">
        <v>220</v>
      </c>
      <c r="E104" t="inlineStr">
        <is>
          <t>MXPO</t>
        </is>
      </c>
      <c r="F104" t="inlineStr">
        <is>
          <t>MXL</t>
        </is>
      </c>
      <c r="G104" t="n">
        <v>900005572</v>
      </c>
      <c r="H104" t="inlineStr">
        <is>
          <t>TP- ED- PROPESO</t>
        </is>
      </c>
      <c r="I104" t="n">
        <v>5001601</v>
      </c>
      <c r="J104" t="inlineStr">
        <is>
          <t>PRODUCTOS PETREOS DE SONORA SA DE</t>
        </is>
      </c>
      <c r="K104" t="inlineStr">
        <is>
          <t>Z03</t>
        </is>
      </c>
      <c r="L104" t="inlineStr">
        <is>
          <t>(AP) 15 Dias</t>
        </is>
      </c>
      <c r="M104" t="n">
        <v>10000176</v>
      </c>
      <c r="N104" t="inlineStr">
        <is>
          <t>Base H Clasificada Río  1 1/2" a Finos</t>
        </is>
      </c>
      <c r="O104" t="inlineStr">
        <is>
          <t>D860</t>
        </is>
      </c>
      <c r="P104" t="inlineStr">
        <is>
          <t>MX-CED. HERMOSILLO</t>
        </is>
      </c>
      <c r="Q104" t="n">
        <v>20180308</v>
      </c>
      <c r="R104" t="n">
        <v>20281231</v>
      </c>
      <c r="S104" t="n">
        <v>20180803</v>
      </c>
      <c r="T104" t="n">
        <v>20241231</v>
      </c>
      <c r="U104" t="n">
        <v>220</v>
      </c>
      <c r="V104" t="inlineStr">
        <is>
          <t>MXN</t>
        </is>
      </c>
      <c r="W104" t="inlineStr">
        <is>
          <t>M3</t>
        </is>
      </c>
      <c r="X104" t="n">
        <v>120</v>
      </c>
      <c r="Y104" t="inlineStr">
        <is>
          <t>MXN</t>
        </is>
      </c>
      <c r="Z104" t="inlineStr">
        <is>
          <t>M3</t>
        </is>
      </c>
      <c r="AA104" t="inlineStr">
        <is>
          <t>66481109</t>
        </is>
      </c>
      <c r="AB104" t="inlineStr">
        <is>
          <t>Mezta Hermosillo</t>
        </is>
      </c>
      <c r="AC104" t="n">
        <v>56103590</v>
      </c>
      <c r="AD104" t="n">
        <v>6622501540</v>
      </c>
      <c r="AE104" t="n">
        <v>4</v>
      </c>
      <c r="AF104" t="inlineStr">
        <is>
          <t>ENTREGA DIRECTA</t>
        </is>
      </c>
      <c r="AG104" t="n">
        <v>1.6</v>
      </c>
      <c r="AH104" t="inlineStr">
        <is>
          <t>M3</t>
        </is>
      </c>
      <c r="AI104" t="inlineStr">
        <is>
          <t>X</t>
        </is>
      </c>
      <c r="AJ104" t="n">
        <v>4</v>
      </c>
      <c r="AK104" t="inlineStr">
        <is>
          <t>V4</t>
        </is>
      </c>
      <c r="AL104" t="n">
        <v>20230920</v>
      </c>
      <c r="AM104" t="inlineStr">
        <is>
          <t>D860-900005572-66481109-10000176-4</t>
        </is>
      </c>
    </row>
    <row r="105">
      <c r="A105" t="inlineStr">
        <is>
          <t>900005572D8606654082210052407</t>
        </is>
      </c>
      <c r="B105" t="inlineStr">
        <is>
          <t>4600041494-130</t>
        </is>
      </c>
      <c r="C105" t="n">
        <v>4600041494</v>
      </c>
      <c r="D105" t="n">
        <v>130</v>
      </c>
      <c r="E105" t="inlineStr">
        <is>
          <t>MXPO</t>
        </is>
      </c>
      <c r="F105" t="inlineStr">
        <is>
          <t>MXL</t>
        </is>
      </c>
      <c r="G105" t="n">
        <v>900005572</v>
      </c>
      <c r="H105" t="inlineStr">
        <is>
          <t>TP- ED- PROPESO</t>
        </is>
      </c>
      <c r="I105" t="n">
        <v>5001601</v>
      </c>
      <c r="J105" t="inlineStr">
        <is>
          <t>PRODUCTOS PETREOS DE SONORA SA DE</t>
        </is>
      </c>
      <c r="K105" t="inlineStr">
        <is>
          <t>Z03</t>
        </is>
      </c>
      <c r="L105" t="inlineStr">
        <is>
          <t>(AP) 15 Dias</t>
        </is>
      </c>
      <c r="M105" t="n">
        <v>10052407</v>
      </c>
      <c r="N105" t="inlineStr">
        <is>
          <t>Arena Triturada Rio Malla 4</t>
        </is>
      </c>
      <c r="O105" t="inlineStr">
        <is>
          <t>D860</t>
        </is>
      </c>
      <c r="P105" t="inlineStr">
        <is>
          <t>MX-CED. HERMOSILLO</t>
        </is>
      </c>
      <c r="Q105" t="n">
        <v>20180308</v>
      </c>
      <c r="R105" t="n">
        <v>20281231</v>
      </c>
      <c r="S105" t="n">
        <v>20180606</v>
      </c>
      <c r="T105" t="n">
        <v>20241231</v>
      </c>
      <c r="U105" t="n">
        <v>132</v>
      </c>
      <c r="V105" t="inlineStr">
        <is>
          <t>MXN</t>
        </is>
      </c>
      <c r="W105" t="inlineStr">
        <is>
          <t>M3</t>
        </is>
      </c>
      <c r="X105" t="n">
        <v>40</v>
      </c>
      <c r="Y105" t="inlineStr">
        <is>
          <t>MXN</t>
        </is>
      </c>
      <c r="Z105" t="inlineStr">
        <is>
          <t>M3</t>
        </is>
      </c>
      <c r="AA105" t="inlineStr">
        <is>
          <t>66540822</t>
        </is>
      </c>
      <c r="AB105" t="inlineStr">
        <is>
          <t>ALTA CALIDAD EN CONCRETOS PLANTA</t>
        </is>
      </c>
      <c r="AC105" t="n">
        <v>56103638</v>
      </c>
      <c r="AD105" t="n">
        <v>6622501540</v>
      </c>
      <c r="AE105" t="n">
        <v>4</v>
      </c>
      <c r="AF105" t="inlineStr">
        <is>
          <t>ENTREGA DIRECTA</t>
        </is>
      </c>
      <c r="AG105" t="n">
        <v>1.51</v>
      </c>
      <c r="AH105" t="inlineStr">
        <is>
          <t>M3</t>
        </is>
      </c>
      <c r="AI105" t="inlineStr">
        <is>
          <t>X</t>
        </is>
      </c>
      <c r="AJ105" t="n">
        <v>4</v>
      </c>
      <c r="AK105" t="inlineStr">
        <is>
          <t>V4</t>
        </is>
      </c>
      <c r="AL105" t="n">
        <v>20230920</v>
      </c>
      <c r="AM105" t="inlineStr">
        <is>
          <t>D860-900005572-66540822-10052407-4</t>
        </is>
      </c>
    </row>
    <row r="106">
      <c r="A106" t="inlineStr">
        <is>
          <t>900005572D8606654082210052402</t>
        </is>
      </c>
      <c r="B106" t="inlineStr">
        <is>
          <t>4600041494-140</t>
        </is>
      </c>
      <c r="C106" t="n">
        <v>4600041494</v>
      </c>
      <c r="D106" t="n">
        <v>140</v>
      </c>
      <c r="E106" t="inlineStr">
        <is>
          <t>MXPO</t>
        </is>
      </c>
      <c r="F106" t="inlineStr">
        <is>
          <t>MXL</t>
        </is>
      </c>
      <c r="G106" t="n">
        <v>900005572</v>
      </c>
      <c r="H106" t="inlineStr">
        <is>
          <t>TP- ED- PROPESO</t>
        </is>
      </c>
      <c r="I106" t="n">
        <v>5001601</v>
      </c>
      <c r="J106" t="inlineStr">
        <is>
          <t>PRODUCTOS PETREOS DE SONORA SA DE</t>
        </is>
      </c>
      <c r="K106" t="inlineStr">
        <is>
          <t>Z03</t>
        </is>
      </c>
      <c r="L106" t="inlineStr">
        <is>
          <t>(AP) 15 Dias</t>
        </is>
      </c>
      <c r="M106" t="n">
        <v>10052402</v>
      </c>
      <c r="N106" t="inlineStr">
        <is>
          <t>Grava Riolita 10 MM (3/8")</t>
        </is>
      </c>
      <c r="O106" t="inlineStr">
        <is>
          <t>D860</t>
        </is>
      </c>
      <c r="P106" t="inlineStr">
        <is>
          <t>MX-CED. HERMOSILLO</t>
        </is>
      </c>
      <c r="Q106" t="n">
        <v>20180308</v>
      </c>
      <c r="R106" t="n">
        <v>20281231</v>
      </c>
      <c r="S106" t="n">
        <v>20180606</v>
      </c>
      <c r="T106" t="n">
        <v>20241231</v>
      </c>
      <c r="U106" t="n">
        <v>190</v>
      </c>
      <c r="V106" t="inlineStr">
        <is>
          <t>MXN</t>
        </is>
      </c>
      <c r="W106" t="inlineStr">
        <is>
          <t>M3</t>
        </is>
      </c>
      <c r="X106" t="n">
        <v>40</v>
      </c>
      <c r="Y106" t="inlineStr">
        <is>
          <t>MXN</t>
        </is>
      </c>
      <c r="Z106" t="inlineStr">
        <is>
          <t>M3</t>
        </is>
      </c>
      <c r="AA106" t="inlineStr">
        <is>
          <t>66540822</t>
        </is>
      </c>
      <c r="AB106" t="inlineStr">
        <is>
          <t>ALTA CALIDAD EN CONCRETOS PLANTA</t>
        </is>
      </c>
      <c r="AC106" t="n">
        <v>56103637</v>
      </c>
      <c r="AD106" t="n">
        <v>6622501540</v>
      </c>
      <c r="AE106" t="n">
        <v>4</v>
      </c>
      <c r="AF106" t="inlineStr">
        <is>
          <t>ENTREGA DIRECTA</t>
        </is>
      </c>
      <c r="AG106" t="n">
        <v>1.52</v>
      </c>
      <c r="AH106" t="inlineStr">
        <is>
          <t>M3</t>
        </is>
      </c>
      <c r="AI106" t="inlineStr">
        <is>
          <t>X</t>
        </is>
      </c>
      <c r="AJ106" t="n">
        <v>4</v>
      </c>
      <c r="AK106" t="inlineStr">
        <is>
          <t>V4</t>
        </is>
      </c>
      <c r="AL106" t="n">
        <v>20230920</v>
      </c>
      <c r="AM106" t="inlineStr">
        <is>
          <t>D860-900005572-66540822-10052402-4</t>
        </is>
      </c>
    </row>
    <row r="107">
      <c r="A107" t="inlineStr">
        <is>
          <t>900007611D8606715473210190637</t>
        </is>
      </c>
      <c r="B107" t="inlineStr">
        <is>
          <t>4600053981-270</t>
        </is>
      </c>
      <c r="C107" t="n">
        <v>4600053981</v>
      </c>
      <c r="D107" t="n">
        <v>270</v>
      </c>
      <c r="E107" t="inlineStr">
        <is>
          <t>MXPO</t>
        </is>
      </c>
      <c r="F107" t="inlineStr">
        <is>
          <t>MXL</t>
        </is>
      </c>
      <c r="G107" t="n">
        <v>900007611</v>
      </c>
      <c r="H107" t="inlineStr">
        <is>
          <t>SF TP-ED-GOMOSA</t>
        </is>
      </c>
      <c r="I107" t="n">
        <v>5083069</v>
      </c>
      <c r="J107" t="inlineStr">
        <is>
          <t>GOMO DESARROLLOS Y MATERIALES S DE</t>
        </is>
      </c>
      <c r="K107" t="inlineStr">
        <is>
          <t>Z09</t>
        </is>
      </c>
      <c r="L107" t="inlineStr">
        <is>
          <t>(AP) 90 Dias</t>
        </is>
      </c>
      <c r="M107" t="n">
        <v>10190637</v>
      </c>
      <c r="N107" t="inlineStr">
        <is>
          <t>GRAVA CLASIFICADA RIOLITA 20 MM (3/4")</t>
        </is>
      </c>
      <c r="O107" t="inlineStr">
        <is>
          <t>D860</t>
        </is>
      </c>
      <c r="P107" t="inlineStr">
        <is>
          <t>MX-CED. HERMOSILLO</t>
        </is>
      </c>
      <c r="Q107" t="n">
        <v>20220512</v>
      </c>
      <c r="R107" t="n">
        <v>20291231</v>
      </c>
      <c r="S107" t="n">
        <v>20230818</v>
      </c>
      <c r="T107" t="n">
        <v>20281231</v>
      </c>
      <c r="U107" t="n">
        <v>190</v>
      </c>
      <c r="V107" t="inlineStr">
        <is>
          <t>MXN</t>
        </is>
      </c>
      <c r="W107" t="inlineStr">
        <is>
          <t>M3</t>
        </is>
      </c>
      <c r="X107" t="n">
        <v>80</v>
      </c>
      <c r="Y107" t="inlineStr">
        <is>
          <t>MXN</t>
        </is>
      </c>
      <c r="Z107" t="inlineStr">
        <is>
          <t>M3</t>
        </is>
      </c>
      <c r="AA107" t="inlineStr">
        <is>
          <t>67154732</t>
        </is>
      </c>
      <c r="AB107" t="inlineStr">
        <is>
          <t>SAMS QUIROGA AGREGADO (IGCO)</t>
        </is>
      </c>
      <c r="AC107" t="n">
        <v>56103637</v>
      </c>
      <c r="AD107" t="n">
        <v>6622501540</v>
      </c>
      <c r="AE107" t="n">
        <v>4</v>
      </c>
      <c r="AF107" t="inlineStr">
        <is>
          <t>ENTREGA DIRECTA</t>
        </is>
      </c>
      <c r="AG107" t="n">
        <v>1.445</v>
      </c>
      <c r="AH107" t="inlineStr">
        <is>
          <t>M3</t>
        </is>
      </c>
      <c r="AI107" t="inlineStr">
        <is>
          <t>X</t>
        </is>
      </c>
      <c r="AJ107" t="n">
        <v>4</v>
      </c>
      <c r="AK107" t="inlineStr">
        <is>
          <t>V4</t>
        </is>
      </c>
      <c r="AL107" t="n">
        <v>20230920</v>
      </c>
      <c r="AM107" t="inlineStr">
        <is>
          <t>D860-900007611-67154732-10190637-4</t>
        </is>
      </c>
    </row>
    <row r="108">
      <c r="A108" t="inlineStr">
        <is>
          <t>900005572D8606648635010000176</t>
        </is>
      </c>
      <c r="B108" t="inlineStr">
        <is>
          <t>4600041494-210</t>
        </is>
      </c>
      <c r="C108" t="n">
        <v>4600041494</v>
      </c>
      <c r="D108" t="n">
        <v>210</v>
      </c>
      <c r="E108" t="inlineStr">
        <is>
          <t>MXPO</t>
        </is>
      </c>
      <c r="F108" t="inlineStr">
        <is>
          <t>MXL</t>
        </is>
      </c>
      <c r="G108" t="n">
        <v>900005572</v>
      </c>
      <c r="H108" t="inlineStr">
        <is>
          <t>TP- ED- PROPESO</t>
        </is>
      </c>
      <c r="I108" t="n">
        <v>5001601</v>
      </c>
      <c r="J108" t="inlineStr">
        <is>
          <t>PRODUCTOS PETREOS DE SONORA SA DE</t>
        </is>
      </c>
      <c r="K108" t="inlineStr">
        <is>
          <t>Z03</t>
        </is>
      </c>
      <c r="L108" t="inlineStr">
        <is>
          <t>(AP) 15 Dias</t>
        </is>
      </c>
      <c r="M108" t="n">
        <v>10000176</v>
      </c>
      <c r="N108" t="inlineStr">
        <is>
          <t>Base H Clasificada Río  1 1/2" a Finos</t>
        </is>
      </c>
      <c r="O108" t="inlineStr">
        <is>
          <t>D860</t>
        </is>
      </c>
      <c r="P108" t="inlineStr">
        <is>
          <t>MX-CED. HERMOSILLO</t>
        </is>
      </c>
      <c r="Q108" t="n">
        <v>20180308</v>
      </c>
      <c r="R108" t="n">
        <v>20281231</v>
      </c>
      <c r="S108" t="n">
        <v>20180803</v>
      </c>
      <c r="T108" t="n">
        <v>20241231</v>
      </c>
      <c r="U108" t="n">
        <v>220</v>
      </c>
      <c r="V108" t="inlineStr">
        <is>
          <t>MXN</t>
        </is>
      </c>
      <c r="W108" t="inlineStr">
        <is>
          <t>M3</t>
        </is>
      </c>
      <c r="X108" t="n">
        <v>120</v>
      </c>
      <c r="Y108" t="inlineStr">
        <is>
          <t>MXN</t>
        </is>
      </c>
      <c r="Z108" t="inlineStr">
        <is>
          <t>M3</t>
        </is>
      </c>
      <c r="AA108" t="inlineStr">
        <is>
          <t>66486350</t>
        </is>
      </c>
      <c r="AB108" t="inlineStr">
        <is>
          <t>MEZTA HERMOSILLO</t>
        </is>
      </c>
      <c r="AC108" t="n">
        <v>56103590</v>
      </c>
      <c r="AD108" t="n">
        <v>6622501540</v>
      </c>
      <c r="AE108" t="n">
        <v>4</v>
      </c>
      <c r="AF108" t="inlineStr">
        <is>
          <t>ENTREGA DIRECTA</t>
        </is>
      </c>
      <c r="AG108" t="n">
        <v>1.6</v>
      </c>
      <c r="AH108" t="inlineStr">
        <is>
          <t>M3</t>
        </is>
      </c>
      <c r="AI108" t="inlineStr">
        <is>
          <t>X</t>
        </is>
      </c>
      <c r="AJ108" t="n">
        <v>4</v>
      </c>
      <c r="AK108" t="inlineStr">
        <is>
          <t>V4</t>
        </is>
      </c>
      <c r="AL108" t="n">
        <v>20230920</v>
      </c>
      <c r="AM108" t="inlineStr">
        <is>
          <t>D860-900005572-66486350-10000176-4</t>
        </is>
      </c>
    </row>
    <row r="109">
      <c r="A109" t="inlineStr">
        <is>
          <t>900007611D8606715689510052407</t>
        </is>
      </c>
      <c r="B109" t="inlineStr">
        <is>
          <t>4600053981-190</t>
        </is>
      </c>
      <c r="C109" t="n">
        <v>4600053981</v>
      </c>
      <c r="D109" t="n">
        <v>190</v>
      </c>
      <c r="E109" t="inlineStr">
        <is>
          <t>MXPO</t>
        </is>
      </c>
      <c r="F109" t="inlineStr">
        <is>
          <t>MXL</t>
        </is>
      </c>
      <c r="G109" t="n">
        <v>900007611</v>
      </c>
      <c r="H109" t="inlineStr">
        <is>
          <t>SF TP-ED-GOMOSA</t>
        </is>
      </c>
      <c r="I109" t="n">
        <v>5083069</v>
      </c>
      <c r="J109" t="inlineStr">
        <is>
          <t>GOMO DESARROLLOS Y MATERIALES S DE</t>
        </is>
      </c>
      <c r="K109" t="inlineStr">
        <is>
          <t>Z09</t>
        </is>
      </c>
      <c r="L109" t="inlineStr">
        <is>
          <t>(AP) 90 Dias</t>
        </is>
      </c>
      <c r="M109" t="n">
        <v>10052407</v>
      </c>
      <c r="N109" t="inlineStr">
        <is>
          <t>Arena Triturada Rio Malla 4</t>
        </is>
      </c>
      <c r="O109" t="inlineStr">
        <is>
          <t>D860</t>
        </is>
      </c>
      <c r="P109" t="inlineStr">
        <is>
          <t>MX-CED. HERMOSILLO</t>
        </is>
      </c>
      <c r="Q109" t="n">
        <v>20220512</v>
      </c>
      <c r="R109" t="n">
        <v>20291231</v>
      </c>
      <c r="S109" t="n">
        <v>20230628</v>
      </c>
      <c r="T109" t="n">
        <v>20281231</v>
      </c>
      <c r="U109" t="n">
        <v>180</v>
      </c>
      <c r="V109" t="inlineStr">
        <is>
          <t>MXN</t>
        </is>
      </c>
      <c r="W109" t="inlineStr">
        <is>
          <t>M3</t>
        </is>
      </c>
      <c r="X109" t="n">
        <v>80</v>
      </c>
      <c r="Y109" t="inlineStr">
        <is>
          <t>MXN</t>
        </is>
      </c>
      <c r="Z109" t="inlineStr">
        <is>
          <t>M3</t>
        </is>
      </c>
      <c r="AA109" t="inlineStr">
        <is>
          <t>67156895</t>
        </is>
      </c>
      <c r="AB109" t="inlineStr">
        <is>
          <t>SC QUIROGA AGREGADO</t>
        </is>
      </c>
      <c r="AC109" t="n">
        <v>56103638</v>
      </c>
      <c r="AD109" t="n">
        <v>6622501540</v>
      </c>
      <c r="AE109" t="n">
        <v>4</v>
      </c>
      <c r="AF109" t="inlineStr">
        <is>
          <t>ENTREGA DIRECTA</t>
        </is>
      </c>
      <c r="AG109" t="n">
        <v>1.51</v>
      </c>
      <c r="AH109" t="inlineStr">
        <is>
          <t>M3</t>
        </is>
      </c>
      <c r="AI109" t="inlineStr">
        <is>
          <t>X</t>
        </is>
      </c>
      <c r="AJ109" t="n">
        <v>4</v>
      </c>
      <c r="AK109" t="inlineStr">
        <is>
          <t>V4</t>
        </is>
      </c>
      <c r="AL109" t="n">
        <v>20230920</v>
      </c>
      <c r="AM109" t="inlineStr">
        <is>
          <t>D860-900007611-67156895-10052407-4</t>
        </is>
      </c>
    </row>
    <row r="110">
      <c r="A110" t="inlineStr">
        <is>
          <t>900007611D8606695806510208119</t>
        </is>
      </c>
      <c r="B110" t="inlineStr">
        <is>
          <t>4600053981-30</t>
        </is>
      </c>
      <c r="C110" t="n">
        <v>4600053981</v>
      </c>
      <c r="D110" t="n">
        <v>30</v>
      </c>
      <c r="E110" t="inlineStr">
        <is>
          <t>MXPO</t>
        </is>
      </c>
      <c r="F110" t="inlineStr">
        <is>
          <t>MXL</t>
        </is>
      </c>
      <c r="G110" t="n">
        <v>900007611</v>
      </c>
      <c r="H110" t="inlineStr">
        <is>
          <t>SF TP-ED-GOMOSA</t>
        </is>
      </c>
      <c r="I110" t="n">
        <v>5083069</v>
      </c>
      <c r="J110" t="inlineStr">
        <is>
          <t>GOMO DESARROLLOS Y MATERIALES S DE</t>
        </is>
      </c>
      <c r="K110" t="inlineStr">
        <is>
          <t>Z09</t>
        </is>
      </c>
      <c r="L110" t="inlineStr">
        <is>
          <t>(AP) 90 Dias</t>
        </is>
      </c>
      <c r="M110" t="n">
        <v>10208119</v>
      </c>
      <c r="N110" t="inlineStr">
        <is>
          <t>ARENA DE RIO 50% - POLVO TRITURADO GRANI</t>
        </is>
      </c>
      <c r="O110" t="inlineStr">
        <is>
          <t>D860</t>
        </is>
      </c>
      <c r="P110" t="inlineStr">
        <is>
          <t>MX-CED. HERMOSILLO</t>
        </is>
      </c>
      <c r="Q110" t="n">
        <v>20220512</v>
      </c>
      <c r="R110" t="n">
        <v>20291231</v>
      </c>
      <c r="S110" t="n">
        <v>20220601</v>
      </c>
      <c r="T110" t="n">
        <v>20271231</v>
      </c>
      <c r="U110" t="n">
        <v>200</v>
      </c>
      <c r="V110" t="inlineStr">
        <is>
          <t>MXN</t>
        </is>
      </c>
      <c r="W110" t="inlineStr">
        <is>
          <t>M3</t>
        </is>
      </c>
      <c r="X110" t="n">
        <v>70</v>
      </c>
      <c r="Y110" t="inlineStr">
        <is>
          <t>MXN</t>
        </is>
      </c>
      <c r="Z110" t="inlineStr">
        <is>
          <t>M3</t>
        </is>
      </c>
      <c r="AA110" t="inlineStr">
        <is>
          <t>66958065</t>
        </is>
      </c>
      <c r="AB110" t="inlineStr">
        <is>
          <t>FORTER PREFABRICADOS</t>
        </is>
      </c>
      <c r="AC110" t="n">
        <v>56103638</v>
      </c>
      <c r="AD110" t="n">
        <v>6622501540</v>
      </c>
      <c r="AE110" t="n">
        <v>4</v>
      </c>
      <c r="AF110" t="inlineStr">
        <is>
          <t>ENTREGA DIRECTA</t>
        </is>
      </c>
      <c r="AG110" t="n">
        <v>1.565</v>
      </c>
      <c r="AH110" t="inlineStr">
        <is>
          <t>M3</t>
        </is>
      </c>
      <c r="AI110" t="inlineStr">
        <is>
          <t>X</t>
        </is>
      </c>
      <c r="AJ110" t="n">
        <v>4</v>
      </c>
      <c r="AK110" t="inlineStr">
        <is>
          <t>V4</t>
        </is>
      </c>
      <c r="AL110" t="n">
        <v>20230920</v>
      </c>
      <c r="AM110" t="inlineStr">
        <is>
          <t>D860-900007611-66958065-10208119-4</t>
        </is>
      </c>
    </row>
    <row r="111">
      <c r="A111" t="inlineStr">
        <is>
          <t>900007611D8606695418310052407</t>
        </is>
      </c>
      <c r="B111" t="inlineStr">
        <is>
          <t>4600053981-160</t>
        </is>
      </c>
      <c r="C111" t="n">
        <v>4600053981</v>
      </c>
      <c r="D111" t="n">
        <v>160</v>
      </c>
      <c r="E111" t="inlineStr">
        <is>
          <t>MXPO</t>
        </is>
      </c>
      <c r="F111" t="inlineStr">
        <is>
          <t>MXL</t>
        </is>
      </c>
      <c r="G111" t="n">
        <v>900007611</v>
      </c>
      <c r="H111" t="inlineStr">
        <is>
          <t>SF TP-ED-GOMOSA</t>
        </is>
      </c>
      <c r="I111" t="n">
        <v>5083069</v>
      </c>
      <c r="J111" t="inlineStr">
        <is>
          <t>GOMO DESARROLLOS Y MATERIALES S DE</t>
        </is>
      </c>
      <c r="K111" t="inlineStr">
        <is>
          <t>Z09</t>
        </is>
      </c>
      <c r="L111" t="inlineStr">
        <is>
          <t>(AP) 90 Dias</t>
        </is>
      </c>
      <c r="M111" t="n">
        <v>10052407</v>
      </c>
      <c r="N111" t="inlineStr">
        <is>
          <t>Arena Triturada Rio Malla 4</t>
        </is>
      </c>
      <c r="O111" t="inlineStr">
        <is>
          <t>D860</t>
        </is>
      </c>
      <c r="P111" t="inlineStr">
        <is>
          <t>MX-CED. HERMOSILLO</t>
        </is>
      </c>
      <c r="Q111" t="n">
        <v>20220512</v>
      </c>
      <c r="R111" t="n">
        <v>20291231</v>
      </c>
      <c r="S111" t="n">
        <v>20220820</v>
      </c>
      <c r="T111" t="n">
        <v>20271231</v>
      </c>
      <c r="U111" t="n">
        <v>170</v>
      </c>
      <c r="V111" t="inlineStr">
        <is>
          <t>MXN</t>
        </is>
      </c>
      <c r="W111" t="inlineStr">
        <is>
          <t>M3</t>
        </is>
      </c>
      <c r="X111" t="n">
        <v>70</v>
      </c>
      <c r="Y111" t="inlineStr">
        <is>
          <t>MXN</t>
        </is>
      </c>
      <c r="Z111" t="inlineStr">
        <is>
          <t>M3</t>
        </is>
      </c>
      <c r="AA111" t="inlineStr">
        <is>
          <t>66954183</t>
        </is>
      </c>
      <c r="AB111" t="inlineStr">
        <is>
          <t>QUALITY BLOCK 26 HMO</t>
        </is>
      </c>
      <c r="AC111" t="n">
        <v>56103638</v>
      </c>
      <c r="AD111" t="n">
        <v>6622501540</v>
      </c>
      <c r="AE111" t="n">
        <v>4</v>
      </c>
      <c r="AF111" t="inlineStr">
        <is>
          <t>ENTREGA DIRECTA</t>
        </is>
      </c>
      <c r="AG111" t="n">
        <v>1.51</v>
      </c>
      <c r="AH111" t="inlineStr">
        <is>
          <t>M3</t>
        </is>
      </c>
      <c r="AI111" t="inlineStr">
        <is>
          <t>X</t>
        </is>
      </c>
      <c r="AJ111" t="n">
        <v>4</v>
      </c>
      <c r="AK111" t="inlineStr">
        <is>
          <t>V4</t>
        </is>
      </c>
      <c r="AL111" t="n">
        <v>20230920</v>
      </c>
      <c r="AM111" t="inlineStr">
        <is>
          <t>D860-900007611-66954183-10052407-4</t>
        </is>
      </c>
    </row>
    <row r="112">
      <c r="A112" t="inlineStr">
        <is>
          <t>900007611D8606715689510190637</t>
        </is>
      </c>
      <c r="B112" t="inlineStr">
        <is>
          <t>4600053981-200</t>
        </is>
      </c>
      <c r="C112" t="n">
        <v>4600053981</v>
      </c>
      <c r="D112" t="n">
        <v>200</v>
      </c>
      <c r="E112" t="inlineStr">
        <is>
          <t>MXPO</t>
        </is>
      </c>
      <c r="F112" t="inlineStr">
        <is>
          <t>MXL</t>
        </is>
      </c>
      <c r="G112" t="n">
        <v>900007611</v>
      </c>
      <c r="H112" t="inlineStr">
        <is>
          <t>SF TP-ED-GOMOSA</t>
        </is>
      </c>
      <c r="I112" t="n">
        <v>5083069</v>
      </c>
      <c r="J112" t="inlineStr">
        <is>
          <t>GOMO DESARROLLOS Y MATERIALES S DE</t>
        </is>
      </c>
      <c r="K112" t="inlineStr">
        <is>
          <t>Z09</t>
        </is>
      </c>
      <c r="L112" t="inlineStr">
        <is>
          <t>(AP) 90 Dias</t>
        </is>
      </c>
      <c r="M112" t="n">
        <v>10190637</v>
      </c>
      <c r="N112" t="inlineStr">
        <is>
          <t>GRAVA CLASIFICADA RIOLITA 20 MM (3/4")</t>
        </is>
      </c>
      <c r="O112" t="inlineStr">
        <is>
          <t>D860</t>
        </is>
      </c>
      <c r="P112" t="inlineStr">
        <is>
          <t>MX-CED. HERMOSILLO</t>
        </is>
      </c>
      <c r="Q112" t="n">
        <v>20220512</v>
      </c>
      <c r="R112" t="n">
        <v>20291231</v>
      </c>
      <c r="S112" t="n">
        <v>20230628</v>
      </c>
      <c r="T112" t="n">
        <v>20281231</v>
      </c>
      <c r="U112" t="n">
        <v>190</v>
      </c>
      <c r="V112" t="inlineStr">
        <is>
          <t>MXN</t>
        </is>
      </c>
      <c r="W112" t="inlineStr">
        <is>
          <t>M3</t>
        </is>
      </c>
      <c r="X112" t="n">
        <v>80</v>
      </c>
      <c r="Y112" t="inlineStr">
        <is>
          <t>MXN</t>
        </is>
      </c>
      <c r="Z112" t="inlineStr">
        <is>
          <t>M3</t>
        </is>
      </c>
      <c r="AA112" t="inlineStr">
        <is>
          <t>67156895</t>
        </is>
      </c>
      <c r="AB112" t="inlineStr">
        <is>
          <t>SC QUIROGA AGREGADO</t>
        </is>
      </c>
      <c r="AC112" t="n">
        <v>56103637</v>
      </c>
      <c r="AD112" t="n">
        <v>6622501540</v>
      </c>
      <c r="AE112" t="n">
        <v>4</v>
      </c>
      <c r="AF112" t="inlineStr">
        <is>
          <t>ENTREGA DIRECTA</t>
        </is>
      </c>
      <c r="AG112" t="n">
        <v>1.445</v>
      </c>
      <c r="AH112" t="inlineStr">
        <is>
          <t>M3</t>
        </is>
      </c>
      <c r="AI112" t="inlineStr">
        <is>
          <t>X</t>
        </is>
      </c>
      <c r="AJ112" t="n">
        <v>4</v>
      </c>
      <c r="AK112" t="inlineStr">
        <is>
          <t>V4</t>
        </is>
      </c>
      <c r="AL112" t="n">
        <v>20230920</v>
      </c>
      <c r="AM112" t="inlineStr">
        <is>
          <t>D860-900007611-67156895-10190637-4</t>
        </is>
      </c>
    </row>
    <row r="113">
      <c r="A113" t="inlineStr">
        <is>
          <t>900005572D8606654082210052405</t>
        </is>
      </c>
      <c r="B113" t="inlineStr">
        <is>
          <t>4600041494-160</t>
        </is>
      </c>
      <c r="C113" t="n">
        <v>4600041494</v>
      </c>
      <c r="D113" t="n">
        <v>160</v>
      </c>
      <c r="E113" t="inlineStr">
        <is>
          <t>MXPO</t>
        </is>
      </c>
      <c r="F113" t="inlineStr">
        <is>
          <t>MXL</t>
        </is>
      </c>
      <c r="G113" t="n">
        <v>900005572</v>
      </c>
      <c r="H113" t="inlineStr">
        <is>
          <t>TP- ED- PROPESO</t>
        </is>
      </c>
      <c r="I113" t="n">
        <v>5001601</v>
      </c>
      <c r="J113" t="inlineStr">
        <is>
          <t>PRODUCTOS PETREOS DE SONORA SA DE</t>
        </is>
      </c>
      <c r="K113" t="inlineStr">
        <is>
          <t>Z03</t>
        </is>
      </c>
      <c r="L113" t="inlineStr">
        <is>
          <t>(AP) 15 Dias</t>
        </is>
      </c>
      <c r="M113" t="n">
        <v>10052405</v>
      </c>
      <c r="N113" t="inlineStr">
        <is>
          <t>Grava Riolita 40 MM (1 1/2")</t>
        </is>
      </c>
      <c r="O113" t="inlineStr">
        <is>
          <t>D860</t>
        </is>
      </c>
      <c r="P113" t="inlineStr">
        <is>
          <t>MX-CED. HERMOSILLO</t>
        </is>
      </c>
      <c r="Q113" t="n">
        <v>20180308</v>
      </c>
      <c r="R113" t="n">
        <v>20281231</v>
      </c>
      <c r="S113" t="n">
        <v>20180606</v>
      </c>
      <c r="T113" t="n">
        <v>20241231</v>
      </c>
      <c r="U113" t="n">
        <v>140</v>
      </c>
      <c r="V113" t="inlineStr">
        <is>
          <t>MXN</t>
        </is>
      </c>
      <c r="W113" t="inlineStr">
        <is>
          <t>M3</t>
        </is>
      </c>
      <c r="X113" t="n">
        <v>40</v>
      </c>
      <c r="Y113" t="inlineStr">
        <is>
          <t>MXN</t>
        </is>
      </c>
      <c r="Z113" t="inlineStr">
        <is>
          <t>M3</t>
        </is>
      </c>
      <c r="AA113" t="inlineStr">
        <is>
          <t>66540822</t>
        </is>
      </c>
      <c r="AB113" t="inlineStr">
        <is>
          <t>ALTA CALIDAD EN CONCRETOS PLANTA</t>
        </is>
      </c>
      <c r="AC113" t="n">
        <v>56103637</v>
      </c>
      <c r="AD113" t="n">
        <v>6622501540</v>
      </c>
      <c r="AE113" t="n">
        <v>4</v>
      </c>
      <c r="AF113" t="inlineStr">
        <is>
          <t>ENTREGA DIRECTA</t>
        </is>
      </c>
      <c r="AG113" t="n">
        <v>1.48</v>
      </c>
      <c r="AH113" t="inlineStr">
        <is>
          <t>M3</t>
        </is>
      </c>
      <c r="AI113" t="inlineStr">
        <is>
          <t>X</t>
        </is>
      </c>
      <c r="AJ113" t="n">
        <v>4</v>
      </c>
      <c r="AK113" t="inlineStr">
        <is>
          <t>V4</t>
        </is>
      </c>
      <c r="AL113" t="n">
        <v>20230920</v>
      </c>
      <c r="AM113" t="inlineStr">
        <is>
          <t>D860-900005572-66540822-10052405-4</t>
        </is>
      </c>
    </row>
    <row r="114">
      <c r="A114" t="inlineStr">
        <is>
          <t>900007611D8606715473210052407</t>
        </is>
      </c>
      <c r="B114" t="inlineStr">
        <is>
          <t>4600053981-260</t>
        </is>
      </c>
      <c r="C114" t="n">
        <v>4600053981</v>
      </c>
      <c r="D114" t="n">
        <v>260</v>
      </c>
      <c r="E114" t="inlineStr">
        <is>
          <t>MXPO</t>
        </is>
      </c>
      <c r="F114" t="inlineStr">
        <is>
          <t>MXL</t>
        </is>
      </c>
      <c r="G114" t="n">
        <v>900007611</v>
      </c>
      <c r="H114" t="inlineStr">
        <is>
          <t>SF TP-ED-GOMOSA</t>
        </is>
      </c>
      <c r="I114" t="n">
        <v>5083069</v>
      </c>
      <c r="J114" t="inlineStr">
        <is>
          <t>GOMO DESARROLLOS Y MATERIALES S DE</t>
        </is>
      </c>
      <c r="K114" t="inlineStr">
        <is>
          <t>Z09</t>
        </is>
      </c>
      <c r="L114" t="inlineStr">
        <is>
          <t>(AP) 90 Dias</t>
        </is>
      </c>
      <c r="M114" t="n">
        <v>10052407</v>
      </c>
      <c r="N114" t="inlineStr">
        <is>
          <t>Arena Triturada Rio Malla 4</t>
        </is>
      </c>
      <c r="O114" t="inlineStr">
        <is>
          <t>D860</t>
        </is>
      </c>
      <c r="P114" t="inlineStr">
        <is>
          <t>MX-CED. HERMOSILLO</t>
        </is>
      </c>
      <c r="Q114" t="n">
        <v>20220512</v>
      </c>
      <c r="R114" t="n">
        <v>20291231</v>
      </c>
      <c r="S114" t="n">
        <v>20230818</v>
      </c>
      <c r="T114" t="n">
        <v>20281231</v>
      </c>
      <c r="U114" t="n">
        <v>180</v>
      </c>
      <c r="V114" t="inlineStr">
        <is>
          <t>MXN</t>
        </is>
      </c>
      <c r="W114" t="inlineStr">
        <is>
          <t>M3</t>
        </is>
      </c>
      <c r="X114" t="n">
        <v>80</v>
      </c>
      <c r="Y114" t="inlineStr">
        <is>
          <t>MXN</t>
        </is>
      </c>
      <c r="Z114" t="inlineStr">
        <is>
          <t>M3</t>
        </is>
      </c>
      <c r="AA114" t="inlineStr">
        <is>
          <t>67154732</t>
        </is>
      </c>
      <c r="AB114" t="inlineStr">
        <is>
          <t>SAMS QUIROGA AGREGADO (IGCO)</t>
        </is>
      </c>
      <c r="AC114" t="n">
        <v>56103638</v>
      </c>
      <c r="AD114" t="n">
        <v>6622501540</v>
      </c>
      <c r="AE114" t="n">
        <v>4</v>
      </c>
      <c r="AF114" t="inlineStr">
        <is>
          <t>ENTREGA DIRECTA</t>
        </is>
      </c>
      <c r="AG114" t="n">
        <v>1.51</v>
      </c>
      <c r="AH114" t="inlineStr">
        <is>
          <t>M3</t>
        </is>
      </c>
      <c r="AI114" t="inlineStr">
        <is>
          <t>X</t>
        </is>
      </c>
      <c r="AJ114" t="n">
        <v>4</v>
      </c>
      <c r="AK114" t="inlineStr">
        <is>
          <t>V4</t>
        </is>
      </c>
      <c r="AL114" t="n">
        <v>20230920</v>
      </c>
      <c r="AM114" t="inlineStr">
        <is>
          <t>D860-900007611-67154732-10052407-4</t>
        </is>
      </c>
    </row>
    <row r="115">
      <c r="A115" t="inlineStr">
        <is>
          <t>900007611D8606715473210190772</t>
        </is>
      </c>
      <c r="B115" t="inlineStr">
        <is>
          <t>4600053981-280</t>
        </is>
      </c>
      <c r="C115" t="n">
        <v>4600053981</v>
      </c>
      <c r="D115" t="n">
        <v>280</v>
      </c>
      <c r="E115" t="inlineStr">
        <is>
          <t>MXPO</t>
        </is>
      </c>
      <c r="F115" t="inlineStr">
        <is>
          <t>MXL</t>
        </is>
      </c>
      <c r="G115" t="n">
        <v>900007611</v>
      </c>
      <c r="H115" t="inlineStr">
        <is>
          <t>SF TP-ED-GOMOSA</t>
        </is>
      </c>
      <c r="I115" t="n">
        <v>5083069</v>
      </c>
      <c r="J115" t="inlineStr">
        <is>
          <t>GOMO DESARROLLOS Y MATERIALES S DE</t>
        </is>
      </c>
      <c r="K115" t="inlineStr">
        <is>
          <t>Z09</t>
        </is>
      </c>
      <c r="L115" t="inlineStr">
        <is>
          <t>(AP) 90 Dias</t>
        </is>
      </c>
      <c r="M115" t="n">
        <v>10190772</v>
      </c>
      <c r="N115" t="inlineStr">
        <is>
          <t>MATERIAL DE EXTRACCION DE BANCO</t>
        </is>
      </c>
      <c r="O115" t="inlineStr">
        <is>
          <t>D860</t>
        </is>
      </c>
      <c r="P115" t="inlineStr">
        <is>
          <t>MX-CED. HERMOSILLO</t>
        </is>
      </c>
      <c r="Q115" t="n">
        <v>20220512</v>
      </c>
      <c r="R115" t="n">
        <v>20291231</v>
      </c>
      <c r="S115" t="n">
        <v>20230818</v>
      </c>
      <c r="T115" t="n">
        <v>20281231</v>
      </c>
      <c r="U115" t="n">
        <v>140</v>
      </c>
      <c r="V115" t="inlineStr">
        <is>
          <t>MXN</t>
        </is>
      </c>
      <c r="W115" t="inlineStr">
        <is>
          <t>M3</t>
        </is>
      </c>
      <c r="X115" t="n">
        <v>80</v>
      </c>
      <c r="Y115" t="inlineStr">
        <is>
          <t>MXN</t>
        </is>
      </c>
      <c r="Z115" t="inlineStr">
        <is>
          <t>M3</t>
        </is>
      </c>
      <c r="AA115" t="inlineStr">
        <is>
          <t>67154732</t>
        </is>
      </c>
      <c r="AB115" t="inlineStr">
        <is>
          <t>SAMS QUIROGA AGREGADO (IGCO)</t>
        </is>
      </c>
      <c r="AC115" t="n">
        <v>56103636</v>
      </c>
      <c r="AD115" t="n">
        <v>6622501867</v>
      </c>
      <c r="AE115" t="n">
        <v>4</v>
      </c>
      <c r="AF115" t="inlineStr">
        <is>
          <t>ENTREGA DIRECTA</t>
        </is>
      </c>
      <c r="AG115" t="n">
        <v>1.5</v>
      </c>
      <c r="AH115" t="inlineStr">
        <is>
          <t>M3</t>
        </is>
      </c>
      <c r="AI115" t="inlineStr">
        <is>
          <t>X</t>
        </is>
      </c>
      <c r="AJ115" t="n">
        <v>4</v>
      </c>
      <c r="AK115" t="inlineStr">
        <is>
          <t>V4</t>
        </is>
      </c>
      <c r="AL115" t="n">
        <v>20230920</v>
      </c>
      <c r="AM115" t="inlineStr">
        <is>
          <t>D860-900007611-67154732-10190772-4</t>
        </is>
      </c>
    </row>
    <row r="116">
      <c r="A116" t="inlineStr">
        <is>
          <t>900007611D8606715689510190772</t>
        </is>
      </c>
      <c r="B116" t="inlineStr">
        <is>
          <t>4600053981-210</t>
        </is>
      </c>
      <c r="C116" t="n">
        <v>4600053981</v>
      </c>
      <c r="D116" t="n">
        <v>210</v>
      </c>
      <c r="E116" t="inlineStr">
        <is>
          <t>MXPO</t>
        </is>
      </c>
      <c r="F116" t="inlineStr">
        <is>
          <t>MXL</t>
        </is>
      </c>
      <c r="G116" t="n">
        <v>900007611</v>
      </c>
      <c r="H116" t="inlineStr">
        <is>
          <t>SF TP-ED-GOMOSA</t>
        </is>
      </c>
      <c r="I116" t="n">
        <v>5083069</v>
      </c>
      <c r="J116" t="inlineStr">
        <is>
          <t>GOMO DESARROLLOS Y MATERIALES S DE</t>
        </is>
      </c>
      <c r="K116" t="inlineStr">
        <is>
          <t>Z09</t>
        </is>
      </c>
      <c r="L116" t="inlineStr">
        <is>
          <t>(AP) 90 Dias</t>
        </is>
      </c>
      <c r="M116" t="n">
        <v>10190772</v>
      </c>
      <c r="N116" t="inlineStr">
        <is>
          <t>MATERIAL DE EXTRACCION DE BANCO</t>
        </is>
      </c>
      <c r="O116" t="inlineStr">
        <is>
          <t>D860</t>
        </is>
      </c>
      <c r="P116" t="inlineStr">
        <is>
          <t>MX-CED. HERMOSILLO</t>
        </is>
      </c>
      <c r="Q116" t="n">
        <v>20220512</v>
      </c>
      <c r="R116" t="n">
        <v>20291231</v>
      </c>
      <c r="S116" t="n">
        <v>20230628</v>
      </c>
      <c r="T116" t="n">
        <v>20291231</v>
      </c>
      <c r="U116" t="n">
        <v>140</v>
      </c>
      <c r="V116" t="inlineStr">
        <is>
          <t>MXN</t>
        </is>
      </c>
      <c r="W116" t="inlineStr">
        <is>
          <t>M3</t>
        </is>
      </c>
      <c r="X116" t="n">
        <v>80</v>
      </c>
      <c r="Y116" t="inlineStr">
        <is>
          <t>MXN</t>
        </is>
      </c>
      <c r="Z116" t="inlineStr">
        <is>
          <t>M3</t>
        </is>
      </c>
      <c r="AA116" t="inlineStr">
        <is>
          <t>67156895</t>
        </is>
      </c>
      <c r="AB116" t="inlineStr">
        <is>
          <t>SC QUIROGA AGREGADO</t>
        </is>
      </c>
      <c r="AC116" t="n">
        <v>56103636</v>
      </c>
      <c r="AD116" t="n">
        <v>6622501867</v>
      </c>
      <c r="AE116" t="n">
        <v>4</v>
      </c>
      <c r="AF116" t="inlineStr">
        <is>
          <t>ENTREGA DIRECTA</t>
        </is>
      </c>
      <c r="AG116" t="n">
        <v>1.5</v>
      </c>
      <c r="AH116" t="inlineStr">
        <is>
          <t>M3</t>
        </is>
      </c>
      <c r="AI116" t="inlineStr">
        <is>
          <t>X</t>
        </is>
      </c>
      <c r="AJ116" t="n">
        <v>4</v>
      </c>
      <c r="AK116" t="inlineStr">
        <is>
          <t>V4</t>
        </is>
      </c>
      <c r="AL116" t="n">
        <v>20240610</v>
      </c>
      <c r="AM116" t="inlineStr">
        <is>
          <t>D860-900007611-67156895-10190772-4</t>
        </is>
      </c>
    </row>
    <row r="117">
      <c r="A117" t="inlineStr">
        <is>
          <t>900007611D8606695418310052402</t>
        </is>
      </c>
      <c r="B117" t="inlineStr">
        <is>
          <t>4600053981-170</t>
        </is>
      </c>
      <c r="C117" t="n">
        <v>4600053981</v>
      </c>
      <c r="D117" t="n">
        <v>170</v>
      </c>
      <c r="E117" t="inlineStr">
        <is>
          <t>MXPO</t>
        </is>
      </c>
      <c r="F117" t="inlineStr">
        <is>
          <t>MXL</t>
        </is>
      </c>
      <c r="G117" t="n">
        <v>900007611</v>
      </c>
      <c r="H117" t="inlineStr">
        <is>
          <t>SF TP-ED-GOMOSA</t>
        </is>
      </c>
      <c r="I117" t="n">
        <v>5083069</v>
      </c>
      <c r="J117" t="inlineStr">
        <is>
          <t>GOMO DESARROLLOS Y MATERIALES S DE</t>
        </is>
      </c>
      <c r="K117" t="inlineStr">
        <is>
          <t>Z09</t>
        </is>
      </c>
      <c r="L117" t="inlineStr">
        <is>
          <t>(AP) 90 Dias</t>
        </is>
      </c>
      <c r="M117" t="n">
        <v>10052402</v>
      </c>
      <c r="N117" t="inlineStr">
        <is>
          <t>Grava Riolita 10 MM (3/8")</t>
        </is>
      </c>
      <c r="O117" t="inlineStr">
        <is>
          <t>D860</t>
        </is>
      </c>
      <c r="P117" t="inlineStr">
        <is>
          <t>MX-CED. HERMOSILLO</t>
        </is>
      </c>
      <c r="Q117" t="n">
        <v>20220512</v>
      </c>
      <c r="R117" t="n">
        <v>20291231</v>
      </c>
      <c r="S117" t="n">
        <v>20220820</v>
      </c>
      <c r="T117" t="n">
        <v>20271231</v>
      </c>
      <c r="U117" t="n">
        <v>210</v>
      </c>
      <c r="V117" t="inlineStr">
        <is>
          <t>MXN</t>
        </is>
      </c>
      <c r="W117" t="inlineStr">
        <is>
          <t>M3</t>
        </is>
      </c>
      <c r="X117" t="n">
        <v>70</v>
      </c>
      <c r="Y117" t="inlineStr">
        <is>
          <t>MXN</t>
        </is>
      </c>
      <c r="Z117" t="inlineStr">
        <is>
          <t>M3</t>
        </is>
      </c>
      <c r="AA117" t="inlineStr">
        <is>
          <t>66954183</t>
        </is>
      </c>
      <c r="AB117" t="inlineStr">
        <is>
          <t>QUALITY BLOCK 26 HMO</t>
        </is>
      </c>
      <c r="AC117" t="n">
        <v>56103637</v>
      </c>
      <c r="AD117" t="n">
        <v>6622501540</v>
      </c>
      <c r="AE117" t="n">
        <v>4</v>
      </c>
      <c r="AF117" t="inlineStr">
        <is>
          <t>ENTREGA DIRECTA</t>
        </is>
      </c>
      <c r="AG117" t="n">
        <v>1.52</v>
      </c>
      <c r="AH117" t="inlineStr">
        <is>
          <t>M3</t>
        </is>
      </c>
      <c r="AI117" t="inlineStr">
        <is>
          <t>X</t>
        </is>
      </c>
      <c r="AJ117" t="n">
        <v>4</v>
      </c>
      <c r="AK117" t="inlineStr">
        <is>
          <t>V4</t>
        </is>
      </c>
      <c r="AL117" t="n">
        <v>20230920</v>
      </c>
      <c r="AM117" t="inlineStr">
        <is>
          <t>D860-900007611-66954183-10052402-4</t>
        </is>
      </c>
    </row>
    <row r="118">
      <c r="A118" t="inlineStr">
        <is>
          <t>900007611D8606706648610152920</t>
        </is>
      </c>
      <c r="B118" t="inlineStr">
        <is>
          <t>4600053981-80</t>
        </is>
      </c>
      <c r="C118" t="n">
        <v>4600053981</v>
      </c>
      <c r="D118" t="n">
        <v>80</v>
      </c>
      <c r="E118" t="inlineStr">
        <is>
          <t>MXPO</t>
        </is>
      </c>
      <c r="F118" t="inlineStr">
        <is>
          <t>MXL</t>
        </is>
      </c>
      <c r="G118" t="n">
        <v>900007611</v>
      </c>
      <c r="H118" t="inlineStr">
        <is>
          <t>SF TP-ED-GOMOSA</t>
        </is>
      </c>
      <c r="I118" t="n">
        <v>5083069</v>
      </c>
      <c r="J118" t="inlineStr">
        <is>
          <t>GOMO DESARROLLOS Y MATERIALES S DE</t>
        </is>
      </c>
      <c r="K118" t="inlineStr">
        <is>
          <t>Z09</t>
        </is>
      </c>
      <c r="L118" t="inlineStr">
        <is>
          <t>(AP) 90 Dias</t>
        </is>
      </c>
      <c r="M118" t="n">
        <v>10152920</v>
      </c>
      <c r="N118" t="inlineStr">
        <is>
          <t>POLVO TRITURADO GRANITO</t>
        </is>
      </c>
      <c r="O118" t="inlineStr">
        <is>
          <t>D860</t>
        </is>
      </c>
      <c r="P118" t="inlineStr">
        <is>
          <t>MX-CED. HERMOSILLO</t>
        </is>
      </c>
      <c r="Q118" t="n">
        <v>20220512</v>
      </c>
      <c r="R118" t="n">
        <v>20291231</v>
      </c>
      <c r="S118" t="n">
        <v>20220727</v>
      </c>
      <c r="T118" t="n">
        <v>20271231</v>
      </c>
      <c r="U118" t="n">
        <v>190</v>
      </c>
      <c r="V118" t="inlineStr">
        <is>
          <t>MXN</t>
        </is>
      </c>
      <c r="W118" t="inlineStr">
        <is>
          <t>M3</t>
        </is>
      </c>
      <c r="X118" t="n">
        <v>75</v>
      </c>
      <c r="Y118" t="inlineStr">
        <is>
          <t>MXN</t>
        </is>
      </c>
      <c r="Z118" t="inlineStr">
        <is>
          <t>M3</t>
        </is>
      </c>
      <c r="AA118" t="inlineStr">
        <is>
          <t>67066486</t>
        </is>
      </c>
      <c r="AB118" t="inlineStr">
        <is>
          <t>(PALLM) Vialidades Hermosillo Norte</t>
        </is>
      </c>
      <c r="AC118" t="n">
        <v>56103591</v>
      </c>
      <c r="AD118" t="n">
        <v>6622501540</v>
      </c>
      <c r="AE118" t="n">
        <v>4</v>
      </c>
      <c r="AF118" t="inlineStr">
        <is>
          <t>ENTREGA DIRECTA</t>
        </is>
      </c>
      <c r="AG118" t="n">
        <v>1.615</v>
      </c>
      <c r="AH118" t="inlineStr">
        <is>
          <t>M3</t>
        </is>
      </c>
      <c r="AI118" t="inlineStr">
        <is>
          <t>X</t>
        </is>
      </c>
      <c r="AJ118" t="n">
        <v>4</v>
      </c>
      <c r="AK118" t="inlineStr">
        <is>
          <t>V4</t>
        </is>
      </c>
      <c r="AL118" t="n">
        <v>20230920</v>
      </c>
      <c r="AM118" t="inlineStr">
        <is>
          <t>D860-900007611-67066486-10152920-4</t>
        </is>
      </c>
    </row>
    <row r="119">
      <c r="A119" t="inlineStr">
        <is>
          <t>900005572D8606689613610052405</t>
        </is>
      </c>
      <c r="B119" t="inlineStr">
        <is>
          <t>4600041494-390</t>
        </is>
      </c>
      <c r="C119" t="n">
        <v>4600041494</v>
      </c>
      <c r="D119" t="n">
        <v>390</v>
      </c>
      <c r="E119" t="inlineStr">
        <is>
          <t>MXPO</t>
        </is>
      </c>
      <c r="F119" t="inlineStr">
        <is>
          <t>MXL</t>
        </is>
      </c>
      <c r="G119" t="n">
        <v>900005572</v>
      </c>
      <c r="H119" t="inlineStr">
        <is>
          <t>TP- ED- PROPESO</t>
        </is>
      </c>
      <c r="I119" t="n">
        <v>5001601</v>
      </c>
      <c r="J119" t="inlineStr">
        <is>
          <t>PRODUCTOS PETREOS DE SONORA SA DE</t>
        </is>
      </c>
      <c r="K119" t="inlineStr">
        <is>
          <t>Z03</t>
        </is>
      </c>
      <c r="L119" t="inlineStr">
        <is>
          <t>(AP) 15 Dias</t>
        </is>
      </c>
      <c r="M119" t="n">
        <v>10052405</v>
      </c>
      <c r="N119" t="inlineStr">
        <is>
          <t>Grava Riolita 40 MM (1 1/2")</t>
        </is>
      </c>
      <c r="O119" t="inlineStr">
        <is>
          <t>D860</t>
        </is>
      </c>
      <c r="P119" t="inlineStr">
        <is>
          <t>MX-CED. HERMOSILLO</t>
        </is>
      </c>
      <c r="Q119" t="n">
        <v>20180308</v>
      </c>
      <c r="R119" t="n">
        <v>20281231</v>
      </c>
      <c r="S119" t="n">
        <v>20180308</v>
      </c>
      <c r="T119" t="n">
        <v>20281231</v>
      </c>
      <c r="U119" t="n">
        <v>242.94</v>
      </c>
      <c r="V119" t="inlineStr">
        <is>
          <t>MXN</t>
        </is>
      </c>
      <c r="W119" t="inlineStr">
        <is>
          <t>M3</t>
        </is>
      </c>
      <c r="X119" t="n">
        <v>0</v>
      </c>
      <c r="Y119" t="inlineStr">
        <is>
          <t>MXN</t>
        </is>
      </c>
      <c r="Z119" t="inlineStr">
        <is>
          <t>M3</t>
        </is>
      </c>
      <c r="AA119" t="inlineStr">
        <is>
          <t>66896136</t>
        </is>
      </c>
      <c r="AB119" t="inlineStr">
        <is>
          <t>MEZTA CORPORATIVO HERMOSILLO (AGG)</t>
        </is>
      </c>
      <c r="AC119" t="n">
        <v>56103637</v>
      </c>
      <c r="AD119" t="n">
        <v>6622501540</v>
      </c>
      <c r="AE119" t="n">
        <v>4</v>
      </c>
      <c r="AF119" t="inlineStr">
        <is>
          <t>ENTREGA DIRECTA</t>
        </is>
      </c>
      <c r="AG119" t="n">
        <v>1.48</v>
      </c>
      <c r="AH119" t="inlineStr">
        <is>
          <t>M3</t>
        </is>
      </c>
      <c r="AI119" t="inlineStr">
        <is>
          <t>X</t>
        </is>
      </c>
      <c r="AJ119" t="n">
        <v>4</v>
      </c>
      <c r="AK119" t="inlineStr">
        <is>
          <t>V4</t>
        </is>
      </c>
      <c r="AL119" t="n">
        <v>20230920</v>
      </c>
      <c r="AM119" t="inlineStr">
        <is>
          <t>D860-900005572-66896136-10052405-4</t>
        </is>
      </c>
    </row>
    <row r="120">
      <c r="A120" t="inlineStr">
        <is>
          <t>900007612D86010052405</t>
        </is>
      </c>
      <c r="B120" t="inlineStr">
        <is>
          <t>4600053982-90</t>
        </is>
      </c>
      <c r="C120" t="n">
        <v>4600053982</v>
      </c>
      <c r="D120" t="n">
        <v>90</v>
      </c>
      <c r="E120" t="inlineStr">
        <is>
          <t>MXPO</t>
        </is>
      </c>
      <c r="F120" t="inlineStr">
        <is>
          <t>MXL</t>
        </is>
      </c>
      <c r="G120" t="n">
        <v>900007612</v>
      </c>
      <c r="H120" t="inlineStr">
        <is>
          <t>SF TP-GOMOSA</t>
        </is>
      </c>
      <c r="I120" t="n">
        <v>5083069</v>
      </c>
      <c r="J120" t="inlineStr">
        <is>
          <t>GOMO DESARROLLOS Y MATERIALES S DE</t>
        </is>
      </c>
      <c r="K120" t="inlineStr">
        <is>
          <t>Z09</t>
        </is>
      </c>
      <c r="L120" t="inlineStr">
        <is>
          <t>(AP) 90 Dias</t>
        </is>
      </c>
      <c r="M120" t="n">
        <v>10052405</v>
      </c>
      <c r="N120" t="inlineStr">
        <is>
          <t>Grava Riolita 40 MM (1 1/2")</t>
        </is>
      </c>
      <c r="O120" t="inlineStr">
        <is>
          <t>D860</t>
        </is>
      </c>
      <c r="P120" t="inlineStr">
        <is>
          <t>MX-CED. HERMOSILLO</t>
        </is>
      </c>
      <c r="Q120" t="n">
        <v>20220512</v>
      </c>
      <c r="R120" t="n">
        <v>20291231</v>
      </c>
      <c r="S120" t="n">
        <v>20240527</v>
      </c>
      <c r="T120" t="n">
        <v>20291231</v>
      </c>
      <c r="U120" t="n">
        <v>120</v>
      </c>
      <c r="V120" t="inlineStr">
        <is>
          <t>MXN</t>
        </is>
      </c>
      <c r="W120" t="inlineStr">
        <is>
          <t>M3</t>
        </is>
      </c>
      <c r="X120" t="n">
        <v>0</v>
      </c>
      <c r="Y120" t="inlineStr">
        <is>
          <t>MXN</t>
        </is>
      </c>
      <c r="Z120" t="inlineStr">
        <is>
          <t>M3</t>
        </is>
      </c>
      <c r="AC120" t="n">
        <v>56103637</v>
      </c>
      <c r="AD120" t="n">
        <v>6622501540</v>
      </c>
      <c r="AE120" t="n">
        <v>1</v>
      </c>
      <c r="AF120" t="inlineStr">
        <is>
          <t>ENTREGADO</t>
        </is>
      </c>
      <c r="AG120" t="n">
        <v>1.48</v>
      </c>
      <c r="AH120" t="inlineStr">
        <is>
          <t>M3</t>
        </is>
      </c>
      <c r="AI120" t="inlineStr">
        <is>
          <t>X</t>
        </is>
      </c>
      <c r="AJ120" t="n">
        <v>4</v>
      </c>
      <c r="AK120" t="inlineStr">
        <is>
          <t>V4</t>
        </is>
      </c>
      <c r="AL120" t="n">
        <v>20240603</v>
      </c>
      <c r="AM120" t="inlineStr">
        <is>
          <t>D860-900007612-10052405</t>
        </is>
      </c>
    </row>
    <row r="121">
      <c r="A121" t="inlineStr">
        <is>
          <t>900007612D86010052402</t>
        </is>
      </c>
      <c r="B121" t="inlineStr">
        <is>
          <t>4600053982-20</t>
        </is>
      </c>
      <c r="C121" t="n">
        <v>4600053982</v>
      </c>
      <c r="D121" t="n">
        <v>20</v>
      </c>
      <c r="E121" t="inlineStr">
        <is>
          <t>MXPO</t>
        </is>
      </c>
      <c r="F121" t="inlineStr">
        <is>
          <t>MXL</t>
        </is>
      </c>
      <c r="G121" t="n">
        <v>900007612</v>
      </c>
      <c r="H121" t="inlineStr">
        <is>
          <t>SF TP-GOMOSA</t>
        </is>
      </c>
      <c r="I121" t="n">
        <v>5083069</v>
      </c>
      <c r="J121" t="inlineStr">
        <is>
          <t>GOMO DESARROLLOS Y MATERIALES S DE</t>
        </is>
      </c>
      <c r="K121" t="inlineStr">
        <is>
          <t>Z09</t>
        </is>
      </c>
      <c r="L121" t="inlineStr">
        <is>
          <t>(AP) 90 Dias</t>
        </is>
      </c>
      <c r="M121" t="n">
        <v>10052402</v>
      </c>
      <c r="N121" t="inlineStr">
        <is>
          <t>Grava Riolita 10 MM (3/8")</t>
        </is>
      </c>
      <c r="O121" t="inlineStr">
        <is>
          <t>D860</t>
        </is>
      </c>
      <c r="P121" t="inlineStr">
        <is>
          <t>MX-CED. HERMOSILLO</t>
        </is>
      </c>
      <c r="Q121" t="n">
        <v>20220512</v>
      </c>
      <c r="R121" t="n">
        <v>20291231</v>
      </c>
      <c r="S121" t="n">
        <v>20240527</v>
      </c>
      <c r="T121" t="n">
        <v>20291231</v>
      </c>
      <c r="U121" t="n">
        <v>129</v>
      </c>
      <c r="V121" t="inlineStr">
        <is>
          <t>MXN</t>
        </is>
      </c>
      <c r="W121" t="inlineStr">
        <is>
          <t>M3</t>
        </is>
      </c>
      <c r="X121" t="n">
        <v>0</v>
      </c>
      <c r="Y121" t="inlineStr">
        <is>
          <t>MXN</t>
        </is>
      </c>
      <c r="Z121" t="inlineStr">
        <is>
          <t>M3</t>
        </is>
      </c>
      <c r="AC121" t="n">
        <v>56103637</v>
      </c>
      <c r="AD121" t="n">
        <v>6622501540</v>
      </c>
      <c r="AE121" t="n">
        <v>1</v>
      </c>
      <c r="AF121" t="inlineStr">
        <is>
          <t>ENTREGADO</t>
        </is>
      </c>
      <c r="AG121" t="n">
        <v>1.52</v>
      </c>
      <c r="AH121" t="inlineStr">
        <is>
          <t>M3</t>
        </is>
      </c>
      <c r="AI121" t="inlineStr">
        <is>
          <t>X</t>
        </is>
      </c>
      <c r="AJ121" t="n">
        <v>4</v>
      </c>
      <c r="AK121" t="inlineStr">
        <is>
          <t>V4</t>
        </is>
      </c>
      <c r="AL121" t="n">
        <v>20240603</v>
      </c>
      <c r="AM121" t="inlineStr">
        <is>
          <t>D860-900007612-10052402</t>
        </is>
      </c>
    </row>
    <row r="122">
      <c r="A122" t="inlineStr">
        <is>
          <t>900005572D8606685472210190637</t>
        </is>
      </c>
      <c r="B122" t="inlineStr">
        <is>
          <t>4600041494-610</t>
        </is>
      </c>
      <c r="C122" t="n">
        <v>4600041494</v>
      </c>
      <c r="D122" t="n">
        <v>610</v>
      </c>
      <c r="E122" t="inlineStr">
        <is>
          <t>MXPO</t>
        </is>
      </c>
      <c r="F122" t="inlineStr">
        <is>
          <t>MXL</t>
        </is>
      </c>
      <c r="G122" t="n">
        <v>900005572</v>
      </c>
      <c r="H122" t="inlineStr">
        <is>
          <t>TP- ED- PROPESO</t>
        </is>
      </c>
      <c r="I122" t="n">
        <v>5001601</v>
      </c>
      <c r="J122" t="inlineStr">
        <is>
          <t>PRODUCTOS PETREOS DE SONORA SA DE</t>
        </is>
      </c>
      <c r="K122" t="inlineStr">
        <is>
          <t>Z03</t>
        </is>
      </c>
      <c r="L122" t="inlineStr">
        <is>
          <t>(AP) 15 Dias</t>
        </is>
      </c>
      <c r="M122" t="n">
        <v>10190637</v>
      </c>
      <c r="N122" t="inlineStr">
        <is>
          <t>GRAVA CLASIFICADA RIOLITA 20 MM (3/4")</t>
        </is>
      </c>
      <c r="O122" t="inlineStr">
        <is>
          <t>D860</t>
        </is>
      </c>
      <c r="P122" t="inlineStr">
        <is>
          <t>MX-CED. HERMOSILLO</t>
        </is>
      </c>
      <c r="Q122" t="n">
        <v>20180308</v>
      </c>
      <c r="R122" t="n">
        <v>20281231</v>
      </c>
      <c r="U122" t="n">
        <v>243</v>
      </c>
      <c r="V122" t="inlineStr">
        <is>
          <t>MXN</t>
        </is>
      </c>
      <c r="W122" t="inlineStr">
        <is>
          <t>M3</t>
        </is>
      </c>
      <c r="AA122" t="inlineStr">
        <is>
          <t>66854722</t>
        </is>
      </c>
      <c r="AB122" t="inlineStr">
        <is>
          <t>VT02402-CP-I OBRA VENTURA</t>
        </is>
      </c>
      <c r="AC122" t="n">
        <v>56103637</v>
      </c>
      <c r="AD122" t="n">
        <v>6622501540</v>
      </c>
      <c r="AE122" t="n">
        <v>4</v>
      </c>
      <c r="AF122" t="inlineStr">
        <is>
          <t>ENTREGA DIRECTA</t>
        </is>
      </c>
      <c r="AG122" t="n">
        <v>1.445</v>
      </c>
      <c r="AH122" t="inlineStr">
        <is>
          <t>M3</t>
        </is>
      </c>
      <c r="AI122" t="inlineStr">
        <is>
          <t>X</t>
        </is>
      </c>
      <c r="AJ122" t="n">
        <v>4</v>
      </c>
      <c r="AK122" t="inlineStr">
        <is>
          <t>V4</t>
        </is>
      </c>
      <c r="AL122" t="n">
        <v>20230920</v>
      </c>
      <c r="AM122" t="inlineStr">
        <is>
          <t>D860-900005572-66854722-10190637-4</t>
        </is>
      </c>
    </row>
    <row r="123">
      <c r="A123" t="inlineStr">
        <is>
          <t>900005572D8606689505710052405</t>
        </is>
      </c>
      <c r="B123" t="inlineStr">
        <is>
          <t>4600041494-450</t>
        </is>
      </c>
      <c r="C123" t="n">
        <v>4600041494</v>
      </c>
      <c r="D123" t="n">
        <v>450</v>
      </c>
      <c r="E123" t="inlineStr">
        <is>
          <t>MXPO</t>
        </is>
      </c>
      <c r="F123" t="inlineStr">
        <is>
          <t>MXL</t>
        </is>
      </c>
      <c r="G123" t="n">
        <v>900005572</v>
      </c>
      <c r="H123" t="inlineStr">
        <is>
          <t>TP- ED- PROPESO</t>
        </is>
      </c>
      <c r="I123" t="n">
        <v>5001601</v>
      </c>
      <c r="J123" t="inlineStr">
        <is>
          <t>PRODUCTOS PETREOS DE SONORA SA DE</t>
        </is>
      </c>
      <c r="K123" t="inlineStr">
        <is>
          <t>Z03</t>
        </is>
      </c>
      <c r="L123" t="inlineStr">
        <is>
          <t>(AP) 15 Dias</t>
        </is>
      </c>
      <c r="M123" t="n">
        <v>10052405</v>
      </c>
      <c r="N123" t="inlineStr">
        <is>
          <t>Grava Riolita 40 MM (1 1/2")</t>
        </is>
      </c>
      <c r="O123" t="inlineStr">
        <is>
          <t>D860</t>
        </is>
      </c>
      <c r="P123" t="inlineStr">
        <is>
          <t>MX-CED. HERMOSILLO</t>
        </is>
      </c>
      <c r="Q123" t="n">
        <v>20180308</v>
      </c>
      <c r="R123" t="n">
        <v>20281231</v>
      </c>
      <c r="U123" t="n">
        <v>213</v>
      </c>
      <c r="V123" t="inlineStr">
        <is>
          <t>MXN</t>
        </is>
      </c>
      <c r="W123" t="inlineStr">
        <is>
          <t>M3</t>
        </is>
      </c>
      <c r="AA123" t="inlineStr">
        <is>
          <t>66895057</t>
        </is>
      </c>
      <c r="AB123" t="inlineStr">
        <is>
          <t>CP-I OBRA AZORE ELIHU (JVM)</t>
        </is>
      </c>
      <c r="AC123" t="n">
        <v>56103637</v>
      </c>
      <c r="AD123" t="n">
        <v>6622501540</v>
      </c>
      <c r="AE123" t="n">
        <v>4</v>
      </c>
      <c r="AF123" t="inlineStr">
        <is>
          <t>ENTREGA DIRECTA</t>
        </is>
      </c>
      <c r="AG123" t="n">
        <v>1.48</v>
      </c>
      <c r="AH123" t="inlineStr">
        <is>
          <t>M3</t>
        </is>
      </c>
      <c r="AI123" t="inlineStr">
        <is>
          <t>X</t>
        </is>
      </c>
      <c r="AJ123" t="n">
        <v>4</v>
      </c>
      <c r="AK123" t="inlineStr">
        <is>
          <t>V4</t>
        </is>
      </c>
      <c r="AL123" t="n">
        <v>20230920</v>
      </c>
      <c r="AM123" t="inlineStr">
        <is>
          <t>D860-900005572-66895057-10052405-4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2026-09-14T14:20:36Z</dcterms:created>
  <dcterms:modified xsi:type="dcterms:W3CDTF">2026-09-14T14:20:36Z</dcterms:modified>
</cp:coreProperties>
</file>