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9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900007345</v>
      </c>
      <c r="D3" s="7">
        <f>IFERROR(VLOOKUP(C3,TRAOPE!$G:$H,2,0),"")</f>
        <v/>
      </c>
      <c r="E3" s="8" t="inlineStr">
        <is>
          <t>D898</t>
        </is>
      </c>
      <c r="F3" s="8" t="inlineStr">
        <is>
          <t>DE81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10154700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20240531</t>
        </is>
      </c>
      <c r="N3" s="10" t="n">
        <v>98.94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900007345</v>
      </c>
      <c r="D4" s="7">
        <f>IFERROR(VLOOKUP(C4,TRAOPE!$G:$H,2,0),"")</f>
        <v/>
      </c>
      <c r="E4" s="8" t="inlineStr">
        <is>
          <t>D898</t>
        </is>
      </c>
      <c r="F4" s="8" t="inlineStr">
        <is>
          <t>DE82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10154700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20240531</t>
        </is>
      </c>
      <c r="N4" s="10" t="n">
        <v>98.94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900007345</v>
      </c>
      <c r="D5" s="7">
        <f>IFERROR(VLOOKUP(C5,TRAOPE!$G:$H,2,0),"")</f>
        <v/>
      </c>
      <c r="E5" s="8" t="inlineStr">
        <is>
          <t>D898</t>
        </is>
      </c>
      <c r="F5" s="8" t="inlineStr">
        <is>
          <t>DE83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10154700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20240531</t>
        </is>
      </c>
      <c r="N5" s="10" t="n">
        <v>98.94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900004896</v>
      </c>
      <c r="D6" s="7">
        <f>IFERROR(VLOOKUP(C6,TRAOPE!$G:$H,2,0),"")</f>
        <v/>
      </c>
      <c r="E6" s="8" t="inlineStr">
        <is>
          <t>D898</t>
        </is>
      </c>
      <c r="F6" s="8" t="inlineStr">
        <is>
          <t>66262957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10127817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20190426</t>
        </is>
      </c>
      <c r="M6" s="8" t="inlineStr">
        <is>
          <t>20250127</t>
        </is>
      </c>
      <c r="N6" s="10" t="n">
        <v>84.73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900004896</v>
      </c>
      <c r="D7" s="7">
        <f>IFERROR(VLOOKUP(C7,TRAOPE!$G:$H,2,0),"")</f>
        <v/>
      </c>
      <c r="E7" s="8" t="inlineStr">
        <is>
          <t>D898</t>
        </is>
      </c>
      <c r="F7" s="8" t="inlineStr">
        <is>
          <t>66263174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10127817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20190426</t>
        </is>
      </c>
      <c r="M7" s="8" t="inlineStr">
        <is>
          <t>20250127</t>
        </is>
      </c>
      <c r="N7" s="10" t="n">
        <v>84.73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900004897</v>
      </c>
      <c r="D8" s="7">
        <f>IFERROR(VLOOKUP(C8,TRAOPE!$G:$H,2,0),"")</f>
        <v/>
      </c>
      <c r="E8" s="8" t="inlineStr">
        <is>
          <t>D898</t>
        </is>
      </c>
      <c r="F8" s="8" t="inlineStr">
        <is>
          <t>65890865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10128599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20190426</t>
        </is>
      </c>
      <c r="M8" s="8" t="inlineStr">
        <is>
          <t>20250127</t>
        </is>
      </c>
      <c r="N8" s="10" t="n">
        <v>137.71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900004897</v>
      </c>
      <c r="D9" s="7">
        <f>IFERROR(VLOOKUP(C9,TRAOPE!$G:$H,2,0),"")</f>
        <v/>
      </c>
      <c r="E9" s="8" t="inlineStr">
        <is>
          <t>D898</t>
        </is>
      </c>
      <c r="F9" s="8" t="inlineStr">
        <is>
          <t>65890865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10128742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20190426</t>
        </is>
      </c>
      <c r="M9" s="8" t="inlineStr">
        <is>
          <t>20250127</t>
        </is>
      </c>
      <c r="N9" s="10" t="n">
        <v>134.71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900004897</v>
      </c>
      <c r="D10" s="7">
        <f>IFERROR(VLOOKUP(C10,TRAOPE!$G:$H,2,0),"")</f>
        <v/>
      </c>
      <c r="E10" s="8" t="inlineStr">
        <is>
          <t>D898</t>
        </is>
      </c>
      <c r="F10" s="8" t="inlineStr">
        <is>
          <t>65890865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10128754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20190426</t>
        </is>
      </c>
      <c r="M10" s="8" t="inlineStr">
        <is>
          <t>20250127</t>
        </is>
      </c>
      <c r="N10" s="10" t="n">
        <v>129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900004897</v>
      </c>
      <c r="D11" s="7">
        <f>IFERROR(VLOOKUP(C11,TRAOPE!$G:$H,2,0),"")</f>
        <v/>
      </c>
      <c r="E11" s="8" t="inlineStr">
        <is>
          <t>D898</t>
        </is>
      </c>
      <c r="F11" s="8" t="inlineStr">
        <is>
          <t>66424253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10128742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20190426</t>
        </is>
      </c>
      <c r="M11" s="8" t="inlineStr">
        <is>
          <t>20250127</t>
        </is>
      </c>
      <c r="N11" s="10" t="n">
        <v>160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900004947</v>
      </c>
      <c r="D12" s="7">
        <f>IFERROR(VLOOKUP(C12,TRAOPE!$G:$H,2,0),"")</f>
        <v/>
      </c>
      <c r="E12" s="8" t="inlineStr">
        <is>
          <t>D898</t>
        </is>
      </c>
      <c r="F12" s="8" t="inlineStr">
        <is>
          <t>65011170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10136048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20190426</t>
        </is>
      </c>
      <c r="M12" s="8" t="inlineStr">
        <is>
          <t>20250127</t>
        </is>
      </c>
      <c r="N12" s="10" t="n">
        <v>180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900004947</v>
      </c>
      <c r="D13" s="7">
        <f>IFERROR(VLOOKUP(C13,TRAOPE!$G:$H,2,0),"")</f>
        <v/>
      </c>
      <c r="E13" s="8" t="inlineStr">
        <is>
          <t>D898</t>
        </is>
      </c>
      <c r="F13" s="8" t="inlineStr">
        <is>
          <t>65011170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10136049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20190426</t>
        </is>
      </c>
      <c r="M13" s="8" t="inlineStr">
        <is>
          <t>20250127</t>
        </is>
      </c>
      <c r="N13" s="10" t="n">
        <v>190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900004947</v>
      </c>
      <c r="D14" s="7">
        <f>IFERROR(VLOOKUP(C14,TRAOPE!$G:$H,2,0),"")</f>
        <v/>
      </c>
      <c r="E14" s="8" t="inlineStr">
        <is>
          <t>D898</t>
        </is>
      </c>
      <c r="F14" s="8" t="inlineStr">
        <is>
          <t>65011170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10136441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20190426</t>
        </is>
      </c>
      <c r="M14" s="8" t="inlineStr">
        <is>
          <t>20250127</t>
        </is>
      </c>
      <c r="N14" s="10" t="n">
        <v>180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900004947</v>
      </c>
      <c r="D15" s="7">
        <f>IFERROR(VLOOKUP(C15,TRAOPE!$G:$H,2,0),"")</f>
        <v/>
      </c>
      <c r="E15" s="8" t="inlineStr">
        <is>
          <t>D898</t>
        </is>
      </c>
      <c r="F15" s="8" t="inlineStr">
        <is>
          <t>65890865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10136048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20190426</t>
        </is>
      </c>
      <c r="M15" s="8" t="inlineStr">
        <is>
          <t>20250127</t>
        </is>
      </c>
      <c r="N15" s="10" t="n">
        <v>160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900004947</v>
      </c>
      <c r="D16" s="7">
        <f>IFERROR(VLOOKUP(C16,TRAOPE!$G:$H,2,0),"")</f>
        <v/>
      </c>
      <c r="E16" s="8" t="inlineStr">
        <is>
          <t>D898</t>
        </is>
      </c>
      <c r="F16" s="8" t="inlineStr">
        <is>
          <t>65890865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10136049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20190426</t>
        </is>
      </c>
      <c r="M16" s="8" t="inlineStr">
        <is>
          <t>20250127</t>
        </is>
      </c>
      <c r="N16" s="10" t="n">
        <v>170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900004947</v>
      </c>
      <c r="D17" s="7">
        <f>IFERROR(VLOOKUP(C17,TRAOPE!$G:$H,2,0),"")</f>
        <v/>
      </c>
      <c r="E17" s="8" t="inlineStr">
        <is>
          <t>D898</t>
        </is>
      </c>
      <c r="F17" s="8" t="inlineStr">
        <is>
          <t>65890865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10136441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20190426</t>
        </is>
      </c>
      <c r="M17" s="8" t="inlineStr">
        <is>
          <t>20250127</t>
        </is>
      </c>
      <c r="N17" s="10" t="n">
        <v>160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900004947</v>
      </c>
      <c r="D18" s="7">
        <f>IFERROR(VLOOKUP(C18,TRAOPE!$G:$H,2,0),"")</f>
        <v/>
      </c>
      <c r="E18" s="8" t="inlineStr">
        <is>
          <t>D898</t>
        </is>
      </c>
      <c r="F18" s="8" t="inlineStr">
        <is>
          <t>66260458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10136441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20190426</t>
        </is>
      </c>
      <c r="M18" s="8" t="inlineStr">
        <is>
          <t>20250127</t>
        </is>
      </c>
      <c r="N18" s="10" t="n">
        <v>174.74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900004947</v>
      </c>
      <c r="D19" s="7">
        <f>IFERROR(VLOOKUP(C19,TRAOPE!$G:$H,2,0),"")</f>
        <v/>
      </c>
      <c r="E19" s="8" t="inlineStr">
        <is>
          <t>D898</t>
        </is>
      </c>
      <c r="F19" s="8" t="inlineStr">
        <is>
          <t>66373978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10136048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20190426</t>
        </is>
      </c>
      <c r="M19" s="8" t="inlineStr">
        <is>
          <t>20250127</t>
        </is>
      </c>
      <c r="N19" s="10" t="n">
        <v>170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900004947</v>
      </c>
      <c r="D20" s="7">
        <f>IFERROR(VLOOKUP(C20,TRAOPE!$G:$H,2,0),"")</f>
        <v/>
      </c>
      <c r="E20" s="8" t="inlineStr">
        <is>
          <t>D898</t>
        </is>
      </c>
      <c r="F20" s="8" t="inlineStr">
        <is>
          <t>66373978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10136441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20190426</t>
        </is>
      </c>
      <c r="M20" s="8" t="inlineStr">
        <is>
          <t>20250127</t>
        </is>
      </c>
      <c r="N20" s="10" t="n">
        <v>170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900004947</v>
      </c>
      <c r="D21" s="7">
        <f>IFERROR(VLOOKUP(C21,TRAOPE!$G:$H,2,0),"")</f>
        <v/>
      </c>
      <c r="E21" s="8" t="inlineStr">
        <is>
          <t>D898</t>
        </is>
      </c>
      <c r="F21" s="8" t="inlineStr">
        <is>
          <t>66393498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10136047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20190426</t>
        </is>
      </c>
      <c r="M21" s="8" t="inlineStr">
        <is>
          <t>20250127</t>
        </is>
      </c>
      <c r="N21" s="10" t="n">
        <v>105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900004947</v>
      </c>
      <c r="D22" s="7">
        <f>IFERROR(VLOOKUP(C22,TRAOPE!$G:$H,2,0),"")</f>
        <v/>
      </c>
      <c r="E22" s="8" t="inlineStr">
        <is>
          <t>D898</t>
        </is>
      </c>
      <c r="F22" s="8" t="inlineStr">
        <is>
          <t>66424253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10136441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20190426</t>
        </is>
      </c>
      <c r="M22" s="8" t="inlineStr">
        <is>
          <t>20250127</t>
        </is>
      </c>
      <c r="N22" s="10" t="n">
        <v>160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900004947</v>
      </c>
      <c r="D23" s="7">
        <f>IFERROR(VLOOKUP(C23,TRAOPE!$G:$H,2,0),"")</f>
        <v/>
      </c>
      <c r="E23" s="8" t="inlineStr">
        <is>
          <t>D898</t>
        </is>
      </c>
      <c r="F23" s="8" t="inlineStr">
        <is>
          <t>66453982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10145986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20190426</t>
        </is>
      </c>
      <c r="M23" s="8" t="inlineStr">
        <is>
          <t>20250127</t>
        </is>
      </c>
      <c r="N23" s="10" t="n">
        <v>165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900004947</v>
      </c>
      <c r="D24" s="7">
        <f>IFERROR(VLOOKUP(C24,TRAOPE!$G:$H,2,0),"")</f>
        <v/>
      </c>
      <c r="E24" s="8" t="inlineStr">
        <is>
          <t>D898</t>
        </is>
      </c>
      <c r="F24" s="8" t="inlineStr">
        <is>
          <t>66455050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10136047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20190426</t>
        </is>
      </c>
      <c r="M24" s="8" t="inlineStr">
        <is>
          <t>20250127</t>
        </is>
      </c>
      <c r="N24" s="10" t="n">
        <v>130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900004947</v>
      </c>
      <c r="D25" s="7">
        <f>IFERROR(VLOOKUP(C25,TRAOPE!$G:$H,2,0),"")</f>
        <v/>
      </c>
      <c r="E25" s="8" t="inlineStr">
        <is>
          <t>D898</t>
        </is>
      </c>
      <c r="F25" s="8" t="inlineStr">
        <is>
          <t>66455050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10136441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20190426</t>
        </is>
      </c>
      <c r="M25" s="8" t="inlineStr">
        <is>
          <t>20250127</t>
        </is>
      </c>
      <c r="N25" s="10" t="n">
        <v>170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900004947</v>
      </c>
      <c r="D26" s="7">
        <f>IFERROR(VLOOKUP(C26,TRAOPE!$G:$H,2,0),"")</f>
        <v/>
      </c>
      <c r="E26" s="8" t="inlineStr">
        <is>
          <t>D898</t>
        </is>
      </c>
      <c r="F26" s="8" t="inlineStr">
        <is>
          <t>66559558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10136048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20190426</t>
        </is>
      </c>
      <c r="M26" s="8" t="inlineStr">
        <is>
          <t>20250127</t>
        </is>
      </c>
      <c r="N26" s="10" t="n">
        <v>200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900004947</v>
      </c>
      <c r="D27" s="7">
        <f>IFERROR(VLOOKUP(C27,TRAOPE!$G:$H,2,0),"")</f>
        <v/>
      </c>
      <c r="E27" s="8" t="inlineStr">
        <is>
          <t>D898</t>
        </is>
      </c>
      <c r="F27" s="8" t="inlineStr">
        <is>
          <t>66559558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10136441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20190426</t>
        </is>
      </c>
      <c r="M27" s="8" t="inlineStr">
        <is>
          <t>20250127</t>
        </is>
      </c>
      <c r="N27" s="10" t="n">
        <v>200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900004947</v>
      </c>
      <c r="D28" s="7">
        <f>IFERROR(VLOOKUP(C28,TRAOPE!$G:$H,2,0),"")</f>
        <v/>
      </c>
      <c r="E28" s="8" t="inlineStr">
        <is>
          <t>D898</t>
        </is>
      </c>
      <c r="F28" s="8" t="inlineStr">
        <is>
          <t>66821834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10000432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20190426</t>
        </is>
      </c>
      <c r="M28" s="8" t="inlineStr">
        <is>
          <t>20250127</t>
        </is>
      </c>
      <c r="N28" s="10" t="n">
        <v>180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900004947</v>
      </c>
      <c r="D29" s="7">
        <f>IFERROR(VLOOKUP(C29,TRAOPE!$G:$H,2,0),"")</f>
        <v/>
      </c>
      <c r="E29" s="8" t="inlineStr">
        <is>
          <t>D898</t>
        </is>
      </c>
      <c r="F29" s="8" t="inlineStr">
        <is>
          <t>66821834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10145835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20190426</t>
        </is>
      </c>
      <c r="M29" s="8" t="inlineStr">
        <is>
          <t>20250127</t>
        </is>
      </c>
      <c r="N29" s="10" t="n">
        <v>160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900004947</v>
      </c>
      <c r="D30" s="7">
        <f>IFERROR(VLOOKUP(C30,TRAOPE!$G:$H,2,0),"")</f>
        <v/>
      </c>
      <c r="E30" s="8" t="inlineStr">
        <is>
          <t>D898</t>
        </is>
      </c>
      <c r="F30" s="8" t="inlineStr">
        <is>
          <t>66832168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10136048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20190426</t>
        </is>
      </c>
      <c r="M30" s="8" t="inlineStr">
        <is>
          <t>20250127</t>
        </is>
      </c>
      <c r="N30" s="10" t="n">
        <v>175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900004947</v>
      </c>
      <c r="D31" s="7">
        <f>IFERROR(VLOOKUP(C31,TRAOPE!$G:$H,2,0),"")</f>
        <v/>
      </c>
      <c r="E31" s="8" t="inlineStr">
        <is>
          <t>D898</t>
        </is>
      </c>
      <c r="F31" s="8" t="inlineStr">
        <is>
          <t>66832545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10136048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20190426</t>
        </is>
      </c>
      <c r="M31" s="8" t="inlineStr">
        <is>
          <t>20250127</t>
        </is>
      </c>
      <c r="N31" s="10" t="n">
        <v>175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900004965</v>
      </c>
      <c r="D32" s="7">
        <f>IFERROR(VLOOKUP(C32,TRAOPE!$G:$H,2,0),"")</f>
        <v/>
      </c>
      <c r="E32" s="8" t="inlineStr">
        <is>
          <t>D898</t>
        </is>
      </c>
      <c r="F32" s="8" t="inlineStr">
        <is>
          <t>66269750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10000627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20190426</t>
        </is>
      </c>
      <c r="M32" s="8" t="inlineStr">
        <is>
          <t>20250127</t>
        </is>
      </c>
      <c r="N32" s="10" t="n">
        <v>37.85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900005273</v>
      </c>
      <c r="D33" s="7">
        <f>IFERROR(VLOOKUP(C33,TRAOPE!$G:$H,2,0),"")</f>
        <v/>
      </c>
      <c r="E33" s="8" t="inlineStr">
        <is>
          <t>D898</t>
        </is>
      </c>
      <c r="F33" s="8" t="inlineStr">
        <is>
          <t>66260458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10045642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20190426</t>
        </is>
      </c>
      <c r="M33" s="8" t="inlineStr">
        <is>
          <t>20250127</t>
        </is>
      </c>
      <c r="N33" s="10" t="n">
        <v>102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900005323</v>
      </c>
      <c r="D34" s="7">
        <f>IFERROR(VLOOKUP(C34,TRAOPE!$G:$H,2,0),"")</f>
        <v/>
      </c>
      <c r="E34" s="8" t="inlineStr">
        <is>
          <t>D898</t>
        </is>
      </c>
      <c r="F34" s="8" t="inlineStr">
        <is>
          <t>65784437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10128749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20190426</t>
        </is>
      </c>
      <c r="M34" s="8" t="inlineStr">
        <is>
          <t>20250127</t>
        </is>
      </c>
      <c r="N34" s="10" t="n">
        <v>165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900005323</v>
      </c>
      <c r="D35" s="7">
        <f>IFERROR(VLOOKUP(C35,TRAOPE!$G:$H,2,0),"")</f>
        <v/>
      </c>
      <c r="E35" s="8" t="inlineStr">
        <is>
          <t>D898</t>
        </is>
      </c>
      <c r="F35" s="8" t="inlineStr">
        <is>
          <t>65890865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10128749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20190426</t>
        </is>
      </c>
      <c r="M35" s="8" t="inlineStr">
        <is>
          <t>20250127</t>
        </is>
      </c>
      <c r="N35" s="10" t="n">
        <v>164.78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900005380</v>
      </c>
      <c r="D36" s="7">
        <f>IFERROR(VLOOKUP(C36,TRAOPE!$G:$H,2,0),"")</f>
        <v/>
      </c>
      <c r="E36" s="8" t="inlineStr">
        <is>
          <t>D898</t>
        </is>
      </c>
      <c r="F36" s="8" t="inlineStr">
        <is>
          <t>66269890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10127817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20190426</t>
        </is>
      </c>
      <c r="M36" s="8" t="inlineStr">
        <is>
          <t>20250127</t>
        </is>
      </c>
      <c r="N36" s="10" t="n">
        <v>105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900005431</v>
      </c>
      <c r="D37" s="7">
        <f>IFERROR(VLOOKUP(C37,TRAOPE!$G:$H,2,0),"")</f>
        <v/>
      </c>
      <c r="E37" s="8" t="inlineStr">
        <is>
          <t>D898</t>
        </is>
      </c>
      <c r="F37" s="8" t="inlineStr">
        <is>
          <t>65011170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10128599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20190426</t>
        </is>
      </c>
      <c r="M37" s="8" t="inlineStr">
        <is>
          <t>20250127</t>
        </is>
      </c>
      <c r="N37" s="10" t="n">
        <v>190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900005431</v>
      </c>
      <c r="D38" s="7">
        <f>IFERROR(VLOOKUP(C38,TRAOPE!$G:$H,2,0),"")</f>
        <v/>
      </c>
      <c r="E38" s="8" t="inlineStr">
        <is>
          <t>D898</t>
        </is>
      </c>
      <c r="F38" s="8" t="inlineStr">
        <is>
          <t>65011170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10128742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20190426</t>
        </is>
      </c>
      <c r="M38" s="8" t="inlineStr">
        <is>
          <t>20250127</t>
        </is>
      </c>
      <c r="N38" s="10" t="n">
        <v>180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900005431</v>
      </c>
      <c r="D39" s="7">
        <f>IFERROR(VLOOKUP(C39,TRAOPE!$G:$H,2,0),"")</f>
        <v/>
      </c>
      <c r="E39" s="8" t="inlineStr">
        <is>
          <t>D898</t>
        </is>
      </c>
      <c r="F39" s="8" t="inlineStr">
        <is>
          <t>65011170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10128754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20190426</t>
        </is>
      </c>
      <c r="M39" s="8" t="inlineStr">
        <is>
          <t>20250127</t>
        </is>
      </c>
      <c r="N39" s="10" t="n">
        <v>180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900005431</v>
      </c>
      <c r="D40" s="7">
        <f>IFERROR(VLOOKUP(C40,TRAOPE!$G:$H,2,0),"")</f>
        <v/>
      </c>
      <c r="E40" s="8" t="inlineStr">
        <is>
          <t>D898</t>
        </is>
      </c>
      <c r="F40" s="8" t="inlineStr">
        <is>
          <t>65784428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10128599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20190426</t>
        </is>
      </c>
      <c r="M40" s="8" t="inlineStr">
        <is>
          <t>20250127</t>
        </is>
      </c>
      <c r="N40" s="10" t="n">
        <v>136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900005431</v>
      </c>
      <c r="D41" s="7">
        <f>IFERROR(VLOOKUP(C41,TRAOPE!$G:$H,2,0),"")</f>
        <v/>
      </c>
      <c r="E41" s="8" t="inlineStr">
        <is>
          <t>D898</t>
        </is>
      </c>
      <c r="F41" s="8" t="inlineStr">
        <is>
          <t>65784428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10128742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20190426</t>
        </is>
      </c>
      <c r="M41" s="8" t="inlineStr">
        <is>
          <t>20250127</t>
        </is>
      </c>
      <c r="N41" s="10" t="n">
        <v>131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900005431</v>
      </c>
      <c r="D42" s="7">
        <f>IFERROR(VLOOKUP(C42,TRAOPE!$G:$H,2,0),"")</f>
        <v/>
      </c>
      <c r="E42" s="8" t="inlineStr">
        <is>
          <t>D898</t>
        </is>
      </c>
      <c r="F42" s="8" t="inlineStr">
        <is>
          <t>65784428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10128754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20190426</t>
        </is>
      </c>
      <c r="M42" s="8" t="inlineStr">
        <is>
          <t>20250127</t>
        </is>
      </c>
      <c r="N42" s="10" t="n">
        <v>131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900005431</v>
      </c>
      <c r="D43" s="7">
        <f>IFERROR(VLOOKUP(C43,TRAOPE!$G:$H,2,0),"")</f>
        <v/>
      </c>
      <c r="E43" s="8" t="inlineStr">
        <is>
          <t>D898</t>
        </is>
      </c>
      <c r="F43" s="8" t="inlineStr">
        <is>
          <t>65890865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10128599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20190426</t>
        </is>
      </c>
      <c r="M43" s="8" t="inlineStr">
        <is>
          <t>20250127</t>
        </is>
      </c>
      <c r="N43" s="10" t="n">
        <v>170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900005431</v>
      </c>
      <c r="D44" s="7">
        <f>IFERROR(VLOOKUP(C44,TRAOPE!$G:$H,2,0),"")</f>
        <v/>
      </c>
      <c r="E44" s="8" t="inlineStr">
        <is>
          <t>D898</t>
        </is>
      </c>
      <c r="F44" s="8" t="inlineStr">
        <is>
          <t>65890865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10128742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20190426</t>
        </is>
      </c>
      <c r="M44" s="8" t="inlineStr">
        <is>
          <t>20250127</t>
        </is>
      </c>
      <c r="N44" s="10" t="n">
        <v>160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900005431</v>
      </c>
      <c r="D45" s="7">
        <f>IFERROR(VLOOKUP(C45,TRAOPE!$G:$H,2,0),"")</f>
        <v/>
      </c>
      <c r="E45" s="8" t="inlineStr">
        <is>
          <t>D898</t>
        </is>
      </c>
      <c r="F45" s="8" t="inlineStr">
        <is>
          <t>65890865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10128754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20190426</t>
        </is>
      </c>
      <c r="M45" s="8" t="inlineStr">
        <is>
          <t>20250127</t>
        </is>
      </c>
      <c r="N45" s="10" t="n">
        <v>160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900005431</v>
      </c>
      <c r="D46" s="7">
        <f>IFERROR(VLOOKUP(C46,TRAOPE!$G:$H,2,0),"")</f>
        <v/>
      </c>
      <c r="E46" s="8" t="inlineStr">
        <is>
          <t>D898</t>
        </is>
      </c>
      <c r="F46" s="8" t="inlineStr">
        <is>
          <t>66373978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10128742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20190426</t>
        </is>
      </c>
      <c r="M46" s="8" t="inlineStr">
        <is>
          <t>20250127</t>
        </is>
      </c>
      <c r="N46" s="10" t="n">
        <v>170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900005431</v>
      </c>
      <c r="D47" s="7">
        <f>IFERROR(VLOOKUP(C47,TRAOPE!$G:$H,2,0),"")</f>
        <v/>
      </c>
      <c r="E47" s="8" t="inlineStr">
        <is>
          <t>D898</t>
        </is>
      </c>
      <c r="F47" s="8" t="inlineStr">
        <is>
          <t>66424253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10128742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20190426</t>
        </is>
      </c>
      <c r="M47" s="8" t="inlineStr">
        <is>
          <t>20250127</t>
        </is>
      </c>
      <c r="N47" s="10" t="n">
        <v>160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900005431</v>
      </c>
      <c r="D48" s="7">
        <f>IFERROR(VLOOKUP(C48,TRAOPE!$G:$H,2,0),"")</f>
        <v/>
      </c>
      <c r="E48" s="8" t="inlineStr">
        <is>
          <t>D898</t>
        </is>
      </c>
      <c r="F48" s="8" t="inlineStr">
        <is>
          <t>66424253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10136441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20190426</t>
        </is>
      </c>
      <c r="M48" s="8" t="inlineStr">
        <is>
          <t>20250127</t>
        </is>
      </c>
      <c r="N48" s="10" t="n">
        <v>465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900005464</v>
      </c>
      <c r="D49" s="7">
        <f>IFERROR(VLOOKUP(C49,TRAOPE!$G:$H,2,0),"")</f>
        <v/>
      </c>
      <c r="E49" s="8" t="inlineStr">
        <is>
          <t>D898</t>
        </is>
      </c>
      <c r="F49" s="8" t="inlineStr">
        <is>
          <t>66424253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10136441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20190426</t>
        </is>
      </c>
      <c r="M49" s="8" t="inlineStr">
        <is>
          <t>20250127</t>
        </is>
      </c>
      <c r="N49" s="10" t="n">
        <v>192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900005489</v>
      </c>
      <c r="D50" s="7">
        <f>IFERROR(VLOOKUP(C50,TRAOPE!$G:$H,2,0),"")</f>
        <v/>
      </c>
      <c r="E50" s="8" t="inlineStr">
        <is>
          <t>D898</t>
        </is>
      </c>
      <c r="F50" s="8" t="inlineStr">
        <is>
          <t>DE81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10172195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20190901</t>
        </is>
      </c>
      <c r="M50" s="8" t="inlineStr">
        <is>
          <t>20250127</t>
        </is>
      </c>
      <c r="N50" s="10" t="n">
        <v>84.51000000000001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900005489</v>
      </c>
      <c r="D51" s="7">
        <f>IFERROR(VLOOKUP(C51,TRAOPE!$G:$H,2,0),"")</f>
        <v/>
      </c>
      <c r="E51" s="8" t="inlineStr">
        <is>
          <t>D898</t>
        </is>
      </c>
      <c r="F51" s="8" t="inlineStr">
        <is>
          <t>DE82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10154700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20190722</t>
        </is>
      </c>
      <c r="M51" s="8" t="inlineStr">
        <is>
          <t>20250127</t>
        </is>
      </c>
      <c r="N51" s="10" t="n">
        <v>87.93000000000001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900005489</v>
      </c>
      <c r="D52" s="7">
        <f>IFERROR(VLOOKUP(C52,TRAOPE!$G:$H,2,0),"")</f>
        <v/>
      </c>
      <c r="E52" s="8" t="inlineStr">
        <is>
          <t>D898</t>
        </is>
      </c>
      <c r="F52" s="8" t="inlineStr">
        <is>
          <t>DE83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10154700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20190722</t>
        </is>
      </c>
      <c r="M52" s="8" t="inlineStr">
        <is>
          <t>20250127</t>
        </is>
      </c>
      <c r="N52" s="10" t="n">
        <v>87.93000000000001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900005545</v>
      </c>
      <c r="D53" s="7">
        <f>IFERROR(VLOOKUP(C53,TRAOPE!$G:$H,2,0),"")</f>
        <v/>
      </c>
      <c r="E53" s="8" t="inlineStr">
        <is>
          <t>D898</t>
        </is>
      </c>
      <c r="F53" s="8" t="inlineStr">
        <is>
          <t>66511093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10000432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20190426</t>
        </is>
      </c>
      <c r="M53" s="8" t="inlineStr">
        <is>
          <t>20250127</t>
        </is>
      </c>
      <c r="N53" s="10" t="n">
        <v>160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900005545</v>
      </c>
      <c r="D54" s="7">
        <f>IFERROR(VLOOKUP(C54,TRAOPE!$G:$H,2,0),"")</f>
        <v/>
      </c>
      <c r="E54" s="8" t="inlineStr">
        <is>
          <t>D898</t>
        </is>
      </c>
      <c r="F54" s="8" t="inlineStr">
        <is>
          <t>66511093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10128748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20190426</t>
        </is>
      </c>
      <c r="M54" s="8" t="inlineStr">
        <is>
          <t>20250127</t>
        </is>
      </c>
      <c r="N54" s="10" t="n">
        <v>190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900005545</v>
      </c>
      <c r="D55" s="7">
        <f>IFERROR(VLOOKUP(C55,TRAOPE!$G:$H,2,0),"")</f>
        <v/>
      </c>
      <c r="E55" s="8" t="inlineStr">
        <is>
          <t>D898</t>
        </is>
      </c>
      <c r="F55" s="8" t="inlineStr">
        <is>
          <t>66511093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10128752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20190426</t>
        </is>
      </c>
      <c r="M55" s="8" t="inlineStr">
        <is>
          <t>20250127</t>
        </is>
      </c>
      <c r="N55" s="10" t="n">
        <v>190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900005545</v>
      </c>
      <c r="D56" s="7">
        <f>IFERROR(VLOOKUP(C56,TRAOPE!$G:$H,2,0),"")</f>
        <v/>
      </c>
      <c r="E56" s="8" t="inlineStr">
        <is>
          <t>D898</t>
        </is>
      </c>
      <c r="F56" s="8" t="inlineStr">
        <is>
          <t>66511093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10136047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20190426</t>
        </is>
      </c>
      <c r="M56" s="8" t="inlineStr">
        <is>
          <t>20250127</t>
        </is>
      </c>
      <c r="N56" s="10" t="n">
        <v>105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900005598</v>
      </c>
      <c r="D57" s="7">
        <f>IFERROR(VLOOKUP(C57,TRAOPE!$G:$H,2,0),"")</f>
        <v/>
      </c>
      <c r="E57" s="8" t="inlineStr">
        <is>
          <t>D898</t>
        </is>
      </c>
      <c r="F57" s="8" t="inlineStr">
        <is>
          <t>66493971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10000432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20190426</t>
        </is>
      </c>
      <c r="M57" s="8" t="inlineStr">
        <is>
          <t>20250127</t>
        </is>
      </c>
      <c r="N57" s="10" t="n">
        <v>165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900005598</v>
      </c>
      <c r="D58" s="7">
        <f>IFERROR(VLOOKUP(C58,TRAOPE!$G:$H,2,0),"")</f>
        <v/>
      </c>
      <c r="E58" s="8" t="inlineStr">
        <is>
          <t>D898</t>
        </is>
      </c>
      <c r="F58" s="8" t="inlineStr">
        <is>
          <t>66866358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10128740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20190426</t>
        </is>
      </c>
      <c r="M58" s="8" t="inlineStr">
        <is>
          <t>20250127</t>
        </is>
      </c>
      <c r="N58" s="10" t="n">
        <v>220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900006803</v>
      </c>
      <c r="D59" s="7">
        <f>IFERROR(VLOOKUP(C59,TRAOPE!$G:$H,2,0),"")</f>
        <v/>
      </c>
      <c r="E59" s="8" t="inlineStr">
        <is>
          <t>D898</t>
        </is>
      </c>
      <c r="F59" s="8" t="inlineStr">
        <is>
          <t>66897012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10128748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20190426</t>
        </is>
      </c>
      <c r="M59" s="8" t="inlineStr">
        <is>
          <t>20250127</t>
        </is>
      </c>
      <c r="N59" s="10" t="n">
        <v>296.56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900004947</v>
      </c>
      <c r="D60" s="7">
        <f>IFERROR(VLOOKUP(C60,TRAOPE!$G:$H,2,0),"")</f>
        <v/>
      </c>
      <c r="E60" s="8" t="inlineStr">
        <is>
          <t>D898</t>
        </is>
      </c>
      <c r="F60" s="8" t="inlineStr">
        <is>
          <t>66704149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10136441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20240619</t>
        </is>
      </c>
      <c r="M60" s="8" t="inlineStr">
        <is>
          <t>20251031</t>
        </is>
      </c>
      <c r="N60" s="10" t="n">
        <v>188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900004947</v>
      </c>
      <c r="D61" s="7">
        <f>IFERROR(VLOOKUP(C61,TRAOPE!$G:$H,2,0),"")</f>
        <v/>
      </c>
      <c r="E61" s="8" t="inlineStr">
        <is>
          <t>D898</t>
        </is>
      </c>
      <c r="F61" s="8" t="inlineStr">
        <is>
          <t>65784437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10136048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20260305</t>
        </is>
      </c>
      <c r="M61" s="8" t="inlineStr">
        <is>
          <t>99991231</t>
        </is>
      </c>
      <c r="N61" s="10" t="n">
        <v>253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900004947</v>
      </c>
      <c r="D62" s="7">
        <f>IFERROR(VLOOKUP(C62,TRAOPE!$G:$H,2,0),"")</f>
        <v/>
      </c>
      <c r="E62" s="8" t="inlineStr">
        <is>
          <t>D898</t>
        </is>
      </c>
      <c r="F62" s="8" t="inlineStr">
        <is>
          <t>65784437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10136049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20260305</t>
        </is>
      </c>
      <c r="M62" s="8" t="inlineStr">
        <is>
          <t>99991231</t>
        </is>
      </c>
      <c r="N62" s="10" t="n">
        <v>253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900004947</v>
      </c>
      <c r="D63" s="7">
        <f>IFERROR(VLOOKUP(C63,TRAOPE!$G:$H,2,0),"")</f>
        <v/>
      </c>
      <c r="E63" s="8" t="inlineStr">
        <is>
          <t>D898</t>
        </is>
      </c>
      <c r="F63" s="8" t="inlineStr">
        <is>
          <t>65784437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10136441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20260305</t>
        </is>
      </c>
      <c r="M63" s="8" t="inlineStr">
        <is>
          <t>99991231</t>
        </is>
      </c>
      <c r="N63" s="10" t="n">
        <v>253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900004947</v>
      </c>
      <c r="D64" s="7">
        <f>IFERROR(VLOOKUP(C64,TRAOPE!$G:$H,2,0),"")</f>
        <v/>
      </c>
      <c r="E64" s="8" t="inlineStr">
        <is>
          <t>D898</t>
        </is>
      </c>
      <c r="F64" s="8" t="inlineStr">
        <is>
          <t>67315202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10136048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20260305</t>
        </is>
      </c>
      <c r="M64" s="8" t="inlineStr">
        <is>
          <t>99991231</t>
        </is>
      </c>
      <c r="N64" s="10" t="n">
        <v>253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900004947</v>
      </c>
      <c r="D65" s="7">
        <f>IFERROR(VLOOKUP(C65,TRAOPE!$G:$H,2,0),"")</f>
        <v/>
      </c>
      <c r="E65" s="8" t="inlineStr">
        <is>
          <t>D898</t>
        </is>
      </c>
      <c r="F65" s="8" t="inlineStr">
        <is>
          <t>67315202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10136049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20260305</t>
        </is>
      </c>
      <c r="M65" s="8" t="inlineStr">
        <is>
          <t>99991231</t>
        </is>
      </c>
      <c r="N65" s="10" t="n">
        <v>253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900004947</v>
      </c>
      <c r="D66" s="7">
        <f>IFERROR(VLOOKUP(C66,TRAOPE!$G:$H,2,0),"")</f>
        <v/>
      </c>
      <c r="E66" s="8" t="inlineStr">
        <is>
          <t>D898</t>
        </is>
      </c>
      <c r="F66" s="8" t="inlineStr">
        <is>
          <t>67315202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10136441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20260319</t>
        </is>
      </c>
      <c r="M66" s="8" t="inlineStr">
        <is>
          <t>99991231</t>
        </is>
      </c>
      <c r="N66" s="10" t="n">
        <v>253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900004947</v>
      </c>
      <c r="D67" s="7">
        <f>IFERROR(VLOOKUP(C67,TRAOPE!$G:$H,2,0),"")</f>
        <v/>
      </c>
      <c r="E67" s="8" t="inlineStr">
        <is>
          <t>D898</t>
        </is>
      </c>
      <c r="F67" s="8" t="inlineStr">
        <is>
          <t>67315202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10267899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20250623</t>
        </is>
      </c>
      <c r="M67" s="8" t="inlineStr">
        <is>
          <t>99991231</t>
        </is>
      </c>
      <c r="N67" s="10" t="n">
        <v>133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900004947</v>
      </c>
      <c r="D68" s="7">
        <f>IFERROR(VLOOKUP(C68,TRAOPE!$G:$H,2,0),"")</f>
        <v/>
      </c>
      <c r="E68" s="8" t="inlineStr">
        <is>
          <t>D898</t>
        </is>
      </c>
      <c r="F68" s="8" t="inlineStr">
        <is>
          <t>67315202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10267961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20250623</t>
        </is>
      </c>
      <c r="M68" s="8" t="inlineStr">
        <is>
          <t>99991231</t>
        </is>
      </c>
      <c r="N68" s="10" t="n">
        <v>133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900005545</v>
      </c>
      <c r="D69" s="7">
        <f>IFERROR(VLOOKUP(C69,TRAOPE!$G:$H,2,0),"")</f>
        <v/>
      </c>
      <c r="E69" s="8" t="inlineStr">
        <is>
          <t>D898</t>
        </is>
      </c>
      <c r="F69" s="8" t="inlineStr">
        <is>
          <t>67208986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10128748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20240910</t>
        </is>
      </c>
      <c r="M69" s="8" t="inlineStr">
        <is>
          <t>99991231</t>
        </is>
      </c>
      <c r="N69" s="10" t="n">
        <v>316.1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900009575</v>
      </c>
      <c r="D70" s="7">
        <f>IFERROR(VLOOKUP(C70,TRAOPE!$G:$H,2,0),"")</f>
        <v/>
      </c>
      <c r="E70" s="8" t="inlineStr">
        <is>
          <t>D898</t>
        </is>
      </c>
      <c r="F70" s="8" t="inlineStr">
        <is>
          <t>67381805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10128595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20260701</t>
        </is>
      </c>
      <c r="M70" s="8" t="inlineStr">
        <is>
          <t>99991231</t>
        </is>
      </c>
      <c r="N70" s="10" t="n">
        <v>553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900009575</v>
      </c>
      <c r="D71" s="7">
        <f>IFERROR(VLOOKUP(C71,TRAOPE!$G:$H,2,0),"")</f>
        <v/>
      </c>
      <c r="E71" s="8" t="inlineStr">
        <is>
          <t>D898</t>
        </is>
      </c>
      <c r="F71" s="8" t="inlineStr">
        <is>
          <t>67381805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10128597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20260701</t>
        </is>
      </c>
      <c r="M71" s="8" t="inlineStr">
        <is>
          <t>99991231</t>
        </is>
      </c>
      <c r="N71" s="10" t="n">
        <v>553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900004947</v>
      </c>
      <c r="D72" s="7">
        <f>IFERROR(VLOOKUP(C72,TRAOPE!$G:$H,2,0),"")</f>
        <v/>
      </c>
      <c r="E72" s="8" t="inlineStr">
        <is>
          <t>D898</t>
        </is>
      </c>
      <c r="F72" s="8" t="inlineStr">
        <is>
          <t>65784437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10136441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20250528</t>
        </is>
      </c>
      <c r="M72" s="8" t="inlineStr">
        <is>
          <t>20250710</t>
        </is>
      </c>
      <c r="N72" s="10" t="n">
        <v>197.4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900007345</t>
        </is>
      </c>
      <c r="B2" t="inlineStr">
        <is>
          <t>D898</t>
        </is>
      </c>
      <c r="C2" t="inlineStr">
        <is>
          <t>DE81</t>
        </is>
      </c>
      <c r="D2" t="inlineStr">
        <is>
          <t>10154700</t>
        </is>
      </c>
      <c r="E2" t="inlineStr"/>
      <c r="F2" s="11" t="n">
        <v>98.94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20240531</t>
        </is>
      </c>
    </row>
    <row r="3">
      <c r="A3" t="inlineStr">
        <is>
          <t>900007345</t>
        </is>
      </c>
      <c r="B3" t="inlineStr">
        <is>
          <t>D898</t>
        </is>
      </c>
      <c r="C3" t="inlineStr">
        <is>
          <t>DE82</t>
        </is>
      </c>
      <c r="D3" t="inlineStr">
        <is>
          <t>10154700</t>
        </is>
      </c>
      <c r="E3" t="inlineStr"/>
      <c r="F3" s="11" t="n">
        <v>98.94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20240531</t>
        </is>
      </c>
    </row>
    <row r="4">
      <c r="A4" t="inlineStr">
        <is>
          <t>900007345</t>
        </is>
      </c>
      <c r="B4" t="inlineStr">
        <is>
          <t>D898</t>
        </is>
      </c>
      <c r="C4" t="inlineStr">
        <is>
          <t>DE83</t>
        </is>
      </c>
      <c r="D4" t="inlineStr">
        <is>
          <t>10154700</t>
        </is>
      </c>
      <c r="E4" t="inlineStr"/>
      <c r="F4" s="11" t="n">
        <v>98.94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20240531</t>
        </is>
      </c>
    </row>
    <row r="5">
      <c r="A5" t="inlineStr">
        <is>
          <t>900004896</t>
        </is>
      </c>
      <c r="B5" t="inlineStr">
        <is>
          <t>D898</t>
        </is>
      </c>
      <c r="C5" t="inlineStr">
        <is>
          <t>66262957</t>
        </is>
      </c>
      <c r="D5" t="inlineStr">
        <is>
          <t>10127817</t>
        </is>
      </c>
      <c r="E5" t="inlineStr"/>
      <c r="F5" s="11" t="n">
        <v>84.73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900004896</t>
        </is>
      </c>
      <c r="B6" t="inlineStr">
        <is>
          <t>D898</t>
        </is>
      </c>
      <c r="C6" t="inlineStr">
        <is>
          <t>66263174</t>
        </is>
      </c>
      <c r="D6" t="inlineStr">
        <is>
          <t>10127817</t>
        </is>
      </c>
      <c r="E6" t="inlineStr"/>
      <c r="F6" s="11" t="n">
        <v>84.73</v>
      </c>
      <c r="G6" t="inlineStr"/>
      <c r="I6" t="inlineStr">
        <is>
          <t>M3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900004897</t>
        </is>
      </c>
      <c r="B7" t="inlineStr">
        <is>
          <t>D898</t>
        </is>
      </c>
      <c r="C7" t="inlineStr">
        <is>
          <t>65890865</t>
        </is>
      </c>
      <c r="D7" t="inlineStr">
        <is>
          <t>10128599</t>
        </is>
      </c>
      <c r="E7" t="inlineStr"/>
      <c r="F7" s="11" t="n">
        <v>137.71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900004897</t>
        </is>
      </c>
      <c r="B8" t="inlineStr">
        <is>
          <t>D898</t>
        </is>
      </c>
      <c r="C8" t="inlineStr">
        <is>
          <t>65890865</t>
        </is>
      </c>
      <c r="D8" t="inlineStr">
        <is>
          <t>10128742</t>
        </is>
      </c>
      <c r="E8" t="inlineStr"/>
      <c r="F8" s="11" t="n">
        <v>134.71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900004897</t>
        </is>
      </c>
      <c r="B9" t="inlineStr">
        <is>
          <t>D898</t>
        </is>
      </c>
      <c r="C9" t="inlineStr">
        <is>
          <t>65890865</t>
        </is>
      </c>
      <c r="D9" t="inlineStr">
        <is>
          <t>10128754</t>
        </is>
      </c>
      <c r="E9" t="inlineStr"/>
      <c r="F9" s="11" t="n">
        <v>129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900004897</t>
        </is>
      </c>
      <c r="B10" t="inlineStr">
        <is>
          <t>D898</t>
        </is>
      </c>
      <c r="C10" t="inlineStr">
        <is>
          <t>66424253</t>
        </is>
      </c>
      <c r="D10" t="inlineStr">
        <is>
          <t>10128742</t>
        </is>
      </c>
      <c r="E10" t="inlineStr"/>
      <c r="F10" s="11" t="n">
        <v>160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900004947</t>
        </is>
      </c>
      <c r="B11" t="inlineStr">
        <is>
          <t>D898</t>
        </is>
      </c>
      <c r="C11" t="inlineStr">
        <is>
          <t>65011170</t>
        </is>
      </c>
      <c r="D11" t="inlineStr">
        <is>
          <t>10136048</t>
        </is>
      </c>
      <c r="E11" t="inlineStr"/>
      <c r="F11" s="11" t="n">
        <v>180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900004947</t>
        </is>
      </c>
      <c r="B12" t="inlineStr">
        <is>
          <t>D898</t>
        </is>
      </c>
      <c r="C12" t="inlineStr">
        <is>
          <t>65011170</t>
        </is>
      </c>
      <c r="D12" t="inlineStr">
        <is>
          <t>10136049</t>
        </is>
      </c>
      <c r="E12" t="inlineStr"/>
      <c r="F12" s="11" t="n">
        <v>190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900004947</t>
        </is>
      </c>
      <c r="B13" t="inlineStr">
        <is>
          <t>D898</t>
        </is>
      </c>
      <c r="C13" t="inlineStr">
        <is>
          <t>65011170</t>
        </is>
      </c>
      <c r="D13" t="inlineStr">
        <is>
          <t>10136441</t>
        </is>
      </c>
      <c r="E13" t="inlineStr"/>
      <c r="F13" s="11" t="n">
        <v>180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900004947</t>
        </is>
      </c>
      <c r="B14" t="inlineStr">
        <is>
          <t>D898</t>
        </is>
      </c>
      <c r="C14" t="inlineStr">
        <is>
          <t>65890865</t>
        </is>
      </c>
      <c r="D14" t="inlineStr">
        <is>
          <t>10136048</t>
        </is>
      </c>
      <c r="E14" t="inlineStr"/>
      <c r="F14" s="11" t="n">
        <v>160</v>
      </c>
      <c r="G14" t="inlineStr"/>
      <c r="I14" t="inlineStr">
        <is>
          <t>M3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900004947</t>
        </is>
      </c>
      <c r="B15" t="inlineStr">
        <is>
          <t>D898</t>
        </is>
      </c>
      <c r="C15" t="inlineStr">
        <is>
          <t>65890865</t>
        </is>
      </c>
      <c r="D15" t="inlineStr">
        <is>
          <t>10136049</t>
        </is>
      </c>
      <c r="E15" t="inlineStr"/>
      <c r="F15" s="11" t="n">
        <v>170</v>
      </c>
      <c r="G15" t="inlineStr"/>
      <c r="I15" t="inlineStr">
        <is>
          <t>M3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900004947</t>
        </is>
      </c>
      <c r="B16" t="inlineStr">
        <is>
          <t>D898</t>
        </is>
      </c>
      <c r="C16" t="inlineStr">
        <is>
          <t>65890865</t>
        </is>
      </c>
      <c r="D16" t="inlineStr">
        <is>
          <t>10136441</t>
        </is>
      </c>
      <c r="E16" t="inlineStr"/>
      <c r="F16" s="11" t="n">
        <v>160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900004947</t>
        </is>
      </c>
      <c r="B17" t="inlineStr">
        <is>
          <t>D898</t>
        </is>
      </c>
      <c r="C17" t="inlineStr">
        <is>
          <t>66260458</t>
        </is>
      </c>
      <c r="D17" t="inlineStr">
        <is>
          <t>10136441</t>
        </is>
      </c>
      <c r="E17" t="inlineStr"/>
      <c r="F17" s="11" t="n">
        <v>174.74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900004947</t>
        </is>
      </c>
      <c r="B18" t="inlineStr">
        <is>
          <t>D898</t>
        </is>
      </c>
      <c r="C18" t="inlineStr">
        <is>
          <t>66373978</t>
        </is>
      </c>
      <c r="D18" t="inlineStr">
        <is>
          <t>10136048</t>
        </is>
      </c>
      <c r="E18" t="inlineStr"/>
      <c r="F18" s="11" t="n">
        <v>170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900004947</t>
        </is>
      </c>
      <c r="B19" t="inlineStr">
        <is>
          <t>D898</t>
        </is>
      </c>
      <c r="C19" t="inlineStr">
        <is>
          <t>66373978</t>
        </is>
      </c>
      <c r="D19" t="inlineStr">
        <is>
          <t>10136441</t>
        </is>
      </c>
      <c r="E19" t="inlineStr"/>
      <c r="F19" s="11" t="n">
        <v>170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900004947</t>
        </is>
      </c>
      <c r="B20" t="inlineStr">
        <is>
          <t>D898</t>
        </is>
      </c>
      <c r="C20" t="inlineStr">
        <is>
          <t>66393498</t>
        </is>
      </c>
      <c r="D20" t="inlineStr">
        <is>
          <t>10136047</t>
        </is>
      </c>
      <c r="E20" t="inlineStr"/>
      <c r="F20" s="11" t="n">
        <v>105</v>
      </c>
      <c r="G20" t="inlineStr"/>
      <c r="I20" t="inlineStr">
        <is>
          <t>TN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900004947</t>
        </is>
      </c>
      <c r="B21" t="inlineStr">
        <is>
          <t>D898</t>
        </is>
      </c>
      <c r="C21" t="inlineStr">
        <is>
          <t>66424253</t>
        </is>
      </c>
      <c r="D21" t="inlineStr">
        <is>
          <t>10136441</t>
        </is>
      </c>
      <c r="E21" t="inlineStr"/>
      <c r="F21" s="11" t="n">
        <v>160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900004947</t>
        </is>
      </c>
      <c r="B22" t="inlineStr">
        <is>
          <t>D898</t>
        </is>
      </c>
      <c r="C22" t="inlineStr">
        <is>
          <t>66453982</t>
        </is>
      </c>
      <c r="D22" t="inlineStr">
        <is>
          <t>10145986</t>
        </is>
      </c>
      <c r="E22" t="inlineStr"/>
      <c r="F22" s="11" t="n">
        <v>165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900004947</t>
        </is>
      </c>
      <c r="B23" t="inlineStr">
        <is>
          <t>D898</t>
        </is>
      </c>
      <c r="C23" t="inlineStr">
        <is>
          <t>66455050</t>
        </is>
      </c>
      <c r="D23" t="inlineStr">
        <is>
          <t>10136047</t>
        </is>
      </c>
      <c r="E23" t="inlineStr"/>
      <c r="F23" s="11" t="n">
        <v>130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900004947</t>
        </is>
      </c>
      <c r="B24" t="inlineStr">
        <is>
          <t>D898</t>
        </is>
      </c>
      <c r="C24" t="inlineStr">
        <is>
          <t>66455050</t>
        </is>
      </c>
      <c r="D24" t="inlineStr">
        <is>
          <t>10136441</t>
        </is>
      </c>
      <c r="E24" t="inlineStr"/>
      <c r="F24" s="11" t="n">
        <v>170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900004947</t>
        </is>
      </c>
      <c r="B25" t="inlineStr">
        <is>
          <t>D898</t>
        </is>
      </c>
      <c r="C25" t="inlineStr">
        <is>
          <t>66559558</t>
        </is>
      </c>
      <c r="D25" t="inlineStr">
        <is>
          <t>10136048</t>
        </is>
      </c>
      <c r="E25" t="inlineStr"/>
      <c r="F25" s="11" t="n">
        <v>200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900004947</t>
        </is>
      </c>
      <c r="B26" t="inlineStr">
        <is>
          <t>D898</t>
        </is>
      </c>
      <c r="C26" t="inlineStr">
        <is>
          <t>66559558</t>
        </is>
      </c>
      <c r="D26" t="inlineStr">
        <is>
          <t>10136441</t>
        </is>
      </c>
      <c r="E26" t="inlineStr"/>
      <c r="F26" s="11" t="n">
        <v>200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900004947</t>
        </is>
      </c>
      <c r="B27" t="inlineStr">
        <is>
          <t>D898</t>
        </is>
      </c>
      <c r="C27" t="inlineStr">
        <is>
          <t>66821834</t>
        </is>
      </c>
      <c r="D27" t="inlineStr">
        <is>
          <t>10000432</t>
        </is>
      </c>
      <c r="E27" t="inlineStr"/>
      <c r="F27" s="11" t="n">
        <v>180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900004947</t>
        </is>
      </c>
      <c r="B28" t="inlineStr">
        <is>
          <t>D898</t>
        </is>
      </c>
      <c r="C28" t="inlineStr">
        <is>
          <t>66821834</t>
        </is>
      </c>
      <c r="D28" t="inlineStr">
        <is>
          <t>10145835</t>
        </is>
      </c>
      <c r="E28" t="inlineStr"/>
      <c r="F28" s="11" t="n">
        <v>160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900004947</t>
        </is>
      </c>
      <c r="B29" t="inlineStr">
        <is>
          <t>D898</t>
        </is>
      </c>
      <c r="C29" t="inlineStr">
        <is>
          <t>66832168</t>
        </is>
      </c>
      <c r="D29" t="inlineStr">
        <is>
          <t>10136048</t>
        </is>
      </c>
      <c r="E29" t="inlineStr"/>
      <c r="F29" s="11" t="n">
        <v>175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900004947</t>
        </is>
      </c>
      <c r="B30" t="inlineStr">
        <is>
          <t>D898</t>
        </is>
      </c>
      <c r="C30" t="inlineStr">
        <is>
          <t>66832545</t>
        </is>
      </c>
      <c r="D30" t="inlineStr">
        <is>
          <t>10136048</t>
        </is>
      </c>
      <c r="E30" t="inlineStr"/>
      <c r="F30" s="11" t="n">
        <v>175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900004965</t>
        </is>
      </c>
      <c r="B31" t="inlineStr">
        <is>
          <t>D898</t>
        </is>
      </c>
      <c r="C31" t="inlineStr">
        <is>
          <t>66269750</t>
        </is>
      </c>
      <c r="D31" t="inlineStr">
        <is>
          <t>10000627</t>
        </is>
      </c>
      <c r="E31" t="inlineStr"/>
      <c r="F31" s="11" t="n">
        <v>37.85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900005273</t>
        </is>
      </c>
      <c r="B32" t="inlineStr">
        <is>
          <t>D898</t>
        </is>
      </c>
      <c r="C32" t="inlineStr">
        <is>
          <t>66260458</t>
        </is>
      </c>
      <c r="D32" t="inlineStr">
        <is>
          <t>10045642</t>
        </is>
      </c>
      <c r="E32" t="inlineStr"/>
      <c r="F32" s="11" t="n">
        <v>102</v>
      </c>
      <c r="G32" t="inlineStr"/>
      <c r="I32" t="inlineStr">
        <is>
          <t>TN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900005323</t>
        </is>
      </c>
      <c r="B33" t="inlineStr">
        <is>
          <t>D898</t>
        </is>
      </c>
      <c r="C33" t="inlineStr">
        <is>
          <t>65784437</t>
        </is>
      </c>
      <c r="D33" t="inlineStr">
        <is>
          <t>10128749</t>
        </is>
      </c>
      <c r="E33" t="inlineStr"/>
      <c r="F33" s="11" t="n">
        <v>165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900005323</t>
        </is>
      </c>
      <c r="B34" t="inlineStr">
        <is>
          <t>D898</t>
        </is>
      </c>
      <c r="C34" t="inlineStr">
        <is>
          <t>65890865</t>
        </is>
      </c>
      <c r="D34" t="inlineStr">
        <is>
          <t>10128749</t>
        </is>
      </c>
      <c r="E34" t="inlineStr"/>
      <c r="F34" s="11" t="n">
        <v>164.78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900005380</t>
        </is>
      </c>
      <c r="B35" t="inlineStr">
        <is>
          <t>D898</t>
        </is>
      </c>
      <c r="C35" t="inlineStr">
        <is>
          <t>66269890</t>
        </is>
      </c>
      <c r="D35" t="inlineStr">
        <is>
          <t>10127817</t>
        </is>
      </c>
      <c r="E35" t="inlineStr"/>
      <c r="F35" s="11" t="n">
        <v>105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900005431</t>
        </is>
      </c>
      <c r="B36" t="inlineStr">
        <is>
          <t>D898</t>
        </is>
      </c>
      <c r="C36" t="inlineStr">
        <is>
          <t>65011170</t>
        </is>
      </c>
      <c r="D36" t="inlineStr">
        <is>
          <t>10128599</t>
        </is>
      </c>
      <c r="E36" t="inlineStr"/>
      <c r="F36" s="11" t="n">
        <v>190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900005431</t>
        </is>
      </c>
      <c r="B37" t="inlineStr">
        <is>
          <t>D898</t>
        </is>
      </c>
      <c r="C37" t="inlineStr">
        <is>
          <t>65011170</t>
        </is>
      </c>
      <c r="D37" t="inlineStr">
        <is>
          <t>10128742</t>
        </is>
      </c>
      <c r="E37" t="inlineStr"/>
      <c r="F37" s="11" t="n">
        <v>180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900005431</t>
        </is>
      </c>
      <c r="B38" t="inlineStr">
        <is>
          <t>D898</t>
        </is>
      </c>
      <c r="C38" t="inlineStr">
        <is>
          <t>65011170</t>
        </is>
      </c>
      <c r="D38" t="inlineStr">
        <is>
          <t>10128754</t>
        </is>
      </c>
      <c r="E38" t="inlineStr"/>
      <c r="F38" s="11" t="n">
        <v>180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900005431</t>
        </is>
      </c>
      <c r="B39" t="inlineStr">
        <is>
          <t>D898</t>
        </is>
      </c>
      <c r="C39" t="inlineStr">
        <is>
          <t>65784428</t>
        </is>
      </c>
      <c r="D39" t="inlineStr">
        <is>
          <t>10128599</t>
        </is>
      </c>
      <c r="E39" t="inlineStr"/>
      <c r="F39" s="11" t="n">
        <v>136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900005431</t>
        </is>
      </c>
      <c r="B40" t="inlineStr">
        <is>
          <t>D898</t>
        </is>
      </c>
      <c r="C40" t="inlineStr">
        <is>
          <t>65784428</t>
        </is>
      </c>
      <c r="D40" t="inlineStr">
        <is>
          <t>10128742</t>
        </is>
      </c>
      <c r="E40" t="inlineStr"/>
      <c r="F40" s="11" t="n">
        <v>131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900005431</t>
        </is>
      </c>
      <c r="B41" t="inlineStr">
        <is>
          <t>D898</t>
        </is>
      </c>
      <c r="C41" t="inlineStr">
        <is>
          <t>65784428</t>
        </is>
      </c>
      <c r="D41" t="inlineStr">
        <is>
          <t>10128754</t>
        </is>
      </c>
      <c r="E41" t="inlineStr"/>
      <c r="F41" s="11" t="n">
        <v>131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900005431</t>
        </is>
      </c>
      <c r="B42" t="inlineStr">
        <is>
          <t>D898</t>
        </is>
      </c>
      <c r="C42" t="inlineStr">
        <is>
          <t>65890865</t>
        </is>
      </c>
      <c r="D42" t="inlineStr">
        <is>
          <t>10128599</t>
        </is>
      </c>
      <c r="E42" t="inlineStr"/>
      <c r="F42" s="11" t="n">
        <v>170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900005431</t>
        </is>
      </c>
      <c r="B43" t="inlineStr">
        <is>
          <t>D898</t>
        </is>
      </c>
      <c r="C43" t="inlineStr">
        <is>
          <t>65890865</t>
        </is>
      </c>
      <c r="D43" t="inlineStr">
        <is>
          <t>10128742</t>
        </is>
      </c>
      <c r="E43" t="inlineStr"/>
      <c r="F43" s="11" t="n">
        <v>160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900005431</t>
        </is>
      </c>
      <c r="B44" t="inlineStr">
        <is>
          <t>D898</t>
        </is>
      </c>
      <c r="C44" t="inlineStr">
        <is>
          <t>65890865</t>
        </is>
      </c>
      <c r="D44" t="inlineStr">
        <is>
          <t>10128754</t>
        </is>
      </c>
      <c r="E44" t="inlineStr"/>
      <c r="F44" s="11" t="n">
        <v>160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900005431</t>
        </is>
      </c>
      <c r="B45" t="inlineStr">
        <is>
          <t>D898</t>
        </is>
      </c>
      <c r="C45" t="inlineStr">
        <is>
          <t>66373978</t>
        </is>
      </c>
      <c r="D45" t="inlineStr">
        <is>
          <t>10128742</t>
        </is>
      </c>
      <c r="E45" t="inlineStr"/>
      <c r="F45" s="11" t="n">
        <v>170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900005431</t>
        </is>
      </c>
      <c r="B46" t="inlineStr">
        <is>
          <t>D898</t>
        </is>
      </c>
      <c r="C46" t="inlineStr">
        <is>
          <t>66424253</t>
        </is>
      </c>
      <c r="D46" t="inlineStr">
        <is>
          <t>10128742</t>
        </is>
      </c>
      <c r="E46" t="inlineStr"/>
      <c r="F46" s="11" t="n">
        <v>160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900005431</t>
        </is>
      </c>
      <c r="B47" t="inlineStr">
        <is>
          <t>D898</t>
        </is>
      </c>
      <c r="C47" t="inlineStr">
        <is>
          <t>66424253</t>
        </is>
      </c>
      <c r="D47" t="inlineStr">
        <is>
          <t>10136441</t>
        </is>
      </c>
      <c r="E47" t="inlineStr"/>
      <c r="F47" s="11" t="n">
        <v>465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900005464</t>
        </is>
      </c>
      <c r="B48" t="inlineStr">
        <is>
          <t>D898</t>
        </is>
      </c>
      <c r="C48" t="inlineStr">
        <is>
          <t>66424253</t>
        </is>
      </c>
      <c r="D48" t="inlineStr">
        <is>
          <t>10136441</t>
        </is>
      </c>
      <c r="E48" t="inlineStr"/>
      <c r="F48" s="11" t="n">
        <v>192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900005489</t>
        </is>
      </c>
      <c r="B49" t="inlineStr">
        <is>
          <t>D898</t>
        </is>
      </c>
      <c r="C49" t="inlineStr">
        <is>
          <t>DE81</t>
        </is>
      </c>
      <c r="D49" t="inlineStr">
        <is>
          <t>10172195</t>
        </is>
      </c>
      <c r="E49" t="inlineStr"/>
      <c r="F49" s="11" t="n">
        <v>84.51000000000001</v>
      </c>
      <c r="G49" t="inlineStr"/>
      <c r="I49" t="inlineStr">
        <is>
          <t>TN</t>
        </is>
      </c>
      <c r="J49" t="inlineStr"/>
      <c r="K49" t="inlineStr">
        <is>
          <t>20190901</t>
        </is>
      </c>
      <c r="L49" t="inlineStr">
        <is>
          <t>20250127</t>
        </is>
      </c>
    </row>
    <row r="50">
      <c r="A50" t="inlineStr">
        <is>
          <t>900005489</t>
        </is>
      </c>
      <c r="B50" t="inlineStr">
        <is>
          <t>D898</t>
        </is>
      </c>
      <c r="C50" t="inlineStr">
        <is>
          <t>DE82</t>
        </is>
      </c>
      <c r="D50" t="inlineStr">
        <is>
          <t>10154700</t>
        </is>
      </c>
      <c r="E50" t="inlineStr"/>
      <c r="F50" s="11" t="n">
        <v>87.93000000000001</v>
      </c>
      <c r="G50" t="inlineStr"/>
      <c r="I50" t="inlineStr">
        <is>
          <t>TN</t>
        </is>
      </c>
      <c r="J50" t="inlineStr"/>
      <c r="K50" t="inlineStr">
        <is>
          <t>20190722</t>
        </is>
      </c>
      <c r="L50" t="inlineStr">
        <is>
          <t>20250127</t>
        </is>
      </c>
    </row>
    <row r="51">
      <c r="A51" t="inlineStr">
        <is>
          <t>900005489</t>
        </is>
      </c>
      <c r="B51" t="inlineStr">
        <is>
          <t>D898</t>
        </is>
      </c>
      <c r="C51" t="inlineStr">
        <is>
          <t>DE83</t>
        </is>
      </c>
      <c r="D51" t="inlineStr">
        <is>
          <t>10154700</t>
        </is>
      </c>
      <c r="E51" t="inlineStr"/>
      <c r="F51" s="11" t="n">
        <v>87.93000000000001</v>
      </c>
      <c r="G51" t="inlineStr"/>
      <c r="I51" t="inlineStr">
        <is>
          <t>TN</t>
        </is>
      </c>
      <c r="J51" t="inlineStr"/>
      <c r="K51" t="inlineStr">
        <is>
          <t>20190722</t>
        </is>
      </c>
      <c r="L51" t="inlineStr">
        <is>
          <t>20250127</t>
        </is>
      </c>
    </row>
    <row r="52">
      <c r="A52" t="inlineStr">
        <is>
          <t>900005545</t>
        </is>
      </c>
      <c r="B52" t="inlineStr">
        <is>
          <t>D898</t>
        </is>
      </c>
      <c r="C52" t="inlineStr">
        <is>
          <t>66511093</t>
        </is>
      </c>
      <c r="D52" t="inlineStr">
        <is>
          <t>10000432</t>
        </is>
      </c>
      <c r="E52" t="inlineStr"/>
      <c r="F52" s="11" t="n">
        <v>160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900005545</t>
        </is>
      </c>
      <c r="B53" t="inlineStr">
        <is>
          <t>D898</t>
        </is>
      </c>
      <c r="C53" t="inlineStr">
        <is>
          <t>66511093</t>
        </is>
      </c>
      <c r="D53" t="inlineStr">
        <is>
          <t>10128748</t>
        </is>
      </c>
      <c r="E53" t="inlineStr"/>
      <c r="F53" s="11" t="n">
        <v>190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900005545</t>
        </is>
      </c>
      <c r="B54" t="inlineStr">
        <is>
          <t>D898</t>
        </is>
      </c>
      <c r="C54" t="inlineStr">
        <is>
          <t>66511093</t>
        </is>
      </c>
      <c r="D54" t="inlineStr">
        <is>
          <t>10128752</t>
        </is>
      </c>
      <c r="E54" t="inlineStr"/>
      <c r="F54" s="11" t="n">
        <v>190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900005545</t>
        </is>
      </c>
      <c r="B55" t="inlineStr">
        <is>
          <t>D898</t>
        </is>
      </c>
      <c r="C55" t="inlineStr">
        <is>
          <t>66511093</t>
        </is>
      </c>
      <c r="D55" t="inlineStr">
        <is>
          <t>10136047</t>
        </is>
      </c>
      <c r="E55" t="inlineStr"/>
      <c r="F55" s="11" t="n">
        <v>105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900005598</t>
        </is>
      </c>
      <c r="B56" t="inlineStr">
        <is>
          <t>D898</t>
        </is>
      </c>
      <c r="C56" t="inlineStr">
        <is>
          <t>66493971</t>
        </is>
      </c>
      <c r="D56" t="inlineStr">
        <is>
          <t>10000432</t>
        </is>
      </c>
      <c r="E56" t="inlineStr"/>
      <c r="F56" s="11" t="n">
        <v>165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900005598</t>
        </is>
      </c>
      <c r="B57" t="inlineStr">
        <is>
          <t>D898</t>
        </is>
      </c>
      <c r="C57" t="inlineStr">
        <is>
          <t>66866358</t>
        </is>
      </c>
      <c r="D57" t="inlineStr">
        <is>
          <t>10128740</t>
        </is>
      </c>
      <c r="E57" t="inlineStr"/>
      <c r="F57" s="11" t="n">
        <v>220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900006803</t>
        </is>
      </c>
      <c r="B58" t="inlineStr">
        <is>
          <t>D898</t>
        </is>
      </c>
      <c r="C58" t="inlineStr">
        <is>
          <t>66897012</t>
        </is>
      </c>
      <c r="D58" t="inlineStr">
        <is>
          <t>10128748</t>
        </is>
      </c>
      <c r="E58" t="inlineStr"/>
      <c r="F58" s="11" t="n">
        <v>296.56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900004947</t>
        </is>
      </c>
      <c r="B59" t="inlineStr">
        <is>
          <t>D898</t>
        </is>
      </c>
      <c r="C59" t="inlineStr">
        <is>
          <t>66704149</t>
        </is>
      </c>
      <c r="D59" t="inlineStr">
        <is>
          <t>10136441</t>
        </is>
      </c>
      <c r="E59" t="inlineStr"/>
      <c r="F59" s="11" t="n">
        <v>188</v>
      </c>
      <c r="G59" t="inlineStr"/>
      <c r="I59" t="inlineStr">
        <is>
          <t>M3</t>
        </is>
      </c>
      <c r="J59" t="inlineStr"/>
      <c r="K59" t="inlineStr">
        <is>
          <t>20240619</t>
        </is>
      </c>
      <c r="L59" t="inlineStr">
        <is>
          <t>20251031</t>
        </is>
      </c>
    </row>
    <row r="60">
      <c r="A60" t="inlineStr">
        <is>
          <t>900004947</t>
        </is>
      </c>
      <c r="B60" t="inlineStr">
        <is>
          <t>D898</t>
        </is>
      </c>
      <c r="C60" t="inlineStr">
        <is>
          <t>65784437</t>
        </is>
      </c>
      <c r="D60" t="inlineStr">
        <is>
          <t>10136048</t>
        </is>
      </c>
      <c r="E60" t="inlineStr"/>
      <c r="F60" s="11" t="n">
        <v>253</v>
      </c>
      <c r="G60" t="inlineStr"/>
      <c r="I60" t="inlineStr">
        <is>
          <t>M3</t>
        </is>
      </c>
      <c r="J60" t="inlineStr"/>
      <c r="K60" t="inlineStr">
        <is>
          <t>20260305</t>
        </is>
      </c>
      <c r="L60" t="inlineStr">
        <is>
          <t>99991231</t>
        </is>
      </c>
    </row>
    <row r="61">
      <c r="A61" t="inlineStr">
        <is>
          <t>900004947</t>
        </is>
      </c>
      <c r="B61" t="inlineStr">
        <is>
          <t>D898</t>
        </is>
      </c>
      <c r="C61" t="inlineStr">
        <is>
          <t>65784437</t>
        </is>
      </c>
      <c r="D61" t="inlineStr">
        <is>
          <t>10136049</t>
        </is>
      </c>
      <c r="E61" t="inlineStr"/>
      <c r="F61" s="11" t="n">
        <v>253</v>
      </c>
      <c r="G61" t="inlineStr"/>
      <c r="I61" t="inlineStr">
        <is>
          <t>M3</t>
        </is>
      </c>
      <c r="J61" t="inlineStr"/>
      <c r="K61" t="inlineStr">
        <is>
          <t>20260305</t>
        </is>
      </c>
      <c r="L61" t="inlineStr">
        <is>
          <t>99991231</t>
        </is>
      </c>
    </row>
    <row r="62">
      <c r="A62" t="inlineStr">
        <is>
          <t>900004947</t>
        </is>
      </c>
      <c r="B62" t="inlineStr">
        <is>
          <t>D898</t>
        </is>
      </c>
      <c r="C62" t="inlineStr">
        <is>
          <t>65784437</t>
        </is>
      </c>
      <c r="D62" t="inlineStr">
        <is>
          <t>10136441</t>
        </is>
      </c>
      <c r="E62" t="inlineStr"/>
      <c r="F62" s="11" t="n">
        <v>253</v>
      </c>
      <c r="G62" t="inlineStr"/>
      <c r="I62" t="inlineStr">
        <is>
          <t>M3</t>
        </is>
      </c>
      <c r="J62" t="inlineStr"/>
      <c r="K62" t="inlineStr">
        <is>
          <t>20260305</t>
        </is>
      </c>
      <c r="L62" t="inlineStr">
        <is>
          <t>99991231</t>
        </is>
      </c>
    </row>
    <row r="63">
      <c r="A63" t="inlineStr">
        <is>
          <t>900004947</t>
        </is>
      </c>
      <c r="B63" t="inlineStr">
        <is>
          <t>D898</t>
        </is>
      </c>
      <c r="C63" t="inlineStr">
        <is>
          <t>67315202</t>
        </is>
      </c>
      <c r="D63" t="inlineStr">
        <is>
          <t>10136048</t>
        </is>
      </c>
      <c r="E63" t="inlineStr"/>
      <c r="F63" s="11" t="n">
        <v>253</v>
      </c>
      <c r="G63" t="inlineStr"/>
      <c r="I63" t="inlineStr">
        <is>
          <t>M3</t>
        </is>
      </c>
      <c r="J63" t="inlineStr"/>
      <c r="K63" t="inlineStr">
        <is>
          <t>20260305</t>
        </is>
      </c>
      <c r="L63" t="inlineStr">
        <is>
          <t>99991231</t>
        </is>
      </c>
    </row>
    <row r="64">
      <c r="A64" t="inlineStr">
        <is>
          <t>900004947</t>
        </is>
      </c>
      <c r="B64" t="inlineStr">
        <is>
          <t>D898</t>
        </is>
      </c>
      <c r="C64" t="inlineStr">
        <is>
          <t>67315202</t>
        </is>
      </c>
      <c r="D64" t="inlineStr">
        <is>
          <t>10136049</t>
        </is>
      </c>
      <c r="E64" t="inlineStr"/>
      <c r="F64" s="11" t="n">
        <v>253</v>
      </c>
      <c r="G64" t="inlineStr"/>
      <c r="I64" t="inlineStr">
        <is>
          <t>M3</t>
        </is>
      </c>
      <c r="J64" t="inlineStr"/>
      <c r="K64" t="inlineStr">
        <is>
          <t>20260305</t>
        </is>
      </c>
      <c r="L64" t="inlineStr">
        <is>
          <t>99991231</t>
        </is>
      </c>
    </row>
    <row r="65">
      <c r="A65" t="inlineStr">
        <is>
          <t>900004947</t>
        </is>
      </c>
      <c r="B65" t="inlineStr">
        <is>
          <t>D898</t>
        </is>
      </c>
      <c r="C65" t="inlineStr">
        <is>
          <t>67315202</t>
        </is>
      </c>
      <c r="D65" t="inlineStr">
        <is>
          <t>10136441</t>
        </is>
      </c>
      <c r="E65" t="inlineStr"/>
      <c r="F65" s="11" t="n">
        <v>253</v>
      </c>
      <c r="G65" t="inlineStr"/>
      <c r="I65" t="inlineStr">
        <is>
          <t>M3</t>
        </is>
      </c>
      <c r="J65" t="inlineStr"/>
      <c r="K65" t="inlineStr">
        <is>
          <t>20260319</t>
        </is>
      </c>
      <c r="L65" t="inlineStr">
        <is>
          <t>99991231</t>
        </is>
      </c>
    </row>
    <row r="66">
      <c r="A66" t="inlineStr">
        <is>
          <t>900004947</t>
        </is>
      </c>
      <c r="B66" t="inlineStr">
        <is>
          <t>D898</t>
        </is>
      </c>
      <c r="C66" t="inlineStr">
        <is>
          <t>67315202</t>
        </is>
      </c>
      <c r="D66" t="inlineStr">
        <is>
          <t>10267899</t>
        </is>
      </c>
      <c r="E66" t="inlineStr"/>
      <c r="F66" s="11" t="n">
        <v>133</v>
      </c>
      <c r="G66" t="inlineStr"/>
      <c r="I66" t="inlineStr">
        <is>
          <t>M3</t>
        </is>
      </c>
      <c r="J66" t="inlineStr"/>
      <c r="K66" t="inlineStr">
        <is>
          <t>20250623</t>
        </is>
      </c>
      <c r="L66" t="inlineStr">
        <is>
          <t>99991231</t>
        </is>
      </c>
    </row>
    <row r="67">
      <c r="A67" t="inlineStr">
        <is>
          <t>900004947</t>
        </is>
      </c>
      <c r="B67" t="inlineStr">
        <is>
          <t>D898</t>
        </is>
      </c>
      <c r="C67" t="inlineStr">
        <is>
          <t>67315202</t>
        </is>
      </c>
      <c r="D67" t="inlineStr">
        <is>
          <t>10267961</t>
        </is>
      </c>
      <c r="E67" t="inlineStr"/>
      <c r="F67" s="11" t="n">
        <v>133</v>
      </c>
      <c r="G67" t="inlineStr"/>
      <c r="I67" t="inlineStr">
        <is>
          <t>M3</t>
        </is>
      </c>
      <c r="J67" t="inlineStr"/>
      <c r="K67" t="inlineStr">
        <is>
          <t>20250623</t>
        </is>
      </c>
      <c r="L67" t="inlineStr">
        <is>
          <t>99991231</t>
        </is>
      </c>
    </row>
    <row r="68">
      <c r="A68" t="inlineStr">
        <is>
          <t>900005545</t>
        </is>
      </c>
      <c r="B68" t="inlineStr">
        <is>
          <t>D898</t>
        </is>
      </c>
      <c r="C68" t="inlineStr">
        <is>
          <t>67208986</t>
        </is>
      </c>
      <c r="D68" t="inlineStr">
        <is>
          <t>10128748</t>
        </is>
      </c>
      <c r="E68" t="inlineStr"/>
      <c r="F68" s="11" t="n">
        <v>316.1</v>
      </c>
      <c r="G68" t="inlineStr"/>
      <c r="I68" t="inlineStr">
        <is>
          <t>M3</t>
        </is>
      </c>
      <c r="J68" t="inlineStr"/>
      <c r="K68" t="inlineStr">
        <is>
          <t>20240910</t>
        </is>
      </c>
      <c r="L68" t="inlineStr">
        <is>
          <t>99991231</t>
        </is>
      </c>
    </row>
    <row r="69">
      <c r="A69" t="inlineStr">
        <is>
          <t>900009575</t>
        </is>
      </c>
      <c r="B69" t="inlineStr">
        <is>
          <t>D898</t>
        </is>
      </c>
      <c r="C69" t="inlineStr">
        <is>
          <t>67381805</t>
        </is>
      </c>
      <c r="D69" t="inlineStr">
        <is>
          <t>10128595</t>
        </is>
      </c>
      <c r="E69" t="inlineStr"/>
      <c r="F69" s="11" t="n">
        <v>553</v>
      </c>
      <c r="G69" t="inlineStr"/>
      <c r="I69" t="inlineStr">
        <is>
          <t>M3</t>
        </is>
      </c>
      <c r="J69" t="inlineStr"/>
      <c r="K69" t="inlineStr">
        <is>
          <t>20260701</t>
        </is>
      </c>
      <c r="L69" t="inlineStr">
        <is>
          <t>99991231</t>
        </is>
      </c>
    </row>
    <row r="70">
      <c r="A70" t="inlineStr">
        <is>
          <t>900009575</t>
        </is>
      </c>
      <c r="B70" t="inlineStr">
        <is>
          <t>D898</t>
        </is>
      </c>
      <c r="C70" t="inlineStr">
        <is>
          <t>67381805</t>
        </is>
      </c>
      <c r="D70" t="inlineStr">
        <is>
          <t>10128597</t>
        </is>
      </c>
      <c r="E70" t="inlineStr"/>
      <c r="F70" s="11" t="n">
        <v>553</v>
      </c>
      <c r="G70" t="inlineStr"/>
      <c r="I70" t="inlineStr">
        <is>
          <t>M3</t>
        </is>
      </c>
      <c r="J70" t="inlineStr"/>
      <c r="K70" t="inlineStr">
        <is>
          <t>20260701</t>
        </is>
      </c>
      <c r="L70" t="inlineStr">
        <is>
          <t>99991231</t>
        </is>
      </c>
    </row>
    <row r="71">
      <c r="A71" t="inlineStr">
        <is>
          <t>900004947</t>
        </is>
      </c>
      <c r="B71" t="inlineStr">
        <is>
          <t>D898</t>
        </is>
      </c>
      <c r="C71" t="inlineStr">
        <is>
          <t>65784437</t>
        </is>
      </c>
      <c r="D71" t="inlineStr">
        <is>
          <t>10136441</t>
        </is>
      </c>
      <c r="E71" t="inlineStr"/>
      <c r="F71" s="11" t="n">
        <v>197.4</v>
      </c>
      <c r="G71" t="inlineStr"/>
      <c r="I71" t="inlineStr">
        <is>
          <t>M3</t>
        </is>
      </c>
      <c r="J71" t="inlineStr"/>
      <c r="K71" t="inlineStr">
        <is>
          <t>20250528</t>
        </is>
      </c>
      <c r="L71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900004896D8986626295710127817</t>
        </is>
      </c>
      <c r="B2" t="inlineStr">
        <is>
          <t>900004896</t>
        </is>
      </c>
      <c r="C2" t="inlineStr">
        <is>
          <t>D898</t>
        </is>
      </c>
      <c r="D2" t="inlineStr">
        <is>
          <t>66262957</t>
        </is>
      </c>
      <c r="E2" t="inlineStr">
        <is>
          <t>1</t>
        </is>
      </c>
      <c r="F2" t="inlineStr">
        <is>
          <t>10127817</t>
        </is>
      </c>
      <c r="H2" t="inlineStr"/>
      <c r="J2" t="n">
        <v>226.98</v>
      </c>
      <c r="K2" t="inlineStr"/>
      <c r="M2" t="inlineStr">
        <is>
          <t>M3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900004896D8986626317410127817</t>
        </is>
      </c>
      <c r="B3" t="inlineStr">
        <is>
          <t>900004896</t>
        </is>
      </c>
      <c r="C3" t="inlineStr">
        <is>
          <t>D898</t>
        </is>
      </c>
      <c r="D3" t="inlineStr">
        <is>
          <t>66263174</t>
        </is>
      </c>
      <c r="E3" t="inlineStr">
        <is>
          <t>1</t>
        </is>
      </c>
      <c r="F3" t="inlineStr">
        <is>
          <t>10127817</t>
        </is>
      </c>
      <c r="H3" t="inlineStr"/>
      <c r="J3" t="n">
        <v>244.14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900004897D8986589086510128599</t>
        </is>
      </c>
      <c r="B4" t="inlineStr">
        <is>
          <t>900004897</t>
        </is>
      </c>
      <c r="C4" t="inlineStr">
        <is>
          <t>D898</t>
        </is>
      </c>
      <c r="D4" t="inlineStr">
        <is>
          <t>65890865</t>
        </is>
      </c>
      <c r="E4" t="inlineStr">
        <is>
          <t>1</t>
        </is>
      </c>
      <c r="F4" t="inlineStr">
        <is>
          <t>10128599</t>
        </is>
      </c>
      <c r="H4" t="inlineStr"/>
      <c r="J4" t="n">
        <v>83.14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900004897D8986589086510128742</t>
        </is>
      </c>
      <c r="B5" t="inlineStr">
        <is>
          <t>900004897</t>
        </is>
      </c>
      <c r="C5" t="inlineStr">
        <is>
          <t>D898</t>
        </is>
      </c>
      <c r="D5" t="inlineStr">
        <is>
          <t>65890865</t>
        </is>
      </c>
      <c r="E5" t="inlineStr">
        <is>
          <t>1</t>
        </is>
      </c>
      <c r="F5" t="inlineStr">
        <is>
          <t>10128742</t>
        </is>
      </c>
      <c r="H5" t="inlineStr"/>
      <c r="J5" t="n">
        <v>83.14</v>
      </c>
      <c r="K5" t="inlineStr"/>
      <c r="M5" t="inlineStr">
        <is>
          <t>M3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900004897D8986589086510128754</t>
        </is>
      </c>
      <c r="B6" t="inlineStr">
        <is>
          <t>900004897</t>
        </is>
      </c>
      <c r="C6" t="inlineStr">
        <is>
          <t>D898</t>
        </is>
      </c>
      <c r="D6" t="inlineStr">
        <is>
          <t>65890865</t>
        </is>
      </c>
      <c r="E6" t="inlineStr">
        <is>
          <t>1</t>
        </is>
      </c>
      <c r="F6" t="inlineStr">
        <is>
          <t>10128754</t>
        </is>
      </c>
      <c r="H6" t="inlineStr"/>
      <c r="J6" t="n">
        <v>83.14</v>
      </c>
      <c r="K6" t="inlineStr"/>
      <c r="M6" t="inlineStr">
        <is>
          <t>M3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900004897D8986642425310128742</t>
        </is>
      </c>
      <c r="B7" t="inlineStr">
        <is>
          <t>900004897</t>
        </is>
      </c>
      <c r="C7" t="inlineStr">
        <is>
          <t>D898</t>
        </is>
      </c>
      <c r="D7" t="inlineStr">
        <is>
          <t>66424253</t>
        </is>
      </c>
      <c r="E7" t="inlineStr">
        <is>
          <t>1</t>
        </is>
      </c>
      <c r="F7" t="inlineStr">
        <is>
          <t>10128742</t>
        </is>
      </c>
      <c r="H7" t="inlineStr"/>
      <c r="J7" t="n">
        <v>191.62</v>
      </c>
      <c r="K7" t="inlineStr"/>
      <c r="M7" t="inlineStr">
        <is>
          <t>M3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900004947D8986589086510136048</t>
        </is>
      </c>
      <c r="B8" t="inlineStr">
        <is>
          <t>900004947</t>
        </is>
      </c>
      <c r="C8" t="inlineStr">
        <is>
          <t>D898</t>
        </is>
      </c>
      <c r="D8" t="inlineStr">
        <is>
          <t>65890865</t>
        </is>
      </c>
      <c r="E8" t="inlineStr">
        <is>
          <t>1</t>
        </is>
      </c>
      <c r="F8" t="inlineStr">
        <is>
          <t>10136048</t>
        </is>
      </c>
      <c r="H8" t="inlineStr"/>
      <c r="J8" t="n">
        <v>83.14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900004947D8986589086510136049</t>
        </is>
      </c>
      <c r="B9" t="inlineStr">
        <is>
          <t>900004947</t>
        </is>
      </c>
      <c r="C9" t="inlineStr">
        <is>
          <t>D898</t>
        </is>
      </c>
      <c r="D9" t="inlineStr">
        <is>
          <t>65890865</t>
        </is>
      </c>
      <c r="E9" t="inlineStr">
        <is>
          <t>1</t>
        </is>
      </c>
      <c r="F9" t="inlineStr">
        <is>
          <t>10136049</t>
        </is>
      </c>
      <c r="H9" t="inlineStr"/>
      <c r="J9" t="n">
        <v>83.14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900004947D8986589086510136441</t>
        </is>
      </c>
      <c r="B10" t="inlineStr">
        <is>
          <t>900004947</t>
        </is>
      </c>
      <c r="C10" t="inlineStr">
        <is>
          <t>D898</t>
        </is>
      </c>
      <c r="D10" t="inlineStr">
        <is>
          <t>65890865</t>
        </is>
      </c>
      <c r="E10" t="inlineStr">
        <is>
          <t>1</t>
        </is>
      </c>
      <c r="F10" t="inlineStr">
        <is>
          <t>10136441</t>
        </is>
      </c>
      <c r="H10" t="inlineStr"/>
      <c r="J10" t="n">
        <v>83.14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900004947D8986642425310136441</t>
        </is>
      </c>
      <c r="B11" t="inlineStr">
        <is>
          <t>900004947</t>
        </is>
      </c>
      <c r="C11" t="inlineStr">
        <is>
          <t>D898</t>
        </is>
      </c>
      <c r="D11" t="inlineStr">
        <is>
          <t>66424253</t>
        </is>
      </c>
      <c r="E11" t="inlineStr">
        <is>
          <t>1</t>
        </is>
      </c>
      <c r="F11" t="inlineStr">
        <is>
          <t>10136441</t>
        </is>
      </c>
      <c r="H11" t="inlineStr"/>
      <c r="J11" t="n">
        <v>191.62</v>
      </c>
      <c r="K11" t="inlineStr"/>
      <c r="M11" t="inlineStr">
        <is>
          <t>M3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900004947D8986645398210145986</t>
        </is>
      </c>
      <c r="B12" t="inlineStr">
        <is>
          <t>900004947</t>
        </is>
      </c>
      <c r="C12" t="inlineStr">
        <is>
          <t>D898</t>
        </is>
      </c>
      <c r="D12" t="inlineStr">
        <is>
          <t>66453982</t>
        </is>
      </c>
      <c r="E12" t="inlineStr">
        <is>
          <t>1</t>
        </is>
      </c>
      <c r="F12" t="inlineStr">
        <is>
          <t>10145986</t>
        </is>
      </c>
      <c r="H12" t="inlineStr"/>
      <c r="J12" t="n">
        <v>128.57</v>
      </c>
      <c r="K12" t="inlineStr"/>
      <c r="M12" t="inlineStr">
        <is>
          <t>M3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900004947D8986682183410000432</t>
        </is>
      </c>
      <c r="B13" t="inlineStr">
        <is>
          <t>900004947</t>
        </is>
      </c>
      <c r="C13" t="inlineStr">
        <is>
          <t>D898</t>
        </is>
      </c>
      <c r="D13" t="inlineStr">
        <is>
          <t>66821834</t>
        </is>
      </c>
      <c r="E13" t="inlineStr">
        <is>
          <t>1</t>
        </is>
      </c>
      <c r="F13" t="inlineStr">
        <is>
          <t>10000432</t>
        </is>
      </c>
      <c r="H13" t="inlineStr"/>
      <c r="J13" t="n">
        <v>100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900004947D8986682183410145835</t>
        </is>
      </c>
      <c r="B14" t="inlineStr">
        <is>
          <t>900004947</t>
        </is>
      </c>
      <c r="C14" t="inlineStr">
        <is>
          <t>D898</t>
        </is>
      </c>
      <c r="D14" t="inlineStr">
        <is>
          <t>66821834</t>
        </is>
      </c>
      <c r="E14" t="inlineStr">
        <is>
          <t>1</t>
        </is>
      </c>
      <c r="F14" t="inlineStr">
        <is>
          <t>10145835</t>
        </is>
      </c>
      <c r="H14" t="inlineStr"/>
      <c r="J14" t="n">
        <v>100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900005323D8986578443710128749</t>
        </is>
      </c>
      <c r="B15" t="inlineStr">
        <is>
          <t>900005323</t>
        </is>
      </c>
      <c r="C15" t="inlineStr">
        <is>
          <t>D898</t>
        </is>
      </c>
      <c r="D15" t="inlineStr">
        <is>
          <t>65784437</t>
        </is>
      </c>
      <c r="E15" t="inlineStr">
        <is>
          <t>1</t>
        </is>
      </c>
      <c r="F15" t="inlineStr">
        <is>
          <t>10128749</t>
        </is>
      </c>
      <c r="H15" t="inlineStr"/>
      <c r="J15" t="n">
        <v>174.33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900005323D8986589086510128749</t>
        </is>
      </c>
      <c r="B16" t="inlineStr">
        <is>
          <t>900005323</t>
        </is>
      </c>
      <c r="C16" t="inlineStr">
        <is>
          <t>D898</t>
        </is>
      </c>
      <c r="D16" t="inlineStr">
        <is>
          <t>65890865</t>
        </is>
      </c>
      <c r="E16" t="inlineStr">
        <is>
          <t>1</t>
        </is>
      </c>
      <c r="F16" t="inlineStr">
        <is>
          <t>10128749</t>
        </is>
      </c>
      <c r="H16" t="inlineStr"/>
      <c r="J16" t="n">
        <v>200.22</v>
      </c>
      <c r="K16" t="inlineStr"/>
      <c r="M16" t="inlineStr">
        <is>
          <t>M3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900005431D8986589086510128599</t>
        </is>
      </c>
      <c r="B17" t="inlineStr">
        <is>
          <t>900005431</t>
        </is>
      </c>
      <c r="C17" t="inlineStr">
        <is>
          <t>D898</t>
        </is>
      </c>
      <c r="D17" t="inlineStr">
        <is>
          <t>65890865</t>
        </is>
      </c>
      <c r="E17" t="inlineStr">
        <is>
          <t>1</t>
        </is>
      </c>
      <c r="F17" t="inlineStr">
        <is>
          <t>10128599</t>
        </is>
      </c>
      <c r="H17" t="inlineStr"/>
      <c r="J17" t="n">
        <v>83.14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900005431D8986589086510128742</t>
        </is>
      </c>
      <c r="B18" t="inlineStr">
        <is>
          <t>900005431</t>
        </is>
      </c>
      <c r="C18" t="inlineStr">
        <is>
          <t>D898</t>
        </is>
      </c>
      <c r="D18" t="inlineStr">
        <is>
          <t>65890865</t>
        </is>
      </c>
      <c r="E18" t="inlineStr">
        <is>
          <t>1</t>
        </is>
      </c>
      <c r="F18" t="inlineStr">
        <is>
          <t>10128742</t>
        </is>
      </c>
      <c r="H18" t="inlineStr"/>
      <c r="J18" t="n">
        <v>83.14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900005431D8986589086510128754</t>
        </is>
      </c>
      <c r="B19" t="inlineStr">
        <is>
          <t>900005431</t>
        </is>
      </c>
      <c r="C19" t="inlineStr">
        <is>
          <t>D898</t>
        </is>
      </c>
      <c r="D19" t="inlineStr">
        <is>
          <t>65890865</t>
        </is>
      </c>
      <c r="E19" t="inlineStr">
        <is>
          <t>1</t>
        </is>
      </c>
      <c r="F19" t="inlineStr">
        <is>
          <t>10128754</t>
        </is>
      </c>
      <c r="H19" t="inlineStr"/>
      <c r="J19" t="n">
        <v>83.14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900005431D8986642425310128742</t>
        </is>
      </c>
      <c r="B20" t="inlineStr">
        <is>
          <t>900005431</t>
        </is>
      </c>
      <c r="C20" t="inlineStr">
        <is>
          <t>D898</t>
        </is>
      </c>
      <c r="D20" t="inlineStr">
        <is>
          <t>66424253</t>
        </is>
      </c>
      <c r="E20" t="inlineStr">
        <is>
          <t>1</t>
        </is>
      </c>
      <c r="F20" t="inlineStr">
        <is>
          <t>10128742</t>
        </is>
      </c>
      <c r="H20" t="inlineStr"/>
      <c r="J20" t="n">
        <v>191.62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900005464D8986642425310136441</t>
        </is>
      </c>
      <c r="B21" t="inlineStr">
        <is>
          <t>900005464</t>
        </is>
      </c>
      <c r="C21" t="inlineStr">
        <is>
          <t>D898</t>
        </is>
      </c>
      <c r="D21" t="inlineStr">
        <is>
          <t>66424253</t>
        </is>
      </c>
      <c r="E21" t="inlineStr">
        <is>
          <t>4</t>
        </is>
      </c>
      <c r="F21" t="inlineStr">
        <is>
          <t>10136441</t>
        </is>
      </c>
      <c r="H21" t="inlineStr"/>
      <c r="J21" t="n">
        <v>273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900005489D898DE8110172195</t>
        </is>
      </c>
      <c r="B22" t="inlineStr">
        <is>
          <t>900005489</t>
        </is>
      </c>
      <c r="C22" t="inlineStr">
        <is>
          <t>D898</t>
        </is>
      </c>
      <c r="D22" t="inlineStr">
        <is>
          <t>DE81</t>
        </is>
      </c>
      <c r="E22" t="inlineStr">
        <is>
          <t>1</t>
        </is>
      </c>
      <c r="F22" t="inlineStr">
        <is>
          <t>10172195</t>
        </is>
      </c>
      <c r="H22" t="inlineStr"/>
      <c r="J22" t="n">
        <v>205.81</v>
      </c>
      <c r="K22" t="inlineStr"/>
      <c r="M22" t="inlineStr">
        <is>
          <t>TN</t>
        </is>
      </c>
      <c r="N22" t="inlineStr"/>
      <c r="P22" t="inlineStr">
        <is>
          <t>20190901</t>
        </is>
      </c>
      <c r="Q22" t="inlineStr">
        <is>
          <t>20240710</t>
        </is>
      </c>
    </row>
    <row r="23">
      <c r="A23" t="inlineStr">
        <is>
          <t>900005489D898DE8210154700</t>
        </is>
      </c>
      <c r="B23" t="inlineStr">
        <is>
          <t>900005489</t>
        </is>
      </c>
      <c r="C23" t="inlineStr">
        <is>
          <t>D898</t>
        </is>
      </c>
      <c r="D23" t="inlineStr">
        <is>
          <t>DE82</t>
        </is>
      </c>
      <c r="E23" t="inlineStr">
        <is>
          <t>1</t>
        </is>
      </c>
      <c r="F23" t="inlineStr">
        <is>
          <t>10154700</t>
        </is>
      </c>
      <c r="H23" t="inlineStr"/>
      <c r="J23" t="n">
        <v>121.65</v>
      </c>
      <c r="K23" t="inlineStr"/>
      <c r="M23" t="inlineStr">
        <is>
          <t>TN</t>
        </is>
      </c>
      <c r="N23" t="inlineStr"/>
      <c r="P23" t="inlineStr">
        <is>
          <t>20190722</t>
        </is>
      </c>
      <c r="Q23" t="inlineStr">
        <is>
          <t>20240710</t>
        </is>
      </c>
    </row>
    <row r="24">
      <c r="A24" t="inlineStr">
        <is>
          <t>900005489D898DE8310154700</t>
        </is>
      </c>
      <c r="B24" t="inlineStr">
        <is>
          <t>900005489</t>
        </is>
      </c>
      <c r="C24" t="inlineStr">
        <is>
          <t>D898</t>
        </is>
      </c>
      <c r="D24" t="inlineStr">
        <is>
          <t>DE83</t>
        </is>
      </c>
      <c r="E24" t="inlineStr">
        <is>
          <t>1</t>
        </is>
      </c>
      <c r="F24" t="inlineStr">
        <is>
          <t>10154700</t>
        </is>
      </c>
      <c r="H24" t="inlineStr"/>
      <c r="J24" t="n">
        <v>156.53</v>
      </c>
      <c r="K24" t="inlineStr"/>
      <c r="M24" t="inlineStr">
        <is>
          <t>TN</t>
        </is>
      </c>
      <c r="N24" t="inlineStr"/>
      <c r="P24" t="inlineStr">
        <is>
          <t>20190722</t>
        </is>
      </c>
      <c r="Q24" t="inlineStr">
        <is>
          <t>20240710</t>
        </is>
      </c>
    </row>
    <row r="25">
      <c r="A25" t="inlineStr">
        <is>
          <t>900006803D8986689701210128748</t>
        </is>
      </c>
      <c r="B25" t="inlineStr">
        <is>
          <t>900006803</t>
        </is>
      </c>
      <c r="C25" t="inlineStr">
        <is>
          <t>D898</t>
        </is>
      </c>
      <c r="D25" t="inlineStr">
        <is>
          <t>66897012</t>
        </is>
      </c>
      <c r="E25" t="inlineStr">
        <is>
          <t>1</t>
        </is>
      </c>
      <c r="F25" t="inlineStr">
        <is>
          <t>10128748</t>
        </is>
      </c>
      <c r="H25" t="inlineStr"/>
      <c r="J25" t="n">
        <v>138.44</v>
      </c>
      <c r="K25" t="inlineStr"/>
      <c r="M25" t="inlineStr">
        <is>
          <t>M3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900009575D8986738180510128595</t>
        </is>
      </c>
      <c r="B26" t="inlineStr">
        <is>
          <t>900009575</t>
        </is>
      </c>
      <c r="C26" t="inlineStr">
        <is>
          <t>D898</t>
        </is>
      </c>
      <c r="D26" t="inlineStr">
        <is>
          <t>67381805</t>
        </is>
      </c>
      <c r="E26" t="inlineStr">
        <is>
          <t>4</t>
        </is>
      </c>
      <c r="F26" t="inlineStr">
        <is>
          <t>10128595</t>
        </is>
      </c>
      <c r="H26" t="inlineStr"/>
      <c r="J26" t="n">
        <v>72</v>
      </c>
      <c r="K26" t="inlineStr"/>
      <c r="M26" t="inlineStr">
        <is>
          <t>M3</t>
        </is>
      </c>
      <c r="N26" t="inlineStr"/>
      <c r="P26" t="inlineStr">
        <is>
          <t>20260701</t>
        </is>
      </c>
      <c r="Q26" t="inlineStr">
        <is>
          <t>99991231</t>
        </is>
      </c>
    </row>
    <row r="27">
      <c r="A27" t="inlineStr">
        <is>
          <t>900009575D8986738180510128597</t>
        </is>
      </c>
      <c r="B27" t="inlineStr">
        <is>
          <t>900009575</t>
        </is>
      </c>
      <c r="C27" t="inlineStr">
        <is>
          <t>D898</t>
        </is>
      </c>
      <c r="D27" t="inlineStr">
        <is>
          <t>67381805</t>
        </is>
      </c>
      <c r="E27" t="inlineStr">
        <is>
          <t>4</t>
        </is>
      </c>
      <c r="F27" t="inlineStr">
        <is>
          <t>10128597</t>
        </is>
      </c>
      <c r="H27" t="inlineStr"/>
      <c r="J27" t="n">
        <v>72</v>
      </c>
      <c r="K27" t="inlineStr"/>
      <c r="M27" t="inlineStr">
        <is>
          <t>M3</t>
        </is>
      </c>
      <c r="N27" t="inlineStr"/>
      <c r="P27" t="inlineStr">
        <is>
          <t>20260701</t>
        </is>
      </c>
      <c r="Q2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900009575D8986738180510128597</t>
        </is>
      </c>
      <c r="B2" t="inlineStr">
        <is>
          <t>4600072351-10</t>
        </is>
      </c>
      <c r="C2" t="n">
        <v>4600072351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900009575</v>
      </c>
      <c r="H2" t="inlineStr">
        <is>
          <t>SF TP-ED EL NARANJITO</t>
        </is>
      </c>
      <c r="I2" t="n">
        <v>5001837</v>
      </c>
      <c r="J2" t="inlineStr">
        <is>
          <t>SINDICATO DE TRAB DE CRIBAS CLASIF</t>
        </is>
      </c>
      <c r="K2" t="inlineStr">
        <is>
          <t>Z03</t>
        </is>
      </c>
      <c r="L2" t="inlineStr">
        <is>
          <t>(AP) 15 Dias</t>
        </is>
      </c>
      <c r="M2" t="n">
        <v>10128597</v>
      </c>
      <c r="N2" t="inlineStr">
        <is>
          <t>GRAVA TRITURADA RIO 20 MM - 3/4"</t>
        </is>
      </c>
      <c r="O2" t="inlineStr">
        <is>
          <t>D898</t>
        </is>
      </c>
      <c r="P2" t="inlineStr">
        <is>
          <t>MX-CED. MICHOACAN</t>
        </is>
      </c>
      <c r="Q2" t="n">
        <v>20260701</v>
      </c>
      <c r="R2" t="n">
        <v>20301231</v>
      </c>
      <c r="S2" t="n">
        <v>20260701</v>
      </c>
      <c r="T2" t="n">
        <v>20301231</v>
      </c>
      <c r="U2" t="n">
        <v>575</v>
      </c>
      <c r="V2" t="inlineStr">
        <is>
          <t>MXN</t>
        </is>
      </c>
      <c r="W2" t="inlineStr">
        <is>
          <t>M3</t>
        </is>
      </c>
      <c r="X2" t="n">
        <v>72</v>
      </c>
      <c r="Y2" t="inlineStr">
        <is>
          <t>MXN</t>
        </is>
      </c>
      <c r="Z2" t="inlineStr">
        <is>
          <t>M3</t>
        </is>
      </c>
      <c r="AA2" t="inlineStr">
        <is>
          <t>67381805</t>
        </is>
      </c>
      <c r="AB2" t="inlineStr">
        <is>
          <t>AGREGADOS PLANTA GAMI PLC</t>
        </is>
      </c>
      <c r="AC2" t="n">
        <v>56103637</v>
      </c>
      <c r="AD2" t="n">
        <v>6622841540</v>
      </c>
      <c r="AE2" t="n">
        <v>4</v>
      </c>
      <c r="AF2" t="inlineStr">
        <is>
          <t>ENTREGA DIRECTA</t>
        </is>
      </c>
      <c r="AG2" t="n">
        <v>1.531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20260707</v>
      </c>
      <c r="AM2" t="inlineStr">
        <is>
          <t>D898-900009575-67381805-10128597-4</t>
        </is>
      </c>
    </row>
    <row r="3">
      <c r="A3" t="inlineStr">
        <is>
          <t>900009575D8986738180510128595</t>
        </is>
      </c>
      <c r="B3" t="inlineStr">
        <is>
          <t>4600072351-20</t>
        </is>
      </c>
      <c r="C3" t="n">
        <v>4600072351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900009575</v>
      </c>
      <c r="H3" t="inlineStr">
        <is>
          <t>SF TP-ED EL NARANJITO</t>
        </is>
      </c>
      <c r="I3" t="n">
        <v>5001837</v>
      </c>
      <c r="J3" t="inlineStr">
        <is>
          <t>SINDICATO DE TRAB DE CRIBAS CLASIF</t>
        </is>
      </c>
      <c r="K3" t="inlineStr">
        <is>
          <t>Z03</t>
        </is>
      </c>
      <c r="L3" t="inlineStr">
        <is>
          <t>(AP) 15 Dias</t>
        </is>
      </c>
      <c r="M3" t="n">
        <v>10128595</v>
      </c>
      <c r="N3" t="inlineStr">
        <is>
          <t>ARENA CLASIFICADA RIO MALLA 4</t>
        </is>
      </c>
      <c r="O3" t="inlineStr">
        <is>
          <t>D898</t>
        </is>
      </c>
      <c r="P3" t="inlineStr">
        <is>
          <t>MX-CED. MICHOACAN</t>
        </is>
      </c>
      <c r="Q3" t="n">
        <v>20260701</v>
      </c>
      <c r="R3" t="n">
        <v>20301231</v>
      </c>
      <c r="S3" t="n">
        <v>20260701</v>
      </c>
      <c r="T3" t="n">
        <v>20301231</v>
      </c>
      <c r="U3" t="n">
        <v>575</v>
      </c>
      <c r="V3" t="inlineStr">
        <is>
          <t>MXN</t>
        </is>
      </c>
      <c r="W3" t="inlineStr">
        <is>
          <t>M3</t>
        </is>
      </c>
      <c r="X3" t="n">
        <v>72</v>
      </c>
      <c r="Y3" t="inlineStr">
        <is>
          <t>MXN</t>
        </is>
      </c>
      <c r="Z3" t="inlineStr">
        <is>
          <t>M3</t>
        </is>
      </c>
      <c r="AA3" t="inlineStr">
        <is>
          <t>67381805</t>
        </is>
      </c>
      <c r="AB3" t="inlineStr">
        <is>
          <t>AGREGADOS PLANTA GAMI PLC</t>
        </is>
      </c>
      <c r="AC3" t="n">
        <v>56103638</v>
      </c>
      <c r="AD3" t="n">
        <v>6622841540</v>
      </c>
      <c r="AE3" t="n">
        <v>4</v>
      </c>
      <c r="AF3" t="inlineStr">
        <is>
          <t>ENTREGA DIRECTA</t>
        </is>
      </c>
      <c r="AG3" t="n">
        <v>1.575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20260707</v>
      </c>
      <c r="AM3" t="inlineStr">
        <is>
          <t>D898-900009575-67381805-10128595-4</t>
        </is>
      </c>
    </row>
    <row r="4">
      <c r="A4" t="inlineStr">
        <is>
          <t>900006937D89810194398</t>
        </is>
      </c>
      <c r="B4" t="inlineStr">
        <is>
          <t>4600071219-10</t>
        </is>
      </c>
      <c r="C4" t="n">
        <v>4600071219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900006937</v>
      </c>
      <c r="H4" t="inlineStr">
        <is>
          <t>SF TP-CONSTRU VARGAS</t>
        </is>
      </c>
      <c r="I4" t="n">
        <v>5079830</v>
      </c>
      <c r="J4" t="inlineStr">
        <is>
          <t>CONSTRU VARGAS SA DE CV</t>
        </is>
      </c>
      <c r="K4" t="inlineStr">
        <is>
          <t>Z09</t>
        </is>
      </c>
      <c r="L4" t="inlineStr">
        <is>
          <t>(AP) 90 Dias</t>
        </is>
      </c>
      <c r="M4" t="n">
        <v>10194398</v>
      </c>
      <c r="N4" t="inlineStr">
        <is>
          <t>ARENA CRIBADA VOLCANICA MALLA 4</t>
        </is>
      </c>
      <c r="O4" t="inlineStr">
        <is>
          <t>D898</t>
        </is>
      </c>
      <c r="P4" t="inlineStr">
        <is>
          <t>MX-CED. MICHOACAN</t>
        </is>
      </c>
      <c r="Q4" t="n">
        <v>20250507</v>
      </c>
      <c r="R4" t="n">
        <v>20301231</v>
      </c>
      <c r="S4" t="n">
        <v>20250507</v>
      </c>
      <c r="T4" t="n">
        <v>20301231</v>
      </c>
      <c r="U4" t="n">
        <v>168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6622841540</v>
      </c>
      <c r="AE4" t="n">
        <v>1</v>
      </c>
      <c r="AF4" t="inlineStr">
        <is>
          <t>ENTREGADO</t>
        </is>
      </c>
      <c r="AG4" t="n">
        <v>1.443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20250509</v>
      </c>
      <c r="AM4" t="inlineStr">
        <is>
          <t>D898-900006937-10194398</t>
        </is>
      </c>
    </row>
    <row r="5">
      <c r="A5" t="inlineStr">
        <is>
          <t>900004947D89810136047</t>
        </is>
      </c>
      <c r="B5" t="inlineStr">
        <is>
          <t>4600035702-10</t>
        </is>
      </c>
      <c r="C5" t="n">
        <v>4600035702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900004947</v>
      </c>
      <c r="H5" t="inlineStr">
        <is>
          <t>TP-TRICKAL</t>
        </is>
      </c>
      <c r="I5" t="n">
        <v>5065198</v>
      </c>
      <c r="J5" t="inlineStr">
        <is>
          <t>TRITURADOS PETREOS TRICKAL</t>
        </is>
      </c>
      <c r="K5" t="inlineStr">
        <is>
          <t>Z07</t>
        </is>
      </c>
      <c r="L5" t="inlineStr">
        <is>
          <t>(AP) 60 Dias</t>
        </is>
      </c>
      <c r="M5" t="n">
        <v>10136047</v>
      </c>
      <c r="N5" t="inlineStr">
        <is>
          <t>ARENA TRITURADA BASALTO MALLA 4</t>
        </is>
      </c>
      <c r="O5" t="inlineStr">
        <is>
          <t>D898</t>
        </is>
      </c>
      <c r="P5" t="inlineStr">
        <is>
          <t>MX-CED. MICHOACAN</t>
        </is>
      </c>
      <c r="Q5" t="n">
        <v>20161027</v>
      </c>
      <c r="R5" t="n">
        <v>20261231</v>
      </c>
      <c r="S5" t="n">
        <v>20190215</v>
      </c>
      <c r="T5" t="n">
        <v>20241231</v>
      </c>
      <c r="U5" t="n">
        <v>130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6622841540</v>
      </c>
      <c r="AE5" t="n">
        <v>1</v>
      </c>
      <c r="AF5" t="inlineStr">
        <is>
          <t>ENTREGADO</t>
        </is>
      </c>
      <c r="AG5" t="n">
        <v>1.516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D898-900004947-10136047</t>
        </is>
      </c>
    </row>
    <row r="6">
      <c r="A6" t="inlineStr">
        <is>
          <t>900004947D89810145986</t>
        </is>
      </c>
      <c r="B6" t="inlineStr">
        <is>
          <t>4600035702-80</t>
        </is>
      </c>
      <c r="C6" t="n">
        <v>4600035702</v>
      </c>
      <c r="D6" t="n">
        <v>80</v>
      </c>
      <c r="E6" t="inlineStr">
        <is>
          <t>MXPO</t>
        </is>
      </c>
      <c r="F6" t="inlineStr">
        <is>
          <t>MXL</t>
        </is>
      </c>
      <c r="G6" t="n">
        <v>900004947</v>
      </c>
      <c r="H6" t="inlineStr">
        <is>
          <t>TP-TRICKAL</t>
        </is>
      </c>
      <c r="I6" t="n">
        <v>5065198</v>
      </c>
      <c r="J6" t="inlineStr">
        <is>
          <t>TRITURADOS PETREOS TRICKAL</t>
        </is>
      </c>
      <c r="K6" t="inlineStr">
        <is>
          <t>Z07</t>
        </is>
      </c>
      <c r="L6" t="inlineStr">
        <is>
          <t>(AP) 60 Dias</t>
        </is>
      </c>
      <c r="M6" t="n">
        <v>10145986</v>
      </c>
      <c r="N6" t="inlineStr">
        <is>
          <t>PIEDRA PICADA DE 30 CM A 60 CM</t>
        </is>
      </c>
      <c r="O6" t="inlineStr">
        <is>
          <t>D898</t>
        </is>
      </c>
      <c r="P6" t="inlineStr">
        <is>
          <t>MX-CED. MICHOACAN</t>
        </is>
      </c>
      <c r="Q6" t="n">
        <v>20161027</v>
      </c>
      <c r="R6" t="n">
        <v>20261231</v>
      </c>
      <c r="S6" t="n">
        <v>20181023</v>
      </c>
      <c r="T6" t="n">
        <v>20241231</v>
      </c>
      <c r="U6" t="n">
        <v>150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6622841540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D898-900004947-10145986</t>
        </is>
      </c>
    </row>
    <row r="7">
      <c r="A7" t="inlineStr">
        <is>
          <t>900004947D89810159061</t>
        </is>
      </c>
      <c r="B7" t="inlineStr">
        <is>
          <t>4600035702-90</t>
        </is>
      </c>
      <c r="C7" t="n">
        <v>4600035702</v>
      </c>
      <c r="D7" t="n">
        <v>90</v>
      </c>
      <c r="E7" t="inlineStr">
        <is>
          <t>MXPO</t>
        </is>
      </c>
      <c r="F7" t="inlineStr">
        <is>
          <t>MXL</t>
        </is>
      </c>
      <c r="G7" t="n">
        <v>900004947</v>
      </c>
      <c r="H7" t="inlineStr">
        <is>
          <t>TP-TRICKAL</t>
        </is>
      </c>
      <c r="I7" t="n">
        <v>5065198</v>
      </c>
      <c r="J7" t="inlineStr">
        <is>
          <t>TRITURADOS PETREOS TRICKAL</t>
        </is>
      </c>
      <c r="K7" t="inlineStr">
        <is>
          <t>Z07</t>
        </is>
      </c>
      <c r="L7" t="inlineStr">
        <is>
          <t>(AP) 60 Dias</t>
        </is>
      </c>
      <c r="M7" t="n">
        <v>10159061</v>
      </c>
      <c r="N7" t="inlineStr">
        <is>
          <t>SUB-BALASTO TRITURADO BASALTO</t>
        </is>
      </c>
      <c r="O7" t="inlineStr">
        <is>
          <t>D898</t>
        </is>
      </c>
      <c r="P7" t="inlineStr">
        <is>
          <t>MX-CED. MICHOACAN</t>
        </is>
      </c>
      <c r="Q7" t="n">
        <v>20161027</v>
      </c>
      <c r="R7" t="n">
        <v>20261231</v>
      </c>
      <c r="S7" t="n">
        <v>20180928</v>
      </c>
      <c r="T7" t="n">
        <v>20241231</v>
      </c>
      <c r="U7" t="n">
        <v>170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56103590</v>
      </c>
      <c r="AD7" t="n">
        <v>6622841540</v>
      </c>
      <c r="AE7" t="n">
        <v>1</v>
      </c>
      <c r="AF7" t="inlineStr">
        <is>
          <t>ENTREGADO</t>
        </is>
      </c>
      <c r="AG7" t="n">
        <v>1.6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D898-900004947-10159061</t>
        </is>
      </c>
    </row>
    <row r="8">
      <c r="A8" t="inlineStr">
        <is>
          <t>900005871D89810127817</t>
        </is>
      </c>
      <c r="B8" t="inlineStr">
        <is>
          <t>4600043362-10</t>
        </is>
      </c>
      <c r="C8" t="n">
        <v>4600043362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900005871</v>
      </c>
      <c r="H8" t="inlineStr">
        <is>
          <t>SF TP-MARCO III</t>
        </is>
      </c>
      <c r="I8" t="n">
        <v>5073739</v>
      </c>
      <c r="J8" t="inlineStr">
        <is>
          <t>ESCOBEDO HERNANDEZ HECTOR</t>
        </is>
      </c>
      <c r="K8" t="inlineStr">
        <is>
          <t>Z00</t>
        </is>
      </c>
      <c r="L8" t="inlineStr">
        <is>
          <t>(AP) Pagadero Inmediatamente</t>
        </is>
      </c>
      <c r="M8" t="n">
        <v>10127817</v>
      </c>
      <c r="N8" t="inlineStr">
        <is>
          <t>ARENA CLASIFICADA VOLCANICA MALLA 4</t>
        </is>
      </c>
      <c r="O8" t="inlineStr">
        <is>
          <t>D898</t>
        </is>
      </c>
      <c r="P8" t="inlineStr">
        <is>
          <t>MX-CED. MICHOACAN</t>
        </is>
      </c>
      <c r="Q8" t="n">
        <v>20181112</v>
      </c>
      <c r="R8" t="n">
        <v>20241231</v>
      </c>
      <c r="S8" t="n">
        <v>20190212</v>
      </c>
      <c r="T8" t="n">
        <v>20241231</v>
      </c>
      <c r="U8" t="n">
        <v>108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6622841540</v>
      </c>
      <c r="AE8" t="n">
        <v>1</v>
      </c>
      <c r="AF8" t="inlineStr">
        <is>
          <t>ENTREGADO</t>
        </is>
      </c>
      <c r="AG8" t="n">
        <v>1.517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D898-900005871-10127817</t>
        </is>
      </c>
    </row>
    <row r="9">
      <c r="A9" t="inlineStr">
        <is>
          <t>900005431D89810128599</t>
        </is>
      </c>
      <c r="B9" t="inlineStr">
        <is>
          <t>4600041059-20</t>
        </is>
      </c>
      <c r="C9" t="n">
        <v>4600041059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900005431</v>
      </c>
      <c r="H9" t="inlineStr">
        <is>
          <t>TP-MESON NUEVO II</t>
        </is>
      </c>
      <c r="I9" t="n">
        <v>5041348</v>
      </c>
      <c r="J9" t="inlineStr">
        <is>
          <t>GRUPO EDIFICADOR GENESIS SA DE CV</t>
        </is>
      </c>
      <c r="K9" t="inlineStr">
        <is>
          <t>Z03</t>
        </is>
      </c>
      <c r="L9" t="inlineStr">
        <is>
          <t>(AP) 15 Dias</t>
        </is>
      </c>
      <c r="M9" t="n">
        <v>10128599</v>
      </c>
      <c r="N9" t="inlineStr">
        <is>
          <t>GRAVA TRITURADA BASALTO 10 MM - 3/8"</t>
        </is>
      </c>
      <c r="O9" t="inlineStr">
        <is>
          <t>D898</t>
        </is>
      </c>
      <c r="P9" t="inlineStr">
        <is>
          <t>MX-CED. MICHOACAN</t>
        </is>
      </c>
      <c r="Q9" t="n">
        <v>20180130</v>
      </c>
      <c r="R9" t="n">
        <v>20241231</v>
      </c>
      <c r="S9" t="n">
        <v>20190201</v>
      </c>
      <c r="T9" t="n">
        <v>20241231</v>
      </c>
      <c r="U9" t="n">
        <v>176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6622841540</v>
      </c>
      <c r="AE9" t="n">
        <v>1</v>
      </c>
      <c r="AF9" t="inlineStr">
        <is>
          <t>ENTREGADO</t>
        </is>
      </c>
      <c r="AG9" t="n">
        <v>1.48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D898-900005431-10128599</t>
        </is>
      </c>
    </row>
    <row r="10">
      <c r="A10" t="inlineStr">
        <is>
          <t>900005380D89810127817</t>
        </is>
      </c>
      <c r="B10" t="inlineStr">
        <is>
          <t>4600042857-10</t>
        </is>
      </c>
      <c r="C10" t="n">
        <v>4600042857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900005380</v>
      </c>
      <c r="H10" t="inlineStr">
        <is>
          <t>TP-MARCO II</t>
        </is>
      </c>
      <c r="I10" t="n">
        <v>5069139</v>
      </c>
      <c r="J10" t="inlineStr">
        <is>
          <t>HUIPE MADRIGAL JUAN</t>
        </is>
      </c>
      <c r="K10" t="inlineStr">
        <is>
          <t>Z04</t>
        </is>
      </c>
      <c r="L10" t="inlineStr">
        <is>
          <t>(AP) 30 Dias</t>
        </is>
      </c>
      <c r="M10" t="n">
        <v>10127817</v>
      </c>
      <c r="N10" t="inlineStr">
        <is>
          <t>ARENA CLASIFICADA VOLCANICA MALLA 4</t>
        </is>
      </c>
      <c r="O10" t="inlineStr">
        <is>
          <t>D898</t>
        </is>
      </c>
      <c r="P10" t="inlineStr">
        <is>
          <t>MX-CED. MICHOACAN</t>
        </is>
      </c>
      <c r="Q10" t="n">
        <v>20180829</v>
      </c>
      <c r="R10" t="n">
        <v>20241231</v>
      </c>
      <c r="S10" t="n">
        <v>20180829</v>
      </c>
      <c r="T10" t="n">
        <v>20241231</v>
      </c>
      <c r="U10" t="n">
        <v>103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6622841540</v>
      </c>
      <c r="AE10" t="n">
        <v>1</v>
      </c>
      <c r="AF10" t="inlineStr">
        <is>
          <t>ENTREGADO</t>
        </is>
      </c>
      <c r="AG10" t="n">
        <v>1.517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D898-900005380-10127817</t>
        </is>
      </c>
    </row>
    <row r="11">
      <c r="A11" t="inlineStr">
        <is>
          <t>900004947D89810145835</t>
        </is>
      </c>
      <c r="B11" t="inlineStr">
        <is>
          <t>4600035702-70</t>
        </is>
      </c>
      <c r="C11" t="n">
        <v>4600035702</v>
      </c>
      <c r="D11" t="n">
        <v>70</v>
      </c>
      <c r="E11" t="inlineStr">
        <is>
          <t>MXPO</t>
        </is>
      </c>
      <c r="F11" t="inlineStr">
        <is>
          <t>MXL</t>
        </is>
      </c>
      <c r="G11" t="n">
        <v>900004947</v>
      </c>
      <c r="H11" t="inlineStr">
        <is>
          <t>TP-TRICKAL</t>
        </is>
      </c>
      <c r="I11" t="n">
        <v>5065198</v>
      </c>
      <c r="J11" t="inlineStr">
        <is>
          <t>TRITURADOS PETREOS TRICKAL</t>
        </is>
      </c>
      <c r="K11" t="inlineStr">
        <is>
          <t>Z07</t>
        </is>
      </c>
      <c r="L11" t="inlineStr">
        <is>
          <t>(AP) 60 Dias</t>
        </is>
      </c>
      <c r="M11" t="n">
        <v>10145835</v>
      </c>
      <c r="N11" t="inlineStr">
        <is>
          <t>BALASTO TRITURADO BASALTO</t>
        </is>
      </c>
      <c r="O11" t="inlineStr">
        <is>
          <t>D898</t>
        </is>
      </c>
      <c r="P11" t="inlineStr">
        <is>
          <t>MX-CED. MICHOACAN</t>
        </is>
      </c>
      <c r="Q11" t="n">
        <v>20161027</v>
      </c>
      <c r="R11" t="n">
        <v>20261231</v>
      </c>
      <c r="S11" t="n">
        <v>20191108</v>
      </c>
      <c r="T11" t="n">
        <v>20241231</v>
      </c>
      <c r="U11" t="n">
        <v>153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56103591</v>
      </c>
      <c r="AD11" t="n">
        <v>6622841540</v>
      </c>
      <c r="AE11" t="n">
        <v>1</v>
      </c>
      <c r="AF11" t="inlineStr">
        <is>
          <t>ENTREGADO</t>
        </is>
      </c>
      <c r="AG11" t="n">
        <v>1.38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D898-900004947-10145835</t>
        </is>
      </c>
    </row>
    <row r="12">
      <c r="A12" t="inlineStr">
        <is>
          <t>900005598D89810128749</t>
        </is>
      </c>
      <c r="B12" t="inlineStr">
        <is>
          <t>4600041992-20</t>
        </is>
      </c>
      <c r="C12" t="n">
        <v>4600041992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900005598</v>
      </c>
      <c r="H12" t="inlineStr">
        <is>
          <t>TP-LA TAPATIA</t>
        </is>
      </c>
      <c r="I12" t="n">
        <v>5071134</v>
      </c>
      <c r="J12" t="inlineStr">
        <is>
          <t>TRITURADOS TAPATIA S DE RL DE CV</t>
        </is>
      </c>
      <c r="K12" t="inlineStr">
        <is>
          <t>Z09</t>
        </is>
      </c>
      <c r="L12" t="inlineStr">
        <is>
          <t>(AP) 90 Dias</t>
        </is>
      </c>
      <c r="M12" t="n">
        <v>10128749</v>
      </c>
      <c r="N12" t="inlineStr">
        <is>
          <t>GRAVA TRITURADA BASALTO 20 MM - 3/4"</t>
        </is>
      </c>
      <c r="O12" t="inlineStr">
        <is>
          <t>D898</t>
        </is>
      </c>
      <c r="P12" t="inlineStr">
        <is>
          <t>MX-CED. MICHOACAN</t>
        </is>
      </c>
      <c r="Q12" t="n">
        <v>20180503</v>
      </c>
      <c r="R12" t="n">
        <v>20241231</v>
      </c>
      <c r="S12" t="n">
        <v>20190201</v>
      </c>
      <c r="T12" t="n">
        <v>20241231</v>
      </c>
      <c r="U12" t="n">
        <v>170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6622841540</v>
      </c>
      <c r="AE12" t="n">
        <v>1</v>
      </c>
      <c r="AF12" t="inlineStr">
        <is>
          <t>ENTREGADO</t>
        </is>
      </c>
      <c r="AG12" t="n">
        <v>1.312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D898-900005598-10128749</t>
        </is>
      </c>
    </row>
    <row r="13">
      <c r="A13" t="inlineStr">
        <is>
          <t>900005598D89810136047</t>
        </is>
      </c>
      <c r="B13" t="inlineStr">
        <is>
          <t>4600041992-30</t>
        </is>
      </c>
      <c r="C13" t="n">
        <v>4600041992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900005598</v>
      </c>
      <c r="H13" t="inlineStr">
        <is>
          <t>TP-LA TAPATIA</t>
        </is>
      </c>
      <c r="I13" t="n">
        <v>5071134</v>
      </c>
      <c r="J13" t="inlineStr">
        <is>
          <t>TRITURADOS TAPATIA S DE RL DE CV</t>
        </is>
      </c>
      <c r="K13" t="inlineStr">
        <is>
          <t>Z09</t>
        </is>
      </c>
      <c r="L13" t="inlineStr">
        <is>
          <t>(AP) 90 Dias</t>
        </is>
      </c>
      <c r="M13" t="n">
        <v>10136047</v>
      </c>
      <c r="N13" t="inlineStr">
        <is>
          <t>ARENA TRITURADA BASALTO MALLA 4</t>
        </is>
      </c>
      <c r="O13" t="inlineStr">
        <is>
          <t>D898</t>
        </is>
      </c>
      <c r="P13" t="inlineStr">
        <is>
          <t>MX-CED. MICHOACAN</t>
        </is>
      </c>
      <c r="Q13" t="n">
        <v>20180503</v>
      </c>
      <c r="R13" t="n">
        <v>20241231</v>
      </c>
      <c r="S13" t="n">
        <v>20190201</v>
      </c>
      <c r="T13" t="n">
        <v>20241231</v>
      </c>
      <c r="U13" t="n">
        <v>170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6622841540</v>
      </c>
      <c r="AE13" t="n">
        <v>1</v>
      </c>
      <c r="AF13" t="inlineStr">
        <is>
          <t>ENTREGADO</t>
        </is>
      </c>
      <c r="AG13" t="n">
        <v>1.516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D898-900005598-10136047</t>
        </is>
      </c>
    </row>
    <row r="14">
      <c r="A14" t="inlineStr">
        <is>
          <t>900005430D89810128742</t>
        </is>
      </c>
      <c r="B14" t="inlineStr">
        <is>
          <t>4600040287-20</t>
        </is>
      </c>
      <c r="C14" t="n">
        <v>4600040287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900005430</v>
      </c>
      <c r="H14" t="inlineStr">
        <is>
          <t>TC-MESON NUEVO II</t>
        </is>
      </c>
      <c r="I14" t="n">
        <v>5041348</v>
      </c>
      <c r="J14" t="inlineStr">
        <is>
          <t>GRUPO EDIFICADOR GENESIS SA DE CV</t>
        </is>
      </c>
      <c r="K14" t="inlineStr">
        <is>
          <t>Z03</t>
        </is>
      </c>
      <c r="L14" t="inlineStr">
        <is>
          <t>(AP) 15 Dias</t>
        </is>
      </c>
      <c r="M14" t="n">
        <v>10128742</v>
      </c>
      <c r="N14" t="inlineStr">
        <is>
          <t>GRAVA TRITURADA BASALTO 20 MM - 3/4"</t>
        </is>
      </c>
      <c r="O14" t="inlineStr">
        <is>
          <t>D898</t>
        </is>
      </c>
      <c r="P14" t="inlineStr">
        <is>
          <t>MX-CED. MICHOACAN</t>
        </is>
      </c>
      <c r="Q14" t="n">
        <v>20171101</v>
      </c>
      <c r="R14" t="n">
        <v>20241231</v>
      </c>
      <c r="S14" t="n">
        <v>20190201</v>
      </c>
      <c r="T14" t="n">
        <v>20241231</v>
      </c>
      <c r="U14" t="n">
        <v>166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6622841540</v>
      </c>
      <c r="AE14" t="n">
        <v>1</v>
      </c>
      <c r="AF14" t="inlineStr">
        <is>
          <t>ENTREGADO</t>
        </is>
      </c>
      <c r="AG14" t="n">
        <v>1.411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D898-900005430-10128742</t>
        </is>
      </c>
    </row>
    <row r="15">
      <c r="A15" t="inlineStr">
        <is>
          <t>900004950D89810002802</t>
        </is>
      </c>
      <c r="B15" t="inlineStr">
        <is>
          <t>4600040990-10</t>
        </is>
      </c>
      <c r="C15" t="n">
        <v>4600040990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900004950</v>
      </c>
      <c r="H15" t="inlineStr">
        <is>
          <t>TP-BALM</t>
        </is>
      </c>
      <c r="I15" t="n">
        <v>5065535</v>
      </c>
      <c r="J15" t="inlineStr">
        <is>
          <t>PROYECTOS INTEGRALES DE</t>
        </is>
      </c>
      <c r="K15" t="inlineStr">
        <is>
          <t>Z09</t>
        </is>
      </c>
      <c r="L15" t="inlineStr">
        <is>
          <t>(AP) 90 Dias</t>
        </is>
      </c>
      <c r="M15" t="n">
        <v>10002802</v>
      </c>
      <c r="N15" t="inlineStr">
        <is>
          <t>Arena Clasificada Río Malla 4 Lavado</t>
        </is>
      </c>
      <c r="O15" t="inlineStr">
        <is>
          <t>D898</t>
        </is>
      </c>
      <c r="P15" t="inlineStr">
        <is>
          <t>MX-CED. MICHOACAN</t>
        </is>
      </c>
      <c r="Q15" t="n">
        <v>20180122</v>
      </c>
      <c r="R15" t="n">
        <v>20241231</v>
      </c>
      <c r="S15" t="n">
        <v>20180122</v>
      </c>
      <c r="T15" t="n">
        <v>20241231</v>
      </c>
      <c r="U15" t="n">
        <v>128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6622841540</v>
      </c>
      <c r="AE15" t="n">
        <v>1</v>
      </c>
      <c r="AF15" t="inlineStr">
        <is>
          <t>ENTREGADO</t>
        </is>
      </c>
      <c r="AG15" t="n">
        <v>1.463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D898-900004950-10002802</t>
        </is>
      </c>
    </row>
    <row r="16">
      <c r="A16" t="inlineStr">
        <is>
          <t>900005598D89810128751</t>
        </is>
      </c>
      <c r="B16" t="inlineStr">
        <is>
          <t>4600041992-10</t>
        </is>
      </c>
      <c r="C16" t="n">
        <v>4600041992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900005598</v>
      </c>
      <c r="H16" t="inlineStr">
        <is>
          <t>TP-LA TAPATIA</t>
        </is>
      </c>
      <c r="I16" t="n">
        <v>5071134</v>
      </c>
      <c r="J16" t="inlineStr">
        <is>
          <t>TRITURADOS TAPATIA S DE RL DE CV</t>
        </is>
      </c>
      <c r="K16" t="inlineStr">
        <is>
          <t>Z09</t>
        </is>
      </c>
      <c r="L16" t="inlineStr">
        <is>
          <t>(AP) 90 Dias</t>
        </is>
      </c>
      <c r="M16" t="n">
        <v>10128751</v>
      </c>
      <c r="N16" t="inlineStr">
        <is>
          <t>GRAVA TRITURADA BASALTO 40 MM - 1 1/2"</t>
        </is>
      </c>
      <c r="O16" t="inlineStr">
        <is>
          <t>D898</t>
        </is>
      </c>
      <c r="P16" t="inlineStr">
        <is>
          <t>MX-CED. MICHOACAN</t>
        </is>
      </c>
      <c r="Q16" t="n">
        <v>20180503</v>
      </c>
      <c r="R16" t="n">
        <v>20241231</v>
      </c>
      <c r="S16" t="n">
        <v>20190201</v>
      </c>
      <c r="T16" t="n">
        <v>20241231</v>
      </c>
      <c r="U16" t="n">
        <v>170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6622841540</v>
      </c>
      <c r="AE16" t="n">
        <v>1</v>
      </c>
      <c r="AF16" t="inlineStr">
        <is>
          <t>ENTREGADO</t>
        </is>
      </c>
      <c r="AG16" t="n">
        <v>1.25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D898-900005598-10128751</t>
        </is>
      </c>
    </row>
    <row r="17">
      <c r="A17" t="inlineStr">
        <is>
          <t>900004947D89810000432</t>
        </is>
      </c>
      <c r="B17" t="inlineStr">
        <is>
          <t>4600035702-50</t>
        </is>
      </c>
      <c r="C17" t="n">
        <v>4600035702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900004947</v>
      </c>
      <c r="H17" t="inlineStr">
        <is>
          <t>TP-TRICKAL</t>
        </is>
      </c>
      <c r="I17" t="n">
        <v>5065198</v>
      </c>
      <c r="J17" t="inlineStr">
        <is>
          <t>TRITURADOS PETREOS TRICKAL</t>
        </is>
      </c>
      <c r="K17" t="inlineStr">
        <is>
          <t>Z07</t>
        </is>
      </c>
      <c r="L17" t="inlineStr">
        <is>
          <t>(AP) 60 Dias</t>
        </is>
      </c>
      <c r="M17" t="n">
        <v>10000432</v>
      </c>
      <c r="N17" t="inlineStr">
        <is>
          <t>Base H Triturada Basalto  1 1/2" a Finos</t>
        </is>
      </c>
      <c r="O17" t="inlineStr">
        <is>
          <t>D898</t>
        </is>
      </c>
      <c r="P17" t="inlineStr">
        <is>
          <t>MX-CED. MICHOACAN</t>
        </is>
      </c>
      <c r="Q17" t="n">
        <v>20161027</v>
      </c>
      <c r="R17" t="n">
        <v>20261231</v>
      </c>
      <c r="S17" t="n">
        <v>20190215</v>
      </c>
      <c r="T17" t="n">
        <v>20241231</v>
      </c>
      <c r="U17" t="n">
        <v>166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56103590</v>
      </c>
      <c r="AD17" t="n">
        <v>6622841540</v>
      </c>
      <c r="AE17" t="n">
        <v>1</v>
      </c>
      <c r="AF17" t="inlineStr">
        <is>
          <t>ENTREGADO</t>
        </is>
      </c>
      <c r="AG17" t="n">
        <v>1.6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D898-900004947-10000432</t>
        </is>
      </c>
    </row>
    <row r="18">
      <c r="A18" t="inlineStr">
        <is>
          <t>900005430D89810128599</t>
        </is>
      </c>
      <c r="B18" t="inlineStr">
        <is>
          <t>4600040287-10</t>
        </is>
      </c>
      <c r="C18" t="n">
        <v>4600040287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900005430</v>
      </c>
      <c r="H18" t="inlineStr">
        <is>
          <t>TC-MESON NUEVO II</t>
        </is>
      </c>
      <c r="I18" t="n">
        <v>5041348</v>
      </c>
      <c r="J18" t="inlineStr">
        <is>
          <t>GRUPO EDIFICADOR GENESIS SA DE CV</t>
        </is>
      </c>
      <c r="K18" t="inlineStr">
        <is>
          <t>Z03</t>
        </is>
      </c>
      <c r="L18" t="inlineStr">
        <is>
          <t>(AP) 15 Dias</t>
        </is>
      </c>
      <c r="M18" t="n">
        <v>10128599</v>
      </c>
      <c r="N18" t="inlineStr">
        <is>
          <t>GRAVA TRITURADA BASALTO 10 MM - 3/8"</t>
        </is>
      </c>
      <c r="O18" t="inlineStr">
        <is>
          <t>D898</t>
        </is>
      </c>
      <c r="P18" t="inlineStr">
        <is>
          <t>MX-CED. MICHOACAN</t>
        </is>
      </c>
      <c r="Q18" t="n">
        <v>20171101</v>
      </c>
      <c r="R18" t="n">
        <v>20241231</v>
      </c>
      <c r="S18" t="n">
        <v>20190201</v>
      </c>
      <c r="T18" t="n">
        <v>20241231</v>
      </c>
      <c r="U18" t="n">
        <v>176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6622841540</v>
      </c>
      <c r="AE18" t="n">
        <v>1</v>
      </c>
      <c r="AF18" t="inlineStr">
        <is>
          <t>ENTREGADO</t>
        </is>
      </c>
      <c r="AG18" t="n">
        <v>1.48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D898-900005430-10128599</t>
        </is>
      </c>
    </row>
    <row r="19">
      <c r="A19" t="inlineStr">
        <is>
          <t>900005500D89810136441</t>
        </is>
      </c>
      <c r="B19" t="inlineStr">
        <is>
          <t>4600040967-10</t>
        </is>
      </c>
      <c r="C19" t="n">
        <v>4600040967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900005500</v>
      </c>
      <c r="H19" t="inlineStr">
        <is>
          <t>TP-SUPRA</t>
        </is>
      </c>
      <c r="I19" t="n">
        <v>5033281</v>
      </c>
      <c r="J19" t="inlineStr">
        <is>
          <t>SUPRA CONSTRUCCIONES, S.A. DE C.V.</t>
        </is>
      </c>
      <c r="K19" t="inlineStr">
        <is>
          <t>Z09</t>
        </is>
      </c>
      <c r="L19" t="inlineStr">
        <is>
          <t>(AP) 90 Dias</t>
        </is>
      </c>
      <c r="M19" t="n">
        <v>10136441</v>
      </c>
      <c r="N19" t="inlineStr">
        <is>
          <t>GRAVA TRITURADA BASALTO 20 MM - 3/4"</t>
        </is>
      </c>
      <c r="O19" t="inlineStr">
        <is>
          <t>D898</t>
        </is>
      </c>
      <c r="P19" t="inlineStr">
        <is>
          <t>MX-CED. MICHOACAN</t>
        </is>
      </c>
      <c r="Q19" t="n">
        <v>20180118</v>
      </c>
      <c r="R19" t="n">
        <v>20241231</v>
      </c>
      <c r="S19" t="n">
        <v>20180118</v>
      </c>
      <c r="T19" t="n">
        <v>20241231</v>
      </c>
      <c r="U19" t="n">
        <v>155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6622841540</v>
      </c>
      <c r="AE19" t="n">
        <v>1</v>
      </c>
      <c r="AF19" t="inlineStr">
        <is>
          <t>ENTREGADO</t>
        </is>
      </c>
      <c r="AG19" t="n">
        <v>1.41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D898-900005500-10136441</t>
        </is>
      </c>
    </row>
    <row r="20">
      <c r="A20" t="inlineStr">
        <is>
          <t>900005431D89810128742</t>
        </is>
      </c>
      <c r="B20" t="inlineStr">
        <is>
          <t>4600041059-10</t>
        </is>
      </c>
      <c r="C20" t="n">
        <v>4600041059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900005431</v>
      </c>
      <c r="H20" t="inlineStr">
        <is>
          <t>TP-MESON NUEVO II</t>
        </is>
      </c>
      <c r="I20" t="n">
        <v>5041348</v>
      </c>
      <c r="J20" t="inlineStr">
        <is>
          <t>GRUPO EDIFICADOR GENESIS SA DE CV</t>
        </is>
      </c>
      <c r="K20" t="inlineStr">
        <is>
          <t>Z03</t>
        </is>
      </c>
      <c r="L20" t="inlineStr">
        <is>
          <t>(AP) 15 Dias</t>
        </is>
      </c>
      <c r="M20" t="n">
        <v>10128742</v>
      </c>
      <c r="N20" t="inlineStr">
        <is>
          <t>GRAVA TRITURADA BASALTO 20 MM - 3/4"</t>
        </is>
      </c>
      <c r="O20" t="inlineStr">
        <is>
          <t>D898</t>
        </is>
      </c>
      <c r="P20" t="inlineStr">
        <is>
          <t>MX-CED. MICHOACAN</t>
        </is>
      </c>
      <c r="Q20" t="n">
        <v>20180130</v>
      </c>
      <c r="R20" t="n">
        <v>20241231</v>
      </c>
      <c r="S20" t="n">
        <v>20190201</v>
      </c>
      <c r="T20" t="n">
        <v>20241231</v>
      </c>
      <c r="U20" t="n">
        <v>166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6622841540</v>
      </c>
      <c r="AE20" t="n">
        <v>1</v>
      </c>
      <c r="AF20" t="inlineStr">
        <is>
          <t>ENTREGADO</t>
        </is>
      </c>
      <c r="AG20" t="n">
        <v>1.411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D898-900005431-10128742</t>
        </is>
      </c>
    </row>
    <row r="21">
      <c r="A21" t="inlineStr">
        <is>
          <t>900005598D89810000432</t>
        </is>
      </c>
      <c r="B21" t="inlineStr">
        <is>
          <t>4600041992-40</t>
        </is>
      </c>
      <c r="C21" t="n">
        <v>4600041992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900005598</v>
      </c>
      <c r="H21" t="inlineStr">
        <is>
          <t>TP-LA TAPATIA</t>
        </is>
      </c>
      <c r="I21" t="n">
        <v>5071134</v>
      </c>
      <c r="J21" t="inlineStr">
        <is>
          <t>TRITURADOS TAPATIA S DE RL DE CV</t>
        </is>
      </c>
      <c r="K21" t="inlineStr">
        <is>
          <t>Z09</t>
        </is>
      </c>
      <c r="L21" t="inlineStr">
        <is>
          <t>(AP) 90 Dias</t>
        </is>
      </c>
      <c r="M21" t="n">
        <v>10000432</v>
      </c>
      <c r="N21" t="inlineStr">
        <is>
          <t>Base H Triturada Basalto  1 1/2" a Finos</t>
        </is>
      </c>
      <c r="O21" t="inlineStr">
        <is>
          <t>D898</t>
        </is>
      </c>
      <c r="P21" t="inlineStr">
        <is>
          <t>MX-CED. MICHOACAN</t>
        </is>
      </c>
      <c r="Q21" t="n">
        <v>20180503</v>
      </c>
      <c r="R21" t="n">
        <v>20241231</v>
      </c>
      <c r="S21" t="n">
        <v>20190201</v>
      </c>
      <c r="T21" t="n">
        <v>20241231</v>
      </c>
      <c r="U21" t="n">
        <v>170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56103590</v>
      </c>
      <c r="AD21" t="n">
        <v>6622841540</v>
      </c>
      <c r="AE21" t="n">
        <v>1</v>
      </c>
      <c r="AF21" t="inlineStr">
        <is>
          <t>ENTREGADO</t>
        </is>
      </c>
      <c r="AG21" t="n">
        <v>1.6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D898-900005598-10000432</t>
        </is>
      </c>
    </row>
    <row r="22">
      <c r="A22" t="inlineStr">
        <is>
          <t>900005598D89810128740</t>
        </is>
      </c>
      <c r="B22" t="inlineStr">
        <is>
          <t>4600041992-50</t>
        </is>
      </c>
      <c r="C22" t="n">
        <v>4600041992</v>
      </c>
      <c r="D22" t="n">
        <v>50</v>
      </c>
      <c r="E22" t="inlineStr">
        <is>
          <t>MXPO</t>
        </is>
      </c>
      <c r="F22" t="inlineStr">
        <is>
          <t>MXL</t>
        </is>
      </c>
      <c r="G22" t="n">
        <v>900005598</v>
      </c>
      <c r="H22" t="inlineStr">
        <is>
          <t>TP-LA TAPATIA</t>
        </is>
      </c>
      <c r="I22" t="n">
        <v>5071134</v>
      </c>
      <c r="J22" t="inlineStr">
        <is>
          <t>TRITURADOS TAPATIA S DE RL DE CV</t>
        </is>
      </c>
      <c r="K22" t="inlineStr">
        <is>
          <t>Z09</t>
        </is>
      </c>
      <c r="L22" t="inlineStr">
        <is>
          <t>(AP) 90 Dias</t>
        </is>
      </c>
      <c r="M22" t="n">
        <v>10128740</v>
      </c>
      <c r="N22" t="inlineStr">
        <is>
          <t>GRAVA TRITURADA BASALTO 10 MM - 3/8"</t>
        </is>
      </c>
      <c r="O22" t="inlineStr">
        <is>
          <t>D898</t>
        </is>
      </c>
      <c r="P22" t="inlineStr">
        <is>
          <t>MX-CED. MICHOACAN</t>
        </is>
      </c>
      <c r="Q22" t="n">
        <v>20180503</v>
      </c>
      <c r="R22" t="n">
        <v>20241231</v>
      </c>
      <c r="S22" t="n">
        <v>20210622</v>
      </c>
      <c r="T22" t="n">
        <v>20241231</v>
      </c>
      <c r="U22" t="n">
        <v>205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6622841540</v>
      </c>
      <c r="AE22" t="n">
        <v>1</v>
      </c>
      <c r="AF22" t="inlineStr">
        <is>
          <t>ENTREGADO</t>
        </is>
      </c>
      <c r="AG22" t="n">
        <v>1.397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D898-900005598-10128740</t>
        </is>
      </c>
    </row>
    <row r="23">
      <c r="A23" t="inlineStr">
        <is>
          <t>900004947D89810000296</t>
        </is>
      </c>
      <c r="B23" t="inlineStr">
        <is>
          <t>4600035702-60</t>
        </is>
      </c>
      <c r="C23" t="n">
        <v>4600035702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900004947</v>
      </c>
      <c r="H23" t="inlineStr">
        <is>
          <t>TP-TRICKAL</t>
        </is>
      </c>
      <c r="I23" t="n">
        <v>5065198</v>
      </c>
      <c r="J23" t="inlineStr">
        <is>
          <t>TRITURADOS PETREOS TRICKAL</t>
        </is>
      </c>
      <c r="K23" t="inlineStr">
        <is>
          <t>Z07</t>
        </is>
      </c>
      <c r="L23" t="inlineStr">
        <is>
          <t>(AP) 60 Dias</t>
        </is>
      </c>
      <c r="M23" t="n">
        <v>10000296</v>
      </c>
      <c r="N23" t="inlineStr">
        <is>
          <t>Balasto Triturado Basalto  150 mm - 6"</t>
        </is>
      </c>
      <c r="O23" t="inlineStr">
        <is>
          <t>D898</t>
        </is>
      </c>
      <c r="P23" t="inlineStr">
        <is>
          <t>MX-CED. MICHOACAN</t>
        </is>
      </c>
      <c r="Q23" t="n">
        <v>20161027</v>
      </c>
      <c r="R23" t="n">
        <v>20261231</v>
      </c>
      <c r="S23" t="n">
        <v>20180928</v>
      </c>
      <c r="T23" t="n">
        <v>20241231</v>
      </c>
      <c r="U23" t="n">
        <v>170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56103591</v>
      </c>
      <c r="AD23" t="n">
        <v>6622841540</v>
      </c>
      <c r="AE23" t="n">
        <v>1</v>
      </c>
      <c r="AF23" t="inlineStr">
        <is>
          <t>ENTREGADO</t>
        </is>
      </c>
      <c r="AG23" t="n">
        <v>1.38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D898-900004947-10000296</t>
        </is>
      </c>
    </row>
    <row r="24">
      <c r="A24" t="inlineStr">
        <is>
          <t>900005430D89810128754</t>
        </is>
      </c>
      <c r="B24" t="inlineStr">
        <is>
          <t>4600040287-30</t>
        </is>
      </c>
      <c r="C24" t="n">
        <v>4600040287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900005430</v>
      </c>
      <c r="H24" t="inlineStr">
        <is>
          <t>TC-MESON NUEVO II</t>
        </is>
      </c>
      <c r="I24" t="n">
        <v>5041348</v>
      </c>
      <c r="J24" t="inlineStr">
        <is>
          <t>GRUPO EDIFICADOR GENESIS SA DE CV</t>
        </is>
      </c>
      <c r="K24" t="inlineStr">
        <is>
          <t>Z03</t>
        </is>
      </c>
      <c r="L24" t="inlineStr">
        <is>
          <t>(AP) 15 Dias</t>
        </is>
      </c>
      <c r="M24" t="n">
        <v>10128754</v>
      </c>
      <c r="N24" t="inlineStr">
        <is>
          <t>GRAVA TRITURADA BASALTO 40 MM - 1 1/2"</t>
        </is>
      </c>
      <c r="O24" t="inlineStr">
        <is>
          <t>D898</t>
        </is>
      </c>
      <c r="P24" t="inlineStr">
        <is>
          <t>MX-CED. MICHOACAN</t>
        </is>
      </c>
      <c r="Q24" t="n">
        <v>20171101</v>
      </c>
      <c r="R24" t="n">
        <v>20241231</v>
      </c>
      <c r="S24" t="n">
        <v>20190201</v>
      </c>
      <c r="T24" t="n">
        <v>20241231</v>
      </c>
      <c r="U24" t="n">
        <v>166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6622841540</v>
      </c>
      <c r="AE24" t="n">
        <v>1</v>
      </c>
      <c r="AF24" t="inlineStr">
        <is>
          <t>ENTREGADO</t>
        </is>
      </c>
      <c r="AG24" t="n">
        <v>1.47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D898-900005430-10128754</t>
        </is>
      </c>
    </row>
    <row r="25">
      <c r="A25" t="inlineStr">
        <is>
          <t>900006803D89810128748</t>
        </is>
      </c>
      <c r="B25" t="inlineStr">
        <is>
          <t>4600048015-10</t>
        </is>
      </c>
      <c r="C25" t="n">
        <v>4600048015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900006803</v>
      </c>
      <c r="H25" t="inlineStr">
        <is>
          <t>SF TP-VILLAMAR PLAYCON</t>
        </is>
      </c>
      <c r="I25" t="n">
        <v>5069613</v>
      </c>
      <c r="J25" t="inlineStr">
        <is>
          <t>CONSTRUCCIONES Y PROYECTOS PLAYCON</t>
        </is>
      </c>
      <c r="K25" t="inlineStr">
        <is>
          <t>N90</t>
        </is>
      </c>
      <c r="L25" t="inlineStr">
        <is>
          <t>(AP) NAFIN 90 Dias</t>
        </is>
      </c>
      <c r="M25" t="n">
        <v>10128748</v>
      </c>
      <c r="N25" t="inlineStr">
        <is>
          <t>GRAVA TRITURADA BASALTO 20 MM - 3/4"</t>
        </is>
      </c>
      <c r="O25" t="inlineStr">
        <is>
          <t>D898</t>
        </is>
      </c>
      <c r="P25" t="inlineStr">
        <is>
          <t>MX-CED. MICHOACAN</t>
        </is>
      </c>
      <c r="Q25" t="n">
        <v>20200910</v>
      </c>
      <c r="R25" t="n">
        <v>20291231</v>
      </c>
      <c r="S25" t="n">
        <v>20210205</v>
      </c>
      <c r="T25" t="n">
        <v>20291231</v>
      </c>
      <c r="U25" t="n">
        <v>186.68</v>
      </c>
      <c r="V25" t="inlineStr">
        <is>
          <t>MXN</t>
        </is>
      </c>
      <c r="W25" t="inlineStr">
        <is>
          <t>M3</t>
        </is>
      </c>
      <c r="AC25" t="n">
        <v>56103637</v>
      </c>
      <c r="AD25" t="n">
        <v>6622841540</v>
      </c>
      <c r="AE25" t="n">
        <v>1</v>
      </c>
      <c r="AF25" t="inlineStr">
        <is>
          <t>ENTREGADO</t>
        </is>
      </c>
      <c r="AG25" t="n">
        <v>1.382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D898-900006803-10128748</t>
        </is>
      </c>
    </row>
    <row r="26">
      <c r="A26" t="inlineStr">
        <is>
          <t>900005545D89810136047</t>
        </is>
      </c>
      <c r="B26" t="inlineStr">
        <is>
          <t>4600041241-30</t>
        </is>
      </c>
      <c r="C26" t="n">
        <v>4600041241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900005545</v>
      </c>
      <c r="H26" t="inlineStr">
        <is>
          <t>TP-MACIAS</t>
        </is>
      </c>
      <c r="I26" t="n">
        <v>5005851</v>
      </c>
      <c r="J26" t="inlineStr">
        <is>
          <t>INFRAESTRUCTURA LOGISTICA SA DE CV</t>
        </is>
      </c>
      <c r="K26" t="inlineStr">
        <is>
          <t>N90</t>
        </is>
      </c>
      <c r="L26" t="inlineStr">
        <is>
          <t>(AP) NAFIN 90 Dias</t>
        </is>
      </c>
      <c r="M26" t="n">
        <v>10136047</v>
      </c>
      <c r="N26" t="inlineStr">
        <is>
          <t>ARENA TRITURADA BASALTO MALLA 4</t>
        </is>
      </c>
      <c r="O26" t="inlineStr">
        <is>
          <t>D898</t>
        </is>
      </c>
      <c r="P26" t="inlineStr">
        <is>
          <t>MX-CED. MICHOACAN</t>
        </is>
      </c>
      <c r="Q26" t="n">
        <v>20180216</v>
      </c>
      <c r="R26" t="n">
        <v>20291231</v>
      </c>
      <c r="U26" t="n">
        <v>103.5</v>
      </c>
      <c r="V26" t="inlineStr">
        <is>
          <t>MXN</t>
        </is>
      </c>
      <c r="W26" t="inlineStr">
        <is>
          <t>M3</t>
        </is>
      </c>
      <c r="AC26" t="n">
        <v>56103638</v>
      </c>
      <c r="AD26" t="n">
        <v>6622841540</v>
      </c>
      <c r="AE26" t="n">
        <v>1</v>
      </c>
      <c r="AF26" t="inlineStr">
        <is>
          <t>ENTREGADO</t>
        </is>
      </c>
      <c r="AG26" t="n">
        <v>1.516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D898-900005545-10136047</t>
        </is>
      </c>
    </row>
    <row r="27">
      <c r="A27" t="inlineStr">
        <is>
          <t>900004947D89810267899</t>
        </is>
      </c>
      <c r="B27" t="inlineStr">
        <is>
          <t>4600035702-100</t>
        </is>
      </c>
      <c r="C27" t="n">
        <v>4600035702</v>
      </c>
      <c r="D27" t="n">
        <v>100</v>
      </c>
      <c r="E27" t="inlineStr">
        <is>
          <t>MXPO</t>
        </is>
      </c>
      <c r="F27" t="inlineStr">
        <is>
          <t>MXL</t>
        </is>
      </c>
      <c r="G27" t="n">
        <v>900004947</v>
      </c>
      <c r="H27" t="inlineStr">
        <is>
          <t>TP-TRICKAL</t>
        </is>
      </c>
      <c r="I27" t="n">
        <v>5065198</v>
      </c>
      <c r="J27" t="inlineStr">
        <is>
          <t>TRITURADOS PETREOS TRICKAL</t>
        </is>
      </c>
      <c r="K27" t="inlineStr">
        <is>
          <t>Z07</t>
        </is>
      </c>
      <c r="L27" t="inlineStr">
        <is>
          <t>(AP) 60 Dias</t>
        </is>
      </c>
      <c r="M27" t="n">
        <v>10267899</v>
      </c>
      <c r="N27" t="inlineStr">
        <is>
          <t>MP ARENA TRIT. BASALTO 3/16 A FINOS</t>
        </is>
      </c>
      <c r="O27" t="inlineStr">
        <is>
          <t>D898</t>
        </is>
      </c>
      <c r="P27" t="inlineStr">
        <is>
          <t>MX-CED. MICHOACAN</t>
        </is>
      </c>
      <c r="Q27" t="n">
        <v>20161027</v>
      </c>
      <c r="R27" t="n">
        <v>20261231</v>
      </c>
      <c r="S27" t="n">
        <v>20250623</v>
      </c>
      <c r="T27" t="n">
        <v>20301231</v>
      </c>
      <c r="U27" t="n">
        <v>120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6622841540</v>
      </c>
      <c r="AE27" t="n">
        <v>1</v>
      </c>
      <c r="AF27" t="inlineStr">
        <is>
          <t>ENTREGADO</t>
        </is>
      </c>
      <c r="AG27" t="n">
        <v>1.58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20250625</v>
      </c>
      <c r="AM27" t="inlineStr">
        <is>
          <t>D898-900004947-10267899</t>
        </is>
      </c>
    </row>
    <row r="28">
      <c r="A28" t="inlineStr">
        <is>
          <t>900004947D89810267961</t>
        </is>
      </c>
      <c r="B28" t="inlineStr">
        <is>
          <t>4600035702-110</t>
        </is>
      </c>
      <c r="C28" t="n">
        <v>4600035702</v>
      </c>
      <c r="D28" t="n">
        <v>110</v>
      </c>
      <c r="E28" t="inlineStr">
        <is>
          <t>MXPO</t>
        </is>
      </c>
      <c r="F28" t="inlineStr">
        <is>
          <t>MXL</t>
        </is>
      </c>
      <c r="G28" t="n">
        <v>900004947</v>
      </c>
      <c r="H28" t="inlineStr">
        <is>
          <t>TP-TRICKAL</t>
        </is>
      </c>
      <c r="I28" t="n">
        <v>5065198</v>
      </c>
      <c r="J28" t="inlineStr">
        <is>
          <t>TRITURADOS PETREOS TRICKAL</t>
        </is>
      </c>
      <c r="K28" t="inlineStr">
        <is>
          <t>Z07</t>
        </is>
      </c>
      <c r="L28" t="inlineStr">
        <is>
          <t>(AP) 60 Dias</t>
        </is>
      </c>
      <c r="M28" t="n">
        <v>10267961</v>
      </c>
      <c r="N28" t="inlineStr">
        <is>
          <t>MP ARENA TRIT. BASALTO 1/4 A FINOS</t>
        </is>
      </c>
      <c r="O28" t="inlineStr">
        <is>
          <t>D898</t>
        </is>
      </c>
      <c r="P28" t="inlineStr">
        <is>
          <t>MX-CED. MICHOACAN</t>
        </is>
      </c>
      <c r="Q28" t="n">
        <v>20161027</v>
      </c>
      <c r="R28" t="n">
        <v>20261231</v>
      </c>
      <c r="S28" t="n">
        <v>20250623</v>
      </c>
      <c r="T28" t="n">
        <v>20301231</v>
      </c>
      <c r="U28" t="n">
        <v>120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6622841540</v>
      </c>
      <c r="AE28" t="n">
        <v>1</v>
      </c>
      <c r="AF28" t="inlineStr">
        <is>
          <t>ENTREGADO</t>
        </is>
      </c>
      <c r="AG28" t="n">
        <v>1.616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20250625</v>
      </c>
      <c r="AM28" t="inlineStr">
        <is>
          <t>D898-900004947-10267961</t>
        </is>
      </c>
    </row>
    <row r="29">
      <c r="A29" t="inlineStr">
        <is>
          <t>900004947D89810136049</t>
        </is>
      </c>
      <c r="B29" t="inlineStr">
        <is>
          <t>4600035702-30</t>
        </is>
      </c>
      <c r="C29" t="n">
        <v>4600035702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900004947</v>
      </c>
      <c r="H29" t="inlineStr">
        <is>
          <t>TP-TRICKAL</t>
        </is>
      </c>
      <c r="I29" t="n">
        <v>5065198</v>
      </c>
      <c r="J29" t="inlineStr">
        <is>
          <t>TRITURADOS PETREOS TRICKAL</t>
        </is>
      </c>
      <c r="K29" t="inlineStr">
        <is>
          <t>Z07</t>
        </is>
      </c>
      <c r="L29" t="inlineStr">
        <is>
          <t>(AP) 60 Dias</t>
        </is>
      </c>
      <c r="M29" t="n">
        <v>10136049</v>
      </c>
      <c r="N29" t="inlineStr">
        <is>
          <t>GRAVA TRITURADA BASALTO 10 MM - 3/8"</t>
        </is>
      </c>
      <c r="O29" t="inlineStr">
        <is>
          <t>D898</t>
        </is>
      </c>
      <c r="P29" t="inlineStr">
        <is>
          <t>MX-CED. MICHOACAN</t>
        </is>
      </c>
      <c r="Q29" t="n">
        <v>20161027</v>
      </c>
      <c r="R29" t="n">
        <v>20261231</v>
      </c>
      <c r="S29" t="n">
        <v>20260305</v>
      </c>
      <c r="T29" t="n">
        <v>20301231</v>
      </c>
      <c r="U29" t="n">
        <v>210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6622841540</v>
      </c>
      <c r="AE29" t="n">
        <v>1</v>
      </c>
      <c r="AF29" t="inlineStr">
        <is>
          <t>ENTREGADO</t>
        </is>
      </c>
      <c r="AG29" t="n">
        <v>1.343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20260309</v>
      </c>
      <c r="AM29" t="inlineStr">
        <is>
          <t>D898-900004947-10136049</t>
        </is>
      </c>
    </row>
    <row r="30">
      <c r="A30" t="inlineStr">
        <is>
          <t>900004947D89810136048</t>
        </is>
      </c>
      <c r="B30" t="inlineStr">
        <is>
          <t>4600035702-20</t>
        </is>
      </c>
      <c r="C30" t="n">
        <v>4600035702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900004947</v>
      </c>
      <c r="H30" t="inlineStr">
        <is>
          <t>TP-TRICKAL</t>
        </is>
      </c>
      <c r="I30" t="n">
        <v>5065198</v>
      </c>
      <c r="J30" t="inlineStr">
        <is>
          <t>TRITURADOS PETREOS TRICKAL</t>
        </is>
      </c>
      <c r="K30" t="inlineStr">
        <is>
          <t>Z07</t>
        </is>
      </c>
      <c r="L30" t="inlineStr">
        <is>
          <t>(AP) 60 Dias</t>
        </is>
      </c>
      <c r="M30" t="n">
        <v>10136048</v>
      </c>
      <c r="N30" t="inlineStr">
        <is>
          <t>GRAVA TRITURADA BASALTO 40 MM - 1 1/2"</t>
        </is>
      </c>
      <c r="O30" t="inlineStr">
        <is>
          <t>D898</t>
        </is>
      </c>
      <c r="P30" t="inlineStr">
        <is>
          <t>MX-CED. MICHOACAN</t>
        </is>
      </c>
      <c r="Q30" t="n">
        <v>20161027</v>
      </c>
      <c r="R30" t="n">
        <v>20261231</v>
      </c>
      <c r="S30" t="n">
        <v>20260305</v>
      </c>
      <c r="T30" t="n">
        <v>20301231</v>
      </c>
      <c r="U30" t="n">
        <v>220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6622841540</v>
      </c>
      <c r="AE30" t="n">
        <v>1</v>
      </c>
      <c r="AF30" t="inlineStr">
        <is>
          <t>ENTREGADO</t>
        </is>
      </c>
      <c r="AG30" t="n">
        <v>1.37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20260309</v>
      </c>
      <c r="AM30" t="inlineStr">
        <is>
          <t>D898-900004947-10136048</t>
        </is>
      </c>
    </row>
    <row r="31">
      <c r="A31" t="inlineStr">
        <is>
          <t>900004947D89810136441</t>
        </is>
      </c>
      <c r="B31" t="inlineStr">
        <is>
          <t>4600035702-40</t>
        </is>
      </c>
      <c r="C31" t="n">
        <v>4600035702</v>
      </c>
      <c r="D31" t="n">
        <v>40</v>
      </c>
      <c r="E31" t="inlineStr">
        <is>
          <t>MXPO</t>
        </is>
      </c>
      <c r="F31" t="inlineStr">
        <is>
          <t>MXL</t>
        </is>
      </c>
      <c r="G31" t="n">
        <v>900004947</v>
      </c>
      <c r="H31" t="inlineStr">
        <is>
          <t>TP-TRICKAL</t>
        </is>
      </c>
      <c r="I31" t="n">
        <v>5065198</v>
      </c>
      <c r="J31" t="inlineStr">
        <is>
          <t>TRITURADOS PETREOS TRICKAL</t>
        </is>
      </c>
      <c r="K31" t="inlineStr">
        <is>
          <t>Z07</t>
        </is>
      </c>
      <c r="L31" t="inlineStr">
        <is>
          <t>(AP) 60 Dias</t>
        </is>
      </c>
      <c r="M31" t="n">
        <v>10136441</v>
      </c>
      <c r="N31" t="inlineStr">
        <is>
          <t>GRAVA TRITURADA BASALTO 20 MM - 3/4"</t>
        </is>
      </c>
      <c r="O31" t="inlineStr">
        <is>
          <t>D898</t>
        </is>
      </c>
      <c r="P31" t="inlineStr">
        <is>
          <t>MX-CED. MICHOACAN</t>
        </is>
      </c>
      <c r="Q31" t="n">
        <v>20161027</v>
      </c>
      <c r="R31" t="n">
        <v>20261231</v>
      </c>
      <c r="S31" t="n">
        <v>20260305</v>
      </c>
      <c r="T31" t="n">
        <v>20301231</v>
      </c>
      <c r="U31" t="n">
        <v>220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6622841540</v>
      </c>
      <c r="AE31" t="n">
        <v>1</v>
      </c>
      <c r="AF31" t="inlineStr">
        <is>
          <t>ENTREGADO</t>
        </is>
      </c>
      <c r="AG31" t="n">
        <v>1.41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20260309</v>
      </c>
      <c r="AM31" t="inlineStr">
        <is>
          <t>D898-900004947-10136441</t>
        </is>
      </c>
    </row>
    <row r="32">
      <c r="A32" t="inlineStr">
        <is>
          <t>900005545D89810000432</t>
        </is>
      </c>
      <c r="B32" t="inlineStr">
        <is>
          <t>4600041241-40</t>
        </is>
      </c>
      <c r="C32" t="n">
        <v>4600041241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900005545</v>
      </c>
      <c r="H32" t="inlineStr">
        <is>
          <t>TP-MACIAS</t>
        </is>
      </c>
      <c r="I32" t="n">
        <v>5005851</v>
      </c>
      <c r="J32" t="inlineStr">
        <is>
          <t>INFRAESTRUCTURA LOGISTICA SA DE CV</t>
        </is>
      </c>
      <c r="K32" t="inlineStr">
        <is>
          <t>N90</t>
        </is>
      </c>
      <c r="L32" t="inlineStr">
        <is>
          <t>(AP) NAFIN 90 Dias</t>
        </is>
      </c>
      <c r="M32" t="n">
        <v>10000432</v>
      </c>
      <c r="N32" t="inlineStr">
        <is>
          <t>Base H Triturada Basalto  1 1/2" a Finos</t>
        </is>
      </c>
      <c r="O32" t="inlineStr">
        <is>
          <t>D898</t>
        </is>
      </c>
      <c r="P32" t="inlineStr">
        <is>
          <t>MX-CED. MICHOACAN</t>
        </is>
      </c>
      <c r="Q32" t="n">
        <v>20180216</v>
      </c>
      <c r="R32" t="n">
        <v>20291231</v>
      </c>
      <c r="U32" t="n">
        <v>157.92</v>
      </c>
      <c r="V32" t="inlineStr">
        <is>
          <t>MXN</t>
        </is>
      </c>
      <c r="W32" t="inlineStr">
        <is>
          <t>M3</t>
        </is>
      </c>
      <c r="AC32" t="n">
        <v>56103590</v>
      </c>
      <c r="AD32" t="n">
        <v>6622841540</v>
      </c>
      <c r="AE32" t="n">
        <v>1</v>
      </c>
      <c r="AF32" t="inlineStr">
        <is>
          <t>ENTREGADO</t>
        </is>
      </c>
      <c r="AG32" t="n">
        <v>1.6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D898-900005545-10000432</t>
        </is>
      </c>
    </row>
    <row r="33">
      <c r="A33" t="inlineStr">
        <is>
          <t>900005325D89810128752</t>
        </is>
      </c>
      <c r="B33" t="inlineStr">
        <is>
          <t>4600044556-10</t>
        </is>
      </c>
      <c r="C33" t="n">
        <v>4600044556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900005325</v>
      </c>
      <c r="H33" t="inlineStr">
        <is>
          <t>TP-ED GRAVASE PONCITLAN</t>
        </is>
      </c>
      <c r="I33" t="n">
        <v>5009010</v>
      </c>
      <c r="J33" t="inlineStr">
        <is>
          <t>GRAVASE SA DE CV</t>
        </is>
      </c>
      <c r="K33" t="inlineStr">
        <is>
          <t>Z04</t>
        </is>
      </c>
      <c r="L33" t="inlineStr">
        <is>
          <t>(AP) 30 Dias</t>
        </is>
      </c>
      <c r="M33" t="n">
        <v>10128752</v>
      </c>
      <c r="N33" t="inlineStr">
        <is>
          <t>GRAVA TRITURADA BASALTO 40 MM - 1 1/2"</t>
        </is>
      </c>
      <c r="O33" t="inlineStr">
        <is>
          <t>D898</t>
        </is>
      </c>
      <c r="P33" t="inlineStr">
        <is>
          <t>MX-CED. MICHOACAN</t>
        </is>
      </c>
      <c r="Q33" t="n">
        <v>20190401</v>
      </c>
      <c r="R33" t="n">
        <v>20241231</v>
      </c>
      <c r="S33" t="n">
        <v>20190401</v>
      </c>
      <c r="T33" t="n">
        <v>20241231</v>
      </c>
      <c r="U33" t="n">
        <v>104.22</v>
      </c>
      <c r="V33" t="inlineStr">
        <is>
          <t>MXN</t>
        </is>
      </c>
      <c r="W33" t="inlineStr">
        <is>
          <t>TN</t>
        </is>
      </c>
      <c r="X33" t="n">
        <v>0</v>
      </c>
      <c r="Y33" t="inlineStr">
        <is>
          <t>MXN</t>
        </is>
      </c>
      <c r="Z33" t="inlineStr">
        <is>
          <t>TN</t>
        </is>
      </c>
      <c r="AC33" t="n">
        <v>56103637</v>
      </c>
      <c r="AD33" t="n">
        <v>6622841540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D898-900005325-10128752</t>
        </is>
      </c>
    </row>
    <row r="34">
      <c r="A34" t="inlineStr">
        <is>
          <t>900005545D89810128752</t>
        </is>
      </c>
      <c r="B34" t="inlineStr">
        <is>
          <t>4600041241-20</t>
        </is>
      </c>
      <c r="C34" t="n">
        <v>4600041241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900005545</v>
      </c>
      <c r="H34" t="inlineStr">
        <is>
          <t>TP-MACIAS</t>
        </is>
      </c>
      <c r="I34" t="n">
        <v>5005851</v>
      </c>
      <c r="J34" t="inlineStr">
        <is>
          <t>INFRAESTRUCTURA LOGISTICA SA DE CV</t>
        </is>
      </c>
      <c r="K34" t="inlineStr">
        <is>
          <t>N90</t>
        </is>
      </c>
      <c r="L34" t="inlineStr">
        <is>
          <t>(AP) NAFIN 90 Dias</t>
        </is>
      </c>
      <c r="M34" t="n">
        <v>10128752</v>
      </c>
      <c r="N34" t="inlineStr">
        <is>
          <t>GRAVA TRITURADA BASALTO 40 MM - 1 1/2"</t>
        </is>
      </c>
      <c r="O34" t="inlineStr">
        <is>
          <t>D898</t>
        </is>
      </c>
      <c r="P34" t="inlineStr">
        <is>
          <t>MX-CED. MICHOACAN</t>
        </is>
      </c>
      <c r="Q34" t="n">
        <v>20180216</v>
      </c>
      <c r="R34" t="n">
        <v>20291231</v>
      </c>
      <c r="U34" t="n">
        <v>193.66</v>
      </c>
      <c r="V34" t="inlineStr">
        <is>
          <t>MXN</t>
        </is>
      </c>
      <c r="W34" t="inlineStr">
        <is>
          <t>M3</t>
        </is>
      </c>
      <c r="AC34" t="n">
        <v>56103637</v>
      </c>
      <c r="AD34" t="n">
        <v>6622841540</v>
      </c>
      <c r="AE34" t="n">
        <v>1</v>
      </c>
      <c r="AF34" t="inlineStr">
        <is>
          <t>ENTREGADO</t>
        </is>
      </c>
      <c r="AG34" t="n">
        <v>1.41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D898-900005545-10128752</t>
        </is>
      </c>
    </row>
    <row r="35">
      <c r="A35" t="inlineStr">
        <is>
          <t>900005545D89810128748</t>
        </is>
      </c>
      <c r="B35" t="inlineStr">
        <is>
          <t>4600041241-10</t>
        </is>
      </c>
      <c r="C35" t="n">
        <v>4600041241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900005545</v>
      </c>
      <c r="H35" t="inlineStr">
        <is>
          <t>TP-MACIAS</t>
        </is>
      </c>
      <c r="I35" t="n">
        <v>5005851</v>
      </c>
      <c r="J35" t="inlineStr">
        <is>
          <t>INFRAESTRUCTURA LOGISTICA SA DE CV</t>
        </is>
      </c>
      <c r="K35" t="inlineStr">
        <is>
          <t>N90</t>
        </is>
      </c>
      <c r="L35" t="inlineStr">
        <is>
          <t>(AP) NAFIN 90 Dias</t>
        </is>
      </c>
      <c r="M35" t="n">
        <v>10128748</v>
      </c>
      <c r="N35" t="inlineStr">
        <is>
          <t>GRAVA TRITURADA BASALTO 20 MM - 3/4"</t>
        </is>
      </c>
      <c r="O35" t="inlineStr">
        <is>
          <t>D898</t>
        </is>
      </c>
      <c r="P35" t="inlineStr">
        <is>
          <t>MX-CED. MICHOACAN</t>
        </is>
      </c>
      <c r="Q35" t="n">
        <v>20180216</v>
      </c>
      <c r="R35" t="n">
        <v>20291231</v>
      </c>
      <c r="S35" t="n">
        <v>20240910</v>
      </c>
      <c r="T35" t="n">
        <v>20291231</v>
      </c>
      <c r="U35" t="n">
        <v>295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6622841540</v>
      </c>
      <c r="AE35" t="n">
        <v>1</v>
      </c>
      <c r="AF35" t="inlineStr">
        <is>
          <t>ENTREGADO</t>
        </is>
      </c>
      <c r="AG35" t="n">
        <v>1.382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20240911</v>
      </c>
      <c r="AM35" t="inlineStr">
        <is>
          <t>D898-900005545-10128748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2026-09-14T14:20:52Z</dcterms:created>
  <dcterms:modified xsi:type="dcterms:W3CDTF">2026-09-14T14:20:52Z</dcterms:modified>
</cp:coreProperties>
</file>