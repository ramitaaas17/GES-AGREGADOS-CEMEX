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1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900009272</v>
      </c>
      <c r="D3" s="7">
        <f>IFERROR(VLOOKUP(C3,TRAOPE!$G:$H,2,0),"")</f>
        <v/>
      </c>
      <c r="E3" s="8" t="inlineStr">
        <is>
          <t>D919</t>
        </is>
      </c>
      <c r="F3" s="8" t="inlineStr">
        <is>
          <t>65004407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10224750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20260722</t>
        </is>
      </c>
      <c r="M3" s="8" t="inlineStr">
        <is>
          <t>99991231</t>
        </is>
      </c>
      <c r="N3" s="10" t="n">
        <v>448.65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900009272</v>
      </c>
      <c r="D4" s="7">
        <f>IFERROR(VLOOKUP(C4,TRAOPE!$G:$H,2,0),"")</f>
        <v/>
      </c>
      <c r="E4" s="8" t="inlineStr">
        <is>
          <t>D919</t>
        </is>
      </c>
      <c r="F4" s="8" t="inlineStr">
        <is>
          <t>66936812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10224750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20260722</t>
        </is>
      </c>
      <c r="M4" s="8" t="inlineStr">
        <is>
          <t>99991231</t>
        </is>
      </c>
      <c r="N4" s="10" t="n">
        <v>385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900009272</v>
      </c>
      <c r="D5" s="7">
        <f>IFERROR(VLOOKUP(C5,TRAOPE!$G:$H,2,0),"")</f>
        <v/>
      </c>
      <c r="E5" s="8" t="inlineStr">
        <is>
          <t>D919</t>
        </is>
      </c>
      <c r="F5" s="8" t="inlineStr">
        <is>
          <t>67344044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10150617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20251022</t>
        </is>
      </c>
      <c r="M5" s="8" t="inlineStr">
        <is>
          <t>99991231</t>
        </is>
      </c>
      <c r="N5" s="10" t="n">
        <v>350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900009272</v>
      </c>
      <c r="D6" s="7">
        <f>IFERROR(VLOOKUP(C6,TRAOPE!$G:$H,2,0),"")</f>
        <v/>
      </c>
      <c r="E6" s="8" t="inlineStr">
        <is>
          <t>D919</t>
        </is>
      </c>
      <c r="F6" s="8" t="inlineStr">
        <is>
          <t>67344044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10151191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20251022</t>
        </is>
      </c>
      <c r="M6" s="8" t="inlineStr">
        <is>
          <t>99991231</t>
        </is>
      </c>
      <c r="N6" s="10" t="n">
        <v>350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900009272</v>
      </c>
      <c r="D7" s="7">
        <f>IFERROR(VLOOKUP(C7,TRAOPE!$G:$H,2,0),"")</f>
        <v/>
      </c>
      <c r="E7" s="8" t="inlineStr">
        <is>
          <t>D919</t>
        </is>
      </c>
      <c r="F7" s="8" t="inlineStr">
        <is>
          <t>67344044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10224750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20251022</t>
        </is>
      </c>
      <c r="M7" s="8" t="inlineStr">
        <is>
          <t>99991231</t>
        </is>
      </c>
      <c r="N7" s="10" t="n">
        <v>430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900009272</v>
      </c>
      <c r="D8" s="7">
        <f>IFERROR(VLOOKUP(C8,TRAOPE!$G:$H,2,0),"")</f>
        <v/>
      </c>
      <c r="E8" s="8" t="inlineStr">
        <is>
          <t>D919</t>
        </is>
      </c>
      <c r="F8" s="8" t="inlineStr">
        <is>
          <t>67354070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10224750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20260722</t>
        </is>
      </c>
      <c r="M8" s="8" t="inlineStr">
        <is>
          <t>99991231</t>
        </is>
      </c>
      <c r="N8" s="10" t="n">
        <v>385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900009272</v>
      </c>
      <c r="D9" s="7">
        <f>IFERROR(VLOOKUP(C9,TRAOPE!$G:$H,2,0),"")</f>
        <v/>
      </c>
      <c r="E9" s="8" t="inlineStr">
        <is>
          <t>D919</t>
        </is>
      </c>
      <c r="F9" s="8" t="inlineStr">
        <is>
          <t>67354611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10224750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20260722</t>
        </is>
      </c>
      <c r="M9" s="8" t="inlineStr">
        <is>
          <t>99991231</t>
        </is>
      </c>
      <c r="N9" s="10" t="n">
        <v>385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900009272</v>
      </c>
      <c r="D10" s="7">
        <f>IFERROR(VLOOKUP(C10,TRAOPE!$G:$H,2,0),"")</f>
        <v/>
      </c>
      <c r="E10" s="8" t="inlineStr">
        <is>
          <t>D919</t>
        </is>
      </c>
      <c r="F10" s="8" t="inlineStr">
        <is>
          <t>67365636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10224750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20260722</t>
        </is>
      </c>
      <c r="M10" s="8" t="inlineStr">
        <is>
          <t>99991231</t>
        </is>
      </c>
      <c r="N10" s="10" t="n">
        <v>390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900009272</v>
      </c>
      <c r="D11" s="7">
        <f>IFERROR(VLOOKUP(C11,TRAOPE!$G:$H,2,0),"")</f>
        <v/>
      </c>
      <c r="E11" s="8" t="inlineStr">
        <is>
          <t>D919</t>
        </is>
      </c>
      <c r="F11" s="8" t="inlineStr">
        <is>
          <t>67365637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10224750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20260722</t>
        </is>
      </c>
      <c r="M11" s="8" t="inlineStr">
        <is>
          <t>99991231</t>
        </is>
      </c>
      <c r="N11" s="10" t="n">
        <v>390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900009297</v>
      </c>
      <c r="D12" s="7">
        <f>IFERROR(VLOOKUP(C12,TRAOPE!$G:$H,2,0),"")</f>
        <v/>
      </c>
      <c r="E12" s="8" t="inlineStr">
        <is>
          <t>D919</t>
        </is>
      </c>
      <c r="F12" s="8" t="inlineStr">
        <is>
          <t>67331324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10000587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20260610</t>
        </is>
      </c>
      <c r="M12" s="8" t="inlineStr">
        <is>
          <t>99991231</t>
        </is>
      </c>
      <c r="N12" s="10" t="n">
        <v>89.7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900009297</v>
      </c>
      <c r="D13" s="7">
        <f>IFERROR(VLOOKUP(C13,TRAOPE!$G:$H,2,0),"")</f>
        <v/>
      </c>
      <c r="E13" s="8" t="inlineStr">
        <is>
          <t>D919</t>
        </is>
      </c>
      <c r="F13" s="8" t="inlineStr">
        <is>
          <t>67331324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10150617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20260610</t>
        </is>
      </c>
      <c r="M13" s="8" t="inlineStr">
        <is>
          <t>99991231</t>
        </is>
      </c>
      <c r="N13" s="10" t="n">
        <v>236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900009297</v>
      </c>
      <c r="D14" s="7">
        <f>IFERROR(VLOOKUP(C14,TRAOPE!$G:$H,2,0),"")</f>
        <v/>
      </c>
      <c r="E14" s="8" t="inlineStr">
        <is>
          <t>D919</t>
        </is>
      </c>
      <c r="F14" s="8" t="inlineStr">
        <is>
          <t>67331324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10151191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20260610</t>
        </is>
      </c>
      <c r="M14" s="8" t="inlineStr">
        <is>
          <t>99991231</t>
        </is>
      </c>
      <c r="N14" s="10" t="n">
        <v>236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900009297</v>
      </c>
      <c r="D15" s="7">
        <f>IFERROR(VLOOKUP(C15,TRAOPE!$G:$H,2,0),"")</f>
        <v/>
      </c>
      <c r="E15" s="8" t="inlineStr">
        <is>
          <t>D919</t>
        </is>
      </c>
      <c r="F15" s="8" t="inlineStr">
        <is>
          <t>67331324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10224750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20260610</t>
        </is>
      </c>
      <c r="M15" s="8" t="inlineStr">
        <is>
          <t>99991231</t>
        </is>
      </c>
      <c r="N15" s="10" t="n">
        <v>297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900009272</t>
        </is>
      </c>
      <c r="B2" t="inlineStr">
        <is>
          <t>D919</t>
        </is>
      </c>
      <c r="C2" t="inlineStr">
        <is>
          <t>65004407</t>
        </is>
      </c>
      <c r="D2" t="inlineStr">
        <is>
          <t>10224750</t>
        </is>
      </c>
      <c r="E2" t="inlineStr"/>
      <c r="F2" s="11" t="n">
        <v>448.65</v>
      </c>
      <c r="G2" t="inlineStr"/>
      <c r="I2" t="inlineStr">
        <is>
          <t>M3</t>
        </is>
      </c>
      <c r="J2" t="inlineStr"/>
      <c r="K2" t="inlineStr">
        <is>
          <t>20260722</t>
        </is>
      </c>
      <c r="L2" t="inlineStr">
        <is>
          <t>99991231</t>
        </is>
      </c>
    </row>
    <row r="3">
      <c r="A3" t="inlineStr">
        <is>
          <t>900009272</t>
        </is>
      </c>
      <c r="B3" t="inlineStr">
        <is>
          <t>D919</t>
        </is>
      </c>
      <c r="C3" t="inlineStr">
        <is>
          <t>66936812</t>
        </is>
      </c>
      <c r="D3" t="inlineStr">
        <is>
          <t>10224750</t>
        </is>
      </c>
      <c r="E3" t="inlineStr"/>
      <c r="F3" s="11" t="n">
        <v>385</v>
      </c>
      <c r="G3" t="inlineStr"/>
      <c r="I3" t="inlineStr">
        <is>
          <t>M3</t>
        </is>
      </c>
      <c r="J3" t="inlineStr"/>
      <c r="K3" t="inlineStr">
        <is>
          <t>20260722</t>
        </is>
      </c>
      <c r="L3" t="inlineStr">
        <is>
          <t>99991231</t>
        </is>
      </c>
    </row>
    <row r="4">
      <c r="A4" t="inlineStr">
        <is>
          <t>900009272</t>
        </is>
      </c>
      <c r="B4" t="inlineStr">
        <is>
          <t>D919</t>
        </is>
      </c>
      <c r="C4" t="inlineStr">
        <is>
          <t>67344044</t>
        </is>
      </c>
      <c r="D4" t="inlineStr">
        <is>
          <t>10150617</t>
        </is>
      </c>
      <c r="E4" t="inlineStr"/>
      <c r="F4" s="11" t="n">
        <v>350</v>
      </c>
      <c r="G4" t="inlineStr"/>
      <c r="I4" t="inlineStr">
        <is>
          <t>M3</t>
        </is>
      </c>
      <c r="J4" t="inlineStr"/>
      <c r="K4" t="inlineStr">
        <is>
          <t>20251022</t>
        </is>
      </c>
      <c r="L4" t="inlineStr">
        <is>
          <t>99991231</t>
        </is>
      </c>
    </row>
    <row r="5">
      <c r="A5" t="inlineStr">
        <is>
          <t>900009272</t>
        </is>
      </c>
      <c r="B5" t="inlineStr">
        <is>
          <t>D919</t>
        </is>
      </c>
      <c r="C5" t="inlineStr">
        <is>
          <t>67344044</t>
        </is>
      </c>
      <c r="D5" t="inlineStr">
        <is>
          <t>10151191</t>
        </is>
      </c>
      <c r="E5" t="inlineStr"/>
      <c r="F5" s="11" t="n">
        <v>350</v>
      </c>
      <c r="G5" t="inlineStr"/>
      <c r="I5" t="inlineStr">
        <is>
          <t>M3</t>
        </is>
      </c>
      <c r="J5" t="inlineStr"/>
      <c r="K5" t="inlineStr">
        <is>
          <t>20251022</t>
        </is>
      </c>
      <c r="L5" t="inlineStr">
        <is>
          <t>99991231</t>
        </is>
      </c>
    </row>
    <row r="6">
      <c r="A6" t="inlineStr">
        <is>
          <t>900009272</t>
        </is>
      </c>
      <c r="B6" t="inlineStr">
        <is>
          <t>D919</t>
        </is>
      </c>
      <c r="C6" t="inlineStr">
        <is>
          <t>67344044</t>
        </is>
      </c>
      <c r="D6" t="inlineStr">
        <is>
          <t>10224750</t>
        </is>
      </c>
      <c r="E6" t="inlineStr"/>
      <c r="F6" s="11" t="n">
        <v>430</v>
      </c>
      <c r="G6" t="inlineStr"/>
      <c r="I6" t="inlineStr">
        <is>
          <t>M3</t>
        </is>
      </c>
      <c r="J6" t="inlineStr"/>
      <c r="K6" t="inlineStr">
        <is>
          <t>20251022</t>
        </is>
      </c>
      <c r="L6" t="inlineStr">
        <is>
          <t>99991231</t>
        </is>
      </c>
    </row>
    <row r="7">
      <c r="A7" t="inlineStr">
        <is>
          <t>900009272</t>
        </is>
      </c>
      <c r="B7" t="inlineStr">
        <is>
          <t>D919</t>
        </is>
      </c>
      <c r="C7" t="inlineStr">
        <is>
          <t>67354070</t>
        </is>
      </c>
      <c r="D7" t="inlineStr">
        <is>
          <t>10224750</t>
        </is>
      </c>
      <c r="E7" t="inlineStr"/>
      <c r="F7" s="11" t="n">
        <v>385</v>
      </c>
      <c r="G7" t="inlineStr"/>
      <c r="I7" t="inlineStr">
        <is>
          <t>M3</t>
        </is>
      </c>
      <c r="J7" t="inlineStr"/>
      <c r="K7" t="inlineStr">
        <is>
          <t>20260722</t>
        </is>
      </c>
      <c r="L7" t="inlineStr">
        <is>
          <t>99991231</t>
        </is>
      </c>
    </row>
    <row r="8">
      <c r="A8" t="inlineStr">
        <is>
          <t>900009272</t>
        </is>
      </c>
      <c r="B8" t="inlineStr">
        <is>
          <t>D919</t>
        </is>
      </c>
      <c r="C8" t="inlineStr">
        <is>
          <t>67354611</t>
        </is>
      </c>
      <c r="D8" t="inlineStr">
        <is>
          <t>10224750</t>
        </is>
      </c>
      <c r="E8" t="inlineStr"/>
      <c r="F8" s="11" t="n">
        <v>385</v>
      </c>
      <c r="G8" t="inlineStr"/>
      <c r="I8" t="inlineStr">
        <is>
          <t>M3</t>
        </is>
      </c>
      <c r="J8" t="inlineStr"/>
      <c r="K8" t="inlineStr">
        <is>
          <t>20260722</t>
        </is>
      </c>
      <c r="L8" t="inlineStr">
        <is>
          <t>99991231</t>
        </is>
      </c>
    </row>
    <row r="9">
      <c r="A9" t="inlineStr">
        <is>
          <t>900009272</t>
        </is>
      </c>
      <c r="B9" t="inlineStr">
        <is>
          <t>D919</t>
        </is>
      </c>
      <c r="C9" t="inlineStr">
        <is>
          <t>67365636</t>
        </is>
      </c>
      <c r="D9" t="inlineStr">
        <is>
          <t>10224750</t>
        </is>
      </c>
      <c r="E9" t="inlineStr"/>
      <c r="F9" s="11" t="n">
        <v>390</v>
      </c>
      <c r="G9" t="inlineStr"/>
      <c r="I9" t="inlineStr">
        <is>
          <t>M3</t>
        </is>
      </c>
      <c r="J9" t="inlineStr"/>
      <c r="K9" t="inlineStr">
        <is>
          <t>20260722</t>
        </is>
      </c>
      <c r="L9" t="inlineStr">
        <is>
          <t>99991231</t>
        </is>
      </c>
    </row>
    <row r="10">
      <c r="A10" t="inlineStr">
        <is>
          <t>900009272</t>
        </is>
      </c>
      <c r="B10" t="inlineStr">
        <is>
          <t>D919</t>
        </is>
      </c>
      <c r="C10" t="inlineStr">
        <is>
          <t>67365637</t>
        </is>
      </c>
      <c r="D10" t="inlineStr">
        <is>
          <t>10224750</t>
        </is>
      </c>
      <c r="E10" t="inlineStr"/>
      <c r="F10" s="11" t="n">
        <v>390</v>
      </c>
      <c r="G10" t="inlineStr"/>
      <c r="I10" t="inlineStr">
        <is>
          <t>M3</t>
        </is>
      </c>
      <c r="J10" t="inlineStr"/>
      <c r="K10" t="inlineStr">
        <is>
          <t>20260722</t>
        </is>
      </c>
      <c r="L10" t="inlineStr">
        <is>
          <t>99991231</t>
        </is>
      </c>
    </row>
    <row r="11">
      <c r="A11" t="inlineStr">
        <is>
          <t>900009297</t>
        </is>
      </c>
      <c r="B11" t="inlineStr">
        <is>
          <t>D919</t>
        </is>
      </c>
      <c r="C11" t="inlineStr">
        <is>
          <t>67331324</t>
        </is>
      </c>
      <c r="D11" t="inlineStr">
        <is>
          <t>10000587</t>
        </is>
      </c>
      <c r="E11" t="inlineStr"/>
      <c r="F11" s="11" t="n">
        <v>89.7</v>
      </c>
      <c r="G11" t="inlineStr"/>
      <c r="I11" t="inlineStr">
        <is>
          <t>M3</t>
        </is>
      </c>
      <c r="J11" t="inlineStr"/>
      <c r="K11" t="inlineStr">
        <is>
          <t>20260610</t>
        </is>
      </c>
      <c r="L11" t="inlineStr">
        <is>
          <t>99991231</t>
        </is>
      </c>
    </row>
    <row r="12">
      <c r="A12" t="inlineStr">
        <is>
          <t>900009297</t>
        </is>
      </c>
      <c r="B12" t="inlineStr">
        <is>
          <t>D919</t>
        </is>
      </c>
      <c r="C12" t="inlineStr">
        <is>
          <t>67331324</t>
        </is>
      </c>
      <c r="D12" t="inlineStr">
        <is>
          <t>10150617</t>
        </is>
      </c>
      <c r="E12" t="inlineStr"/>
      <c r="F12" s="11" t="n">
        <v>236</v>
      </c>
      <c r="G12" t="inlineStr"/>
      <c r="I12" t="inlineStr">
        <is>
          <t>M3</t>
        </is>
      </c>
      <c r="J12" t="inlineStr"/>
      <c r="K12" t="inlineStr">
        <is>
          <t>20260610</t>
        </is>
      </c>
      <c r="L12" t="inlineStr">
        <is>
          <t>99991231</t>
        </is>
      </c>
    </row>
    <row r="13">
      <c r="A13" t="inlineStr">
        <is>
          <t>900009297</t>
        </is>
      </c>
      <c r="B13" t="inlineStr">
        <is>
          <t>D919</t>
        </is>
      </c>
      <c r="C13" t="inlineStr">
        <is>
          <t>67331324</t>
        </is>
      </c>
      <c r="D13" t="inlineStr">
        <is>
          <t>10151191</t>
        </is>
      </c>
      <c r="E13" t="inlineStr"/>
      <c r="F13" s="11" t="n">
        <v>236</v>
      </c>
      <c r="G13" t="inlineStr"/>
      <c r="I13" t="inlineStr">
        <is>
          <t>M3</t>
        </is>
      </c>
      <c r="J13" t="inlineStr"/>
      <c r="K13" t="inlineStr">
        <is>
          <t>20260610</t>
        </is>
      </c>
      <c r="L13" t="inlineStr">
        <is>
          <t>99991231</t>
        </is>
      </c>
    </row>
    <row r="14">
      <c r="A14" t="inlineStr">
        <is>
          <t>900009297</t>
        </is>
      </c>
      <c r="B14" t="inlineStr">
        <is>
          <t>D919</t>
        </is>
      </c>
      <c r="C14" t="inlineStr">
        <is>
          <t>67331324</t>
        </is>
      </c>
      <c r="D14" t="inlineStr">
        <is>
          <t>10224750</t>
        </is>
      </c>
      <c r="E14" t="inlineStr"/>
      <c r="F14" s="11" t="n">
        <v>297</v>
      </c>
      <c r="G14" t="inlineStr"/>
      <c r="I14" t="inlineStr">
        <is>
          <t>M3</t>
        </is>
      </c>
      <c r="J14" t="inlineStr"/>
      <c r="K14" t="inlineStr">
        <is>
          <t>20260610</t>
        </is>
      </c>
      <c r="L1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900009297D91910224750</t>
        </is>
      </c>
      <c r="B2" t="inlineStr">
        <is>
          <t>4600071479-20</t>
        </is>
      </c>
      <c r="C2" t="n">
        <v>4600071479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900009297</v>
      </c>
      <c r="H2" t="inlineStr">
        <is>
          <t>SF TP-ALIANCO MAQAR 2--BASE</t>
        </is>
      </c>
      <c r="I2" t="n">
        <v>5086713</v>
      </c>
      <c r="J2" t="inlineStr">
        <is>
          <t>MINERIA Y SERVICIOS INDUSTRIALES AL</t>
        </is>
      </c>
      <c r="K2" t="inlineStr">
        <is>
          <t>N30</t>
        </is>
      </c>
      <c r="L2" t="inlineStr">
        <is>
          <t>(AP) NAFIN 30 Dias</t>
        </is>
      </c>
      <c r="M2" t="n">
        <v>10224750</v>
      </c>
      <c r="N2" t="inlineStr">
        <is>
          <t>ARENA TRITURADA CALIZA MALLA 4</t>
        </is>
      </c>
      <c r="O2" t="inlineStr">
        <is>
          <t>D919</t>
        </is>
      </c>
      <c r="P2" t="inlineStr">
        <is>
          <t>MX-CED. MAQAR II</t>
        </is>
      </c>
      <c r="Q2" t="n">
        <v>20250723</v>
      </c>
      <c r="R2" t="n">
        <v>20301231</v>
      </c>
      <c r="S2" t="n">
        <v>20260610</v>
      </c>
      <c r="T2" t="n">
        <v>20301231</v>
      </c>
      <c r="U2" t="n">
        <v>245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6625111540</v>
      </c>
      <c r="AE2" t="n">
        <v>1</v>
      </c>
      <c r="AF2" t="inlineStr">
        <is>
          <t>ENTREGADO</t>
        </is>
      </c>
      <c r="AG2" t="n">
        <v>1.322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20260615</v>
      </c>
      <c r="AM2" t="inlineStr">
        <is>
          <t>D919-900009297-10224750</t>
        </is>
      </c>
    </row>
    <row r="3">
      <c r="A3" t="inlineStr">
        <is>
          <t>900009297D91910151191</t>
        </is>
      </c>
      <c r="B3" t="inlineStr">
        <is>
          <t>4600071479-40</t>
        </is>
      </c>
      <c r="C3" t="n">
        <v>4600071479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900009297</v>
      </c>
      <c r="H3" t="inlineStr">
        <is>
          <t>SF TP-ALIANCO MAQAR 2--BASE</t>
        </is>
      </c>
      <c r="I3" t="n">
        <v>5086713</v>
      </c>
      <c r="J3" t="inlineStr">
        <is>
          <t>MINERIA Y SERVICIOS INDUSTRIALES AL</t>
        </is>
      </c>
      <c r="K3" t="inlineStr">
        <is>
          <t>N30</t>
        </is>
      </c>
      <c r="L3" t="inlineStr">
        <is>
          <t>(AP) NAFIN 30 Dias</t>
        </is>
      </c>
      <c r="M3" t="n">
        <v>10151191</v>
      </c>
      <c r="N3" t="inlineStr">
        <is>
          <t xml:space="preserve">GRAVA TRITURADA CALIZA 40MM 1 ½# </t>
        </is>
      </c>
      <c r="O3" t="inlineStr">
        <is>
          <t>D919</t>
        </is>
      </c>
      <c r="P3" t="inlineStr">
        <is>
          <t>MX-CED. MAQAR II</t>
        </is>
      </c>
      <c r="Q3" t="n">
        <v>20250723</v>
      </c>
      <c r="R3" t="n">
        <v>20301231</v>
      </c>
      <c r="S3" t="n">
        <v>20260610</v>
      </c>
      <c r="T3" t="n">
        <v>20301231</v>
      </c>
      <c r="U3" t="n">
        <v>185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6625111540</v>
      </c>
      <c r="AE3" t="n">
        <v>1</v>
      </c>
      <c r="AF3" t="inlineStr">
        <is>
          <t>ENTREGADO</t>
        </is>
      </c>
      <c r="AG3" t="n">
        <v>1.287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20260615</v>
      </c>
      <c r="AM3" t="inlineStr">
        <is>
          <t>D919-900009297-10151191</t>
        </is>
      </c>
    </row>
    <row r="4">
      <c r="A4" t="inlineStr">
        <is>
          <t>900009297D91910150617</t>
        </is>
      </c>
      <c r="B4" t="inlineStr">
        <is>
          <t>4600071479-30</t>
        </is>
      </c>
      <c r="C4" t="n">
        <v>4600071479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900009297</v>
      </c>
      <c r="H4" t="inlineStr">
        <is>
          <t>SF TP-ALIANCO MAQAR 2--BASE</t>
        </is>
      </c>
      <c r="I4" t="n">
        <v>5086713</v>
      </c>
      <c r="J4" t="inlineStr">
        <is>
          <t>MINERIA Y SERVICIOS INDUSTRIALES AL</t>
        </is>
      </c>
      <c r="K4" t="inlineStr">
        <is>
          <t>N30</t>
        </is>
      </c>
      <c r="L4" t="inlineStr">
        <is>
          <t>(AP) NAFIN 30 Dias</t>
        </is>
      </c>
      <c r="M4" t="n">
        <v>10150617</v>
      </c>
      <c r="N4" t="inlineStr">
        <is>
          <t>GRAVA TRITURADA CALIZA 20MM 3/4"</t>
        </is>
      </c>
      <c r="O4" t="inlineStr">
        <is>
          <t>D919</t>
        </is>
      </c>
      <c r="P4" t="inlineStr">
        <is>
          <t>MX-CED. MAQAR II</t>
        </is>
      </c>
      <c r="Q4" t="n">
        <v>20250723</v>
      </c>
      <c r="R4" t="n">
        <v>20301231</v>
      </c>
      <c r="S4" t="n">
        <v>20260610</v>
      </c>
      <c r="T4" t="n">
        <v>20301231</v>
      </c>
      <c r="U4" t="n">
        <v>185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6625111540</v>
      </c>
      <c r="AE4" t="n">
        <v>1</v>
      </c>
      <c r="AF4" t="inlineStr">
        <is>
          <t>ENTREGADO</t>
        </is>
      </c>
      <c r="AG4" t="n">
        <v>1.112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20260615</v>
      </c>
      <c r="AM4" t="inlineStr">
        <is>
          <t>D919-900009297-10150617</t>
        </is>
      </c>
    </row>
    <row r="5">
      <c r="A5" t="inlineStr">
        <is>
          <t>900009272D91910224750</t>
        </is>
      </c>
      <c r="B5" t="inlineStr">
        <is>
          <t>4600071731-30</t>
        </is>
      </c>
      <c r="C5" t="n">
        <v>4600071731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900009272</v>
      </c>
      <c r="H5" t="inlineStr">
        <is>
          <t>SF TP-ALIANCO MAQAR 2</t>
        </is>
      </c>
      <c r="I5" t="n">
        <v>5086713</v>
      </c>
      <c r="J5" t="inlineStr">
        <is>
          <t>MINERIA Y SERVICIOS INDUSTRIALES AL</t>
        </is>
      </c>
      <c r="K5" t="inlineStr">
        <is>
          <t>N30</t>
        </is>
      </c>
      <c r="L5" t="inlineStr">
        <is>
          <t>(AP) NAFIN 30 Dias</t>
        </is>
      </c>
      <c r="M5" t="n">
        <v>10224750</v>
      </c>
      <c r="N5" t="inlineStr">
        <is>
          <t>ARENA TRITURADA CALIZA MALLA 4</t>
        </is>
      </c>
      <c r="O5" t="inlineStr">
        <is>
          <t>D919</t>
        </is>
      </c>
      <c r="P5" t="inlineStr">
        <is>
          <t>MX-CED. MAQAR II</t>
        </is>
      </c>
      <c r="Q5" t="n">
        <v>20251022</v>
      </c>
      <c r="R5" t="n">
        <v>20301231</v>
      </c>
      <c r="S5" t="n">
        <v>20260722</v>
      </c>
      <c r="T5" t="n">
        <v>20301231</v>
      </c>
      <c r="U5" t="n">
        <v>235.99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6625111540</v>
      </c>
      <c r="AE5" t="n">
        <v>1</v>
      </c>
      <c r="AF5" t="inlineStr">
        <is>
          <t>ENTREGADO</t>
        </is>
      </c>
      <c r="AG5" t="n">
        <v>1.322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20260731</v>
      </c>
      <c r="AM5" t="inlineStr">
        <is>
          <t>D919-900009272-10224750</t>
        </is>
      </c>
    </row>
    <row r="6">
      <c r="A6" t="inlineStr">
        <is>
          <t>900009297D91910000587</t>
        </is>
      </c>
      <c r="B6" t="inlineStr">
        <is>
          <t>4600071479-10</t>
        </is>
      </c>
      <c r="C6" t="n">
        <v>4600071479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900009297</v>
      </c>
      <c r="H6" t="inlineStr">
        <is>
          <t>SF TP-ALIANCO MAQAR 2--BASE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10000587</v>
      </c>
      <c r="N6" t="inlineStr">
        <is>
          <t>BASE HIDRÁULICA SE DE 1 ½  A FINOS</t>
        </is>
      </c>
      <c r="O6" t="inlineStr">
        <is>
          <t>D919</t>
        </is>
      </c>
      <c r="P6" t="inlineStr">
        <is>
          <t>MX-CED. MAQAR II</t>
        </is>
      </c>
      <c r="Q6" t="n">
        <v>20250723</v>
      </c>
      <c r="R6" t="n">
        <v>20301231</v>
      </c>
      <c r="S6" t="n">
        <v>20250723</v>
      </c>
      <c r="T6" t="n">
        <v>20301231</v>
      </c>
      <c r="U6" t="n">
        <v>78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6625111540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20250729</v>
      </c>
      <c r="AM6" t="inlineStr">
        <is>
          <t>D919-900009297-10000587</t>
        </is>
      </c>
    </row>
    <row r="7">
      <c r="A7" t="inlineStr">
        <is>
          <t>900009272D91910151191</t>
        </is>
      </c>
      <c r="B7" t="inlineStr">
        <is>
          <t>4600071731-10</t>
        </is>
      </c>
      <c r="C7" t="n">
        <v>4600071731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900009272</v>
      </c>
      <c r="H7" t="inlineStr">
        <is>
          <t>SF TP-ALIANCO MAQAR 2</t>
        </is>
      </c>
      <c r="I7" t="n">
        <v>5086713</v>
      </c>
      <c r="J7" t="inlineStr">
        <is>
          <t>MINERIA Y SERVICIOS INDUSTRIALES AL</t>
        </is>
      </c>
      <c r="K7" t="inlineStr">
        <is>
          <t>N30</t>
        </is>
      </c>
      <c r="L7" t="inlineStr">
        <is>
          <t>(AP) NAFIN 30 Dias</t>
        </is>
      </c>
      <c r="M7" t="n">
        <v>10151191</v>
      </c>
      <c r="N7" t="inlineStr">
        <is>
          <t xml:space="preserve">GRAVA TRITURADA CALIZA 40MM 1 ½# </t>
        </is>
      </c>
      <c r="O7" t="inlineStr">
        <is>
          <t>D919</t>
        </is>
      </c>
      <c r="P7" t="inlineStr">
        <is>
          <t>MX-CED. MAQAR II</t>
        </is>
      </c>
      <c r="Q7" t="n">
        <v>20251022</v>
      </c>
      <c r="R7" t="n">
        <v>20301231</v>
      </c>
      <c r="S7" t="n">
        <v>20251022</v>
      </c>
      <c r="T7" t="n">
        <v>20301231</v>
      </c>
      <c r="U7" t="n">
        <v>185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6625111540</v>
      </c>
      <c r="AE7" t="n">
        <v>1</v>
      </c>
      <c r="AF7" t="inlineStr">
        <is>
          <t>ENTREGADO</t>
        </is>
      </c>
      <c r="AG7" t="n">
        <v>1.287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20251028</v>
      </c>
      <c r="AM7" t="inlineStr">
        <is>
          <t>D919-900009272-10151191</t>
        </is>
      </c>
    </row>
    <row r="8">
      <c r="A8" t="inlineStr">
        <is>
          <t>900009272D91910150617</t>
        </is>
      </c>
      <c r="B8" t="inlineStr">
        <is>
          <t>4600071731-20</t>
        </is>
      </c>
      <c r="C8" t="n">
        <v>4600071731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900009272</v>
      </c>
      <c r="H8" t="inlineStr">
        <is>
          <t>SF TP-ALIANCO MAQAR 2</t>
        </is>
      </c>
      <c r="I8" t="n">
        <v>5086713</v>
      </c>
      <c r="J8" t="inlineStr">
        <is>
          <t>MINERIA Y SERVICIOS INDUSTRIALES AL</t>
        </is>
      </c>
      <c r="K8" t="inlineStr">
        <is>
          <t>N30</t>
        </is>
      </c>
      <c r="L8" t="inlineStr">
        <is>
          <t>(AP) NAFIN 30 Dias</t>
        </is>
      </c>
      <c r="M8" t="n">
        <v>10150617</v>
      </c>
      <c r="N8" t="inlineStr">
        <is>
          <t>GRAVA TRITURADA CALIZA 20MM 3/4"</t>
        </is>
      </c>
      <c r="O8" t="inlineStr">
        <is>
          <t>D919</t>
        </is>
      </c>
      <c r="P8" t="inlineStr">
        <is>
          <t>MX-CED. MAQAR II</t>
        </is>
      </c>
      <c r="Q8" t="n">
        <v>20251022</v>
      </c>
      <c r="R8" t="n">
        <v>20301231</v>
      </c>
      <c r="S8" t="n">
        <v>20251022</v>
      </c>
      <c r="T8" t="n">
        <v>20301231</v>
      </c>
      <c r="U8" t="n">
        <v>185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6625111540</v>
      </c>
      <c r="AE8" t="n">
        <v>1</v>
      </c>
      <c r="AF8" t="inlineStr">
        <is>
          <t>ENTREGADO</t>
        </is>
      </c>
      <c r="AG8" t="n">
        <v>1.112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20251028</v>
      </c>
      <c r="AM8" t="inlineStr">
        <is>
          <t>D919-900009272-10150617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2026-09-14T14:20:59Z</dcterms:created>
  <dcterms:modified xsi:type="dcterms:W3CDTF">2026-09-14T14:20:59Z</dcterms:modified>
</cp:coreProperties>
</file>