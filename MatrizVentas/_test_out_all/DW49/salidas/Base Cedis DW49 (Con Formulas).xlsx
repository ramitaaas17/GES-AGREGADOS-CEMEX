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900008779</v>
      </c>
      <c r="D3" s="7">
        <f>IFERROR(VLOOKUP(C3,TRAOPE!$G:$H,2,0),"")</f>
        <v/>
      </c>
      <c r="E3" s="8" t="inlineStr">
        <is>
          <t>DW49</t>
        </is>
      </c>
      <c r="F3" s="8" t="inlineStr">
        <is>
          <t>EQ86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10258859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20240719</t>
        </is>
      </c>
      <c r="M3" s="8" t="inlineStr">
        <is>
          <t>20250220</t>
        </is>
      </c>
      <c r="N3" s="10" t="n">
        <v>330.78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900008779</t>
        </is>
      </c>
      <c r="B2" t="inlineStr">
        <is>
          <t>DW49</t>
        </is>
      </c>
      <c r="C2" t="inlineStr">
        <is>
          <t>EQ86</t>
        </is>
      </c>
      <c r="D2" t="inlineStr">
        <is>
          <t>10258859</t>
        </is>
      </c>
      <c r="E2" t="inlineStr"/>
      <c r="F2" s="11" t="n">
        <v>330.78</v>
      </c>
      <c r="G2" t="inlineStr"/>
      <c r="I2" t="inlineStr">
        <is>
          <t>TN</t>
        </is>
      </c>
      <c r="J2" t="inlineStr"/>
      <c r="K2" t="inlineStr">
        <is>
          <t>20240719</t>
        </is>
      </c>
      <c r="L2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900008779DW49EQ8610258859</t>
        </is>
      </c>
      <c r="B2" t="inlineStr">
        <is>
          <t>900008779</t>
        </is>
      </c>
      <c r="C2" t="inlineStr">
        <is>
          <t>DW49</t>
        </is>
      </c>
      <c r="D2" t="inlineStr">
        <is>
          <t>EQ86</t>
        </is>
      </c>
      <c r="E2" t="inlineStr">
        <is>
          <t>1</t>
        </is>
      </c>
      <c r="F2" t="inlineStr">
        <is>
          <t>10258859</t>
        </is>
      </c>
      <c r="H2" t="inlineStr"/>
      <c r="J2" t="n">
        <v>144.78</v>
      </c>
      <c r="K2" t="inlineStr"/>
      <c r="M2" t="inlineStr">
        <is>
          <t>TN</t>
        </is>
      </c>
      <c r="N2" t="inlineStr"/>
      <c r="P2" t="inlineStr">
        <is>
          <t>20240320</t>
        </is>
      </c>
      <c r="Q2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900008779DW4910258859</t>
        </is>
      </c>
      <c r="B2" t="inlineStr">
        <is>
          <t>4600069882-10</t>
        </is>
      </c>
      <c r="C2" t="n">
        <v>4600069882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900008779</v>
      </c>
      <c r="H2" t="inlineStr">
        <is>
          <t>SF TC-ITA PARAISO</t>
        </is>
      </c>
      <c r="I2" t="n">
        <v>5014251</v>
      </c>
      <c r="J2" t="inlineStr">
        <is>
          <t>INGENIERIA Y TECNOLOGIA ASOCIADA SA</t>
        </is>
      </c>
      <c r="K2" t="inlineStr">
        <is>
          <t>N120</t>
        </is>
      </c>
      <c r="L2" t="inlineStr">
        <is>
          <t>(AP) NAFIN 120 Dias</t>
        </is>
      </c>
      <c r="M2" t="n">
        <v>10258859</v>
      </c>
      <c r="N2" t="inlineStr">
        <is>
          <t>ARENA CALIZA TRITURADA MALLA 4</t>
        </is>
      </c>
      <c r="O2" t="inlineStr">
        <is>
          <t>DW49</t>
        </is>
      </c>
      <c r="P2" t="inlineStr">
        <is>
          <t>MX-CEDIS MAQ SARABIA</t>
        </is>
      </c>
      <c r="Q2" t="n">
        <v>20240719</v>
      </c>
      <c r="R2" t="n">
        <v>20291231</v>
      </c>
      <c r="S2" t="n">
        <v>20240719</v>
      </c>
      <c r="T2" t="n">
        <v>20291231</v>
      </c>
      <c r="U2" t="n">
        <v>182.57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6644851540</v>
      </c>
      <c r="AE2" t="n">
        <v>1</v>
      </c>
      <c r="AF2" t="inlineStr">
        <is>
          <t>ENTREGADO</t>
        </is>
      </c>
      <c r="AG2" t="n">
        <v>1.436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20240724</v>
      </c>
      <c r="AM2" t="inlineStr">
        <is>
          <t>DW49-900008779-10258859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2026-09-14T14:21:28Z</dcterms:created>
  <dcterms:modified xsi:type="dcterms:W3CDTF">2026-09-14T14:21:28Z</dcterms:modified>
</cp:coreProperties>
</file>