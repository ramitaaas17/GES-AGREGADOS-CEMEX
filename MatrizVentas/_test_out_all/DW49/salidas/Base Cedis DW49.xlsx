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W49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0" customWidth="1" min="4" max="4"/>
    <col width="13" customWidth="1" min="5" max="5"/>
    <col width="30" customWidth="1" min="6" max="6"/>
    <col width="14" customWidth="1" min="7" max="7"/>
    <col width="40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0" customWidth="1" min="14" max="14"/>
    <col width="14" customWidth="1" min="15" max="15"/>
    <col width="10" customWidth="1" min="16" max="16"/>
    <col width="14" customWidth="1" min="17" max="17"/>
    <col width="14" customWidth="1" min="18" max="18"/>
  </cols>
  <sheetData>
    <row r="1" ht="20" customHeight="1">
      <c r="L1" s="1" t="inlineStr">
        <is>
          <t>VENTA</t>
        </is>
      </c>
      <c r="O1" s="2" t="inlineStr">
        <is>
          <t>COSTO</t>
        </is>
      </c>
    </row>
    <row r="2" ht="32" customHeight="1">
      <c r="A2" s="3" t="inlineStr">
        <is>
          <t>No. SF</t>
        </is>
      </c>
      <c r="B2" s="3" t="inlineStr">
        <is>
          <t>Nombre SF</t>
        </is>
      </c>
      <c r="C2" s="3" t="inlineStr">
        <is>
          <t>Cedis</t>
        </is>
      </c>
      <c r="D2" s="3" t="inlineStr">
        <is>
          <t>Destino</t>
        </is>
      </c>
      <c r="E2" s="3" t="inlineStr">
        <is>
          <t>Condicion de Expedicion</t>
        </is>
      </c>
      <c r="F2" s="3" t="inlineStr">
        <is>
          <t>Nombre Destino</t>
        </is>
      </c>
      <c r="G2" s="3" t="inlineStr">
        <is>
          <t>No. de material</t>
        </is>
      </c>
      <c r="H2" s="3" t="inlineStr">
        <is>
          <t>Nombre de material</t>
        </is>
      </c>
      <c r="I2" s="3" t="inlineStr">
        <is>
          <t>PV</t>
        </is>
      </c>
      <c r="J2" s="3" t="inlineStr">
        <is>
          <t>Inicio de vigencia</t>
        </is>
      </c>
      <c r="K2" s="3" t="inlineStr">
        <is>
          <t>Fin de vigencia</t>
        </is>
      </c>
      <c r="L2" s="4" t="inlineStr">
        <is>
          <t>Importe MP</t>
        </is>
      </c>
      <c r="M2" s="4" t="inlineStr">
        <is>
          <t>Importe Flete</t>
        </is>
      </c>
      <c r="N2" s="4" t="inlineStr">
        <is>
          <t>UM Venta</t>
        </is>
      </c>
      <c r="O2" s="5" t="inlineStr">
        <is>
          <t>Importe Costo</t>
        </is>
      </c>
      <c r="P2" s="5" t="inlineStr">
        <is>
          <t>UM Costo</t>
        </is>
      </c>
      <c r="Q2" s="6" t="inlineStr">
        <is>
          <t>Validacion 1</t>
        </is>
      </c>
      <c r="R2" s="6" t="inlineStr">
        <is>
          <t>Validacion 2</t>
        </is>
      </c>
    </row>
    <row r="3">
      <c r="A3" s="7" t="inlineStr">
        <is>
          <t>900008779</t>
        </is>
      </c>
      <c r="B3" s="8" t="inlineStr">
        <is>
          <t>SF TC-ITA PARAISO</t>
        </is>
      </c>
      <c r="C3" s="7" t="inlineStr">
        <is>
          <t>DW49</t>
        </is>
      </c>
      <c r="D3" s="7" t="inlineStr">
        <is>
          <t>EQ86</t>
        </is>
      </c>
      <c r="E3" s="7" t="inlineStr">
        <is>
          <t>1</t>
        </is>
      </c>
      <c r="F3" s="8" t="inlineStr"/>
      <c r="G3" s="8" t="inlineStr">
        <is>
          <t>10258859</t>
        </is>
      </c>
      <c r="H3" s="8" t="inlineStr">
        <is>
          <t>ARENA CALIZA TRITURADA MALLA 4</t>
        </is>
      </c>
      <c r="I3" s="9" t="n">
        <v>1436</v>
      </c>
      <c r="J3" s="7" t="inlineStr">
        <is>
          <t>20240719</t>
        </is>
      </c>
      <c r="K3" s="7" t="inlineStr">
        <is>
          <t>20250220</t>
        </is>
      </c>
      <c r="L3" s="10" t="n">
        <v>330.78</v>
      </c>
      <c r="M3" s="10" t="n">
        <v>144.78</v>
      </c>
      <c r="N3" s="7" t="inlineStr">
        <is>
          <t>TN</t>
        </is>
      </c>
      <c r="O3" s="10" t="n">
        <v>182.57</v>
      </c>
      <c r="P3" s="7" t="inlineStr">
        <is>
          <t>M3</t>
        </is>
      </c>
      <c r="Q3" s="10">
        <f>IF(AND(N3="TN",P3="TN"),L3+N(M3),IF(E3&amp;""="1",N(I3)*L3,(L3+N(M3))*N(I3)))</f>
        <v/>
      </c>
      <c r="R3" s="11">
        <f>O3-Q3</f>
        <v/>
      </c>
    </row>
  </sheetData>
  <mergeCells count="2">
    <mergeCell ref="L1:N1"/>
    <mergeCell ref="O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900008779</t>
        </is>
      </c>
      <c r="B2" t="inlineStr">
        <is>
          <t>DW49</t>
        </is>
      </c>
      <c r="C2" t="inlineStr">
        <is>
          <t>EQ86</t>
        </is>
      </c>
      <c r="D2" t="inlineStr">
        <is>
          <t>10258859</t>
        </is>
      </c>
      <c r="E2" t="inlineStr"/>
      <c r="F2" s="12" t="n">
        <v>330.78</v>
      </c>
      <c r="G2" t="inlineStr"/>
      <c r="I2" t="inlineStr">
        <is>
          <t>TN</t>
        </is>
      </c>
      <c r="J2" t="inlineStr"/>
      <c r="K2" t="inlineStr">
        <is>
          <t>20240719</t>
        </is>
      </c>
      <c r="L2" t="inlineStr">
        <is>
          <t>20250220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900008779DW49EQ8610258859</t>
        </is>
      </c>
      <c r="B2" t="inlineStr">
        <is>
          <t>900008779</t>
        </is>
      </c>
      <c r="C2" t="inlineStr">
        <is>
          <t>DW49</t>
        </is>
      </c>
      <c r="D2" t="inlineStr">
        <is>
          <t>EQ86</t>
        </is>
      </c>
      <c r="E2" t="inlineStr">
        <is>
          <t>1</t>
        </is>
      </c>
      <c r="F2" t="inlineStr">
        <is>
          <t>10258859</t>
        </is>
      </c>
      <c r="H2" t="inlineStr"/>
      <c r="J2" t="n">
        <v>144.78</v>
      </c>
      <c r="K2" t="inlineStr"/>
      <c r="M2" t="inlineStr">
        <is>
          <t>TN</t>
        </is>
      </c>
      <c r="N2" t="inlineStr"/>
      <c r="P2" t="inlineStr">
        <is>
          <t>20240320</t>
        </is>
      </c>
      <c r="Q2" t="inlineStr">
        <is>
          <t>20250220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900008779DW4910258859</t>
        </is>
      </c>
      <c r="B2" t="inlineStr">
        <is>
          <t>4600069882-10</t>
        </is>
      </c>
      <c r="C2" t="n">
        <v>4600069882</v>
      </c>
      <c r="D2" t="n">
        <v>10</v>
      </c>
      <c r="E2" t="inlineStr">
        <is>
          <t>MXPO</t>
        </is>
      </c>
      <c r="F2" t="inlineStr">
        <is>
          <t>MXL</t>
        </is>
      </c>
      <c r="G2" t="n">
        <v>900008779</v>
      </c>
      <c r="H2" t="inlineStr">
        <is>
          <t>SF TC-ITA PARAISO</t>
        </is>
      </c>
      <c r="I2" t="n">
        <v>5014251</v>
      </c>
      <c r="J2" t="inlineStr">
        <is>
          <t>INGENIERIA Y TECNOLOGIA ASOCIADA SA</t>
        </is>
      </c>
      <c r="K2" t="inlineStr">
        <is>
          <t>N120</t>
        </is>
      </c>
      <c r="L2" t="inlineStr">
        <is>
          <t>(AP) NAFIN 120 Dias</t>
        </is>
      </c>
      <c r="M2" t="n">
        <v>10258859</v>
      </c>
      <c r="N2" t="inlineStr">
        <is>
          <t>ARENA CALIZA TRITURADA MALLA 4</t>
        </is>
      </c>
      <c r="O2" t="inlineStr">
        <is>
          <t>DW49</t>
        </is>
      </c>
      <c r="P2" t="inlineStr">
        <is>
          <t>MX-CEDIS MAQ SARABIA</t>
        </is>
      </c>
      <c r="Q2" t="n">
        <v>20240719</v>
      </c>
      <c r="R2" t="n">
        <v>20291231</v>
      </c>
      <c r="S2" t="n">
        <v>20240719</v>
      </c>
      <c r="T2" t="n">
        <v>20291231</v>
      </c>
      <c r="U2" t="n">
        <v>182.57</v>
      </c>
      <c r="V2" t="inlineStr">
        <is>
          <t>MXN</t>
        </is>
      </c>
      <c r="W2" t="inlineStr">
        <is>
          <t>M3</t>
        </is>
      </c>
      <c r="X2" t="n">
        <v>0</v>
      </c>
      <c r="Y2" t="inlineStr">
        <is>
          <t>MXN</t>
        </is>
      </c>
      <c r="Z2" t="inlineStr">
        <is>
          <t>M3</t>
        </is>
      </c>
      <c r="AC2" t="n">
        <v>56103638</v>
      </c>
      <c r="AD2" t="n">
        <v>6644851540</v>
      </c>
      <c r="AE2" t="n">
        <v>1</v>
      </c>
      <c r="AF2" t="inlineStr">
        <is>
          <t>ENTREGADO</t>
        </is>
      </c>
      <c r="AG2" t="n">
        <v>1.436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20240724</v>
      </c>
      <c r="AM2" t="inlineStr">
        <is>
          <t>DW49-900008779-10258859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2026-09-14T14:21:29Z</dcterms:created>
  <dcterms:modified xsi:type="dcterms:W3CDTF">2026-09-14T14:21:29Z</dcterms:modified>
</cp:coreProperties>
</file>