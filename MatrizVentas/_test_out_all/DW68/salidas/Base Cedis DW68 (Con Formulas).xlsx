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68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0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900000085</v>
      </c>
      <c r="D3" s="7">
        <f>IFERROR(VLOOKUP(C3,TRAOPE!$G:$H,2,0),"")</f>
        <v/>
      </c>
      <c r="E3" s="8" t="inlineStr">
        <is>
          <t>DW68</t>
        </is>
      </c>
      <c r="F3" s="8" t="inlineStr">
        <is>
          <t>D042</t>
        </is>
      </c>
      <c r="G3" s="8">
        <f>IFERROR(VLOOKUP(A3,Flete!$A:$E,5,0),"")</f>
        <v/>
      </c>
      <c r="H3" s="7">
        <f>IFERROR(VLOOKUP(F3,TRAOPE!$AA:$AB,2,0),"")</f>
        <v/>
      </c>
      <c r="I3" s="7" t="n">
        <v>10000191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20220516</t>
        </is>
      </c>
      <c r="M3" s="8" t="inlineStr">
        <is>
          <t>20251031</t>
        </is>
      </c>
      <c r="N3" s="10" t="n">
        <v>124.11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900000085</v>
      </c>
      <c r="D4" s="7">
        <f>IFERROR(VLOOKUP(C4,TRAOPE!$G:$H,2,0),"")</f>
        <v/>
      </c>
      <c r="E4" s="8" t="inlineStr">
        <is>
          <t>DW68</t>
        </is>
      </c>
      <c r="F4" s="8" t="inlineStr">
        <is>
          <t>D042</t>
        </is>
      </c>
      <c r="G4" s="8">
        <f>IFERROR(VLOOKUP(A4,Flete!$A:$E,5,0),"")</f>
        <v/>
      </c>
      <c r="H4" s="7">
        <f>IFERROR(VLOOKUP(F4,TRAOPE!$AA:$AB,2,0),"")</f>
        <v/>
      </c>
      <c r="I4" s="7" t="n">
        <v>10110630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20220516</t>
        </is>
      </c>
      <c r="M4" s="8" t="inlineStr">
        <is>
          <t>20251031</t>
        </is>
      </c>
      <c r="N4" s="10" t="n">
        <v>155.26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900000085</v>
      </c>
      <c r="D5" s="7">
        <f>IFERROR(VLOOKUP(C5,TRAOPE!$G:$H,2,0),"")</f>
        <v/>
      </c>
      <c r="E5" s="8" t="inlineStr">
        <is>
          <t>DW68</t>
        </is>
      </c>
      <c r="F5" s="8" t="inlineStr">
        <is>
          <t>D042</t>
        </is>
      </c>
      <c r="G5" s="8">
        <f>IFERROR(VLOOKUP(A5,Flete!$A:$E,5,0),"")</f>
        <v/>
      </c>
      <c r="H5" s="7">
        <f>IFERROR(VLOOKUP(F5,TRAOPE!$AA:$AB,2,0),"")</f>
        <v/>
      </c>
      <c r="I5" s="7" t="n">
        <v>10141571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20220516</t>
        </is>
      </c>
      <c r="M5" s="8" t="inlineStr">
        <is>
          <t>20251031</t>
        </is>
      </c>
      <c r="N5" s="10" t="n">
        <v>231.34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900000085</v>
      </c>
      <c r="D6" s="7">
        <f>IFERROR(VLOOKUP(C6,TRAOPE!$G:$H,2,0),"")</f>
        <v/>
      </c>
      <c r="E6" s="8" t="inlineStr">
        <is>
          <t>DW68</t>
        </is>
      </c>
      <c r="F6" s="8" t="inlineStr">
        <is>
          <t>D209</t>
        </is>
      </c>
      <c r="G6" s="8">
        <f>IFERROR(VLOOKUP(A6,Flete!$A:$E,5,0),"")</f>
        <v/>
      </c>
      <c r="H6" s="7">
        <f>IFERROR(VLOOKUP(F6,TRAOPE!$AA:$AB,2,0),"")</f>
        <v/>
      </c>
      <c r="I6" s="7" t="n">
        <v>10000191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20220516</t>
        </is>
      </c>
      <c r="M6" s="8" t="inlineStr">
        <is>
          <t>20251031</t>
        </is>
      </c>
      <c r="N6" s="10" t="n">
        <v>124.11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900000085</v>
      </c>
      <c r="D7" s="7">
        <f>IFERROR(VLOOKUP(C7,TRAOPE!$G:$H,2,0),"")</f>
        <v/>
      </c>
      <c r="E7" s="8" t="inlineStr">
        <is>
          <t>DW68</t>
        </is>
      </c>
      <c r="F7" s="8" t="inlineStr">
        <is>
          <t>D209</t>
        </is>
      </c>
      <c r="G7" s="8">
        <f>IFERROR(VLOOKUP(A7,Flete!$A:$E,5,0),"")</f>
        <v/>
      </c>
      <c r="H7" s="7">
        <f>IFERROR(VLOOKUP(F7,TRAOPE!$AA:$AB,2,0),"")</f>
        <v/>
      </c>
      <c r="I7" s="7" t="n">
        <v>10110630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20220516</t>
        </is>
      </c>
      <c r="M7" s="8" t="inlineStr">
        <is>
          <t>20251031</t>
        </is>
      </c>
      <c r="N7" s="10" t="n">
        <v>155.26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900000085</v>
      </c>
      <c r="D8" s="7">
        <f>IFERROR(VLOOKUP(C8,TRAOPE!$G:$H,2,0),"")</f>
        <v/>
      </c>
      <c r="E8" s="8" t="inlineStr">
        <is>
          <t>DW68</t>
        </is>
      </c>
      <c r="F8" s="8" t="inlineStr">
        <is>
          <t>D209</t>
        </is>
      </c>
      <c r="G8" s="8">
        <f>IFERROR(VLOOKUP(A8,Flete!$A:$E,5,0),"")</f>
        <v/>
      </c>
      <c r="H8" s="7">
        <f>IFERROR(VLOOKUP(F8,TRAOPE!$AA:$AB,2,0),"")</f>
        <v/>
      </c>
      <c r="I8" s="7" t="n">
        <v>10141571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20220516</t>
        </is>
      </c>
      <c r="M8" s="8" t="inlineStr">
        <is>
          <t>20251031</t>
        </is>
      </c>
      <c r="N8" s="10" t="n">
        <v>231.34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900000085</v>
      </c>
      <c r="D9" s="7">
        <f>IFERROR(VLOOKUP(C9,TRAOPE!$G:$H,2,0),"")</f>
        <v/>
      </c>
      <c r="E9" s="8" t="inlineStr">
        <is>
          <t>DW68</t>
        </is>
      </c>
      <c r="F9" s="8" t="inlineStr">
        <is>
          <t>D211</t>
        </is>
      </c>
      <c r="G9" s="8">
        <f>IFERROR(VLOOKUP(A9,Flete!$A:$E,5,0),"")</f>
        <v/>
      </c>
      <c r="H9" s="7">
        <f>IFERROR(VLOOKUP(F9,TRAOPE!$AA:$AB,2,0),"")</f>
        <v/>
      </c>
      <c r="I9" s="7" t="n">
        <v>10000191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20220516</t>
        </is>
      </c>
      <c r="M9" s="8" t="inlineStr">
        <is>
          <t>20251031</t>
        </is>
      </c>
      <c r="N9" s="10" t="n">
        <v>124.11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900000085</v>
      </c>
      <c r="D10" s="7">
        <f>IFERROR(VLOOKUP(C10,TRAOPE!$G:$H,2,0),"")</f>
        <v/>
      </c>
      <c r="E10" s="8" t="inlineStr">
        <is>
          <t>DW68</t>
        </is>
      </c>
      <c r="F10" s="8" t="inlineStr">
        <is>
          <t>D211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10110630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20220516</t>
        </is>
      </c>
      <c r="M10" s="8" t="inlineStr">
        <is>
          <t>20251031</t>
        </is>
      </c>
      <c r="N10" s="10" t="n">
        <v>155.26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900000085</v>
      </c>
      <c r="D11" s="7">
        <f>IFERROR(VLOOKUP(C11,TRAOPE!$G:$H,2,0),"")</f>
        <v/>
      </c>
      <c r="E11" s="8" t="inlineStr">
        <is>
          <t>DW68</t>
        </is>
      </c>
      <c r="F11" s="8" t="inlineStr">
        <is>
          <t>D211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10141571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20220516</t>
        </is>
      </c>
      <c r="M11" s="8" t="inlineStr">
        <is>
          <t>20251031</t>
        </is>
      </c>
      <c r="N11" s="10" t="n">
        <v>231.34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900000085</v>
      </c>
      <c r="D12" s="7">
        <f>IFERROR(VLOOKUP(C12,TRAOPE!$G:$H,2,0),"")</f>
        <v/>
      </c>
      <c r="E12" s="8" t="inlineStr">
        <is>
          <t>DW68</t>
        </is>
      </c>
      <c r="F12" s="8" t="inlineStr">
        <is>
          <t>D214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10000191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20220516</t>
        </is>
      </c>
      <c r="M12" s="8" t="inlineStr">
        <is>
          <t>20251031</t>
        </is>
      </c>
      <c r="N12" s="10" t="n">
        <v>124.11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900000085</v>
      </c>
      <c r="D13" s="7">
        <f>IFERROR(VLOOKUP(C13,TRAOPE!$G:$H,2,0),"")</f>
        <v/>
      </c>
      <c r="E13" s="8" t="inlineStr">
        <is>
          <t>DW68</t>
        </is>
      </c>
      <c r="F13" s="8" t="inlineStr">
        <is>
          <t>D214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10110630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20220516</t>
        </is>
      </c>
      <c r="M13" s="8" t="inlineStr">
        <is>
          <t>20251031</t>
        </is>
      </c>
      <c r="N13" s="10" t="n">
        <v>155.26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900000085</v>
      </c>
      <c r="D14" s="7">
        <f>IFERROR(VLOOKUP(C14,TRAOPE!$G:$H,2,0),"")</f>
        <v/>
      </c>
      <c r="E14" s="8" t="inlineStr">
        <is>
          <t>DW68</t>
        </is>
      </c>
      <c r="F14" s="8" t="inlineStr">
        <is>
          <t>D214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10141571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20220516</t>
        </is>
      </c>
      <c r="M14" s="8" t="inlineStr">
        <is>
          <t>20251031</t>
        </is>
      </c>
      <c r="N14" s="10" t="n">
        <v>231.34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900000085</v>
      </c>
      <c r="D15" s="7">
        <f>IFERROR(VLOOKUP(C15,TRAOPE!$G:$H,2,0),"")</f>
        <v/>
      </c>
      <c r="E15" s="8" t="inlineStr">
        <is>
          <t>DW68</t>
        </is>
      </c>
      <c r="F15" s="8" t="inlineStr">
        <is>
          <t>D228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10000191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20220516</t>
        </is>
      </c>
      <c r="M15" s="8" t="inlineStr">
        <is>
          <t>20251031</t>
        </is>
      </c>
      <c r="N15" s="10" t="n">
        <v>124.11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900000085</v>
      </c>
      <c r="D16" s="7">
        <f>IFERROR(VLOOKUP(C16,TRAOPE!$G:$H,2,0),"")</f>
        <v/>
      </c>
      <c r="E16" s="8" t="inlineStr">
        <is>
          <t>DW68</t>
        </is>
      </c>
      <c r="F16" s="8" t="inlineStr">
        <is>
          <t>D228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10110630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20220516</t>
        </is>
      </c>
      <c r="M16" s="8" t="inlineStr">
        <is>
          <t>20251031</t>
        </is>
      </c>
      <c r="N16" s="10" t="n">
        <v>155.26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900000085</v>
      </c>
      <c r="D17" s="7">
        <f>IFERROR(VLOOKUP(C17,TRAOPE!$G:$H,2,0),"")</f>
        <v/>
      </c>
      <c r="E17" s="8" t="inlineStr">
        <is>
          <t>DW68</t>
        </is>
      </c>
      <c r="F17" s="8" t="inlineStr">
        <is>
          <t>D228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10141571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20220516</t>
        </is>
      </c>
      <c r="M17" s="8" t="inlineStr">
        <is>
          <t>20251031</t>
        </is>
      </c>
      <c r="N17" s="10" t="n">
        <v>231.34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900000085</v>
      </c>
      <c r="D18" s="7">
        <f>IFERROR(VLOOKUP(C18,TRAOPE!$G:$H,2,0),"")</f>
        <v/>
      </c>
      <c r="E18" s="8" t="inlineStr">
        <is>
          <t>DW68</t>
        </is>
      </c>
      <c r="F18" s="8" t="inlineStr">
        <is>
          <t>D242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10000191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20220516</t>
        </is>
      </c>
      <c r="M18" s="8" t="inlineStr">
        <is>
          <t>20251031</t>
        </is>
      </c>
      <c r="N18" s="10" t="n">
        <v>124.11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900000085</v>
      </c>
      <c r="D19" s="7">
        <f>IFERROR(VLOOKUP(C19,TRAOPE!$G:$H,2,0),"")</f>
        <v/>
      </c>
      <c r="E19" s="8" t="inlineStr">
        <is>
          <t>DW68</t>
        </is>
      </c>
      <c r="F19" s="8" t="inlineStr">
        <is>
          <t>D242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10110630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20220516</t>
        </is>
      </c>
      <c r="M19" s="8" t="inlineStr">
        <is>
          <t>20251031</t>
        </is>
      </c>
      <c r="N19" s="10" t="n">
        <v>155.26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900000085</v>
      </c>
      <c r="D20" s="7">
        <f>IFERROR(VLOOKUP(C20,TRAOPE!$G:$H,2,0),"")</f>
        <v/>
      </c>
      <c r="E20" s="8" t="inlineStr">
        <is>
          <t>DW68</t>
        </is>
      </c>
      <c r="F20" s="8" t="inlineStr">
        <is>
          <t>D242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10141571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20220516</t>
        </is>
      </c>
      <c r="M20" s="8" t="inlineStr">
        <is>
          <t>20251031</t>
        </is>
      </c>
      <c r="N20" s="10" t="n">
        <v>231.34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900000085</v>
      </c>
      <c r="D21" s="7">
        <f>IFERROR(VLOOKUP(C21,TRAOPE!$G:$H,2,0),"")</f>
        <v/>
      </c>
      <c r="E21" s="8" t="inlineStr">
        <is>
          <t>DW68</t>
        </is>
      </c>
      <c r="F21" s="8" t="inlineStr">
        <is>
          <t>D247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10000191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20220516</t>
        </is>
      </c>
      <c r="M21" s="8" t="inlineStr">
        <is>
          <t>20251031</t>
        </is>
      </c>
      <c r="N21" s="10" t="n">
        <v>124.11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900000085</v>
      </c>
      <c r="D22" s="7">
        <f>IFERROR(VLOOKUP(C22,TRAOPE!$G:$H,2,0),"")</f>
        <v/>
      </c>
      <c r="E22" s="8" t="inlineStr">
        <is>
          <t>DW68</t>
        </is>
      </c>
      <c r="F22" s="8" t="inlineStr">
        <is>
          <t>D247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10110630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20220516</t>
        </is>
      </c>
      <c r="M22" s="8" t="inlineStr">
        <is>
          <t>20251031</t>
        </is>
      </c>
      <c r="N22" s="10" t="n">
        <v>155.26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900000085</v>
      </c>
      <c r="D23" s="7">
        <f>IFERROR(VLOOKUP(C23,TRAOPE!$G:$H,2,0),"")</f>
        <v/>
      </c>
      <c r="E23" s="8" t="inlineStr">
        <is>
          <t>DW68</t>
        </is>
      </c>
      <c r="F23" s="8" t="inlineStr">
        <is>
          <t>D247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10141571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20220516</t>
        </is>
      </c>
      <c r="M23" s="8" t="inlineStr">
        <is>
          <t>20251031</t>
        </is>
      </c>
      <c r="N23" s="10" t="n">
        <v>231.34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900000085</v>
      </c>
      <c r="D24" s="7">
        <f>IFERROR(VLOOKUP(C24,TRAOPE!$G:$H,2,0),"")</f>
        <v/>
      </c>
      <c r="E24" s="8" t="inlineStr">
        <is>
          <t>DW68</t>
        </is>
      </c>
      <c r="F24" s="8" t="inlineStr">
        <is>
          <t>D251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10000191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20220516</t>
        </is>
      </c>
      <c r="M24" s="8" t="inlineStr">
        <is>
          <t>20251031</t>
        </is>
      </c>
      <c r="N24" s="10" t="n">
        <v>124.11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900000085</v>
      </c>
      <c r="D25" s="7">
        <f>IFERROR(VLOOKUP(C25,TRAOPE!$G:$H,2,0),"")</f>
        <v/>
      </c>
      <c r="E25" s="8" t="inlineStr">
        <is>
          <t>DW68</t>
        </is>
      </c>
      <c r="F25" s="8" t="inlineStr">
        <is>
          <t>D251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10110630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20220516</t>
        </is>
      </c>
      <c r="M25" s="8" t="inlineStr">
        <is>
          <t>20251031</t>
        </is>
      </c>
      <c r="N25" s="10" t="n">
        <v>155.26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900000085</v>
      </c>
      <c r="D26" s="7">
        <f>IFERROR(VLOOKUP(C26,TRAOPE!$G:$H,2,0),"")</f>
        <v/>
      </c>
      <c r="E26" s="8" t="inlineStr">
        <is>
          <t>DW68</t>
        </is>
      </c>
      <c r="F26" s="8" t="inlineStr">
        <is>
          <t>D251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10141571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20220516</t>
        </is>
      </c>
      <c r="M26" s="8" t="inlineStr">
        <is>
          <t>20251031</t>
        </is>
      </c>
      <c r="N26" s="10" t="n">
        <v>231.34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900000085</v>
      </c>
      <c r="D27" s="7">
        <f>IFERROR(VLOOKUP(C27,TRAOPE!$G:$H,2,0),"")</f>
        <v/>
      </c>
      <c r="E27" s="8" t="inlineStr">
        <is>
          <t>DW68</t>
        </is>
      </c>
      <c r="F27" s="8" t="inlineStr">
        <is>
          <t>D264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10000191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20220516</t>
        </is>
      </c>
      <c r="M27" s="8" t="inlineStr">
        <is>
          <t>20251031</t>
        </is>
      </c>
      <c r="N27" s="10" t="n">
        <v>124.11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900000085</v>
      </c>
      <c r="D28" s="7">
        <f>IFERROR(VLOOKUP(C28,TRAOPE!$G:$H,2,0),"")</f>
        <v/>
      </c>
      <c r="E28" s="8" t="inlineStr">
        <is>
          <t>DW68</t>
        </is>
      </c>
      <c r="F28" s="8" t="inlineStr">
        <is>
          <t>D264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10110630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20220516</t>
        </is>
      </c>
      <c r="M28" s="8" t="inlineStr">
        <is>
          <t>20251031</t>
        </is>
      </c>
      <c r="N28" s="10" t="n">
        <v>155.26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900000085</v>
      </c>
      <c r="D29" s="7">
        <f>IFERROR(VLOOKUP(C29,TRAOPE!$G:$H,2,0),"")</f>
        <v/>
      </c>
      <c r="E29" s="8" t="inlineStr">
        <is>
          <t>DW68</t>
        </is>
      </c>
      <c r="F29" s="8" t="inlineStr">
        <is>
          <t>D264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10141571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20220516</t>
        </is>
      </c>
      <c r="M29" s="8" t="inlineStr">
        <is>
          <t>20251031</t>
        </is>
      </c>
      <c r="N29" s="10" t="n">
        <v>231.34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900000367</v>
      </c>
      <c r="D30" s="7">
        <f>IFERROR(VLOOKUP(C30,TRAOPE!$G:$H,2,0),"")</f>
        <v/>
      </c>
      <c r="E30" s="8" t="inlineStr">
        <is>
          <t>DW68</t>
        </is>
      </c>
      <c r="F30" s="8" t="inlineStr">
        <is>
          <t>D042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10000191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20220516</t>
        </is>
      </c>
      <c r="M30" s="8" t="inlineStr">
        <is>
          <t>20251031</t>
        </is>
      </c>
      <c r="N30" s="10" t="n">
        <v>120.57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900000367</v>
      </c>
      <c r="D31" s="7">
        <f>IFERROR(VLOOKUP(C31,TRAOPE!$G:$H,2,0),"")</f>
        <v/>
      </c>
      <c r="E31" s="8" t="inlineStr">
        <is>
          <t>DW68</t>
        </is>
      </c>
      <c r="F31" s="8" t="inlineStr">
        <is>
          <t>D042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10000726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20220516</t>
        </is>
      </c>
      <c r="M31" s="8" t="inlineStr">
        <is>
          <t>20251031</t>
        </is>
      </c>
      <c r="N31" s="10" t="n">
        <v>262.57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900000367</v>
      </c>
      <c r="D32" s="7">
        <f>IFERROR(VLOOKUP(C32,TRAOPE!$G:$H,2,0),"")</f>
        <v/>
      </c>
      <c r="E32" s="8" t="inlineStr">
        <is>
          <t>DW68</t>
        </is>
      </c>
      <c r="F32" s="8" t="inlineStr">
        <is>
          <t>D209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10000191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20220516</t>
        </is>
      </c>
      <c r="M32" s="8" t="inlineStr">
        <is>
          <t>20251031</t>
        </is>
      </c>
      <c r="N32" s="10" t="n">
        <v>120.57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900000367</v>
      </c>
      <c r="D33" s="7">
        <f>IFERROR(VLOOKUP(C33,TRAOPE!$G:$H,2,0),"")</f>
        <v/>
      </c>
      <c r="E33" s="8" t="inlineStr">
        <is>
          <t>DW68</t>
        </is>
      </c>
      <c r="F33" s="8" t="inlineStr">
        <is>
          <t>D211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10000191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20220516</t>
        </is>
      </c>
      <c r="M33" s="8" t="inlineStr">
        <is>
          <t>20251031</t>
        </is>
      </c>
      <c r="N33" s="10" t="n">
        <v>120.57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900000367</v>
      </c>
      <c r="D34" s="7">
        <f>IFERROR(VLOOKUP(C34,TRAOPE!$G:$H,2,0),"")</f>
        <v/>
      </c>
      <c r="E34" s="8" t="inlineStr">
        <is>
          <t>DW68</t>
        </is>
      </c>
      <c r="F34" s="8" t="inlineStr">
        <is>
          <t>D214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10000191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20220516</t>
        </is>
      </c>
      <c r="M34" s="8" t="inlineStr">
        <is>
          <t>20251031</t>
        </is>
      </c>
      <c r="N34" s="10" t="n">
        <v>120.57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900000367</v>
      </c>
      <c r="D35" s="7">
        <f>IFERROR(VLOOKUP(C35,TRAOPE!$G:$H,2,0),"")</f>
        <v/>
      </c>
      <c r="E35" s="8" t="inlineStr">
        <is>
          <t>DW68</t>
        </is>
      </c>
      <c r="F35" s="8" t="inlineStr">
        <is>
          <t>D228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10000191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20220516</t>
        </is>
      </c>
      <c r="M35" s="8" t="inlineStr">
        <is>
          <t>20251031</t>
        </is>
      </c>
      <c r="N35" s="10" t="n">
        <v>120.57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900000367</v>
      </c>
      <c r="D36" s="7">
        <f>IFERROR(VLOOKUP(C36,TRAOPE!$G:$H,2,0),"")</f>
        <v/>
      </c>
      <c r="E36" s="8" t="inlineStr">
        <is>
          <t>DW68</t>
        </is>
      </c>
      <c r="F36" s="8" t="inlineStr">
        <is>
          <t>D228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10000726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20220516</t>
        </is>
      </c>
      <c r="M36" s="8" t="inlineStr">
        <is>
          <t>20251031</t>
        </is>
      </c>
      <c r="N36" s="10" t="n">
        <v>262.57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900000367</v>
      </c>
      <c r="D37" s="7">
        <f>IFERROR(VLOOKUP(C37,TRAOPE!$G:$H,2,0),"")</f>
        <v/>
      </c>
      <c r="E37" s="8" t="inlineStr">
        <is>
          <t>DW68</t>
        </is>
      </c>
      <c r="F37" s="8" t="inlineStr">
        <is>
          <t>D242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10000191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20220516</t>
        </is>
      </c>
      <c r="M37" s="8" t="inlineStr">
        <is>
          <t>20251031</t>
        </is>
      </c>
      <c r="N37" s="10" t="n">
        <v>120.57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900000367</v>
      </c>
      <c r="D38" s="7">
        <f>IFERROR(VLOOKUP(C38,TRAOPE!$G:$H,2,0),"")</f>
        <v/>
      </c>
      <c r="E38" s="8" t="inlineStr">
        <is>
          <t>DW68</t>
        </is>
      </c>
      <c r="F38" s="8" t="inlineStr">
        <is>
          <t>D251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10000191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20220516</t>
        </is>
      </c>
      <c r="M38" s="8" t="inlineStr">
        <is>
          <t>20251031</t>
        </is>
      </c>
      <c r="N38" s="10" t="n">
        <v>120.57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900000367</v>
      </c>
      <c r="D39" s="7">
        <f>IFERROR(VLOOKUP(C39,TRAOPE!$G:$H,2,0),"")</f>
        <v/>
      </c>
      <c r="E39" s="8" t="inlineStr">
        <is>
          <t>DW68</t>
        </is>
      </c>
      <c r="F39" s="8" t="inlineStr">
        <is>
          <t>D264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10000191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20220516</t>
        </is>
      </c>
      <c r="M39" s="8" t="inlineStr">
        <is>
          <t>20251031</t>
        </is>
      </c>
      <c r="N39" s="10" t="n">
        <v>120.57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900000408</v>
      </c>
      <c r="D40" s="7">
        <f>IFERROR(VLOOKUP(C40,TRAOPE!$G:$H,2,0),"")</f>
        <v/>
      </c>
      <c r="E40" s="8" t="inlineStr">
        <is>
          <t>DW68</t>
        </is>
      </c>
      <c r="F40" s="8" t="inlineStr">
        <is>
          <t>D220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10000191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20230505</t>
        </is>
      </c>
      <c r="M40" s="8" t="inlineStr">
        <is>
          <t>20251031</t>
        </is>
      </c>
      <c r="N40" s="10" t="n">
        <v>177.3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900000408</v>
      </c>
      <c r="D41" s="7">
        <f>IFERROR(VLOOKUP(C41,TRAOPE!$G:$H,2,0),"")</f>
        <v/>
      </c>
      <c r="E41" s="8" t="inlineStr">
        <is>
          <t>DW68</t>
        </is>
      </c>
      <c r="F41" s="8" t="inlineStr">
        <is>
          <t>D220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10000388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20230505</t>
        </is>
      </c>
      <c r="M41" s="8" t="inlineStr">
        <is>
          <t>20251031</t>
        </is>
      </c>
      <c r="N41" s="10" t="n">
        <v>179.21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900000408</v>
      </c>
      <c r="D42" s="7">
        <f>IFERROR(VLOOKUP(C42,TRAOPE!$G:$H,2,0),"")</f>
        <v/>
      </c>
      <c r="E42" s="8" t="inlineStr">
        <is>
          <t>DW68</t>
        </is>
      </c>
      <c r="F42" s="8" t="inlineStr">
        <is>
          <t>D220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10110631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20220516</t>
        </is>
      </c>
      <c r="M42" s="8" t="inlineStr">
        <is>
          <t>20230619</t>
        </is>
      </c>
      <c r="N42" s="10" t="n">
        <v>124.05</v>
      </c>
      <c r="O42" s="10">
        <f>IFERROR(VLOOKUP(A42,Flete!$A:$J,10,0),"")</f>
        <v/>
      </c>
      <c r="P42" s="8" t="inlineStr">
        <is>
          <t>TN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900000472</v>
      </c>
      <c r="D43" s="7">
        <f>IFERROR(VLOOKUP(C43,TRAOPE!$G:$H,2,0),"")</f>
        <v/>
      </c>
      <c r="E43" s="8" t="inlineStr">
        <is>
          <t>DW68</t>
        </is>
      </c>
      <c r="F43" s="8" t="inlineStr">
        <is>
          <t>D042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10000175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20210620</t>
        </is>
      </c>
      <c r="M43" s="8" t="inlineStr">
        <is>
          <t>20251031</t>
        </is>
      </c>
      <c r="N43" s="10" t="n">
        <v>302.5</v>
      </c>
      <c r="O43" s="10">
        <f>IFERROR(VLOOKUP(A43,Flete!$A:$J,10,0),"")</f>
        <v/>
      </c>
      <c r="P43" s="8" t="inlineStr">
        <is>
          <t>TN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900000472</v>
      </c>
      <c r="D44" s="7">
        <f>IFERROR(VLOOKUP(C44,TRAOPE!$G:$H,2,0),"")</f>
        <v/>
      </c>
      <c r="E44" s="8" t="inlineStr">
        <is>
          <t>DW68</t>
        </is>
      </c>
      <c r="F44" s="8" t="inlineStr">
        <is>
          <t>D042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10000624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20210620</t>
        </is>
      </c>
      <c r="M44" s="8" t="inlineStr">
        <is>
          <t>20251031</t>
        </is>
      </c>
      <c r="N44" s="10" t="n">
        <v>302.5</v>
      </c>
      <c r="O44" s="10">
        <f>IFERROR(VLOOKUP(A44,Flete!$A:$J,10,0),"")</f>
        <v/>
      </c>
      <c r="P44" s="8" t="inlineStr">
        <is>
          <t>TN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900000472</v>
      </c>
      <c r="D45" s="7">
        <f>IFERROR(VLOOKUP(C45,TRAOPE!$G:$H,2,0),"")</f>
        <v/>
      </c>
      <c r="E45" s="8" t="inlineStr">
        <is>
          <t>DW68</t>
        </is>
      </c>
      <c r="F45" s="8" t="inlineStr">
        <is>
          <t>D042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10000635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20250301</t>
        </is>
      </c>
      <c r="M45" s="8" t="inlineStr">
        <is>
          <t>99991231</t>
        </is>
      </c>
      <c r="N45" s="10" t="n">
        <v>497.96</v>
      </c>
      <c r="O45" s="10">
        <f>IFERROR(VLOOKUP(A45,Flete!$A:$J,10,0),"")</f>
        <v/>
      </c>
      <c r="P45" s="8" t="inlineStr">
        <is>
          <t>TN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900000472</v>
      </c>
      <c r="D46" s="7">
        <f>IFERROR(VLOOKUP(C46,TRAOPE!$G:$H,2,0),"")</f>
        <v/>
      </c>
      <c r="E46" s="8" t="inlineStr">
        <is>
          <t>DW68</t>
        </is>
      </c>
      <c r="F46" s="8" t="inlineStr">
        <is>
          <t>D042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10000643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20250301</t>
        </is>
      </c>
      <c r="M46" s="8" t="inlineStr">
        <is>
          <t>99991231</t>
        </is>
      </c>
      <c r="N46" s="10" t="n">
        <v>497.96</v>
      </c>
      <c r="O46" s="10">
        <f>IFERROR(VLOOKUP(A46,Flete!$A:$J,10,0),"")</f>
        <v/>
      </c>
      <c r="P46" s="8" t="inlineStr">
        <is>
          <t>TN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900000472</v>
      </c>
      <c r="D47" s="7">
        <f>IFERROR(VLOOKUP(C47,TRAOPE!$G:$H,2,0),"")</f>
        <v/>
      </c>
      <c r="E47" s="8" t="inlineStr">
        <is>
          <t>DW68</t>
        </is>
      </c>
      <c r="F47" s="8" t="inlineStr">
        <is>
          <t>D042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10000655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20250301</t>
        </is>
      </c>
      <c r="M47" s="8" t="inlineStr">
        <is>
          <t>99991231</t>
        </is>
      </c>
      <c r="N47" s="10" t="n">
        <v>497.96</v>
      </c>
      <c r="O47" s="10">
        <f>IFERROR(VLOOKUP(A47,Flete!$A:$J,10,0),"")</f>
        <v/>
      </c>
      <c r="P47" s="8" t="inlineStr">
        <is>
          <t>TN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900000472</v>
      </c>
      <c r="D48" s="7">
        <f>IFERROR(VLOOKUP(C48,TRAOPE!$G:$H,2,0),"")</f>
        <v/>
      </c>
      <c r="E48" s="8" t="inlineStr">
        <is>
          <t>DW68</t>
        </is>
      </c>
      <c r="F48" s="8" t="inlineStr">
        <is>
          <t>D042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10000722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20210620</t>
        </is>
      </c>
      <c r="M48" s="8" t="inlineStr">
        <is>
          <t>20251031</t>
        </is>
      </c>
      <c r="N48" s="10" t="n">
        <v>302.5</v>
      </c>
      <c r="O48" s="10">
        <f>IFERROR(VLOOKUP(A48,Flete!$A:$J,10,0),"")</f>
        <v/>
      </c>
      <c r="P48" s="8" t="inlineStr">
        <is>
          <t>TN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900000472</v>
      </c>
      <c r="D49" s="7">
        <f>IFERROR(VLOOKUP(C49,TRAOPE!$G:$H,2,0),"")</f>
        <v/>
      </c>
      <c r="E49" s="8" t="inlineStr">
        <is>
          <t>DW68</t>
        </is>
      </c>
      <c r="F49" s="8" t="inlineStr">
        <is>
          <t>D042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10000735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20210620</t>
        </is>
      </c>
      <c r="M49" s="8" t="inlineStr">
        <is>
          <t>20251031</t>
        </is>
      </c>
      <c r="N49" s="10" t="n">
        <v>302.5</v>
      </c>
      <c r="O49" s="10">
        <f>IFERROR(VLOOKUP(A49,Flete!$A:$J,10,0),"")</f>
        <v/>
      </c>
      <c r="P49" s="8" t="inlineStr">
        <is>
          <t>TN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900000472</v>
      </c>
      <c r="D50" s="7">
        <f>IFERROR(VLOOKUP(C50,TRAOPE!$G:$H,2,0),"")</f>
        <v/>
      </c>
      <c r="E50" s="8" t="inlineStr">
        <is>
          <t>DW68</t>
        </is>
      </c>
      <c r="F50" s="8" t="inlineStr">
        <is>
          <t>D042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10001456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20250301</t>
        </is>
      </c>
      <c r="M50" s="8" t="inlineStr">
        <is>
          <t>99991231</t>
        </is>
      </c>
      <c r="N50" s="10" t="n">
        <v>497.96</v>
      </c>
      <c r="O50" s="10">
        <f>IFERROR(VLOOKUP(A50,Flete!$A:$J,10,0),"")</f>
        <v/>
      </c>
      <c r="P50" s="8" t="inlineStr">
        <is>
          <t>TN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900000472</v>
      </c>
      <c r="D51" s="7">
        <f>IFERROR(VLOOKUP(C51,TRAOPE!$G:$H,2,0),"")</f>
        <v/>
      </c>
      <c r="E51" s="8" t="inlineStr">
        <is>
          <t>DW68</t>
        </is>
      </c>
      <c r="F51" s="8" t="inlineStr">
        <is>
          <t>D042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10004432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20250425</t>
        </is>
      </c>
      <c r="M51" s="8" t="inlineStr">
        <is>
          <t>99991231</t>
        </is>
      </c>
      <c r="N51" s="10" t="n">
        <v>6700</v>
      </c>
      <c r="O51" s="10">
        <f>IFERROR(VLOOKUP(A51,Flete!$A:$J,10,0),"")</f>
        <v/>
      </c>
      <c r="P51" s="8" t="inlineStr">
        <is>
          <t>TN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900000472</v>
      </c>
      <c r="D52" s="7">
        <f>IFERROR(VLOOKUP(C52,TRAOPE!$G:$H,2,0),"")</f>
        <v/>
      </c>
      <c r="E52" s="8" t="inlineStr">
        <is>
          <t>DW68</t>
        </is>
      </c>
      <c r="F52" s="8" t="inlineStr">
        <is>
          <t>D042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10112095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20250425</t>
        </is>
      </c>
      <c r="M52" s="8" t="inlineStr">
        <is>
          <t>99991231</t>
        </is>
      </c>
      <c r="N52" s="10" t="n">
        <v>6700</v>
      </c>
      <c r="O52" s="10">
        <f>IFERROR(VLOOKUP(A52,Flete!$A:$J,10,0),"")</f>
        <v/>
      </c>
      <c r="P52" s="8" t="inlineStr">
        <is>
          <t>TN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900000472</v>
      </c>
      <c r="D53" s="7">
        <f>IFERROR(VLOOKUP(C53,TRAOPE!$G:$H,2,0),"")</f>
        <v/>
      </c>
      <c r="E53" s="8" t="inlineStr">
        <is>
          <t>DW68</t>
        </is>
      </c>
      <c r="F53" s="8" t="inlineStr">
        <is>
          <t>D209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10004432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20220516</t>
        </is>
      </c>
      <c r="M53" s="8" t="inlineStr">
        <is>
          <t>20251031</t>
        </is>
      </c>
      <c r="N53" s="10" t="n">
        <v>6700</v>
      </c>
      <c r="O53" s="10">
        <f>IFERROR(VLOOKUP(A53,Flete!$A:$J,10,0),"")</f>
        <v/>
      </c>
      <c r="P53" s="8" t="inlineStr">
        <is>
          <t>TN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900000472</v>
      </c>
      <c r="D54" s="7">
        <f>IFERROR(VLOOKUP(C54,TRAOPE!$G:$H,2,0),"")</f>
        <v/>
      </c>
      <c r="E54" s="8" t="inlineStr">
        <is>
          <t>DW68</t>
        </is>
      </c>
      <c r="F54" s="8" t="inlineStr">
        <is>
          <t>D209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10112095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20220516</t>
        </is>
      </c>
      <c r="M54" s="8" t="inlineStr">
        <is>
          <t>20251031</t>
        </is>
      </c>
      <c r="N54" s="10" t="n">
        <v>6700</v>
      </c>
      <c r="O54" s="10">
        <f>IFERROR(VLOOKUP(A54,Flete!$A:$J,10,0),"")</f>
        <v/>
      </c>
      <c r="P54" s="8" t="inlineStr">
        <is>
          <t>TN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900000472</v>
      </c>
      <c r="D55" s="7">
        <f>IFERROR(VLOOKUP(C55,TRAOPE!$G:$H,2,0),"")</f>
        <v/>
      </c>
      <c r="E55" s="8" t="inlineStr">
        <is>
          <t>DW68</t>
        </is>
      </c>
      <c r="F55" s="8" t="inlineStr">
        <is>
          <t>D242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10000175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20210620</t>
        </is>
      </c>
      <c r="M55" s="8" t="inlineStr">
        <is>
          <t>20251031</t>
        </is>
      </c>
      <c r="N55" s="10" t="n">
        <v>302.5</v>
      </c>
      <c r="O55" s="10">
        <f>IFERROR(VLOOKUP(A55,Flete!$A:$J,10,0),"")</f>
        <v/>
      </c>
      <c r="P55" s="8" t="inlineStr">
        <is>
          <t>TN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900000472</v>
      </c>
      <c r="D56" s="7">
        <f>IFERROR(VLOOKUP(C56,TRAOPE!$G:$H,2,0),"")</f>
        <v/>
      </c>
      <c r="E56" s="8" t="inlineStr">
        <is>
          <t>DW68</t>
        </is>
      </c>
      <c r="F56" s="8" t="inlineStr">
        <is>
          <t>D242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10000624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20210620</t>
        </is>
      </c>
      <c r="M56" s="8" t="inlineStr">
        <is>
          <t>20251031</t>
        </is>
      </c>
      <c r="N56" s="10" t="n">
        <v>302.5</v>
      </c>
      <c r="O56" s="10">
        <f>IFERROR(VLOOKUP(A56,Flete!$A:$J,10,0),"")</f>
        <v/>
      </c>
      <c r="P56" s="8" t="inlineStr">
        <is>
          <t>TN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900000472</v>
      </c>
      <c r="D57" s="7">
        <f>IFERROR(VLOOKUP(C57,TRAOPE!$G:$H,2,0),"")</f>
        <v/>
      </c>
      <c r="E57" s="8" t="inlineStr">
        <is>
          <t>DW68</t>
        </is>
      </c>
      <c r="F57" s="8" t="inlineStr">
        <is>
          <t>D242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10000635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20250301</t>
        </is>
      </c>
      <c r="M57" s="8" t="inlineStr">
        <is>
          <t>99991231</t>
        </is>
      </c>
      <c r="N57" s="10" t="n">
        <v>497.96</v>
      </c>
      <c r="O57" s="10">
        <f>IFERROR(VLOOKUP(A57,Flete!$A:$J,10,0),"")</f>
        <v/>
      </c>
      <c r="P57" s="8" t="inlineStr">
        <is>
          <t>TN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900000472</v>
      </c>
      <c r="D58" s="7">
        <f>IFERROR(VLOOKUP(C58,TRAOPE!$G:$H,2,0),"")</f>
        <v/>
      </c>
      <c r="E58" s="8" t="inlineStr">
        <is>
          <t>DW68</t>
        </is>
      </c>
      <c r="F58" s="8" t="inlineStr">
        <is>
          <t>D242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10000643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20250301</t>
        </is>
      </c>
      <c r="M58" s="8" t="inlineStr">
        <is>
          <t>99991231</t>
        </is>
      </c>
      <c r="N58" s="10" t="n">
        <v>497.96</v>
      </c>
      <c r="O58" s="10">
        <f>IFERROR(VLOOKUP(A58,Flete!$A:$J,10,0),"")</f>
        <v/>
      </c>
      <c r="P58" s="8" t="inlineStr">
        <is>
          <t>TN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900000472</v>
      </c>
      <c r="D59" s="7">
        <f>IFERROR(VLOOKUP(C59,TRAOPE!$G:$H,2,0),"")</f>
        <v/>
      </c>
      <c r="E59" s="8" t="inlineStr">
        <is>
          <t>DW68</t>
        </is>
      </c>
      <c r="F59" s="8" t="inlineStr">
        <is>
          <t>D242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10000655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20250301</t>
        </is>
      </c>
      <c r="M59" s="8" t="inlineStr">
        <is>
          <t>99991231</t>
        </is>
      </c>
      <c r="N59" s="10" t="n">
        <v>497.96</v>
      </c>
      <c r="O59" s="10">
        <f>IFERROR(VLOOKUP(A59,Flete!$A:$J,10,0),"")</f>
        <v/>
      </c>
      <c r="P59" s="8" t="inlineStr">
        <is>
          <t>TN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900000472</v>
      </c>
      <c r="D60" s="7">
        <f>IFERROR(VLOOKUP(C60,TRAOPE!$G:$H,2,0),"")</f>
        <v/>
      </c>
      <c r="E60" s="8" t="inlineStr">
        <is>
          <t>DW68</t>
        </is>
      </c>
      <c r="F60" s="8" t="inlineStr">
        <is>
          <t>D242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10000722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20210620</t>
        </is>
      </c>
      <c r="M60" s="8" t="inlineStr">
        <is>
          <t>20251031</t>
        </is>
      </c>
      <c r="N60" s="10" t="n">
        <v>302.5</v>
      </c>
      <c r="O60" s="10">
        <f>IFERROR(VLOOKUP(A60,Flete!$A:$J,10,0),"")</f>
        <v/>
      </c>
      <c r="P60" s="8" t="inlineStr">
        <is>
          <t>TN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900000472</v>
      </c>
      <c r="D61" s="7">
        <f>IFERROR(VLOOKUP(C61,TRAOPE!$G:$H,2,0),"")</f>
        <v/>
      </c>
      <c r="E61" s="8" t="inlineStr">
        <is>
          <t>DW68</t>
        </is>
      </c>
      <c r="F61" s="8" t="inlineStr">
        <is>
          <t>D242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10000735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20210620</t>
        </is>
      </c>
      <c r="M61" s="8" t="inlineStr">
        <is>
          <t>20251031</t>
        </is>
      </c>
      <c r="N61" s="10" t="n">
        <v>302.5</v>
      </c>
      <c r="O61" s="10">
        <f>IFERROR(VLOOKUP(A61,Flete!$A:$J,10,0),"")</f>
        <v/>
      </c>
      <c r="P61" s="8" t="inlineStr">
        <is>
          <t>TN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900000472</v>
      </c>
      <c r="D62" s="7">
        <f>IFERROR(VLOOKUP(C62,TRAOPE!$G:$H,2,0),"")</f>
        <v/>
      </c>
      <c r="E62" s="8" t="inlineStr">
        <is>
          <t>DW68</t>
        </is>
      </c>
      <c r="F62" s="8" t="inlineStr">
        <is>
          <t>D242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10001456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20250301</t>
        </is>
      </c>
      <c r="M62" s="8" t="inlineStr">
        <is>
          <t>99991231</t>
        </is>
      </c>
      <c r="N62" s="10" t="n">
        <v>497.96</v>
      </c>
      <c r="O62" s="10">
        <f>IFERROR(VLOOKUP(A62,Flete!$A:$J,10,0),"")</f>
        <v/>
      </c>
      <c r="P62" s="8" t="inlineStr">
        <is>
          <t>TN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900000472</v>
      </c>
      <c r="D63" s="7">
        <f>IFERROR(VLOOKUP(C63,TRAOPE!$G:$H,2,0),"")</f>
        <v/>
      </c>
      <c r="E63" s="8" t="inlineStr">
        <is>
          <t>DW68</t>
        </is>
      </c>
      <c r="F63" s="8" t="inlineStr">
        <is>
          <t>D264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10000635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20250301</t>
        </is>
      </c>
      <c r="M63" s="8" t="inlineStr">
        <is>
          <t>99991231</t>
        </is>
      </c>
      <c r="N63" s="10" t="n">
        <v>497.96</v>
      </c>
      <c r="O63" s="10">
        <f>IFERROR(VLOOKUP(A63,Flete!$A:$J,10,0),"")</f>
        <v/>
      </c>
      <c r="P63" s="8" t="inlineStr">
        <is>
          <t>TN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900000472</v>
      </c>
      <c r="D64" s="7">
        <f>IFERROR(VLOOKUP(C64,TRAOPE!$G:$H,2,0),"")</f>
        <v/>
      </c>
      <c r="E64" s="8" t="inlineStr">
        <is>
          <t>DW68</t>
        </is>
      </c>
      <c r="F64" s="8" t="inlineStr">
        <is>
          <t>D264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10000643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20250301</t>
        </is>
      </c>
      <c r="M64" s="8" t="inlineStr">
        <is>
          <t>99991231</t>
        </is>
      </c>
      <c r="N64" s="10" t="n">
        <v>497.96</v>
      </c>
      <c r="O64" s="10">
        <f>IFERROR(VLOOKUP(A64,Flete!$A:$J,10,0),"")</f>
        <v/>
      </c>
      <c r="P64" s="8" t="inlineStr">
        <is>
          <t>TN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900000472</v>
      </c>
      <c r="D65" s="7">
        <f>IFERROR(VLOOKUP(C65,TRAOPE!$G:$H,2,0),"")</f>
        <v/>
      </c>
      <c r="E65" s="8" t="inlineStr">
        <is>
          <t>DW68</t>
        </is>
      </c>
      <c r="F65" s="8" t="inlineStr">
        <is>
          <t>D264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10000655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20250301</t>
        </is>
      </c>
      <c r="M65" s="8" t="inlineStr">
        <is>
          <t>99991231</t>
        </is>
      </c>
      <c r="N65" s="10" t="n">
        <v>497.96</v>
      </c>
      <c r="O65" s="10">
        <f>IFERROR(VLOOKUP(A65,Flete!$A:$J,10,0),"")</f>
        <v/>
      </c>
      <c r="P65" s="8" t="inlineStr">
        <is>
          <t>TN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900000472</v>
      </c>
      <c r="D66" s="7">
        <f>IFERROR(VLOOKUP(C66,TRAOPE!$G:$H,2,0),"")</f>
        <v/>
      </c>
      <c r="E66" s="8" t="inlineStr">
        <is>
          <t>DW68</t>
        </is>
      </c>
      <c r="F66" s="8" t="inlineStr">
        <is>
          <t>D264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10001456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20250301</t>
        </is>
      </c>
      <c r="M66" s="8" t="inlineStr">
        <is>
          <t>99991231</t>
        </is>
      </c>
      <c r="N66" s="10" t="n">
        <v>497.96</v>
      </c>
      <c r="O66" s="10">
        <f>IFERROR(VLOOKUP(A66,Flete!$A:$J,10,0),"")</f>
        <v/>
      </c>
      <c r="P66" s="8" t="inlineStr">
        <is>
          <t>TN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900000620</v>
      </c>
      <c r="D67" s="7">
        <f>IFERROR(VLOOKUP(C67,TRAOPE!$G:$H,2,0),"")</f>
        <v/>
      </c>
      <c r="E67" s="8" t="inlineStr">
        <is>
          <t>DW68</t>
        </is>
      </c>
      <c r="F67" s="8" t="inlineStr">
        <is>
          <t>D577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10000439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20260407</t>
        </is>
      </c>
      <c r="M67" s="8" t="inlineStr">
        <is>
          <t>99991231</t>
        </is>
      </c>
      <c r="N67" s="10" t="n">
        <v>257.04</v>
      </c>
      <c r="O67" s="10">
        <f>IFERROR(VLOOKUP(A67,Flete!$A:$J,10,0),"")</f>
        <v/>
      </c>
      <c r="P67" s="8" t="inlineStr">
        <is>
          <t>TN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900000620</v>
      </c>
      <c r="D68" s="7">
        <f>IFERROR(VLOOKUP(C68,TRAOPE!$G:$H,2,0),"")</f>
        <v/>
      </c>
      <c r="E68" s="8" t="inlineStr">
        <is>
          <t>DW68</t>
        </is>
      </c>
      <c r="F68" s="8" t="inlineStr">
        <is>
          <t>D577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10209065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20260301</t>
        </is>
      </c>
      <c r="M68" s="8" t="inlineStr">
        <is>
          <t>99991231</t>
        </is>
      </c>
      <c r="N68" s="10" t="n">
        <v>109.2</v>
      </c>
      <c r="O68" s="10">
        <f>IFERROR(VLOOKUP(A68,Flete!$A:$J,10,0),"")</f>
        <v/>
      </c>
      <c r="P68" s="8" t="inlineStr">
        <is>
          <t>TN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900000620</v>
      </c>
      <c r="D69" s="7">
        <f>IFERROR(VLOOKUP(C69,TRAOPE!$G:$H,2,0),"")</f>
        <v/>
      </c>
      <c r="E69" s="8" t="inlineStr">
        <is>
          <t>DW68</t>
        </is>
      </c>
      <c r="F69" s="8" t="inlineStr">
        <is>
          <t>D577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10270898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20260301</t>
        </is>
      </c>
      <c r="M69" s="8" t="inlineStr">
        <is>
          <t>99991231</t>
        </is>
      </c>
      <c r="N69" s="10" t="n">
        <v>184.44</v>
      </c>
      <c r="O69" s="10">
        <f>IFERROR(VLOOKUP(A69,Flete!$A:$J,10,0),"")</f>
        <v/>
      </c>
      <c r="P69" s="8" t="inlineStr">
        <is>
          <t>TN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900000620</v>
      </c>
      <c r="D70" s="7">
        <f>IFERROR(VLOOKUP(C70,TRAOPE!$G:$H,2,0),"")</f>
        <v/>
      </c>
      <c r="E70" s="8" t="inlineStr">
        <is>
          <t>DW68</t>
        </is>
      </c>
      <c r="F70" s="8" t="inlineStr">
        <is>
          <t>D577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10270911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20260326</t>
        </is>
      </c>
      <c r="M70" s="8" t="inlineStr">
        <is>
          <t>99991231</t>
        </is>
      </c>
      <c r="N70" s="10" t="n">
        <v>216.58</v>
      </c>
      <c r="O70" s="10">
        <f>IFERROR(VLOOKUP(A70,Flete!$A:$J,10,0),"")</f>
        <v/>
      </c>
      <c r="P70" s="8" t="inlineStr">
        <is>
          <t>TN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900000620</v>
      </c>
      <c r="D71" s="7">
        <f>IFERROR(VLOOKUP(C71,TRAOPE!$G:$H,2,0),"")</f>
        <v/>
      </c>
      <c r="E71" s="8" t="inlineStr">
        <is>
          <t>DW68</t>
        </is>
      </c>
      <c r="F71" s="8" t="inlineStr">
        <is>
          <t>D577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10270912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20260326</t>
        </is>
      </c>
      <c r="M71" s="8" t="inlineStr">
        <is>
          <t>99991231</t>
        </is>
      </c>
      <c r="N71" s="10" t="n">
        <v>245</v>
      </c>
      <c r="O71" s="10">
        <f>IFERROR(VLOOKUP(A71,Flete!$A:$J,10,0),"")</f>
        <v/>
      </c>
      <c r="P71" s="8" t="inlineStr">
        <is>
          <t>TN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900000620</v>
      </c>
      <c r="D72" s="7">
        <f>IFERROR(VLOOKUP(C72,TRAOPE!$G:$H,2,0),"")</f>
        <v/>
      </c>
      <c r="E72" s="8" t="inlineStr">
        <is>
          <t>DW68</t>
        </is>
      </c>
      <c r="F72" s="8" t="inlineStr">
        <is>
          <t>D577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10270913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20260326</t>
        </is>
      </c>
      <c r="M72" s="8" t="inlineStr">
        <is>
          <t>99991231</t>
        </is>
      </c>
      <c r="N72" s="10" t="n">
        <v>231.12</v>
      </c>
      <c r="O72" s="10">
        <f>IFERROR(VLOOKUP(A72,Flete!$A:$J,10,0),"")</f>
        <v/>
      </c>
      <c r="P72" s="8" t="inlineStr">
        <is>
          <t>TN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900000620</v>
      </c>
      <c r="D73" s="7">
        <f>IFERROR(VLOOKUP(C73,TRAOPE!$G:$H,2,0),"")</f>
        <v/>
      </c>
      <c r="E73" s="8" t="inlineStr">
        <is>
          <t>DW68</t>
        </is>
      </c>
      <c r="F73" s="8" t="inlineStr">
        <is>
          <t>ENEB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10209065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20260301</t>
        </is>
      </c>
      <c r="M73" s="8" t="inlineStr">
        <is>
          <t>99991231</t>
        </is>
      </c>
      <c r="N73" s="10" t="n">
        <v>109.2</v>
      </c>
      <c r="O73" s="10">
        <f>IFERROR(VLOOKUP(A73,Flete!$A:$J,10,0),"")</f>
        <v/>
      </c>
      <c r="P73" s="8" t="inlineStr">
        <is>
          <t>TN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900000620</v>
      </c>
      <c r="D74" s="7">
        <f>IFERROR(VLOOKUP(C74,TRAOPE!$G:$H,2,0),"")</f>
        <v/>
      </c>
      <c r="E74" s="8" t="inlineStr">
        <is>
          <t>DW68</t>
        </is>
      </c>
      <c r="F74" s="8" t="inlineStr">
        <is>
          <t>ENL1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10000439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20260126</t>
        </is>
      </c>
      <c r="M74" s="8" t="inlineStr">
        <is>
          <t>20260326</t>
        </is>
      </c>
      <c r="N74" s="10" t="n">
        <v>238</v>
      </c>
      <c r="O74" s="10">
        <f>IFERROR(VLOOKUP(A74,Flete!$A:$J,10,0),"")</f>
        <v/>
      </c>
      <c r="P74" s="8" t="inlineStr">
        <is>
          <t>TN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900000620</v>
      </c>
      <c r="D75" s="7">
        <f>IFERROR(VLOOKUP(C75,TRAOPE!$G:$H,2,0),"")</f>
        <v/>
      </c>
      <c r="E75" s="8" t="inlineStr">
        <is>
          <t>DW68</t>
        </is>
      </c>
      <c r="F75" s="8" t="inlineStr">
        <is>
          <t>ENL1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10209065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20260301</t>
        </is>
      </c>
      <c r="M75" s="8" t="inlineStr">
        <is>
          <t>99991231</t>
        </is>
      </c>
      <c r="N75" s="10" t="n">
        <v>109.2</v>
      </c>
      <c r="O75" s="10">
        <f>IFERROR(VLOOKUP(A75,Flete!$A:$J,10,0),"")</f>
        <v/>
      </c>
      <c r="P75" s="8" t="inlineStr">
        <is>
          <t>TN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900000620</v>
      </c>
      <c r="D76" s="7">
        <f>IFERROR(VLOOKUP(C76,TRAOPE!$G:$H,2,0),"")</f>
        <v/>
      </c>
      <c r="E76" s="8" t="inlineStr">
        <is>
          <t>DW68</t>
        </is>
      </c>
      <c r="F76" s="8" t="inlineStr">
        <is>
          <t>ENL1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10270898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20260301</t>
        </is>
      </c>
      <c r="M76" s="8" t="inlineStr">
        <is>
          <t>99991231</t>
        </is>
      </c>
      <c r="N76" s="10" t="n">
        <v>184.44</v>
      </c>
      <c r="O76" s="10">
        <f>IFERROR(VLOOKUP(A76,Flete!$A:$J,10,0),"")</f>
        <v/>
      </c>
      <c r="P76" s="8" t="inlineStr">
        <is>
          <t>TN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900000620</v>
      </c>
      <c r="D77" s="7">
        <f>IFERROR(VLOOKUP(C77,TRAOPE!$G:$H,2,0),"")</f>
        <v/>
      </c>
      <c r="E77" s="8" t="inlineStr">
        <is>
          <t>DW68</t>
        </is>
      </c>
      <c r="F77" s="8" t="inlineStr">
        <is>
          <t>ENL1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10270911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20260126</t>
        </is>
      </c>
      <c r="M77" s="8" t="inlineStr">
        <is>
          <t>99991231</t>
        </is>
      </c>
      <c r="N77" s="10" t="n">
        <v>216.58</v>
      </c>
      <c r="O77" s="10">
        <f>IFERROR(VLOOKUP(A77,Flete!$A:$J,10,0),"")</f>
        <v/>
      </c>
      <c r="P77" s="8" t="inlineStr">
        <is>
          <t>TN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900000620</v>
      </c>
      <c r="D78" s="7">
        <f>IFERROR(VLOOKUP(C78,TRAOPE!$G:$H,2,0),"")</f>
        <v/>
      </c>
      <c r="E78" s="8" t="inlineStr">
        <is>
          <t>DW68</t>
        </is>
      </c>
      <c r="F78" s="8" t="inlineStr">
        <is>
          <t>ENL1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10270912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20260301</t>
        </is>
      </c>
      <c r="M78" s="8" t="inlineStr">
        <is>
          <t>99991231</t>
        </is>
      </c>
      <c r="N78" s="10" t="n">
        <v>245</v>
      </c>
      <c r="O78" s="10">
        <f>IFERROR(VLOOKUP(A78,Flete!$A:$J,10,0),"")</f>
        <v/>
      </c>
      <c r="P78" s="8" t="inlineStr">
        <is>
          <t>TN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900000620</v>
      </c>
      <c r="D79" s="7">
        <f>IFERROR(VLOOKUP(C79,TRAOPE!$G:$H,2,0),"")</f>
        <v/>
      </c>
      <c r="E79" s="8" t="inlineStr">
        <is>
          <t>DW68</t>
        </is>
      </c>
      <c r="F79" s="8" t="inlineStr">
        <is>
          <t>ENL1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10270913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20260301</t>
        </is>
      </c>
      <c r="M79" s="8" t="inlineStr">
        <is>
          <t>99991231</t>
        </is>
      </c>
      <c r="N79" s="10" t="n">
        <v>231.12</v>
      </c>
      <c r="O79" s="10">
        <f>IFERROR(VLOOKUP(A79,Flete!$A:$J,10,0),"")</f>
        <v/>
      </c>
      <c r="P79" s="8" t="inlineStr">
        <is>
          <t>TN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900000620</v>
      </c>
      <c r="D80" s="7">
        <f>IFERROR(VLOOKUP(C80,TRAOPE!$G:$H,2,0),"")</f>
        <v/>
      </c>
      <c r="E80" s="8" t="inlineStr">
        <is>
          <t>DW68</t>
        </is>
      </c>
      <c r="F80" s="8" t="inlineStr">
        <is>
          <t>ENV8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10209065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20260301</t>
        </is>
      </c>
      <c r="M80" s="8" t="inlineStr">
        <is>
          <t>99991231</t>
        </is>
      </c>
      <c r="N80" s="10" t="n">
        <v>109.2</v>
      </c>
      <c r="O80" s="10">
        <f>IFERROR(VLOOKUP(A80,Flete!$A:$J,10,0),"")</f>
        <v/>
      </c>
      <c r="P80" s="8" t="inlineStr">
        <is>
          <t>TN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900000620</v>
      </c>
      <c r="D81" s="7">
        <f>IFERROR(VLOOKUP(C81,TRAOPE!$G:$H,2,0),"")</f>
        <v/>
      </c>
      <c r="E81" s="8" t="inlineStr">
        <is>
          <t>DW68</t>
        </is>
      </c>
      <c r="F81" s="8" t="inlineStr">
        <is>
          <t>ENV9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10000439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20260126</t>
        </is>
      </c>
      <c r="M81" s="8" t="inlineStr">
        <is>
          <t>20260326</t>
        </is>
      </c>
      <c r="N81" s="10" t="n">
        <v>238</v>
      </c>
      <c r="O81" s="10">
        <f>IFERROR(VLOOKUP(A81,Flete!$A:$J,10,0),"")</f>
        <v/>
      </c>
      <c r="P81" s="8" t="inlineStr">
        <is>
          <t>TN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900000620</v>
      </c>
      <c r="D82" s="7">
        <f>IFERROR(VLOOKUP(C82,TRAOPE!$G:$H,2,0),"")</f>
        <v/>
      </c>
      <c r="E82" s="8" t="inlineStr">
        <is>
          <t>DW68</t>
        </is>
      </c>
      <c r="F82" s="8" t="inlineStr">
        <is>
          <t>ENV9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10209065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20260301</t>
        </is>
      </c>
      <c r="M82" s="8" t="inlineStr">
        <is>
          <t>99991231</t>
        </is>
      </c>
      <c r="N82" s="10" t="n">
        <v>109.2</v>
      </c>
      <c r="O82" s="10">
        <f>IFERROR(VLOOKUP(A82,Flete!$A:$J,10,0),"")</f>
        <v/>
      </c>
      <c r="P82" s="8" t="inlineStr">
        <is>
          <t>TN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900000620</v>
      </c>
      <c r="D83" s="7">
        <f>IFERROR(VLOOKUP(C83,TRAOPE!$G:$H,2,0),"")</f>
        <v/>
      </c>
      <c r="E83" s="8" t="inlineStr">
        <is>
          <t>DW68</t>
        </is>
      </c>
      <c r="F83" s="8" t="inlineStr">
        <is>
          <t>ENV9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10270898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20260301</t>
        </is>
      </c>
      <c r="M83" s="8" t="inlineStr">
        <is>
          <t>99991231</t>
        </is>
      </c>
      <c r="N83" s="10" t="n">
        <v>184.44</v>
      </c>
      <c r="O83" s="10">
        <f>IFERROR(VLOOKUP(A83,Flete!$A:$J,10,0),"")</f>
        <v/>
      </c>
      <c r="P83" s="8" t="inlineStr">
        <is>
          <t>TN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900000620</v>
      </c>
      <c r="D84" s="7">
        <f>IFERROR(VLOOKUP(C84,TRAOPE!$G:$H,2,0),"")</f>
        <v/>
      </c>
      <c r="E84" s="8" t="inlineStr">
        <is>
          <t>DW68</t>
        </is>
      </c>
      <c r="F84" s="8" t="inlineStr">
        <is>
          <t>ENV9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10270911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20260301</t>
        </is>
      </c>
      <c r="M84" s="8" t="inlineStr">
        <is>
          <t>99991231</t>
        </is>
      </c>
      <c r="N84" s="10" t="n">
        <v>216.58</v>
      </c>
      <c r="O84" s="10">
        <f>IFERROR(VLOOKUP(A84,Flete!$A:$J,10,0),"")</f>
        <v/>
      </c>
      <c r="P84" s="8" t="inlineStr">
        <is>
          <t>TN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900000620</v>
      </c>
      <c r="D85" s="7">
        <f>IFERROR(VLOOKUP(C85,TRAOPE!$G:$H,2,0),"")</f>
        <v/>
      </c>
      <c r="E85" s="8" t="inlineStr">
        <is>
          <t>DW68</t>
        </is>
      </c>
      <c r="F85" s="8" t="inlineStr">
        <is>
          <t>ENV9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10270912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20260301</t>
        </is>
      </c>
      <c r="M85" s="8" t="inlineStr">
        <is>
          <t>99991231</t>
        </is>
      </c>
      <c r="N85" s="10" t="n">
        <v>245</v>
      </c>
      <c r="O85" s="10">
        <f>IFERROR(VLOOKUP(A85,Flete!$A:$J,10,0),"")</f>
        <v/>
      </c>
      <c r="P85" s="8" t="inlineStr">
        <is>
          <t>TN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900000620</v>
      </c>
      <c r="D86" s="7">
        <f>IFERROR(VLOOKUP(C86,TRAOPE!$G:$H,2,0),"")</f>
        <v/>
      </c>
      <c r="E86" s="8" t="inlineStr">
        <is>
          <t>DW68</t>
        </is>
      </c>
      <c r="F86" s="8" t="inlineStr">
        <is>
          <t>ENV9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10270913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20260301</t>
        </is>
      </c>
      <c r="M86" s="8" t="inlineStr">
        <is>
          <t>99991231</t>
        </is>
      </c>
      <c r="N86" s="10" t="n">
        <v>231.12</v>
      </c>
      <c r="O86" s="10">
        <f>IFERROR(VLOOKUP(A86,Flete!$A:$J,10,0),"")</f>
        <v/>
      </c>
      <c r="P86" s="8" t="inlineStr">
        <is>
          <t>TN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900001405</v>
      </c>
      <c r="D87" s="7">
        <f>IFERROR(VLOOKUP(C87,TRAOPE!$G:$H,2,0),"")</f>
        <v/>
      </c>
      <c r="E87" s="8" t="inlineStr">
        <is>
          <t>DW68</t>
        </is>
      </c>
      <c r="F87" s="8" t="inlineStr">
        <is>
          <t>D242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10000586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20210620</t>
        </is>
      </c>
      <c r="M87" s="8" t="inlineStr">
        <is>
          <t>20251031</t>
        </is>
      </c>
      <c r="N87" s="10" t="n">
        <v>530.25</v>
      </c>
      <c r="O87" s="10">
        <f>IFERROR(VLOOKUP(A87,Flete!$A:$J,10,0),"")</f>
        <v/>
      </c>
      <c r="P87" s="8" t="inlineStr">
        <is>
          <t>TN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900001405</v>
      </c>
      <c r="D88" s="7">
        <f>IFERROR(VLOOKUP(C88,TRAOPE!$G:$H,2,0),"")</f>
        <v/>
      </c>
      <c r="E88" s="8" t="inlineStr">
        <is>
          <t>DW68</t>
        </is>
      </c>
      <c r="F88" s="8" t="inlineStr">
        <is>
          <t>D242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10001867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20210620</t>
        </is>
      </c>
      <c r="M88" s="8" t="inlineStr">
        <is>
          <t>20251031</t>
        </is>
      </c>
      <c r="N88" s="10" t="n">
        <v>535</v>
      </c>
      <c r="O88" s="10">
        <f>IFERROR(VLOOKUP(A88,Flete!$A:$J,10,0),"")</f>
        <v/>
      </c>
      <c r="P88" s="8" t="inlineStr">
        <is>
          <t>TN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900001445</v>
      </c>
      <c r="D89" s="7">
        <f>IFERROR(VLOOKUP(C89,TRAOPE!$G:$H,2,0),"")</f>
        <v/>
      </c>
      <c r="E89" s="8" t="inlineStr">
        <is>
          <t>DW68</t>
        </is>
      </c>
      <c r="F89" s="8" t="inlineStr">
        <is>
          <t>D042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10000200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20220516</t>
        </is>
      </c>
      <c r="M89" s="8" t="inlineStr">
        <is>
          <t>20230413</t>
        </is>
      </c>
      <c r="N89" s="10" t="n">
        <v>84.75</v>
      </c>
      <c r="O89" s="10">
        <f>IFERROR(VLOOKUP(A89,Flete!$A:$J,10,0),"")</f>
        <v/>
      </c>
      <c r="P89" s="8" t="inlineStr">
        <is>
          <t>TN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900001445</v>
      </c>
      <c r="D90" s="7">
        <f>IFERROR(VLOOKUP(C90,TRAOPE!$G:$H,2,0),"")</f>
        <v/>
      </c>
      <c r="E90" s="8" t="inlineStr">
        <is>
          <t>DW68</t>
        </is>
      </c>
      <c r="F90" s="8" t="inlineStr">
        <is>
          <t>D042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10018375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20220516</t>
        </is>
      </c>
      <c r="M90" s="8" t="inlineStr">
        <is>
          <t>20230413</t>
        </is>
      </c>
      <c r="N90" s="10" t="n">
        <v>45.45</v>
      </c>
      <c r="O90" s="10">
        <f>IFERROR(VLOOKUP(A90,Flete!$A:$J,10,0),"")</f>
        <v/>
      </c>
      <c r="P90" s="8" t="inlineStr">
        <is>
          <t>TN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900001445</v>
      </c>
      <c r="D91" s="7">
        <f>IFERROR(VLOOKUP(C91,TRAOPE!$G:$H,2,0),"")</f>
        <v/>
      </c>
      <c r="E91" s="8" t="inlineStr">
        <is>
          <t>DW68</t>
        </is>
      </c>
      <c r="F91" s="8" t="inlineStr">
        <is>
          <t>D209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10000200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20220516</t>
        </is>
      </c>
      <c r="M91" s="8" t="inlineStr">
        <is>
          <t>20230413</t>
        </is>
      </c>
      <c r="N91" s="10" t="n">
        <v>84.75</v>
      </c>
      <c r="O91" s="10">
        <f>IFERROR(VLOOKUP(A91,Flete!$A:$J,10,0),"")</f>
        <v/>
      </c>
      <c r="P91" s="8" t="inlineStr">
        <is>
          <t>TN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900001445</v>
      </c>
      <c r="D92" s="7">
        <f>IFERROR(VLOOKUP(C92,TRAOPE!$G:$H,2,0),"")</f>
        <v/>
      </c>
      <c r="E92" s="8" t="inlineStr">
        <is>
          <t>DW68</t>
        </is>
      </c>
      <c r="F92" s="8" t="inlineStr">
        <is>
          <t>D209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10018375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20220516</t>
        </is>
      </c>
      <c r="M92" s="8" t="inlineStr">
        <is>
          <t>20230413</t>
        </is>
      </c>
      <c r="N92" s="10" t="n">
        <v>45.45</v>
      </c>
      <c r="O92" s="10">
        <f>IFERROR(VLOOKUP(A92,Flete!$A:$J,10,0),"")</f>
        <v/>
      </c>
      <c r="P92" s="8" t="inlineStr">
        <is>
          <t>TN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900001445</v>
      </c>
      <c r="D93" s="7">
        <f>IFERROR(VLOOKUP(C93,TRAOPE!$G:$H,2,0),"")</f>
        <v/>
      </c>
      <c r="E93" s="8" t="inlineStr">
        <is>
          <t>DW68</t>
        </is>
      </c>
      <c r="F93" s="8" t="inlineStr">
        <is>
          <t>D211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10000200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20220516</t>
        </is>
      </c>
      <c r="M93" s="8" t="inlineStr">
        <is>
          <t>20230413</t>
        </is>
      </c>
      <c r="N93" s="10" t="n">
        <v>84.75</v>
      </c>
      <c r="O93" s="10">
        <f>IFERROR(VLOOKUP(A93,Flete!$A:$J,10,0),"")</f>
        <v/>
      </c>
      <c r="P93" s="8" t="inlineStr">
        <is>
          <t>TN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900001445</v>
      </c>
      <c r="D94" s="7">
        <f>IFERROR(VLOOKUP(C94,TRAOPE!$G:$H,2,0),"")</f>
        <v/>
      </c>
      <c r="E94" s="8" t="inlineStr">
        <is>
          <t>DW68</t>
        </is>
      </c>
      <c r="F94" s="8" t="inlineStr">
        <is>
          <t>D211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10018375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20220516</t>
        </is>
      </c>
      <c r="M94" s="8" t="inlineStr">
        <is>
          <t>20230413</t>
        </is>
      </c>
      <c r="N94" s="10" t="n">
        <v>45.45</v>
      </c>
      <c r="O94" s="10">
        <f>IFERROR(VLOOKUP(A94,Flete!$A:$J,10,0),"")</f>
        <v/>
      </c>
      <c r="P94" s="8" t="inlineStr">
        <is>
          <t>TN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900001445</v>
      </c>
      <c r="D95" s="7">
        <f>IFERROR(VLOOKUP(C95,TRAOPE!$G:$H,2,0),"")</f>
        <v/>
      </c>
      <c r="E95" s="8" t="inlineStr">
        <is>
          <t>DW68</t>
        </is>
      </c>
      <c r="F95" s="8" t="inlineStr">
        <is>
          <t>D213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10000200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20220516</t>
        </is>
      </c>
      <c r="M95" s="8" t="inlineStr">
        <is>
          <t>20230413</t>
        </is>
      </c>
      <c r="N95" s="10" t="n">
        <v>84.75</v>
      </c>
      <c r="O95" s="10">
        <f>IFERROR(VLOOKUP(A95,Flete!$A:$J,10,0),"")</f>
        <v/>
      </c>
      <c r="P95" s="8" t="inlineStr">
        <is>
          <t>TN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  <row r="96">
      <c r="A96" s="7">
        <f>CONCATENATE(C96,E96,F96,I96)</f>
        <v/>
      </c>
      <c r="B96" s="7">
        <f>CONCATENATE(C96,E96,I96)</f>
        <v/>
      </c>
      <c r="C96" s="8" t="n">
        <v>900001445</v>
      </c>
      <c r="D96" s="7">
        <f>IFERROR(VLOOKUP(C96,TRAOPE!$G:$H,2,0),"")</f>
        <v/>
      </c>
      <c r="E96" s="8" t="inlineStr">
        <is>
          <t>DW68</t>
        </is>
      </c>
      <c r="F96" s="8" t="inlineStr">
        <is>
          <t>D214</t>
        </is>
      </c>
      <c r="G96" s="8">
        <f>IFERROR(VLOOKUP(A96,Flete!$A:$E,5,0),"")</f>
        <v/>
      </c>
      <c r="H96" s="7">
        <f>IFERROR(VLOOKUP(F96,TRAOPE!$AA:$AB,2,0),"")</f>
        <v/>
      </c>
      <c r="I96" s="7" t="n">
        <v>10000200</v>
      </c>
      <c r="J96" s="7">
        <f>IFERROR(VLOOKUP(I96,Materiales!$A:$H,8,0),"")</f>
        <v/>
      </c>
      <c r="K96" s="9">
        <f>IFERROR(VLOOKUP(I96,Materiales!$A:$G,7,0),"")</f>
        <v/>
      </c>
      <c r="L96" s="8" t="inlineStr">
        <is>
          <t>20220516</t>
        </is>
      </c>
      <c r="M96" s="8" t="inlineStr">
        <is>
          <t>20230413</t>
        </is>
      </c>
      <c r="N96" s="10" t="n">
        <v>52.54</v>
      </c>
      <c r="O96" s="10">
        <f>IFERROR(VLOOKUP(A96,Flete!$A:$J,10,0),"")</f>
        <v/>
      </c>
      <c r="P96" s="8" t="inlineStr">
        <is>
          <t>TN</t>
        </is>
      </c>
      <c r="Q96" s="10">
        <f>IFERROR(IFERROR(VLOOKUP(A96,TRAOPE!$A:$U,21,0),VLOOKUP(B96,TRAOPE!$A:$U,21,0)),"")</f>
        <v/>
      </c>
      <c r="R96" s="8">
        <f>IFERROR(IFERROR(VLOOKUP(A96,TRAOPE!$A:$W,23,0),VLOOKUP(B96,TRAOPE!$A:$W,23,0)),"")</f>
        <v/>
      </c>
      <c r="S96" s="10">
        <f>IF(AND(P96="TN",R96="TN"),N96+N(O96),IF(G96&amp;""="1",N(K96)*N96,(N96+N(O96))*N(K96)))</f>
        <v/>
      </c>
      <c r="T96" s="10">
        <f>IF(Q96="","",Q96-S96)</f>
        <v/>
      </c>
    </row>
    <row r="97">
      <c r="A97" s="7">
        <f>CONCATENATE(C97,E97,F97,I97)</f>
        <v/>
      </c>
      <c r="B97" s="7">
        <f>CONCATENATE(C97,E97,I97)</f>
        <v/>
      </c>
      <c r="C97" s="8" t="n">
        <v>900001445</v>
      </c>
      <c r="D97" s="7">
        <f>IFERROR(VLOOKUP(C97,TRAOPE!$G:$H,2,0),"")</f>
        <v/>
      </c>
      <c r="E97" s="8" t="inlineStr">
        <is>
          <t>DW68</t>
        </is>
      </c>
      <c r="F97" s="8" t="inlineStr">
        <is>
          <t>D214</t>
        </is>
      </c>
      <c r="G97" s="8">
        <f>IFERROR(VLOOKUP(A97,Flete!$A:$E,5,0),"")</f>
        <v/>
      </c>
      <c r="H97" s="7">
        <f>IFERROR(VLOOKUP(F97,TRAOPE!$AA:$AB,2,0),"")</f>
        <v/>
      </c>
      <c r="I97" s="7" t="n">
        <v>10018375</v>
      </c>
      <c r="J97" s="7">
        <f>IFERROR(VLOOKUP(I97,Materiales!$A:$H,8,0),"")</f>
        <v/>
      </c>
      <c r="K97" s="9">
        <f>IFERROR(VLOOKUP(I97,Materiales!$A:$G,7,0),"")</f>
        <v/>
      </c>
      <c r="L97" s="8" t="inlineStr">
        <is>
          <t>20220516</t>
        </is>
      </c>
      <c r="M97" s="8" t="inlineStr">
        <is>
          <t>20230413</t>
        </is>
      </c>
      <c r="N97" s="10" t="n">
        <v>45.45</v>
      </c>
      <c r="O97" s="10">
        <f>IFERROR(VLOOKUP(A97,Flete!$A:$J,10,0),"")</f>
        <v/>
      </c>
      <c r="P97" s="8" t="inlineStr">
        <is>
          <t>TN</t>
        </is>
      </c>
      <c r="Q97" s="10">
        <f>IFERROR(IFERROR(VLOOKUP(A97,TRAOPE!$A:$U,21,0),VLOOKUP(B97,TRAOPE!$A:$U,21,0)),"")</f>
        <v/>
      </c>
      <c r="R97" s="8">
        <f>IFERROR(IFERROR(VLOOKUP(A97,TRAOPE!$A:$W,23,0),VLOOKUP(B97,TRAOPE!$A:$W,23,0)),"")</f>
        <v/>
      </c>
      <c r="S97" s="10">
        <f>IF(AND(P97="TN",R97="TN"),N97+N(O97),IF(G97&amp;""="1",N(K97)*N97,(N97+N(O97))*N(K97)))</f>
        <v/>
      </c>
      <c r="T97" s="10">
        <f>IF(Q97="","",Q97-S97)</f>
        <v/>
      </c>
    </row>
    <row r="98">
      <c r="A98" s="7">
        <f>CONCATENATE(C98,E98,F98,I98)</f>
        <v/>
      </c>
      <c r="B98" s="7">
        <f>CONCATENATE(C98,E98,I98)</f>
        <v/>
      </c>
      <c r="C98" s="8" t="n">
        <v>900001445</v>
      </c>
      <c r="D98" s="7">
        <f>IFERROR(VLOOKUP(C98,TRAOPE!$G:$H,2,0),"")</f>
        <v/>
      </c>
      <c r="E98" s="8" t="inlineStr">
        <is>
          <t>DW68</t>
        </is>
      </c>
      <c r="F98" s="8" t="inlineStr">
        <is>
          <t>D220</t>
        </is>
      </c>
      <c r="G98" s="8">
        <f>IFERROR(VLOOKUP(A98,Flete!$A:$E,5,0),"")</f>
        <v/>
      </c>
      <c r="H98" s="7">
        <f>IFERROR(VLOOKUP(F98,TRAOPE!$AA:$AB,2,0),"")</f>
        <v/>
      </c>
      <c r="I98" s="7" t="n">
        <v>10000200</v>
      </c>
      <c r="J98" s="7">
        <f>IFERROR(VLOOKUP(I98,Materiales!$A:$H,8,0),"")</f>
        <v/>
      </c>
      <c r="K98" s="9">
        <f>IFERROR(VLOOKUP(I98,Materiales!$A:$G,7,0),"")</f>
        <v/>
      </c>
      <c r="L98" s="8" t="inlineStr">
        <is>
          <t>20220516</t>
        </is>
      </c>
      <c r="M98" s="8" t="inlineStr">
        <is>
          <t>20230413</t>
        </is>
      </c>
      <c r="N98" s="10" t="n">
        <v>84.75</v>
      </c>
      <c r="O98" s="10">
        <f>IFERROR(VLOOKUP(A98,Flete!$A:$J,10,0),"")</f>
        <v/>
      </c>
      <c r="P98" s="8" t="inlineStr">
        <is>
          <t>TN</t>
        </is>
      </c>
      <c r="Q98" s="10">
        <f>IFERROR(IFERROR(VLOOKUP(A98,TRAOPE!$A:$U,21,0),VLOOKUP(B98,TRAOPE!$A:$U,21,0)),"")</f>
        <v/>
      </c>
      <c r="R98" s="8">
        <f>IFERROR(IFERROR(VLOOKUP(A98,TRAOPE!$A:$W,23,0),VLOOKUP(B98,TRAOPE!$A:$W,23,0)),"")</f>
        <v/>
      </c>
      <c r="S98" s="10">
        <f>IF(AND(P98="TN",R98="TN"),N98+N(O98),IF(G98&amp;""="1",N(K98)*N98,(N98+N(O98))*N(K98)))</f>
        <v/>
      </c>
      <c r="T98" s="10">
        <f>IF(Q98="","",Q98-S98)</f>
        <v/>
      </c>
    </row>
    <row r="99">
      <c r="A99" s="7">
        <f>CONCATENATE(C99,E99,F99,I99)</f>
        <v/>
      </c>
      <c r="B99" s="7">
        <f>CONCATENATE(C99,E99,I99)</f>
        <v/>
      </c>
      <c r="C99" s="8" t="n">
        <v>900001445</v>
      </c>
      <c r="D99" s="7">
        <f>IFERROR(VLOOKUP(C99,TRAOPE!$G:$H,2,0),"")</f>
        <v/>
      </c>
      <c r="E99" s="8" t="inlineStr">
        <is>
          <t>DW68</t>
        </is>
      </c>
      <c r="F99" s="8" t="inlineStr">
        <is>
          <t>D228</t>
        </is>
      </c>
      <c r="G99" s="8">
        <f>IFERROR(VLOOKUP(A99,Flete!$A:$E,5,0),"")</f>
        <v/>
      </c>
      <c r="H99" s="7">
        <f>IFERROR(VLOOKUP(F99,TRAOPE!$AA:$AB,2,0),"")</f>
        <v/>
      </c>
      <c r="I99" s="7" t="n">
        <v>10000200</v>
      </c>
      <c r="J99" s="7">
        <f>IFERROR(VLOOKUP(I99,Materiales!$A:$H,8,0),"")</f>
        <v/>
      </c>
      <c r="K99" s="9">
        <f>IFERROR(VLOOKUP(I99,Materiales!$A:$G,7,0),"")</f>
        <v/>
      </c>
      <c r="L99" s="8" t="inlineStr">
        <is>
          <t>20220516</t>
        </is>
      </c>
      <c r="M99" s="8" t="inlineStr">
        <is>
          <t>20230413</t>
        </is>
      </c>
      <c r="N99" s="10" t="n">
        <v>84.75</v>
      </c>
      <c r="O99" s="10">
        <f>IFERROR(VLOOKUP(A99,Flete!$A:$J,10,0),"")</f>
        <v/>
      </c>
      <c r="P99" s="8" t="inlineStr">
        <is>
          <t>TN</t>
        </is>
      </c>
      <c r="Q99" s="10">
        <f>IFERROR(IFERROR(VLOOKUP(A99,TRAOPE!$A:$U,21,0),VLOOKUP(B99,TRAOPE!$A:$U,21,0)),"")</f>
        <v/>
      </c>
      <c r="R99" s="8">
        <f>IFERROR(IFERROR(VLOOKUP(A99,TRAOPE!$A:$W,23,0),VLOOKUP(B99,TRAOPE!$A:$W,23,0)),"")</f>
        <v/>
      </c>
      <c r="S99" s="10">
        <f>IF(AND(P99="TN",R99="TN"),N99+N(O99),IF(G99&amp;""="1",N(K99)*N99,(N99+N(O99))*N(K99)))</f>
        <v/>
      </c>
      <c r="T99" s="10">
        <f>IF(Q99="","",Q99-S99)</f>
        <v/>
      </c>
    </row>
    <row r="100">
      <c r="A100" s="7">
        <f>CONCATENATE(C100,E100,F100,I100)</f>
        <v/>
      </c>
      <c r="B100" s="7">
        <f>CONCATENATE(C100,E100,I100)</f>
        <v/>
      </c>
      <c r="C100" s="8" t="n">
        <v>900001445</v>
      </c>
      <c r="D100" s="7">
        <f>IFERROR(VLOOKUP(C100,TRAOPE!$G:$H,2,0),"")</f>
        <v/>
      </c>
      <c r="E100" s="8" t="inlineStr">
        <is>
          <t>DW68</t>
        </is>
      </c>
      <c r="F100" s="8" t="inlineStr">
        <is>
          <t>D228</t>
        </is>
      </c>
      <c r="G100" s="8">
        <f>IFERROR(VLOOKUP(A100,Flete!$A:$E,5,0),"")</f>
        <v/>
      </c>
      <c r="H100" s="7">
        <f>IFERROR(VLOOKUP(F100,TRAOPE!$AA:$AB,2,0),"")</f>
        <v/>
      </c>
      <c r="I100" s="7" t="n">
        <v>10018375</v>
      </c>
      <c r="J100" s="7">
        <f>IFERROR(VLOOKUP(I100,Materiales!$A:$H,8,0),"")</f>
        <v/>
      </c>
      <c r="K100" s="9">
        <f>IFERROR(VLOOKUP(I100,Materiales!$A:$G,7,0),"")</f>
        <v/>
      </c>
      <c r="L100" s="8" t="inlineStr">
        <is>
          <t>20220516</t>
        </is>
      </c>
      <c r="M100" s="8" t="inlineStr">
        <is>
          <t>20230413</t>
        </is>
      </c>
      <c r="N100" s="10" t="n">
        <v>45.45</v>
      </c>
      <c r="O100" s="10">
        <f>IFERROR(VLOOKUP(A100,Flete!$A:$J,10,0),"")</f>
        <v/>
      </c>
      <c r="P100" s="8" t="inlineStr">
        <is>
          <t>TN</t>
        </is>
      </c>
      <c r="Q100" s="10">
        <f>IFERROR(IFERROR(VLOOKUP(A100,TRAOPE!$A:$U,21,0),VLOOKUP(B100,TRAOPE!$A:$U,21,0)),"")</f>
        <v/>
      </c>
      <c r="R100" s="8">
        <f>IFERROR(IFERROR(VLOOKUP(A100,TRAOPE!$A:$W,23,0),VLOOKUP(B100,TRAOPE!$A:$W,23,0)),"")</f>
        <v/>
      </c>
      <c r="S100" s="10">
        <f>IF(AND(P100="TN",R100="TN"),N100+N(O100),IF(G100&amp;""="1",N(K100)*N100,(N100+N(O100))*N(K100)))</f>
        <v/>
      </c>
      <c r="T100" s="10">
        <f>IF(Q100="","",Q100-S100)</f>
        <v/>
      </c>
    </row>
    <row r="101">
      <c r="A101" s="7">
        <f>CONCATENATE(C101,E101,F101,I101)</f>
        <v/>
      </c>
      <c r="B101" s="7">
        <f>CONCATENATE(C101,E101,I101)</f>
        <v/>
      </c>
      <c r="C101" s="8" t="n">
        <v>900001445</v>
      </c>
      <c r="D101" s="7">
        <f>IFERROR(VLOOKUP(C101,TRAOPE!$G:$H,2,0),"")</f>
        <v/>
      </c>
      <c r="E101" s="8" t="inlineStr">
        <is>
          <t>DW68</t>
        </is>
      </c>
      <c r="F101" s="8" t="inlineStr">
        <is>
          <t>D242</t>
        </is>
      </c>
      <c r="G101" s="8">
        <f>IFERROR(VLOOKUP(A101,Flete!$A:$E,5,0),"")</f>
        <v/>
      </c>
      <c r="H101" s="7">
        <f>IFERROR(VLOOKUP(F101,TRAOPE!$AA:$AB,2,0),"")</f>
        <v/>
      </c>
      <c r="I101" s="7" t="n">
        <v>10000200</v>
      </c>
      <c r="J101" s="7">
        <f>IFERROR(VLOOKUP(I101,Materiales!$A:$H,8,0),"")</f>
        <v/>
      </c>
      <c r="K101" s="9">
        <f>IFERROR(VLOOKUP(I101,Materiales!$A:$G,7,0),"")</f>
        <v/>
      </c>
      <c r="L101" s="8" t="inlineStr">
        <is>
          <t>20220516</t>
        </is>
      </c>
      <c r="M101" s="8" t="inlineStr">
        <is>
          <t>20230413</t>
        </is>
      </c>
      <c r="N101" s="10" t="n">
        <v>84.75</v>
      </c>
      <c r="O101" s="10">
        <f>IFERROR(VLOOKUP(A101,Flete!$A:$J,10,0),"")</f>
        <v/>
      </c>
      <c r="P101" s="8" t="inlineStr">
        <is>
          <t>TN</t>
        </is>
      </c>
      <c r="Q101" s="10">
        <f>IFERROR(IFERROR(VLOOKUP(A101,TRAOPE!$A:$U,21,0),VLOOKUP(B101,TRAOPE!$A:$U,21,0)),"")</f>
        <v/>
      </c>
      <c r="R101" s="8">
        <f>IFERROR(IFERROR(VLOOKUP(A101,TRAOPE!$A:$W,23,0),VLOOKUP(B101,TRAOPE!$A:$W,23,0)),"")</f>
        <v/>
      </c>
      <c r="S101" s="10">
        <f>IF(AND(P101="TN",R101="TN"),N101+N(O101),IF(G101&amp;""="1",N(K101)*N101,(N101+N(O101))*N(K101)))</f>
        <v/>
      </c>
      <c r="T101" s="10">
        <f>IF(Q101="","",Q101-S101)</f>
        <v/>
      </c>
    </row>
    <row r="102">
      <c r="A102" s="7">
        <f>CONCATENATE(C102,E102,F102,I102)</f>
        <v/>
      </c>
      <c r="B102" s="7">
        <f>CONCATENATE(C102,E102,I102)</f>
        <v/>
      </c>
      <c r="C102" s="8" t="n">
        <v>900001445</v>
      </c>
      <c r="D102" s="7">
        <f>IFERROR(VLOOKUP(C102,TRAOPE!$G:$H,2,0),"")</f>
        <v/>
      </c>
      <c r="E102" s="8" t="inlineStr">
        <is>
          <t>DW68</t>
        </is>
      </c>
      <c r="F102" s="8" t="inlineStr">
        <is>
          <t>D242</t>
        </is>
      </c>
      <c r="G102" s="8">
        <f>IFERROR(VLOOKUP(A102,Flete!$A:$E,5,0),"")</f>
        <v/>
      </c>
      <c r="H102" s="7">
        <f>IFERROR(VLOOKUP(F102,TRAOPE!$AA:$AB,2,0),"")</f>
        <v/>
      </c>
      <c r="I102" s="7" t="n">
        <v>10018375</v>
      </c>
      <c r="J102" s="7">
        <f>IFERROR(VLOOKUP(I102,Materiales!$A:$H,8,0),"")</f>
        <v/>
      </c>
      <c r="K102" s="9">
        <f>IFERROR(VLOOKUP(I102,Materiales!$A:$G,7,0),"")</f>
        <v/>
      </c>
      <c r="L102" s="8" t="inlineStr">
        <is>
          <t>20220516</t>
        </is>
      </c>
      <c r="M102" s="8" t="inlineStr">
        <is>
          <t>20230413</t>
        </is>
      </c>
      <c r="N102" s="10" t="n">
        <v>45.45</v>
      </c>
      <c r="O102" s="10">
        <f>IFERROR(VLOOKUP(A102,Flete!$A:$J,10,0),"")</f>
        <v/>
      </c>
      <c r="P102" s="8" t="inlineStr">
        <is>
          <t>TN</t>
        </is>
      </c>
      <c r="Q102" s="10">
        <f>IFERROR(IFERROR(VLOOKUP(A102,TRAOPE!$A:$U,21,0),VLOOKUP(B102,TRAOPE!$A:$U,21,0)),"")</f>
        <v/>
      </c>
      <c r="R102" s="8">
        <f>IFERROR(IFERROR(VLOOKUP(A102,TRAOPE!$A:$W,23,0),VLOOKUP(B102,TRAOPE!$A:$W,23,0)),"")</f>
        <v/>
      </c>
      <c r="S102" s="10">
        <f>IF(AND(P102="TN",R102="TN"),N102+N(O102),IF(G102&amp;""="1",N(K102)*N102,(N102+N(O102))*N(K102)))</f>
        <v/>
      </c>
      <c r="T102" s="10">
        <f>IF(Q102="","",Q102-S102)</f>
        <v/>
      </c>
    </row>
    <row r="103">
      <c r="A103" s="7">
        <f>CONCATENATE(C103,E103,F103,I103)</f>
        <v/>
      </c>
      <c r="B103" s="7">
        <f>CONCATENATE(C103,E103,I103)</f>
        <v/>
      </c>
      <c r="C103" s="8" t="n">
        <v>900001445</v>
      </c>
      <c r="D103" s="7">
        <f>IFERROR(VLOOKUP(C103,TRAOPE!$G:$H,2,0),"")</f>
        <v/>
      </c>
      <c r="E103" s="8" t="inlineStr">
        <is>
          <t>DW68</t>
        </is>
      </c>
      <c r="F103" s="8" t="inlineStr">
        <is>
          <t>D247</t>
        </is>
      </c>
      <c r="G103" s="8">
        <f>IFERROR(VLOOKUP(A103,Flete!$A:$E,5,0),"")</f>
        <v/>
      </c>
      <c r="H103" s="7">
        <f>IFERROR(VLOOKUP(F103,TRAOPE!$AA:$AB,2,0),"")</f>
        <v/>
      </c>
      <c r="I103" s="7" t="n">
        <v>10000200</v>
      </c>
      <c r="J103" s="7">
        <f>IFERROR(VLOOKUP(I103,Materiales!$A:$H,8,0),"")</f>
        <v/>
      </c>
      <c r="K103" s="9">
        <f>IFERROR(VLOOKUP(I103,Materiales!$A:$G,7,0),"")</f>
        <v/>
      </c>
      <c r="L103" s="8" t="inlineStr">
        <is>
          <t>20220516</t>
        </is>
      </c>
      <c r="M103" s="8" t="inlineStr">
        <is>
          <t>20230413</t>
        </is>
      </c>
      <c r="N103" s="10" t="n">
        <v>84.75</v>
      </c>
      <c r="O103" s="10">
        <f>IFERROR(VLOOKUP(A103,Flete!$A:$J,10,0),"")</f>
        <v/>
      </c>
      <c r="P103" s="8" t="inlineStr">
        <is>
          <t>TN</t>
        </is>
      </c>
      <c r="Q103" s="10">
        <f>IFERROR(IFERROR(VLOOKUP(A103,TRAOPE!$A:$U,21,0),VLOOKUP(B103,TRAOPE!$A:$U,21,0)),"")</f>
        <v/>
      </c>
      <c r="R103" s="8">
        <f>IFERROR(IFERROR(VLOOKUP(A103,TRAOPE!$A:$W,23,0),VLOOKUP(B103,TRAOPE!$A:$W,23,0)),"")</f>
        <v/>
      </c>
      <c r="S103" s="10">
        <f>IF(AND(P103="TN",R103="TN"),N103+N(O103),IF(G103&amp;""="1",N(K103)*N103,(N103+N(O103))*N(K103)))</f>
        <v/>
      </c>
      <c r="T103" s="10">
        <f>IF(Q103="","",Q103-S103)</f>
        <v/>
      </c>
    </row>
    <row r="104">
      <c r="A104" s="7">
        <f>CONCATENATE(C104,E104,F104,I104)</f>
        <v/>
      </c>
      <c r="B104" s="7">
        <f>CONCATENATE(C104,E104,I104)</f>
        <v/>
      </c>
      <c r="C104" s="8" t="n">
        <v>900001445</v>
      </c>
      <c r="D104" s="7">
        <f>IFERROR(VLOOKUP(C104,TRAOPE!$G:$H,2,0),"")</f>
        <v/>
      </c>
      <c r="E104" s="8" t="inlineStr">
        <is>
          <t>DW68</t>
        </is>
      </c>
      <c r="F104" s="8" t="inlineStr">
        <is>
          <t>D247</t>
        </is>
      </c>
      <c r="G104" s="8">
        <f>IFERROR(VLOOKUP(A104,Flete!$A:$E,5,0),"")</f>
        <v/>
      </c>
      <c r="H104" s="7">
        <f>IFERROR(VLOOKUP(F104,TRAOPE!$AA:$AB,2,0),"")</f>
        <v/>
      </c>
      <c r="I104" s="7" t="n">
        <v>10018375</v>
      </c>
      <c r="J104" s="7">
        <f>IFERROR(VLOOKUP(I104,Materiales!$A:$H,8,0),"")</f>
        <v/>
      </c>
      <c r="K104" s="9">
        <f>IFERROR(VLOOKUP(I104,Materiales!$A:$G,7,0),"")</f>
        <v/>
      </c>
      <c r="L104" s="8" t="inlineStr">
        <is>
          <t>20220516</t>
        </is>
      </c>
      <c r="M104" s="8" t="inlineStr">
        <is>
          <t>20230413</t>
        </is>
      </c>
      <c r="N104" s="10" t="n">
        <v>45.45</v>
      </c>
      <c r="O104" s="10">
        <f>IFERROR(VLOOKUP(A104,Flete!$A:$J,10,0),"")</f>
        <v/>
      </c>
      <c r="P104" s="8" t="inlineStr">
        <is>
          <t>TN</t>
        </is>
      </c>
      <c r="Q104" s="10">
        <f>IFERROR(IFERROR(VLOOKUP(A104,TRAOPE!$A:$U,21,0),VLOOKUP(B104,TRAOPE!$A:$U,21,0)),"")</f>
        <v/>
      </c>
      <c r="R104" s="8">
        <f>IFERROR(IFERROR(VLOOKUP(A104,TRAOPE!$A:$W,23,0),VLOOKUP(B104,TRAOPE!$A:$W,23,0)),"")</f>
        <v/>
      </c>
      <c r="S104" s="10">
        <f>IF(AND(P104="TN",R104="TN"),N104+N(O104),IF(G104&amp;""="1",N(K104)*N104,(N104+N(O104))*N(K104)))</f>
        <v/>
      </c>
      <c r="T104" s="10">
        <f>IF(Q104="","",Q104-S104)</f>
        <v/>
      </c>
    </row>
    <row r="105">
      <c r="A105" s="7">
        <f>CONCATENATE(C105,E105,F105,I105)</f>
        <v/>
      </c>
      <c r="B105" s="7">
        <f>CONCATENATE(C105,E105,I105)</f>
        <v/>
      </c>
      <c r="C105" s="8" t="n">
        <v>900001445</v>
      </c>
      <c r="D105" s="7">
        <f>IFERROR(VLOOKUP(C105,TRAOPE!$G:$H,2,0),"")</f>
        <v/>
      </c>
      <c r="E105" s="8" t="inlineStr">
        <is>
          <t>DW68</t>
        </is>
      </c>
      <c r="F105" s="8" t="inlineStr">
        <is>
          <t>D264</t>
        </is>
      </c>
      <c r="G105" s="8">
        <f>IFERROR(VLOOKUP(A105,Flete!$A:$E,5,0),"")</f>
        <v/>
      </c>
      <c r="H105" s="7">
        <f>IFERROR(VLOOKUP(F105,TRAOPE!$AA:$AB,2,0),"")</f>
        <v/>
      </c>
      <c r="I105" s="7" t="n">
        <v>10000200</v>
      </c>
      <c r="J105" s="7">
        <f>IFERROR(VLOOKUP(I105,Materiales!$A:$H,8,0),"")</f>
        <v/>
      </c>
      <c r="K105" s="9">
        <f>IFERROR(VLOOKUP(I105,Materiales!$A:$G,7,0),"")</f>
        <v/>
      </c>
      <c r="L105" s="8" t="inlineStr">
        <is>
          <t>20220516</t>
        </is>
      </c>
      <c r="M105" s="8" t="inlineStr">
        <is>
          <t>20230413</t>
        </is>
      </c>
      <c r="N105" s="10" t="n">
        <v>84.75</v>
      </c>
      <c r="O105" s="10">
        <f>IFERROR(VLOOKUP(A105,Flete!$A:$J,10,0),"")</f>
        <v/>
      </c>
      <c r="P105" s="8" t="inlineStr">
        <is>
          <t>TN</t>
        </is>
      </c>
      <c r="Q105" s="10">
        <f>IFERROR(IFERROR(VLOOKUP(A105,TRAOPE!$A:$U,21,0),VLOOKUP(B105,TRAOPE!$A:$U,21,0)),"")</f>
        <v/>
      </c>
      <c r="R105" s="8">
        <f>IFERROR(IFERROR(VLOOKUP(A105,TRAOPE!$A:$W,23,0),VLOOKUP(B105,TRAOPE!$A:$W,23,0)),"")</f>
        <v/>
      </c>
      <c r="S105" s="10">
        <f>IF(AND(P105="TN",R105="TN"),N105+N(O105),IF(G105&amp;""="1",N(K105)*N105,(N105+N(O105))*N(K105)))</f>
        <v/>
      </c>
      <c r="T105" s="10">
        <f>IF(Q105="","",Q105-S105)</f>
        <v/>
      </c>
    </row>
    <row r="106">
      <c r="A106" s="7">
        <f>CONCATENATE(C106,E106,F106,I106)</f>
        <v/>
      </c>
      <c r="B106" s="7">
        <f>CONCATENATE(C106,E106,I106)</f>
        <v/>
      </c>
      <c r="C106" s="8" t="n">
        <v>900001445</v>
      </c>
      <c r="D106" s="7">
        <f>IFERROR(VLOOKUP(C106,TRAOPE!$G:$H,2,0),"")</f>
        <v/>
      </c>
      <c r="E106" s="8" t="inlineStr">
        <is>
          <t>DW68</t>
        </is>
      </c>
      <c r="F106" s="8" t="inlineStr">
        <is>
          <t>D264</t>
        </is>
      </c>
      <c r="G106" s="8">
        <f>IFERROR(VLOOKUP(A106,Flete!$A:$E,5,0),"")</f>
        <v/>
      </c>
      <c r="H106" s="7">
        <f>IFERROR(VLOOKUP(F106,TRAOPE!$AA:$AB,2,0),"")</f>
        <v/>
      </c>
      <c r="I106" s="7" t="n">
        <v>10018375</v>
      </c>
      <c r="J106" s="7">
        <f>IFERROR(VLOOKUP(I106,Materiales!$A:$H,8,0),"")</f>
        <v/>
      </c>
      <c r="K106" s="9">
        <f>IFERROR(VLOOKUP(I106,Materiales!$A:$G,7,0),"")</f>
        <v/>
      </c>
      <c r="L106" s="8" t="inlineStr">
        <is>
          <t>20220516</t>
        </is>
      </c>
      <c r="M106" s="8" t="inlineStr">
        <is>
          <t>20230413</t>
        </is>
      </c>
      <c r="N106" s="10" t="n">
        <v>45.45</v>
      </c>
      <c r="O106" s="10">
        <f>IFERROR(VLOOKUP(A106,Flete!$A:$J,10,0),"")</f>
        <v/>
      </c>
      <c r="P106" s="8" t="inlineStr">
        <is>
          <t>TN</t>
        </is>
      </c>
      <c r="Q106" s="10">
        <f>IFERROR(IFERROR(VLOOKUP(A106,TRAOPE!$A:$U,21,0),VLOOKUP(B106,TRAOPE!$A:$U,21,0)),"")</f>
        <v/>
      </c>
      <c r="R106" s="8">
        <f>IFERROR(IFERROR(VLOOKUP(A106,TRAOPE!$A:$W,23,0),VLOOKUP(B106,TRAOPE!$A:$W,23,0)),"")</f>
        <v/>
      </c>
      <c r="S106" s="10">
        <f>IF(AND(P106="TN",R106="TN"),N106+N(O106),IF(G106&amp;""="1",N(K106)*N106,(N106+N(O106))*N(K106)))</f>
        <v/>
      </c>
      <c r="T106" s="10">
        <f>IF(Q106="","",Q106-S106)</f>
        <v/>
      </c>
    </row>
    <row r="107">
      <c r="A107" s="7">
        <f>CONCATENATE(C107,E107,F107,I107)</f>
        <v/>
      </c>
      <c r="B107" s="7">
        <f>CONCATENATE(C107,E107,I107)</f>
        <v/>
      </c>
      <c r="C107" s="8" t="n">
        <v>900001445</v>
      </c>
      <c r="D107" s="7">
        <f>IFERROR(VLOOKUP(C107,TRAOPE!$G:$H,2,0),"")</f>
        <v/>
      </c>
      <c r="E107" s="8" t="inlineStr">
        <is>
          <t>DW68</t>
        </is>
      </c>
      <c r="F107" s="8" t="inlineStr">
        <is>
          <t>D267</t>
        </is>
      </c>
      <c r="G107" s="8">
        <f>IFERROR(VLOOKUP(A107,Flete!$A:$E,5,0),"")</f>
        <v/>
      </c>
      <c r="H107" s="7">
        <f>IFERROR(VLOOKUP(F107,TRAOPE!$AA:$AB,2,0),"")</f>
        <v/>
      </c>
      <c r="I107" s="7" t="n">
        <v>10000200</v>
      </c>
      <c r="J107" s="7">
        <f>IFERROR(VLOOKUP(I107,Materiales!$A:$H,8,0),"")</f>
        <v/>
      </c>
      <c r="K107" s="9">
        <f>IFERROR(VLOOKUP(I107,Materiales!$A:$G,7,0),"")</f>
        <v/>
      </c>
      <c r="L107" s="8" t="inlineStr">
        <is>
          <t>20220516</t>
        </is>
      </c>
      <c r="M107" s="8" t="inlineStr">
        <is>
          <t>20230413</t>
        </is>
      </c>
      <c r="N107" s="10" t="n">
        <v>84.75</v>
      </c>
      <c r="O107" s="10">
        <f>IFERROR(VLOOKUP(A107,Flete!$A:$J,10,0),"")</f>
        <v/>
      </c>
      <c r="P107" s="8" t="inlineStr">
        <is>
          <t>TN</t>
        </is>
      </c>
      <c r="Q107" s="10">
        <f>IFERROR(IFERROR(VLOOKUP(A107,TRAOPE!$A:$U,21,0),VLOOKUP(B107,TRAOPE!$A:$U,21,0)),"")</f>
        <v/>
      </c>
      <c r="R107" s="8">
        <f>IFERROR(IFERROR(VLOOKUP(A107,TRAOPE!$A:$W,23,0),VLOOKUP(B107,TRAOPE!$A:$W,23,0)),"")</f>
        <v/>
      </c>
      <c r="S107" s="10">
        <f>IF(AND(P107="TN",R107="TN"),N107+N(O107),IF(G107&amp;""="1",N(K107)*N107,(N107+N(O107))*N(K107)))</f>
        <v/>
      </c>
      <c r="T107" s="10">
        <f>IF(Q107="","",Q107-S107)</f>
        <v/>
      </c>
    </row>
    <row r="108">
      <c r="A108" s="7">
        <f>CONCATENATE(C108,E108,F108,I108)</f>
        <v/>
      </c>
      <c r="B108" s="7">
        <f>CONCATENATE(C108,E108,I108)</f>
        <v/>
      </c>
      <c r="C108" s="8" t="n">
        <v>900001445</v>
      </c>
      <c r="D108" s="7">
        <f>IFERROR(VLOOKUP(C108,TRAOPE!$G:$H,2,0),"")</f>
        <v/>
      </c>
      <c r="E108" s="8" t="inlineStr">
        <is>
          <t>DW68</t>
        </is>
      </c>
      <c r="F108" s="8" t="inlineStr">
        <is>
          <t>D267</t>
        </is>
      </c>
      <c r="G108" s="8">
        <f>IFERROR(VLOOKUP(A108,Flete!$A:$E,5,0),"")</f>
        <v/>
      </c>
      <c r="H108" s="7">
        <f>IFERROR(VLOOKUP(F108,TRAOPE!$AA:$AB,2,0),"")</f>
        <v/>
      </c>
      <c r="I108" s="7" t="n">
        <v>10018375</v>
      </c>
      <c r="J108" s="7">
        <f>IFERROR(VLOOKUP(I108,Materiales!$A:$H,8,0),"")</f>
        <v/>
      </c>
      <c r="K108" s="9">
        <f>IFERROR(VLOOKUP(I108,Materiales!$A:$G,7,0),"")</f>
        <v/>
      </c>
      <c r="L108" s="8" t="inlineStr">
        <is>
          <t>20220516</t>
        </is>
      </c>
      <c r="M108" s="8" t="inlineStr">
        <is>
          <t>20230413</t>
        </is>
      </c>
      <c r="N108" s="10" t="n">
        <v>45.45</v>
      </c>
      <c r="O108" s="10">
        <f>IFERROR(VLOOKUP(A108,Flete!$A:$J,10,0),"")</f>
        <v/>
      </c>
      <c r="P108" s="8" t="inlineStr">
        <is>
          <t>TN</t>
        </is>
      </c>
      <c r="Q108" s="10">
        <f>IFERROR(IFERROR(VLOOKUP(A108,TRAOPE!$A:$U,21,0),VLOOKUP(B108,TRAOPE!$A:$U,21,0)),"")</f>
        <v/>
      </c>
      <c r="R108" s="8">
        <f>IFERROR(IFERROR(VLOOKUP(A108,TRAOPE!$A:$W,23,0),VLOOKUP(B108,TRAOPE!$A:$W,23,0)),"")</f>
        <v/>
      </c>
      <c r="S108" s="10">
        <f>IF(AND(P108="TN",R108="TN"),N108+N(O108),IF(G108&amp;""="1",N(K108)*N108,(N108+N(O108))*N(K108)))</f>
        <v/>
      </c>
      <c r="T108" s="10">
        <f>IF(Q108="","",Q108-S108)</f>
        <v/>
      </c>
    </row>
    <row r="109">
      <c r="A109" s="7">
        <f>CONCATENATE(C109,E109,F109,I109)</f>
        <v/>
      </c>
      <c r="B109" s="7">
        <f>CONCATENATE(C109,E109,I109)</f>
        <v/>
      </c>
      <c r="C109" s="8" t="n">
        <v>900002068</v>
      </c>
      <c r="D109" s="7">
        <f>IFERROR(VLOOKUP(C109,TRAOPE!$G:$H,2,0),"")</f>
        <v/>
      </c>
      <c r="E109" s="8" t="inlineStr">
        <is>
          <t>DW68</t>
        </is>
      </c>
      <c r="F109" s="8" t="inlineStr">
        <is>
          <t>D042</t>
        </is>
      </c>
      <c r="G109" s="8">
        <f>IFERROR(VLOOKUP(A109,Flete!$A:$E,5,0),"")</f>
        <v/>
      </c>
      <c r="H109" s="7">
        <f>IFERROR(VLOOKUP(F109,TRAOPE!$AA:$AB,2,0),"")</f>
        <v/>
      </c>
      <c r="I109" s="7" t="n">
        <v>10000835</v>
      </c>
      <c r="J109" s="7">
        <f>IFERROR(VLOOKUP(I109,Materiales!$A:$H,8,0),"")</f>
        <v/>
      </c>
      <c r="K109" s="9">
        <f>IFERROR(VLOOKUP(I109,Materiales!$A:$G,7,0),"")</f>
        <v/>
      </c>
      <c r="L109" s="8" t="inlineStr">
        <is>
          <t>20250701</t>
        </is>
      </c>
      <c r="M109" s="8" t="inlineStr">
        <is>
          <t>99991231</t>
        </is>
      </c>
      <c r="N109" s="10" t="n">
        <v>69.84</v>
      </c>
      <c r="O109" s="10">
        <f>IFERROR(VLOOKUP(A109,Flete!$A:$J,10,0),"")</f>
        <v/>
      </c>
      <c r="P109" s="8" t="inlineStr">
        <is>
          <t>TN</t>
        </is>
      </c>
      <c r="Q109" s="10">
        <f>IFERROR(IFERROR(VLOOKUP(A109,TRAOPE!$A:$U,21,0),VLOOKUP(B109,TRAOPE!$A:$U,21,0)),"")</f>
        <v/>
      </c>
      <c r="R109" s="8">
        <f>IFERROR(IFERROR(VLOOKUP(A109,TRAOPE!$A:$W,23,0),VLOOKUP(B109,TRAOPE!$A:$W,23,0)),"")</f>
        <v/>
      </c>
      <c r="S109" s="10">
        <f>IF(AND(P109="TN",R109="TN"),N109+N(O109),IF(G109&amp;""="1",N(K109)*N109,(N109+N(O109))*N(K109)))</f>
        <v/>
      </c>
      <c r="T109" s="10">
        <f>IF(Q109="","",Q109-S109)</f>
        <v/>
      </c>
    </row>
    <row r="110">
      <c r="A110" s="7">
        <f>CONCATENATE(C110,E110,F110,I110)</f>
        <v/>
      </c>
      <c r="B110" s="7">
        <f>CONCATENATE(C110,E110,I110)</f>
        <v/>
      </c>
      <c r="C110" s="8" t="n">
        <v>900002068</v>
      </c>
      <c r="D110" s="7">
        <f>IFERROR(VLOOKUP(C110,TRAOPE!$G:$H,2,0),"")</f>
        <v/>
      </c>
      <c r="E110" s="8" t="inlineStr">
        <is>
          <t>DW68</t>
        </is>
      </c>
      <c r="F110" s="8" t="inlineStr">
        <is>
          <t>D209</t>
        </is>
      </c>
      <c r="G110" s="8">
        <f>IFERROR(VLOOKUP(A110,Flete!$A:$E,5,0),"")</f>
        <v/>
      </c>
      <c r="H110" s="7">
        <f>IFERROR(VLOOKUP(F110,TRAOPE!$AA:$AB,2,0),"")</f>
        <v/>
      </c>
      <c r="I110" s="7" t="n">
        <v>10000835</v>
      </c>
      <c r="J110" s="7">
        <f>IFERROR(VLOOKUP(I110,Materiales!$A:$H,8,0),"")</f>
        <v/>
      </c>
      <c r="K110" s="9">
        <f>IFERROR(VLOOKUP(I110,Materiales!$A:$G,7,0),"")</f>
        <v/>
      </c>
      <c r="L110" s="8" t="inlineStr">
        <is>
          <t>20250701</t>
        </is>
      </c>
      <c r="M110" s="8" t="inlineStr">
        <is>
          <t>99991231</t>
        </is>
      </c>
      <c r="N110" s="10" t="n">
        <v>69.84</v>
      </c>
      <c r="O110" s="10">
        <f>IFERROR(VLOOKUP(A110,Flete!$A:$J,10,0),"")</f>
        <v/>
      </c>
      <c r="P110" s="8" t="inlineStr">
        <is>
          <t>TN</t>
        </is>
      </c>
      <c r="Q110" s="10">
        <f>IFERROR(IFERROR(VLOOKUP(A110,TRAOPE!$A:$U,21,0),VLOOKUP(B110,TRAOPE!$A:$U,21,0)),"")</f>
        <v/>
      </c>
      <c r="R110" s="8">
        <f>IFERROR(IFERROR(VLOOKUP(A110,TRAOPE!$A:$W,23,0),VLOOKUP(B110,TRAOPE!$A:$W,23,0)),"")</f>
        <v/>
      </c>
      <c r="S110" s="10">
        <f>IF(AND(P110="TN",R110="TN"),N110+N(O110),IF(G110&amp;""="1",N(K110)*N110,(N110+N(O110))*N(K110)))</f>
        <v/>
      </c>
      <c r="T110" s="10">
        <f>IF(Q110="","",Q110-S110)</f>
        <v/>
      </c>
    </row>
    <row r="111">
      <c r="A111" s="7">
        <f>CONCATENATE(C111,E111,F111,I111)</f>
        <v/>
      </c>
      <c r="B111" s="7">
        <f>CONCATENATE(C111,E111,I111)</f>
        <v/>
      </c>
      <c r="C111" s="8" t="n">
        <v>900002068</v>
      </c>
      <c r="D111" s="7">
        <f>IFERROR(VLOOKUP(C111,TRAOPE!$G:$H,2,0),"")</f>
        <v/>
      </c>
      <c r="E111" s="8" t="inlineStr">
        <is>
          <t>DW68</t>
        </is>
      </c>
      <c r="F111" s="8" t="inlineStr">
        <is>
          <t>D209</t>
        </is>
      </c>
      <c r="G111" s="8">
        <f>IFERROR(VLOOKUP(A111,Flete!$A:$E,5,0),"")</f>
        <v/>
      </c>
      <c r="H111" s="7">
        <f>IFERROR(VLOOKUP(F111,TRAOPE!$AA:$AB,2,0),"")</f>
        <v/>
      </c>
      <c r="I111" s="7" t="n">
        <v>10018375</v>
      </c>
      <c r="J111" s="7">
        <f>IFERROR(VLOOKUP(I111,Materiales!$A:$H,8,0),"")</f>
        <v/>
      </c>
      <c r="K111" s="9">
        <f>IFERROR(VLOOKUP(I111,Materiales!$A:$G,7,0),"")</f>
        <v/>
      </c>
      <c r="L111" s="8" t="inlineStr">
        <is>
          <t>20210620</t>
        </is>
      </c>
      <c r="M111" s="8" t="inlineStr">
        <is>
          <t>20251031</t>
        </is>
      </c>
      <c r="N111" s="10" t="n">
        <v>51.99</v>
      </c>
      <c r="O111" s="10">
        <f>IFERROR(VLOOKUP(A111,Flete!$A:$J,10,0),"")</f>
        <v/>
      </c>
      <c r="P111" s="8" t="inlineStr">
        <is>
          <t>TN</t>
        </is>
      </c>
      <c r="Q111" s="10">
        <f>IFERROR(IFERROR(VLOOKUP(A111,TRAOPE!$A:$U,21,0),VLOOKUP(B111,TRAOPE!$A:$U,21,0)),"")</f>
        <v/>
      </c>
      <c r="R111" s="8">
        <f>IFERROR(IFERROR(VLOOKUP(A111,TRAOPE!$A:$W,23,0),VLOOKUP(B111,TRAOPE!$A:$W,23,0)),"")</f>
        <v/>
      </c>
      <c r="S111" s="10">
        <f>IF(AND(P111="TN",R111="TN"),N111+N(O111),IF(G111&amp;""="1",N(K111)*N111,(N111+N(O111))*N(K111)))</f>
        <v/>
      </c>
      <c r="T111" s="10">
        <f>IF(Q111="","",Q111-S111)</f>
        <v/>
      </c>
    </row>
    <row r="112">
      <c r="A112" s="7">
        <f>CONCATENATE(C112,E112,F112,I112)</f>
        <v/>
      </c>
      <c r="B112" s="7">
        <f>CONCATENATE(C112,E112,I112)</f>
        <v/>
      </c>
      <c r="C112" s="8" t="n">
        <v>900002068</v>
      </c>
      <c r="D112" s="7">
        <f>IFERROR(VLOOKUP(C112,TRAOPE!$G:$H,2,0),"")</f>
        <v/>
      </c>
      <c r="E112" s="8" t="inlineStr">
        <is>
          <t>DW68</t>
        </is>
      </c>
      <c r="F112" s="8" t="inlineStr">
        <is>
          <t>D211</t>
        </is>
      </c>
      <c r="G112" s="8">
        <f>IFERROR(VLOOKUP(A112,Flete!$A:$E,5,0),"")</f>
        <v/>
      </c>
      <c r="H112" s="7">
        <f>IFERROR(VLOOKUP(F112,TRAOPE!$AA:$AB,2,0),"")</f>
        <v/>
      </c>
      <c r="I112" s="7" t="n">
        <v>10000835</v>
      </c>
      <c r="J112" s="7">
        <f>IFERROR(VLOOKUP(I112,Materiales!$A:$H,8,0),"")</f>
        <v/>
      </c>
      <c r="K112" s="9">
        <f>IFERROR(VLOOKUP(I112,Materiales!$A:$G,7,0),"")</f>
        <v/>
      </c>
      <c r="L112" s="8" t="inlineStr">
        <is>
          <t>20250701</t>
        </is>
      </c>
      <c r="M112" s="8" t="inlineStr">
        <is>
          <t>99991231</t>
        </is>
      </c>
      <c r="N112" s="10" t="n">
        <v>69.84</v>
      </c>
      <c r="O112" s="10">
        <f>IFERROR(VLOOKUP(A112,Flete!$A:$J,10,0),"")</f>
        <v/>
      </c>
      <c r="P112" s="8" t="inlineStr">
        <is>
          <t>TN</t>
        </is>
      </c>
      <c r="Q112" s="10">
        <f>IFERROR(IFERROR(VLOOKUP(A112,TRAOPE!$A:$U,21,0),VLOOKUP(B112,TRAOPE!$A:$U,21,0)),"")</f>
        <v/>
      </c>
      <c r="R112" s="8">
        <f>IFERROR(IFERROR(VLOOKUP(A112,TRAOPE!$A:$W,23,0),VLOOKUP(B112,TRAOPE!$A:$W,23,0)),"")</f>
        <v/>
      </c>
      <c r="S112" s="10">
        <f>IF(AND(P112="TN",R112="TN"),N112+N(O112),IF(G112&amp;""="1",N(K112)*N112,(N112+N(O112))*N(K112)))</f>
        <v/>
      </c>
      <c r="T112" s="10">
        <f>IF(Q112="","",Q112-S112)</f>
        <v/>
      </c>
    </row>
    <row r="113">
      <c r="A113" s="7">
        <f>CONCATENATE(C113,E113,F113,I113)</f>
        <v/>
      </c>
      <c r="B113" s="7">
        <f>CONCATENATE(C113,E113,I113)</f>
        <v/>
      </c>
      <c r="C113" s="8" t="n">
        <v>900002068</v>
      </c>
      <c r="D113" s="7">
        <f>IFERROR(VLOOKUP(C113,TRAOPE!$G:$H,2,0),"")</f>
        <v/>
      </c>
      <c r="E113" s="8" t="inlineStr">
        <is>
          <t>DW68</t>
        </is>
      </c>
      <c r="F113" s="8" t="inlineStr">
        <is>
          <t>D211</t>
        </is>
      </c>
      <c r="G113" s="8">
        <f>IFERROR(VLOOKUP(A113,Flete!$A:$E,5,0),"")</f>
        <v/>
      </c>
      <c r="H113" s="7">
        <f>IFERROR(VLOOKUP(F113,TRAOPE!$AA:$AB,2,0),"")</f>
        <v/>
      </c>
      <c r="I113" s="7" t="n">
        <v>10018375</v>
      </c>
      <c r="J113" s="7">
        <f>IFERROR(VLOOKUP(I113,Materiales!$A:$H,8,0),"")</f>
        <v/>
      </c>
      <c r="K113" s="9">
        <f>IFERROR(VLOOKUP(I113,Materiales!$A:$G,7,0),"")</f>
        <v/>
      </c>
      <c r="L113" s="8" t="inlineStr">
        <is>
          <t>20210620</t>
        </is>
      </c>
      <c r="M113" s="8" t="inlineStr">
        <is>
          <t>20251031</t>
        </is>
      </c>
      <c r="N113" s="10" t="n">
        <v>51.95</v>
      </c>
      <c r="O113" s="10">
        <f>IFERROR(VLOOKUP(A113,Flete!$A:$J,10,0),"")</f>
        <v/>
      </c>
      <c r="P113" s="8" t="inlineStr">
        <is>
          <t>TN</t>
        </is>
      </c>
      <c r="Q113" s="10">
        <f>IFERROR(IFERROR(VLOOKUP(A113,TRAOPE!$A:$U,21,0),VLOOKUP(B113,TRAOPE!$A:$U,21,0)),"")</f>
        <v/>
      </c>
      <c r="R113" s="8">
        <f>IFERROR(IFERROR(VLOOKUP(A113,TRAOPE!$A:$W,23,0),VLOOKUP(B113,TRAOPE!$A:$W,23,0)),"")</f>
        <v/>
      </c>
      <c r="S113" s="10">
        <f>IF(AND(P113="TN",R113="TN"),N113+N(O113),IF(G113&amp;""="1",N(K113)*N113,(N113+N(O113))*N(K113)))</f>
        <v/>
      </c>
      <c r="T113" s="10">
        <f>IF(Q113="","",Q113-S113)</f>
        <v/>
      </c>
    </row>
    <row r="114">
      <c r="A114" s="7">
        <f>CONCATENATE(C114,E114,F114,I114)</f>
        <v/>
      </c>
      <c r="B114" s="7">
        <f>CONCATENATE(C114,E114,I114)</f>
        <v/>
      </c>
      <c r="C114" s="8" t="n">
        <v>900002068</v>
      </c>
      <c r="D114" s="7">
        <f>IFERROR(VLOOKUP(C114,TRAOPE!$G:$H,2,0),"")</f>
        <v/>
      </c>
      <c r="E114" s="8" t="inlineStr">
        <is>
          <t>DW68</t>
        </is>
      </c>
      <c r="F114" s="8" t="inlineStr">
        <is>
          <t>D213</t>
        </is>
      </c>
      <c r="G114" s="8">
        <f>IFERROR(VLOOKUP(A114,Flete!$A:$E,5,0),"")</f>
        <v/>
      </c>
      <c r="H114" s="7">
        <f>IFERROR(VLOOKUP(F114,TRAOPE!$AA:$AB,2,0),"")</f>
        <v/>
      </c>
      <c r="I114" s="7" t="n">
        <v>10000835</v>
      </c>
      <c r="J114" s="7">
        <f>IFERROR(VLOOKUP(I114,Materiales!$A:$H,8,0),"")</f>
        <v/>
      </c>
      <c r="K114" s="9">
        <f>IFERROR(VLOOKUP(I114,Materiales!$A:$G,7,0),"")</f>
        <v/>
      </c>
      <c r="L114" s="8" t="inlineStr">
        <is>
          <t>20250701</t>
        </is>
      </c>
      <c r="M114" s="8" t="inlineStr">
        <is>
          <t>99991231</t>
        </is>
      </c>
      <c r="N114" s="10" t="n">
        <v>69.84</v>
      </c>
      <c r="O114" s="10">
        <f>IFERROR(VLOOKUP(A114,Flete!$A:$J,10,0),"")</f>
        <v/>
      </c>
      <c r="P114" s="8" t="inlineStr">
        <is>
          <t>TN</t>
        </is>
      </c>
      <c r="Q114" s="10">
        <f>IFERROR(IFERROR(VLOOKUP(A114,TRAOPE!$A:$U,21,0),VLOOKUP(B114,TRAOPE!$A:$U,21,0)),"")</f>
        <v/>
      </c>
      <c r="R114" s="8">
        <f>IFERROR(IFERROR(VLOOKUP(A114,TRAOPE!$A:$W,23,0),VLOOKUP(B114,TRAOPE!$A:$W,23,0)),"")</f>
        <v/>
      </c>
      <c r="S114" s="10">
        <f>IF(AND(P114="TN",R114="TN"),N114+N(O114),IF(G114&amp;""="1",N(K114)*N114,(N114+N(O114))*N(K114)))</f>
        <v/>
      </c>
      <c r="T114" s="10">
        <f>IF(Q114="","",Q114-S114)</f>
        <v/>
      </c>
    </row>
    <row r="115">
      <c r="A115" s="7">
        <f>CONCATENATE(C115,E115,F115,I115)</f>
        <v/>
      </c>
      <c r="B115" s="7">
        <f>CONCATENATE(C115,E115,I115)</f>
        <v/>
      </c>
      <c r="C115" s="8" t="n">
        <v>900002068</v>
      </c>
      <c r="D115" s="7">
        <f>IFERROR(VLOOKUP(C115,TRAOPE!$G:$H,2,0),"")</f>
        <v/>
      </c>
      <c r="E115" s="8" t="inlineStr">
        <is>
          <t>DW68</t>
        </is>
      </c>
      <c r="F115" s="8" t="inlineStr">
        <is>
          <t>D213</t>
        </is>
      </c>
      <c r="G115" s="8">
        <f>IFERROR(VLOOKUP(A115,Flete!$A:$E,5,0),"")</f>
        <v/>
      </c>
      <c r="H115" s="7">
        <f>IFERROR(VLOOKUP(F115,TRAOPE!$AA:$AB,2,0),"")</f>
        <v/>
      </c>
      <c r="I115" s="7" t="n">
        <v>10018375</v>
      </c>
      <c r="J115" s="7">
        <f>IFERROR(VLOOKUP(I115,Materiales!$A:$H,8,0),"")</f>
        <v/>
      </c>
      <c r="K115" s="9">
        <f>IFERROR(VLOOKUP(I115,Materiales!$A:$G,7,0),"")</f>
        <v/>
      </c>
      <c r="L115" s="8" t="inlineStr">
        <is>
          <t>20210620</t>
        </is>
      </c>
      <c r="M115" s="8" t="inlineStr">
        <is>
          <t>20251031</t>
        </is>
      </c>
      <c r="N115" s="10" t="n">
        <v>75.09999999999999</v>
      </c>
      <c r="O115" s="10">
        <f>IFERROR(VLOOKUP(A115,Flete!$A:$J,10,0),"")</f>
        <v/>
      </c>
      <c r="P115" s="8" t="inlineStr">
        <is>
          <t>TN</t>
        </is>
      </c>
      <c r="Q115" s="10">
        <f>IFERROR(IFERROR(VLOOKUP(A115,TRAOPE!$A:$U,21,0),VLOOKUP(B115,TRAOPE!$A:$U,21,0)),"")</f>
        <v/>
      </c>
      <c r="R115" s="8">
        <f>IFERROR(IFERROR(VLOOKUP(A115,TRAOPE!$A:$W,23,0),VLOOKUP(B115,TRAOPE!$A:$W,23,0)),"")</f>
        <v/>
      </c>
      <c r="S115" s="10">
        <f>IF(AND(P115="TN",R115="TN"),N115+N(O115),IF(G115&amp;""="1",N(K115)*N115,(N115+N(O115))*N(K115)))</f>
        <v/>
      </c>
      <c r="T115" s="10">
        <f>IF(Q115="","",Q115-S115)</f>
        <v/>
      </c>
    </row>
    <row r="116">
      <c r="A116" s="7">
        <f>CONCATENATE(C116,E116,F116,I116)</f>
        <v/>
      </c>
      <c r="B116" s="7">
        <f>CONCATENATE(C116,E116,I116)</f>
        <v/>
      </c>
      <c r="C116" s="8" t="n">
        <v>900002068</v>
      </c>
      <c r="D116" s="7">
        <f>IFERROR(VLOOKUP(C116,TRAOPE!$G:$H,2,0),"")</f>
        <v/>
      </c>
      <c r="E116" s="8" t="inlineStr">
        <is>
          <t>DW68</t>
        </is>
      </c>
      <c r="F116" s="8" t="inlineStr">
        <is>
          <t>D214</t>
        </is>
      </c>
      <c r="G116" s="8">
        <f>IFERROR(VLOOKUP(A116,Flete!$A:$E,5,0),"")</f>
        <v/>
      </c>
      <c r="H116" s="7">
        <f>IFERROR(VLOOKUP(F116,TRAOPE!$AA:$AB,2,0),"")</f>
        <v/>
      </c>
      <c r="I116" s="7" t="n">
        <v>10000835</v>
      </c>
      <c r="J116" s="7">
        <f>IFERROR(VLOOKUP(I116,Materiales!$A:$H,8,0),"")</f>
        <v/>
      </c>
      <c r="K116" s="9">
        <f>IFERROR(VLOOKUP(I116,Materiales!$A:$G,7,0),"")</f>
        <v/>
      </c>
      <c r="L116" s="8" t="inlineStr">
        <is>
          <t>20230202</t>
        </is>
      </c>
      <c r="M116" s="8" t="inlineStr">
        <is>
          <t>99991231</t>
        </is>
      </c>
      <c r="N116" s="10" t="n">
        <v>55.93</v>
      </c>
      <c r="O116" s="10">
        <f>IFERROR(VLOOKUP(A116,Flete!$A:$J,10,0),"")</f>
        <v/>
      </c>
      <c r="P116" s="8" t="inlineStr">
        <is>
          <t>TN</t>
        </is>
      </c>
      <c r="Q116" s="10">
        <f>IFERROR(IFERROR(VLOOKUP(A116,TRAOPE!$A:$U,21,0),VLOOKUP(B116,TRAOPE!$A:$U,21,0)),"")</f>
        <v/>
      </c>
      <c r="R116" s="8">
        <f>IFERROR(IFERROR(VLOOKUP(A116,TRAOPE!$A:$W,23,0),VLOOKUP(B116,TRAOPE!$A:$W,23,0)),"")</f>
        <v/>
      </c>
      <c r="S116" s="10">
        <f>IF(AND(P116="TN",R116="TN"),N116+N(O116),IF(G116&amp;""="1",N(K116)*N116,(N116+N(O116))*N(K116)))</f>
        <v/>
      </c>
      <c r="T116" s="10">
        <f>IF(Q116="","",Q116-S116)</f>
        <v/>
      </c>
    </row>
    <row r="117">
      <c r="A117" s="7">
        <f>CONCATENATE(C117,E117,F117,I117)</f>
        <v/>
      </c>
      <c r="B117" s="7">
        <f>CONCATENATE(C117,E117,I117)</f>
        <v/>
      </c>
      <c r="C117" s="8" t="n">
        <v>900002068</v>
      </c>
      <c r="D117" s="7">
        <f>IFERROR(VLOOKUP(C117,TRAOPE!$G:$H,2,0),"")</f>
        <v/>
      </c>
      <c r="E117" s="8" t="inlineStr">
        <is>
          <t>DW68</t>
        </is>
      </c>
      <c r="F117" s="8" t="inlineStr">
        <is>
          <t>D214</t>
        </is>
      </c>
      <c r="G117" s="8">
        <f>IFERROR(VLOOKUP(A117,Flete!$A:$E,5,0),"")</f>
        <v/>
      </c>
      <c r="H117" s="7">
        <f>IFERROR(VLOOKUP(F117,TRAOPE!$AA:$AB,2,0),"")</f>
        <v/>
      </c>
      <c r="I117" s="7" t="n">
        <v>10018375</v>
      </c>
      <c r="J117" s="7">
        <f>IFERROR(VLOOKUP(I117,Materiales!$A:$H,8,0),"")</f>
        <v/>
      </c>
      <c r="K117" s="9">
        <f>IFERROR(VLOOKUP(I117,Materiales!$A:$G,7,0),"")</f>
        <v/>
      </c>
      <c r="L117" s="8" t="inlineStr">
        <is>
          <t>20210620</t>
        </is>
      </c>
      <c r="M117" s="8" t="inlineStr">
        <is>
          <t>20251031</t>
        </is>
      </c>
      <c r="N117" s="10" t="n">
        <v>52.18</v>
      </c>
      <c r="O117" s="10">
        <f>IFERROR(VLOOKUP(A117,Flete!$A:$J,10,0),"")</f>
        <v/>
      </c>
      <c r="P117" s="8" t="inlineStr">
        <is>
          <t>TN</t>
        </is>
      </c>
      <c r="Q117" s="10">
        <f>IFERROR(IFERROR(VLOOKUP(A117,TRAOPE!$A:$U,21,0),VLOOKUP(B117,TRAOPE!$A:$U,21,0)),"")</f>
        <v/>
      </c>
      <c r="R117" s="8">
        <f>IFERROR(IFERROR(VLOOKUP(A117,TRAOPE!$A:$W,23,0),VLOOKUP(B117,TRAOPE!$A:$W,23,0)),"")</f>
        <v/>
      </c>
      <c r="S117" s="10">
        <f>IF(AND(P117="TN",R117="TN"),N117+N(O117),IF(G117&amp;""="1",N(K117)*N117,(N117+N(O117))*N(K117)))</f>
        <v/>
      </c>
      <c r="T117" s="10">
        <f>IF(Q117="","",Q117-S117)</f>
        <v/>
      </c>
    </row>
    <row r="118">
      <c r="A118" s="7">
        <f>CONCATENATE(C118,E118,F118,I118)</f>
        <v/>
      </c>
      <c r="B118" s="7">
        <f>CONCATENATE(C118,E118,I118)</f>
        <v/>
      </c>
      <c r="C118" s="8" t="n">
        <v>900002068</v>
      </c>
      <c r="D118" s="7">
        <f>IFERROR(VLOOKUP(C118,TRAOPE!$G:$H,2,0),"")</f>
        <v/>
      </c>
      <c r="E118" s="8" t="inlineStr">
        <is>
          <t>DW68</t>
        </is>
      </c>
      <c r="F118" s="8" t="inlineStr">
        <is>
          <t>D220</t>
        </is>
      </c>
      <c r="G118" s="8">
        <f>IFERROR(VLOOKUP(A118,Flete!$A:$E,5,0),"")</f>
        <v/>
      </c>
      <c r="H118" s="7">
        <f>IFERROR(VLOOKUP(F118,TRAOPE!$AA:$AB,2,0),"")</f>
        <v/>
      </c>
      <c r="I118" s="7" t="n">
        <v>10000835</v>
      </c>
      <c r="J118" s="7">
        <f>IFERROR(VLOOKUP(I118,Materiales!$A:$H,8,0),"")</f>
        <v/>
      </c>
      <c r="K118" s="9">
        <f>IFERROR(VLOOKUP(I118,Materiales!$A:$G,7,0),"")</f>
        <v/>
      </c>
      <c r="L118" s="8" t="inlineStr">
        <is>
          <t>20250701</t>
        </is>
      </c>
      <c r="M118" s="8" t="inlineStr">
        <is>
          <t>99991231</t>
        </is>
      </c>
      <c r="N118" s="10" t="n">
        <v>69.84</v>
      </c>
      <c r="O118" s="10">
        <f>IFERROR(VLOOKUP(A118,Flete!$A:$J,10,0),"")</f>
        <v/>
      </c>
      <c r="P118" s="8" t="inlineStr">
        <is>
          <t>TN</t>
        </is>
      </c>
      <c r="Q118" s="10">
        <f>IFERROR(IFERROR(VLOOKUP(A118,TRAOPE!$A:$U,21,0),VLOOKUP(B118,TRAOPE!$A:$U,21,0)),"")</f>
        <v/>
      </c>
      <c r="R118" s="8">
        <f>IFERROR(IFERROR(VLOOKUP(A118,TRAOPE!$A:$W,23,0),VLOOKUP(B118,TRAOPE!$A:$W,23,0)),"")</f>
        <v/>
      </c>
      <c r="S118" s="10">
        <f>IF(AND(P118="TN",R118="TN"),N118+N(O118),IF(G118&amp;""="1",N(K118)*N118,(N118+N(O118))*N(K118)))</f>
        <v/>
      </c>
      <c r="T118" s="10">
        <f>IF(Q118="","",Q118-S118)</f>
        <v/>
      </c>
    </row>
    <row r="119">
      <c r="A119" s="7">
        <f>CONCATENATE(C119,E119,F119,I119)</f>
        <v/>
      </c>
      <c r="B119" s="7">
        <f>CONCATENATE(C119,E119,I119)</f>
        <v/>
      </c>
      <c r="C119" s="8" t="n">
        <v>900002068</v>
      </c>
      <c r="D119" s="7">
        <f>IFERROR(VLOOKUP(C119,TRAOPE!$G:$H,2,0),"")</f>
        <v/>
      </c>
      <c r="E119" s="8" t="inlineStr">
        <is>
          <t>DW68</t>
        </is>
      </c>
      <c r="F119" s="8" t="inlineStr">
        <is>
          <t>D220</t>
        </is>
      </c>
      <c r="G119" s="8">
        <f>IFERROR(VLOOKUP(A119,Flete!$A:$E,5,0),"")</f>
        <v/>
      </c>
      <c r="H119" s="7">
        <f>IFERROR(VLOOKUP(F119,TRAOPE!$AA:$AB,2,0),"")</f>
        <v/>
      </c>
      <c r="I119" s="7" t="n">
        <v>10018375</v>
      </c>
      <c r="J119" s="7">
        <f>IFERROR(VLOOKUP(I119,Materiales!$A:$H,8,0),"")</f>
        <v/>
      </c>
      <c r="K119" s="9">
        <f>IFERROR(VLOOKUP(I119,Materiales!$A:$G,7,0),"")</f>
        <v/>
      </c>
      <c r="L119" s="8" t="inlineStr">
        <is>
          <t>20210620</t>
        </is>
      </c>
      <c r="M119" s="8" t="inlineStr">
        <is>
          <t>20251031</t>
        </is>
      </c>
      <c r="N119" s="10" t="n">
        <v>75.09999999999999</v>
      </c>
      <c r="O119" s="10">
        <f>IFERROR(VLOOKUP(A119,Flete!$A:$J,10,0),"")</f>
        <v/>
      </c>
      <c r="P119" s="8" t="inlineStr">
        <is>
          <t>TN</t>
        </is>
      </c>
      <c r="Q119" s="10">
        <f>IFERROR(IFERROR(VLOOKUP(A119,TRAOPE!$A:$U,21,0),VLOOKUP(B119,TRAOPE!$A:$U,21,0)),"")</f>
        <v/>
      </c>
      <c r="R119" s="8">
        <f>IFERROR(IFERROR(VLOOKUP(A119,TRAOPE!$A:$W,23,0),VLOOKUP(B119,TRAOPE!$A:$W,23,0)),"")</f>
        <v/>
      </c>
      <c r="S119" s="10">
        <f>IF(AND(P119="TN",R119="TN"),N119+N(O119),IF(G119&amp;""="1",N(K119)*N119,(N119+N(O119))*N(K119)))</f>
        <v/>
      </c>
      <c r="T119" s="10">
        <f>IF(Q119="","",Q119-S119)</f>
        <v/>
      </c>
    </row>
    <row r="120">
      <c r="A120" s="7">
        <f>CONCATENATE(C120,E120,F120,I120)</f>
        <v/>
      </c>
      <c r="B120" s="7">
        <f>CONCATENATE(C120,E120,I120)</f>
        <v/>
      </c>
      <c r="C120" s="8" t="n">
        <v>900002068</v>
      </c>
      <c r="D120" s="7">
        <f>IFERROR(VLOOKUP(C120,TRAOPE!$G:$H,2,0),"")</f>
        <v/>
      </c>
      <c r="E120" s="8" t="inlineStr">
        <is>
          <t>DW68</t>
        </is>
      </c>
      <c r="F120" s="8" t="inlineStr">
        <is>
          <t>D228</t>
        </is>
      </c>
      <c r="G120" s="8">
        <f>IFERROR(VLOOKUP(A120,Flete!$A:$E,5,0),"")</f>
        <v/>
      </c>
      <c r="H120" s="7">
        <f>IFERROR(VLOOKUP(F120,TRAOPE!$AA:$AB,2,0),"")</f>
        <v/>
      </c>
      <c r="I120" s="7" t="n">
        <v>10000835</v>
      </c>
      <c r="J120" s="7">
        <f>IFERROR(VLOOKUP(I120,Materiales!$A:$H,8,0),"")</f>
        <v/>
      </c>
      <c r="K120" s="9">
        <f>IFERROR(VLOOKUP(I120,Materiales!$A:$G,7,0),"")</f>
        <v/>
      </c>
      <c r="L120" s="8" t="inlineStr">
        <is>
          <t>20250701</t>
        </is>
      </c>
      <c r="M120" s="8" t="inlineStr">
        <is>
          <t>99991231</t>
        </is>
      </c>
      <c r="N120" s="10" t="n">
        <v>69.84</v>
      </c>
      <c r="O120" s="10">
        <f>IFERROR(VLOOKUP(A120,Flete!$A:$J,10,0),"")</f>
        <v/>
      </c>
      <c r="P120" s="8" t="inlineStr">
        <is>
          <t>TN</t>
        </is>
      </c>
      <c r="Q120" s="10">
        <f>IFERROR(IFERROR(VLOOKUP(A120,TRAOPE!$A:$U,21,0),VLOOKUP(B120,TRAOPE!$A:$U,21,0)),"")</f>
        <v/>
      </c>
      <c r="R120" s="8">
        <f>IFERROR(IFERROR(VLOOKUP(A120,TRAOPE!$A:$W,23,0),VLOOKUP(B120,TRAOPE!$A:$W,23,0)),"")</f>
        <v/>
      </c>
      <c r="S120" s="10">
        <f>IF(AND(P120="TN",R120="TN"),N120+N(O120),IF(G120&amp;""="1",N(K120)*N120,(N120+N(O120))*N(K120)))</f>
        <v/>
      </c>
      <c r="T120" s="10">
        <f>IF(Q120="","",Q120-S120)</f>
        <v/>
      </c>
    </row>
    <row r="121">
      <c r="A121" s="7">
        <f>CONCATENATE(C121,E121,F121,I121)</f>
        <v/>
      </c>
      <c r="B121" s="7">
        <f>CONCATENATE(C121,E121,I121)</f>
        <v/>
      </c>
      <c r="C121" s="8" t="n">
        <v>900002068</v>
      </c>
      <c r="D121" s="7">
        <f>IFERROR(VLOOKUP(C121,TRAOPE!$G:$H,2,0),"")</f>
        <v/>
      </c>
      <c r="E121" s="8" t="inlineStr">
        <is>
          <t>DW68</t>
        </is>
      </c>
      <c r="F121" s="8" t="inlineStr">
        <is>
          <t>D228</t>
        </is>
      </c>
      <c r="G121" s="8">
        <f>IFERROR(VLOOKUP(A121,Flete!$A:$E,5,0),"")</f>
        <v/>
      </c>
      <c r="H121" s="7">
        <f>IFERROR(VLOOKUP(F121,TRAOPE!$AA:$AB,2,0),"")</f>
        <v/>
      </c>
      <c r="I121" s="7" t="n">
        <v>10018375</v>
      </c>
      <c r="J121" s="7">
        <f>IFERROR(VLOOKUP(I121,Materiales!$A:$H,8,0),"")</f>
        <v/>
      </c>
      <c r="K121" s="9">
        <f>IFERROR(VLOOKUP(I121,Materiales!$A:$G,7,0),"")</f>
        <v/>
      </c>
      <c r="L121" s="8" t="inlineStr">
        <is>
          <t>20210620</t>
        </is>
      </c>
      <c r="M121" s="8" t="inlineStr">
        <is>
          <t>20251031</t>
        </is>
      </c>
      <c r="N121" s="10" t="n">
        <v>51.29</v>
      </c>
      <c r="O121" s="10">
        <f>IFERROR(VLOOKUP(A121,Flete!$A:$J,10,0),"")</f>
        <v/>
      </c>
      <c r="P121" s="8" t="inlineStr">
        <is>
          <t>TN</t>
        </is>
      </c>
      <c r="Q121" s="10">
        <f>IFERROR(IFERROR(VLOOKUP(A121,TRAOPE!$A:$U,21,0),VLOOKUP(B121,TRAOPE!$A:$U,21,0)),"")</f>
        <v/>
      </c>
      <c r="R121" s="8">
        <f>IFERROR(IFERROR(VLOOKUP(A121,TRAOPE!$A:$W,23,0),VLOOKUP(B121,TRAOPE!$A:$W,23,0)),"")</f>
        <v/>
      </c>
      <c r="S121" s="10">
        <f>IF(AND(P121="TN",R121="TN"),N121+N(O121),IF(G121&amp;""="1",N(K121)*N121,(N121+N(O121))*N(K121)))</f>
        <v/>
      </c>
      <c r="T121" s="10">
        <f>IF(Q121="","",Q121-S121)</f>
        <v/>
      </c>
    </row>
    <row r="122">
      <c r="A122" s="7">
        <f>CONCATENATE(C122,E122,F122,I122)</f>
        <v/>
      </c>
      <c r="B122" s="7">
        <f>CONCATENATE(C122,E122,I122)</f>
        <v/>
      </c>
      <c r="C122" s="8" t="n">
        <v>900002068</v>
      </c>
      <c r="D122" s="7">
        <f>IFERROR(VLOOKUP(C122,TRAOPE!$G:$H,2,0),"")</f>
        <v/>
      </c>
      <c r="E122" s="8" t="inlineStr">
        <is>
          <t>DW68</t>
        </is>
      </c>
      <c r="F122" s="8" t="inlineStr">
        <is>
          <t>D242</t>
        </is>
      </c>
      <c r="G122" s="8">
        <f>IFERROR(VLOOKUP(A122,Flete!$A:$E,5,0),"")</f>
        <v/>
      </c>
      <c r="H122" s="7">
        <f>IFERROR(VLOOKUP(F122,TRAOPE!$AA:$AB,2,0),"")</f>
        <v/>
      </c>
      <c r="I122" s="7" t="n">
        <v>10000835</v>
      </c>
      <c r="J122" s="7">
        <f>IFERROR(VLOOKUP(I122,Materiales!$A:$H,8,0),"")</f>
        <v/>
      </c>
      <c r="K122" s="9">
        <f>IFERROR(VLOOKUP(I122,Materiales!$A:$G,7,0),"")</f>
        <v/>
      </c>
      <c r="L122" s="8" t="inlineStr">
        <is>
          <t>20250701</t>
        </is>
      </c>
      <c r="M122" s="8" t="inlineStr">
        <is>
          <t>99991231</t>
        </is>
      </c>
      <c r="N122" s="10" t="n">
        <v>69.84</v>
      </c>
      <c r="O122" s="10">
        <f>IFERROR(VLOOKUP(A122,Flete!$A:$J,10,0),"")</f>
        <v/>
      </c>
      <c r="P122" s="8" t="inlineStr">
        <is>
          <t>TN</t>
        </is>
      </c>
      <c r="Q122" s="10">
        <f>IFERROR(IFERROR(VLOOKUP(A122,TRAOPE!$A:$U,21,0),VLOOKUP(B122,TRAOPE!$A:$U,21,0)),"")</f>
        <v/>
      </c>
      <c r="R122" s="8">
        <f>IFERROR(IFERROR(VLOOKUP(A122,TRAOPE!$A:$W,23,0),VLOOKUP(B122,TRAOPE!$A:$W,23,0)),"")</f>
        <v/>
      </c>
      <c r="S122" s="10">
        <f>IF(AND(P122="TN",R122="TN"),N122+N(O122),IF(G122&amp;""="1",N(K122)*N122,(N122+N(O122))*N(K122)))</f>
        <v/>
      </c>
      <c r="T122" s="10">
        <f>IF(Q122="","",Q122-S122)</f>
        <v/>
      </c>
    </row>
    <row r="123">
      <c r="A123" s="7">
        <f>CONCATENATE(C123,E123,F123,I123)</f>
        <v/>
      </c>
      <c r="B123" s="7">
        <f>CONCATENATE(C123,E123,I123)</f>
        <v/>
      </c>
      <c r="C123" s="8" t="n">
        <v>900002068</v>
      </c>
      <c r="D123" s="7">
        <f>IFERROR(VLOOKUP(C123,TRAOPE!$G:$H,2,0),"")</f>
        <v/>
      </c>
      <c r="E123" s="8" t="inlineStr">
        <is>
          <t>DW68</t>
        </is>
      </c>
      <c r="F123" s="8" t="inlineStr">
        <is>
          <t>D242</t>
        </is>
      </c>
      <c r="G123" s="8">
        <f>IFERROR(VLOOKUP(A123,Flete!$A:$E,5,0),"")</f>
        <v/>
      </c>
      <c r="H123" s="7">
        <f>IFERROR(VLOOKUP(F123,TRAOPE!$AA:$AB,2,0),"")</f>
        <v/>
      </c>
      <c r="I123" s="7" t="n">
        <v>10018375</v>
      </c>
      <c r="J123" s="7">
        <f>IFERROR(VLOOKUP(I123,Materiales!$A:$H,8,0),"")</f>
        <v/>
      </c>
      <c r="K123" s="9">
        <f>IFERROR(VLOOKUP(I123,Materiales!$A:$G,7,0),"")</f>
        <v/>
      </c>
      <c r="L123" s="8" t="inlineStr">
        <is>
          <t>20210620</t>
        </is>
      </c>
      <c r="M123" s="8" t="inlineStr">
        <is>
          <t>20251031</t>
        </is>
      </c>
      <c r="N123" s="10" t="n">
        <v>51.81</v>
      </c>
      <c r="O123" s="10">
        <f>IFERROR(VLOOKUP(A123,Flete!$A:$J,10,0),"")</f>
        <v/>
      </c>
      <c r="P123" s="8" t="inlineStr">
        <is>
          <t>TN</t>
        </is>
      </c>
      <c r="Q123" s="10">
        <f>IFERROR(IFERROR(VLOOKUP(A123,TRAOPE!$A:$U,21,0),VLOOKUP(B123,TRAOPE!$A:$U,21,0)),"")</f>
        <v/>
      </c>
      <c r="R123" s="8">
        <f>IFERROR(IFERROR(VLOOKUP(A123,TRAOPE!$A:$W,23,0),VLOOKUP(B123,TRAOPE!$A:$W,23,0)),"")</f>
        <v/>
      </c>
      <c r="S123" s="10">
        <f>IF(AND(P123="TN",R123="TN"),N123+N(O123),IF(G123&amp;""="1",N(K123)*N123,(N123+N(O123))*N(K123)))</f>
        <v/>
      </c>
      <c r="T123" s="10">
        <f>IF(Q123="","",Q123-S123)</f>
        <v/>
      </c>
    </row>
    <row r="124">
      <c r="A124" s="7">
        <f>CONCATENATE(C124,E124,F124,I124)</f>
        <v/>
      </c>
      <c r="B124" s="7">
        <f>CONCATENATE(C124,E124,I124)</f>
        <v/>
      </c>
      <c r="C124" s="8" t="n">
        <v>900002068</v>
      </c>
      <c r="D124" s="7">
        <f>IFERROR(VLOOKUP(C124,TRAOPE!$G:$H,2,0),"")</f>
        <v/>
      </c>
      <c r="E124" s="8" t="inlineStr">
        <is>
          <t>DW68</t>
        </is>
      </c>
      <c r="F124" s="8" t="inlineStr">
        <is>
          <t>D247</t>
        </is>
      </c>
      <c r="G124" s="8">
        <f>IFERROR(VLOOKUP(A124,Flete!$A:$E,5,0),"")</f>
        <v/>
      </c>
      <c r="H124" s="7">
        <f>IFERROR(VLOOKUP(F124,TRAOPE!$AA:$AB,2,0),"")</f>
        <v/>
      </c>
      <c r="I124" s="7" t="n">
        <v>10000835</v>
      </c>
      <c r="J124" s="7">
        <f>IFERROR(VLOOKUP(I124,Materiales!$A:$H,8,0),"")</f>
        <v/>
      </c>
      <c r="K124" s="9">
        <f>IFERROR(VLOOKUP(I124,Materiales!$A:$G,7,0),"")</f>
        <v/>
      </c>
      <c r="L124" s="8" t="inlineStr">
        <is>
          <t>20250701</t>
        </is>
      </c>
      <c r="M124" s="8" t="inlineStr">
        <is>
          <t>99991231</t>
        </is>
      </c>
      <c r="N124" s="10" t="n">
        <v>69.84</v>
      </c>
      <c r="O124" s="10">
        <f>IFERROR(VLOOKUP(A124,Flete!$A:$J,10,0),"")</f>
        <v/>
      </c>
      <c r="P124" s="8" t="inlineStr">
        <is>
          <t>TN</t>
        </is>
      </c>
      <c r="Q124" s="10">
        <f>IFERROR(IFERROR(VLOOKUP(A124,TRAOPE!$A:$U,21,0),VLOOKUP(B124,TRAOPE!$A:$U,21,0)),"")</f>
        <v/>
      </c>
      <c r="R124" s="8">
        <f>IFERROR(IFERROR(VLOOKUP(A124,TRAOPE!$A:$W,23,0),VLOOKUP(B124,TRAOPE!$A:$W,23,0)),"")</f>
        <v/>
      </c>
      <c r="S124" s="10">
        <f>IF(AND(P124="TN",R124="TN"),N124+N(O124),IF(G124&amp;""="1",N(K124)*N124,(N124+N(O124))*N(K124)))</f>
        <v/>
      </c>
      <c r="T124" s="10">
        <f>IF(Q124="","",Q124-S124)</f>
        <v/>
      </c>
    </row>
    <row r="125">
      <c r="A125" s="7">
        <f>CONCATENATE(C125,E125,F125,I125)</f>
        <v/>
      </c>
      <c r="B125" s="7">
        <f>CONCATENATE(C125,E125,I125)</f>
        <v/>
      </c>
      <c r="C125" s="8" t="n">
        <v>900002068</v>
      </c>
      <c r="D125" s="7">
        <f>IFERROR(VLOOKUP(C125,TRAOPE!$G:$H,2,0),"")</f>
        <v/>
      </c>
      <c r="E125" s="8" t="inlineStr">
        <is>
          <t>DW68</t>
        </is>
      </c>
      <c r="F125" s="8" t="inlineStr">
        <is>
          <t>D251</t>
        </is>
      </c>
      <c r="G125" s="8">
        <f>IFERROR(VLOOKUP(A125,Flete!$A:$E,5,0),"")</f>
        <v/>
      </c>
      <c r="H125" s="7">
        <f>IFERROR(VLOOKUP(F125,TRAOPE!$AA:$AB,2,0),"")</f>
        <v/>
      </c>
      <c r="I125" s="7" t="n">
        <v>10000835</v>
      </c>
      <c r="J125" s="7">
        <f>IFERROR(VLOOKUP(I125,Materiales!$A:$H,8,0),"")</f>
        <v/>
      </c>
      <c r="K125" s="9">
        <f>IFERROR(VLOOKUP(I125,Materiales!$A:$G,7,0),"")</f>
        <v/>
      </c>
      <c r="L125" s="8" t="inlineStr">
        <is>
          <t>20250701</t>
        </is>
      </c>
      <c r="M125" s="8" t="inlineStr">
        <is>
          <t>99991231</t>
        </is>
      </c>
      <c r="N125" s="10" t="n">
        <v>69.84</v>
      </c>
      <c r="O125" s="10">
        <f>IFERROR(VLOOKUP(A125,Flete!$A:$J,10,0),"")</f>
        <v/>
      </c>
      <c r="P125" s="8" t="inlineStr">
        <is>
          <t>TN</t>
        </is>
      </c>
      <c r="Q125" s="10">
        <f>IFERROR(IFERROR(VLOOKUP(A125,TRAOPE!$A:$U,21,0),VLOOKUP(B125,TRAOPE!$A:$U,21,0)),"")</f>
        <v/>
      </c>
      <c r="R125" s="8">
        <f>IFERROR(IFERROR(VLOOKUP(A125,TRAOPE!$A:$W,23,0),VLOOKUP(B125,TRAOPE!$A:$W,23,0)),"")</f>
        <v/>
      </c>
      <c r="S125" s="10">
        <f>IF(AND(P125="TN",R125="TN"),N125+N(O125),IF(G125&amp;""="1",N(K125)*N125,(N125+N(O125))*N(K125)))</f>
        <v/>
      </c>
      <c r="T125" s="10">
        <f>IF(Q125="","",Q125-S125)</f>
        <v/>
      </c>
    </row>
    <row r="126">
      <c r="A126" s="7">
        <f>CONCATENATE(C126,E126,F126,I126)</f>
        <v/>
      </c>
      <c r="B126" s="7">
        <f>CONCATENATE(C126,E126,I126)</f>
        <v/>
      </c>
      <c r="C126" s="8" t="n">
        <v>900002068</v>
      </c>
      <c r="D126" s="7">
        <f>IFERROR(VLOOKUP(C126,TRAOPE!$G:$H,2,0),"")</f>
        <v/>
      </c>
      <c r="E126" s="8" t="inlineStr">
        <is>
          <t>DW68</t>
        </is>
      </c>
      <c r="F126" s="8" t="inlineStr">
        <is>
          <t>D264</t>
        </is>
      </c>
      <c r="G126" s="8">
        <f>IFERROR(VLOOKUP(A126,Flete!$A:$E,5,0),"")</f>
        <v/>
      </c>
      <c r="H126" s="7">
        <f>IFERROR(VLOOKUP(F126,TRAOPE!$AA:$AB,2,0),"")</f>
        <v/>
      </c>
      <c r="I126" s="7" t="n">
        <v>10000835</v>
      </c>
      <c r="J126" s="7">
        <f>IFERROR(VLOOKUP(I126,Materiales!$A:$H,8,0),"")</f>
        <v/>
      </c>
      <c r="K126" s="9">
        <f>IFERROR(VLOOKUP(I126,Materiales!$A:$G,7,0),"")</f>
        <v/>
      </c>
      <c r="L126" s="8" t="inlineStr">
        <is>
          <t>20250701</t>
        </is>
      </c>
      <c r="M126" s="8" t="inlineStr">
        <is>
          <t>99991231</t>
        </is>
      </c>
      <c r="N126" s="10" t="n">
        <v>69.84</v>
      </c>
      <c r="O126" s="10">
        <f>IFERROR(VLOOKUP(A126,Flete!$A:$J,10,0),"")</f>
        <v/>
      </c>
      <c r="P126" s="8" t="inlineStr">
        <is>
          <t>TN</t>
        </is>
      </c>
      <c r="Q126" s="10">
        <f>IFERROR(IFERROR(VLOOKUP(A126,TRAOPE!$A:$U,21,0),VLOOKUP(B126,TRAOPE!$A:$U,21,0)),"")</f>
        <v/>
      </c>
      <c r="R126" s="8">
        <f>IFERROR(IFERROR(VLOOKUP(A126,TRAOPE!$A:$W,23,0),VLOOKUP(B126,TRAOPE!$A:$W,23,0)),"")</f>
        <v/>
      </c>
      <c r="S126" s="10">
        <f>IF(AND(P126="TN",R126="TN"),N126+N(O126),IF(G126&amp;""="1",N(K126)*N126,(N126+N(O126))*N(K126)))</f>
        <v/>
      </c>
      <c r="T126" s="10">
        <f>IF(Q126="","",Q126-S126)</f>
        <v/>
      </c>
    </row>
    <row r="127">
      <c r="A127" s="7">
        <f>CONCATENATE(C127,E127,F127,I127)</f>
        <v/>
      </c>
      <c r="B127" s="7">
        <f>CONCATENATE(C127,E127,I127)</f>
        <v/>
      </c>
      <c r="C127" s="8" t="n">
        <v>900002068</v>
      </c>
      <c r="D127" s="7">
        <f>IFERROR(VLOOKUP(C127,TRAOPE!$G:$H,2,0),"")</f>
        <v/>
      </c>
      <c r="E127" s="8" t="inlineStr">
        <is>
          <t>DW68</t>
        </is>
      </c>
      <c r="F127" s="8" t="inlineStr">
        <is>
          <t>D264</t>
        </is>
      </c>
      <c r="G127" s="8">
        <f>IFERROR(VLOOKUP(A127,Flete!$A:$E,5,0),"")</f>
        <v/>
      </c>
      <c r="H127" s="7">
        <f>IFERROR(VLOOKUP(F127,TRAOPE!$AA:$AB,2,0),"")</f>
        <v/>
      </c>
      <c r="I127" s="7" t="n">
        <v>10018375</v>
      </c>
      <c r="J127" s="7">
        <f>IFERROR(VLOOKUP(I127,Materiales!$A:$H,8,0),"")</f>
        <v/>
      </c>
      <c r="K127" s="9">
        <f>IFERROR(VLOOKUP(I127,Materiales!$A:$G,7,0),"")</f>
        <v/>
      </c>
      <c r="L127" s="8" t="inlineStr">
        <is>
          <t>20210620</t>
        </is>
      </c>
      <c r="M127" s="8" t="inlineStr">
        <is>
          <t>20251031</t>
        </is>
      </c>
      <c r="N127" s="10" t="n">
        <v>52.04</v>
      </c>
      <c r="O127" s="10">
        <f>IFERROR(VLOOKUP(A127,Flete!$A:$J,10,0),"")</f>
        <v/>
      </c>
      <c r="P127" s="8" t="inlineStr">
        <is>
          <t>TN</t>
        </is>
      </c>
      <c r="Q127" s="10">
        <f>IFERROR(IFERROR(VLOOKUP(A127,TRAOPE!$A:$U,21,0),VLOOKUP(B127,TRAOPE!$A:$U,21,0)),"")</f>
        <v/>
      </c>
      <c r="R127" s="8">
        <f>IFERROR(IFERROR(VLOOKUP(A127,TRAOPE!$A:$W,23,0),VLOOKUP(B127,TRAOPE!$A:$W,23,0)),"")</f>
        <v/>
      </c>
      <c r="S127" s="10">
        <f>IF(AND(P127="TN",R127="TN"),N127+N(O127),IF(G127&amp;""="1",N(K127)*N127,(N127+N(O127))*N(K127)))</f>
        <v/>
      </c>
      <c r="T127" s="10">
        <f>IF(Q127="","",Q127-S127)</f>
        <v/>
      </c>
    </row>
    <row r="128">
      <c r="A128" s="7">
        <f>CONCATENATE(C128,E128,F128,I128)</f>
        <v/>
      </c>
      <c r="B128" s="7">
        <f>CONCATENATE(C128,E128,I128)</f>
        <v/>
      </c>
      <c r="C128" s="8" t="n">
        <v>900002068</v>
      </c>
      <c r="D128" s="7">
        <f>IFERROR(VLOOKUP(C128,TRAOPE!$G:$H,2,0),"")</f>
        <v/>
      </c>
      <c r="E128" s="8" t="inlineStr">
        <is>
          <t>DW68</t>
        </is>
      </c>
      <c r="F128" s="8" t="inlineStr">
        <is>
          <t>D267</t>
        </is>
      </c>
      <c r="G128" s="8">
        <f>IFERROR(VLOOKUP(A128,Flete!$A:$E,5,0),"")</f>
        <v/>
      </c>
      <c r="H128" s="7">
        <f>IFERROR(VLOOKUP(F128,TRAOPE!$AA:$AB,2,0),"")</f>
        <v/>
      </c>
      <c r="I128" s="7" t="n">
        <v>10000835</v>
      </c>
      <c r="J128" s="7">
        <f>IFERROR(VLOOKUP(I128,Materiales!$A:$H,8,0),"")</f>
        <v/>
      </c>
      <c r="K128" s="9">
        <f>IFERROR(VLOOKUP(I128,Materiales!$A:$G,7,0),"")</f>
        <v/>
      </c>
      <c r="L128" s="8" t="inlineStr">
        <is>
          <t>20250701</t>
        </is>
      </c>
      <c r="M128" s="8" t="inlineStr">
        <is>
          <t>99991231</t>
        </is>
      </c>
      <c r="N128" s="10" t="n">
        <v>69.84</v>
      </c>
      <c r="O128" s="10">
        <f>IFERROR(VLOOKUP(A128,Flete!$A:$J,10,0),"")</f>
        <v/>
      </c>
      <c r="P128" s="8" t="inlineStr">
        <is>
          <t>TN</t>
        </is>
      </c>
      <c r="Q128" s="10">
        <f>IFERROR(IFERROR(VLOOKUP(A128,TRAOPE!$A:$U,21,0),VLOOKUP(B128,TRAOPE!$A:$U,21,0)),"")</f>
        <v/>
      </c>
      <c r="R128" s="8">
        <f>IFERROR(IFERROR(VLOOKUP(A128,TRAOPE!$A:$W,23,0),VLOOKUP(B128,TRAOPE!$A:$W,23,0)),"")</f>
        <v/>
      </c>
      <c r="S128" s="10">
        <f>IF(AND(P128="TN",R128="TN"),N128+N(O128),IF(G128&amp;""="1",N(K128)*N128,(N128+N(O128))*N(K128)))</f>
        <v/>
      </c>
      <c r="T128" s="10">
        <f>IF(Q128="","",Q128-S128)</f>
        <v/>
      </c>
    </row>
    <row r="129">
      <c r="A129" s="7">
        <f>CONCATENATE(C129,E129,F129,I129)</f>
        <v/>
      </c>
      <c r="B129" s="7">
        <f>CONCATENATE(C129,E129,I129)</f>
        <v/>
      </c>
      <c r="C129" s="8" t="n">
        <v>900002068</v>
      </c>
      <c r="D129" s="7">
        <f>IFERROR(VLOOKUP(C129,TRAOPE!$G:$H,2,0),"")</f>
        <v/>
      </c>
      <c r="E129" s="8" t="inlineStr">
        <is>
          <t>DW68</t>
        </is>
      </c>
      <c r="F129" s="8" t="inlineStr">
        <is>
          <t>D268</t>
        </is>
      </c>
      <c r="G129" s="8">
        <f>IFERROR(VLOOKUP(A129,Flete!$A:$E,5,0),"")</f>
        <v/>
      </c>
      <c r="H129" s="7">
        <f>IFERROR(VLOOKUP(F129,TRAOPE!$AA:$AB,2,0),"")</f>
        <v/>
      </c>
      <c r="I129" s="7" t="n">
        <v>10000835</v>
      </c>
      <c r="J129" s="7">
        <f>IFERROR(VLOOKUP(I129,Materiales!$A:$H,8,0),"")</f>
        <v/>
      </c>
      <c r="K129" s="9">
        <f>IFERROR(VLOOKUP(I129,Materiales!$A:$G,7,0),"")</f>
        <v/>
      </c>
      <c r="L129" s="8" t="inlineStr">
        <is>
          <t>20250701</t>
        </is>
      </c>
      <c r="M129" s="8" t="inlineStr">
        <is>
          <t>99991231</t>
        </is>
      </c>
      <c r="N129" s="10" t="n">
        <v>69.84</v>
      </c>
      <c r="O129" s="10">
        <f>IFERROR(VLOOKUP(A129,Flete!$A:$J,10,0),"")</f>
        <v/>
      </c>
      <c r="P129" s="8" t="inlineStr">
        <is>
          <t>TN</t>
        </is>
      </c>
      <c r="Q129" s="10">
        <f>IFERROR(IFERROR(VLOOKUP(A129,TRAOPE!$A:$U,21,0),VLOOKUP(B129,TRAOPE!$A:$U,21,0)),"")</f>
        <v/>
      </c>
      <c r="R129" s="8">
        <f>IFERROR(IFERROR(VLOOKUP(A129,TRAOPE!$A:$W,23,0),VLOOKUP(B129,TRAOPE!$A:$W,23,0)),"")</f>
        <v/>
      </c>
      <c r="S129" s="10">
        <f>IF(AND(P129="TN",R129="TN"),N129+N(O129),IF(G129&amp;""="1",N(K129)*N129,(N129+N(O129))*N(K129)))</f>
        <v/>
      </c>
      <c r="T129" s="10">
        <f>IF(Q129="","",Q129-S129)</f>
        <v/>
      </c>
    </row>
    <row r="130">
      <c r="A130" s="7">
        <f>CONCATENATE(C130,E130,F130,I130)</f>
        <v/>
      </c>
      <c r="B130" s="7">
        <f>CONCATENATE(C130,E130,I130)</f>
        <v/>
      </c>
      <c r="C130" s="8" t="n">
        <v>900002122</v>
      </c>
      <c r="D130" s="7">
        <f>IFERROR(VLOOKUP(C130,TRAOPE!$G:$H,2,0),"")</f>
        <v/>
      </c>
      <c r="E130" s="8" t="inlineStr">
        <is>
          <t>DW68</t>
        </is>
      </c>
      <c r="F130" s="8" t="inlineStr">
        <is>
          <t>D251</t>
        </is>
      </c>
      <c r="G130" s="8">
        <f>IFERROR(VLOOKUP(A130,Flete!$A:$E,5,0),"")</f>
        <v/>
      </c>
      <c r="H130" s="7">
        <f>IFERROR(VLOOKUP(F130,TRAOPE!$AA:$AB,2,0),"")</f>
        <v/>
      </c>
      <c r="I130" s="7" t="n">
        <v>10000835</v>
      </c>
      <c r="J130" s="7">
        <f>IFERROR(VLOOKUP(I130,Materiales!$A:$H,8,0),"")</f>
        <v/>
      </c>
      <c r="K130" s="9">
        <f>IFERROR(VLOOKUP(I130,Materiales!$A:$G,7,0),"")</f>
        <v/>
      </c>
      <c r="L130" s="8" t="inlineStr">
        <is>
          <t>20250701</t>
        </is>
      </c>
      <c r="M130" s="8" t="inlineStr">
        <is>
          <t>20251031</t>
        </is>
      </c>
      <c r="N130" s="10" t="n">
        <v>69.84</v>
      </c>
      <c r="O130" s="10">
        <f>IFERROR(VLOOKUP(A130,Flete!$A:$J,10,0),"")</f>
        <v/>
      </c>
      <c r="P130" s="8" t="inlineStr">
        <is>
          <t>TN</t>
        </is>
      </c>
      <c r="Q130" s="10">
        <f>IFERROR(IFERROR(VLOOKUP(A130,TRAOPE!$A:$U,21,0),VLOOKUP(B130,TRAOPE!$A:$U,21,0)),"")</f>
        <v/>
      </c>
      <c r="R130" s="8">
        <f>IFERROR(IFERROR(VLOOKUP(A130,TRAOPE!$A:$W,23,0),VLOOKUP(B130,TRAOPE!$A:$W,23,0)),"")</f>
        <v/>
      </c>
      <c r="S130" s="10">
        <f>IF(AND(P130="TN",R130="TN"),N130+N(O130),IF(G130&amp;""="1",N(K130)*N130,(N130+N(O130))*N(K130)))</f>
        <v/>
      </c>
      <c r="T130" s="10">
        <f>IF(Q130="","",Q130-S130)</f>
        <v/>
      </c>
    </row>
    <row r="131">
      <c r="A131" s="7">
        <f>CONCATENATE(C131,E131,F131,I131)</f>
        <v/>
      </c>
      <c r="B131" s="7">
        <f>CONCATENATE(C131,E131,I131)</f>
        <v/>
      </c>
      <c r="C131" s="8" t="n">
        <v>900002733</v>
      </c>
      <c r="D131" s="7">
        <f>IFERROR(VLOOKUP(C131,TRAOPE!$G:$H,2,0),"")</f>
        <v/>
      </c>
      <c r="E131" s="8" t="inlineStr">
        <is>
          <t>DW68</t>
        </is>
      </c>
      <c r="F131" s="8" t="inlineStr">
        <is>
          <t>D042</t>
        </is>
      </c>
      <c r="G131" s="8">
        <f>IFERROR(VLOOKUP(A131,Flete!$A:$E,5,0),"")</f>
        <v/>
      </c>
      <c r="H131" s="7">
        <f>IFERROR(VLOOKUP(F131,TRAOPE!$AA:$AB,2,0),"")</f>
        <v/>
      </c>
      <c r="I131" s="7" t="n">
        <v>10018375</v>
      </c>
      <c r="J131" s="7">
        <f>IFERROR(VLOOKUP(I131,Materiales!$A:$H,8,0),"")</f>
        <v/>
      </c>
      <c r="K131" s="9">
        <f>IFERROR(VLOOKUP(I131,Materiales!$A:$G,7,0),"")</f>
        <v/>
      </c>
      <c r="L131" s="8" t="inlineStr">
        <is>
          <t>20220516</t>
        </is>
      </c>
      <c r="M131" s="8" t="inlineStr">
        <is>
          <t>20251031</t>
        </is>
      </c>
      <c r="N131" s="10" t="n">
        <v>45.45</v>
      </c>
      <c r="O131" s="10">
        <f>IFERROR(VLOOKUP(A131,Flete!$A:$J,10,0),"")</f>
        <v/>
      </c>
      <c r="P131" s="8" t="inlineStr">
        <is>
          <t>TN</t>
        </is>
      </c>
      <c r="Q131" s="10">
        <f>IFERROR(IFERROR(VLOOKUP(A131,TRAOPE!$A:$U,21,0),VLOOKUP(B131,TRAOPE!$A:$U,21,0)),"")</f>
        <v/>
      </c>
      <c r="R131" s="8">
        <f>IFERROR(IFERROR(VLOOKUP(A131,TRAOPE!$A:$W,23,0),VLOOKUP(B131,TRAOPE!$A:$W,23,0)),"")</f>
        <v/>
      </c>
      <c r="S131" s="10">
        <f>IF(AND(P131="TN",R131="TN"),N131+N(O131),IF(G131&amp;""="1",N(K131)*N131,(N131+N(O131))*N(K131)))</f>
        <v/>
      </c>
      <c r="T131" s="10">
        <f>IF(Q131="","",Q131-S131)</f>
        <v/>
      </c>
    </row>
    <row r="132">
      <c r="A132" s="7">
        <f>CONCATENATE(C132,E132,F132,I132)</f>
        <v/>
      </c>
      <c r="B132" s="7">
        <f>CONCATENATE(C132,E132,I132)</f>
        <v/>
      </c>
      <c r="C132" s="8" t="n">
        <v>900002733</v>
      </c>
      <c r="D132" s="7">
        <f>IFERROR(VLOOKUP(C132,TRAOPE!$G:$H,2,0),"")</f>
        <v/>
      </c>
      <c r="E132" s="8" t="inlineStr">
        <is>
          <t>DW68</t>
        </is>
      </c>
      <c r="F132" s="8" t="inlineStr">
        <is>
          <t>D209</t>
        </is>
      </c>
      <c r="G132" s="8">
        <f>IFERROR(VLOOKUP(A132,Flete!$A:$E,5,0),"")</f>
        <v/>
      </c>
      <c r="H132" s="7">
        <f>IFERROR(VLOOKUP(F132,TRAOPE!$AA:$AB,2,0),"")</f>
        <v/>
      </c>
      <c r="I132" s="7" t="n">
        <v>10018375</v>
      </c>
      <c r="J132" s="7">
        <f>IFERROR(VLOOKUP(I132,Materiales!$A:$H,8,0),"")</f>
        <v/>
      </c>
      <c r="K132" s="9">
        <f>IFERROR(VLOOKUP(I132,Materiales!$A:$G,7,0),"")</f>
        <v/>
      </c>
      <c r="L132" s="8" t="inlineStr">
        <is>
          <t>20220516</t>
        </is>
      </c>
      <c r="M132" s="8" t="inlineStr">
        <is>
          <t>20251031</t>
        </is>
      </c>
      <c r="N132" s="10" t="n">
        <v>45.45</v>
      </c>
      <c r="O132" s="10">
        <f>IFERROR(VLOOKUP(A132,Flete!$A:$J,10,0),"")</f>
        <v/>
      </c>
      <c r="P132" s="8" t="inlineStr">
        <is>
          <t>TN</t>
        </is>
      </c>
      <c r="Q132" s="10">
        <f>IFERROR(IFERROR(VLOOKUP(A132,TRAOPE!$A:$U,21,0),VLOOKUP(B132,TRAOPE!$A:$U,21,0)),"")</f>
        <v/>
      </c>
      <c r="R132" s="8">
        <f>IFERROR(IFERROR(VLOOKUP(A132,TRAOPE!$A:$W,23,0),VLOOKUP(B132,TRAOPE!$A:$W,23,0)),"")</f>
        <v/>
      </c>
      <c r="S132" s="10">
        <f>IF(AND(P132="TN",R132="TN"),N132+N(O132),IF(G132&amp;""="1",N(K132)*N132,(N132+N(O132))*N(K132)))</f>
        <v/>
      </c>
      <c r="T132" s="10">
        <f>IF(Q132="","",Q132-S132)</f>
        <v/>
      </c>
    </row>
    <row r="133">
      <c r="A133" s="7">
        <f>CONCATENATE(C133,E133,F133,I133)</f>
        <v/>
      </c>
      <c r="B133" s="7">
        <f>CONCATENATE(C133,E133,I133)</f>
        <v/>
      </c>
      <c r="C133" s="8" t="n">
        <v>900002733</v>
      </c>
      <c r="D133" s="7">
        <f>IFERROR(VLOOKUP(C133,TRAOPE!$G:$H,2,0),"")</f>
        <v/>
      </c>
      <c r="E133" s="8" t="inlineStr">
        <is>
          <t>DW68</t>
        </is>
      </c>
      <c r="F133" s="8" t="inlineStr">
        <is>
          <t>D211</t>
        </is>
      </c>
      <c r="G133" s="8">
        <f>IFERROR(VLOOKUP(A133,Flete!$A:$E,5,0),"")</f>
        <v/>
      </c>
      <c r="H133" s="7">
        <f>IFERROR(VLOOKUP(F133,TRAOPE!$AA:$AB,2,0),"")</f>
        <v/>
      </c>
      <c r="I133" s="7" t="n">
        <v>10018375</v>
      </c>
      <c r="J133" s="7">
        <f>IFERROR(VLOOKUP(I133,Materiales!$A:$H,8,0),"")</f>
        <v/>
      </c>
      <c r="K133" s="9">
        <f>IFERROR(VLOOKUP(I133,Materiales!$A:$G,7,0),"")</f>
        <v/>
      </c>
      <c r="L133" s="8" t="inlineStr">
        <is>
          <t>20220516</t>
        </is>
      </c>
      <c r="M133" s="8" t="inlineStr">
        <is>
          <t>20251031</t>
        </is>
      </c>
      <c r="N133" s="10" t="n">
        <v>45.45</v>
      </c>
      <c r="O133" s="10">
        <f>IFERROR(VLOOKUP(A133,Flete!$A:$J,10,0),"")</f>
        <v/>
      </c>
      <c r="P133" s="8" t="inlineStr">
        <is>
          <t>TN</t>
        </is>
      </c>
      <c r="Q133" s="10">
        <f>IFERROR(IFERROR(VLOOKUP(A133,TRAOPE!$A:$U,21,0),VLOOKUP(B133,TRAOPE!$A:$U,21,0)),"")</f>
        <v/>
      </c>
      <c r="R133" s="8">
        <f>IFERROR(IFERROR(VLOOKUP(A133,TRAOPE!$A:$W,23,0),VLOOKUP(B133,TRAOPE!$A:$W,23,0)),"")</f>
        <v/>
      </c>
      <c r="S133" s="10">
        <f>IF(AND(P133="TN",R133="TN"),N133+N(O133),IF(G133&amp;""="1",N(K133)*N133,(N133+N(O133))*N(K133)))</f>
        <v/>
      </c>
      <c r="T133" s="10">
        <f>IF(Q133="","",Q133-S133)</f>
        <v/>
      </c>
    </row>
    <row r="134">
      <c r="A134" s="7">
        <f>CONCATENATE(C134,E134,F134,I134)</f>
        <v/>
      </c>
      <c r="B134" s="7">
        <f>CONCATENATE(C134,E134,I134)</f>
        <v/>
      </c>
      <c r="C134" s="8" t="n">
        <v>900002733</v>
      </c>
      <c r="D134" s="7">
        <f>IFERROR(VLOOKUP(C134,TRAOPE!$G:$H,2,0),"")</f>
        <v/>
      </c>
      <c r="E134" s="8" t="inlineStr">
        <is>
          <t>DW68</t>
        </is>
      </c>
      <c r="F134" s="8" t="inlineStr">
        <is>
          <t>D214</t>
        </is>
      </c>
      <c r="G134" s="8">
        <f>IFERROR(VLOOKUP(A134,Flete!$A:$E,5,0),"")</f>
        <v/>
      </c>
      <c r="H134" s="7">
        <f>IFERROR(VLOOKUP(F134,TRAOPE!$AA:$AB,2,0),"")</f>
        <v/>
      </c>
      <c r="I134" s="7" t="n">
        <v>10018375</v>
      </c>
      <c r="J134" s="7">
        <f>IFERROR(VLOOKUP(I134,Materiales!$A:$H,8,0),"")</f>
        <v/>
      </c>
      <c r="K134" s="9">
        <f>IFERROR(VLOOKUP(I134,Materiales!$A:$G,7,0),"")</f>
        <v/>
      </c>
      <c r="L134" s="8" t="inlineStr">
        <is>
          <t>20220516</t>
        </is>
      </c>
      <c r="M134" s="8" t="inlineStr">
        <is>
          <t>20251031</t>
        </is>
      </c>
      <c r="N134" s="10" t="n">
        <v>45.45</v>
      </c>
      <c r="O134" s="10">
        <f>IFERROR(VLOOKUP(A134,Flete!$A:$J,10,0),"")</f>
        <v/>
      </c>
      <c r="P134" s="8" t="inlineStr">
        <is>
          <t>TN</t>
        </is>
      </c>
      <c r="Q134" s="10">
        <f>IFERROR(IFERROR(VLOOKUP(A134,TRAOPE!$A:$U,21,0),VLOOKUP(B134,TRAOPE!$A:$U,21,0)),"")</f>
        <v/>
      </c>
      <c r="R134" s="8">
        <f>IFERROR(IFERROR(VLOOKUP(A134,TRAOPE!$A:$W,23,0),VLOOKUP(B134,TRAOPE!$A:$W,23,0)),"")</f>
        <v/>
      </c>
      <c r="S134" s="10">
        <f>IF(AND(P134="TN",R134="TN"),N134+N(O134),IF(G134&amp;""="1",N(K134)*N134,(N134+N(O134))*N(K134)))</f>
        <v/>
      </c>
      <c r="T134" s="10">
        <f>IF(Q134="","",Q134-S134)</f>
        <v/>
      </c>
    </row>
    <row r="135">
      <c r="A135" s="7">
        <f>CONCATENATE(C135,E135,F135,I135)</f>
        <v/>
      </c>
      <c r="B135" s="7">
        <f>CONCATENATE(C135,E135,I135)</f>
        <v/>
      </c>
      <c r="C135" s="8" t="n">
        <v>900002733</v>
      </c>
      <c r="D135" s="7">
        <f>IFERROR(VLOOKUP(C135,TRAOPE!$G:$H,2,0),"")</f>
        <v/>
      </c>
      <c r="E135" s="8" t="inlineStr">
        <is>
          <t>DW68</t>
        </is>
      </c>
      <c r="F135" s="8" t="inlineStr">
        <is>
          <t>D228</t>
        </is>
      </c>
      <c r="G135" s="8">
        <f>IFERROR(VLOOKUP(A135,Flete!$A:$E,5,0),"")</f>
        <v/>
      </c>
      <c r="H135" s="7">
        <f>IFERROR(VLOOKUP(F135,TRAOPE!$AA:$AB,2,0),"")</f>
        <v/>
      </c>
      <c r="I135" s="7" t="n">
        <v>10000857</v>
      </c>
      <c r="J135" s="7">
        <f>IFERROR(VLOOKUP(I135,Materiales!$A:$H,8,0),"")</f>
        <v/>
      </c>
      <c r="K135" s="9">
        <f>IFERROR(VLOOKUP(I135,Materiales!$A:$G,7,0),"")</f>
        <v/>
      </c>
      <c r="L135" s="8" t="inlineStr">
        <is>
          <t>20220516</t>
        </is>
      </c>
      <c r="M135" s="8" t="inlineStr">
        <is>
          <t>20251031</t>
        </is>
      </c>
      <c r="N135" s="10" t="n">
        <v>46.36</v>
      </c>
      <c r="O135" s="10">
        <f>IFERROR(VLOOKUP(A135,Flete!$A:$J,10,0),"")</f>
        <v/>
      </c>
      <c r="P135" s="8" t="inlineStr">
        <is>
          <t>TN</t>
        </is>
      </c>
      <c r="Q135" s="10">
        <f>IFERROR(IFERROR(VLOOKUP(A135,TRAOPE!$A:$U,21,0),VLOOKUP(B135,TRAOPE!$A:$U,21,0)),"")</f>
        <v/>
      </c>
      <c r="R135" s="8">
        <f>IFERROR(IFERROR(VLOOKUP(A135,TRAOPE!$A:$W,23,0),VLOOKUP(B135,TRAOPE!$A:$W,23,0)),"")</f>
        <v/>
      </c>
      <c r="S135" s="10">
        <f>IF(AND(P135="TN",R135="TN"),N135+N(O135),IF(G135&amp;""="1",N(K135)*N135,(N135+N(O135))*N(K135)))</f>
        <v/>
      </c>
      <c r="T135" s="10">
        <f>IF(Q135="","",Q135-S135)</f>
        <v/>
      </c>
    </row>
    <row r="136">
      <c r="A136" s="7">
        <f>CONCATENATE(C136,E136,F136,I136)</f>
        <v/>
      </c>
      <c r="B136" s="7">
        <f>CONCATENATE(C136,E136,I136)</f>
        <v/>
      </c>
      <c r="C136" s="8" t="n">
        <v>900002733</v>
      </c>
      <c r="D136" s="7">
        <f>IFERROR(VLOOKUP(C136,TRAOPE!$G:$H,2,0),"")</f>
        <v/>
      </c>
      <c r="E136" s="8" t="inlineStr">
        <is>
          <t>DW68</t>
        </is>
      </c>
      <c r="F136" s="8" t="inlineStr">
        <is>
          <t>D228</t>
        </is>
      </c>
      <c r="G136" s="8">
        <f>IFERROR(VLOOKUP(A136,Flete!$A:$E,5,0),"")</f>
        <v/>
      </c>
      <c r="H136" s="7">
        <f>IFERROR(VLOOKUP(F136,TRAOPE!$AA:$AB,2,0),"")</f>
        <v/>
      </c>
      <c r="I136" s="7" t="n">
        <v>10018375</v>
      </c>
      <c r="J136" s="7">
        <f>IFERROR(VLOOKUP(I136,Materiales!$A:$H,8,0),"")</f>
        <v/>
      </c>
      <c r="K136" s="9">
        <f>IFERROR(VLOOKUP(I136,Materiales!$A:$G,7,0),"")</f>
        <v/>
      </c>
      <c r="L136" s="8" t="inlineStr">
        <is>
          <t>20220516</t>
        </is>
      </c>
      <c r="M136" s="8" t="inlineStr">
        <is>
          <t>20251031</t>
        </is>
      </c>
      <c r="N136" s="10" t="n">
        <v>45.45</v>
      </c>
      <c r="O136" s="10">
        <f>IFERROR(VLOOKUP(A136,Flete!$A:$J,10,0),"")</f>
        <v/>
      </c>
      <c r="P136" s="8" t="inlineStr">
        <is>
          <t>TN</t>
        </is>
      </c>
      <c r="Q136" s="10">
        <f>IFERROR(IFERROR(VLOOKUP(A136,TRAOPE!$A:$U,21,0),VLOOKUP(B136,TRAOPE!$A:$U,21,0)),"")</f>
        <v/>
      </c>
      <c r="R136" s="8">
        <f>IFERROR(IFERROR(VLOOKUP(A136,TRAOPE!$A:$W,23,0),VLOOKUP(B136,TRAOPE!$A:$W,23,0)),"")</f>
        <v/>
      </c>
      <c r="S136" s="10">
        <f>IF(AND(P136="TN",R136="TN"),N136+N(O136),IF(G136&amp;""="1",N(K136)*N136,(N136+N(O136))*N(K136)))</f>
        <v/>
      </c>
      <c r="T136" s="10">
        <f>IF(Q136="","",Q136-S136)</f>
        <v/>
      </c>
    </row>
    <row r="137">
      <c r="A137" s="7">
        <f>CONCATENATE(C137,E137,F137,I137)</f>
        <v/>
      </c>
      <c r="B137" s="7">
        <f>CONCATENATE(C137,E137,I137)</f>
        <v/>
      </c>
      <c r="C137" s="8" t="n">
        <v>900002733</v>
      </c>
      <c r="D137" s="7">
        <f>IFERROR(VLOOKUP(C137,TRAOPE!$G:$H,2,0),"")</f>
        <v/>
      </c>
      <c r="E137" s="8" t="inlineStr">
        <is>
          <t>DW68</t>
        </is>
      </c>
      <c r="F137" s="8" t="inlineStr">
        <is>
          <t>D242</t>
        </is>
      </c>
      <c r="G137" s="8">
        <f>IFERROR(VLOOKUP(A137,Flete!$A:$E,5,0),"")</f>
        <v/>
      </c>
      <c r="H137" s="7">
        <f>IFERROR(VLOOKUP(F137,TRAOPE!$AA:$AB,2,0),"")</f>
        <v/>
      </c>
      <c r="I137" s="7" t="n">
        <v>10018375</v>
      </c>
      <c r="J137" s="7">
        <f>IFERROR(VLOOKUP(I137,Materiales!$A:$H,8,0),"")</f>
        <v/>
      </c>
      <c r="K137" s="9">
        <f>IFERROR(VLOOKUP(I137,Materiales!$A:$G,7,0),"")</f>
        <v/>
      </c>
      <c r="L137" s="8" t="inlineStr">
        <is>
          <t>20220516</t>
        </is>
      </c>
      <c r="M137" s="8" t="inlineStr">
        <is>
          <t>20251031</t>
        </is>
      </c>
      <c r="N137" s="10" t="n">
        <v>45.45</v>
      </c>
      <c r="O137" s="10">
        <f>IFERROR(VLOOKUP(A137,Flete!$A:$J,10,0),"")</f>
        <v/>
      </c>
      <c r="P137" s="8" t="inlineStr">
        <is>
          <t>TN</t>
        </is>
      </c>
      <c r="Q137" s="10">
        <f>IFERROR(IFERROR(VLOOKUP(A137,TRAOPE!$A:$U,21,0),VLOOKUP(B137,TRAOPE!$A:$U,21,0)),"")</f>
        <v/>
      </c>
      <c r="R137" s="8">
        <f>IFERROR(IFERROR(VLOOKUP(A137,TRAOPE!$A:$W,23,0),VLOOKUP(B137,TRAOPE!$A:$W,23,0)),"")</f>
        <v/>
      </c>
      <c r="S137" s="10">
        <f>IF(AND(P137="TN",R137="TN"),N137+N(O137),IF(G137&amp;""="1",N(K137)*N137,(N137+N(O137))*N(K137)))</f>
        <v/>
      </c>
      <c r="T137" s="10">
        <f>IF(Q137="","",Q137-S137)</f>
        <v/>
      </c>
    </row>
    <row r="138">
      <c r="A138" s="7">
        <f>CONCATENATE(C138,E138,F138,I138)</f>
        <v/>
      </c>
      <c r="B138" s="7">
        <f>CONCATENATE(C138,E138,I138)</f>
        <v/>
      </c>
      <c r="C138" s="8" t="n">
        <v>900002733</v>
      </c>
      <c r="D138" s="7">
        <f>IFERROR(VLOOKUP(C138,TRAOPE!$G:$H,2,0),"")</f>
        <v/>
      </c>
      <c r="E138" s="8" t="inlineStr">
        <is>
          <t>DW68</t>
        </is>
      </c>
      <c r="F138" s="8" t="inlineStr">
        <is>
          <t>D251</t>
        </is>
      </c>
      <c r="G138" s="8">
        <f>IFERROR(VLOOKUP(A138,Flete!$A:$E,5,0),"")</f>
        <v/>
      </c>
      <c r="H138" s="7">
        <f>IFERROR(VLOOKUP(F138,TRAOPE!$AA:$AB,2,0),"")</f>
        <v/>
      </c>
      <c r="I138" s="7" t="n">
        <v>10018375</v>
      </c>
      <c r="J138" s="7">
        <f>IFERROR(VLOOKUP(I138,Materiales!$A:$H,8,0),"")</f>
        <v/>
      </c>
      <c r="K138" s="9">
        <f>IFERROR(VLOOKUP(I138,Materiales!$A:$G,7,0),"")</f>
        <v/>
      </c>
      <c r="L138" s="8" t="inlineStr">
        <is>
          <t>20220516</t>
        </is>
      </c>
      <c r="M138" s="8" t="inlineStr">
        <is>
          <t>20251031</t>
        </is>
      </c>
      <c r="N138" s="10" t="n">
        <v>45.45</v>
      </c>
      <c r="O138" s="10">
        <f>IFERROR(VLOOKUP(A138,Flete!$A:$J,10,0),"")</f>
        <v/>
      </c>
      <c r="P138" s="8" t="inlineStr">
        <is>
          <t>TN</t>
        </is>
      </c>
      <c r="Q138" s="10">
        <f>IFERROR(IFERROR(VLOOKUP(A138,TRAOPE!$A:$U,21,0),VLOOKUP(B138,TRAOPE!$A:$U,21,0)),"")</f>
        <v/>
      </c>
      <c r="R138" s="8">
        <f>IFERROR(IFERROR(VLOOKUP(A138,TRAOPE!$A:$W,23,0),VLOOKUP(B138,TRAOPE!$A:$W,23,0)),"")</f>
        <v/>
      </c>
      <c r="S138" s="10">
        <f>IF(AND(P138="TN",R138="TN"),N138+N(O138),IF(G138&amp;""="1",N(K138)*N138,(N138+N(O138))*N(K138)))</f>
        <v/>
      </c>
      <c r="T138" s="10">
        <f>IF(Q138="","",Q138-S138)</f>
        <v/>
      </c>
    </row>
    <row r="139">
      <c r="A139" s="7">
        <f>CONCATENATE(C139,E139,F139,I139)</f>
        <v/>
      </c>
      <c r="B139" s="7">
        <f>CONCATENATE(C139,E139,I139)</f>
        <v/>
      </c>
      <c r="C139" s="8" t="n">
        <v>900002733</v>
      </c>
      <c r="D139" s="7">
        <f>IFERROR(VLOOKUP(C139,TRAOPE!$G:$H,2,0),"")</f>
        <v/>
      </c>
      <c r="E139" s="8" t="inlineStr">
        <is>
          <t>DW68</t>
        </is>
      </c>
      <c r="F139" s="8" t="inlineStr">
        <is>
          <t>D264</t>
        </is>
      </c>
      <c r="G139" s="8">
        <f>IFERROR(VLOOKUP(A139,Flete!$A:$E,5,0),"")</f>
        <v/>
      </c>
      <c r="H139" s="7">
        <f>IFERROR(VLOOKUP(F139,TRAOPE!$AA:$AB,2,0),"")</f>
        <v/>
      </c>
      <c r="I139" s="7" t="n">
        <v>10018375</v>
      </c>
      <c r="J139" s="7">
        <f>IFERROR(VLOOKUP(I139,Materiales!$A:$H,8,0),"")</f>
        <v/>
      </c>
      <c r="K139" s="9">
        <f>IFERROR(VLOOKUP(I139,Materiales!$A:$G,7,0),"")</f>
        <v/>
      </c>
      <c r="L139" s="8" t="inlineStr">
        <is>
          <t>20220516</t>
        </is>
      </c>
      <c r="M139" s="8" t="inlineStr">
        <is>
          <t>20251031</t>
        </is>
      </c>
      <c r="N139" s="10" t="n">
        <v>45.45</v>
      </c>
      <c r="O139" s="10">
        <f>IFERROR(VLOOKUP(A139,Flete!$A:$J,10,0),"")</f>
        <v/>
      </c>
      <c r="P139" s="8" t="inlineStr">
        <is>
          <t>TN</t>
        </is>
      </c>
      <c r="Q139" s="10">
        <f>IFERROR(IFERROR(VLOOKUP(A139,TRAOPE!$A:$U,21,0),VLOOKUP(B139,TRAOPE!$A:$U,21,0)),"")</f>
        <v/>
      </c>
      <c r="R139" s="8">
        <f>IFERROR(IFERROR(VLOOKUP(A139,TRAOPE!$A:$W,23,0),VLOOKUP(B139,TRAOPE!$A:$W,23,0)),"")</f>
        <v/>
      </c>
      <c r="S139" s="10">
        <f>IF(AND(P139="TN",R139="TN"),N139+N(O139),IF(G139&amp;""="1",N(K139)*N139,(N139+N(O139))*N(K139)))</f>
        <v/>
      </c>
      <c r="T139" s="10">
        <f>IF(Q139="","",Q139-S139)</f>
        <v/>
      </c>
    </row>
    <row r="140">
      <c r="A140" s="7">
        <f>CONCATENATE(C140,E140,F140,I140)</f>
        <v/>
      </c>
      <c r="B140" s="7">
        <f>CONCATENATE(C140,E140,I140)</f>
        <v/>
      </c>
      <c r="C140" s="8" t="n">
        <v>900002733</v>
      </c>
      <c r="D140" s="7">
        <f>IFERROR(VLOOKUP(C140,TRAOPE!$G:$H,2,0),"")</f>
        <v/>
      </c>
      <c r="E140" s="8" t="inlineStr">
        <is>
          <t>DW68</t>
        </is>
      </c>
      <c r="F140" s="8" t="inlineStr">
        <is>
          <t>D267</t>
        </is>
      </c>
      <c r="G140" s="8">
        <f>IFERROR(VLOOKUP(A140,Flete!$A:$E,5,0),"")</f>
        <v/>
      </c>
      <c r="H140" s="7">
        <f>IFERROR(VLOOKUP(F140,TRAOPE!$AA:$AB,2,0),"")</f>
        <v/>
      </c>
      <c r="I140" s="7" t="n">
        <v>10018375</v>
      </c>
      <c r="J140" s="7">
        <f>IFERROR(VLOOKUP(I140,Materiales!$A:$H,8,0),"")</f>
        <v/>
      </c>
      <c r="K140" s="9">
        <f>IFERROR(VLOOKUP(I140,Materiales!$A:$G,7,0),"")</f>
        <v/>
      </c>
      <c r="L140" s="8" t="inlineStr">
        <is>
          <t>20220516</t>
        </is>
      </c>
      <c r="M140" s="8" t="inlineStr">
        <is>
          <t>20251031</t>
        </is>
      </c>
      <c r="N140" s="10" t="n">
        <v>45.45</v>
      </c>
      <c r="O140" s="10">
        <f>IFERROR(VLOOKUP(A140,Flete!$A:$J,10,0),"")</f>
        <v/>
      </c>
      <c r="P140" s="8" t="inlineStr">
        <is>
          <t>TN</t>
        </is>
      </c>
      <c r="Q140" s="10">
        <f>IFERROR(IFERROR(VLOOKUP(A140,TRAOPE!$A:$U,21,0),VLOOKUP(B140,TRAOPE!$A:$U,21,0)),"")</f>
        <v/>
      </c>
      <c r="R140" s="8">
        <f>IFERROR(IFERROR(VLOOKUP(A140,TRAOPE!$A:$W,23,0),VLOOKUP(B140,TRAOPE!$A:$W,23,0)),"")</f>
        <v/>
      </c>
      <c r="S140" s="10">
        <f>IF(AND(P140="TN",R140="TN"),N140+N(O140),IF(G140&amp;""="1",N(K140)*N140,(N140+N(O140))*N(K140)))</f>
        <v/>
      </c>
      <c r="T140" s="10">
        <f>IF(Q140="","",Q140-S140)</f>
        <v/>
      </c>
    </row>
    <row r="141">
      <c r="A141" s="7">
        <f>CONCATENATE(C141,E141,F141,I141)</f>
        <v/>
      </c>
      <c r="B141" s="7">
        <f>CONCATENATE(C141,E141,I141)</f>
        <v/>
      </c>
      <c r="C141" s="8" t="n">
        <v>900003794</v>
      </c>
      <c r="D141" s="7">
        <f>IFERROR(VLOOKUP(C141,TRAOPE!$G:$H,2,0),"")</f>
        <v/>
      </c>
      <c r="E141" s="8" t="inlineStr">
        <is>
          <t>DW68</t>
        </is>
      </c>
      <c r="F141" s="8" t="inlineStr">
        <is>
          <t>D042</t>
        </is>
      </c>
      <c r="G141" s="8">
        <f>IFERROR(VLOOKUP(A141,Flete!$A:$E,5,0),"")</f>
        <v/>
      </c>
      <c r="H141" s="7">
        <f>IFERROR(VLOOKUP(F141,TRAOPE!$AA:$AB,2,0),"")</f>
        <v/>
      </c>
      <c r="I141" s="7" t="n">
        <v>10000144</v>
      </c>
      <c r="J141" s="7">
        <f>IFERROR(VLOOKUP(I141,Materiales!$A:$H,8,0),"")</f>
        <v/>
      </c>
      <c r="K141" s="9">
        <f>IFERROR(VLOOKUP(I141,Materiales!$A:$G,7,0),"")</f>
        <v/>
      </c>
      <c r="L141" s="8" t="inlineStr">
        <is>
          <t>20231005</t>
        </is>
      </c>
      <c r="M141" s="8" t="inlineStr">
        <is>
          <t>20251031</t>
        </is>
      </c>
      <c r="N141" s="10" t="n">
        <v>395.76</v>
      </c>
      <c r="O141" s="10">
        <f>IFERROR(VLOOKUP(A141,Flete!$A:$J,10,0),"")</f>
        <v/>
      </c>
      <c r="P141" s="8" t="inlineStr">
        <is>
          <t>TN</t>
        </is>
      </c>
      <c r="Q141" s="10">
        <f>IFERROR(IFERROR(VLOOKUP(A141,TRAOPE!$A:$U,21,0),VLOOKUP(B141,TRAOPE!$A:$U,21,0)),"")</f>
        <v/>
      </c>
      <c r="R141" s="8">
        <f>IFERROR(IFERROR(VLOOKUP(A141,TRAOPE!$A:$W,23,0),VLOOKUP(B141,TRAOPE!$A:$W,23,0)),"")</f>
        <v/>
      </c>
      <c r="S141" s="10">
        <f>IF(AND(P141="TN",R141="TN"),N141+N(O141),IF(G141&amp;""="1",N(K141)*N141,(N141+N(O141))*N(K141)))</f>
        <v/>
      </c>
      <c r="T141" s="10">
        <f>IF(Q141="","",Q141-S141)</f>
        <v/>
      </c>
    </row>
    <row r="142">
      <c r="A142" s="7">
        <f>CONCATENATE(C142,E142,F142,I142)</f>
        <v/>
      </c>
      <c r="B142" s="7">
        <f>CONCATENATE(C142,E142,I142)</f>
        <v/>
      </c>
      <c r="C142" s="8" t="n">
        <v>900003805</v>
      </c>
      <c r="D142" s="7">
        <f>IFERROR(VLOOKUP(C142,TRAOPE!$G:$H,2,0),"")</f>
        <v/>
      </c>
      <c r="E142" s="8" t="inlineStr">
        <is>
          <t>DW68</t>
        </is>
      </c>
      <c r="F142" s="8" t="inlineStr">
        <is>
          <t>D042</t>
        </is>
      </c>
      <c r="G142" s="8">
        <f>IFERROR(VLOOKUP(A142,Flete!$A:$E,5,0),"")</f>
        <v/>
      </c>
      <c r="H142" s="7">
        <f>IFERROR(VLOOKUP(F142,TRAOPE!$AA:$AB,2,0),"")</f>
        <v/>
      </c>
      <c r="I142" s="7" t="n">
        <v>10018375</v>
      </c>
      <c r="J142" s="7">
        <f>IFERROR(VLOOKUP(I142,Materiales!$A:$H,8,0),"")</f>
        <v/>
      </c>
      <c r="K142" s="9">
        <f>IFERROR(VLOOKUP(I142,Materiales!$A:$G,7,0),"")</f>
        <v/>
      </c>
      <c r="L142" s="8" t="inlineStr">
        <is>
          <t>20210427</t>
        </is>
      </c>
      <c r="M142" s="8" t="inlineStr">
        <is>
          <t>20250812</t>
        </is>
      </c>
      <c r="N142" s="10" t="n">
        <v>60.98</v>
      </c>
      <c r="O142" s="10">
        <f>IFERROR(VLOOKUP(A142,Flete!$A:$J,10,0),"")</f>
        <v/>
      </c>
      <c r="P142" s="8" t="inlineStr">
        <is>
          <t>TN</t>
        </is>
      </c>
      <c r="Q142" s="10">
        <f>IFERROR(IFERROR(VLOOKUP(A142,TRAOPE!$A:$U,21,0),VLOOKUP(B142,TRAOPE!$A:$U,21,0)),"")</f>
        <v/>
      </c>
      <c r="R142" s="8">
        <f>IFERROR(IFERROR(VLOOKUP(A142,TRAOPE!$A:$W,23,0),VLOOKUP(B142,TRAOPE!$A:$W,23,0)),"")</f>
        <v/>
      </c>
      <c r="S142" s="10">
        <f>IF(AND(P142="TN",R142="TN"),N142+N(O142),IF(G142&amp;""="1",N(K142)*N142,(N142+N(O142))*N(K142)))</f>
        <v/>
      </c>
      <c r="T142" s="10">
        <f>IF(Q142="","",Q142-S142)</f>
        <v/>
      </c>
    </row>
    <row r="143">
      <c r="A143" s="7">
        <f>CONCATENATE(C143,E143,F143,I143)</f>
        <v/>
      </c>
      <c r="B143" s="7">
        <f>CONCATENATE(C143,E143,I143)</f>
        <v/>
      </c>
      <c r="C143" s="8" t="n">
        <v>900003805</v>
      </c>
      <c r="D143" s="7">
        <f>IFERROR(VLOOKUP(C143,TRAOPE!$G:$H,2,0),"")</f>
        <v/>
      </c>
      <c r="E143" s="8" t="inlineStr">
        <is>
          <t>DW68</t>
        </is>
      </c>
      <c r="F143" s="8" t="inlineStr">
        <is>
          <t>D209</t>
        </is>
      </c>
      <c r="G143" s="8">
        <f>IFERROR(VLOOKUP(A143,Flete!$A:$E,5,0),"")</f>
        <v/>
      </c>
      <c r="H143" s="7">
        <f>IFERROR(VLOOKUP(F143,TRAOPE!$AA:$AB,2,0),"")</f>
        <v/>
      </c>
      <c r="I143" s="7" t="n">
        <v>10018375</v>
      </c>
      <c r="J143" s="7">
        <f>IFERROR(VLOOKUP(I143,Materiales!$A:$H,8,0),"")</f>
        <v/>
      </c>
      <c r="K143" s="9">
        <f>IFERROR(VLOOKUP(I143,Materiales!$A:$G,7,0),"")</f>
        <v/>
      </c>
      <c r="L143" s="8" t="inlineStr">
        <is>
          <t>20210427</t>
        </is>
      </c>
      <c r="M143" s="8" t="inlineStr">
        <is>
          <t>20250812</t>
        </is>
      </c>
      <c r="N143" s="10" t="n">
        <v>62.12</v>
      </c>
      <c r="O143" s="10">
        <f>IFERROR(VLOOKUP(A143,Flete!$A:$J,10,0),"")</f>
        <v/>
      </c>
      <c r="P143" s="8" t="inlineStr">
        <is>
          <t>TN</t>
        </is>
      </c>
      <c r="Q143" s="10">
        <f>IFERROR(IFERROR(VLOOKUP(A143,TRAOPE!$A:$U,21,0),VLOOKUP(B143,TRAOPE!$A:$U,21,0)),"")</f>
        <v/>
      </c>
      <c r="R143" s="8">
        <f>IFERROR(IFERROR(VLOOKUP(A143,TRAOPE!$A:$W,23,0),VLOOKUP(B143,TRAOPE!$A:$W,23,0)),"")</f>
        <v/>
      </c>
      <c r="S143" s="10">
        <f>IF(AND(P143="TN",R143="TN"),N143+N(O143),IF(G143&amp;""="1",N(K143)*N143,(N143+N(O143))*N(K143)))</f>
        <v/>
      </c>
      <c r="T143" s="10">
        <f>IF(Q143="","",Q143-S143)</f>
        <v/>
      </c>
    </row>
    <row r="144">
      <c r="A144" s="7">
        <f>CONCATENATE(C144,E144,F144,I144)</f>
        <v/>
      </c>
      <c r="B144" s="7">
        <f>CONCATENATE(C144,E144,I144)</f>
        <v/>
      </c>
      <c r="C144" s="8" t="n">
        <v>900003805</v>
      </c>
      <c r="D144" s="7">
        <f>IFERROR(VLOOKUP(C144,TRAOPE!$G:$H,2,0),"")</f>
        <v/>
      </c>
      <c r="E144" s="8" t="inlineStr">
        <is>
          <t>DW68</t>
        </is>
      </c>
      <c r="F144" s="8" t="inlineStr">
        <is>
          <t>D211</t>
        </is>
      </c>
      <c r="G144" s="8">
        <f>IFERROR(VLOOKUP(A144,Flete!$A:$E,5,0),"")</f>
        <v/>
      </c>
      <c r="H144" s="7">
        <f>IFERROR(VLOOKUP(F144,TRAOPE!$AA:$AB,2,0),"")</f>
        <v/>
      </c>
      <c r="I144" s="7" t="n">
        <v>10018375</v>
      </c>
      <c r="J144" s="7">
        <f>IFERROR(VLOOKUP(I144,Materiales!$A:$H,8,0),"")</f>
        <v/>
      </c>
      <c r="K144" s="9">
        <f>IFERROR(VLOOKUP(I144,Materiales!$A:$G,7,0),"")</f>
        <v/>
      </c>
      <c r="L144" s="8" t="inlineStr">
        <is>
          <t>20210427</t>
        </is>
      </c>
      <c r="M144" s="8" t="inlineStr">
        <is>
          <t>20250812</t>
        </is>
      </c>
      <c r="N144" s="10" t="n">
        <v>60.91</v>
      </c>
      <c r="O144" s="10">
        <f>IFERROR(VLOOKUP(A144,Flete!$A:$J,10,0),"")</f>
        <v/>
      </c>
      <c r="P144" s="8" t="inlineStr">
        <is>
          <t>TN</t>
        </is>
      </c>
      <c r="Q144" s="10">
        <f>IFERROR(IFERROR(VLOOKUP(A144,TRAOPE!$A:$U,21,0),VLOOKUP(B144,TRAOPE!$A:$U,21,0)),"")</f>
        <v/>
      </c>
      <c r="R144" s="8">
        <f>IFERROR(IFERROR(VLOOKUP(A144,TRAOPE!$A:$W,23,0),VLOOKUP(B144,TRAOPE!$A:$W,23,0)),"")</f>
        <v/>
      </c>
      <c r="S144" s="10">
        <f>IF(AND(P144="TN",R144="TN"),N144+N(O144),IF(G144&amp;""="1",N(K144)*N144,(N144+N(O144))*N(K144)))</f>
        <v/>
      </c>
      <c r="T144" s="10">
        <f>IF(Q144="","",Q144-S144)</f>
        <v/>
      </c>
    </row>
    <row r="145">
      <c r="A145" s="7">
        <f>CONCATENATE(C145,E145,F145,I145)</f>
        <v/>
      </c>
      <c r="B145" s="7">
        <f>CONCATENATE(C145,E145,I145)</f>
        <v/>
      </c>
      <c r="C145" s="8" t="n">
        <v>900003805</v>
      </c>
      <c r="D145" s="7">
        <f>IFERROR(VLOOKUP(C145,TRAOPE!$G:$H,2,0),"")</f>
        <v/>
      </c>
      <c r="E145" s="8" t="inlineStr">
        <is>
          <t>DW68</t>
        </is>
      </c>
      <c r="F145" s="8" t="inlineStr">
        <is>
          <t>D214</t>
        </is>
      </c>
      <c r="G145" s="8">
        <f>IFERROR(VLOOKUP(A145,Flete!$A:$E,5,0),"")</f>
        <v/>
      </c>
      <c r="H145" s="7">
        <f>IFERROR(VLOOKUP(F145,TRAOPE!$AA:$AB,2,0),"")</f>
        <v/>
      </c>
      <c r="I145" s="7" t="n">
        <v>10018375</v>
      </c>
      <c r="J145" s="7">
        <f>IFERROR(VLOOKUP(I145,Materiales!$A:$H,8,0),"")</f>
        <v/>
      </c>
      <c r="K145" s="9">
        <f>IFERROR(VLOOKUP(I145,Materiales!$A:$G,7,0),"")</f>
        <v/>
      </c>
      <c r="L145" s="8" t="inlineStr">
        <is>
          <t>20210427</t>
        </is>
      </c>
      <c r="M145" s="8" t="inlineStr">
        <is>
          <t>20250812</t>
        </is>
      </c>
      <c r="N145" s="10" t="n">
        <v>61.55</v>
      </c>
      <c r="O145" s="10">
        <f>IFERROR(VLOOKUP(A145,Flete!$A:$J,10,0),"")</f>
        <v/>
      </c>
      <c r="P145" s="8" t="inlineStr">
        <is>
          <t>TN</t>
        </is>
      </c>
      <c r="Q145" s="10">
        <f>IFERROR(IFERROR(VLOOKUP(A145,TRAOPE!$A:$U,21,0),VLOOKUP(B145,TRAOPE!$A:$U,21,0)),"")</f>
        <v/>
      </c>
      <c r="R145" s="8">
        <f>IFERROR(IFERROR(VLOOKUP(A145,TRAOPE!$A:$W,23,0),VLOOKUP(B145,TRAOPE!$A:$W,23,0)),"")</f>
        <v/>
      </c>
      <c r="S145" s="10">
        <f>IF(AND(P145="TN",R145="TN"),N145+N(O145),IF(G145&amp;""="1",N(K145)*N145,(N145+N(O145))*N(K145)))</f>
        <v/>
      </c>
      <c r="T145" s="10">
        <f>IF(Q145="","",Q145-S145)</f>
        <v/>
      </c>
    </row>
    <row r="146">
      <c r="A146" s="7">
        <f>CONCATENATE(C146,E146,F146,I146)</f>
        <v/>
      </c>
      <c r="B146" s="7">
        <f>CONCATENATE(C146,E146,I146)</f>
        <v/>
      </c>
      <c r="C146" s="8" t="n">
        <v>900003805</v>
      </c>
      <c r="D146" s="7">
        <f>IFERROR(VLOOKUP(C146,TRAOPE!$G:$H,2,0),"")</f>
        <v/>
      </c>
      <c r="E146" s="8" t="inlineStr">
        <is>
          <t>DW68</t>
        </is>
      </c>
      <c r="F146" s="8" t="inlineStr">
        <is>
          <t>D228</t>
        </is>
      </c>
      <c r="G146" s="8">
        <f>IFERROR(VLOOKUP(A146,Flete!$A:$E,5,0),"")</f>
        <v/>
      </c>
      <c r="H146" s="7">
        <f>IFERROR(VLOOKUP(F146,TRAOPE!$AA:$AB,2,0),"")</f>
        <v/>
      </c>
      <c r="I146" s="7" t="n">
        <v>10018375</v>
      </c>
      <c r="J146" s="7">
        <f>IFERROR(VLOOKUP(I146,Materiales!$A:$H,8,0),"")</f>
        <v/>
      </c>
      <c r="K146" s="9">
        <f>IFERROR(VLOOKUP(I146,Materiales!$A:$G,7,0),"")</f>
        <v/>
      </c>
      <c r="L146" s="8" t="inlineStr">
        <is>
          <t>20210427</t>
        </is>
      </c>
      <c r="M146" s="8" t="inlineStr">
        <is>
          <t>20250812</t>
        </is>
      </c>
      <c r="N146" s="10" t="n">
        <v>59.85</v>
      </c>
      <c r="O146" s="10">
        <f>IFERROR(VLOOKUP(A146,Flete!$A:$J,10,0),"")</f>
        <v/>
      </c>
      <c r="P146" s="8" t="inlineStr">
        <is>
          <t>TN</t>
        </is>
      </c>
      <c r="Q146" s="10">
        <f>IFERROR(IFERROR(VLOOKUP(A146,TRAOPE!$A:$U,21,0),VLOOKUP(B146,TRAOPE!$A:$U,21,0)),"")</f>
        <v/>
      </c>
      <c r="R146" s="8">
        <f>IFERROR(IFERROR(VLOOKUP(A146,TRAOPE!$A:$W,23,0),VLOOKUP(B146,TRAOPE!$A:$W,23,0)),"")</f>
        <v/>
      </c>
      <c r="S146" s="10">
        <f>IF(AND(P146="TN",R146="TN"),N146+N(O146),IF(G146&amp;""="1",N(K146)*N146,(N146+N(O146))*N(K146)))</f>
        <v/>
      </c>
      <c r="T146" s="10">
        <f>IF(Q146="","",Q146-S146)</f>
        <v/>
      </c>
    </row>
    <row r="147">
      <c r="A147" s="7">
        <f>CONCATENATE(C147,E147,F147,I147)</f>
        <v/>
      </c>
      <c r="B147" s="7">
        <f>CONCATENATE(C147,E147,I147)</f>
        <v/>
      </c>
      <c r="C147" s="8" t="n">
        <v>900003805</v>
      </c>
      <c r="D147" s="7">
        <f>IFERROR(VLOOKUP(C147,TRAOPE!$G:$H,2,0),"")</f>
        <v/>
      </c>
      <c r="E147" s="8" t="inlineStr">
        <is>
          <t>DW68</t>
        </is>
      </c>
      <c r="F147" s="8" t="inlineStr">
        <is>
          <t>D242</t>
        </is>
      </c>
      <c r="G147" s="8">
        <f>IFERROR(VLOOKUP(A147,Flete!$A:$E,5,0),"")</f>
        <v/>
      </c>
      <c r="H147" s="7">
        <f>IFERROR(VLOOKUP(F147,TRAOPE!$AA:$AB,2,0),"")</f>
        <v/>
      </c>
      <c r="I147" s="7" t="n">
        <v>10018375</v>
      </c>
      <c r="J147" s="7">
        <f>IFERROR(VLOOKUP(I147,Materiales!$A:$H,8,0),"")</f>
        <v/>
      </c>
      <c r="K147" s="9">
        <f>IFERROR(VLOOKUP(I147,Materiales!$A:$G,7,0),"")</f>
        <v/>
      </c>
      <c r="L147" s="8" t="inlineStr">
        <is>
          <t>20210427</t>
        </is>
      </c>
      <c r="M147" s="8" t="inlineStr">
        <is>
          <t>20250812</t>
        </is>
      </c>
      <c r="N147" s="10" t="n">
        <v>61.1</v>
      </c>
      <c r="O147" s="10">
        <f>IFERROR(VLOOKUP(A147,Flete!$A:$J,10,0),"")</f>
        <v/>
      </c>
      <c r="P147" s="8" t="inlineStr">
        <is>
          <t>TN</t>
        </is>
      </c>
      <c r="Q147" s="10">
        <f>IFERROR(IFERROR(VLOOKUP(A147,TRAOPE!$A:$U,21,0),VLOOKUP(B147,TRAOPE!$A:$U,21,0)),"")</f>
        <v/>
      </c>
      <c r="R147" s="8">
        <f>IFERROR(IFERROR(VLOOKUP(A147,TRAOPE!$A:$W,23,0),VLOOKUP(B147,TRAOPE!$A:$W,23,0)),"")</f>
        <v/>
      </c>
      <c r="S147" s="10">
        <f>IF(AND(P147="TN",R147="TN"),N147+N(O147),IF(G147&amp;""="1",N(K147)*N147,(N147+N(O147))*N(K147)))</f>
        <v/>
      </c>
      <c r="T147" s="10">
        <f>IF(Q147="","",Q147-S147)</f>
        <v/>
      </c>
    </row>
    <row r="148">
      <c r="A148" s="7">
        <f>CONCATENATE(C148,E148,F148,I148)</f>
        <v/>
      </c>
      <c r="B148" s="7">
        <f>CONCATENATE(C148,E148,I148)</f>
        <v/>
      </c>
      <c r="C148" s="8" t="n">
        <v>900003805</v>
      </c>
      <c r="D148" s="7">
        <f>IFERROR(VLOOKUP(C148,TRAOPE!$G:$H,2,0),"")</f>
        <v/>
      </c>
      <c r="E148" s="8" t="inlineStr">
        <is>
          <t>DW68</t>
        </is>
      </c>
      <c r="F148" s="8" t="inlineStr">
        <is>
          <t>D251</t>
        </is>
      </c>
      <c r="G148" s="8">
        <f>IFERROR(VLOOKUP(A148,Flete!$A:$E,5,0),"")</f>
        <v/>
      </c>
      <c r="H148" s="7">
        <f>IFERROR(VLOOKUP(F148,TRAOPE!$AA:$AB,2,0),"")</f>
        <v/>
      </c>
      <c r="I148" s="7" t="n">
        <v>10018375</v>
      </c>
      <c r="J148" s="7">
        <f>IFERROR(VLOOKUP(I148,Materiales!$A:$H,8,0),"")</f>
        <v/>
      </c>
      <c r="K148" s="9">
        <f>IFERROR(VLOOKUP(I148,Materiales!$A:$G,7,0),"")</f>
        <v/>
      </c>
      <c r="L148" s="8" t="inlineStr">
        <is>
          <t>20210427</t>
        </is>
      </c>
      <c r="M148" s="8" t="inlineStr">
        <is>
          <t>20250812</t>
        </is>
      </c>
      <c r="N148" s="10" t="n">
        <v>63.03</v>
      </c>
      <c r="O148" s="10">
        <f>IFERROR(VLOOKUP(A148,Flete!$A:$J,10,0),"")</f>
        <v/>
      </c>
      <c r="P148" s="8" t="inlineStr">
        <is>
          <t>TN</t>
        </is>
      </c>
      <c r="Q148" s="10">
        <f>IFERROR(IFERROR(VLOOKUP(A148,TRAOPE!$A:$U,21,0),VLOOKUP(B148,TRAOPE!$A:$U,21,0)),"")</f>
        <v/>
      </c>
      <c r="R148" s="8">
        <f>IFERROR(IFERROR(VLOOKUP(A148,TRAOPE!$A:$W,23,0),VLOOKUP(B148,TRAOPE!$A:$W,23,0)),"")</f>
        <v/>
      </c>
      <c r="S148" s="10">
        <f>IF(AND(P148="TN",R148="TN"),N148+N(O148),IF(G148&amp;""="1",N(K148)*N148,(N148+N(O148))*N(K148)))</f>
        <v/>
      </c>
      <c r="T148" s="10">
        <f>IF(Q148="","",Q148-S148)</f>
        <v/>
      </c>
    </row>
    <row r="149">
      <c r="A149" s="7">
        <f>CONCATENATE(C149,E149,F149,I149)</f>
        <v/>
      </c>
      <c r="B149" s="7">
        <f>CONCATENATE(C149,E149,I149)</f>
        <v/>
      </c>
      <c r="C149" s="8" t="n">
        <v>900003805</v>
      </c>
      <c r="D149" s="7">
        <f>IFERROR(VLOOKUP(C149,TRAOPE!$G:$H,2,0),"")</f>
        <v/>
      </c>
      <c r="E149" s="8" t="inlineStr">
        <is>
          <t>DW68</t>
        </is>
      </c>
      <c r="F149" s="8" t="inlineStr">
        <is>
          <t>D264</t>
        </is>
      </c>
      <c r="G149" s="8">
        <f>IFERROR(VLOOKUP(A149,Flete!$A:$E,5,0),"")</f>
        <v/>
      </c>
      <c r="H149" s="7">
        <f>IFERROR(VLOOKUP(F149,TRAOPE!$AA:$AB,2,0),"")</f>
        <v/>
      </c>
      <c r="I149" s="7" t="n">
        <v>10018375</v>
      </c>
      <c r="J149" s="7">
        <f>IFERROR(VLOOKUP(I149,Materiales!$A:$H,8,0),"")</f>
        <v/>
      </c>
      <c r="K149" s="9">
        <f>IFERROR(VLOOKUP(I149,Materiales!$A:$G,7,0),"")</f>
        <v/>
      </c>
      <c r="L149" s="8" t="inlineStr">
        <is>
          <t>20210427</t>
        </is>
      </c>
      <c r="M149" s="8" t="inlineStr">
        <is>
          <t>20250812</t>
        </is>
      </c>
      <c r="N149" s="10" t="n">
        <v>60.91</v>
      </c>
      <c r="O149" s="10">
        <f>IFERROR(VLOOKUP(A149,Flete!$A:$J,10,0),"")</f>
        <v/>
      </c>
      <c r="P149" s="8" t="inlineStr">
        <is>
          <t>TN</t>
        </is>
      </c>
      <c r="Q149" s="10">
        <f>IFERROR(IFERROR(VLOOKUP(A149,TRAOPE!$A:$U,21,0),VLOOKUP(B149,TRAOPE!$A:$U,21,0)),"")</f>
        <v/>
      </c>
      <c r="R149" s="8">
        <f>IFERROR(IFERROR(VLOOKUP(A149,TRAOPE!$A:$W,23,0),VLOOKUP(B149,TRAOPE!$A:$W,23,0)),"")</f>
        <v/>
      </c>
      <c r="S149" s="10">
        <f>IF(AND(P149="TN",R149="TN"),N149+N(O149),IF(G149&amp;""="1",N(K149)*N149,(N149+N(O149))*N(K149)))</f>
        <v/>
      </c>
      <c r="T149" s="10">
        <f>IF(Q149="","",Q149-S149)</f>
        <v/>
      </c>
    </row>
    <row r="150">
      <c r="A150" s="7">
        <f>CONCATENATE(C150,E150,F150,I150)</f>
        <v/>
      </c>
      <c r="B150" s="7">
        <f>CONCATENATE(C150,E150,I150)</f>
        <v/>
      </c>
      <c r="C150" s="8" t="n">
        <v>900003805</v>
      </c>
      <c r="D150" s="7">
        <f>IFERROR(VLOOKUP(C150,TRAOPE!$G:$H,2,0),"")</f>
        <v/>
      </c>
      <c r="E150" s="8" t="inlineStr">
        <is>
          <t>DW68</t>
        </is>
      </c>
      <c r="F150" s="8" t="inlineStr">
        <is>
          <t>D267</t>
        </is>
      </c>
      <c r="G150" s="8">
        <f>IFERROR(VLOOKUP(A150,Flete!$A:$E,5,0),"")</f>
        <v/>
      </c>
      <c r="H150" s="7">
        <f>IFERROR(VLOOKUP(F150,TRAOPE!$AA:$AB,2,0),"")</f>
        <v/>
      </c>
      <c r="I150" s="7" t="n">
        <v>10018375</v>
      </c>
      <c r="J150" s="7">
        <f>IFERROR(VLOOKUP(I150,Materiales!$A:$H,8,0),"")</f>
        <v/>
      </c>
      <c r="K150" s="9">
        <f>IFERROR(VLOOKUP(I150,Materiales!$A:$G,7,0),"")</f>
        <v/>
      </c>
      <c r="L150" s="8" t="inlineStr">
        <is>
          <t>20210427</t>
        </is>
      </c>
      <c r="M150" s="8" t="inlineStr">
        <is>
          <t>20250812</t>
        </is>
      </c>
      <c r="N150" s="10" t="n">
        <v>62.12</v>
      </c>
      <c r="O150" s="10">
        <f>IFERROR(VLOOKUP(A150,Flete!$A:$J,10,0),"")</f>
        <v/>
      </c>
      <c r="P150" s="8" t="inlineStr">
        <is>
          <t>TN</t>
        </is>
      </c>
      <c r="Q150" s="10">
        <f>IFERROR(IFERROR(VLOOKUP(A150,TRAOPE!$A:$U,21,0),VLOOKUP(B150,TRAOPE!$A:$U,21,0)),"")</f>
        <v/>
      </c>
      <c r="R150" s="8">
        <f>IFERROR(IFERROR(VLOOKUP(A150,TRAOPE!$A:$W,23,0),VLOOKUP(B150,TRAOPE!$A:$W,23,0)),"")</f>
        <v/>
      </c>
      <c r="S150" s="10">
        <f>IF(AND(P150="TN",R150="TN"),N150+N(O150),IF(G150&amp;""="1",N(K150)*N150,(N150+N(O150))*N(K150)))</f>
        <v/>
      </c>
      <c r="T150" s="10">
        <f>IF(Q150="","",Q150-S150)</f>
        <v/>
      </c>
    </row>
    <row r="151">
      <c r="A151" s="7">
        <f>CONCATENATE(C151,E151,F151,I151)</f>
        <v/>
      </c>
      <c r="B151" s="7">
        <f>CONCATENATE(C151,E151,I151)</f>
        <v/>
      </c>
      <c r="C151" s="8" t="n">
        <v>900004065</v>
      </c>
      <c r="D151" s="7">
        <f>IFERROR(VLOOKUP(C151,TRAOPE!$G:$H,2,0),"")</f>
        <v/>
      </c>
      <c r="E151" s="8" t="inlineStr">
        <is>
          <t>DW68</t>
        </is>
      </c>
      <c r="F151" s="8" t="inlineStr">
        <is>
          <t>D042</t>
        </is>
      </c>
      <c r="G151" s="8">
        <f>IFERROR(VLOOKUP(A151,Flete!$A:$E,5,0),"")</f>
        <v/>
      </c>
      <c r="H151" s="7">
        <f>IFERROR(VLOOKUP(F151,TRAOPE!$AA:$AB,2,0),"")</f>
        <v/>
      </c>
      <c r="I151" s="7" t="n">
        <v>10000320</v>
      </c>
      <c r="J151" s="7">
        <f>IFERROR(VLOOKUP(I151,Materiales!$A:$H,8,0),"")</f>
        <v/>
      </c>
      <c r="K151" s="9">
        <f>IFERROR(VLOOKUP(I151,Materiales!$A:$G,7,0),"")</f>
        <v/>
      </c>
      <c r="L151" s="8" t="inlineStr">
        <is>
          <t>20260201</t>
        </is>
      </c>
      <c r="M151" s="8" t="inlineStr">
        <is>
          <t>99991231</t>
        </is>
      </c>
      <c r="N151" s="10" t="n">
        <v>109.2</v>
      </c>
      <c r="O151" s="10">
        <f>IFERROR(VLOOKUP(A151,Flete!$A:$J,10,0),"")</f>
        <v/>
      </c>
      <c r="P151" s="8" t="inlineStr">
        <is>
          <t>TN</t>
        </is>
      </c>
      <c r="Q151" s="10">
        <f>IFERROR(IFERROR(VLOOKUP(A151,TRAOPE!$A:$U,21,0),VLOOKUP(B151,TRAOPE!$A:$U,21,0)),"")</f>
        <v/>
      </c>
      <c r="R151" s="8">
        <f>IFERROR(IFERROR(VLOOKUP(A151,TRAOPE!$A:$W,23,0),VLOOKUP(B151,TRAOPE!$A:$W,23,0)),"")</f>
        <v/>
      </c>
      <c r="S151" s="10">
        <f>IF(AND(P151="TN",R151="TN"),N151+N(O151),IF(G151&amp;""="1",N(K151)*N151,(N151+N(O151))*N(K151)))</f>
        <v/>
      </c>
      <c r="T151" s="10">
        <f>IF(Q151="","",Q151-S151)</f>
        <v/>
      </c>
    </row>
    <row r="152">
      <c r="A152" s="7">
        <f>CONCATENATE(C152,E152,F152,I152)</f>
        <v/>
      </c>
      <c r="B152" s="7">
        <f>CONCATENATE(C152,E152,I152)</f>
        <v/>
      </c>
      <c r="C152" s="8" t="n">
        <v>900004065</v>
      </c>
      <c r="D152" s="7">
        <f>IFERROR(VLOOKUP(C152,TRAOPE!$G:$H,2,0),"")</f>
        <v/>
      </c>
      <c r="E152" s="8" t="inlineStr">
        <is>
          <t>DW68</t>
        </is>
      </c>
      <c r="F152" s="8" t="inlineStr">
        <is>
          <t>D042</t>
        </is>
      </c>
      <c r="G152" s="8">
        <f>IFERROR(VLOOKUP(A152,Flete!$A:$E,5,0),"")</f>
        <v/>
      </c>
      <c r="H152" s="7">
        <f>IFERROR(VLOOKUP(F152,TRAOPE!$AA:$AB,2,0),"")</f>
        <v/>
      </c>
      <c r="I152" s="7" t="n">
        <v>10031878</v>
      </c>
      <c r="J152" s="7">
        <f>IFERROR(VLOOKUP(I152,Materiales!$A:$H,8,0),"")</f>
        <v/>
      </c>
      <c r="K152" s="9">
        <f>IFERROR(VLOOKUP(I152,Materiales!$A:$G,7,0),"")</f>
        <v/>
      </c>
      <c r="L152" s="8" t="inlineStr">
        <is>
          <t>20260201</t>
        </is>
      </c>
      <c r="M152" s="8" t="inlineStr">
        <is>
          <t>99991231</t>
        </is>
      </c>
      <c r="N152" s="10" t="n">
        <v>104</v>
      </c>
      <c r="O152" s="10">
        <f>IFERROR(VLOOKUP(A152,Flete!$A:$J,10,0),"")</f>
        <v/>
      </c>
      <c r="P152" s="8" t="inlineStr">
        <is>
          <t>TN</t>
        </is>
      </c>
      <c r="Q152" s="10">
        <f>IFERROR(IFERROR(VLOOKUP(A152,TRAOPE!$A:$U,21,0),VLOOKUP(B152,TRAOPE!$A:$U,21,0)),"")</f>
        <v/>
      </c>
      <c r="R152" s="8">
        <f>IFERROR(IFERROR(VLOOKUP(A152,TRAOPE!$A:$W,23,0),VLOOKUP(B152,TRAOPE!$A:$W,23,0)),"")</f>
        <v/>
      </c>
      <c r="S152" s="10">
        <f>IF(AND(P152="TN",R152="TN"),N152+N(O152),IF(G152&amp;""="1",N(K152)*N152,(N152+N(O152))*N(K152)))</f>
        <v/>
      </c>
      <c r="T152" s="10">
        <f>IF(Q152="","",Q152-S152)</f>
        <v/>
      </c>
    </row>
    <row r="153">
      <c r="A153" s="7">
        <f>CONCATENATE(C153,E153,F153,I153)</f>
        <v/>
      </c>
      <c r="B153" s="7">
        <f>CONCATENATE(C153,E153,I153)</f>
        <v/>
      </c>
      <c r="C153" s="8" t="n">
        <v>900004065</v>
      </c>
      <c r="D153" s="7">
        <f>IFERROR(VLOOKUP(C153,TRAOPE!$G:$H,2,0),"")</f>
        <v/>
      </c>
      <c r="E153" s="8" t="inlineStr">
        <is>
          <t>DW68</t>
        </is>
      </c>
      <c r="F153" s="8" t="inlineStr">
        <is>
          <t>D175</t>
        </is>
      </c>
      <c r="G153" s="8">
        <f>IFERROR(VLOOKUP(A153,Flete!$A:$E,5,0),"")</f>
        <v/>
      </c>
      <c r="H153" s="7">
        <f>IFERROR(VLOOKUP(F153,TRAOPE!$AA:$AB,2,0),"")</f>
        <v/>
      </c>
      <c r="I153" s="7" t="n">
        <v>10000320</v>
      </c>
      <c r="J153" s="7">
        <f>IFERROR(VLOOKUP(I153,Materiales!$A:$H,8,0),"")</f>
        <v/>
      </c>
      <c r="K153" s="9">
        <f>IFERROR(VLOOKUP(I153,Materiales!$A:$G,7,0),"")</f>
        <v/>
      </c>
      <c r="L153" s="8" t="inlineStr">
        <is>
          <t>20260201</t>
        </is>
      </c>
      <c r="M153" s="8" t="inlineStr">
        <is>
          <t>99991231</t>
        </is>
      </c>
      <c r="N153" s="10" t="n">
        <v>109.2</v>
      </c>
      <c r="O153" s="10">
        <f>IFERROR(VLOOKUP(A153,Flete!$A:$J,10,0),"")</f>
        <v/>
      </c>
      <c r="P153" s="8" t="inlineStr">
        <is>
          <t>TN</t>
        </is>
      </c>
      <c r="Q153" s="10">
        <f>IFERROR(IFERROR(VLOOKUP(A153,TRAOPE!$A:$U,21,0),VLOOKUP(B153,TRAOPE!$A:$U,21,0)),"")</f>
        <v/>
      </c>
      <c r="R153" s="8">
        <f>IFERROR(IFERROR(VLOOKUP(A153,TRAOPE!$A:$W,23,0),VLOOKUP(B153,TRAOPE!$A:$W,23,0)),"")</f>
        <v/>
      </c>
      <c r="S153" s="10">
        <f>IF(AND(P153="TN",R153="TN"),N153+N(O153),IF(G153&amp;""="1",N(K153)*N153,(N153+N(O153))*N(K153)))</f>
        <v/>
      </c>
      <c r="T153" s="10">
        <f>IF(Q153="","",Q153-S153)</f>
        <v/>
      </c>
    </row>
    <row r="154">
      <c r="A154" s="7">
        <f>CONCATENATE(C154,E154,F154,I154)</f>
        <v/>
      </c>
      <c r="B154" s="7">
        <f>CONCATENATE(C154,E154,I154)</f>
        <v/>
      </c>
      <c r="C154" s="8" t="n">
        <v>900004065</v>
      </c>
      <c r="D154" s="7">
        <f>IFERROR(VLOOKUP(C154,TRAOPE!$G:$H,2,0),"")</f>
        <v/>
      </c>
      <c r="E154" s="8" t="inlineStr">
        <is>
          <t>DW68</t>
        </is>
      </c>
      <c r="F154" s="8" t="inlineStr">
        <is>
          <t>D175</t>
        </is>
      </c>
      <c r="G154" s="8">
        <f>IFERROR(VLOOKUP(A154,Flete!$A:$E,5,0),"")</f>
        <v/>
      </c>
      <c r="H154" s="7">
        <f>IFERROR(VLOOKUP(F154,TRAOPE!$AA:$AB,2,0),"")</f>
        <v/>
      </c>
      <c r="I154" s="7" t="n">
        <v>10031878</v>
      </c>
      <c r="J154" s="7">
        <f>IFERROR(VLOOKUP(I154,Materiales!$A:$H,8,0),"")</f>
        <v/>
      </c>
      <c r="K154" s="9">
        <f>IFERROR(VLOOKUP(I154,Materiales!$A:$G,7,0),"")</f>
        <v/>
      </c>
      <c r="L154" s="8" t="inlineStr">
        <is>
          <t>20260201</t>
        </is>
      </c>
      <c r="M154" s="8" t="inlineStr">
        <is>
          <t>99991231</t>
        </is>
      </c>
      <c r="N154" s="10" t="n">
        <v>104</v>
      </c>
      <c r="O154" s="10">
        <f>IFERROR(VLOOKUP(A154,Flete!$A:$J,10,0),"")</f>
        <v/>
      </c>
      <c r="P154" s="8" t="inlineStr">
        <is>
          <t>TN</t>
        </is>
      </c>
      <c r="Q154" s="10">
        <f>IFERROR(IFERROR(VLOOKUP(A154,TRAOPE!$A:$U,21,0),VLOOKUP(B154,TRAOPE!$A:$U,21,0)),"")</f>
        <v/>
      </c>
      <c r="R154" s="8">
        <f>IFERROR(IFERROR(VLOOKUP(A154,TRAOPE!$A:$W,23,0),VLOOKUP(B154,TRAOPE!$A:$W,23,0)),"")</f>
        <v/>
      </c>
      <c r="S154" s="10">
        <f>IF(AND(P154="TN",R154="TN"),N154+N(O154),IF(G154&amp;""="1",N(K154)*N154,(N154+N(O154))*N(K154)))</f>
        <v/>
      </c>
      <c r="T154" s="10">
        <f>IF(Q154="","",Q154-S154)</f>
        <v/>
      </c>
    </row>
    <row r="155">
      <c r="A155" s="7">
        <f>CONCATENATE(C155,E155,F155,I155)</f>
        <v/>
      </c>
      <c r="B155" s="7">
        <f>CONCATENATE(C155,E155,I155)</f>
        <v/>
      </c>
      <c r="C155" s="8" t="n">
        <v>900004065</v>
      </c>
      <c r="D155" s="7">
        <f>IFERROR(VLOOKUP(C155,TRAOPE!$G:$H,2,0),"")</f>
        <v/>
      </c>
      <c r="E155" s="8" t="inlineStr">
        <is>
          <t>DW68</t>
        </is>
      </c>
      <c r="F155" s="8" t="inlineStr">
        <is>
          <t>D209</t>
        </is>
      </c>
      <c r="G155" s="8">
        <f>IFERROR(VLOOKUP(A155,Flete!$A:$E,5,0),"")</f>
        <v/>
      </c>
      <c r="H155" s="7">
        <f>IFERROR(VLOOKUP(F155,TRAOPE!$AA:$AB,2,0),"")</f>
        <v/>
      </c>
      <c r="I155" s="7" t="n">
        <v>10000320</v>
      </c>
      <c r="J155" s="7">
        <f>IFERROR(VLOOKUP(I155,Materiales!$A:$H,8,0),"")</f>
        <v/>
      </c>
      <c r="K155" s="9">
        <f>IFERROR(VLOOKUP(I155,Materiales!$A:$G,7,0),"")</f>
        <v/>
      </c>
      <c r="L155" s="8" t="inlineStr">
        <is>
          <t>20260201</t>
        </is>
      </c>
      <c r="M155" s="8" t="inlineStr">
        <is>
          <t>99991231</t>
        </is>
      </c>
      <c r="N155" s="10" t="n">
        <v>109.2</v>
      </c>
      <c r="O155" s="10">
        <f>IFERROR(VLOOKUP(A155,Flete!$A:$J,10,0),"")</f>
        <v/>
      </c>
      <c r="P155" s="8" t="inlineStr">
        <is>
          <t>TN</t>
        </is>
      </c>
      <c r="Q155" s="10">
        <f>IFERROR(IFERROR(VLOOKUP(A155,TRAOPE!$A:$U,21,0),VLOOKUP(B155,TRAOPE!$A:$U,21,0)),"")</f>
        <v/>
      </c>
      <c r="R155" s="8">
        <f>IFERROR(IFERROR(VLOOKUP(A155,TRAOPE!$A:$W,23,0),VLOOKUP(B155,TRAOPE!$A:$W,23,0)),"")</f>
        <v/>
      </c>
      <c r="S155" s="10">
        <f>IF(AND(P155="TN",R155="TN"),N155+N(O155),IF(G155&amp;""="1",N(K155)*N155,(N155+N(O155))*N(K155)))</f>
        <v/>
      </c>
      <c r="T155" s="10">
        <f>IF(Q155="","",Q155-S155)</f>
        <v/>
      </c>
    </row>
    <row r="156">
      <c r="A156" s="7">
        <f>CONCATENATE(C156,E156,F156,I156)</f>
        <v/>
      </c>
      <c r="B156" s="7">
        <f>CONCATENATE(C156,E156,I156)</f>
        <v/>
      </c>
      <c r="C156" s="8" t="n">
        <v>900004065</v>
      </c>
      <c r="D156" s="7">
        <f>IFERROR(VLOOKUP(C156,TRAOPE!$G:$H,2,0),"")</f>
        <v/>
      </c>
      <c r="E156" s="8" t="inlineStr">
        <is>
          <t>DW68</t>
        </is>
      </c>
      <c r="F156" s="8" t="inlineStr">
        <is>
          <t>D209</t>
        </is>
      </c>
      <c r="G156" s="8">
        <f>IFERROR(VLOOKUP(A156,Flete!$A:$E,5,0),"")</f>
        <v/>
      </c>
      <c r="H156" s="7">
        <f>IFERROR(VLOOKUP(F156,TRAOPE!$AA:$AB,2,0),"")</f>
        <v/>
      </c>
      <c r="I156" s="7" t="n">
        <v>10031878</v>
      </c>
      <c r="J156" s="7">
        <f>IFERROR(VLOOKUP(I156,Materiales!$A:$H,8,0),"")</f>
        <v/>
      </c>
      <c r="K156" s="9">
        <f>IFERROR(VLOOKUP(I156,Materiales!$A:$G,7,0),"")</f>
        <v/>
      </c>
      <c r="L156" s="8" t="inlineStr">
        <is>
          <t>20260201</t>
        </is>
      </c>
      <c r="M156" s="8" t="inlineStr">
        <is>
          <t>99991231</t>
        </is>
      </c>
      <c r="N156" s="10" t="n">
        <v>104</v>
      </c>
      <c r="O156" s="10">
        <f>IFERROR(VLOOKUP(A156,Flete!$A:$J,10,0),"")</f>
        <v/>
      </c>
      <c r="P156" s="8" t="inlineStr">
        <is>
          <t>TN</t>
        </is>
      </c>
      <c r="Q156" s="10">
        <f>IFERROR(IFERROR(VLOOKUP(A156,TRAOPE!$A:$U,21,0),VLOOKUP(B156,TRAOPE!$A:$U,21,0)),"")</f>
        <v/>
      </c>
      <c r="R156" s="8">
        <f>IFERROR(IFERROR(VLOOKUP(A156,TRAOPE!$A:$W,23,0),VLOOKUP(B156,TRAOPE!$A:$W,23,0)),"")</f>
        <v/>
      </c>
      <c r="S156" s="10">
        <f>IF(AND(P156="TN",R156="TN"),N156+N(O156),IF(G156&amp;""="1",N(K156)*N156,(N156+N(O156))*N(K156)))</f>
        <v/>
      </c>
      <c r="T156" s="10">
        <f>IF(Q156="","",Q156-S156)</f>
        <v/>
      </c>
    </row>
    <row r="157">
      <c r="A157" s="7">
        <f>CONCATENATE(C157,E157,F157,I157)</f>
        <v/>
      </c>
      <c r="B157" s="7">
        <f>CONCATENATE(C157,E157,I157)</f>
        <v/>
      </c>
      <c r="C157" s="8" t="n">
        <v>900004065</v>
      </c>
      <c r="D157" s="7">
        <f>IFERROR(VLOOKUP(C157,TRAOPE!$G:$H,2,0),"")</f>
        <v/>
      </c>
      <c r="E157" s="8" t="inlineStr">
        <is>
          <t>DW68</t>
        </is>
      </c>
      <c r="F157" s="8" t="inlineStr">
        <is>
          <t>D211</t>
        </is>
      </c>
      <c r="G157" s="8">
        <f>IFERROR(VLOOKUP(A157,Flete!$A:$E,5,0),"")</f>
        <v/>
      </c>
      <c r="H157" s="7">
        <f>IFERROR(VLOOKUP(F157,TRAOPE!$AA:$AB,2,0),"")</f>
        <v/>
      </c>
      <c r="I157" s="7" t="n">
        <v>10000320</v>
      </c>
      <c r="J157" s="7">
        <f>IFERROR(VLOOKUP(I157,Materiales!$A:$H,8,0),"")</f>
        <v/>
      </c>
      <c r="K157" s="9">
        <f>IFERROR(VLOOKUP(I157,Materiales!$A:$G,7,0),"")</f>
        <v/>
      </c>
      <c r="L157" s="8" t="inlineStr">
        <is>
          <t>20260201</t>
        </is>
      </c>
      <c r="M157" s="8" t="inlineStr">
        <is>
          <t>99991231</t>
        </is>
      </c>
      <c r="N157" s="10" t="n">
        <v>109.2</v>
      </c>
      <c r="O157" s="10">
        <f>IFERROR(VLOOKUP(A157,Flete!$A:$J,10,0),"")</f>
        <v/>
      </c>
      <c r="P157" s="8" t="inlineStr">
        <is>
          <t>TN</t>
        </is>
      </c>
      <c r="Q157" s="10">
        <f>IFERROR(IFERROR(VLOOKUP(A157,TRAOPE!$A:$U,21,0),VLOOKUP(B157,TRAOPE!$A:$U,21,0)),"")</f>
        <v/>
      </c>
      <c r="R157" s="8">
        <f>IFERROR(IFERROR(VLOOKUP(A157,TRAOPE!$A:$W,23,0),VLOOKUP(B157,TRAOPE!$A:$W,23,0)),"")</f>
        <v/>
      </c>
      <c r="S157" s="10">
        <f>IF(AND(P157="TN",R157="TN"),N157+N(O157),IF(G157&amp;""="1",N(K157)*N157,(N157+N(O157))*N(K157)))</f>
        <v/>
      </c>
      <c r="T157" s="10">
        <f>IF(Q157="","",Q157-S157)</f>
        <v/>
      </c>
    </row>
    <row r="158">
      <c r="A158" s="7">
        <f>CONCATENATE(C158,E158,F158,I158)</f>
        <v/>
      </c>
      <c r="B158" s="7">
        <f>CONCATENATE(C158,E158,I158)</f>
        <v/>
      </c>
      <c r="C158" s="8" t="n">
        <v>900004065</v>
      </c>
      <c r="D158" s="7">
        <f>IFERROR(VLOOKUP(C158,TRAOPE!$G:$H,2,0),"")</f>
        <v/>
      </c>
      <c r="E158" s="8" t="inlineStr">
        <is>
          <t>DW68</t>
        </is>
      </c>
      <c r="F158" s="8" t="inlineStr">
        <is>
          <t>D211</t>
        </is>
      </c>
      <c r="G158" s="8">
        <f>IFERROR(VLOOKUP(A158,Flete!$A:$E,5,0),"")</f>
        <v/>
      </c>
      <c r="H158" s="7">
        <f>IFERROR(VLOOKUP(F158,TRAOPE!$AA:$AB,2,0),"")</f>
        <v/>
      </c>
      <c r="I158" s="7" t="n">
        <v>10031878</v>
      </c>
      <c r="J158" s="7">
        <f>IFERROR(VLOOKUP(I158,Materiales!$A:$H,8,0),"")</f>
        <v/>
      </c>
      <c r="K158" s="9">
        <f>IFERROR(VLOOKUP(I158,Materiales!$A:$G,7,0),"")</f>
        <v/>
      </c>
      <c r="L158" s="8" t="inlineStr">
        <is>
          <t>20260201</t>
        </is>
      </c>
      <c r="M158" s="8" t="inlineStr">
        <is>
          <t>99991231</t>
        </is>
      </c>
      <c r="N158" s="10" t="n">
        <v>104</v>
      </c>
      <c r="O158" s="10">
        <f>IFERROR(VLOOKUP(A158,Flete!$A:$J,10,0),"")</f>
        <v/>
      </c>
      <c r="P158" s="8" t="inlineStr">
        <is>
          <t>TN</t>
        </is>
      </c>
      <c r="Q158" s="10">
        <f>IFERROR(IFERROR(VLOOKUP(A158,TRAOPE!$A:$U,21,0),VLOOKUP(B158,TRAOPE!$A:$U,21,0)),"")</f>
        <v/>
      </c>
      <c r="R158" s="8">
        <f>IFERROR(IFERROR(VLOOKUP(A158,TRAOPE!$A:$W,23,0),VLOOKUP(B158,TRAOPE!$A:$W,23,0)),"")</f>
        <v/>
      </c>
      <c r="S158" s="10">
        <f>IF(AND(P158="TN",R158="TN"),N158+N(O158),IF(G158&amp;""="1",N(K158)*N158,(N158+N(O158))*N(K158)))</f>
        <v/>
      </c>
      <c r="T158" s="10">
        <f>IF(Q158="","",Q158-S158)</f>
        <v/>
      </c>
    </row>
    <row r="159">
      <c r="A159" s="7">
        <f>CONCATENATE(C159,E159,F159,I159)</f>
        <v/>
      </c>
      <c r="B159" s="7">
        <f>CONCATENATE(C159,E159,I159)</f>
        <v/>
      </c>
      <c r="C159" s="8" t="n">
        <v>900004065</v>
      </c>
      <c r="D159" s="7">
        <f>IFERROR(VLOOKUP(C159,TRAOPE!$G:$H,2,0),"")</f>
        <v/>
      </c>
      <c r="E159" s="8" t="inlineStr">
        <is>
          <t>DW68</t>
        </is>
      </c>
      <c r="F159" s="8" t="inlineStr">
        <is>
          <t>D213</t>
        </is>
      </c>
      <c r="G159" s="8">
        <f>IFERROR(VLOOKUP(A159,Flete!$A:$E,5,0),"")</f>
        <v/>
      </c>
      <c r="H159" s="7">
        <f>IFERROR(VLOOKUP(F159,TRAOPE!$AA:$AB,2,0),"")</f>
        <v/>
      </c>
      <c r="I159" s="7" t="n">
        <v>10000320</v>
      </c>
      <c r="J159" s="7">
        <f>IFERROR(VLOOKUP(I159,Materiales!$A:$H,8,0),"")</f>
        <v/>
      </c>
      <c r="K159" s="9">
        <f>IFERROR(VLOOKUP(I159,Materiales!$A:$G,7,0),"")</f>
        <v/>
      </c>
      <c r="L159" s="8" t="inlineStr">
        <is>
          <t>20260201</t>
        </is>
      </c>
      <c r="M159" s="8" t="inlineStr">
        <is>
          <t>99991231</t>
        </is>
      </c>
      <c r="N159" s="10" t="n">
        <v>109.2</v>
      </c>
      <c r="O159" s="10">
        <f>IFERROR(VLOOKUP(A159,Flete!$A:$J,10,0),"")</f>
        <v/>
      </c>
      <c r="P159" s="8" t="inlineStr">
        <is>
          <t>TN</t>
        </is>
      </c>
      <c r="Q159" s="10">
        <f>IFERROR(IFERROR(VLOOKUP(A159,TRAOPE!$A:$U,21,0),VLOOKUP(B159,TRAOPE!$A:$U,21,0)),"")</f>
        <v/>
      </c>
      <c r="R159" s="8">
        <f>IFERROR(IFERROR(VLOOKUP(A159,TRAOPE!$A:$W,23,0),VLOOKUP(B159,TRAOPE!$A:$W,23,0)),"")</f>
        <v/>
      </c>
      <c r="S159" s="10">
        <f>IF(AND(P159="TN",R159="TN"),N159+N(O159),IF(G159&amp;""="1",N(K159)*N159,(N159+N(O159))*N(K159)))</f>
        <v/>
      </c>
      <c r="T159" s="10">
        <f>IF(Q159="","",Q159-S159)</f>
        <v/>
      </c>
    </row>
    <row r="160">
      <c r="A160" s="7">
        <f>CONCATENATE(C160,E160,F160,I160)</f>
        <v/>
      </c>
      <c r="B160" s="7">
        <f>CONCATENATE(C160,E160,I160)</f>
        <v/>
      </c>
      <c r="C160" s="8" t="n">
        <v>900004065</v>
      </c>
      <c r="D160" s="7">
        <f>IFERROR(VLOOKUP(C160,TRAOPE!$G:$H,2,0),"")</f>
        <v/>
      </c>
      <c r="E160" s="8" t="inlineStr">
        <is>
          <t>DW68</t>
        </is>
      </c>
      <c r="F160" s="8" t="inlineStr">
        <is>
          <t>D213</t>
        </is>
      </c>
      <c r="G160" s="8">
        <f>IFERROR(VLOOKUP(A160,Flete!$A:$E,5,0),"")</f>
        <v/>
      </c>
      <c r="H160" s="7">
        <f>IFERROR(VLOOKUP(F160,TRAOPE!$AA:$AB,2,0),"")</f>
        <v/>
      </c>
      <c r="I160" s="7" t="n">
        <v>10031878</v>
      </c>
      <c r="J160" s="7">
        <f>IFERROR(VLOOKUP(I160,Materiales!$A:$H,8,0),"")</f>
        <v/>
      </c>
      <c r="K160" s="9">
        <f>IFERROR(VLOOKUP(I160,Materiales!$A:$G,7,0),"")</f>
        <v/>
      </c>
      <c r="L160" s="8" t="inlineStr">
        <is>
          <t>20260201</t>
        </is>
      </c>
      <c r="M160" s="8" t="inlineStr">
        <is>
          <t>99991231</t>
        </is>
      </c>
      <c r="N160" s="10" t="n">
        <v>104</v>
      </c>
      <c r="O160" s="10">
        <f>IFERROR(VLOOKUP(A160,Flete!$A:$J,10,0),"")</f>
        <v/>
      </c>
      <c r="P160" s="8" t="inlineStr">
        <is>
          <t>TN</t>
        </is>
      </c>
      <c r="Q160" s="10">
        <f>IFERROR(IFERROR(VLOOKUP(A160,TRAOPE!$A:$U,21,0),VLOOKUP(B160,TRAOPE!$A:$U,21,0)),"")</f>
        <v/>
      </c>
      <c r="R160" s="8">
        <f>IFERROR(IFERROR(VLOOKUP(A160,TRAOPE!$A:$W,23,0),VLOOKUP(B160,TRAOPE!$A:$W,23,0)),"")</f>
        <v/>
      </c>
      <c r="S160" s="10">
        <f>IF(AND(P160="TN",R160="TN"),N160+N(O160),IF(G160&amp;""="1",N(K160)*N160,(N160+N(O160))*N(K160)))</f>
        <v/>
      </c>
      <c r="T160" s="10">
        <f>IF(Q160="","",Q160-S160)</f>
        <v/>
      </c>
    </row>
    <row r="161">
      <c r="A161" s="7">
        <f>CONCATENATE(C161,E161,F161,I161)</f>
        <v/>
      </c>
      <c r="B161" s="7">
        <f>CONCATENATE(C161,E161,I161)</f>
        <v/>
      </c>
      <c r="C161" s="8" t="n">
        <v>900004065</v>
      </c>
      <c r="D161" s="7">
        <f>IFERROR(VLOOKUP(C161,TRAOPE!$G:$H,2,0),"")</f>
        <v/>
      </c>
      <c r="E161" s="8" t="inlineStr">
        <is>
          <t>DW68</t>
        </is>
      </c>
      <c r="F161" s="8" t="inlineStr">
        <is>
          <t>D214</t>
        </is>
      </c>
      <c r="G161" s="8">
        <f>IFERROR(VLOOKUP(A161,Flete!$A:$E,5,0),"")</f>
        <v/>
      </c>
      <c r="H161" s="7">
        <f>IFERROR(VLOOKUP(F161,TRAOPE!$AA:$AB,2,0),"")</f>
        <v/>
      </c>
      <c r="I161" s="7" t="n">
        <v>10000320</v>
      </c>
      <c r="J161" s="7">
        <f>IFERROR(VLOOKUP(I161,Materiales!$A:$H,8,0),"")</f>
        <v/>
      </c>
      <c r="K161" s="9">
        <f>IFERROR(VLOOKUP(I161,Materiales!$A:$G,7,0),"")</f>
        <v/>
      </c>
      <c r="L161" s="8" t="inlineStr">
        <is>
          <t>20220516</t>
        </is>
      </c>
      <c r="M161" s="8" t="inlineStr">
        <is>
          <t>99991231</t>
        </is>
      </c>
      <c r="N161" s="10" t="n">
        <v>95.14</v>
      </c>
      <c r="O161" s="10">
        <f>IFERROR(VLOOKUP(A161,Flete!$A:$J,10,0),"")</f>
        <v/>
      </c>
      <c r="P161" s="8" t="inlineStr">
        <is>
          <t>TN</t>
        </is>
      </c>
      <c r="Q161" s="10">
        <f>IFERROR(IFERROR(VLOOKUP(A161,TRAOPE!$A:$U,21,0),VLOOKUP(B161,TRAOPE!$A:$U,21,0)),"")</f>
        <v/>
      </c>
      <c r="R161" s="8">
        <f>IFERROR(IFERROR(VLOOKUP(A161,TRAOPE!$A:$W,23,0),VLOOKUP(B161,TRAOPE!$A:$W,23,0)),"")</f>
        <v/>
      </c>
      <c r="S161" s="10">
        <f>IF(AND(P161="TN",R161="TN"),N161+N(O161),IF(G161&amp;""="1",N(K161)*N161,(N161+N(O161))*N(K161)))</f>
        <v/>
      </c>
      <c r="T161" s="10">
        <f>IF(Q161="","",Q161-S161)</f>
        <v/>
      </c>
    </row>
    <row r="162">
      <c r="A162" s="7">
        <f>CONCATENATE(C162,E162,F162,I162)</f>
        <v/>
      </c>
      <c r="B162" s="7">
        <f>CONCATENATE(C162,E162,I162)</f>
        <v/>
      </c>
      <c r="C162" s="8" t="n">
        <v>900004065</v>
      </c>
      <c r="D162" s="7">
        <f>IFERROR(VLOOKUP(C162,TRAOPE!$G:$H,2,0),"")</f>
        <v/>
      </c>
      <c r="E162" s="8" t="inlineStr">
        <is>
          <t>DW68</t>
        </is>
      </c>
      <c r="F162" s="8" t="inlineStr">
        <is>
          <t>D220</t>
        </is>
      </c>
      <c r="G162" s="8">
        <f>IFERROR(VLOOKUP(A162,Flete!$A:$E,5,0),"")</f>
        <v/>
      </c>
      <c r="H162" s="7">
        <f>IFERROR(VLOOKUP(F162,TRAOPE!$AA:$AB,2,0),"")</f>
        <v/>
      </c>
      <c r="I162" s="7" t="n">
        <v>10000320</v>
      </c>
      <c r="J162" s="7">
        <f>IFERROR(VLOOKUP(I162,Materiales!$A:$H,8,0),"")</f>
        <v/>
      </c>
      <c r="K162" s="9">
        <f>IFERROR(VLOOKUP(I162,Materiales!$A:$G,7,0),"")</f>
        <v/>
      </c>
      <c r="L162" s="8" t="inlineStr">
        <is>
          <t>20260709</t>
        </is>
      </c>
      <c r="M162" s="8" t="inlineStr">
        <is>
          <t>99991231</t>
        </is>
      </c>
      <c r="N162" s="10" t="n">
        <v>109.2</v>
      </c>
      <c r="O162" s="10">
        <f>IFERROR(VLOOKUP(A162,Flete!$A:$J,10,0),"")</f>
        <v/>
      </c>
      <c r="P162" s="8" t="inlineStr">
        <is>
          <t>TN</t>
        </is>
      </c>
      <c r="Q162" s="10">
        <f>IFERROR(IFERROR(VLOOKUP(A162,TRAOPE!$A:$U,21,0),VLOOKUP(B162,TRAOPE!$A:$U,21,0)),"")</f>
        <v/>
      </c>
      <c r="R162" s="8">
        <f>IFERROR(IFERROR(VLOOKUP(A162,TRAOPE!$A:$W,23,0),VLOOKUP(B162,TRAOPE!$A:$W,23,0)),"")</f>
        <v/>
      </c>
      <c r="S162" s="10">
        <f>IF(AND(P162="TN",R162="TN"),N162+N(O162),IF(G162&amp;""="1",N(K162)*N162,(N162+N(O162))*N(K162)))</f>
        <v/>
      </c>
      <c r="T162" s="10">
        <f>IF(Q162="","",Q162-S162)</f>
        <v/>
      </c>
    </row>
    <row r="163">
      <c r="A163" s="7">
        <f>CONCATENATE(C163,E163,F163,I163)</f>
        <v/>
      </c>
      <c r="B163" s="7">
        <f>CONCATENATE(C163,E163,I163)</f>
        <v/>
      </c>
      <c r="C163" s="8" t="n">
        <v>900004065</v>
      </c>
      <c r="D163" s="7">
        <f>IFERROR(VLOOKUP(C163,TRAOPE!$G:$H,2,0),"")</f>
        <v/>
      </c>
      <c r="E163" s="8" t="inlineStr">
        <is>
          <t>DW68</t>
        </is>
      </c>
      <c r="F163" s="8" t="inlineStr">
        <is>
          <t>D228</t>
        </is>
      </c>
      <c r="G163" s="8">
        <f>IFERROR(VLOOKUP(A163,Flete!$A:$E,5,0),"")</f>
        <v/>
      </c>
      <c r="H163" s="7">
        <f>IFERROR(VLOOKUP(F163,TRAOPE!$AA:$AB,2,0),"")</f>
        <v/>
      </c>
      <c r="I163" s="7" t="n">
        <v>10000320</v>
      </c>
      <c r="J163" s="7">
        <f>IFERROR(VLOOKUP(I163,Materiales!$A:$H,8,0),"")</f>
        <v/>
      </c>
      <c r="K163" s="9">
        <f>IFERROR(VLOOKUP(I163,Materiales!$A:$G,7,0),"")</f>
        <v/>
      </c>
      <c r="L163" s="8" t="inlineStr">
        <is>
          <t>20260201</t>
        </is>
      </c>
      <c r="M163" s="8" t="inlineStr">
        <is>
          <t>99991231</t>
        </is>
      </c>
      <c r="N163" s="10" t="n">
        <v>109.2</v>
      </c>
      <c r="O163" s="10">
        <f>IFERROR(VLOOKUP(A163,Flete!$A:$J,10,0),"")</f>
        <v/>
      </c>
      <c r="P163" s="8" t="inlineStr">
        <is>
          <t>TN</t>
        </is>
      </c>
      <c r="Q163" s="10">
        <f>IFERROR(IFERROR(VLOOKUP(A163,TRAOPE!$A:$U,21,0),VLOOKUP(B163,TRAOPE!$A:$U,21,0)),"")</f>
        <v/>
      </c>
      <c r="R163" s="8">
        <f>IFERROR(IFERROR(VLOOKUP(A163,TRAOPE!$A:$W,23,0),VLOOKUP(B163,TRAOPE!$A:$W,23,0)),"")</f>
        <v/>
      </c>
      <c r="S163" s="10">
        <f>IF(AND(P163="TN",R163="TN"),N163+N(O163),IF(G163&amp;""="1",N(K163)*N163,(N163+N(O163))*N(K163)))</f>
        <v/>
      </c>
      <c r="T163" s="10">
        <f>IF(Q163="","",Q163-S163)</f>
        <v/>
      </c>
    </row>
    <row r="164">
      <c r="A164" s="7">
        <f>CONCATENATE(C164,E164,F164,I164)</f>
        <v/>
      </c>
      <c r="B164" s="7">
        <f>CONCATENATE(C164,E164,I164)</f>
        <v/>
      </c>
      <c r="C164" s="8" t="n">
        <v>900004065</v>
      </c>
      <c r="D164" s="7">
        <f>IFERROR(VLOOKUP(C164,TRAOPE!$G:$H,2,0),"")</f>
        <v/>
      </c>
      <c r="E164" s="8" t="inlineStr">
        <is>
          <t>DW68</t>
        </is>
      </c>
      <c r="F164" s="8" t="inlineStr">
        <is>
          <t>D228</t>
        </is>
      </c>
      <c r="G164" s="8">
        <f>IFERROR(VLOOKUP(A164,Flete!$A:$E,5,0),"")</f>
        <v/>
      </c>
      <c r="H164" s="7">
        <f>IFERROR(VLOOKUP(F164,TRAOPE!$AA:$AB,2,0),"")</f>
        <v/>
      </c>
      <c r="I164" s="7" t="n">
        <v>10031878</v>
      </c>
      <c r="J164" s="7">
        <f>IFERROR(VLOOKUP(I164,Materiales!$A:$H,8,0),"")</f>
        <v/>
      </c>
      <c r="K164" s="9">
        <f>IFERROR(VLOOKUP(I164,Materiales!$A:$G,7,0),"")</f>
        <v/>
      </c>
      <c r="L164" s="8" t="inlineStr">
        <is>
          <t>20260201</t>
        </is>
      </c>
      <c r="M164" s="8" t="inlineStr">
        <is>
          <t>99991231</t>
        </is>
      </c>
      <c r="N164" s="10" t="n">
        <v>104</v>
      </c>
      <c r="O164" s="10">
        <f>IFERROR(VLOOKUP(A164,Flete!$A:$J,10,0),"")</f>
        <v/>
      </c>
      <c r="P164" s="8" t="inlineStr">
        <is>
          <t>TN</t>
        </is>
      </c>
      <c r="Q164" s="10">
        <f>IFERROR(IFERROR(VLOOKUP(A164,TRAOPE!$A:$U,21,0),VLOOKUP(B164,TRAOPE!$A:$U,21,0)),"")</f>
        <v/>
      </c>
      <c r="R164" s="8">
        <f>IFERROR(IFERROR(VLOOKUP(A164,TRAOPE!$A:$W,23,0),VLOOKUP(B164,TRAOPE!$A:$W,23,0)),"")</f>
        <v/>
      </c>
      <c r="S164" s="10">
        <f>IF(AND(P164="TN",R164="TN"),N164+N(O164),IF(G164&amp;""="1",N(K164)*N164,(N164+N(O164))*N(K164)))</f>
        <v/>
      </c>
      <c r="T164" s="10">
        <f>IF(Q164="","",Q164-S164)</f>
        <v/>
      </c>
    </row>
    <row r="165">
      <c r="A165" s="7">
        <f>CONCATENATE(C165,E165,F165,I165)</f>
        <v/>
      </c>
      <c r="B165" s="7">
        <f>CONCATENATE(C165,E165,I165)</f>
        <v/>
      </c>
      <c r="C165" s="8" t="n">
        <v>900004065</v>
      </c>
      <c r="D165" s="7">
        <f>IFERROR(VLOOKUP(C165,TRAOPE!$G:$H,2,0),"")</f>
        <v/>
      </c>
      <c r="E165" s="8" t="inlineStr">
        <is>
          <t>DW68</t>
        </is>
      </c>
      <c r="F165" s="8" t="inlineStr">
        <is>
          <t>D242</t>
        </is>
      </c>
      <c r="G165" s="8">
        <f>IFERROR(VLOOKUP(A165,Flete!$A:$E,5,0),"")</f>
        <v/>
      </c>
      <c r="H165" s="7">
        <f>IFERROR(VLOOKUP(F165,TRAOPE!$AA:$AB,2,0),"")</f>
        <v/>
      </c>
      <c r="I165" s="7" t="n">
        <v>10000320</v>
      </c>
      <c r="J165" s="7">
        <f>IFERROR(VLOOKUP(I165,Materiales!$A:$H,8,0),"")</f>
        <v/>
      </c>
      <c r="K165" s="9">
        <f>IFERROR(VLOOKUP(I165,Materiales!$A:$G,7,0),"")</f>
        <v/>
      </c>
      <c r="L165" s="8" t="inlineStr">
        <is>
          <t>20260201</t>
        </is>
      </c>
      <c r="M165" s="8" t="inlineStr">
        <is>
          <t>99991231</t>
        </is>
      </c>
      <c r="N165" s="10" t="n">
        <v>109.2</v>
      </c>
      <c r="O165" s="10">
        <f>IFERROR(VLOOKUP(A165,Flete!$A:$J,10,0),"")</f>
        <v/>
      </c>
      <c r="P165" s="8" t="inlineStr">
        <is>
          <t>TN</t>
        </is>
      </c>
      <c r="Q165" s="10">
        <f>IFERROR(IFERROR(VLOOKUP(A165,TRAOPE!$A:$U,21,0),VLOOKUP(B165,TRAOPE!$A:$U,21,0)),"")</f>
        <v/>
      </c>
      <c r="R165" s="8">
        <f>IFERROR(IFERROR(VLOOKUP(A165,TRAOPE!$A:$W,23,0),VLOOKUP(B165,TRAOPE!$A:$W,23,0)),"")</f>
        <v/>
      </c>
      <c r="S165" s="10">
        <f>IF(AND(P165="TN",R165="TN"),N165+N(O165),IF(G165&amp;""="1",N(K165)*N165,(N165+N(O165))*N(K165)))</f>
        <v/>
      </c>
      <c r="T165" s="10">
        <f>IF(Q165="","",Q165-S165)</f>
        <v/>
      </c>
    </row>
    <row r="166">
      <c r="A166" s="7">
        <f>CONCATENATE(C166,E166,F166,I166)</f>
        <v/>
      </c>
      <c r="B166" s="7">
        <f>CONCATENATE(C166,E166,I166)</f>
        <v/>
      </c>
      <c r="C166" s="8" t="n">
        <v>900004065</v>
      </c>
      <c r="D166" s="7">
        <f>IFERROR(VLOOKUP(C166,TRAOPE!$G:$H,2,0),"")</f>
        <v/>
      </c>
      <c r="E166" s="8" t="inlineStr">
        <is>
          <t>DW68</t>
        </is>
      </c>
      <c r="F166" s="8" t="inlineStr">
        <is>
          <t>D242</t>
        </is>
      </c>
      <c r="G166" s="8">
        <f>IFERROR(VLOOKUP(A166,Flete!$A:$E,5,0),"")</f>
        <v/>
      </c>
      <c r="H166" s="7">
        <f>IFERROR(VLOOKUP(F166,TRAOPE!$AA:$AB,2,0),"")</f>
        <v/>
      </c>
      <c r="I166" s="7" t="n">
        <v>10031878</v>
      </c>
      <c r="J166" s="7">
        <f>IFERROR(VLOOKUP(I166,Materiales!$A:$H,8,0),"")</f>
        <v/>
      </c>
      <c r="K166" s="9">
        <f>IFERROR(VLOOKUP(I166,Materiales!$A:$G,7,0),"")</f>
        <v/>
      </c>
      <c r="L166" s="8" t="inlineStr">
        <is>
          <t>20260201</t>
        </is>
      </c>
      <c r="M166" s="8" t="inlineStr">
        <is>
          <t>99991231</t>
        </is>
      </c>
      <c r="N166" s="10" t="n">
        <v>104</v>
      </c>
      <c r="O166" s="10">
        <f>IFERROR(VLOOKUP(A166,Flete!$A:$J,10,0),"")</f>
        <v/>
      </c>
      <c r="P166" s="8" t="inlineStr">
        <is>
          <t>TN</t>
        </is>
      </c>
      <c r="Q166" s="10">
        <f>IFERROR(IFERROR(VLOOKUP(A166,TRAOPE!$A:$U,21,0),VLOOKUP(B166,TRAOPE!$A:$U,21,0)),"")</f>
        <v/>
      </c>
      <c r="R166" s="8">
        <f>IFERROR(IFERROR(VLOOKUP(A166,TRAOPE!$A:$W,23,0),VLOOKUP(B166,TRAOPE!$A:$W,23,0)),"")</f>
        <v/>
      </c>
      <c r="S166" s="10">
        <f>IF(AND(P166="TN",R166="TN"),N166+N(O166),IF(G166&amp;""="1",N(K166)*N166,(N166+N(O166))*N(K166)))</f>
        <v/>
      </c>
      <c r="T166" s="10">
        <f>IF(Q166="","",Q166-S166)</f>
        <v/>
      </c>
    </row>
    <row r="167">
      <c r="A167" s="7">
        <f>CONCATENATE(C167,E167,F167,I167)</f>
        <v/>
      </c>
      <c r="B167" s="7">
        <f>CONCATENATE(C167,E167,I167)</f>
        <v/>
      </c>
      <c r="C167" s="8" t="n">
        <v>900004065</v>
      </c>
      <c r="D167" s="7">
        <f>IFERROR(VLOOKUP(C167,TRAOPE!$G:$H,2,0),"")</f>
        <v/>
      </c>
      <c r="E167" s="8" t="inlineStr">
        <is>
          <t>DW68</t>
        </is>
      </c>
      <c r="F167" s="8" t="inlineStr">
        <is>
          <t>D247</t>
        </is>
      </c>
      <c r="G167" s="8">
        <f>IFERROR(VLOOKUP(A167,Flete!$A:$E,5,0),"")</f>
        <v/>
      </c>
      <c r="H167" s="7">
        <f>IFERROR(VLOOKUP(F167,TRAOPE!$AA:$AB,2,0),"")</f>
        <v/>
      </c>
      <c r="I167" s="7" t="n">
        <v>10000320</v>
      </c>
      <c r="J167" s="7">
        <f>IFERROR(VLOOKUP(I167,Materiales!$A:$H,8,0),"")</f>
        <v/>
      </c>
      <c r="K167" s="9">
        <f>IFERROR(VLOOKUP(I167,Materiales!$A:$G,7,0),"")</f>
        <v/>
      </c>
      <c r="L167" s="8" t="inlineStr">
        <is>
          <t>20260201</t>
        </is>
      </c>
      <c r="M167" s="8" t="inlineStr">
        <is>
          <t>99991231</t>
        </is>
      </c>
      <c r="N167" s="10" t="n">
        <v>109.2</v>
      </c>
      <c r="O167" s="10">
        <f>IFERROR(VLOOKUP(A167,Flete!$A:$J,10,0),"")</f>
        <v/>
      </c>
      <c r="P167" s="8" t="inlineStr">
        <is>
          <t>TN</t>
        </is>
      </c>
      <c r="Q167" s="10">
        <f>IFERROR(IFERROR(VLOOKUP(A167,TRAOPE!$A:$U,21,0),VLOOKUP(B167,TRAOPE!$A:$U,21,0)),"")</f>
        <v/>
      </c>
      <c r="R167" s="8">
        <f>IFERROR(IFERROR(VLOOKUP(A167,TRAOPE!$A:$W,23,0),VLOOKUP(B167,TRAOPE!$A:$W,23,0)),"")</f>
        <v/>
      </c>
      <c r="S167" s="10">
        <f>IF(AND(P167="TN",R167="TN"),N167+N(O167),IF(G167&amp;""="1",N(K167)*N167,(N167+N(O167))*N(K167)))</f>
        <v/>
      </c>
      <c r="T167" s="10">
        <f>IF(Q167="","",Q167-S167)</f>
        <v/>
      </c>
    </row>
    <row r="168">
      <c r="A168" s="7">
        <f>CONCATENATE(C168,E168,F168,I168)</f>
        <v/>
      </c>
      <c r="B168" s="7">
        <f>CONCATENATE(C168,E168,I168)</f>
        <v/>
      </c>
      <c r="C168" s="8" t="n">
        <v>900004065</v>
      </c>
      <c r="D168" s="7">
        <f>IFERROR(VLOOKUP(C168,TRAOPE!$G:$H,2,0),"")</f>
        <v/>
      </c>
      <c r="E168" s="8" t="inlineStr">
        <is>
          <t>DW68</t>
        </is>
      </c>
      <c r="F168" s="8" t="inlineStr">
        <is>
          <t>D247</t>
        </is>
      </c>
      <c r="G168" s="8">
        <f>IFERROR(VLOOKUP(A168,Flete!$A:$E,5,0),"")</f>
        <v/>
      </c>
      <c r="H168" s="7">
        <f>IFERROR(VLOOKUP(F168,TRAOPE!$AA:$AB,2,0),"")</f>
        <v/>
      </c>
      <c r="I168" s="7" t="n">
        <v>10031878</v>
      </c>
      <c r="J168" s="7">
        <f>IFERROR(VLOOKUP(I168,Materiales!$A:$H,8,0),"")</f>
        <v/>
      </c>
      <c r="K168" s="9">
        <f>IFERROR(VLOOKUP(I168,Materiales!$A:$G,7,0),"")</f>
        <v/>
      </c>
      <c r="L168" s="8" t="inlineStr">
        <is>
          <t>20260201</t>
        </is>
      </c>
      <c r="M168" s="8" t="inlineStr">
        <is>
          <t>99991231</t>
        </is>
      </c>
      <c r="N168" s="10" t="n">
        <v>104</v>
      </c>
      <c r="O168" s="10">
        <f>IFERROR(VLOOKUP(A168,Flete!$A:$J,10,0),"")</f>
        <v/>
      </c>
      <c r="P168" s="8" t="inlineStr">
        <is>
          <t>TN</t>
        </is>
      </c>
      <c r="Q168" s="10">
        <f>IFERROR(IFERROR(VLOOKUP(A168,TRAOPE!$A:$U,21,0),VLOOKUP(B168,TRAOPE!$A:$U,21,0)),"")</f>
        <v/>
      </c>
      <c r="R168" s="8">
        <f>IFERROR(IFERROR(VLOOKUP(A168,TRAOPE!$A:$W,23,0),VLOOKUP(B168,TRAOPE!$A:$W,23,0)),"")</f>
        <v/>
      </c>
      <c r="S168" s="10">
        <f>IF(AND(P168="TN",R168="TN"),N168+N(O168),IF(G168&amp;""="1",N(K168)*N168,(N168+N(O168))*N(K168)))</f>
        <v/>
      </c>
      <c r="T168" s="10">
        <f>IF(Q168="","",Q168-S168)</f>
        <v/>
      </c>
    </row>
    <row r="169">
      <c r="A169" s="7">
        <f>CONCATENATE(C169,E169,F169,I169)</f>
        <v/>
      </c>
      <c r="B169" s="7">
        <f>CONCATENATE(C169,E169,I169)</f>
        <v/>
      </c>
      <c r="C169" s="8" t="n">
        <v>900004065</v>
      </c>
      <c r="D169" s="7">
        <f>IFERROR(VLOOKUP(C169,TRAOPE!$G:$H,2,0),"")</f>
        <v/>
      </c>
      <c r="E169" s="8" t="inlineStr">
        <is>
          <t>DW68</t>
        </is>
      </c>
      <c r="F169" s="8" t="inlineStr">
        <is>
          <t>D251</t>
        </is>
      </c>
      <c r="G169" s="8">
        <f>IFERROR(VLOOKUP(A169,Flete!$A:$E,5,0),"")</f>
        <v/>
      </c>
      <c r="H169" s="7">
        <f>IFERROR(VLOOKUP(F169,TRAOPE!$AA:$AB,2,0),"")</f>
        <v/>
      </c>
      <c r="I169" s="7" t="n">
        <v>10000320</v>
      </c>
      <c r="J169" s="7">
        <f>IFERROR(VLOOKUP(I169,Materiales!$A:$H,8,0),"")</f>
        <v/>
      </c>
      <c r="K169" s="9">
        <f>IFERROR(VLOOKUP(I169,Materiales!$A:$G,7,0),"")</f>
        <v/>
      </c>
      <c r="L169" s="8" t="inlineStr">
        <is>
          <t>20260201</t>
        </is>
      </c>
      <c r="M169" s="8" t="inlineStr">
        <is>
          <t>99991231</t>
        </is>
      </c>
      <c r="N169" s="10" t="n">
        <v>109.2</v>
      </c>
      <c r="O169" s="10">
        <f>IFERROR(VLOOKUP(A169,Flete!$A:$J,10,0),"")</f>
        <v/>
      </c>
      <c r="P169" s="8" t="inlineStr">
        <is>
          <t>TN</t>
        </is>
      </c>
      <c r="Q169" s="10">
        <f>IFERROR(IFERROR(VLOOKUP(A169,TRAOPE!$A:$U,21,0),VLOOKUP(B169,TRAOPE!$A:$U,21,0)),"")</f>
        <v/>
      </c>
      <c r="R169" s="8">
        <f>IFERROR(IFERROR(VLOOKUP(A169,TRAOPE!$A:$W,23,0),VLOOKUP(B169,TRAOPE!$A:$W,23,0)),"")</f>
        <v/>
      </c>
      <c r="S169" s="10">
        <f>IF(AND(P169="TN",R169="TN"),N169+N(O169),IF(G169&amp;""="1",N(K169)*N169,(N169+N(O169))*N(K169)))</f>
        <v/>
      </c>
      <c r="T169" s="10">
        <f>IF(Q169="","",Q169-S169)</f>
        <v/>
      </c>
    </row>
    <row r="170">
      <c r="A170" s="7">
        <f>CONCATENATE(C170,E170,F170,I170)</f>
        <v/>
      </c>
      <c r="B170" s="7">
        <f>CONCATENATE(C170,E170,I170)</f>
        <v/>
      </c>
      <c r="C170" s="8" t="n">
        <v>900004065</v>
      </c>
      <c r="D170" s="7">
        <f>IFERROR(VLOOKUP(C170,TRAOPE!$G:$H,2,0),"")</f>
        <v/>
      </c>
      <c r="E170" s="8" t="inlineStr">
        <is>
          <t>DW68</t>
        </is>
      </c>
      <c r="F170" s="8" t="inlineStr">
        <is>
          <t>D251</t>
        </is>
      </c>
      <c r="G170" s="8">
        <f>IFERROR(VLOOKUP(A170,Flete!$A:$E,5,0),"")</f>
        <v/>
      </c>
      <c r="H170" s="7">
        <f>IFERROR(VLOOKUP(F170,TRAOPE!$AA:$AB,2,0),"")</f>
        <v/>
      </c>
      <c r="I170" s="7" t="n">
        <v>10031878</v>
      </c>
      <c r="J170" s="7">
        <f>IFERROR(VLOOKUP(I170,Materiales!$A:$H,8,0),"")</f>
        <v/>
      </c>
      <c r="K170" s="9">
        <f>IFERROR(VLOOKUP(I170,Materiales!$A:$G,7,0),"")</f>
        <v/>
      </c>
      <c r="L170" s="8" t="inlineStr">
        <is>
          <t>20260201</t>
        </is>
      </c>
      <c r="M170" s="8" t="inlineStr">
        <is>
          <t>99991231</t>
        </is>
      </c>
      <c r="N170" s="10" t="n">
        <v>104</v>
      </c>
      <c r="O170" s="10">
        <f>IFERROR(VLOOKUP(A170,Flete!$A:$J,10,0),"")</f>
        <v/>
      </c>
      <c r="P170" s="8" t="inlineStr">
        <is>
          <t>TN</t>
        </is>
      </c>
      <c r="Q170" s="10">
        <f>IFERROR(IFERROR(VLOOKUP(A170,TRAOPE!$A:$U,21,0),VLOOKUP(B170,TRAOPE!$A:$U,21,0)),"")</f>
        <v/>
      </c>
      <c r="R170" s="8">
        <f>IFERROR(IFERROR(VLOOKUP(A170,TRAOPE!$A:$W,23,0),VLOOKUP(B170,TRAOPE!$A:$W,23,0)),"")</f>
        <v/>
      </c>
      <c r="S170" s="10">
        <f>IF(AND(P170="TN",R170="TN"),N170+N(O170),IF(G170&amp;""="1",N(K170)*N170,(N170+N(O170))*N(K170)))</f>
        <v/>
      </c>
      <c r="T170" s="10">
        <f>IF(Q170="","",Q170-S170)</f>
        <v/>
      </c>
    </row>
    <row r="171">
      <c r="A171" s="7">
        <f>CONCATENATE(C171,E171,F171,I171)</f>
        <v/>
      </c>
      <c r="B171" s="7">
        <f>CONCATENATE(C171,E171,I171)</f>
        <v/>
      </c>
      <c r="C171" s="8" t="n">
        <v>900004065</v>
      </c>
      <c r="D171" s="7">
        <f>IFERROR(VLOOKUP(C171,TRAOPE!$G:$H,2,0),"")</f>
        <v/>
      </c>
      <c r="E171" s="8" t="inlineStr">
        <is>
          <t>DW68</t>
        </is>
      </c>
      <c r="F171" s="8" t="inlineStr">
        <is>
          <t>D264</t>
        </is>
      </c>
      <c r="G171" s="8">
        <f>IFERROR(VLOOKUP(A171,Flete!$A:$E,5,0),"")</f>
        <v/>
      </c>
      <c r="H171" s="7">
        <f>IFERROR(VLOOKUP(F171,TRAOPE!$AA:$AB,2,0),"")</f>
        <v/>
      </c>
      <c r="I171" s="7" t="n">
        <v>10000320</v>
      </c>
      <c r="J171" s="7">
        <f>IFERROR(VLOOKUP(I171,Materiales!$A:$H,8,0),"")</f>
        <v/>
      </c>
      <c r="K171" s="9">
        <f>IFERROR(VLOOKUP(I171,Materiales!$A:$G,7,0),"")</f>
        <v/>
      </c>
      <c r="L171" s="8" t="inlineStr">
        <is>
          <t>20260201</t>
        </is>
      </c>
      <c r="M171" s="8" t="inlineStr">
        <is>
          <t>99991231</t>
        </is>
      </c>
      <c r="N171" s="10" t="n">
        <v>109.2</v>
      </c>
      <c r="O171" s="10">
        <f>IFERROR(VLOOKUP(A171,Flete!$A:$J,10,0),"")</f>
        <v/>
      </c>
      <c r="P171" s="8" t="inlineStr">
        <is>
          <t>TN</t>
        </is>
      </c>
      <c r="Q171" s="10">
        <f>IFERROR(IFERROR(VLOOKUP(A171,TRAOPE!$A:$U,21,0),VLOOKUP(B171,TRAOPE!$A:$U,21,0)),"")</f>
        <v/>
      </c>
      <c r="R171" s="8">
        <f>IFERROR(IFERROR(VLOOKUP(A171,TRAOPE!$A:$W,23,0),VLOOKUP(B171,TRAOPE!$A:$W,23,0)),"")</f>
        <v/>
      </c>
      <c r="S171" s="10">
        <f>IF(AND(P171="TN",R171="TN"),N171+N(O171),IF(G171&amp;""="1",N(K171)*N171,(N171+N(O171))*N(K171)))</f>
        <v/>
      </c>
      <c r="T171" s="10">
        <f>IF(Q171="","",Q171-S171)</f>
        <v/>
      </c>
    </row>
    <row r="172">
      <c r="A172" s="7">
        <f>CONCATENATE(C172,E172,F172,I172)</f>
        <v/>
      </c>
      <c r="B172" s="7">
        <f>CONCATENATE(C172,E172,I172)</f>
        <v/>
      </c>
      <c r="C172" s="8" t="n">
        <v>900004065</v>
      </c>
      <c r="D172" s="7">
        <f>IFERROR(VLOOKUP(C172,TRAOPE!$G:$H,2,0),"")</f>
        <v/>
      </c>
      <c r="E172" s="8" t="inlineStr">
        <is>
          <t>DW68</t>
        </is>
      </c>
      <c r="F172" s="8" t="inlineStr">
        <is>
          <t>D264</t>
        </is>
      </c>
      <c r="G172" s="8">
        <f>IFERROR(VLOOKUP(A172,Flete!$A:$E,5,0),"")</f>
        <v/>
      </c>
      <c r="H172" s="7">
        <f>IFERROR(VLOOKUP(F172,TRAOPE!$AA:$AB,2,0),"")</f>
        <v/>
      </c>
      <c r="I172" s="7" t="n">
        <v>10031878</v>
      </c>
      <c r="J172" s="7">
        <f>IFERROR(VLOOKUP(I172,Materiales!$A:$H,8,0),"")</f>
        <v/>
      </c>
      <c r="K172" s="9">
        <f>IFERROR(VLOOKUP(I172,Materiales!$A:$G,7,0),"")</f>
        <v/>
      </c>
      <c r="L172" s="8" t="inlineStr">
        <is>
          <t>20260201</t>
        </is>
      </c>
      <c r="M172" s="8" t="inlineStr">
        <is>
          <t>99991231</t>
        </is>
      </c>
      <c r="N172" s="10" t="n">
        <v>104</v>
      </c>
      <c r="O172" s="10">
        <f>IFERROR(VLOOKUP(A172,Flete!$A:$J,10,0),"")</f>
        <v/>
      </c>
      <c r="P172" s="8" t="inlineStr">
        <is>
          <t>TN</t>
        </is>
      </c>
      <c r="Q172" s="10">
        <f>IFERROR(IFERROR(VLOOKUP(A172,TRAOPE!$A:$U,21,0),VLOOKUP(B172,TRAOPE!$A:$U,21,0)),"")</f>
        <v/>
      </c>
      <c r="R172" s="8">
        <f>IFERROR(IFERROR(VLOOKUP(A172,TRAOPE!$A:$W,23,0),VLOOKUP(B172,TRAOPE!$A:$W,23,0)),"")</f>
        <v/>
      </c>
      <c r="S172" s="10">
        <f>IF(AND(P172="TN",R172="TN"),N172+N(O172),IF(G172&amp;""="1",N(K172)*N172,(N172+N(O172))*N(K172)))</f>
        <v/>
      </c>
      <c r="T172" s="10">
        <f>IF(Q172="","",Q172-S172)</f>
        <v/>
      </c>
    </row>
    <row r="173">
      <c r="A173" s="7">
        <f>CONCATENATE(C173,E173,F173,I173)</f>
        <v/>
      </c>
      <c r="B173" s="7">
        <f>CONCATENATE(C173,E173,I173)</f>
        <v/>
      </c>
      <c r="C173" s="8" t="n">
        <v>900004065</v>
      </c>
      <c r="D173" s="7">
        <f>IFERROR(VLOOKUP(C173,TRAOPE!$G:$H,2,0),"")</f>
        <v/>
      </c>
      <c r="E173" s="8" t="inlineStr">
        <is>
          <t>DW68</t>
        </is>
      </c>
      <c r="F173" s="8" t="inlineStr">
        <is>
          <t>D268</t>
        </is>
      </c>
      <c r="G173" s="8">
        <f>IFERROR(VLOOKUP(A173,Flete!$A:$E,5,0),"")</f>
        <v/>
      </c>
      <c r="H173" s="7">
        <f>IFERROR(VLOOKUP(F173,TRAOPE!$AA:$AB,2,0),"")</f>
        <v/>
      </c>
      <c r="I173" s="7" t="n">
        <v>10000320</v>
      </c>
      <c r="J173" s="7">
        <f>IFERROR(VLOOKUP(I173,Materiales!$A:$H,8,0),"")</f>
        <v/>
      </c>
      <c r="K173" s="9">
        <f>IFERROR(VLOOKUP(I173,Materiales!$A:$G,7,0),"")</f>
        <v/>
      </c>
      <c r="L173" s="8" t="inlineStr">
        <is>
          <t>20260201</t>
        </is>
      </c>
      <c r="M173" s="8" t="inlineStr">
        <is>
          <t>99991231</t>
        </is>
      </c>
      <c r="N173" s="10" t="n">
        <v>109.2</v>
      </c>
      <c r="O173" s="10">
        <f>IFERROR(VLOOKUP(A173,Flete!$A:$J,10,0),"")</f>
        <v/>
      </c>
      <c r="P173" s="8" t="inlineStr">
        <is>
          <t>TN</t>
        </is>
      </c>
      <c r="Q173" s="10">
        <f>IFERROR(IFERROR(VLOOKUP(A173,TRAOPE!$A:$U,21,0),VLOOKUP(B173,TRAOPE!$A:$U,21,0)),"")</f>
        <v/>
      </c>
      <c r="R173" s="8">
        <f>IFERROR(IFERROR(VLOOKUP(A173,TRAOPE!$A:$W,23,0),VLOOKUP(B173,TRAOPE!$A:$W,23,0)),"")</f>
        <v/>
      </c>
      <c r="S173" s="10">
        <f>IF(AND(P173="TN",R173="TN"),N173+N(O173),IF(G173&amp;""="1",N(K173)*N173,(N173+N(O173))*N(K173)))</f>
        <v/>
      </c>
      <c r="T173" s="10">
        <f>IF(Q173="","",Q173-S173)</f>
        <v/>
      </c>
    </row>
    <row r="174">
      <c r="A174" s="7">
        <f>CONCATENATE(C174,E174,F174,I174)</f>
        <v/>
      </c>
      <c r="B174" s="7">
        <f>CONCATENATE(C174,E174,I174)</f>
        <v/>
      </c>
      <c r="C174" s="8" t="n">
        <v>900004065</v>
      </c>
      <c r="D174" s="7">
        <f>IFERROR(VLOOKUP(C174,TRAOPE!$G:$H,2,0),"")</f>
        <v/>
      </c>
      <c r="E174" s="8" t="inlineStr">
        <is>
          <t>DW68</t>
        </is>
      </c>
      <c r="F174" s="8" t="inlineStr">
        <is>
          <t>D268</t>
        </is>
      </c>
      <c r="G174" s="8">
        <f>IFERROR(VLOOKUP(A174,Flete!$A:$E,5,0),"")</f>
        <v/>
      </c>
      <c r="H174" s="7">
        <f>IFERROR(VLOOKUP(F174,TRAOPE!$AA:$AB,2,0),"")</f>
        <v/>
      </c>
      <c r="I174" s="7" t="n">
        <v>10031878</v>
      </c>
      <c r="J174" s="7">
        <f>IFERROR(VLOOKUP(I174,Materiales!$A:$H,8,0),"")</f>
        <v/>
      </c>
      <c r="K174" s="9">
        <f>IFERROR(VLOOKUP(I174,Materiales!$A:$G,7,0),"")</f>
        <v/>
      </c>
      <c r="L174" s="8" t="inlineStr">
        <is>
          <t>20260201</t>
        </is>
      </c>
      <c r="M174" s="8" t="inlineStr">
        <is>
          <t>99991231</t>
        </is>
      </c>
      <c r="N174" s="10" t="n">
        <v>104</v>
      </c>
      <c r="O174" s="10">
        <f>IFERROR(VLOOKUP(A174,Flete!$A:$J,10,0),"")</f>
        <v/>
      </c>
      <c r="P174" s="8" t="inlineStr">
        <is>
          <t>TN</t>
        </is>
      </c>
      <c r="Q174" s="10">
        <f>IFERROR(IFERROR(VLOOKUP(A174,TRAOPE!$A:$U,21,0),VLOOKUP(B174,TRAOPE!$A:$U,21,0)),"")</f>
        <v/>
      </c>
      <c r="R174" s="8">
        <f>IFERROR(IFERROR(VLOOKUP(A174,TRAOPE!$A:$W,23,0),VLOOKUP(B174,TRAOPE!$A:$W,23,0)),"")</f>
        <v/>
      </c>
      <c r="S174" s="10">
        <f>IF(AND(P174="TN",R174="TN"),N174+N(O174),IF(G174&amp;""="1",N(K174)*N174,(N174+N(O174))*N(K174)))</f>
        <v/>
      </c>
      <c r="T174" s="10">
        <f>IF(Q174="","",Q174-S174)</f>
        <v/>
      </c>
    </row>
    <row r="175">
      <c r="A175" s="7">
        <f>CONCATENATE(C175,E175,F175,I175)</f>
        <v/>
      </c>
      <c r="B175" s="7">
        <f>CONCATENATE(C175,E175,I175)</f>
        <v/>
      </c>
      <c r="C175" s="8" t="n">
        <v>900004065</v>
      </c>
      <c r="D175" s="7">
        <f>IFERROR(VLOOKUP(C175,TRAOPE!$G:$H,2,0),"")</f>
        <v/>
      </c>
      <c r="E175" s="8" t="inlineStr">
        <is>
          <t>DW68</t>
        </is>
      </c>
      <c r="F175" s="8" t="inlineStr">
        <is>
          <t>D577</t>
        </is>
      </c>
      <c r="G175" s="8">
        <f>IFERROR(VLOOKUP(A175,Flete!$A:$E,5,0),"")</f>
        <v/>
      </c>
      <c r="H175" s="7">
        <f>IFERROR(VLOOKUP(F175,TRAOPE!$AA:$AB,2,0),"")</f>
        <v/>
      </c>
      <c r="I175" s="7" t="n">
        <v>10000320</v>
      </c>
      <c r="J175" s="7">
        <f>IFERROR(VLOOKUP(I175,Materiales!$A:$H,8,0),"")</f>
        <v/>
      </c>
      <c r="K175" s="9">
        <f>IFERROR(VLOOKUP(I175,Materiales!$A:$G,7,0),"")</f>
        <v/>
      </c>
      <c r="L175" s="8" t="inlineStr">
        <is>
          <t>20260826</t>
        </is>
      </c>
      <c r="M175" s="8" t="inlineStr">
        <is>
          <t>99991231</t>
        </is>
      </c>
      <c r="N175" s="10" t="n">
        <v>109.2</v>
      </c>
      <c r="O175" s="10">
        <f>IFERROR(VLOOKUP(A175,Flete!$A:$J,10,0),"")</f>
        <v/>
      </c>
      <c r="P175" s="8" t="inlineStr">
        <is>
          <t>TN</t>
        </is>
      </c>
      <c r="Q175" s="10">
        <f>IFERROR(IFERROR(VLOOKUP(A175,TRAOPE!$A:$U,21,0),VLOOKUP(B175,TRAOPE!$A:$U,21,0)),"")</f>
        <v/>
      </c>
      <c r="R175" s="8">
        <f>IFERROR(IFERROR(VLOOKUP(A175,TRAOPE!$A:$W,23,0),VLOOKUP(B175,TRAOPE!$A:$W,23,0)),"")</f>
        <v/>
      </c>
      <c r="S175" s="10">
        <f>IF(AND(P175="TN",R175="TN"),N175+N(O175),IF(G175&amp;""="1",N(K175)*N175,(N175+N(O175))*N(K175)))</f>
        <v/>
      </c>
      <c r="T175" s="10">
        <f>IF(Q175="","",Q175-S175)</f>
        <v/>
      </c>
    </row>
    <row r="176">
      <c r="A176" s="7">
        <f>CONCATENATE(C176,E176,F176,I176)</f>
        <v/>
      </c>
      <c r="B176" s="7">
        <f>CONCATENATE(C176,E176,I176)</f>
        <v/>
      </c>
      <c r="C176" s="8" t="n">
        <v>900004153</v>
      </c>
      <c r="D176" s="7">
        <f>IFERROR(VLOOKUP(C176,TRAOPE!$G:$H,2,0),"")</f>
        <v/>
      </c>
      <c r="E176" s="8" t="inlineStr">
        <is>
          <t>DW68</t>
        </is>
      </c>
      <c r="F176" s="8" t="inlineStr">
        <is>
          <t>D042</t>
        </is>
      </c>
      <c r="G176" s="8">
        <f>IFERROR(VLOOKUP(A176,Flete!$A:$E,5,0),"")</f>
        <v/>
      </c>
      <c r="H176" s="7">
        <f>IFERROR(VLOOKUP(F176,TRAOPE!$AA:$AB,2,0),"")</f>
        <v/>
      </c>
      <c r="I176" s="7" t="n">
        <v>10000144</v>
      </c>
      <c r="J176" s="7">
        <f>IFERROR(VLOOKUP(I176,Materiales!$A:$H,8,0),"")</f>
        <v/>
      </c>
      <c r="K176" s="9">
        <f>IFERROR(VLOOKUP(I176,Materiales!$A:$G,7,0),"")</f>
        <v/>
      </c>
      <c r="L176" s="8" t="inlineStr">
        <is>
          <t>20260201</t>
        </is>
      </c>
      <c r="M176" s="8" t="inlineStr">
        <is>
          <t>99991231</t>
        </is>
      </c>
      <c r="N176" s="10" t="n">
        <v>318.6</v>
      </c>
      <c r="O176" s="10">
        <f>IFERROR(VLOOKUP(A176,Flete!$A:$J,10,0),"")</f>
        <v/>
      </c>
      <c r="P176" s="8" t="inlineStr">
        <is>
          <t>TN</t>
        </is>
      </c>
      <c r="Q176" s="10">
        <f>IFERROR(IFERROR(VLOOKUP(A176,TRAOPE!$A:$U,21,0),VLOOKUP(B176,TRAOPE!$A:$U,21,0)),"")</f>
        <v/>
      </c>
      <c r="R176" s="8">
        <f>IFERROR(IFERROR(VLOOKUP(A176,TRAOPE!$A:$W,23,0),VLOOKUP(B176,TRAOPE!$A:$W,23,0)),"")</f>
        <v/>
      </c>
      <c r="S176" s="10">
        <f>IF(AND(P176="TN",R176="TN"),N176+N(O176),IF(G176&amp;""="1",N(K176)*N176,(N176+N(O176))*N(K176)))</f>
        <v/>
      </c>
      <c r="T176" s="10">
        <f>IF(Q176="","",Q176-S176)</f>
        <v/>
      </c>
    </row>
    <row r="177">
      <c r="A177" s="7">
        <f>CONCATENATE(C177,E177,F177,I177)</f>
        <v/>
      </c>
      <c r="B177" s="7">
        <f>CONCATENATE(C177,E177,I177)</f>
        <v/>
      </c>
      <c r="C177" s="8" t="n">
        <v>900004153</v>
      </c>
      <c r="D177" s="7">
        <f>IFERROR(VLOOKUP(C177,TRAOPE!$G:$H,2,0),"")</f>
        <v/>
      </c>
      <c r="E177" s="8" t="inlineStr">
        <is>
          <t>DW68</t>
        </is>
      </c>
      <c r="F177" s="8" t="inlineStr">
        <is>
          <t>D042</t>
        </is>
      </c>
      <c r="G177" s="8">
        <f>IFERROR(VLOOKUP(A177,Flete!$A:$E,5,0),"")</f>
        <v/>
      </c>
      <c r="H177" s="7">
        <f>IFERROR(VLOOKUP(F177,TRAOPE!$AA:$AB,2,0),"")</f>
        <v/>
      </c>
      <c r="I177" s="7" t="n">
        <v>10000191</v>
      </c>
      <c r="J177" s="7">
        <f>IFERROR(VLOOKUP(I177,Materiales!$A:$H,8,0),"")</f>
        <v/>
      </c>
      <c r="K177" s="9">
        <f>IFERROR(VLOOKUP(I177,Materiales!$A:$G,7,0),"")</f>
        <v/>
      </c>
      <c r="L177" s="8" t="inlineStr">
        <is>
          <t>20260201</t>
        </is>
      </c>
      <c r="M177" s="8" t="inlineStr">
        <is>
          <t>99991231</t>
        </is>
      </c>
      <c r="N177" s="10" t="n">
        <v>170.64</v>
      </c>
      <c r="O177" s="10">
        <f>IFERROR(VLOOKUP(A177,Flete!$A:$J,10,0),"")</f>
        <v/>
      </c>
      <c r="P177" s="8" t="inlineStr">
        <is>
          <t>TN</t>
        </is>
      </c>
      <c r="Q177" s="10">
        <f>IFERROR(IFERROR(VLOOKUP(A177,TRAOPE!$A:$U,21,0),VLOOKUP(B177,TRAOPE!$A:$U,21,0)),"")</f>
        <v/>
      </c>
      <c r="R177" s="8">
        <f>IFERROR(IFERROR(VLOOKUP(A177,TRAOPE!$A:$W,23,0),VLOOKUP(B177,TRAOPE!$A:$W,23,0)),"")</f>
        <v/>
      </c>
      <c r="S177" s="10">
        <f>IF(AND(P177="TN",R177="TN"),N177+N(O177),IF(G177&amp;""="1",N(K177)*N177,(N177+N(O177))*N(K177)))</f>
        <v/>
      </c>
      <c r="T177" s="10">
        <f>IF(Q177="","",Q177-S177)</f>
        <v/>
      </c>
    </row>
    <row r="178">
      <c r="A178" s="7">
        <f>CONCATENATE(C178,E178,F178,I178)</f>
        <v/>
      </c>
      <c r="B178" s="7">
        <f>CONCATENATE(C178,E178,I178)</f>
        <v/>
      </c>
      <c r="C178" s="8" t="n">
        <v>900004153</v>
      </c>
      <c r="D178" s="7">
        <f>IFERROR(VLOOKUP(C178,TRAOPE!$G:$H,2,0),"")</f>
        <v/>
      </c>
      <c r="E178" s="8" t="inlineStr">
        <is>
          <t>DW68</t>
        </is>
      </c>
      <c r="F178" s="8" t="inlineStr">
        <is>
          <t>D042</t>
        </is>
      </c>
      <c r="G178" s="8">
        <f>IFERROR(VLOOKUP(A178,Flete!$A:$E,5,0),"")</f>
        <v/>
      </c>
      <c r="H178" s="7">
        <f>IFERROR(VLOOKUP(F178,TRAOPE!$AA:$AB,2,0),"")</f>
        <v/>
      </c>
      <c r="I178" s="7" t="n">
        <v>10000384</v>
      </c>
      <c r="J178" s="7">
        <f>IFERROR(VLOOKUP(I178,Materiales!$A:$H,8,0),"")</f>
        <v/>
      </c>
      <c r="K178" s="9">
        <f>IFERROR(VLOOKUP(I178,Materiales!$A:$G,7,0),"")</f>
        <v/>
      </c>
      <c r="L178" s="8" t="inlineStr">
        <is>
          <t>20260201</t>
        </is>
      </c>
      <c r="M178" s="8" t="inlineStr">
        <is>
          <t>99991231</t>
        </is>
      </c>
      <c r="N178" s="10" t="n">
        <v>194.4</v>
      </c>
      <c r="O178" s="10">
        <f>IFERROR(VLOOKUP(A178,Flete!$A:$J,10,0),"")</f>
        <v/>
      </c>
      <c r="P178" s="8" t="inlineStr">
        <is>
          <t>TN</t>
        </is>
      </c>
      <c r="Q178" s="10">
        <f>IFERROR(IFERROR(VLOOKUP(A178,TRAOPE!$A:$U,21,0),VLOOKUP(B178,TRAOPE!$A:$U,21,0)),"")</f>
        <v/>
      </c>
      <c r="R178" s="8">
        <f>IFERROR(IFERROR(VLOOKUP(A178,TRAOPE!$A:$W,23,0),VLOOKUP(B178,TRAOPE!$A:$W,23,0)),"")</f>
        <v/>
      </c>
      <c r="S178" s="10">
        <f>IF(AND(P178="TN",R178="TN"),N178+N(O178),IF(G178&amp;""="1",N(K178)*N178,(N178+N(O178))*N(K178)))</f>
        <v/>
      </c>
      <c r="T178" s="10">
        <f>IF(Q178="","",Q178-S178)</f>
        <v/>
      </c>
    </row>
    <row r="179">
      <c r="A179" s="7">
        <f>CONCATENATE(C179,E179,F179,I179)</f>
        <v/>
      </c>
      <c r="B179" s="7">
        <f>CONCATENATE(C179,E179,I179)</f>
        <v/>
      </c>
      <c r="C179" s="8" t="n">
        <v>900004153</v>
      </c>
      <c r="D179" s="7">
        <f>IFERROR(VLOOKUP(C179,TRAOPE!$G:$H,2,0),"")</f>
        <v/>
      </c>
      <c r="E179" s="8" t="inlineStr">
        <is>
          <t>DW68</t>
        </is>
      </c>
      <c r="F179" s="8" t="inlineStr">
        <is>
          <t>D042</t>
        </is>
      </c>
      <c r="G179" s="8">
        <f>IFERROR(VLOOKUP(A179,Flete!$A:$E,5,0),"")</f>
        <v/>
      </c>
      <c r="H179" s="7">
        <f>IFERROR(VLOOKUP(F179,TRAOPE!$AA:$AB,2,0),"")</f>
        <v/>
      </c>
      <c r="I179" s="7" t="n">
        <v>10000388</v>
      </c>
      <c r="J179" s="7">
        <f>IFERROR(VLOOKUP(I179,Materiales!$A:$H,8,0),"")</f>
        <v/>
      </c>
      <c r="K179" s="9">
        <f>IFERROR(VLOOKUP(I179,Materiales!$A:$G,7,0),"")</f>
        <v/>
      </c>
      <c r="L179" s="8" t="inlineStr">
        <is>
          <t>20260201</t>
        </is>
      </c>
      <c r="M179" s="8" t="inlineStr">
        <is>
          <t>99991231</t>
        </is>
      </c>
      <c r="N179" s="10" t="n">
        <v>170.64</v>
      </c>
      <c r="O179" s="10">
        <f>IFERROR(VLOOKUP(A179,Flete!$A:$J,10,0),"")</f>
        <v/>
      </c>
      <c r="P179" s="8" t="inlineStr">
        <is>
          <t>TN</t>
        </is>
      </c>
      <c r="Q179" s="10">
        <f>IFERROR(IFERROR(VLOOKUP(A179,TRAOPE!$A:$U,21,0),VLOOKUP(B179,TRAOPE!$A:$U,21,0)),"")</f>
        <v/>
      </c>
      <c r="R179" s="8">
        <f>IFERROR(IFERROR(VLOOKUP(A179,TRAOPE!$A:$W,23,0),VLOOKUP(B179,TRAOPE!$A:$W,23,0)),"")</f>
        <v/>
      </c>
      <c r="S179" s="10">
        <f>IF(AND(P179="TN",R179="TN"),N179+N(O179),IF(G179&amp;""="1",N(K179)*N179,(N179+N(O179))*N(K179)))</f>
        <v/>
      </c>
      <c r="T179" s="10">
        <f>IF(Q179="","",Q179-S179)</f>
        <v/>
      </c>
    </row>
    <row r="180">
      <c r="A180" s="7">
        <f>CONCATENATE(C180,E180,F180,I180)</f>
        <v/>
      </c>
      <c r="B180" s="7">
        <f>CONCATENATE(C180,E180,I180)</f>
        <v/>
      </c>
      <c r="C180" s="8" t="n">
        <v>900004153</v>
      </c>
      <c r="D180" s="7">
        <f>IFERROR(VLOOKUP(C180,TRAOPE!$G:$H,2,0),"")</f>
        <v/>
      </c>
      <c r="E180" s="8" t="inlineStr">
        <is>
          <t>DW68</t>
        </is>
      </c>
      <c r="F180" s="8" t="inlineStr">
        <is>
          <t>D042</t>
        </is>
      </c>
      <c r="G180" s="8">
        <f>IFERROR(VLOOKUP(A180,Flete!$A:$E,5,0),"")</f>
        <v/>
      </c>
      <c r="H180" s="7">
        <f>IFERROR(VLOOKUP(F180,TRAOPE!$AA:$AB,2,0),"")</f>
        <v/>
      </c>
      <c r="I180" s="7" t="n">
        <v>10004258</v>
      </c>
      <c r="J180" s="7">
        <f>IFERROR(VLOOKUP(I180,Materiales!$A:$H,8,0),"")</f>
        <v/>
      </c>
      <c r="K180" s="9">
        <f>IFERROR(VLOOKUP(I180,Materiales!$A:$G,7,0),"")</f>
        <v/>
      </c>
      <c r="L180" s="8" t="inlineStr">
        <is>
          <t>20260201</t>
        </is>
      </c>
      <c r="M180" s="8" t="inlineStr">
        <is>
          <t>99991231</t>
        </is>
      </c>
      <c r="N180" s="10" t="n">
        <v>277.56</v>
      </c>
      <c r="O180" s="10">
        <f>IFERROR(VLOOKUP(A180,Flete!$A:$J,10,0),"")</f>
        <v/>
      </c>
      <c r="P180" s="8" t="inlineStr">
        <is>
          <t>TN</t>
        </is>
      </c>
      <c r="Q180" s="10">
        <f>IFERROR(IFERROR(VLOOKUP(A180,TRAOPE!$A:$U,21,0),VLOOKUP(B180,TRAOPE!$A:$U,21,0)),"")</f>
        <v/>
      </c>
      <c r="R180" s="8">
        <f>IFERROR(IFERROR(VLOOKUP(A180,TRAOPE!$A:$W,23,0),VLOOKUP(B180,TRAOPE!$A:$W,23,0)),"")</f>
        <v/>
      </c>
      <c r="S180" s="10">
        <f>IF(AND(P180="TN",R180="TN"),N180+N(O180),IF(G180&amp;""="1",N(K180)*N180,(N180+N(O180))*N(K180)))</f>
        <v/>
      </c>
      <c r="T180" s="10">
        <f>IF(Q180="","",Q180-S180)</f>
        <v/>
      </c>
    </row>
    <row r="181">
      <c r="A181" s="7">
        <f>CONCATENATE(C181,E181,F181,I181)</f>
        <v/>
      </c>
      <c r="B181" s="7">
        <f>CONCATENATE(C181,E181,I181)</f>
        <v/>
      </c>
      <c r="C181" s="8" t="n">
        <v>900004153</v>
      </c>
      <c r="D181" s="7">
        <f>IFERROR(VLOOKUP(C181,TRAOPE!$G:$H,2,0),"")</f>
        <v/>
      </c>
      <c r="E181" s="8" t="inlineStr">
        <is>
          <t>DW68</t>
        </is>
      </c>
      <c r="F181" s="8" t="inlineStr">
        <is>
          <t>D209</t>
        </is>
      </c>
      <c r="G181" s="8">
        <f>IFERROR(VLOOKUP(A181,Flete!$A:$E,5,0),"")</f>
        <v/>
      </c>
      <c r="H181" s="7">
        <f>IFERROR(VLOOKUP(F181,TRAOPE!$AA:$AB,2,0),"")</f>
        <v/>
      </c>
      <c r="I181" s="7" t="n">
        <v>10000191</v>
      </c>
      <c r="J181" s="7">
        <f>IFERROR(VLOOKUP(I181,Materiales!$A:$H,8,0),"")</f>
        <v/>
      </c>
      <c r="K181" s="9">
        <f>IFERROR(VLOOKUP(I181,Materiales!$A:$G,7,0),"")</f>
        <v/>
      </c>
      <c r="L181" s="8" t="inlineStr">
        <is>
          <t>20260201</t>
        </is>
      </c>
      <c r="M181" s="8" t="inlineStr">
        <is>
          <t>99991231</t>
        </is>
      </c>
      <c r="N181" s="10" t="n">
        <v>170.64</v>
      </c>
      <c r="O181" s="10">
        <f>IFERROR(VLOOKUP(A181,Flete!$A:$J,10,0),"")</f>
        <v/>
      </c>
      <c r="P181" s="8" t="inlineStr">
        <is>
          <t>TN</t>
        </is>
      </c>
      <c r="Q181" s="10">
        <f>IFERROR(IFERROR(VLOOKUP(A181,TRAOPE!$A:$U,21,0),VLOOKUP(B181,TRAOPE!$A:$U,21,0)),"")</f>
        <v/>
      </c>
      <c r="R181" s="8">
        <f>IFERROR(IFERROR(VLOOKUP(A181,TRAOPE!$A:$W,23,0),VLOOKUP(B181,TRAOPE!$A:$W,23,0)),"")</f>
        <v/>
      </c>
      <c r="S181" s="10">
        <f>IF(AND(P181="TN",R181="TN"),N181+N(O181),IF(G181&amp;""="1",N(K181)*N181,(N181+N(O181))*N(K181)))</f>
        <v/>
      </c>
      <c r="T181" s="10">
        <f>IF(Q181="","",Q181-S181)</f>
        <v/>
      </c>
    </row>
    <row r="182">
      <c r="A182" s="7">
        <f>CONCATENATE(C182,E182,F182,I182)</f>
        <v/>
      </c>
      <c r="B182" s="7">
        <f>CONCATENATE(C182,E182,I182)</f>
        <v/>
      </c>
      <c r="C182" s="8" t="n">
        <v>900004153</v>
      </c>
      <c r="D182" s="7">
        <f>IFERROR(VLOOKUP(C182,TRAOPE!$G:$H,2,0),"")</f>
        <v/>
      </c>
      <c r="E182" s="8" t="inlineStr">
        <is>
          <t>DW68</t>
        </is>
      </c>
      <c r="F182" s="8" t="inlineStr">
        <is>
          <t>D209</t>
        </is>
      </c>
      <c r="G182" s="8">
        <f>IFERROR(VLOOKUP(A182,Flete!$A:$E,5,0),"")</f>
        <v/>
      </c>
      <c r="H182" s="7">
        <f>IFERROR(VLOOKUP(F182,TRAOPE!$AA:$AB,2,0),"")</f>
        <v/>
      </c>
      <c r="I182" s="7" t="n">
        <v>10000384</v>
      </c>
      <c r="J182" s="7">
        <f>IFERROR(VLOOKUP(I182,Materiales!$A:$H,8,0),"")</f>
        <v/>
      </c>
      <c r="K182" s="9">
        <f>IFERROR(VLOOKUP(I182,Materiales!$A:$G,7,0),"")</f>
        <v/>
      </c>
      <c r="L182" s="8" t="inlineStr">
        <is>
          <t>20260201</t>
        </is>
      </c>
      <c r="M182" s="8" t="inlineStr">
        <is>
          <t>99991231</t>
        </is>
      </c>
      <c r="N182" s="10" t="n">
        <v>194.4</v>
      </c>
      <c r="O182" s="10">
        <f>IFERROR(VLOOKUP(A182,Flete!$A:$J,10,0),"")</f>
        <v/>
      </c>
      <c r="P182" s="8" t="inlineStr">
        <is>
          <t>TN</t>
        </is>
      </c>
      <c r="Q182" s="10">
        <f>IFERROR(IFERROR(VLOOKUP(A182,TRAOPE!$A:$U,21,0),VLOOKUP(B182,TRAOPE!$A:$U,21,0)),"")</f>
        <v/>
      </c>
      <c r="R182" s="8">
        <f>IFERROR(IFERROR(VLOOKUP(A182,TRAOPE!$A:$W,23,0),VLOOKUP(B182,TRAOPE!$A:$W,23,0)),"")</f>
        <v/>
      </c>
      <c r="S182" s="10">
        <f>IF(AND(P182="TN",R182="TN"),N182+N(O182),IF(G182&amp;""="1",N(K182)*N182,(N182+N(O182))*N(K182)))</f>
        <v/>
      </c>
      <c r="T182" s="10">
        <f>IF(Q182="","",Q182-S182)</f>
        <v/>
      </c>
    </row>
    <row r="183">
      <c r="A183" s="7">
        <f>CONCATENATE(C183,E183,F183,I183)</f>
        <v/>
      </c>
      <c r="B183" s="7">
        <f>CONCATENATE(C183,E183,I183)</f>
        <v/>
      </c>
      <c r="C183" s="8" t="n">
        <v>900004153</v>
      </c>
      <c r="D183" s="7">
        <f>IFERROR(VLOOKUP(C183,TRAOPE!$G:$H,2,0),"")</f>
        <v/>
      </c>
      <c r="E183" s="8" t="inlineStr">
        <is>
          <t>DW68</t>
        </is>
      </c>
      <c r="F183" s="8" t="inlineStr">
        <is>
          <t>D209</t>
        </is>
      </c>
      <c r="G183" s="8">
        <f>IFERROR(VLOOKUP(A183,Flete!$A:$E,5,0),"")</f>
        <v/>
      </c>
      <c r="H183" s="7">
        <f>IFERROR(VLOOKUP(F183,TRAOPE!$AA:$AB,2,0),"")</f>
        <v/>
      </c>
      <c r="I183" s="7" t="n">
        <v>10000388</v>
      </c>
      <c r="J183" s="7">
        <f>IFERROR(VLOOKUP(I183,Materiales!$A:$H,8,0),"")</f>
        <v/>
      </c>
      <c r="K183" s="9">
        <f>IFERROR(VLOOKUP(I183,Materiales!$A:$G,7,0),"")</f>
        <v/>
      </c>
      <c r="L183" s="8" t="inlineStr">
        <is>
          <t>20260201</t>
        </is>
      </c>
      <c r="M183" s="8" t="inlineStr">
        <is>
          <t>99991231</t>
        </is>
      </c>
      <c r="N183" s="10" t="n">
        <v>170.64</v>
      </c>
      <c r="O183" s="10">
        <f>IFERROR(VLOOKUP(A183,Flete!$A:$J,10,0),"")</f>
        <v/>
      </c>
      <c r="P183" s="8" t="inlineStr">
        <is>
          <t>TN</t>
        </is>
      </c>
      <c r="Q183" s="10">
        <f>IFERROR(IFERROR(VLOOKUP(A183,TRAOPE!$A:$U,21,0),VLOOKUP(B183,TRAOPE!$A:$U,21,0)),"")</f>
        <v/>
      </c>
      <c r="R183" s="8">
        <f>IFERROR(IFERROR(VLOOKUP(A183,TRAOPE!$A:$W,23,0),VLOOKUP(B183,TRAOPE!$A:$W,23,0)),"")</f>
        <v/>
      </c>
      <c r="S183" s="10">
        <f>IF(AND(P183="TN",R183="TN"),N183+N(O183),IF(G183&amp;""="1",N(K183)*N183,(N183+N(O183))*N(K183)))</f>
        <v/>
      </c>
      <c r="T183" s="10">
        <f>IF(Q183="","",Q183-S183)</f>
        <v/>
      </c>
    </row>
    <row r="184">
      <c r="A184" s="7">
        <f>CONCATENATE(C184,E184,F184,I184)</f>
        <v/>
      </c>
      <c r="B184" s="7">
        <f>CONCATENATE(C184,E184,I184)</f>
        <v/>
      </c>
      <c r="C184" s="8" t="n">
        <v>900004153</v>
      </c>
      <c r="D184" s="7">
        <f>IFERROR(VLOOKUP(C184,TRAOPE!$G:$H,2,0),"")</f>
        <v/>
      </c>
      <c r="E184" s="8" t="inlineStr">
        <is>
          <t>DW68</t>
        </is>
      </c>
      <c r="F184" s="8" t="inlineStr">
        <is>
          <t>D209</t>
        </is>
      </c>
      <c r="G184" s="8">
        <f>IFERROR(VLOOKUP(A184,Flete!$A:$E,5,0),"")</f>
        <v/>
      </c>
      <c r="H184" s="7">
        <f>IFERROR(VLOOKUP(F184,TRAOPE!$AA:$AB,2,0),"")</f>
        <v/>
      </c>
      <c r="I184" s="7" t="n">
        <v>10004258</v>
      </c>
      <c r="J184" s="7">
        <f>IFERROR(VLOOKUP(I184,Materiales!$A:$H,8,0),"")</f>
        <v/>
      </c>
      <c r="K184" s="9">
        <f>IFERROR(VLOOKUP(I184,Materiales!$A:$G,7,0),"")</f>
        <v/>
      </c>
      <c r="L184" s="8" t="inlineStr">
        <is>
          <t>20260201</t>
        </is>
      </c>
      <c r="M184" s="8" t="inlineStr">
        <is>
          <t>99991231</t>
        </is>
      </c>
      <c r="N184" s="10" t="n">
        <v>277.56</v>
      </c>
      <c r="O184" s="10">
        <f>IFERROR(VLOOKUP(A184,Flete!$A:$J,10,0),"")</f>
        <v/>
      </c>
      <c r="P184" s="8" t="inlineStr">
        <is>
          <t>TN</t>
        </is>
      </c>
      <c r="Q184" s="10">
        <f>IFERROR(IFERROR(VLOOKUP(A184,TRAOPE!$A:$U,21,0),VLOOKUP(B184,TRAOPE!$A:$U,21,0)),"")</f>
        <v/>
      </c>
      <c r="R184" s="8">
        <f>IFERROR(IFERROR(VLOOKUP(A184,TRAOPE!$A:$W,23,0),VLOOKUP(B184,TRAOPE!$A:$W,23,0)),"")</f>
        <v/>
      </c>
      <c r="S184" s="10">
        <f>IF(AND(P184="TN",R184="TN"),N184+N(O184),IF(G184&amp;""="1",N(K184)*N184,(N184+N(O184))*N(K184)))</f>
        <v/>
      </c>
      <c r="T184" s="10">
        <f>IF(Q184="","",Q184-S184)</f>
        <v/>
      </c>
    </row>
    <row r="185">
      <c r="A185" s="7">
        <f>CONCATENATE(C185,E185,F185,I185)</f>
        <v/>
      </c>
      <c r="B185" s="7">
        <f>CONCATENATE(C185,E185,I185)</f>
        <v/>
      </c>
      <c r="C185" s="8" t="n">
        <v>900004153</v>
      </c>
      <c r="D185" s="7">
        <f>IFERROR(VLOOKUP(C185,TRAOPE!$G:$H,2,0),"")</f>
        <v/>
      </c>
      <c r="E185" s="8" t="inlineStr">
        <is>
          <t>DW68</t>
        </is>
      </c>
      <c r="F185" s="8" t="inlineStr">
        <is>
          <t>D211</t>
        </is>
      </c>
      <c r="G185" s="8">
        <f>IFERROR(VLOOKUP(A185,Flete!$A:$E,5,0),"")</f>
        <v/>
      </c>
      <c r="H185" s="7">
        <f>IFERROR(VLOOKUP(F185,TRAOPE!$AA:$AB,2,0),"")</f>
        <v/>
      </c>
      <c r="I185" s="7" t="n">
        <v>10000144</v>
      </c>
      <c r="J185" s="7">
        <f>IFERROR(VLOOKUP(I185,Materiales!$A:$H,8,0),"")</f>
        <v/>
      </c>
      <c r="K185" s="9">
        <f>IFERROR(VLOOKUP(I185,Materiales!$A:$G,7,0),"")</f>
        <v/>
      </c>
      <c r="L185" s="8" t="inlineStr">
        <is>
          <t>20260413</t>
        </is>
      </c>
      <c r="M185" s="8" t="inlineStr">
        <is>
          <t>99991231</t>
        </is>
      </c>
      <c r="N185" s="10" t="n">
        <v>315</v>
      </c>
      <c r="O185" s="10">
        <f>IFERROR(VLOOKUP(A185,Flete!$A:$J,10,0),"")</f>
        <v/>
      </c>
      <c r="P185" s="8" t="inlineStr">
        <is>
          <t>TN</t>
        </is>
      </c>
      <c r="Q185" s="10">
        <f>IFERROR(IFERROR(VLOOKUP(A185,TRAOPE!$A:$U,21,0),VLOOKUP(B185,TRAOPE!$A:$U,21,0)),"")</f>
        <v/>
      </c>
      <c r="R185" s="8">
        <f>IFERROR(IFERROR(VLOOKUP(A185,TRAOPE!$A:$W,23,0),VLOOKUP(B185,TRAOPE!$A:$W,23,0)),"")</f>
        <v/>
      </c>
      <c r="S185" s="10">
        <f>IF(AND(P185="TN",R185="TN"),N185+N(O185),IF(G185&amp;""="1",N(K185)*N185,(N185+N(O185))*N(K185)))</f>
        <v/>
      </c>
      <c r="T185" s="10">
        <f>IF(Q185="","",Q185-S185)</f>
        <v/>
      </c>
    </row>
    <row r="186">
      <c r="A186" s="7">
        <f>CONCATENATE(C186,E186,F186,I186)</f>
        <v/>
      </c>
      <c r="B186" s="7">
        <f>CONCATENATE(C186,E186,I186)</f>
        <v/>
      </c>
      <c r="C186" s="8" t="n">
        <v>900004153</v>
      </c>
      <c r="D186" s="7">
        <f>IFERROR(VLOOKUP(C186,TRAOPE!$G:$H,2,0),"")</f>
        <v/>
      </c>
      <c r="E186" s="8" t="inlineStr">
        <is>
          <t>DW68</t>
        </is>
      </c>
      <c r="F186" s="8" t="inlineStr">
        <is>
          <t>D211</t>
        </is>
      </c>
      <c r="G186" s="8">
        <f>IFERROR(VLOOKUP(A186,Flete!$A:$E,5,0),"")</f>
        <v/>
      </c>
      <c r="H186" s="7">
        <f>IFERROR(VLOOKUP(F186,TRAOPE!$AA:$AB,2,0),"")</f>
        <v/>
      </c>
      <c r="I186" s="7" t="n">
        <v>10000191</v>
      </c>
      <c r="J186" s="7">
        <f>IFERROR(VLOOKUP(I186,Materiales!$A:$H,8,0),"")</f>
        <v/>
      </c>
      <c r="K186" s="9">
        <f>IFERROR(VLOOKUP(I186,Materiales!$A:$G,7,0),"")</f>
        <v/>
      </c>
      <c r="L186" s="8" t="inlineStr">
        <is>
          <t>20260201</t>
        </is>
      </c>
      <c r="M186" s="8" t="inlineStr">
        <is>
          <t>99991231</t>
        </is>
      </c>
      <c r="N186" s="10" t="n">
        <v>170.64</v>
      </c>
      <c r="O186" s="10">
        <f>IFERROR(VLOOKUP(A186,Flete!$A:$J,10,0),"")</f>
        <v/>
      </c>
      <c r="P186" s="8" t="inlineStr">
        <is>
          <t>TN</t>
        </is>
      </c>
      <c r="Q186" s="10">
        <f>IFERROR(IFERROR(VLOOKUP(A186,TRAOPE!$A:$U,21,0),VLOOKUP(B186,TRAOPE!$A:$U,21,0)),"")</f>
        <v/>
      </c>
      <c r="R186" s="8">
        <f>IFERROR(IFERROR(VLOOKUP(A186,TRAOPE!$A:$W,23,0),VLOOKUP(B186,TRAOPE!$A:$W,23,0)),"")</f>
        <v/>
      </c>
      <c r="S186" s="10">
        <f>IF(AND(P186="TN",R186="TN"),N186+N(O186),IF(G186&amp;""="1",N(K186)*N186,(N186+N(O186))*N(K186)))</f>
        <v/>
      </c>
      <c r="T186" s="10">
        <f>IF(Q186="","",Q186-S186)</f>
        <v/>
      </c>
    </row>
    <row r="187">
      <c r="A187" s="7">
        <f>CONCATENATE(C187,E187,F187,I187)</f>
        <v/>
      </c>
      <c r="B187" s="7">
        <f>CONCATENATE(C187,E187,I187)</f>
        <v/>
      </c>
      <c r="C187" s="8" t="n">
        <v>900004153</v>
      </c>
      <c r="D187" s="7">
        <f>IFERROR(VLOOKUP(C187,TRAOPE!$G:$H,2,0),"")</f>
        <v/>
      </c>
      <c r="E187" s="8" t="inlineStr">
        <is>
          <t>DW68</t>
        </is>
      </c>
      <c r="F187" s="8" t="inlineStr">
        <is>
          <t>D211</t>
        </is>
      </c>
      <c r="G187" s="8">
        <f>IFERROR(VLOOKUP(A187,Flete!$A:$E,5,0),"")</f>
        <v/>
      </c>
      <c r="H187" s="7">
        <f>IFERROR(VLOOKUP(F187,TRAOPE!$AA:$AB,2,0),"")</f>
        <v/>
      </c>
      <c r="I187" s="7" t="n">
        <v>10000384</v>
      </c>
      <c r="J187" s="7">
        <f>IFERROR(VLOOKUP(I187,Materiales!$A:$H,8,0),"")</f>
        <v/>
      </c>
      <c r="K187" s="9">
        <f>IFERROR(VLOOKUP(I187,Materiales!$A:$G,7,0),"")</f>
        <v/>
      </c>
      <c r="L187" s="8" t="inlineStr">
        <is>
          <t>20260201</t>
        </is>
      </c>
      <c r="M187" s="8" t="inlineStr">
        <is>
          <t>99991231</t>
        </is>
      </c>
      <c r="N187" s="10" t="n">
        <v>194.4</v>
      </c>
      <c r="O187" s="10">
        <f>IFERROR(VLOOKUP(A187,Flete!$A:$J,10,0),"")</f>
        <v/>
      </c>
      <c r="P187" s="8" t="inlineStr">
        <is>
          <t>TN</t>
        </is>
      </c>
      <c r="Q187" s="10">
        <f>IFERROR(IFERROR(VLOOKUP(A187,TRAOPE!$A:$U,21,0),VLOOKUP(B187,TRAOPE!$A:$U,21,0)),"")</f>
        <v/>
      </c>
      <c r="R187" s="8">
        <f>IFERROR(IFERROR(VLOOKUP(A187,TRAOPE!$A:$W,23,0),VLOOKUP(B187,TRAOPE!$A:$W,23,0)),"")</f>
        <v/>
      </c>
      <c r="S187" s="10">
        <f>IF(AND(P187="TN",R187="TN"),N187+N(O187),IF(G187&amp;""="1",N(K187)*N187,(N187+N(O187))*N(K187)))</f>
        <v/>
      </c>
      <c r="T187" s="10">
        <f>IF(Q187="","",Q187-S187)</f>
        <v/>
      </c>
    </row>
    <row r="188">
      <c r="A188" s="7">
        <f>CONCATENATE(C188,E188,F188,I188)</f>
        <v/>
      </c>
      <c r="B188" s="7">
        <f>CONCATENATE(C188,E188,I188)</f>
        <v/>
      </c>
      <c r="C188" s="8" t="n">
        <v>900004153</v>
      </c>
      <c r="D188" s="7">
        <f>IFERROR(VLOOKUP(C188,TRAOPE!$G:$H,2,0),"")</f>
        <v/>
      </c>
      <c r="E188" s="8" t="inlineStr">
        <is>
          <t>DW68</t>
        </is>
      </c>
      <c r="F188" s="8" t="inlineStr">
        <is>
          <t>D211</t>
        </is>
      </c>
      <c r="G188" s="8">
        <f>IFERROR(VLOOKUP(A188,Flete!$A:$E,5,0),"")</f>
        <v/>
      </c>
      <c r="H188" s="7">
        <f>IFERROR(VLOOKUP(F188,TRAOPE!$AA:$AB,2,0),"")</f>
        <v/>
      </c>
      <c r="I188" s="7" t="n">
        <v>10000388</v>
      </c>
      <c r="J188" s="7">
        <f>IFERROR(VLOOKUP(I188,Materiales!$A:$H,8,0),"")</f>
        <v/>
      </c>
      <c r="K188" s="9">
        <f>IFERROR(VLOOKUP(I188,Materiales!$A:$G,7,0),"")</f>
        <v/>
      </c>
      <c r="L188" s="8" t="inlineStr">
        <is>
          <t>20260201</t>
        </is>
      </c>
      <c r="M188" s="8" t="inlineStr">
        <is>
          <t>99991231</t>
        </is>
      </c>
      <c r="N188" s="10" t="n">
        <v>170.64</v>
      </c>
      <c r="O188" s="10">
        <f>IFERROR(VLOOKUP(A188,Flete!$A:$J,10,0),"")</f>
        <v/>
      </c>
      <c r="P188" s="8" t="inlineStr">
        <is>
          <t>TN</t>
        </is>
      </c>
      <c r="Q188" s="10">
        <f>IFERROR(IFERROR(VLOOKUP(A188,TRAOPE!$A:$U,21,0),VLOOKUP(B188,TRAOPE!$A:$U,21,0)),"")</f>
        <v/>
      </c>
      <c r="R188" s="8">
        <f>IFERROR(IFERROR(VLOOKUP(A188,TRAOPE!$A:$W,23,0),VLOOKUP(B188,TRAOPE!$A:$W,23,0)),"")</f>
        <v/>
      </c>
      <c r="S188" s="10">
        <f>IF(AND(P188="TN",R188="TN"),N188+N(O188),IF(G188&amp;""="1",N(K188)*N188,(N188+N(O188))*N(K188)))</f>
        <v/>
      </c>
      <c r="T188" s="10">
        <f>IF(Q188="","",Q188-S188)</f>
        <v/>
      </c>
    </row>
    <row r="189">
      <c r="A189" s="7">
        <f>CONCATENATE(C189,E189,F189,I189)</f>
        <v/>
      </c>
      <c r="B189" s="7">
        <f>CONCATENATE(C189,E189,I189)</f>
        <v/>
      </c>
      <c r="C189" s="8" t="n">
        <v>900004153</v>
      </c>
      <c r="D189" s="7">
        <f>IFERROR(VLOOKUP(C189,TRAOPE!$G:$H,2,0),"")</f>
        <v/>
      </c>
      <c r="E189" s="8" t="inlineStr">
        <is>
          <t>DW68</t>
        </is>
      </c>
      <c r="F189" s="8" t="inlineStr">
        <is>
          <t>D211</t>
        </is>
      </c>
      <c r="G189" s="8">
        <f>IFERROR(VLOOKUP(A189,Flete!$A:$E,5,0),"")</f>
        <v/>
      </c>
      <c r="H189" s="7">
        <f>IFERROR(VLOOKUP(F189,TRAOPE!$AA:$AB,2,0),"")</f>
        <v/>
      </c>
      <c r="I189" s="7" t="n">
        <v>10004258</v>
      </c>
      <c r="J189" s="7">
        <f>IFERROR(VLOOKUP(I189,Materiales!$A:$H,8,0),"")</f>
        <v/>
      </c>
      <c r="K189" s="9">
        <f>IFERROR(VLOOKUP(I189,Materiales!$A:$G,7,0),"")</f>
        <v/>
      </c>
      <c r="L189" s="8" t="inlineStr">
        <is>
          <t>20260201</t>
        </is>
      </c>
      <c r="M189" s="8" t="inlineStr">
        <is>
          <t>99991231</t>
        </is>
      </c>
      <c r="N189" s="10" t="n">
        <v>277.56</v>
      </c>
      <c r="O189" s="10">
        <f>IFERROR(VLOOKUP(A189,Flete!$A:$J,10,0),"")</f>
        <v/>
      </c>
      <c r="P189" s="8" t="inlineStr">
        <is>
          <t>TN</t>
        </is>
      </c>
      <c r="Q189" s="10">
        <f>IFERROR(IFERROR(VLOOKUP(A189,TRAOPE!$A:$U,21,0),VLOOKUP(B189,TRAOPE!$A:$U,21,0)),"")</f>
        <v/>
      </c>
      <c r="R189" s="8">
        <f>IFERROR(IFERROR(VLOOKUP(A189,TRAOPE!$A:$W,23,0),VLOOKUP(B189,TRAOPE!$A:$W,23,0)),"")</f>
        <v/>
      </c>
      <c r="S189" s="10">
        <f>IF(AND(P189="TN",R189="TN"),N189+N(O189),IF(G189&amp;""="1",N(K189)*N189,(N189+N(O189))*N(K189)))</f>
        <v/>
      </c>
      <c r="T189" s="10">
        <f>IF(Q189="","",Q189-S189)</f>
        <v/>
      </c>
    </row>
    <row r="190">
      <c r="A190" s="7">
        <f>CONCATENATE(C190,E190,F190,I190)</f>
        <v/>
      </c>
      <c r="B190" s="7">
        <f>CONCATENATE(C190,E190,I190)</f>
        <v/>
      </c>
      <c r="C190" s="8" t="n">
        <v>900004153</v>
      </c>
      <c r="D190" s="7">
        <f>IFERROR(VLOOKUP(C190,TRAOPE!$G:$H,2,0),"")</f>
        <v/>
      </c>
      <c r="E190" s="8" t="inlineStr">
        <is>
          <t>DW68</t>
        </is>
      </c>
      <c r="F190" s="8" t="inlineStr">
        <is>
          <t>D213</t>
        </is>
      </c>
      <c r="G190" s="8">
        <f>IFERROR(VLOOKUP(A190,Flete!$A:$E,5,0),"")</f>
        <v/>
      </c>
      <c r="H190" s="7">
        <f>IFERROR(VLOOKUP(F190,TRAOPE!$AA:$AB,2,0),"")</f>
        <v/>
      </c>
      <c r="I190" s="7" t="n">
        <v>10000191</v>
      </c>
      <c r="J190" s="7">
        <f>IFERROR(VLOOKUP(I190,Materiales!$A:$H,8,0),"")</f>
        <v/>
      </c>
      <c r="K190" s="9">
        <f>IFERROR(VLOOKUP(I190,Materiales!$A:$G,7,0),"")</f>
        <v/>
      </c>
      <c r="L190" s="8" t="inlineStr">
        <is>
          <t>20260201</t>
        </is>
      </c>
      <c r="M190" s="8" t="inlineStr">
        <is>
          <t>99991231</t>
        </is>
      </c>
      <c r="N190" s="10" t="n">
        <v>170.64</v>
      </c>
      <c r="O190" s="10">
        <f>IFERROR(VLOOKUP(A190,Flete!$A:$J,10,0),"")</f>
        <v/>
      </c>
      <c r="P190" s="8" t="inlineStr">
        <is>
          <t>TN</t>
        </is>
      </c>
      <c r="Q190" s="10">
        <f>IFERROR(IFERROR(VLOOKUP(A190,TRAOPE!$A:$U,21,0),VLOOKUP(B190,TRAOPE!$A:$U,21,0)),"")</f>
        <v/>
      </c>
      <c r="R190" s="8">
        <f>IFERROR(IFERROR(VLOOKUP(A190,TRAOPE!$A:$W,23,0),VLOOKUP(B190,TRAOPE!$A:$W,23,0)),"")</f>
        <v/>
      </c>
      <c r="S190" s="10">
        <f>IF(AND(P190="TN",R190="TN"),N190+N(O190),IF(G190&amp;""="1",N(K190)*N190,(N190+N(O190))*N(K190)))</f>
        <v/>
      </c>
      <c r="T190" s="10">
        <f>IF(Q190="","",Q190-S190)</f>
        <v/>
      </c>
    </row>
    <row r="191">
      <c r="A191" s="7">
        <f>CONCATENATE(C191,E191,F191,I191)</f>
        <v/>
      </c>
      <c r="B191" s="7">
        <f>CONCATENATE(C191,E191,I191)</f>
        <v/>
      </c>
      <c r="C191" s="8" t="n">
        <v>900004153</v>
      </c>
      <c r="D191" s="7">
        <f>IFERROR(VLOOKUP(C191,TRAOPE!$G:$H,2,0),"")</f>
        <v/>
      </c>
      <c r="E191" s="8" t="inlineStr">
        <is>
          <t>DW68</t>
        </is>
      </c>
      <c r="F191" s="8" t="inlineStr">
        <is>
          <t>D213</t>
        </is>
      </c>
      <c r="G191" s="8">
        <f>IFERROR(VLOOKUP(A191,Flete!$A:$E,5,0),"")</f>
        <v/>
      </c>
      <c r="H191" s="7">
        <f>IFERROR(VLOOKUP(F191,TRAOPE!$AA:$AB,2,0),"")</f>
        <v/>
      </c>
      <c r="I191" s="7" t="n">
        <v>10000384</v>
      </c>
      <c r="J191" s="7">
        <f>IFERROR(VLOOKUP(I191,Materiales!$A:$H,8,0),"")</f>
        <v/>
      </c>
      <c r="K191" s="9">
        <f>IFERROR(VLOOKUP(I191,Materiales!$A:$G,7,0),"")</f>
        <v/>
      </c>
      <c r="L191" s="8" t="inlineStr">
        <is>
          <t>20260201</t>
        </is>
      </c>
      <c r="M191" s="8" t="inlineStr">
        <is>
          <t>99991231</t>
        </is>
      </c>
      <c r="N191" s="10" t="n">
        <v>194.4</v>
      </c>
      <c r="O191" s="10">
        <f>IFERROR(VLOOKUP(A191,Flete!$A:$J,10,0),"")</f>
        <v/>
      </c>
      <c r="P191" s="8" t="inlineStr">
        <is>
          <t>TN</t>
        </is>
      </c>
      <c r="Q191" s="10">
        <f>IFERROR(IFERROR(VLOOKUP(A191,TRAOPE!$A:$U,21,0),VLOOKUP(B191,TRAOPE!$A:$U,21,0)),"")</f>
        <v/>
      </c>
      <c r="R191" s="8">
        <f>IFERROR(IFERROR(VLOOKUP(A191,TRAOPE!$A:$W,23,0),VLOOKUP(B191,TRAOPE!$A:$W,23,0)),"")</f>
        <v/>
      </c>
      <c r="S191" s="10">
        <f>IF(AND(P191="TN",R191="TN"),N191+N(O191),IF(G191&amp;""="1",N(K191)*N191,(N191+N(O191))*N(K191)))</f>
        <v/>
      </c>
      <c r="T191" s="10">
        <f>IF(Q191="","",Q191-S191)</f>
        <v/>
      </c>
    </row>
    <row r="192">
      <c r="A192" s="7">
        <f>CONCATENATE(C192,E192,F192,I192)</f>
        <v/>
      </c>
      <c r="B192" s="7">
        <f>CONCATENATE(C192,E192,I192)</f>
        <v/>
      </c>
      <c r="C192" s="8" t="n">
        <v>900004153</v>
      </c>
      <c r="D192" s="7">
        <f>IFERROR(VLOOKUP(C192,TRAOPE!$G:$H,2,0),"")</f>
        <v/>
      </c>
      <c r="E192" s="8" t="inlineStr">
        <is>
          <t>DW68</t>
        </is>
      </c>
      <c r="F192" s="8" t="inlineStr">
        <is>
          <t>D213</t>
        </is>
      </c>
      <c r="G192" s="8">
        <f>IFERROR(VLOOKUP(A192,Flete!$A:$E,5,0),"")</f>
        <v/>
      </c>
      <c r="H192" s="7">
        <f>IFERROR(VLOOKUP(F192,TRAOPE!$AA:$AB,2,0),"")</f>
        <v/>
      </c>
      <c r="I192" s="7" t="n">
        <v>10000388</v>
      </c>
      <c r="J192" s="7">
        <f>IFERROR(VLOOKUP(I192,Materiales!$A:$H,8,0),"")</f>
        <v/>
      </c>
      <c r="K192" s="9">
        <f>IFERROR(VLOOKUP(I192,Materiales!$A:$G,7,0),"")</f>
        <v/>
      </c>
      <c r="L192" s="8" t="inlineStr">
        <is>
          <t>20260201</t>
        </is>
      </c>
      <c r="M192" s="8" t="inlineStr">
        <is>
          <t>99991231</t>
        </is>
      </c>
      <c r="N192" s="10" t="n">
        <v>170.64</v>
      </c>
      <c r="O192" s="10">
        <f>IFERROR(VLOOKUP(A192,Flete!$A:$J,10,0),"")</f>
        <v/>
      </c>
      <c r="P192" s="8" t="inlineStr">
        <is>
          <t>TN</t>
        </is>
      </c>
      <c r="Q192" s="10">
        <f>IFERROR(IFERROR(VLOOKUP(A192,TRAOPE!$A:$U,21,0),VLOOKUP(B192,TRAOPE!$A:$U,21,0)),"")</f>
        <v/>
      </c>
      <c r="R192" s="8">
        <f>IFERROR(IFERROR(VLOOKUP(A192,TRAOPE!$A:$W,23,0),VLOOKUP(B192,TRAOPE!$A:$W,23,0)),"")</f>
        <v/>
      </c>
      <c r="S192" s="10">
        <f>IF(AND(P192="TN",R192="TN"),N192+N(O192),IF(G192&amp;""="1",N(K192)*N192,(N192+N(O192))*N(K192)))</f>
        <v/>
      </c>
      <c r="T192" s="10">
        <f>IF(Q192="","",Q192-S192)</f>
        <v/>
      </c>
    </row>
    <row r="193">
      <c r="A193" s="7">
        <f>CONCATENATE(C193,E193,F193,I193)</f>
        <v/>
      </c>
      <c r="B193" s="7">
        <f>CONCATENATE(C193,E193,I193)</f>
        <v/>
      </c>
      <c r="C193" s="8" t="n">
        <v>900004153</v>
      </c>
      <c r="D193" s="7">
        <f>IFERROR(VLOOKUP(C193,TRAOPE!$G:$H,2,0),"")</f>
        <v/>
      </c>
      <c r="E193" s="8" t="inlineStr">
        <is>
          <t>DW68</t>
        </is>
      </c>
      <c r="F193" s="8" t="inlineStr">
        <is>
          <t>D213</t>
        </is>
      </c>
      <c r="G193" s="8">
        <f>IFERROR(VLOOKUP(A193,Flete!$A:$E,5,0),"")</f>
        <v/>
      </c>
      <c r="H193" s="7">
        <f>IFERROR(VLOOKUP(F193,TRAOPE!$AA:$AB,2,0),"")</f>
        <v/>
      </c>
      <c r="I193" s="7" t="n">
        <v>10004258</v>
      </c>
      <c r="J193" s="7">
        <f>IFERROR(VLOOKUP(I193,Materiales!$A:$H,8,0),"")</f>
        <v/>
      </c>
      <c r="K193" s="9">
        <f>IFERROR(VLOOKUP(I193,Materiales!$A:$G,7,0),"")</f>
        <v/>
      </c>
      <c r="L193" s="8" t="inlineStr">
        <is>
          <t>20260201</t>
        </is>
      </c>
      <c r="M193" s="8" t="inlineStr">
        <is>
          <t>99991231</t>
        </is>
      </c>
      <c r="N193" s="10" t="n">
        <v>277.56</v>
      </c>
      <c r="O193" s="10">
        <f>IFERROR(VLOOKUP(A193,Flete!$A:$J,10,0),"")</f>
        <v/>
      </c>
      <c r="P193" s="8" t="inlineStr">
        <is>
          <t>TN</t>
        </is>
      </c>
      <c r="Q193" s="10">
        <f>IFERROR(IFERROR(VLOOKUP(A193,TRAOPE!$A:$U,21,0),VLOOKUP(B193,TRAOPE!$A:$U,21,0)),"")</f>
        <v/>
      </c>
      <c r="R193" s="8">
        <f>IFERROR(IFERROR(VLOOKUP(A193,TRAOPE!$A:$W,23,0),VLOOKUP(B193,TRAOPE!$A:$W,23,0)),"")</f>
        <v/>
      </c>
      <c r="S193" s="10">
        <f>IF(AND(P193="TN",R193="TN"),N193+N(O193),IF(G193&amp;""="1",N(K193)*N193,(N193+N(O193))*N(K193)))</f>
        <v/>
      </c>
      <c r="T193" s="10">
        <f>IF(Q193="","",Q193-S193)</f>
        <v/>
      </c>
    </row>
    <row r="194">
      <c r="A194" s="7">
        <f>CONCATENATE(C194,E194,F194,I194)</f>
        <v/>
      </c>
      <c r="B194" s="7">
        <f>CONCATENATE(C194,E194,I194)</f>
        <v/>
      </c>
      <c r="C194" s="8" t="n">
        <v>900004153</v>
      </c>
      <c r="D194" s="7">
        <f>IFERROR(VLOOKUP(C194,TRAOPE!$G:$H,2,0),"")</f>
        <v/>
      </c>
      <c r="E194" s="8" t="inlineStr">
        <is>
          <t>DW68</t>
        </is>
      </c>
      <c r="F194" s="8" t="inlineStr">
        <is>
          <t>D214</t>
        </is>
      </c>
      <c r="G194" s="8">
        <f>IFERROR(VLOOKUP(A194,Flete!$A:$E,5,0),"")</f>
        <v/>
      </c>
      <c r="H194" s="7">
        <f>IFERROR(VLOOKUP(F194,TRAOPE!$AA:$AB,2,0),"")</f>
        <v/>
      </c>
      <c r="I194" s="7" t="n">
        <v>10000191</v>
      </c>
      <c r="J194" s="7">
        <f>IFERROR(VLOOKUP(I194,Materiales!$A:$H,8,0),"")</f>
        <v/>
      </c>
      <c r="K194" s="9">
        <f>IFERROR(VLOOKUP(I194,Materiales!$A:$G,7,0),"")</f>
        <v/>
      </c>
      <c r="L194" s="8" t="inlineStr">
        <is>
          <t>20220516</t>
        </is>
      </c>
      <c r="M194" s="8" t="inlineStr">
        <is>
          <t>99991231</t>
        </is>
      </c>
      <c r="N194" s="10" t="n">
        <v>116.51</v>
      </c>
      <c r="O194" s="10">
        <f>IFERROR(VLOOKUP(A194,Flete!$A:$J,10,0),"")</f>
        <v/>
      </c>
      <c r="P194" s="8" t="inlineStr">
        <is>
          <t>TN</t>
        </is>
      </c>
      <c r="Q194" s="10">
        <f>IFERROR(IFERROR(VLOOKUP(A194,TRAOPE!$A:$U,21,0),VLOOKUP(B194,TRAOPE!$A:$U,21,0)),"")</f>
        <v/>
      </c>
      <c r="R194" s="8">
        <f>IFERROR(IFERROR(VLOOKUP(A194,TRAOPE!$A:$W,23,0),VLOOKUP(B194,TRAOPE!$A:$W,23,0)),"")</f>
        <v/>
      </c>
      <c r="S194" s="10">
        <f>IF(AND(P194="TN",R194="TN"),N194+N(O194),IF(G194&amp;""="1",N(K194)*N194,(N194+N(O194))*N(K194)))</f>
        <v/>
      </c>
      <c r="T194" s="10">
        <f>IF(Q194="","",Q194-S194)</f>
        <v/>
      </c>
    </row>
    <row r="195">
      <c r="A195" s="7">
        <f>CONCATENATE(C195,E195,F195,I195)</f>
        <v/>
      </c>
      <c r="B195" s="7">
        <f>CONCATENATE(C195,E195,I195)</f>
        <v/>
      </c>
      <c r="C195" s="8" t="n">
        <v>900004153</v>
      </c>
      <c r="D195" s="7">
        <f>IFERROR(VLOOKUP(C195,TRAOPE!$G:$H,2,0),"")</f>
        <v/>
      </c>
      <c r="E195" s="8" t="inlineStr">
        <is>
          <t>DW68</t>
        </is>
      </c>
      <c r="F195" s="8" t="inlineStr">
        <is>
          <t>D214</t>
        </is>
      </c>
      <c r="G195" s="8">
        <f>IFERROR(VLOOKUP(A195,Flete!$A:$E,5,0),"")</f>
        <v/>
      </c>
      <c r="H195" s="7">
        <f>IFERROR(VLOOKUP(F195,TRAOPE!$AA:$AB,2,0),"")</f>
        <v/>
      </c>
      <c r="I195" s="7" t="n">
        <v>10000384</v>
      </c>
      <c r="J195" s="7">
        <f>IFERROR(VLOOKUP(I195,Materiales!$A:$H,8,0),"")</f>
        <v/>
      </c>
      <c r="K195" s="9">
        <f>IFERROR(VLOOKUP(I195,Materiales!$A:$G,7,0),"")</f>
        <v/>
      </c>
      <c r="L195" s="8" t="inlineStr">
        <is>
          <t>20220516</t>
        </is>
      </c>
      <c r="M195" s="8" t="inlineStr">
        <is>
          <t>99991231</t>
        </is>
      </c>
      <c r="N195" s="10" t="n">
        <v>135.57</v>
      </c>
      <c r="O195" s="10">
        <f>IFERROR(VLOOKUP(A195,Flete!$A:$J,10,0),"")</f>
        <v/>
      </c>
      <c r="P195" s="8" t="inlineStr">
        <is>
          <t>TN</t>
        </is>
      </c>
      <c r="Q195" s="10">
        <f>IFERROR(IFERROR(VLOOKUP(A195,TRAOPE!$A:$U,21,0),VLOOKUP(B195,TRAOPE!$A:$U,21,0)),"")</f>
        <v/>
      </c>
      <c r="R195" s="8">
        <f>IFERROR(IFERROR(VLOOKUP(A195,TRAOPE!$A:$W,23,0),VLOOKUP(B195,TRAOPE!$A:$W,23,0)),"")</f>
        <v/>
      </c>
      <c r="S195" s="10">
        <f>IF(AND(P195="TN",R195="TN"),N195+N(O195),IF(G195&amp;""="1",N(K195)*N195,(N195+N(O195))*N(K195)))</f>
        <v/>
      </c>
      <c r="T195" s="10">
        <f>IF(Q195="","",Q195-S195)</f>
        <v/>
      </c>
    </row>
    <row r="196">
      <c r="A196" s="7">
        <f>CONCATENATE(C196,E196,F196,I196)</f>
        <v/>
      </c>
      <c r="B196" s="7">
        <f>CONCATENATE(C196,E196,I196)</f>
        <v/>
      </c>
      <c r="C196" s="8" t="n">
        <v>900004153</v>
      </c>
      <c r="D196" s="7">
        <f>IFERROR(VLOOKUP(C196,TRAOPE!$G:$H,2,0),"")</f>
        <v/>
      </c>
      <c r="E196" s="8" t="inlineStr">
        <is>
          <t>DW68</t>
        </is>
      </c>
      <c r="F196" s="8" t="inlineStr">
        <is>
          <t>D214</t>
        </is>
      </c>
      <c r="G196" s="8">
        <f>IFERROR(VLOOKUP(A196,Flete!$A:$E,5,0),"")</f>
        <v/>
      </c>
      <c r="H196" s="7">
        <f>IFERROR(VLOOKUP(F196,TRAOPE!$AA:$AB,2,0),"")</f>
        <v/>
      </c>
      <c r="I196" s="7" t="n">
        <v>10000388</v>
      </c>
      <c r="J196" s="7">
        <f>IFERROR(VLOOKUP(I196,Materiales!$A:$H,8,0),"")</f>
        <v/>
      </c>
      <c r="K196" s="9">
        <f>IFERROR(VLOOKUP(I196,Materiales!$A:$G,7,0),"")</f>
        <v/>
      </c>
      <c r="L196" s="8" t="inlineStr">
        <is>
          <t>20220516</t>
        </is>
      </c>
      <c r="M196" s="8" t="inlineStr">
        <is>
          <t>99991231</t>
        </is>
      </c>
      <c r="N196" s="10" t="n">
        <v>116.36</v>
      </c>
      <c r="O196" s="10">
        <f>IFERROR(VLOOKUP(A196,Flete!$A:$J,10,0),"")</f>
        <v/>
      </c>
      <c r="P196" s="8" t="inlineStr">
        <is>
          <t>TN</t>
        </is>
      </c>
      <c r="Q196" s="10">
        <f>IFERROR(IFERROR(VLOOKUP(A196,TRAOPE!$A:$U,21,0),VLOOKUP(B196,TRAOPE!$A:$U,21,0)),"")</f>
        <v/>
      </c>
      <c r="R196" s="8">
        <f>IFERROR(IFERROR(VLOOKUP(A196,TRAOPE!$A:$W,23,0),VLOOKUP(B196,TRAOPE!$A:$W,23,0)),"")</f>
        <v/>
      </c>
      <c r="S196" s="10">
        <f>IF(AND(P196="TN",R196="TN"),N196+N(O196),IF(G196&amp;""="1",N(K196)*N196,(N196+N(O196))*N(K196)))</f>
        <v/>
      </c>
      <c r="T196" s="10">
        <f>IF(Q196="","",Q196-S196)</f>
        <v/>
      </c>
    </row>
    <row r="197">
      <c r="A197" s="7">
        <f>CONCATENATE(C197,E197,F197,I197)</f>
        <v/>
      </c>
      <c r="B197" s="7">
        <f>CONCATENATE(C197,E197,I197)</f>
        <v/>
      </c>
      <c r="C197" s="8" t="n">
        <v>900004153</v>
      </c>
      <c r="D197" s="7">
        <f>IFERROR(VLOOKUP(C197,TRAOPE!$G:$H,2,0),"")</f>
        <v/>
      </c>
      <c r="E197" s="8" t="inlineStr">
        <is>
          <t>DW68</t>
        </is>
      </c>
      <c r="F197" s="8" t="inlineStr">
        <is>
          <t>D214</t>
        </is>
      </c>
      <c r="G197" s="8">
        <f>IFERROR(VLOOKUP(A197,Flete!$A:$E,5,0),"")</f>
        <v/>
      </c>
      <c r="H197" s="7">
        <f>IFERROR(VLOOKUP(F197,TRAOPE!$AA:$AB,2,0),"")</f>
        <v/>
      </c>
      <c r="I197" s="7" t="n">
        <v>10004258</v>
      </c>
      <c r="J197" s="7">
        <f>IFERROR(VLOOKUP(I197,Materiales!$A:$H,8,0),"")</f>
        <v/>
      </c>
      <c r="K197" s="9">
        <f>IFERROR(VLOOKUP(I197,Materiales!$A:$G,7,0),"")</f>
        <v/>
      </c>
      <c r="L197" s="8" t="inlineStr">
        <is>
          <t>20220516</t>
        </is>
      </c>
      <c r="M197" s="8" t="inlineStr">
        <is>
          <t>99991231</t>
        </is>
      </c>
      <c r="N197" s="10" t="n">
        <v>187.01</v>
      </c>
      <c r="O197" s="10">
        <f>IFERROR(VLOOKUP(A197,Flete!$A:$J,10,0),"")</f>
        <v/>
      </c>
      <c r="P197" s="8" t="inlineStr">
        <is>
          <t>TN</t>
        </is>
      </c>
      <c r="Q197" s="10">
        <f>IFERROR(IFERROR(VLOOKUP(A197,TRAOPE!$A:$U,21,0),VLOOKUP(B197,TRAOPE!$A:$U,21,0)),"")</f>
        <v/>
      </c>
      <c r="R197" s="8">
        <f>IFERROR(IFERROR(VLOOKUP(A197,TRAOPE!$A:$W,23,0),VLOOKUP(B197,TRAOPE!$A:$W,23,0)),"")</f>
        <v/>
      </c>
      <c r="S197" s="10">
        <f>IF(AND(P197="TN",R197="TN"),N197+N(O197),IF(G197&amp;""="1",N(K197)*N197,(N197+N(O197))*N(K197)))</f>
        <v/>
      </c>
      <c r="T197" s="10">
        <f>IF(Q197="","",Q197-S197)</f>
        <v/>
      </c>
    </row>
    <row r="198">
      <c r="A198" s="7">
        <f>CONCATENATE(C198,E198,F198,I198)</f>
        <v/>
      </c>
      <c r="B198" s="7">
        <f>CONCATENATE(C198,E198,I198)</f>
        <v/>
      </c>
      <c r="C198" s="8" t="n">
        <v>900004153</v>
      </c>
      <c r="D198" s="7">
        <f>IFERROR(VLOOKUP(C198,TRAOPE!$G:$H,2,0),"")</f>
        <v/>
      </c>
      <c r="E198" s="8" t="inlineStr">
        <is>
          <t>DW68</t>
        </is>
      </c>
      <c r="F198" s="8" t="inlineStr">
        <is>
          <t>D220</t>
        </is>
      </c>
      <c r="G198" s="8">
        <f>IFERROR(VLOOKUP(A198,Flete!$A:$E,5,0),"")</f>
        <v/>
      </c>
      <c r="H198" s="7">
        <f>IFERROR(VLOOKUP(F198,TRAOPE!$AA:$AB,2,0),"")</f>
        <v/>
      </c>
      <c r="I198" s="7" t="n">
        <v>10000191</v>
      </c>
      <c r="J198" s="7">
        <f>IFERROR(VLOOKUP(I198,Materiales!$A:$H,8,0),"")</f>
        <v/>
      </c>
      <c r="K198" s="9">
        <f>IFERROR(VLOOKUP(I198,Materiales!$A:$G,7,0),"")</f>
        <v/>
      </c>
      <c r="L198" s="8" t="inlineStr">
        <is>
          <t>20260201</t>
        </is>
      </c>
      <c r="M198" s="8" t="inlineStr">
        <is>
          <t>99991231</t>
        </is>
      </c>
      <c r="N198" s="10" t="n">
        <v>170.64</v>
      </c>
      <c r="O198" s="10">
        <f>IFERROR(VLOOKUP(A198,Flete!$A:$J,10,0),"")</f>
        <v/>
      </c>
      <c r="P198" s="8" t="inlineStr">
        <is>
          <t>TN</t>
        </is>
      </c>
      <c r="Q198" s="10">
        <f>IFERROR(IFERROR(VLOOKUP(A198,TRAOPE!$A:$U,21,0),VLOOKUP(B198,TRAOPE!$A:$U,21,0)),"")</f>
        <v/>
      </c>
      <c r="R198" s="8">
        <f>IFERROR(IFERROR(VLOOKUP(A198,TRAOPE!$A:$W,23,0),VLOOKUP(B198,TRAOPE!$A:$W,23,0)),"")</f>
        <v/>
      </c>
      <c r="S198" s="10">
        <f>IF(AND(P198="TN",R198="TN"),N198+N(O198),IF(G198&amp;""="1",N(K198)*N198,(N198+N(O198))*N(K198)))</f>
        <v/>
      </c>
      <c r="T198" s="10">
        <f>IF(Q198="","",Q198-S198)</f>
        <v/>
      </c>
    </row>
    <row r="199">
      <c r="A199" s="7">
        <f>CONCATENATE(C199,E199,F199,I199)</f>
        <v/>
      </c>
      <c r="B199" s="7">
        <f>CONCATENATE(C199,E199,I199)</f>
        <v/>
      </c>
      <c r="C199" s="8" t="n">
        <v>900004153</v>
      </c>
      <c r="D199" s="7">
        <f>IFERROR(VLOOKUP(C199,TRAOPE!$G:$H,2,0),"")</f>
        <v/>
      </c>
      <c r="E199" s="8" t="inlineStr">
        <is>
          <t>DW68</t>
        </is>
      </c>
      <c r="F199" s="8" t="inlineStr">
        <is>
          <t>D220</t>
        </is>
      </c>
      <c r="G199" s="8">
        <f>IFERROR(VLOOKUP(A199,Flete!$A:$E,5,0),"")</f>
        <v/>
      </c>
      <c r="H199" s="7">
        <f>IFERROR(VLOOKUP(F199,TRAOPE!$AA:$AB,2,0),"")</f>
        <v/>
      </c>
      <c r="I199" s="7" t="n">
        <v>10000384</v>
      </c>
      <c r="J199" s="7">
        <f>IFERROR(VLOOKUP(I199,Materiales!$A:$H,8,0),"")</f>
        <v/>
      </c>
      <c r="K199" s="9">
        <f>IFERROR(VLOOKUP(I199,Materiales!$A:$G,7,0),"")</f>
        <v/>
      </c>
      <c r="L199" s="8" t="inlineStr">
        <is>
          <t>20260201</t>
        </is>
      </c>
      <c r="M199" s="8" t="inlineStr">
        <is>
          <t>99991231</t>
        </is>
      </c>
      <c r="N199" s="10" t="n">
        <v>194.4</v>
      </c>
      <c r="O199" s="10">
        <f>IFERROR(VLOOKUP(A199,Flete!$A:$J,10,0),"")</f>
        <v/>
      </c>
      <c r="P199" s="8" t="inlineStr">
        <is>
          <t>TN</t>
        </is>
      </c>
      <c r="Q199" s="10">
        <f>IFERROR(IFERROR(VLOOKUP(A199,TRAOPE!$A:$U,21,0),VLOOKUP(B199,TRAOPE!$A:$U,21,0)),"")</f>
        <v/>
      </c>
      <c r="R199" s="8">
        <f>IFERROR(IFERROR(VLOOKUP(A199,TRAOPE!$A:$W,23,0),VLOOKUP(B199,TRAOPE!$A:$W,23,0)),"")</f>
        <v/>
      </c>
      <c r="S199" s="10">
        <f>IF(AND(P199="TN",R199="TN"),N199+N(O199),IF(G199&amp;""="1",N(K199)*N199,(N199+N(O199))*N(K199)))</f>
        <v/>
      </c>
      <c r="T199" s="10">
        <f>IF(Q199="","",Q199-S199)</f>
        <v/>
      </c>
    </row>
    <row r="200">
      <c r="A200" s="7">
        <f>CONCATENATE(C200,E200,F200,I200)</f>
        <v/>
      </c>
      <c r="B200" s="7">
        <f>CONCATENATE(C200,E200,I200)</f>
        <v/>
      </c>
      <c r="C200" s="8" t="n">
        <v>900004153</v>
      </c>
      <c r="D200" s="7">
        <f>IFERROR(VLOOKUP(C200,TRAOPE!$G:$H,2,0),"")</f>
        <v/>
      </c>
      <c r="E200" s="8" t="inlineStr">
        <is>
          <t>DW68</t>
        </is>
      </c>
      <c r="F200" s="8" t="inlineStr">
        <is>
          <t>D220</t>
        </is>
      </c>
      <c r="G200" s="8">
        <f>IFERROR(VLOOKUP(A200,Flete!$A:$E,5,0),"")</f>
        <v/>
      </c>
      <c r="H200" s="7">
        <f>IFERROR(VLOOKUP(F200,TRAOPE!$AA:$AB,2,0),"")</f>
        <v/>
      </c>
      <c r="I200" s="7" t="n">
        <v>10000388</v>
      </c>
      <c r="J200" s="7">
        <f>IFERROR(VLOOKUP(I200,Materiales!$A:$H,8,0),"")</f>
        <v/>
      </c>
      <c r="K200" s="9">
        <f>IFERROR(VLOOKUP(I200,Materiales!$A:$G,7,0),"")</f>
        <v/>
      </c>
      <c r="L200" s="8" t="inlineStr">
        <is>
          <t>20260201</t>
        </is>
      </c>
      <c r="M200" s="8" t="inlineStr">
        <is>
          <t>99991231</t>
        </is>
      </c>
      <c r="N200" s="10" t="n">
        <v>170.64</v>
      </c>
      <c r="O200" s="10">
        <f>IFERROR(VLOOKUP(A200,Flete!$A:$J,10,0),"")</f>
        <v/>
      </c>
      <c r="P200" s="8" t="inlineStr">
        <is>
          <t>TN</t>
        </is>
      </c>
      <c r="Q200" s="10">
        <f>IFERROR(IFERROR(VLOOKUP(A200,TRAOPE!$A:$U,21,0),VLOOKUP(B200,TRAOPE!$A:$U,21,0)),"")</f>
        <v/>
      </c>
      <c r="R200" s="8">
        <f>IFERROR(IFERROR(VLOOKUP(A200,TRAOPE!$A:$W,23,0),VLOOKUP(B200,TRAOPE!$A:$W,23,0)),"")</f>
        <v/>
      </c>
      <c r="S200" s="10">
        <f>IF(AND(P200="TN",R200="TN"),N200+N(O200),IF(G200&amp;""="1",N(K200)*N200,(N200+N(O200))*N(K200)))</f>
        <v/>
      </c>
      <c r="T200" s="10">
        <f>IF(Q200="","",Q200-S200)</f>
        <v/>
      </c>
    </row>
    <row r="201">
      <c r="A201" s="7">
        <f>CONCATENATE(C201,E201,F201,I201)</f>
        <v/>
      </c>
      <c r="B201" s="7">
        <f>CONCATENATE(C201,E201,I201)</f>
        <v/>
      </c>
      <c r="C201" s="8" t="n">
        <v>900004153</v>
      </c>
      <c r="D201" s="7">
        <f>IFERROR(VLOOKUP(C201,TRAOPE!$G:$H,2,0),"")</f>
        <v/>
      </c>
      <c r="E201" s="8" t="inlineStr">
        <is>
          <t>DW68</t>
        </is>
      </c>
      <c r="F201" s="8" t="inlineStr">
        <is>
          <t>D220</t>
        </is>
      </c>
      <c r="G201" s="8">
        <f>IFERROR(VLOOKUP(A201,Flete!$A:$E,5,0),"")</f>
        <v/>
      </c>
      <c r="H201" s="7">
        <f>IFERROR(VLOOKUP(F201,TRAOPE!$AA:$AB,2,0),"")</f>
        <v/>
      </c>
      <c r="I201" s="7" t="n">
        <v>10004258</v>
      </c>
      <c r="J201" s="7">
        <f>IFERROR(VLOOKUP(I201,Materiales!$A:$H,8,0),"")</f>
        <v/>
      </c>
      <c r="K201" s="9">
        <f>IFERROR(VLOOKUP(I201,Materiales!$A:$G,7,0),"")</f>
        <v/>
      </c>
      <c r="L201" s="8" t="inlineStr">
        <is>
          <t>20260201</t>
        </is>
      </c>
      <c r="M201" s="8" t="inlineStr">
        <is>
          <t>99991231</t>
        </is>
      </c>
      <c r="N201" s="10" t="n">
        <v>277.56</v>
      </c>
      <c r="O201" s="10">
        <f>IFERROR(VLOOKUP(A201,Flete!$A:$J,10,0),"")</f>
        <v/>
      </c>
      <c r="P201" s="8" t="inlineStr">
        <is>
          <t>TN</t>
        </is>
      </c>
      <c r="Q201" s="10">
        <f>IFERROR(IFERROR(VLOOKUP(A201,TRAOPE!$A:$U,21,0),VLOOKUP(B201,TRAOPE!$A:$U,21,0)),"")</f>
        <v/>
      </c>
      <c r="R201" s="8">
        <f>IFERROR(IFERROR(VLOOKUP(A201,TRAOPE!$A:$W,23,0),VLOOKUP(B201,TRAOPE!$A:$W,23,0)),"")</f>
        <v/>
      </c>
      <c r="S201" s="10">
        <f>IF(AND(P201="TN",R201="TN"),N201+N(O201),IF(G201&amp;""="1",N(K201)*N201,(N201+N(O201))*N(K201)))</f>
        <v/>
      </c>
      <c r="T201" s="10">
        <f>IF(Q201="","",Q201-S201)</f>
        <v/>
      </c>
    </row>
    <row r="202">
      <c r="A202" s="7">
        <f>CONCATENATE(C202,E202,F202,I202)</f>
        <v/>
      </c>
      <c r="B202" s="7">
        <f>CONCATENATE(C202,E202,I202)</f>
        <v/>
      </c>
      <c r="C202" s="8" t="n">
        <v>900004153</v>
      </c>
      <c r="D202" s="7">
        <f>IFERROR(VLOOKUP(C202,TRAOPE!$G:$H,2,0),"")</f>
        <v/>
      </c>
      <c r="E202" s="8" t="inlineStr">
        <is>
          <t>DW68</t>
        </is>
      </c>
      <c r="F202" s="8" t="inlineStr">
        <is>
          <t>D228</t>
        </is>
      </c>
      <c r="G202" s="8">
        <f>IFERROR(VLOOKUP(A202,Flete!$A:$E,5,0),"")</f>
        <v/>
      </c>
      <c r="H202" s="7">
        <f>IFERROR(VLOOKUP(F202,TRAOPE!$AA:$AB,2,0),"")</f>
        <v/>
      </c>
      <c r="I202" s="7" t="n">
        <v>10000191</v>
      </c>
      <c r="J202" s="7">
        <f>IFERROR(VLOOKUP(I202,Materiales!$A:$H,8,0),"")</f>
        <v/>
      </c>
      <c r="K202" s="9">
        <f>IFERROR(VLOOKUP(I202,Materiales!$A:$G,7,0),"")</f>
        <v/>
      </c>
      <c r="L202" s="8" t="inlineStr">
        <is>
          <t>20260201</t>
        </is>
      </c>
      <c r="M202" s="8" t="inlineStr">
        <is>
          <t>99991231</t>
        </is>
      </c>
      <c r="N202" s="10" t="n">
        <v>170.64</v>
      </c>
      <c r="O202" s="10">
        <f>IFERROR(VLOOKUP(A202,Flete!$A:$J,10,0),"")</f>
        <v/>
      </c>
      <c r="P202" s="8" t="inlineStr">
        <is>
          <t>TN</t>
        </is>
      </c>
      <c r="Q202" s="10">
        <f>IFERROR(IFERROR(VLOOKUP(A202,TRAOPE!$A:$U,21,0),VLOOKUP(B202,TRAOPE!$A:$U,21,0)),"")</f>
        <v/>
      </c>
      <c r="R202" s="8">
        <f>IFERROR(IFERROR(VLOOKUP(A202,TRAOPE!$A:$W,23,0),VLOOKUP(B202,TRAOPE!$A:$W,23,0)),"")</f>
        <v/>
      </c>
      <c r="S202" s="10">
        <f>IF(AND(P202="TN",R202="TN"),N202+N(O202),IF(G202&amp;""="1",N(K202)*N202,(N202+N(O202))*N(K202)))</f>
        <v/>
      </c>
      <c r="T202" s="10">
        <f>IF(Q202="","",Q202-S202)</f>
        <v/>
      </c>
    </row>
    <row r="203">
      <c r="A203" s="7">
        <f>CONCATENATE(C203,E203,F203,I203)</f>
        <v/>
      </c>
      <c r="B203" s="7">
        <f>CONCATENATE(C203,E203,I203)</f>
        <v/>
      </c>
      <c r="C203" s="8" t="n">
        <v>900004153</v>
      </c>
      <c r="D203" s="7">
        <f>IFERROR(VLOOKUP(C203,TRAOPE!$G:$H,2,0),"")</f>
        <v/>
      </c>
      <c r="E203" s="8" t="inlineStr">
        <is>
          <t>DW68</t>
        </is>
      </c>
      <c r="F203" s="8" t="inlineStr">
        <is>
          <t>D228</t>
        </is>
      </c>
      <c r="G203" s="8">
        <f>IFERROR(VLOOKUP(A203,Flete!$A:$E,5,0),"")</f>
        <v/>
      </c>
      <c r="H203" s="7">
        <f>IFERROR(VLOOKUP(F203,TRAOPE!$AA:$AB,2,0),"")</f>
        <v/>
      </c>
      <c r="I203" s="7" t="n">
        <v>10000384</v>
      </c>
      <c r="J203" s="7">
        <f>IFERROR(VLOOKUP(I203,Materiales!$A:$H,8,0),"")</f>
        <v/>
      </c>
      <c r="K203" s="9">
        <f>IFERROR(VLOOKUP(I203,Materiales!$A:$G,7,0),"")</f>
        <v/>
      </c>
      <c r="L203" s="8" t="inlineStr">
        <is>
          <t>20260201</t>
        </is>
      </c>
      <c r="M203" s="8" t="inlineStr">
        <is>
          <t>99991231</t>
        </is>
      </c>
      <c r="N203" s="10" t="n">
        <v>194.4</v>
      </c>
      <c r="O203" s="10">
        <f>IFERROR(VLOOKUP(A203,Flete!$A:$J,10,0),"")</f>
        <v/>
      </c>
      <c r="P203" s="8" t="inlineStr">
        <is>
          <t>TN</t>
        </is>
      </c>
      <c r="Q203" s="10">
        <f>IFERROR(IFERROR(VLOOKUP(A203,TRAOPE!$A:$U,21,0),VLOOKUP(B203,TRAOPE!$A:$U,21,0)),"")</f>
        <v/>
      </c>
      <c r="R203" s="8">
        <f>IFERROR(IFERROR(VLOOKUP(A203,TRAOPE!$A:$W,23,0),VLOOKUP(B203,TRAOPE!$A:$W,23,0)),"")</f>
        <v/>
      </c>
      <c r="S203" s="10">
        <f>IF(AND(P203="TN",R203="TN"),N203+N(O203),IF(G203&amp;""="1",N(K203)*N203,(N203+N(O203))*N(K203)))</f>
        <v/>
      </c>
      <c r="T203" s="10">
        <f>IF(Q203="","",Q203-S203)</f>
        <v/>
      </c>
    </row>
    <row r="204">
      <c r="A204" s="7">
        <f>CONCATENATE(C204,E204,F204,I204)</f>
        <v/>
      </c>
      <c r="B204" s="7">
        <f>CONCATENATE(C204,E204,I204)</f>
        <v/>
      </c>
      <c r="C204" s="8" t="n">
        <v>900004153</v>
      </c>
      <c r="D204" s="7">
        <f>IFERROR(VLOOKUP(C204,TRAOPE!$G:$H,2,0),"")</f>
        <v/>
      </c>
      <c r="E204" s="8" t="inlineStr">
        <is>
          <t>DW68</t>
        </is>
      </c>
      <c r="F204" s="8" t="inlineStr">
        <is>
          <t>D228</t>
        </is>
      </c>
      <c r="G204" s="8">
        <f>IFERROR(VLOOKUP(A204,Flete!$A:$E,5,0),"")</f>
        <v/>
      </c>
      <c r="H204" s="7">
        <f>IFERROR(VLOOKUP(F204,TRAOPE!$AA:$AB,2,0),"")</f>
        <v/>
      </c>
      <c r="I204" s="7" t="n">
        <v>10000388</v>
      </c>
      <c r="J204" s="7">
        <f>IFERROR(VLOOKUP(I204,Materiales!$A:$H,8,0),"")</f>
        <v/>
      </c>
      <c r="K204" s="9">
        <f>IFERROR(VLOOKUP(I204,Materiales!$A:$G,7,0),"")</f>
        <v/>
      </c>
      <c r="L204" s="8" t="inlineStr">
        <is>
          <t>20260201</t>
        </is>
      </c>
      <c r="M204" s="8" t="inlineStr">
        <is>
          <t>99991231</t>
        </is>
      </c>
      <c r="N204" s="10" t="n">
        <v>170.64</v>
      </c>
      <c r="O204" s="10">
        <f>IFERROR(VLOOKUP(A204,Flete!$A:$J,10,0),"")</f>
        <v/>
      </c>
      <c r="P204" s="8" t="inlineStr">
        <is>
          <t>TN</t>
        </is>
      </c>
      <c r="Q204" s="10">
        <f>IFERROR(IFERROR(VLOOKUP(A204,TRAOPE!$A:$U,21,0),VLOOKUP(B204,TRAOPE!$A:$U,21,0)),"")</f>
        <v/>
      </c>
      <c r="R204" s="8">
        <f>IFERROR(IFERROR(VLOOKUP(A204,TRAOPE!$A:$W,23,0),VLOOKUP(B204,TRAOPE!$A:$W,23,0)),"")</f>
        <v/>
      </c>
      <c r="S204" s="10">
        <f>IF(AND(P204="TN",R204="TN"),N204+N(O204),IF(G204&amp;""="1",N(K204)*N204,(N204+N(O204))*N(K204)))</f>
        <v/>
      </c>
      <c r="T204" s="10">
        <f>IF(Q204="","",Q204-S204)</f>
        <v/>
      </c>
    </row>
    <row r="205">
      <c r="A205" s="7">
        <f>CONCATENATE(C205,E205,F205,I205)</f>
        <v/>
      </c>
      <c r="B205" s="7">
        <f>CONCATENATE(C205,E205,I205)</f>
        <v/>
      </c>
      <c r="C205" s="8" t="n">
        <v>900004153</v>
      </c>
      <c r="D205" s="7">
        <f>IFERROR(VLOOKUP(C205,TRAOPE!$G:$H,2,0),"")</f>
        <v/>
      </c>
      <c r="E205" s="8" t="inlineStr">
        <is>
          <t>DW68</t>
        </is>
      </c>
      <c r="F205" s="8" t="inlineStr">
        <is>
          <t>D228</t>
        </is>
      </c>
      <c r="G205" s="8">
        <f>IFERROR(VLOOKUP(A205,Flete!$A:$E,5,0),"")</f>
        <v/>
      </c>
      <c r="H205" s="7">
        <f>IFERROR(VLOOKUP(F205,TRAOPE!$AA:$AB,2,0),"")</f>
        <v/>
      </c>
      <c r="I205" s="7" t="n">
        <v>10004258</v>
      </c>
      <c r="J205" s="7">
        <f>IFERROR(VLOOKUP(I205,Materiales!$A:$H,8,0),"")</f>
        <v/>
      </c>
      <c r="K205" s="9">
        <f>IFERROR(VLOOKUP(I205,Materiales!$A:$G,7,0),"")</f>
        <v/>
      </c>
      <c r="L205" s="8" t="inlineStr">
        <is>
          <t>20260201</t>
        </is>
      </c>
      <c r="M205" s="8" t="inlineStr">
        <is>
          <t>99991231</t>
        </is>
      </c>
      <c r="N205" s="10" t="n">
        <v>277.56</v>
      </c>
      <c r="O205" s="10">
        <f>IFERROR(VLOOKUP(A205,Flete!$A:$J,10,0),"")</f>
        <v/>
      </c>
      <c r="P205" s="8" t="inlineStr">
        <is>
          <t>TN</t>
        </is>
      </c>
      <c r="Q205" s="10">
        <f>IFERROR(IFERROR(VLOOKUP(A205,TRAOPE!$A:$U,21,0),VLOOKUP(B205,TRAOPE!$A:$U,21,0)),"")</f>
        <v/>
      </c>
      <c r="R205" s="8">
        <f>IFERROR(IFERROR(VLOOKUP(A205,TRAOPE!$A:$W,23,0),VLOOKUP(B205,TRAOPE!$A:$W,23,0)),"")</f>
        <v/>
      </c>
      <c r="S205" s="10">
        <f>IF(AND(P205="TN",R205="TN"),N205+N(O205),IF(G205&amp;""="1",N(K205)*N205,(N205+N(O205))*N(K205)))</f>
        <v/>
      </c>
      <c r="T205" s="10">
        <f>IF(Q205="","",Q205-S205)</f>
        <v/>
      </c>
    </row>
    <row r="206">
      <c r="A206" s="7">
        <f>CONCATENATE(C206,E206,F206,I206)</f>
        <v/>
      </c>
      <c r="B206" s="7">
        <f>CONCATENATE(C206,E206,I206)</f>
        <v/>
      </c>
      <c r="C206" s="8" t="n">
        <v>900004153</v>
      </c>
      <c r="D206" s="7">
        <f>IFERROR(VLOOKUP(C206,TRAOPE!$G:$H,2,0),"")</f>
        <v/>
      </c>
      <c r="E206" s="8" t="inlineStr">
        <is>
          <t>DW68</t>
        </is>
      </c>
      <c r="F206" s="8" t="inlineStr">
        <is>
          <t>D242</t>
        </is>
      </c>
      <c r="G206" s="8">
        <f>IFERROR(VLOOKUP(A206,Flete!$A:$E,5,0),"")</f>
        <v/>
      </c>
      <c r="H206" s="7">
        <f>IFERROR(VLOOKUP(F206,TRAOPE!$AA:$AB,2,0),"")</f>
        <v/>
      </c>
      <c r="I206" s="7" t="n">
        <v>10000191</v>
      </c>
      <c r="J206" s="7">
        <f>IFERROR(VLOOKUP(I206,Materiales!$A:$H,8,0),"")</f>
        <v/>
      </c>
      <c r="K206" s="9">
        <f>IFERROR(VLOOKUP(I206,Materiales!$A:$G,7,0),"")</f>
        <v/>
      </c>
      <c r="L206" s="8" t="inlineStr">
        <is>
          <t>20260201</t>
        </is>
      </c>
      <c r="M206" s="8" t="inlineStr">
        <is>
          <t>99991231</t>
        </is>
      </c>
      <c r="N206" s="10" t="n">
        <v>170.64</v>
      </c>
      <c r="O206" s="10">
        <f>IFERROR(VLOOKUP(A206,Flete!$A:$J,10,0),"")</f>
        <v/>
      </c>
      <c r="P206" s="8" t="inlineStr">
        <is>
          <t>TN</t>
        </is>
      </c>
      <c r="Q206" s="10">
        <f>IFERROR(IFERROR(VLOOKUP(A206,TRAOPE!$A:$U,21,0),VLOOKUP(B206,TRAOPE!$A:$U,21,0)),"")</f>
        <v/>
      </c>
      <c r="R206" s="8">
        <f>IFERROR(IFERROR(VLOOKUP(A206,TRAOPE!$A:$W,23,0),VLOOKUP(B206,TRAOPE!$A:$W,23,0)),"")</f>
        <v/>
      </c>
      <c r="S206" s="10">
        <f>IF(AND(P206="TN",R206="TN"),N206+N(O206),IF(G206&amp;""="1",N(K206)*N206,(N206+N(O206))*N(K206)))</f>
        <v/>
      </c>
      <c r="T206" s="10">
        <f>IF(Q206="","",Q206-S206)</f>
        <v/>
      </c>
    </row>
    <row r="207">
      <c r="A207" s="7">
        <f>CONCATENATE(C207,E207,F207,I207)</f>
        <v/>
      </c>
      <c r="B207" s="7">
        <f>CONCATENATE(C207,E207,I207)</f>
        <v/>
      </c>
      <c r="C207" s="8" t="n">
        <v>900004153</v>
      </c>
      <c r="D207" s="7">
        <f>IFERROR(VLOOKUP(C207,TRAOPE!$G:$H,2,0),"")</f>
        <v/>
      </c>
      <c r="E207" s="8" t="inlineStr">
        <is>
          <t>DW68</t>
        </is>
      </c>
      <c r="F207" s="8" t="inlineStr">
        <is>
          <t>D242</t>
        </is>
      </c>
      <c r="G207" s="8">
        <f>IFERROR(VLOOKUP(A207,Flete!$A:$E,5,0),"")</f>
        <v/>
      </c>
      <c r="H207" s="7">
        <f>IFERROR(VLOOKUP(F207,TRAOPE!$AA:$AB,2,0),"")</f>
        <v/>
      </c>
      <c r="I207" s="7" t="n">
        <v>10000384</v>
      </c>
      <c r="J207" s="7">
        <f>IFERROR(VLOOKUP(I207,Materiales!$A:$H,8,0),"")</f>
        <v/>
      </c>
      <c r="K207" s="9">
        <f>IFERROR(VLOOKUP(I207,Materiales!$A:$G,7,0),"")</f>
        <v/>
      </c>
      <c r="L207" s="8" t="inlineStr">
        <is>
          <t>20260201</t>
        </is>
      </c>
      <c r="M207" s="8" t="inlineStr">
        <is>
          <t>99991231</t>
        </is>
      </c>
      <c r="N207" s="10" t="n">
        <v>194.4</v>
      </c>
      <c r="O207" s="10">
        <f>IFERROR(VLOOKUP(A207,Flete!$A:$J,10,0),"")</f>
        <v/>
      </c>
      <c r="P207" s="8" t="inlineStr">
        <is>
          <t>TN</t>
        </is>
      </c>
      <c r="Q207" s="10">
        <f>IFERROR(IFERROR(VLOOKUP(A207,TRAOPE!$A:$U,21,0),VLOOKUP(B207,TRAOPE!$A:$U,21,0)),"")</f>
        <v/>
      </c>
      <c r="R207" s="8">
        <f>IFERROR(IFERROR(VLOOKUP(A207,TRAOPE!$A:$W,23,0),VLOOKUP(B207,TRAOPE!$A:$W,23,0)),"")</f>
        <v/>
      </c>
      <c r="S207" s="10">
        <f>IF(AND(P207="TN",R207="TN"),N207+N(O207),IF(G207&amp;""="1",N(K207)*N207,(N207+N(O207))*N(K207)))</f>
        <v/>
      </c>
      <c r="T207" s="10">
        <f>IF(Q207="","",Q207-S207)</f>
        <v/>
      </c>
    </row>
    <row r="208">
      <c r="A208" s="7">
        <f>CONCATENATE(C208,E208,F208,I208)</f>
        <v/>
      </c>
      <c r="B208" s="7">
        <f>CONCATENATE(C208,E208,I208)</f>
        <v/>
      </c>
      <c r="C208" s="8" t="n">
        <v>900004153</v>
      </c>
      <c r="D208" s="7">
        <f>IFERROR(VLOOKUP(C208,TRAOPE!$G:$H,2,0),"")</f>
        <v/>
      </c>
      <c r="E208" s="8" t="inlineStr">
        <is>
          <t>DW68</t>
        </is>
      </c>
      <c r="F208" s="8" t="inlineStr">
        <is>
          <t>D242</t>
        </is>
      </c>
      <c r="G208" s="8">
        <f>IFERROR(VLOOKUP(A208,Flete!$A:$E,5,0),"")</f>
        <v/>
      </c>
      <c r="H208" s="7">
        <f>IFERROR(VLOOKUP(F208,TRAOPE!$AA:$AB,2,0),"")</f>
        <v/>
      </c>
      <c r="I208" s="7" t="n">
        <v>10000388</v>
      </c>
      <c r="J208" s="7">
        <f>IFERROR(VLOOKUP(I208,Materiales!$A:$H,8,0),"")</f>
        <v/>
      </c>
      <c r="K208" s="9">
        <f>IFERROR(VLOOKUP(I208,Materiales!$A:$G,7,0),"")</f>
        <v/>
      </c>
      <c r="L208" s="8" t="inlineStr">
        <is>
          <t>20260201</t>
        </is>
      </c>
      <c r="M208" s="8" t="inlineStr">
        <is>
          <t>99991231</t>
        </is>
      </c>
      <c r="N208" s="10" t="n">
        <v>170.64</v>
      </c>
      <c r="O208" s="10">
        <f>IFERROR(VLOOKUP(A208,Flete!$A:$J,10,0),"")</f>
        <v/>
      </c>
      <c r="P208" s="8" t="inlineStr">
        <is>
          <t>TN</t>
        </is>
      </c>
      <c r="Q208" s="10">
        <f>IFERROR(IFERROR(VLOOKUP(A208,TRAOPE!$A:$U,21,0),VLOOKUP(B208,TRAOPE!$A:$U,21,0)),"")</f>
        <v/>
      </c>
      <c r="R208" s="8">
        <f>IFERROR(IFERROR(VLOOKUP(A208,TRAOPE!$A:$W,23,0),VLOOKUP(B208,TRAOPE!$A:$W,23,0)),"")</f>
        <v/>
      </c>
      <c r="S208" s="10">
        <f>IF(AND(P208="TN",R208="TN"),N208+N(O208),IF(G208&amp;""="1",N(K208)*N208,(N208+N(O208))*N(K208)))</f>
        <v/>
      </c>
      <c r="T208" s="10">
        <f>IF(Q208="","",Q208-S208)</f>
        <v/>
      </c>
    </row>
    <row r="209">
      <c r="A209" s="7">
        <f>CONCATENATE(C209,E209,F209,I209)</f>
        <v/>
      </c>
      <c r="B209" s="7">
        <f>CONCATENATE(C209,E209,I209)</f>
        <v/>
      </c>
      <c r="C209" s="8" t="n">
        <v>900004153</v>
      </c>
      <c r="D209" s="7">
        <f>IFERROR(VLOOKUP(C209,TRAOPE!$G:$H,2,0),"")</f>
        <v/>
      </c>
      <c r="E209" s="8" t="inlineStr">
        <is>
          <t>DW68</t>
        </is>
      </c>
      <c r="F209" s="8" t="inlineStr">
        <is>
          <t>D242</t>
        </is>
      </c>
      <c r="G209" s="8">
        <f>IFERROR(VLOOKUP(A209,Flete!$A:$E,5,0),"")</f>
        <v/>
      </c>
      <c r="H209" s="7">
        <f>IFERROR(VLOOKUP(F209,TRAOPE!$AA:$AB,2,0),"")</f>
        <v/>
      </c>
      <c r="I209" s="7" t="n">
        <v>10004258</v>
      </c>
      <c r="J209" s="7">
        <f>IFERROR(VLOOKUP(I209,Materiales!$A:$H,8,0),"")</f>
        <v/>
      </c>
      <c r="K209" s="9">
        <f>IFERROR(VLOOKUP(I209,Materiales!$A:$G,7,0),"")</f>
        <v/>
      </c>
      <c r="L209" s="8" t="inlineStr">
        <is>
          <t>20260201</t>
        </is>
      </c>
      <c r="M209" s="8" t="inlineStr">
        <is>
          <t>99991231</t>
        </is>
      </c>
      <c r="N209" s="10" t="n">
        <v>277.56</v>
      </c>
      <c r="O209" s="10">
        <f>IFERROR(VLOOKUP(A209,Flete!$A:$J,10,0),"")</f>
        <v/>
      </c>
      <c r="P209" s="8" t="inlineStr">
        <is>
          <t>TN</t>
        </is>
      </c>
      <c r="Q209" s="10">
        <f>IFERROR(IFERROR(VLOOKUP(A209,TRAOPE!$A:$U,21,0),VLOOKUP(B209,TRAOPE!$A:$U,21,0)),"")</f>
        <v/>
      </c>
      <c r="R209" s="8">
        <f>IFERROR(IFERROR(VLOOKUP(A209,TRAOPE!$A:$W,23,0),VLOOKUP(B209,TRAOPE!$A:$W,23,0)),"")</f>
        <v/>
      </c>
      <c r="S209" s="10">
        <f>IF(AND(P209="TN",R209="TN"),N209+N(O209),IF(G209&amp;""="1",N(K209)*N209,(N209+N(O209))*N(K209)))</f>
        <v/>
      </c>
      <c r="T209" s="10">
        <f>IF(Q209="","",Q209-S209)</f>
        <v/>
      </c>
    </row>
    <row r="210">
      <c r="A210" s="7">
        <f>CONCATENATE(C210,E210,F210,I210)</f>
        <v/>
      </c>
      <c r="B210" s="7">
        <f>CONCATENATE(C210,E210,I210)</f>
        <v/>
      </c>
      <c r="C210" s="8" t="n">
        <v>900004153</v>
      </c>
      <c r="D210" s="7">
        <f>IFERROR(VLOOKUP(C210,TRAOPE!$G:$H,2,0),"")</f>
        <v/>
      </c>
      <c r="E210" s="8" t="inlineStr">
        <is>
          <t>DW68</t>
        </is>
      </c>
      <c r="F210" s="8" t="inlineStr">
        <is>
          <t>D247</t>
        </is>
      </c>
      <c r="G210" s="8">
        <f>IFERROR(VLOOKUP(A210,Flete!$A:$E,5,0),"")</f>
        <v/>
      </c>
      <c r="H210" s="7">
        <f>IFERROR(VLOOKUP(F210,TRAOPE!$AA:$AB,2,0),"")</f>
        <v/>
      </c>
      <c r="I210" s="7" t="n">
        <v>10000191</v>
      </c>
      <c r="J210" s="7">
        <f>IFERROR(VLOOKUP(I210,Materiales!$A:$H,8,0),"")</f>
        <v/>
      </c>
      <c r="K210" s="9">
        <f>IFERROR(VLOOKUP(I210,Materiales!$A:$G,7,0),"")</f>
        <v/>
      </c>
      <c r="L210" s="8" t="inlineStr">
        <is>
          <t>20260201</t>
        </is>
      </c>
      <c r="M210" s="8" t="inlineStr">
        <is>
          <t>99991231</t>
        </is>
      </c>
      <c r="N210" s="10" t="n">
        <v>170.64</v>
      </c>
      <c r="O210" s="10">
        <f>IFERROR(VLOOKUP(A210,Flete!$A:$J,10,0),"")</f>
        <v/>
      </c>
      <c r="P210" s="8" t="inlineStr">
        <is>
          <t>TN</t>
        </is>
      </c>
      <c r="Q210" s="10">
        <f>IFERROR(IFERROR(VLOOKUP(A210,TRAOPE!$A:$U,21,0),VLOOKUP(B210,TRAOPE!$A:$U,21,0)),"")</f>
        <v/>
      </c>
      <c r="R210" s="8">
        <f>IFERROR(IFERROR(VLOOKUP(A210,TRAOPE!$A:$W,23,0),VLOOKUP(B210,TRAOPE!$A:$W,23,0)),"")</f>
        <v/>
      </c>
      <c r="S210" s="10">
        <f>IF(AND(P210="TN",R210="TN"),N210+N(O210),IF(G210&amp;""="1",N(K210)*N210,(N210+N(O210))*N(K210)))</f>
        <v/>
      </c>
      <c r="T210" s="10">
        <f>IF(Q210="","",Q210-S210)</f>
        <v/>
      </c>
    </row>
    <row r="211">
      <c r="A211" s="7">
        <f>CONCATENATE(C211,E211,F211,I211)</f>
        <v/>
      </c>
      <c r="B211" s="7">
        <f>CONCATENATE(C211,E211,I211)</f>
        <v/>
      </c>
      <c r="C211" s="8" t="n">
        <v>900004153</v>
      </c>
      <c r="D211" s="7">
        <f>IFERROR(VLOOKUP(C211,TRAOPE!$G:$H,2,0),"")</f>
        <v/>
      </c>
      <c r="E211" s="8" t="inlineStr">
        <is>
          <t>DW68</t>
        </is>
      </c>
      <c r="F211" s="8" t="inlineStr">
        <is>
          <t>D247</t>
        </is>
      </c>
      <c r="G211" s="8">
        <f>IFERROR(VLOOKUP(A211,Flete!$A:$E,5,0),"")</f>
        <v/>
      </c>
      <c r="H211" s="7">
        <f>IFERROR(VLOOKUP(F211,TRAOPE!$AA:$AB,2,0),"")</f>
        <v/>
      </c>
      <c r="I211" s="7" t="n">
        <v>10000384</v>
      </c>
      <c r="J211" s="7">
        <f>IFERROR(VLOOKUP(I211,Materiales!$A:$H,8,0),"")</f>
        <v/>
      </c>
      <c r="K211" s="9">
        <f>IFERROR(VLOOKUP(I211,Materiales!$A:$G,7,0),"")</f>
        <v/>
      </c>
      <c r="L211" s="8" t="inlineStr">
        <is>
          <t>20260201</t>
        </is>
      </c>
      <c r="M211" s="8" t="inlineStr">
        <is>
          <t>99991231</t>
        </is>
      </c>
      <c r="N211" s="10" t="n">
        <v>194.4</v>
      </c>
      <c r="O211" s="10">
        <f>IFERROR(VLOOKUP(A211,Flete!$A:$J,10,0),"")</f>
        <v/>
      </c>
      <c r="P211" s="8" t="inlineStr">
        <is>
          <t>TN</t>
        </is>
      </c>
      <c r="Q211" s="10">
        <f>IFERROR(IFERROR(VLOOKUP(A211,TRAOPE!$A:$U,21,0),VLOOKUP(B211,TRAOPE!$A:$U,21,0)),"")</f>
        <v/>
      </c>
      <c r="R211" s="8">
        <f>IFERROR(IFERROR(VLOOKUP(A211,TRAOPE!$A:$W,23,0),VLOOKUP(B211,TRAOPE!$A:$W,23,0)),"")</f>
        <v/>
      </c>
      <c r="S211" s="10">
        <f>IF(AND(P211="TN",R211="TN"),N211+N(O211),IF(G211&amp;""="1",N(K211)*N211,(N211+N(O211))*N(K211)))</f>
        <v/>
      </c>
      <c r="T211" s="10">
        <f>IF(Q211="","",Q211-S211)</f>
        <v/>
      </c>
    </row>
    <row r="212">
      <c r="A212" s="7">
        <f>CONCATENATE(C212,E212,F212,I212)</f>
        <v/>
      </c>
      <c r="B212" s="7">
        <f>CONCATENATE(C212,E212,I212)</f>
        <v/>
      </c>
      <c r="C212" s="8" t="n">
        <v>900004153</v>
      </c>
      <c r="D212" s="7">
        <f>IFERROR(VLOOKUP(C212,TRAOPE!$G:$H,2,0),"")</f>
        <v/>
      </c>
      <c r="E212" s="8" t="inlineStr">
        <is>
          <t>DW68</t>
        </is>
      </c>
      <c r="F212" s="8" t="inlineStr">
        <is>
          <t>D247</t>
        </is>
      </c>
      <c r="G212" s="8">
        <f>IFERROR(VLOOKUP(A212,Flete!$A:$E,5,0),"")</f>
        <v/>
      </c>
      <c r="H212" s="7">
        <f>IFERROR(VLOOKUP(F212,TRAOPE!$AA:$AB,2,0),"")</f>
        <v/>
      </c>
      <c r="I212" s="7" t="n">
        <v>10000388</v>
      </c>
      <c r="J212" s="7">
        <f>IFERROR(VLOOKUP(I212,Materiales!$A:$H,8,0),"")</f>
        <v/>
      </c>
      <c r="K212" s="9">
        <f>IFERROR(VLOOKUP(I212,Materiales!$A:$G,7,0),"")</f>
        <v/>
      </c>
      <c r="L212" s="8" t="inlineStr">
        <is>
          <t>20260201</t>
        </is>
      </c>
      <c r="M212" s="8" t="inlineStr">
        <is>
          <t>99991231</t>
        </is>
      </c>
      <c r="N212" s="10" t="n">
        <v>170.64</v>
      </c>
      <c r="O212" s="10">
        <f>IFERROR(VLOOKUP(A212,Flete!$A:$J,10,0),"")</f>
        <v/>
      </c>
      <c r="P212" s="8" t="inlineStr">
        <is>
          <t>TN</t>
        </is>
      </c>
      <c r="Q212" s="10">
        <f>IFERROR(IFERROR(VLOOKUP(A212,TRAOPE!$A:$U,21,0),VLOOKUP(B212,TRAOPE!$A:$U,21,0)),"")</f>
        <v/>
      </c>
      <c r="R212" s="8">
        <f>IFERROR(IFERROR(VLOOKUP(A212,TRAOPE!$A:$W,23,0),VLOOKUP(B212,TRAOPE!$A:$W,23,0)),"")</f>
        <v/>
      </c>
      <c r="S212" s="10">
        <f>IF(AND(P212="TN",R212="TN"),N212+N(O212),IF(G212&amp;""="1",N(K212)*N212,(N212+N(O212))*N(K212)))</f>
        <v/>
      </c>
      <c r="T212" s="10">
        <f>IF(Q212="","",Q212-S212)</f>
        <v/>
      </c>
    </row>
    <row r="213">
      <c r="A213" s="7">
        <f>CONCATENATE(C213,E213,F213,I213)</f>
        <v/>
      </c>
      <c r="B213" s="7">
        <f>CONCATENATE(C213,E213,I213)</f>
        <v/>
      </c>
      <c r="C213" s="8" t="n">
        <v>900004153</v>
      </c>
      <c r="D213" s="7">
        <f>IFERROR(VLOOKUP(C213,TRAOPE!$G:$H,2,0),"")</f>
        <v/>
      </c>
      <c r="E213" s="8" t="inlineStr">
        <is>
          <t>DW68</t>
        </is>
      </c>
      <c r="F213" s="8" t="inlineStr">
        <is>
          <t>D247</t>
        </is>
      </c>
      <c r="G213" s="8">
        <f>IFERROR(VLOOKUP(A213,Flete!$A:$E,5,0),"")</f>
        <v/>
      </c>
      <c r="H213" s="7">
        <f>IFERROR(VLOOKUP(F213,TRAOPE!$AA:$AB,2,0),"")</f>
        <v/>
      </c>
      <c r="I213" s="7" t="n">
        <v>10004258</v>
      </c>
      <c r="J213" s="7">
        <f>IFERROR(VLOOKUP(I213,Materiales!$A:$H,8,0),"")</f>
        <v/>
      </c>
      <c r="K213" s="9">
        <f>IFERROR(VLOOKUP(I213,Materiales!$A:$G,7,0),"")</f>
        <v/>
      </c>
      <c r="L213" s="8" t="inlineStr">
        <is>
          <t>20260201</t>
        </is>
      </c>
      <c r="M213" s="8" t="inlineStr">
        <is>
          <t>99991231</t>
        </is>
      </c>
      <c r="N213" s="10" t="n">
        <v>277.56</v>
      </c>
      <c r="O213" s="10">
        <f>IFERROR(VLOOKUP(A213,Flete!$A:$J,10,0),"")</f>
        <v/>
      </c>
      <c r="P213" s="8" t="inlineStr">
        <is>
          <t>TN</t>
        </is>
      </c>
      <c r="Q213" s="10">
        <f>IFERROR(IFERROR(VLOOKUP(A213,TRAOPE!$A:$U,21,0),VLOOKUP(B213,TRAOPE!$A:$U,21,0)),"")</f>
        <v/>
      </c>
      <c r="R213" s="8">
        <f>IFERROR(IFERROR(VLOOKUP(A213,TRAOPE!$A:$W,23,0),VLOOKUP(B213,TRAOPE!$A:$W,23,0)),"")</f>
        <v/>
      </c>
      <c r="S213" s="10">
        <f>IF(AND(P213="TN",R213="TN"),N213+N(O213),IF(G213&amp;""="1",N(K213)*N213,(N213+N(O213))*N(K213)))</f>
        <v/>
      </c>
      <c r="T213" s="10">
        <f>IF(Q213="","",Q213-S213)</f>
        <v/>
      </c>
    </row>
    <row r="214">
      <c r="A214" s="7">
        <f>CONCATENATE(C214,E214,F214,I214)</f>
        <v/>
      </c>
      <c r="B214" s="7">
        <f>CONCATENATE(C214,E214,I214)</f>
        <v/>
      </c>
      <c r="C214" s="8" t="n">
        <v>900004153</v>
      </c>
      <c r="D214" s="7">
        <f>IFERROR(VLOOKUP(C214,TRAOPE!$G:$H,2,0),"")</f>
        <v/>
      </c>
      <c r="E214" s="8" t="inlineStr">
        <is>
          <t>DW68</t>
        </is>
      </c>
      <c r="F214" s="8" t="inlineStr">
        <is>
          <t>D251</t>
        </is>
      </c>
      <c r="G214" s="8">
        <f>IFERROR(VLOOKUP(A214,Flete!$A:$E,5,0),"")</f>
        <v/>
      </c>
      <c r="H214" s="7">
        <f>IFERROR(VLOOKUP(F214,TRAOPE!$AA:$AB,2,0),"")</f>
        <v/>
      </c>
      <c r="I214" s="7" t="n">
        <v>10000191</v>
      </c>
      <c r="J214" s="7">
        <f>IFERROR(VLOOKUP(I214,Materiales!$A:$H,8,0),"")</f>
        <v/>
      </c>
      <c r="K214" s="9">
        <f>IFERROR(VLOOKUP(I214,Materiales!$A:$G,7,0),"")</f>
        <v/>
      </c>
      <c r="L214" s="8" t="inlineStr">
        <is>
          <t>20260201</t>
        </is>
      </c>
      <c r="M214" s="8" t="inlineStr">
        <is>
          <t>99991231</t>
        </is>
      </c>
      <c r="N214" s="10" t="n">
        <v>170.64</v>
      </c>
      <c r="O214" s="10">
        <f>IFERROR(VLOOKUP(A214,Flete!$A:$J,10,0),"")</f>
        <v/>
      </c>
      <c r="P214" s="8" t="inlineStr">
        <is>
          <t>TN</t>
        </is>
      </c>
      <c r="Q214" s="10">
        <f>IFERROR(IFERROR(VLOOKUP(A214,TRAOPE!$A:$U,21,0),VLOOKUP(B214,TRAOPE!$A:$U,21,0)),"")</f>
        <v/>
      </c>
      <c r="R214" s="8">
        <f>IFERROR(IFERROR(VLOOKUP(A214,TRAOPE!$A:$W,23,0),VLOOKUP(B214,TRAOPE!$A:$W,23,0)),"")</f>
        <v/>
      </c>
      <c r="S214" s="10">
        <f>IF(AND(P214="TN",R214="TN"),N214+N(O214),IF(G214&amp;""="1",N(K214)*N214,(N214+N(O214))*N(K214)))</f>
        <v/>
      </c>
      <c r="T214" s="10">
        <f>IF(Q214="","",Q214-S214)</f>
        <v/>
      </c>
    </row>
    <row r="215">
      <c r="A215" s="7">
        <f>CONCATENATE(C215,E215,F215,I215)</f>
        <v/>
      </c>
      <c r="B215" s="7">
        <f>CONCATENATE(C215,E215,I215)</f>
        <v/>
      </c>
      <c r="C215" s="8" t="n">
        <v>900004153</v>
      </c>
      <c r="D215" s="7">
        <f>IFERROR(VLOOKUP(C215,TRAOPE!$G:$H,2,0),"")</f>
        <v/>
      </c>
      <c r="E215" s="8" t="inlineStr">
        <is>
          <t>DW68</t>
        </is>
      </c>
      <c r="F215" s="8" t="inlineStr">
        <is>
          <t>D251</t>
        </is>
      </c>
      <c r="G215" s="8">
        <f>IFERROR(VLOOKUP(A215,Flete!$A:$E,5,0),"")</f>
        <v/>
      </c>
      <c r="H215" s="7">
        <f>IFERROR(VLOOKUP(F215,TRAOPE!$AA:$AB,2,0),"")</f>
        <v/>
      </c>
      <c r="I215" s="7" t="n">
        <v>10000384</v>
      </c>
      <c r="J215" s="7">
        <f>IFERROR(VLOOKUP(I215,Materiales!$A:$H,8,0),"")</f>
        <v/>
      </c>
      <c r="K215" s="9">
        <f>IFERROR(VLOOKUP(I215,Materiales!$A:$G,7,0),"")</f>
        <v/>
      </c>
      <c r="L215" s="8" t="inlineStr">
        <is>
          <t>20260201</t>
        </is>
      </c>
      <c r="M215" s="8" t="inlineStr">
        <is>
          <t>99991231</t>
        </is>
      </c>
      <c r="N215" s="10" t="n">
        <v>194.4</v>
      </c>
      <c r="O215" s="10">
        <f>IFERROR(VLOOKUP(A215,Flete!$A:$J,10,0),"")</f>
        <v/>
      </c>
      <c r="P215" s="8" t="inlineStr">
        <is>
          <t>TN</t>
        </is>
      </c>
      <c r="Q215" s="10">
        <f>IFERROR(IFERROR(VLOOKUP(A215,TRAOPE!$A:$U,21,0),VLOOKUP(B215,TRAOPE!$A:$U,21,0)),"")</f>
        <v/>
      </c>
      <c r="R215" s="8">
        <f>IFERROR(IFERROR(VLOOKUP(A215,TRAOPE!$A:$W,23,0),VLOOKUP(B215,TRAOPE!$A:$W,23,0)),"")</f>
        <v/>
      </c>
      <c r="S215" s="10">
        <f>IF(AND(P215="TN",R215="TN"),N215+N(O215),IF(G215&amp;""="1",N(K215)*N215,(N215+N(O215))*N(K215)))</f>
        <v/>
      </c>
      <c r="T215" s="10">
        <f>IF(Q215="","",Q215-S215)</f>
        <v/>
      </c>
    </row>
    <row r="216">
      <c r="A216" s="7">
        <f>CONCATENATE(C216,E216,F216,I216)</f>
        <v/>
      </c>
      <c r="B216" s="7">
        <f>CONCATENATE(C216,E216,I216)</f>
        <v/>
      </c>
      <c r="C216" s="8" t="n">
        <v>900004153</v>
      </c>
      <c r="D216" s="7">
        <f>IFERROR(VLOOKUP(C216,TRAOPE!$G:$H,2,0),"")</f>
        <v/>
      </c>
      <c r="E216" s="8" t="inlineStr">
        <is>
          <t>DW68</t>
        </is>
      </c>
      <c r="F216" s="8" t="inlineStr">
        <is>
          <t>D251</t>
        </is>
      </c>
      <c r="G216" s="8">
        <f>IFERROR(VLOOKUP(A216,Flete!$A:$E,5,0),"")</f>
        <v/>
      </c>
      <c r="H216" s="7">
        <f>IFERROR(VLOOKUP(F216,TRAOPE!$AA:$AB,2,0),"")</f>
        <v/>
      </c>
      <c r="I216" s="7" t="n">
        <v>10000388</v>
      </c>
      <c r="J216" s="7">
        <f>IFERROR(VLOOKUP(I216,Materiales!$A:$H,8,0),"")</f>
        <v/>
      </c>
      <c r="K216" s="9">
        <f>IFERROR(VLOOKUP(I216,Materiales!$A:$G,7,0),"")</f>
        <v/>
      </c>
      <c r="L216" s="8" t="inlineStr">
        <is>
          <t>20260201</t>
        </is>
      </c>
      <c r="M216" s="8" t="inlineStr">
        <is>
          <t>99991231</t>
        </is>
      </c>
      <c r="N216" s="10" t="n">
        <v>170.64</v>
      </c>
      <c r="O216" s="10">
        <f>IFERROR(VLOOKUP(A216,Flete!$A:$J,10,0),"")</f>
        <v/>
      </c>
      <c r="P216" s="8" t="inlineStr">
        <is>
          <t>TN</t>
        </is>
      </c>
      <c r="Q216" s="10">
        <f>IFERROR(IFERROR(VLOOKUP(A216,TRAOPE!$A:$U,21,0),VLOOKUP(B216,TRAOPE!$A:$U,21,0)),"")</f>
        <v/>
      </c>
      <c r="R216" s="8">
        <f>IFERROR(IFERROR(VLOOKUP(A216,TRAOPE!$A:$W,23,0),VLOOKUP(B216,TRAOPE!$A:$W,23,0)),"")</f>
        <v/>
      </c>
      <c r="S216" s="10">
        <f>IF(AND(P216="TN",R216="TN"),N216+N(O216),IF(G216&amp;""="1",N(K216)*N216,(N216+N(O216))*N(K216)))</f>
        <v/>
      </c>
      <c r="T216" s="10">
        <f>IF(Q216="","",Q216-S216)</f>
        <v/>
      </c>
    </row>
    <row r="217">
      <c r="A217" s="7">
        <f>CONCATENATE(C217,E217,F217,I217)</f>
        <v/>
      </c>
      <c r="B217" s="7">
        <f>CONCATENATE(C217,E217,I217)</f>
        <v/>
      </c>
      <c r="C217" s="8" t="n">
        <v>900004153</v>
      </c>
      <c r="D217" s="7">
        <f>IFERROR(VLOOKUP(C217,TRAOPE!$G:$H,2,0),"")</f>
        <v/>
      </c>
      <c r="E217" s="8" t="inlineStr">
        <is>
          <t>DW68</t>
        </is>
      </c>
      <c r="F217" s="8" t="inlineStr">
        <is>
          <t>D251</t>
        </is>
      </c>
      <c r="G217" s="8">
        <f>IFERROR(VLOOKUP(A217,Flete!$A:$E,5,0),"")</f>
        <v/>
      </c>
      <c r="H217" s="7">
        <f>IFERROR(VLOOKUP(F217,TRAOPE!$AA:$AB,2,0),"")</f>
        <v/>
      </c>
      <c r="I217" s="7" t="n">
        <v>10004258</v>
      </c>
      <c r="J217" s="7">
        <f>IFERROR(VLOOKUP(I217,Materiales!$A:$H,8,0),"")</f>
        <v/>
      </c>
      <c r="K217" s="9">
        <f>IFERROR(VLOOKUP(I217,Materiales!$A:$G,7,0),"")</f>
        <v/>
      </c>
      <c r="L217" s="8" t="inlineStr">
        <is>
          <t>20260201</t>
        </is>
      </c>
      <c r="M217" s="8" t="inlineStr">
        <is>
          <t>99991231</t>
        </is>
      </c>
      <c r="N217" s="10" t="n">
        <v>277.56</v>
      </c>
      <c r="O217" s="10">
        <f>IFERROR(VLOOKUP(A217,Flete!$A:$J,10,0),"")</f>
        <v/>
      </c>
      <c r="P217" s="8" t="inlineStr">
        <is>
          <t>TN</t>
        </is>
      </c>
      <c r="Q217" s="10">
        <f>IFERROR(IFERROR(VLOOKUP(A217,TRAOPE!$A:$U,21,0),VLOOKUP(B217,TRAOPE!$A:$U,21,0)),"")</f>
        <v/>
      </c>
      <c r="R217" s="8">
        <f>IFERROR(IFERROR(VLOOKUP(A217,TRAOPE!$A:$W,23,0),VLOOKUP(B217,TRAOPE!$A:$W,23,0)),"")</f>
        <v/>
      </c>
      <c r="S217" s="10">
        <f>IF(AND(P217="TN",R217="TN"),N217+N(O217),IF(G217&amp;""="1",N(K217)*N217,(N217+N(O217))*N(K217)))</f>
        <v/>
      </c>
      <c r="T217" s="10">
        <f>IF(Q217="","",Q217-S217)</f>
        <v/>
      </c>
    </row>
    <row r="218">
      <c r="A218" s="7">
        <f>CONCATENATE(C218,E218,F218,I218)</f>
        <v/>
      </c>
      <c r="B218" s="7">
        <f>CONCATENATE(C218,E218,I218)</f>
        <v/>
      </c>
      <c r="C218" s="8" t="n">
        <v>900004153</v>
      </c>
      <c r="D218" s="7">
        <f>IFERROR(VLOOKUP(C218,TRAOPE!$G:$H,2,0),"")</f>
        <v/>
      </c>
      <c r="E218" s="8" t="inlineStr">
        <is>
          <t>DW68</t>
        </is>
      </c>
      <c r="F218" s="8" t="inlineStr">
        <is>
          <t>D264</t>
        </is>
      </c>
      <c r="G218" s="8">
        <f>IFERROR(VLOOKUP(A218,Flete!$A:$E,5,0),"")</f>
        <v/>
      </c>
      <c r="H218" s="7">
        <f>IFERROR(VLOOKUP(F218,TRAOPE!$AA:$AB,2,0),"")</f>
        <v/>
      </c>
      <c r="I218" s="7" t="n">
        <v>10000191</v>
      </c>
      <c r="J218" s="7">
        <f>IFERROR(VLOOKUP(I218,Materiales!$A:$H,8,0),"")</f>
        <v/>
      </c>
      <c r="K218" s="9">
        <f>IFERROR(VLOOKUP(I218,Materiales!$A:$G,7,0),"")</f>
        <v/>
      </c>
      <c r="L218" s="8" t="inlineStr">
        <is>
          <t>20260201</t>
        </is>
      </c>
      <c r="M218" s="8" t="inlineStr">
        <is>
          <t>99991231</t>
        </is>
      </c>
      <c r="N218" s="10" t="n">
        <v>170.64</v>
      </c>
      <c r="O218" s="10">
        <f>IFERROR(VLOOKUP(A218,Flete!$A:$J,10,0),"")</f>
        <v/>
      </c>
      <c r="P218" s="8" t="inlineStr">
        <is>
          <t>TN</t>
        </is>
      </c>
      <c r="Q218" s="10">
        <f>IFERROR(IFERROR(VLOOKUP(A218,TRAOPE!$A:$U,21,0),VLOOKUP(B218,TRAOPE!$A:$U,21,0)),"")</f>
        <v/>
      </c>
      <c r="R218" s="8">
        <f>IFERROR(IFERROR(VLOOKUP(A218,TRAOPE!$A:$W,23,0),VLOOKUP(B218,TRAOPE!$A:$W,23,0)),"")</f>
        <v/>
      </c>
      <c r="S218" s="10">
        <f>IF(AND(P218="TN",R218="TN"),N218+N(O218),IF(G218&amp;""="1",N(K218)*N218,(N218+N(O218))*N(K218)))</f>
        <v/>
      </c>
      <c r="T218" s="10">
        <f>IF(Q218="","",Q218-S218)</f>
        <v/>
      </c>
    </row>
    <row r="219">
      <c r="A219" s="7">
        <f>CONCATENATE(C219,E219,F219,I219)</f>
        <v/>
      </c>
      <c r="B219" s="7">
        <f>CONCATENATE(C219,E219,I219)</f>
        <v/>
      </c>
      <c r="C219" s="8" t="n">
        <v>900004153</v>
      </c>
      <c r="D219" s="7">
        <f>IFERROR(VLOOKUP(C219,TRAOPE!$G:$H,2,0),"")</f>
        <v/>
      </c>
      <c r="E219" s="8" t="inlineStr">
        <is>
          <t>DW68</t>
        </is>
      </c>
      <c r="F219" s="8" t="inlineStr">
        <is>
          <t>D264</t>
        </is>
      </c>
      <c r="G219" s="8">
        <f>IFERROR(VLOOKUP(A219,Flete!$A:$E,5,0),"")</f>
        <v/>
      </c>
      <c r="H219" s="7">
        <f>IFERROR(VLOOKUP(F219,TRAOPE!$AA:$AB,2,0),"")</f>
        <v/>
      </c>
      <c r="I219" s="7" t="n">
        <v>10000384</v>
      </c>
      <c r="J219" s="7">
        <f>IFERROR(VLOOKUP(I219,Materiales!$A:$H,8,0),"")</f>
        <v/>
      </c>
      <c r="K219" s="9">
        <f>IFERROR(VLOOKUP(I219,Materiales!$A:$G,7,0),"")</f>
        <v/>
      </c>
      <c r="L219" s="8" t="inlineStr">
        <is>
          <t>20260201</t>
        </is>
      </c>
      <c r="M219" s="8" t="inlineStr">
        <is>
          <t>99991231</t>
        </is>
      </c>
      <c r="N219" s="10" t="n">
        <v>194.4</v>
      </c>
      <c r="O219" s="10">
        <f>IFERROR(VLOOKUP(A219,Flete!$A:$J,10,0),"")</f>
        <v/>
      </c>
      <c r="P219" s="8" t="inlineStr">
        <is>
          <t>TN</t>
        </is>
      </c>
      <c r="Q219" s="10">
        <f>IFERROR(IFERROR(VLOOKUP(A219,TRAOPE!$A:$U,21,0),VLOOKUP(B219,TRAOPE!$A:$U,21,0)),"")</f>
        <v/>
      </c>
      <c r="R219" s="8">
        <f>IFERROR(IFERROR(VLOOKUP(A219,TRAOPE!$A:$W,23,0),VLOOKUP(B219,TRAOPE!$A:$W,23,0)),"")</f>
        <v/>
      </c>
      <c r="S219" s="10">
        <f>IF(AND(P219="TN",R219="TN"),N219+N(O219),IF(G219&amp;""="1",N(K219)*N219,(N219+N(O219))*N(K219)))</f>
        <v/>
      </c>
      <c r="T219" s="10">
        <f>IF(Q219="","",Q219-S219)</f>
        <v/>
      </c>
    </row>
    <row r="220">
      <c r="A220" s="7">
        <f>CONCATENATE(C220,E220,F220,I220)</f>
        <v/>
      </c>
      <c r="B220" s="7">
        <f>CONCATENATE(C220,E220,I220)</f>
        <v/>
      </c>
      <c r="C220" s="8" t="n">
        <v>900004153</v>
      </c>
      <c r="D220" s="7">
        <f>IFERROR(VLOOKUP(C220,TRAOPE!$G:$H,2,0),"")</f>
        <v/>
      </c>
      <c r="E220" s="8" t="inlineStr">
        <is>
          <t>DW68</t>
        </is>
      </c>
      <c r="F220" s="8" t="inlineStr">
        <is>
          <t>D264</t>
        </is>
      </c>
      <c r="G220" s="8">
        <f>IFERROR(VLOOKUP(A220,Flete!$A:$E,5,0),"")</f>
        <v/>
      </c>
      <c r="H220" s="7">
        <f>IFERROR(VLOOKUP(F220,TRAOPE!$AA:$AB,2,0),"")</f>
        <v/>
      </c>
      <c r="I220" s="7" t="n">
        <v>10000388</v>
      </c>
      <c r="J220" s="7">
        <f>IFERROR(VLOOKUP(I220,Materiales!$A:$H,8,0),"")</f>
        <v/>
      </c>
      <c r="K220" s="9">
        <f>IFERROR(VLOOKUP(I220,Materiales!$A:$G,7,0),"")</f>
        <v/>
      </c>
      <c r="L220" s="8" t="inlineStr">
        <is>
          <t>20260201</t>
        </is>
      </c>
      <c r="M220" s="8" t="inlineStr">
        <is>
          <t>99991231</t>
        </is>
      </c>
      <c r="N220" s="10" t="n">
        <v>170.64</v>
      </c>
      <c r="O220" s="10">
        <f>IFERROR(VLOOKUP(A220,Flete!$A:$J,10,0),"")</f>
        <v/>
      </c>
      <c r="P220" s="8" t="inlineStr">
        <is>
          <t>TN</t>
        </is>
      </c>
      <c r="Q220" s="10">
        <f>IFERROR(IFERROR(VLOOKUP(A220,TRAOPE!$A:$U,21,0),VLOOKUP(B220,TRAOPE!$A:$U,21,0)),"")</f>
        <v/>
      </c>
      <c r="R220" s="8">
        <f>IFERROR(IFERROR(VLOOKUP(A220,TRAOPE!$A:$W,23,0),VLOOKUP(B220,TRAOPE!$A:$W,23,0)),"")</f>
        <v/>
      </c>
      <c r="S220" s="10">
        <f>IF(AND(P220="TN",R220="TN"),N220+N(O220),IF(G220&amp;""="1",N(K220)*N220,(N220+N(O220))*N(K220)))</f>
        <v/>
      </c>
      <c r="T220" s="10">
        <f>IF(Q220="","",Q220-S220)</f>
        <v/>
      </c>
    </row>
    <row r="221">
      <c r="A221" s="7">
        <f>CONCATENATE(C221,E221,F221,I221)</f>
        <v/>
      </c>
      <c r="B221" s="7">
        <f>CONCATENATE(C221,E221,I221)</f>
        <v/>
      </c>
      <c r="C221" s="8" t="n">
        <v>900004153</v>
      </c>
      <c r="D221" s="7">
        <f>IFERROR(VLOOKUP(C221,TRAOPE!$G:$H,2,0),"")</f>
        <v/>
      </c>
      <c r="E221" s="8" t="inlineStr">
        <is>
          <t>DW68</t>
        </is>
      </c>
      <c r="F221" s="8" t="inlineStr">
        <is>
          <t>D264</t>
        </is>
      </c>
      <c r="G221" s="8">
        <f>IFERROR(VLOOKUP(A221,Flete!$A:$E,5,0),"")</f>
        <v/>
      </c>
      <c r="H221" s="7">
        <f>IFERROR(VLOOKUP(F221,TRAOPE!$AA:$AB,2,0),"")</f>
        <v/>
      </c>
      <c r="I221" s="7" t="n">
        <v>10004258</v>
      </c>
      <c r="J221" s="7">
        <f>IFERROR(VLOOKUP(I221,Materiales!$A:$H,8,0),"")</f>
        <v/>
      </c>
      <c r="K221" s="9">
        <f>IFERROR(VLOOKUP(I221,Materiales!$A:$G,7,0),"")</f>
        <v/>
      </c>
      <c r="L221" s="8" t="inlineStr">
        <is>
          <t>20260201</t>
        </is>
      </c>
      <c r="M221" s="8" t="inlineStr">
        <is>
          <t>99991231</t>
        </is>
      </c>
      <c r="N221" s="10" t="n">
        <v>277.56</v>
      </c>
      <c r="O221" s="10">
        <f>IFERROR(VLOOKUP(A221,Flete!$A:$J,10,0),"")</f>
        <v/>
      </c>
      <c r="P221" s="8" t="inlineStr">
        <is>
          <t>TN</t>
        </is>
      </c>
      <c r="Q221" s="10">
        <f>IFERROR(IFERROR(VLOOKUP(A221,TRAOPE!$A:$U,21,0),VLOOKUP(B221,TRAOPE!$A:$U,21,0)),"")</f>
        <v/>
      </c>
      <c r="R221" s="8">
        <f>IFERROR(IFERROR(VLOOKUP(A221,TRAOPE!$A:$W,23,0),VLOOKUP(B221,TRAOPE!$A:$W,23,0)),"")</f>
        <v/>
      </c>
      <c r="S221" s="10">
        <f>IF(AND(P221="TN",R221="TN"),N221+N(O221),IF(G221&amp;""="1",N(K221)*N221,(N221+N(O221))*N(K221)))</f>
        <v/>
      </c>
      <c r="T221" s="10">
        <f>IF(Q221="","",Q221-S221)</f>
        <v/>
      </c>
    </row>
    <row r="222">
      <c r="A222" s="7">
        <f>CONCATENATE(C222,E222,F222,I222)</f>
        <v/>
      </c>
      <c r="B222" s="7">
        <f>CONCATENATE(C222,E222,I222)</f>
        <v/>
      </c>
      <c r="C222" s="8" t="n">
        <v>900004153</v>
      </c>
      <c r="D222" s="7">
        <f>IFERROR(VLOOKUP(C222,TRAOPE!$G:$H,2,0),"")</f>
        <v/>
      </c>
      <c r="E222" s="8" t="inlineStr">
        <is>
          <t>DW68</t>
        </is>
      </c>
      <c r="F222" s="8" t="inlineStr">
        <is>
          <t>D267</t>
        </is>
      </c>
      <c r="G222" s="8">
        <f>IFERROR(VLOOKUP(A222,Flete!$A:$E,5,0),"")</f>
        <v/>
      </c>
      <c r="H222" s="7">
        <f>IFERROR(VLOOKUP(F222,TRAOPE!$AA:$AB,2,0),"")</f>
        <v/>
      </c>
      <c r="I222" s="7" t="n">
        <v>10000191</v>
      </c>
      <c r="J222" s="7">
        <f>IFERROR(VLOOKUP(I222,Materiales!$A:$H,8,0),"")</f>
        <v/>
      </c>
      <c r="K222" s="9">
        <f>IFERROR(VLOOKUP(I222,Materiales!$A:$G,7,0),"")</f>
        <v/>
      </c>
      <c r="L222" s="8" t="inlineStr">
        <is>
          <t>20260201</t>
        </is>
      </c>
      <c r="M222" s="8" t="inlineStr">
        <is>
          <t>99991231</t>
        </is>
      </c>
      <c r="N222" s="10" t="n">
        <v>170.64</v>
      </c>
      <c r="O222" s="10">
        <f>IFERROR(VLOOKUP(A222,Flete!$A:$J,10,0),"")</f>
        <v/>
      </c>
      <c r="P222" s="8" t="inlineStr">
        <is>
          <t>TN</t>
        </is>
      </c>
      <c r="Q222" s="10">
        <f>IFERROR(IFERROR(VLOOKUP(A222,TRAOPE!$A:$U,21,0),VLOOKUP(B222,TRAOPE!$A:$U,21,0)),"")</f>
        <v/>
      </c>
      <c r="R222" s="8">
        <f>IFERROR(IFERROR(VLOOKUP(A222,TRAOPE!$A:$W,23,0),VLOOKUP(B222,TRAOPE!$A:$W,23,0)),"")</f>
        <v/>
      </c>
      <c r="S222" s="10">
        <f>IF(AND(P222="TN",R222="TN"),N222+N(O222),IF(G222&amp;""="1",N(K222)*N222,(N222+N(O222))*N(K222)))</f>
        <v/>
      </c>
      <c r="T222" s="10">
        <f>IF(Q222="","",Q222-S222)</f>
        <v/>
      </c>
    </row>
    <row r="223">
      <c r="A223" s="7">
        <f>CONCATENATE(C223,E223,F223,I223)</f>
        <v/>
      </c>
      <c r="B223" s="7">
        <f>CONCATENATE(C223,E223,I223)</f>
        <v/>
      </c>
      <c r="C223" s="8" t="n">
        <v>900004153</v>
      </c>
      <c r="D223" s="7">
        <f>IFERROR(VLOOKUP(C223,TRAOPE!$G:$H,2,0),"")</f>
        <v/>
      </c>
      <c r="E223" s="8" t="inlineStr">
        <is>
          <t>DW68</t>
        </is>
      </c>
      <c r="F223" s="8" t="inlineStr">
        <is>
          <t>D267</t>
        </is>
      </c>
      <c r="G223" s="8">
        <f>IFERROR(VLOOKUP(A223,Flete!$A:$E,5,0),"")</f>
        <v/>
      </c>
      <c r="H223" s="7">
        <f>IFERROR(VLOOKUP(F223,TRAOPE!$AA:$AB,2,0),"")</f>
        <v/>
      </c>
      <c r="I223" s="7" t="n">
        <v>10000384</v>
      </c>
      <c r="J223" s="7">
        <f>IFERROR(VLOOKUP(I223,Materiales!$A:$H,8,0),"")</f>
        <v/>
      </c>
      <c r="K223" s="9">
        <f>IFERROR(VLOOKUP(I223,Materiales!$A:$G,7,0),"")</f>
        <v/>
      </c>
      <c r="L223" s="8" t="inlineStr">
        <is>
          <t>20260201</t>
        </is>
      </c>
      <c r="M223" s="8" t="inlineStr">
        <is>
          <t>99991231</t>
        </is>
      </c>
      <c r="N223" s="10" t="n">
        <v>194.4</v>
      </c>
      <c r="O223" s="10">
        <f>IFERROR(VLOOKUP(A223,Flete!$A:$J,10,0),"")</f>
        <v/>
      </c>
      <c r="P223" s="8" t="inlineStr">
        <is>
          <t>TN</t>
        </is>
      </c>
      <c r="Q223" s="10">
        <f>IFERROR(IFERROR(VLOOKUP(A223,TRAOPE!$A:$U,21,0),VLOOKUP(B223,TRAOPE!$A:$U,21,0)),"")</f>
        <v/>
      </c>
      <c r="R223" s="8">
        <f>IFERROR(IFERROR(VLOOKUP(A223,TRAOPE!$A:$W,23,0),VLOOKUP(B223,TRAOPE!$A:$W,23,0)),"")</f>
        <v/>
      </c>
      <c r="S223" s="10">
        <f>IF(AND(P223="TN",R223="TN"),N223+N(O223),IF(G223&amp;""="1",N(K223)*N223,(N223+N(O223))*N(K223)))</f>
        <v/>
      </c>
      <c r="T223" s="10">
        <f>IF(Q223="","",Q223-S223)</f>
        <v/>
      </c>
    </row>
    <row r="224">
      <c r="A224" s="7">
        <f>CONCATENATE(C224,E224,F224,I224)</f>
        <v/>
      </c>
      <c r="B224" s="7">
        <f>CONCATENATE(C224,E224,I224)</f>
        <v/>
      </c>
      <c r="C224" s="8" t="n">
        <v>900004153</v>
      </c>
      <c r="D224" s="7">
        <f>IFERROR(VLOOKUP(C224,TRAOPE!$G:$H,2,0),"")</f>
        <v/>
      </c>
      <c r="E224" s="8" t="inlineStr">
        <is>
          <t>DW68</t>
        </is>
      </c>
      <c r="F224" s="8" t="inlineStr">
        <is>
          <t>D267</t>
        </is>
      </c>
      <c r="G224" s="8">
        <f>IFERROR(VLOOKUP(A224,Flete!$A:$E,5,0),"")</f>
        <v/>
      </c>
      <c r="H224" s="7">
        <f>IFERROR(VLOOKUP(F224,TRAOPE!$AA:$AB,2,0),"")</f>
        <v/>
      </c>
      <c r="I224" s="7" t="n">
        <v>10000388</v>
      </c>
      <c r="J224" s="7">
        <f>IFERROR(VLOOKUP(I224,Materiales!$A:$H,8,0),"")</f>
        <v/>
      </c>
      <c r="K224" s="9">
        <f>IFERROR(VLOOKUP(I224,Materiales!$A:$G,7,0),"")</f>
        <v/>
      </c>
      <c r="L224" s="8" t="inlineStr">
        <is>
          <t>20260201</t>
        </is>
      </c>
      <c r="M224" s="8" t="inlineStr">
        <is>
          <t>99991231</t>
        </is>
      </c>
      <c r="N224" s="10" t="n">
        <v>170.64</v>
      </c>
      <c r="O224" s="10">
        <f>IFERROR(VLOOKUP(A224,Flete!$A:$J,10,0),"")</f>
        <v/>
      </c>
      <c r="P224" s="8" t="inlineStr">
        <is>
          <t>TN</t>
        </is>
      </c>
      <c r="Q224" s="10">
        <f>IFERROR(IFERROR(VLOOKUP(A224,TRAOPE!$A:$U,21,0),VLOOKUP(B224,TRAOPE!$A:$U,21,0)),"")</f>
        <v/>
      </c>
      <c r="R224" s="8">
        <f>IFERROR(IFERROR(VLOOKUP(A224,TRAOPE!$A:$W,23,0),VLOOKUP(B224,TRAOPE!$A:$W,23,0)),"")</f>
        <v/>
      </c>
      <c r="S224" s="10">
        <f>IF(AND(P224="TN",R224="TN"),N224+N(O224),IF(G224&amp;""="1",N(K224)*N224,(N224+N(O224))*N(K224)))</f>
        <v/>
      </c>
      <c r="T224" s="10">
        <f>IF(Q224="","",Q224-S224)</f>
        <v/>
      </c>
    </row>
    <row r="225">
      <c r="A225" s="7">
        <f>CONCATENATE(C225,E225,F225,I225)</f>
        <v/>
      </c>
      <c r="B225" s="7">
        <f>CONCATENATE(C225,E225,I225)</f>
        <v/>
      </c>
      <c r="C225" s="8" t="n">
        <v>900004153</v>
      </c>
      <c r="D225" s="7">
        <f>IFERROR(VLOOKUP(C225,TRAOPE!$G:$H,2,0),"")</f>
        <v/>
      </c>
      <c r="E225" s="8" t="inlineStr">
        <is>
          <t>DW68</t>
        </is>
      </c>
      <c r="F225" s="8" t="inlineStr">
        <is>
          <t>D267</t>
        </is>
      </c>
      <c r="G225" s="8">
        <f>IFERROR(VLOOKUP(A225,Flete!$A:$E,5,0),"")</f>
        <v/>
      </c>
      <c r="H225" s="7">
        <f>IFERROR(VLOOKUP(F225,TRAOPE!$AA:$AB,2,0),"")</f>
        <v/>
      </c>
      <c r="I225" s="7" t="n">
        <v>10004258</v>
      </c>
      <c r="J225" s="7">
        <f>IFERROR(VLOOKUP(I225,Materiales!$A:$H,8,0),"")</f>
        <v/>
      </c>
      <c r="K225" s="9">
        <f>IFERROR(VLOOKUP(I225,Materiales!$A:$G,7,0),"")</f>
        <v/>
      </c>
      <c r="L225" s="8" t="inlineStr">
        <is>
          <t>20260201</t>
        </is>
      </c>
      <c r="M225" s="8" t="inlineStr">
        <is>
          <t>99991231</t>
        </is>
      </c>
      <c r="N225" s="10" t="n">
        <v>277.56</v>
      </c>
      <c r="O225" s="10">
        <f>IFERROR(VLOOKUP(A225,Flete!$A:$J,10,0),"")</f>
        <v/>
      </c>
      <c r="P225" s="8" t="inlineStr">
        <is>
          <t>TN</t>
        </is>
      </c>
      <c r="Q225" s="10">
        <f>IFERROR(IFERROR(VLOOKUP(A225,TRAOPE!$A:$U,21,0),VLOOKUP(B225,TRAOPE!$A:$U,21,0)),"")</f>
        <v/>
      </c>
      <c r="R225" s="8">
        <f>IFERROR(IFERROR(VLOOKUP(A225,TRAOPE!$A:$W,23,0),VLOOKUP(B225,TRAOPE!$A:$W,23,0)),"")</f>
        <v/>
      </c>
      <c r="S225" s="10">
        <f>IF(AND(P225="TN",R225="TN"),N225+N(O225),IF(G225&amp;""="1",N(K225)*N225,(N225+N(O225))*N(K225)))</f>
        <v/>
      </c>
      <c r="T225" s="10">
        <f>IF(Q225="","",Q225-S225)</f>
        <v/>
      </c>
    </row>
    <row r="226">
      <c r="A226" s="7">
        <f>CONCATENATE(C226,E226,F226,I226)</f>
        <v/>
      </c>
      <c r="B226" s="7">
        <f>CONCATENATE(C226,E226,I226)</f>
        <v/>
      </c>
      <c r="C226" s="8" t="n">
        <v>900004166</v>
      </c>
      <c r="D226" s="7">
        <f>IFERROR(VLOOKUP(C226,TRAOPE!$G:$H,2,0),"")</f>
        <v/>
      </c>
      <c r="E226" s="8" t="inlineStr">
        <is>
          <t>DW68</t>
        </is>
      </c>
      <c r="F226" s="8" t="inlineStr">
        <is>
          <t>D042</t>
        </is>
      </c>
      <c r="G226" s="8">
        <f>IFERROR(VLOOKUP(A226,Flete!$A:$E,5,0),"")</f>
        <v/>
      </c>
      <c r="H226" s="7">
        <f>IFERROR(VLOOKUP(F226,TRAOPE!$AA:$AB,2,0),"")</f>
        <v/>
      </c>
      <c r="I226" s="7" t="n">
        <v>10000384</v>
      </c>
      <c r="J226" s="7">
        <f>IFERROR(VLOOKUP(I226,Materiales!$A:$H,8,0),"")</f>
        <v/>
      </c>
      <c r="K226" s="9">
        <f>IFERROR(VLOOKUP(I226,Materiales!$A:$G,7,0),"")</f>
        <v/>
      </c>
      <c r="L226" s="8" t="inlineStr">
        <is>
          <t>20230629</t>
        </is>
      </c>
      <c r="M226" s="8" t="inlineStr">
        <is>
          <t>20251031</t>
        </is>
      </c>
      <c r="N226" s="10" t="n">
        <v>204.97</v>
      </c>
      <c r="O226" s="10">
        <f>IFERROR(VLOOKUP(A226,Flete!$A:$J,10,0),"")</f>
        <v/>
      </c>
      <c r="P226" s="8" t="inlineStr">
        <is>
          <t>TN</t>
        </is>
      </c>
      <c r="Q226" s="10">
        <f>IFERROR(IFERROR(VLOOKUP(A226,TRAOPE!$A:$U,21,0),VLOOKUP(B226,TRAOPE!$A:$U,21,0)),"")</f>
        <v/>
      </c>
      <c r="R226" s="8">
        <f>IFERROR(IFERROR(VLOOKUP(A226,TRAOPE!$A:$W,23,0),VLOOKUP(B226,TRAOPE!$A:$W,23,0)),"")</f>
        <v/>
      </c>
      <c r="S226" s="10">
        <f>IF(AND(P226="TN",R226="TN"),N226+N(O226),IF(G226&amp;""="1",N(K226)*N226,(N226+N(O226))*N(K226)))</f>
        <v/>
      </c>
      <c r="T226" s="10">
        <f>IF(Q226="","",Q226-S226)</f>
        <v/>
      </c>
    </row>
    <row r="227">
      <c r="A227" s="7">
        <f>CONCATENATE(C227,E227,F227,I227)</f>
        <v/>
      </c>
      <c r="B227" s="7">
        <f>CONCATENATE(C227,E227,I227)</f>
        <v/>
      </c>
      <c r="C227" s="8" t="n">
        <v>900004166</v>
      </c>
      <c r="D227" s="7">
        <f>IFERROR(VLOOKUP(C227,TRAOPE!$G:$H,2,0),"")</f>
        <v/>
      </c>
      <c r="E227" s="8" t="inlineStr">
        <is>
          <t>DW68</t>
        </is>
      </c>
      <c r="F227" s="8" t="inlineStr">
        <is>
          <t>D042</t>
        </is>
      </c>
      <c r="G227" s="8">
        <f>IFERROR(VLOOKUP(A227,Flete!$A:$E,5,0),"")</f>
        <v/>
      </c>
      <c r="H227" s="7">
        <f>IFERROR(VLOOKUP(F227,TRAOPE!$AA:$AB,2,0),"")</f>
        <v/>
      </c>
      <c r="I227" s="7" t="n">
        <v>10004258</v>
      </c>
      <c r="J227" s="7">
        <f>IFERROR(VLOOKUP(I227,Materiales!$A:$H,8,0),"")</f>
        <v/>
      </c>
      <c r="K227" s="9">
        <f>IFERROR(VLOOKUP(I227,Materiales!$A:$G,7,0),"")</f>
        <v/>
      </c>
      <c r="L227" s="8" t="inlineStr">
        <is>
          <t>20230629</t>
        </is>
      </c>
      <c r="M227" s="8" t="inlineStr">
        <is>
          <t>20251031</t>
        </is>
      </c>
      <c r="N227" s="10" t="n">
        <v>313.73</v>
      </c>
      <c r="O227" s="10">
        <f>IFERROR(VLOOKUP(A227,Flete!$A:$J,10,0),"")</f>
        <v/>
      </c>
      <c r="P227" s="8" t="inlineStr">
        <is>
          <t>TN</t>
        </is>
      </c>
      <c r="Q227" s="10">
        <f>IFERROR(IFERROR(VLOOKUP(A227,TRAOPE!$A:$U,21,0),VLOOKUP(B227,TRAOPE!$A:$U,21,0)),"")</f>
        <v/>
      </c>
      <c r="R227" s="8">
        <f>IFERROR(IFERROR(VLOOKUP(A227,TRAOPE!$A:$W,23,0),VLOOKUP(B227,TRAOPE!$A:$W,23,0)),"")</f>
        <v/>
      </c>
      <c r="S227" s="10">
        <f>IF(AND(P227="TN",R227="TN"),N227+N(O227),IF(G227&amp;""="1",N(K227)*N227,(N227+N(O227))*N(K227)))</f>
        <v/>
      </c>
      <c r="T227" s="10">
        <f>IF(Q227="","",Q227-S227)</f>
        <v/>
      </c>
    </row>
    <row r="228">
      <c r="A228" s="7">
        <f>CONCATENATE(C228,E228,F228,I228)</f>
        <v/>
      </c>
      <c r="B228" s="7">
        <f>CONCATENATE(C228,E228,I228)</f>
        <v/>
      </c>
      <c r="C228" s="8" t="n">
        <v>900004166</v>
      </c>
      <c r="D228" s="7">
        <f>IFERROR(VLOOKUP(C228,TRAOPE!$G:$H,2,0),"")</f>
        <v/>
      </c>
      <c r="E228" s="8" t="inlineStr">
        <is>
          <t>DW68</t>
        </is>
      </c>
      <c r="F228" s="8" t="inlineStr">
        <is>
          <t>D042</t>
        </is>
      </c>
      <c r="G228" s="8">
        <f>IFERROR(VLOOKUP(A228,Flete!$A:$E,5,0),"")</f>
        <v/>
      </c>
      <c r="H228" s="7">
        <f>IFERROR(VLOOKUP(F228,TRAOPE!$AA:$AB,2,0),"")</f>
        <v/>
      </c>
      <c r="I228" s="7" t="n">
        <v>10034701</v>
      </c>
      <c r="J228" s="7">
        <f>IFERROR(VLOOKUP(I228,Materiales!$A:$H,8,0),"")</f>
        <v/>
      </c>
      <c r="K228" s="9">
        <f>IFERROR(VLOOKUP(I228,Materiales!$A:$G,7,0),"")</f>
        <v/>
      </c>
      <c r="L228" s="8" t="inlineStr">
        <is>
          <t>20230629</t>
        </is>
      </c>
      <c r="M228" s="8" t="inlineStr">
        <is>
          <t>20251031</t>
        </is>
      </c>
      <c r="N228" s="10" t="n">
        <v>181.82</v>
      </c>
      <c r="O228" s="10">
        <f>IFERROR(VLOOKUP(A228,Flete!$A:$J,10,0),"")</f>
        <v/>
      </c>
      <c r="P228" s="8" t="inlineStr">
        <is>
          <t>TN</t>
        </is>
      </c>
      <c r="Q228" s="10">
        <f>IFERROR(IFERROR(VLOOKUP(A228,TRAOPE!$A:$U,21,0),VLOOKUP(B228,TRAOPE!$A:$U,21,0)),"")</f>
        <v/>
      </c>
      <c r="R228" s="8">
        <f>IFERROR(IFERROR(VLOOKUP(A228,TRAOPE!$A:$W,23,0),VLOOKUP(B228,TRAOPE!$A:$W,23,0)),"")</f>
        <v/>
      </c>
      <c r="S228" s="10">
        <f>IF(AND(P228="TN",R228="TN"),N228+N(O228),IF(G228&amp;""="1",N(K228)*N228,(N228+N(O228))*N(K228)))</f>
        <v/>
      </c>
      <c r="T228" s="10">
        <f>IF(Q228="","",Q228-S228)</f>
        <v/>
      </c>
    </row>
    <row r="229">
      <c r="A229" s="7">
        <f>CONCATENATE(C229,E229,F229,I229)</f>
        <v/>
      </c>
      <c r="B229" s="7">
        <f>CONCATENATE(C229,E229,I229)</f>
        <v/>
      </c>
      <c r="C229" s="8" t="n">
        <v>900004166</v>
      </c>
      <c r="D229" s="7">
        <f>IFERROR(VLOOKUP(C229,TRAOPE!$G:$H,2,0),"")</f>
        <v/>
      </c>
      <c r="E229" s="8" t="inlineStr">
        <is>
          <t>DW68</t>
        </is>
      </c>
      <c r="F229" s="8" t="inlineStr">
        <is>
          <t>D042</t>
        </is>
      </c>
      <c r="G229" s="8">
        <f>IFERROR(VLOOKUP(A229,Flete!$A:$E,5,0),"")</f>
        <v/>
      </c>
      <c r="H229" s="7">
        <f>IFERROR(VLOOKUP(F229,TRAOPE!$AA:$AB,2,0),"")</f>
        <v/>
      </c>
      <c r="I229" s="7" t="n">
        <v>10035053</v>
      </c>
      <c r="J229" s="7">
        <f>IFERROR(VLOOKUP(I229,Materiales!$A:$H,8,0),"")</f>
        <v/>
      </c>
      <c r="K229" s="9">
        <f>IFERROR(VLOOKUP(I229,Materiales!$A:$G,7,0),"")</f>
        <v/>
      </c>
      <c r="L229" s="8" t="inlineStr">
        <is>
          <t>20230629</t>
        </is>
      </c>
      <c r="M229" s="8" t="inlineStr">
        <is>
          <t>20251031</t>
        </is>
      </c>
      <c r="N229" s="10" t="n">
        <v>125.65</v>
      </c>
      <c r="O229" s="10">
        <f>IFERROR(VLOOKUP(A229,Flete!$A:$J,10,0),"")</f>
        <v/>
      </c>
      <c r="P229" s="8" t="inlineStr">
        <is>
          <t>TN</t>
        </is>
      </c>
      <c r="Q229" s="10">
        <f>IFERROR(IFERROR(VLOOKUP(A229,TRAOPE!$A:$U,21,0),VLOOKUP(B229,TRAOPE!$A:$U,21,0)),"")</f>
        <v/>
      </c>
      <c r="R229" s="8">
        <f>IFERROR(IFERROR(VLOOKUP(A229,TRAOPE!$A:$W,23,0),VLOOKUP(B229,TRAOPE!$A:$W,23,0)),"")</f>
        <v/>
      </c>
      <c r="S229" s="10">
        <f>IF(AND(P229="TN",R229="TN"),N229+N(O229),IF(G229&amp;""="1",N(K229)*N229,(N229+N(O229))*N(K229)))</f>
        <v/>
      </c>
      <c r="T229" s="10">
        <f>IF(Q229="","",Q229-S229)</f>
        <v/>
      </c>
    </row>
    <row r="230">
      <c r="A230" s="7">
        <f>CONCATENATE(C230,E230,F230,I230)</f>
        <v/>
      </c>
      <c r="B230" s="7">
        <f>CONCATENATE(C230,E230,I230)</f>
        <v/>
      </c>
      <c r="C230" s="8" t="n">
        <v>900004166</v>
      </c>
      <c r="D230" s="7">
        <f>IFERROR(VLOOKUP(C230,TRAOPE!$G:$H,2,0),"")</f>
        <v/>
      </c>
      <c r="E230" s="8" t="inlineStr">
        <is>
          <t>DW68</t>
        </is>
      </c>
      <c r="F230" s="8" t="inlineStr">
        <is>
          <t>D042</t>
        </is>
      </c>
      <c r="G230" s="8">
        <f>IFERROR(VLOOKUP(A230,Flete!$A:$E,5,0),"")</f>
        <v/>
      </c>
      <c r="H230" s="7">
        <f>IFERROR(VLOOKUP(F230,TRAOPE!$AA:$AB,2,0),"")</f>
        <v/>
      </c>
      <c r="I230" s="7" t="n">
        <v>10110630</v>
      </c>
      <c r="J230" s="7">
        <f>IFERROR(VLOOKUP(I230,Materiales!$A:$H,8,0),"")</f>
        <v/>
      </c>
      <c r="K230" s="9">
        <f>IFERROR(VLOOKUP(I230,Materiales!$A:$G,7,0),"")</f>
        <v/>
      </c>
      <c r="L230" s="8" t="inlineStr">
        <is>
          <t>20230629</t>
        </is>
      </c>
      <c r="M230" s="8" t="inlineStr">
        <is>
          <t>20251031</t>
        </is>
      </c>
      <c r="N230" s="10" t="n">
        <v>165.84</v>
      </c>
      <c r="O230" s="10">
        <f>IFERROR(VLOOKUP(A230,Flete!$A:$J,10,0),"")</f>
        <v/>
      </c>
      <c r="P230" s="8" t="inlineStr">
        <is>
          <t>TN</t>
        </is>
      </c>
      <c r="Q230" s="10">
        <f>IFERROR(IFERROR(VLOOKUP(A230,TRAOPE!$A:$U,21,0),VLOOKUP(B230,TRAOPE!$A:$U,21,0)),"")</f>
        <v/>
      </c>
      <c r="R230" s="8">
        <f>IFERROR(IFERROR(VLOOKUP(A230,TRAOPE!$A:$W,23,0),VLOOKUP(B230,TRAOPE!$A:$W,23,0)),"")</f>
        <v/>
      </c>
      <c r="S230" s="10">
        <f>IF(AND(P230="TN",R230="TN"),N230+N(O230),IF(G230&amp;""="1",N(K230)*N230,(N230+N(O230))*N(K230)))</f>
        <v/>
      </c>
      <c r="T230" s="10">
        <f>IF(Q230="","",Q230-S230)</f>
        <v/>
      </c>
    </row>
    <row r="231">
      <c r="A231" s="7">
        <f>CONCATENATE(C231,E231,F231,I231)</f>
        <v/>
      </c>
      <c r="B231" s="7">
        <f>CONCATENATE(C231,E231,I231)</f>
        <v/>
      </c>
      <c r="C231" s="8" t="n">
        <v>900004166</v>
      </c>
      <c r="D231" s="7">
        <f>IFERROR(VLOOKUP(C231,TRAOPE!$G:$H,2,0),"")</f>
        <v/>
      </c>
      <c r="E231" s="8" t="inlineStr">
        <is>
          <t>DW68</t>
        </is>
      </c>
      <c r="F231" s="8" t="inlineStr">
        <is>
          <t>D042</t>
        </is>
      </c>
      <c r="G231" s="8">
        <f>IFERROR(VLOOKUP(A231,Flete!$A:$E,5,0),"")</f>
        <v/>
      </c>
      <c r="H231" s="7">
        <f>IFERROR(VLOOKUP(F231,TRAOPE!$AA:$AB,2,0),"")</f>
        <v/>
      </c>
      <c r="I231" s="7" t="n">
        <v>10132394</v>
      </c>
      <c r="J231" s="7">
        <f>IFERROR(VLOOKUP(I231,Materiales!$A:$H,8,0),"")</f>
        <v/>
      </c>
      <c r="K231" s="9">
        <f>IFERROR(VLOOKUP(I231,Materiales!$A:$G,7,0),"")</f>
        <v/>
      </c>
      <c r="L231" s="8" t="inlineStr">
        <is>
          <t>20230629</t>
        </is>
      </c>
      <c r="M231" s="8" t="inlineStr">
        <is>
          <t>20251031</t>
        </is>
      </c>
      <c r="N231" s="10" t="n">
        <v>120.34</v>
      </c>
      <c r="O231" s="10">
        <f>IFERROR(VLOOKUP(A231,Flete!$A:$J,10,0),"")</f>
        <v/>
      </c>
      <c r="P231" s="8" t="inlineStr">
        <is>
          <t>TN</t>
        </is>
      </c>
      <c r="Q231" s="10">
        <f>IFERROR(IFERROR(VLOOKUP(A231,TRAOPE!$A:$U,21,0),VLOOKUP(B231,TRAOPE!$A:$U,21,0)),"")</f>
        <v/>
      </c>
      <c r="R231" s="8">
        <f>IFERROR(IFERROR(VLOOKUP(A231,TRAOPE!$A:$W,23,0),VLOOKUP(B231,TRAOPE!$A:$W,23,0)),"")</f>
        <v/>
      </c>
      <c r="S231" s="10">
        <f>IF(AND(P231="TN",R231="TN"),N231+N(O231),IF(G231&amp;""="1",N(K231)*N231,(N231+N(O231))*N(K231)))</f>
        <v/>
      </c>
      <c r="T231" s="10">
        <f>IF(Q231="","",Q231-S231)</f>
        <v/>
      </c>
    </row>
    <row r="232">
      <c r="A232" s="7">
        <f>CONCATENATE(C232,E232,F232,I232)</f>
        <v/>
      </c>
      <c r="B232" s="7">
        <f>CONCATENATE(C232,E232,I232)</f>
        <v/>
      </c>
      <c r="C232" s="8" t="n">
        <v>900004166</v>
      </c>
      <c r="D232" s="7">
        <f>IFERROR(VLOOKUP(C232,TRAOPE!$G:$H,2,0),"")</f>
        <v/>
      </c>
      <c r="E232" s="8" t="inlineStr">
        <is>
          <t>DW68</t>
        </is>
      </c>
      <c r="F232" s="8" t="inlineStr">
        <is>
          <t>D209</t>
        </is>
      </c>
      <c r="G232" s="8">
        <f>IFERROR(VLOOKUP(A232,Flete!$A:$E,5,0),"")</f>
        <v/>
      </c>
      <c r="H232" s="7">
        <f>IFERROR(VLOOKUP(F232,TRAOPE!$AA:$AB,2,0),"")</f>
        <v/>
      </c>
      <c r="I232" s="7" t="n">
        <v>10000384</v>
      </c>
      <c r="J232" s="7">
        <f>IFERROR(VLOOKUP(I232,Materiales!$A:$H,8,0),"")</f>
        <v/>
      </c>
      <c r="K232" s="9">
        <f>IFERROR(VLOOKUP(I232,Materiales!$A:$G,7,0),"")</f>
        <v/>
      </c>
      <c r="L232" s="8" t="inlineStr">
        <is>
          <t>20230629</t>
        </is>
      </c>
      <c r="M232" s="8" t="inlineStr">
        <is>
          <t>20251031</t>
        </is>
      </c>
      <c r="N232" s="10" t="n">
        <v>204.97</v>
      </c>
      <c r="O232" s="10">
        <f>IFERROR(VLOOKUP(A232,Flete!$A:$J,10,0),"")</f>
        <v/>
      </c>
      <c r="P232" s="8" t="inlineStr">
        <is>
          <t>TN</t>
        </is>
      </c>
      <c r="Q232" s="10">
        <f>IFERROR(IFERROR(VLOOKUP(A232,TRAOPE!$A:$U,21,0),VLOOKUP(B232,TRAOPE!$A:$U,21,0)),"")</f>
        <v/>
      </c>
      <c r="R232" s="8">
        <f>IFERROR(IFERROR(VLOOKUP(A232,TRAOPE!$A:$W,23,0),VLOOKUP(B232,TRAOPE!$A:$W,23,0)),"")</f>
        <v/>
      </c>
      <c r="S232" s="10">
        <f>IF(AND(P232="TN",R232="TN"),N232+N(O232),IF(G232&amp;""="1",N(K232)*N232,(N232+N(O232))*N(K232)))</f>
        <v/>
      </c>
      <c r="T232" s="10">
        <f>IF(Q232="","",Q232-S232)</f>
        <v/>
      </c>
    </row>
    <row r="233">
      <c r="A233" s="7">
        <f>CONCATENATE(C233,E233,F233,I233)</f>
        <v/>
      </c>
      <c r="B233" s="7">
        <f>CONCATENATE(C233,E233,I233)</f>
        <v/>
      </c>
      <c r="C233" s="8" t="n">
        <v>900004166</v>
      </c>
      <c r="D233" s="7">
        <f>IFERROR(VLOOKUP(C233,TRAOPE!$G:$H,2,0),"")</f>
        <v/>
      </c>
      <c r="E233" s="8" t="inlineStr">
        <is>
          <t>DW68</t>
        </is>
      </c>
      <c r="F233" s="8" t="inlineStr">
        <is>
          <t>D209</t>
        </is>
      </c>
      <c r="G233" s="8">
        <f>IFERROR(VLOOKUP(A233,Flete!$A:$E,5,0),"")</f>
        <v/>
      </c>
      <c r="H233" s="7">
        <f>IFERROR(VLOOKUP(F233,TRAOPE!$AA:$AB,2,0),"")</f>
        <v/>
      </c>
      <c r="I233" s="7" t="n">
        <v>10004258</v>
      </c>
      <c r="J233" s="7">
        <f>IFERROR(VLOOKUP(I233,Materiales!$A:$H,8,0),"")</f>
        <v/>
      </c>
      <c r="K233" s="9">
        <f>IFERROR(VLOOKUP(I233,Materiales!$A:$G,7,0),"")</f>
        <v/>
      </c>
      <c r="L233" s="8" t="inlineStr">
        <is>
          <t>20230629</t>
        </is>
      </c>
      <c r="M233" s="8" t="inlineStr">
        <is>
          <t>20251031</t>
        </is>
      </c>
      <c r="N233" s="10" t="n">
        <v>313.73</v>
      </c>
      <c r="O233" s="10">
        <f>IFERROR(VLOOKUP(A233,Flete!$A:$J,10,0),"")</f>
        <v/>
      </c>
      <c r="P233" s="8" t="inlineStr">
        <is>
          <t>TN</t>
        </is>
      </c>
      <c r="Q233" s="10">
        <f>IFERROR(IFERROR(VLOOKUP(A233,TRAOPE!$A:$U,21,0),VLOOKUP(B233,TRAOPE!$A:$U,21,0)),"")</f>
        <v/>
      </c>
      <c r="R233" s="8">
        <f>IFERROR(IFERROR(VLOOKUP(A233,TRAOPE!$A:$W,23,0),VLOOKUP(B233,TRAOPE!$A:$W,23,0)),"")</f>
        <v/>
      </c>
      <c r="S233" s="10">
        <f>IF(AND(P233="TN",R233="TN"),N233+N(O233),IF(G233&amp;""="1",N(K233)*N233,(N233+N(O233))*N(K233)))</f>
        <v/>
      </c>
      <c r="T233" s="10">
        <f>IF(Q233="","",Q233-S233)</f>
        <v/>
      </c>
    </row>
    <row r="234">
      <c r="A234" s="7">
        <f>CONCATENATE(C234,E234,F234,I234)</f>
        <v/>
      </c>
      <c r="B234" s="7">
        <f>CONCATENATE(C234,E234,I234)</f>
        <v/>
      </c>
      <c r="C234" s="8" t="n">
        <v>900004166</v>
      </c>
      <c r="D234" s="7">
        <f>IFERROR(VLOOKUP(C234,TRAOPE!$G:$H,2,0),"")</f>
        <v/>
      </c>
      <c r="E234" s="8" t="inlineStr">
        <is>
          <t>DW68</t>
        </is>
      </c>
      <c r="F234" s="8" t="inlineStr">
        <is>
          <t>D209</t>
        </is>
      </c>
      <c r="G234" s="8">
        <f>IFERROR(VLOOKUP(A234,Flete!$A:$E,5,0),"")</f>
        <v/>
      </c>
      <c r="H234" s="7">
        <f>IFERROR(VLOOKUP(F234,TRAOPE!$AA:$AB,2,0),"")</f>
        <v/>
      </c>
      <c r="I234" s="7" t="n">
        <v>10034701</v>
      </c>
      <c r="J234" s="7">
        <f>IFERROR(VLOOKUP(I234,Materiales!$A:$H,8,0),"")</f>
        <v/>
      </c>
      <c r="K234" s="9">
        <f>IFERROR(VLOOKUP(I234,Materiales!$A:$G,7,0),"")</f>
        <v/>
      </c>
      <c r="L234" s="8" t="inlineStr">
        <is>
          <t>20230629</t>
        </is>
      </c>
      <c r="M234" s="8" t="inlineStr">
        <is>
          <t>20251031</t>
        </is>
      </c>
      <c r="N234" s="10" t="n">
        <v>181.82</v>
      </c>
      <c r="O234" s="10">
        <f>IFERROR(VLOOKUP(A234,Flete!$A:$J,10,0),"")</f>
        <v/>
      </c>
      <c r="P234" s="8" t="inlineStr">
        <is>
          <t>TN</t>
        </is>
      </c>
      <c r="Q234" s="10">
        <f>IFERROR(IFERROR(VLOOKUP(A234,TRAOPE!$A:$U,21,0),VLOOKUP(B234,TRAOPE!$A:$U,21,0)),"")</f>
        <v/>
      </c>
      <c r="R234" s="8">
        <f>IFERROR(IFERROR(VLOOKUP(A234,TRAOPE!$A:$W,23,0),VLOOKUP(B234,TRAOPE!$A:$W,23,0)),"")</f>
        <v/>
      </c>
      <c r="S234" s="10">
        <f>IF(AND(P234="TN",R234="TN"),N234+N(O234),IF(G234&amp;""="1",N(K234)*N234,(N234+N(O234))*N(K234)))</f>
        <v/>
      </c>
      <c r="T234" s="10">
        <f>IF(Q234="","",Q234-S234)</f>
        <v/>
      </c>
    </row>
    <row r="235">
      <c r="A235" s="7">
        <f>CONCATENATE(C235,E235,F235,I235)</f>
        <v/>
      </c>
      <c r="B235" s="7">
        <f>CONCATENATE(C235,E235,I235)</f>
        <v/>
      </c>
      <c r="C235" s="8" t="n">
        <v>900004166</v>
      </c>
      <c r="D235" s="7">
        <f>IFERROR(VLOOKUP(C235,TRAOPE!$G:$H,2,0),"")</f>
        <v/>
      </c>
      <c r="E235" s="8" t="inlineStr">
        <is>
          <t>DW68</t>
        </is>
      </c>
      <c r="F235" s="8" t="inlineStr">
        <is>
          <t>D209</t>
        </is>
      </c>
      <c r="G235" s="8">
        <f>IFERROR(VLOOKUP(A235,Flete!$A:$E,5,0),"")</f>
        <v/>
      </c>
      <c r="H235" s="7">
        <f>IFERROR(VLOOKUP(F235,TRAOPE!$AA:$AB,2,0),"")</f>
        <v/>
      </c>
      <c r="I235" s="7" t="n">
        <v>10035053</v>
      </c>
      <c r="J235" s="7">
        <f>IFERROR(VLOOKUP(I235,Materiales!$A:$H,8,0),"")</f>
        <v/>
      </c>
      <c r="K235" s="9">
        <f>IFERROR(VLOOKUP(I235,Materiales!$A:$G,7,0),"")</f>
        <v/>
      </c>
      <c r="L235" s="8" t="inlineStr">
        <is>
          <t>20230629</t>
        </is>
      </c>
      <c r="M235" s="8" t="inlineStr">
        <is>
          <t>20251031</t>
        </is>
      </c>
      <c r="N235" s="10" t="n">
        <v>125.65</v>
      </c>
      <c r="O235" s="10">
        <f>IFERROR(VLOOKUP(A235,Flete!$A:$J,10,0),"")</f>
        <v/>
      </c>
      <c r="P235" s="8" t="inlineStr">
        <is>
          <t>TN</t>
        </is>
      </c>
      <c r="Q235" s="10">
        <f>IFERROR(IFERROR(VLOOKUP(A235,TRAOPE!$A:$U,21,0),VLOOKUP(B235,TRAOPE!$A:$U,21,0)),"")</f>
        <v/>
      </c>
      <c r="R235" s="8">
        <f>IFERROR(IFERROR(VLOOKUP(A235,TRAOPE!$A:$W,23,0),VLOOKUP(B235,TRAOPE!$A:$W,23,0)),"")</f>
        <v/>
      </c>
      <c r="S235" s="10">
        <f>IF(AND(P235="TN",R235="TN"),N235+N(O235),IF(G235&amp;""="1",N(K235)*N235,(N235+N(O235))*N(K235)))</f>
        <v/>
      </c>
      <c r="T235" s="10">
        <f>IF(Q235="","",Q235-S235)</f>
        <v/>
      </c>
    </row>
    <row r="236">
      <c r="A236" s="7">
        <f>CONCATENATE(C236,E236,F236,I236)</f>
        <v/>
      </c>
      <c r="B236" s="7">
        <f>CONCATENATE(C236,E236,I236)</f>
        <v/>
      </c>
      <c r="C236" s="8" t="n">
        <v>900004166</v>
      </c>
      <c r="D236" s="7">
        <f>IFERROR(VLOOKUP(C236,TRAOPE!$G:$H,2,0),"")</f>
        <v/>
      </c>
      <c r="E236" s="8" t="inlineStr">
        <is>
          <t>DW68</t>
        </is>
      </c>
      <c r="F236" s="8" t="inlineStr">
        <is>
          <t>D209</t>
        </is>
      </c>
      <c r="G236" s="8">
        <f>IFERROR(VLOOKUP(A236,Flete!$A:$E,5,0),"")</f>
        <v/>
      </c>
      <c r="H236" s="7">
        <f>IFERROR(VLOOKUP(F236,TRAOPE!$AA:$AB,2,0),"")</f>
        <v/>
      </c>
      <c r="I236" s="7" t="n">
        <v>10110630</v>
      </c>
      <c r="J236" s="7">
        <f>IFERROR(VLOOKUP(I236,Materiales!$A:$H,8,0),"")</f>
        <v/>
      </c>
      <c r="K236" s="9">
        <f>IFERROR(VLOOKUP(I236,Materiales!$A:$G,7,0),"")</f>
        <v/>
      </c>
      <c r="L236" s="8" t="inlineStr">
        <is>
          <t>20230629</t>
        </is>
      </c>
      <c r="M236" s="8" t="inlineStr">
        <is>
          <t>20251031</t>
        </is>
      </c>
      <c r="N236" s="10" t="n">
        <v>165.84</v>
      </c>
      <c r="O236" s="10">
        <f>IFERROR(VLOOKUP(A236,Flete!$A:$J,10,0),"")</f>
        <v/>
      </c>
      <c r="P236" s="8" t="inlineStr">
        <is>
          <t>TN</t>
        </is>
      </c>
      <c r="Q236" s="10">
        <f>IFERROR(IFERROR(VLOOKUP(A236,TRAOPE!$A:$U,21,0),VLOOKUP(B236,TRAOPE!$A:$U,21,0)),"")</f>
        <v/>
      </c>
      <c r="R236" s="8">
        <f>IFERROR(IFERROR(VLOOKUP(A236,TRAOPE!$A:$W,23,0),VLOOKUP(B236,TRAOPE!$A:$W,23,0)),"")</f>
        <v/>
      </c>
      <c r="S236" s="10">
        <f>IF(AND(P236="TN",R236="TN"),N236+N(O236),IF(G236&amp;""="1",N(K236)*N236,(N236+N(O236))*N(K236)))</f>
        <v/>
      </c>
      <c r="T236" s="10">
        <f>IF(Q236="","",Q236-S236)</f>
        <v/>
      </c>
    </row>
    <row r="237">
      <c r="A237" s="7">
        <f>CONCATENATE(C237,E237,F237,I237)</f>
        <v/>
      </c>
      <c r="B237" s="7">
        <f>CONCATENATE(C237,E237,I237)</f>
        <v/>
      </c>
      <c r="C237" s="8" t="n">
        <v>900004166</v>
      </c>
      <c r="D237" s="7">
        <f>IFERROR(VLOOKUP(C237,TRAOPE!$G:$H,2,0),"")</f>
        <v/>
      </c>
      <c r="E237" s="8" t="inlineStr">
        <is>
          <t>DW68</t>
        </is>
      </c>
      <c r="F237" s="8" t="inlineStr">
        <is>
          <t>D209</t>
        </is>
      </c>
      <c r="G237" s="8">
        <f>IFERROR(VLOOKUP(A237,Flete!$A:$E,5,0),"")</f>
        <v/>
      </c>
      <c r="H237" s="7">
        <f>IFERROR(VLOOKUP(F237,TRAOPE!$AA:$AB,2,0),"")</f>
        <v/>
      </c>
      <c r="I237" s="7" t="n">
        <v>10132394</v>
      </c>
      <c r="J237" s="7">
        <f>IFERROR(VLOOKUP(I237,Materiales!$A:$H,8,0),"")</f>
        <v/>
      </c>
      <c r="K237" s="9">
        <f>IFERROR(VLOOKUP(I237,Materiales!$A:$G,7,0),"")</f>
        <v/>
      </c>
      <c r="L237" s="8" t="inlineStr">
        <is>
          <t>20230629</t>
        </is>
      </c>
      <c r="M237" s="8" t="inlineStr">
        <is>
          <t>20251031</t>
        </is>
      </c>
      <c r="N237" s="10" t="n">
        <v>120.34</v>
      </c>
      <c r="O237" s="10">
        <f>IFERROR(VLOOKUP(A237,Flete!$A:$J,10,0),"")</f>
        <v/>
      </c>
      <c r="P237" s="8" t="inlineStr">
        <is>
          <t>TN</t>
        </is>
      </c>
      <c r="Q237" s="10">
        <f>IFERROR(IFERROR(VLOOKUP(A237,TRAOPE!$A:$U,21,0),VLOOKUP(B237,TRAOPE!$A:$U,21,0)),"")</f>
        <v/>
      </c>
      <c r="R237" s="8">
        <f>IFERROR(IFERROR(VLOOKUP(A237,TRAOPE!$A:$W,23,0),VLOOKUP(B237,TRAOPE!$A:$W,23,0)),"")</f>
        <v/>
      </c>
      <c r="S237" s="10">
        <f>IF(AND(P237="TN",R237="TN"),N237+N(O237),IF(G237&amp;""="1",N(K237)*N237,(N237+N(O237))*N(K237)))</f>
        <v/>
      </c>
      <c r="T237" s="10">
        <f>IF(Q237="","",Q237-S237)</f>
        <v/>
      </c>
    </row>
    <row r="238">
      <c r="A238" s="7">
        <f>CONCATENATE(C238,E238,F238,I238)</f>
        <v/>
      </c>
      <c r="B238" s="7">
        <f>CONCATENATE(C238,E238,I238)</f>
        <v/>
      </c>
      <c r="C238" s="8" t="n">
        <v>900004166</v>
      </c>
      <c r="D238" s="7">
        <f>IFERROR(VLOOKUP(C238,TRAOPE!$G:$H,2,0),"")</f>
        <v/>
      </c>
      <c r="E238" s="8" t="inlineStr">
        <is>
          <t>DW68</t>
        </is>
      </c>
      <c r="F238" s="8" t="inlineStr">
        <is>
          <t>D211</t>
        </is>
      </c>
      <c r="G238" s="8">
        <f>IFERROR(VLOOKUP(A238,Flete!$A:$E,5,0),"")</f>
        <v/>
      </c>
      <c r="H238" s="7">
        <f>IFERROR(VLOOKUP(F238,TRAOPE!$AA:$AB,2,0),"")</f>
        <v/>
      </c>
      <c r="I238" s="7" t="n">
        <v>10000384</v>
      </c>
      <c r="J238" s="7">
        <f>IFERROR(VLOOKUP(I238,Materiales!$A:$H,8,0),"")</f>
        <v/>
      </c>
      <c r="K238" s="9">
        <f>IFERROR(VLOOKUP(I238,Materiales!$A:$G,7,0),"")</f>
        <v/>
      </c>
      <c r="L238" s="8" t="inlineStr">
        <is>
          <t>20230629</t>
        </is>
      </c>
      <c r="M238" s="8" t="inlineStr">
        <is>
          <t>20251031</t>
        </is>
      </c>
      <c r="N238" s="10" t="n">
        <v>204.97</v>
      </c>
      <c r="O238" s="10">
        <f>IFERROR(VLOOKUP(A238,Flete!$A:$J,10,0),"")</f>
        <v/>
      </c>
      <c r="P238" s="8" t="inlineStr">
        <is>
          <t>TN</t>
        </is>
      </c>
      <c r="Q238" s="10">
        <f>IFERROR(IFERROR(VLOOKUP(A238,TRAOPE!$A:$U,21,0),VLOOKUP(B238,TRAOPE!$A:$U,21,0)),"")</f>
        <v/>
      </c>
      <c r="R238" s="8">
        <f>IFERROR(IFERROR(VLOOKUP(A238,TRAOPE!$A:$W,23,0),VLOOKUP(B238,TRAOPE!$A:$W,23,0)),"")</f>
        <v/>
      </c>
      <c r="S238" s="10">
        <f>IF(AND(P238="TN",R238="TN"),N238+N(O238),IF(G238&amp;""="1",N(K238)*N238,(N238+N(O238))*N(K238)))</f>
        <v/>
      </c>
      <c r="T238" s="10">
        <f>IF(Q238="","",Q238-S238)</f>
        <v/>
      </c>
    </row>
    <row r="239">
      <c r="A239" s="7">
        <f>CONCATENATE(C239,E239,F239,I239)</f>
        <v/>
      </c>
      <c r="B239" s="7">
        <f>CONCATENATE(C239,E239,I239)</f>
        <v/>
      </c>
      <c r="C239" s="8" t="n">
        <v>900004166</v>
      </c>
      <c r="D239" s="7">
        <f>IFERROR(VLOOKUP(C239,TRAOPE!$G:$H,2,0),"")</f>
        <v/>
      </c>
      <c r="E239" s="8" t="inlineStr">
        <is>
          <t>DW68</t>
        </is>
      </c>
      <c r="F239" s="8" t="inlineStr">
        <is>
          <t>D211</t>
        </is>
      </c>
      <c r="G239" s="8">
        <f>IFERROR(VLOOKUP(A239,Flete!$A:$E,5,0),"")</f>
        <v/>
      </c>
      <c r="H239" s="7">
        <f>IFERROR(VLOOKUP(F239,TRAOPE!$AA:$AB,2,0),"")</f>
        <v/>
      </c>
      <c r="I239" s="7" t="n">
        <v>10004258</v>
      </c>
      <c r="J239" s="7">
        <f>IFERROR(VLOOKUP(I239,Materiales!$A:$H,8,0),"")</f>
        <v/>
      </c>
      <c r="K239" s="9">
        <f>IFERROR(VLOOKUP(I239,Materiales!$A:$G,7,0),"")</f>
        <v/>
      </c>
      <c r="L239" s="8" t="inlineStr">
        <is>
          <t>20230629</t>
        </is>
      </c>
      <c r="M239" s="8" t="inlineStr">
        <is>
          <t>20251031</t>
        </is>
      </c>
      <c r="N239" s="10" t="n">
        <v>313.73</v>
      </c>
      <c r="O239" s="10">
        <f>IFERROR(VLOOKUP(A239,Flete!$A:$J,10,0),"")</f>
        <v/>
      </c>
      <c r="P239" s="8" t="inlineStr">
        <is>
          <t>TN</t>
        </is>
      </c>
      <c r="Q239" s="10">
        <f>IFERROR(IFERROR(VLOOKUP(A239,TRAOPE!$A:$U,21,0),VLOOKUP(B239,TRAOPE!$A:$U,21,0)),"")</f>
        <v/>
      </c>
      <c r="R239" s="8">
        <f>IFERROR(IFERROR(VLOOKUP(A239,TRAOPE!$A:$W,23,0),VLOOKUP(B239,TRAOPE!$A:$W,23,0)),"")</f>
        <v/>
      </c>
      <c r="S239" s="10">
        <f>IF(AND(P239="TN",R239="TN"),N239+N(O239),IF(G239&amp;""="1",N(K239)*N239,(N239+N(O239))*N(K239)))</f>
        <v/>
      </c>
      <c r="T239" s="10">
        <f>IF(Q239="","",Q239-S239)</f>
        <v/>
      </c>
    </row>
    <row r="240">
      <c r="A240" s="7">
        <f>CONCATENATE(C240,E240,F240,I240)</f>
        <v/>
      </c>
      <c r="B240" s="7">
        <f>CONCATENATE(C240,E240,I240)</f>
        <v/>
      </c>
      <c r="C240" s="8" t="n">
        <v>900004166</v>
      </c>
      <c r="D240" s="7">
        <f>IFERROR(VLOOKUP(C240,TRAOPE!$G:$H,2,0),"")</f>
        <v/>
      </c>
      <c r="E240" s="8" t="inlineStr">
        <is>
          <t>DW68</t>
        </is>
      </c>
      <c r="F240" s="8" t="inlineStr">
        <is>
          <t>D211</t>
        </is>
      </c>
      <c r="G240" s="8">
        <f>IFERROR(VLOOKUP(A240,Flete!$A:$E,5,0),"")</f>
        <v/>
      </c>
      <c r="H240" s="7">
        <f>IFERROR(VLOOKUP(F240,TRAOPE!$AA:$AB,2,0),"")</f>
        <v/>
      </c>
      <c r="I240" s="7" t="n">
        <v>10034701</v>
      </c>
      <c r="J240" s="7">
        <f>IFERROR(VLOOKUP(I240,Materiales!$A:$H,8,0),"")</f>
        <v/>
      </c>
      <c r="K240" s="9">
        <f>IFERROR(VLOOKUP(I240,Materiales!$A:$G,7,0),"")</f>
        <v/>
      </c>
      <c r="L240" s="8" t="inlineStr">
        <is>
          <t>20230629</t>
        </is>
      </c>
      <c r="M240" s="8" t="inlineStr">
        <is>
          <t>20251031</t>
        </is>
      </c>
      <c r="N240" s="10" t="n">
        <v>181.82</v>
      </c>
      <c r="O240" s="10">
        <f>IFERROR(VLOOKUP(A240,Flete!$A:$J,10,0),"")</f>
        <v/>
      </c>
      <c r="P240" s="8" t="inlineStr">
        <is>
          <t>TN</t>
        </is>
      </c>
      <c r="Q240" s="10">
        <f>IFERROR(IFERROR(VLOOKUP(A240,TRAOPE!$A:$U,21,0),VLOOKUP(B240,TRAOPE!$A:$U,21,0)),"")</f>
        <v/>
      </c>
      <c r="R240" s="8">
        <f>IFERROR(IFERROR(VLOOKUP(A240,TRAOPE!$A:$W,23,0),VLOOKUP(B240,TRAOPE!$A:$W,23,0)),"")</f>
        <v/>
      </c>
      <c r="S240" s="10">
        <f>IF(AND(P240="TN",R240="TN"),N240+N(O240),IF(G240&amp;""="1",N(K240)*N240,(N240+N(O240))*N(K240)))</f>
        <v/>
      </c>
      <c r="T240" s="10">
        <f>IF(Q240="","",Q240-S240)</f>
        <v/>
      </c>
    </row>
    <row r="241">
      <c r="A241" s="7">
        <f>CONCATENATE(C241,E241,F241,I241)</f>
        <v/>
      </c>
      <c r="B241" s="7">
        <f>CONCATENATE(C241,E241,I241)</f>
        <v/>
      </c>
      <c r="C241" s="8" t="n">
        <v>900004166</v>
      </c>
      <c r="D241" s="7">
        <f>IFERROR(VLOOKUP(C241,TRAOPE!$G:$H,2,0),"")</f>
        <v/>
      </c>
      <c r="E241" s="8" t="inlineStr">
        <is>
          <t>DW68</t>
        </is>
      </c>
      <c r="F241" s="8" t="inlineStr">
        <is>
          <t>D211</t>
        </is>
      </c>
      <c r="G241" s="8">
        <f>IFERROR(VLOOKUP(A241,Flete!$A:$E,5,0),"")</f>
        <v/>
      </c>
      <c r="H241" s="7">
        <f>IFERROR(VLOOKUP(F241,TRAOPE!$AA:$AB,2,0),"")</f>
        <v/>
      </c>
      <c r="I241" s="7" t="n">
        <v>10035053</v>
      </c>
      <c r="J241" s="7">
        <f>IFERROR(VLOOKUP(I241,Materiales!$A:$H,8,0),"")</f>
        <v/>
      </c>
      <c r="K241" s="9">
        <f>IFERROR(VLOOKUP(I241,Materiales!$A:$G,7,0),"")</f>
        <v/>
      </c>
      <c r="L241" s="8" t="inlineStr">
        <is>
          <t>20230629</t>
        </is>
      </c>
      <c r="M241" s="8" t="inlineStr">
        <is>
          <t>20251031</t>
        </is>
      </c>
      <c r="N241" s="10" t="n">
        <v>125.65</v>
      </c>
      <c r="O241" s="10">
        <f>IFERROR(VLOOKUP(A241,Flete!$A:$J,10,0),"")</f>
        <v/>
      </c>
      <c r="P241" s="8" t="inlineStr">
        <is>
          <t>TN</t>
        </is>
      </c>
      <c r="Q241" s="10">
        <f>IFERROR(IFERROR(VLOOKUP(A241,TRAOPE!$A:$U,21,0),VLOOKUP(B241,TRAOPE!$A:$U,21,0)),"")</f>
        <v/>
      </c>
      <c r="R241" s="8">
        <f>IFERROR(IFERROR(VLOOKUP(A241,TRAOPE!$A:$W,23,0),VLOOKUP(B241,TRAOPE!$A:$W,23,0)),"")</f>
        <v/>
      </c>
      <c r="S241" s="10">
        <f>IF(AND(P241="TN",R241="TN"),N241+N(O241),IF(G241&amp;""="1",N(K241)*N241,(N241+N(O241))*N(K241)))</f>
        <v/>
      </c>
      <c r="T241" s="10">
        <f>IF(Q241="","",Q241-S241)</f>
        <v/>
      </c>
    </row>
    <row r="242">
      <c r="A242" s="7">
        <f>CONCATENATE(C242,E242,F242,I242)</f>
        <v/>
      </c>
      <c r="B242" s="7">
        <f>CONCATENATE(C242,E242,I242)</f>
        <v/>
      </c>
      <c r="C242" s="8" t="n">
        <v>900004166</v>
      </c>
      <c r="D242" s="7">
        <f>IFERROR(VLOOKUP(C242,TRAOPE!$G:$H,2,0),"")</f>
        <v/>
      </c>
      <c r="E242" s="8" t="inlineStr">
        <is>
          <t>DW68</t>
        </is>
      </c>
      <c r="F242" s="8" t="inlineStr">
        <is>
          <t>D211</t>
        </is>
      </c>
      <c r="G242" s="8">
        <f>IFERROR(VLOOKUP(A242,Flete!$A:$E,5,0),"")</f>
        <v/>
      </c>
      <c r="H242" s="7">
        <f>IFERROR(VLOOKUP(F242,TRAOPE!$AA:$AB,2,0),"")</f>
        <v/>
      </c>
      <c r="I242" s="7" t="n">
        <v>10110630</v>
      </c>
      <c r="J242" s="7">
        <f>IFERROR(VLOOKUP(I242,Materiales!$A:$H,8,0),"")</f>
        <v/>
      </c>
      <c r="K242" s="9">
        <f>IFERROR(VLOOKUP(I242,Materiales!$A:$G,7,0),"")</f>
        <v/>
      </c>
      <c r="L242" s="8" t="inlineStr">
        <is>
          <t>20230629</t>
        </is>
      </c>
      <c r="M242" s="8" t="inlineStr">
        <is>
          <t>20251031</t>
        </is>
      </c>
      <c r="N242" s="10" t="n">
        <v>165.84</v>
      </c>
      <c r="O242" s="10">
        <f>IFERROR(VLOOKUP(A242,Flete!$A:$J,10,0),"")</f>
        <v/>
      </c>
      <c r="P242" s="8" t="inlineStr">
        <is>
          <t>TN</t>
        </is>
      </c>
      <c r="Q242" s="10">
        <f>IFERROR(IFERROR(VLOOKUP(A242,TRAOPE!$A:$U,21,0),VLOOKUP(B242,TRAOPE!$A:$U,21,0)),"")</f>
        <v/>
      </c>
      <c r="R242" s="8">
        <f>IFERROR(IFERROR(VLOOKUP(A242,TRAOPE!$A:$W,23,0),VLOOKUP(B242,TRAOPE!$A:$W,23,0)),"")</f>
        <v/>
      </c>
      <c r="S242" s="10">
        <f>IF(AND(P242="TN",R242="TN"),N242+N(O242),IF(G242&amp;""="1",N(K242)*N242,(N242+N(O242))*N(K242)))</f>
        <v/>
      </c>
      <c r="T242" s="10">
        <f>IF(Q242="","",Q242-S242)</f>
        <v/>
      </c>
    </row>
    <row r="243">
      <c r="A243" s="7">
        <f>CONCATENATE(C243,E243,F243,I243)</f>
        <v/>
      </c>
      <c r="B243" s="7">
        <f>CONCATENATE(C243,E243,I243)</f>
        <v/>
      </c>
      <c r="C243" s="8" t="n">
        <v>900004166</v>
      </c>
      <c r="D243" s="7">
        <f>IFERROR(VLOOKUP(C243,TRAOPE!$G:$H,2,0),"")</f>
        <v/>
      </c>
      <c r="E243" s="8" t="inlineStr">
        <is>
          <t>DW68</t>
        </is>
      </c>
      <c r="F243" s="8" t="inlineStr">
        <is>
          <t>D211</t>
        </is>
      </c>
      <c r="G243" s="8">
        <f>IFERROR(VLOOKUP(A243,Flete!$A:$E,5,0),"")</f>
        <v/>
      </c>
      <c r="H243" s="7">
        <f>IFERROR(VLOOKUP(F243,TRAOPE!$AA:$AB,2,0),"")</f>
        <v/>
      </c>
      <c r="I243" s="7" t="n">
        <v>10132394</v>
      </c>
      <c r="J243" s="7">
        <f>IFERROR(VLOOKUP(I243,Materiales!$A:$H,8,0),"")</f>
        <v/>
      </c>
      <c r="K243" s="9">
        <f>IFERROR(VLOOKUP(I243,Materiales!$A:$G,7,0),"")</f>
        <v/>
      </c>
      <c r="L243" s="8" t="inlineStr">
        <is>
          <t>20230629</t>
        </is>
      </c>
      <c r="M243" s="8" t="inlineStr">
        <is>
          <t>20251031</t>
        </is>
      </c>
      <c r="N243" s="10" t="n">
        <v>120.34</v>
      </c>
      <c r="O243" s="10">
        <f>IFERROR(VLOOKUP(A243,Flete!$A:$J,10,0),"")</f>
        <v/>
      </c>
      <c r="P243" s="8" t="inlineStr">
        <is>
          <t>TN</t>
        </is>
      </c>
      <c r="Q243" s="10">
        <f>IFERROR(IFERROR(VLOOKUP(A243,TRAOPE!$A:$U,21,0),VLOOKUP(B243,TRAOPE!$A:$U,21,0)),"")</f>
        <v/>
      </c>
      <c r="R243" s="8">
        <f>IFERROR(IFERROR(VLOOKUP(A243,TRAOPE!$A:$W,23,0),VLOOKUP(B243,TRAOPE!$A:$W,23,0)),"")</f>
        <v/>
      </c>
      <c r="S243" s="10">
        <f>IF(AND(P243="TN",R243="TN"),N243+N(O243),IF(G243&amp;""="1",N(K243)*N243,(N243+N(O243))*N(K243)))</f>
        <v/>
      </c>
      <c r="T243" s="10">
        <f>IF(Q243="","",Q243-S243)</f>
        <v/>
      </c>
    </row>
    <row r="244">
      <c r="A244" s="7">
        <f>CONCATENATE(C244,E244,F244,I244)</f>
        <v/>
      </c>
      <c r="B244" s="7">
        <f>CONCATENATE(C244,E244,I244)</f>
        <v/>
      </c>
      <c r="C244" s="8" t="n">
        <v>900004166</v>
      </c>
      <c r="D244" s="7">
        <f>IFERROR(VLOOKUP(C244,TRAOPE!$G:$H,2,0),"")</f>
        <v/>
      </c>
      <c r="E244" s="8" t="inlineStr">
        <is>
          <t>DW68</t>
        </is>
      </c>
      <c r="F244" s="8" t="inlineStr">
        <is>
          <t>D214</t>
        </is>
      </c>
      <c r="G244" s="8">
        <f>IFERROR(VLOOKUP(A244,Flete!$A:$E,5,0),"")</f>
        <v/>
      </c>
      <c r="H244" s="7">
        <f>IFERROR(VLOOKUP(F244,TRAOPE!$AA:$AB,2,0),"")</f>
        <v/>
      </c>
      <c r="I244" s="7" t="n">
        <v>10000384</v>
      </c>
      <c r="J244" s="7">
        <f>IFERROR(VLOOKUP(I244,Materiales!$A:$H,8,0),"")</f>
        <v/>
      </c>
      <c r="K244" s="9">
        <f>IFERROR(VLOOKUP(I244,Materiales!$A:$G,7,0),"")</f>
        <v/>
      </c>
      <c r="L244" s="8" t="inlineStr">
        <is>
          <t>20230629</t>
        </is>
      </c>
      <c r="M244" s="8" t="inlineStr">
        <is>
          <t>20251031</t>
        </is>
      </c>
      <c r="N244" s="10" t="n">
        <v>204.97</v>
      </c>
      <c r="O244" s="10">
        <f>IFERROR(VLOOKUP(A244,Flete!$A:$J,10,0),"")</f>
        <v/>
      </c>
      <c r="P244" s="8" t="inlineStr">
        <is>
          <t>TN</t>
        </is>
      </c>
      <c r="Q244" s="10">
        <f>IFERROR(IFERROR(VLOOKUP(A244,TRAOPE!$A:$U,21,0),VLOOKUP(B244,TRAOPE!$A:$U,21,0)),"")</f>
        <v/>
      </c>
      <c r="R244" s="8">
        <f>IFERROR(IFERROR(VLOOKUP(A244,TRAOPE!$A:$W,23,0),VLOOKUP(B244,TRAOPE!$A:$W,23,0)),"")</f>
        <v/>
      </c>
      <c r="S244" s="10">
        <f>IF(AND(P244="TN",R244="TN"),N244+N(O244),IF(G244&amp;""="1",N(K244)*N244,(N244+N(O244))*N(K244)))</f>
        <v/>
      </c>
      <c r="T244" s="10">
        <f>IF(Q244="","",Q244-S244)</f>
        <v/>
      </c>
    </row>
    <row r="245">
      <c r="A245" s="7">
        <f>CONCATENATE(C245,E245,F245,I245)</f>
        <v/>
      </c>
      <c r="B245" s="7">
        <f>CONCATENATE(C245,E245,I245)</f>
        <v/>
      </c>
      <c r="C245" s="8" t="n">
        <v>900004166</v>
      </c>
      <c r="D245" s="7">
        <f>IFERROR(VLOOKUP(C245,TRAOPE!$G:$H,2,0),"")</f>
        <v/>
      </c>
      <c r="E245" s="8" t="inlineStr">
        <is>
          <t>DW68</t>
        </is>
      </c>
      <c r="F245" s="8" t="inlineStr">
        <is>
          <t>D214</t>
        </is>
      </c>
      <c r="G245" s="8">
        <f>IFERROR(VLOOKUP(A245,Flete!$A:$E,5,0),"")</f>
        <v/>
      </c>
      <c r="H245" s="7">
        <f>IFERROR(VLOOKUP(F245,TRAOPE!$AA:$AB,2,0),"")</f>
        <v/>
      </c>
      <c r="I245" s="7" t="n">
        <v>10004258</v>
      </c>
      <c r="J245" s="7">
        <f>IFERROR(VLOOKUP(I245,Materiales!$A:$H,8,0),"")</f>
        <v/>
      </c>
      <c r="K245" s="9">
        <f>IFERROR(VLOOKUP(I245,Materiales!$A:$G,7,0),"")</f>
        <v/>
      </c>
      <c r="L245" s="8" t="inlineStr">
        <is>
          <t>20230629</t>
        </is>
      </c>
      <c r="M245" s="8" t="inlineStr">
        <is>
          <t>20251031</t>
        </is>
      </c>
      <c r="N245" s="10" t="n">
        <v>313.73</v>
      </c>
      <c r="O245" s="10">
        <f>IFERROR(VLOOKUP(A245,Flete!$A:$J,10,0),"")</f>
        <v/>
      </c>
      <c r="P245" s="8" t="inlineStr">
        <is>
          <t>TN</t>
        </is>
      </c>
      <c r="Q245" s="10">
        <f>IFERROR(IFERROR(VLOOKUP(A245,TRAOPE!$A:$U,21,0),VLOOKUP(B245,TRAOPE!$A:$U,21,0)),"")</f>
        <v/>
      </c>
      <c r="R245" s="8">
        <f>IFERROR(IFERROR(VLOOKUP(A245,TRAOPE!$A:$W,23,0),VLOOKUP(B245,TRAOPE!$A:$W,23,0)),"")</f>
        <v/>
      </c>
      <c r="S245" s="10">
        <f>IF(AND(P245="TN",R245="TN"),N245+N(O245),IF(G245&amp;""="1",N(K245)*N245,(N245+N(O245))*N(K245)))</f>
        <v/>
      </c>
      <c r="T245" s="10">
        <f>IF(Q245="","",Q245-S245)</f>
        <v/>
      </c>
    </row>
    <row r="246">
      <c r="A246" s="7">
        <f>CONCATENATE(C246,E246,F246,I246)</f>
        <v/>
      </c>
      <c r="B246" s="7">
        <f>CONCATENATE(C246,E246,I246)</f>
        <v/>
      </c>
      <c r="C246" s="8" t="n">
        <v>900004166</v>
      </c>
      <c r="D246" s="7">
        <f>IFERROR(VLOOKUP(C246,TRAOPE!$G:$H,2,0),"")</f>
        <v/>
      </c>
      <c r="E246" s="8" t="inlineStr">
        <is>
          <t>DW68</t>
        </is>
      </c>
      <c r="F246" s="8" t="inlineStr">
        <is>
          <t>D214</t>
        </is>
      </c>
      <c r="G246" s="8">
        <f>IFERROR(VLOOKUP(A246,Flete!$A:$E,5,0),"")</f>
        <v/>
      </c>
      <c r="H246" s="7">
        <f>IFERROR(VLOOKUP(F246,TRAOPE!$AA:$AB,2,0),"")</f>
        <v/>
      </c>
      <c r="I246" s="7" t="n">
        <v>10034701</v>
      </c>
      <c r="J246" s="7">
        <f>IFERROR(VLOOKUP(I246,Materiales!$A:$H,8,0),"")</f>
        <v/>
      </c>
      <c r="K246" s="9">
        <f>IFERROR(VLOOKUP(I246,Materiales!$A:$G,7,0),"")</f>
        <v/>
      </c>
      <c r="L246" s="8" t="inlineStr">
        <is>
          <t>20230629</t>
        </is>
      </c>
      <c r="M246" s="8" t="inlineStr">
        <is>
          <t>20251031</t>
        </is>
      </c>
      <c r="N246" s="10" t="n">
        <v>181.82</v>
      </c>
      <c r="O246" s="10">
        <f>IFERROR(VLOOKUP(A246,Flete!$A:$J,10,0),"")</f>
        <v/>
      </c>
      <c r="P246" s="8" t="inlineStr">
        <is>
          <t>TN</t>
        </is>
      </c>
      <c r="Q246" s="10">
        <f>IFERROR(IFERROR(VLOOKUP(A246,TRAOPE!$A:$U,21,0),VLOOKUP(B246,TRAOPE!$A:$U,21,0)),"")</f>
        <v/>
      </c>
      <c r="R246" s="8">
        <f>IFERROR(IFERROR(VLOOKUP(A246,TRAOPE!$A:$W,23,0),VLOOKUP(B246,TRAOPE!$A:$W,23,0)),"")</f>
        <v/>
      </c>
      <c r="S246" s="10">
        <f>IF(AND(P246="TN",R246="TN"),N246+N(O246),IF(G246&amp;""="1",N(K246)*N246,(N246+N(O246))*N(K246)))</f>
        <v/>
      </c>
      <c r="T246" s="10">
        <f>IF(Q246="","",Q246-S246)</f>
        <v/>
      </c>
    </row>
    <row r="247">
      <c r="A247" s="7">
        <f>CONCATENATE(C247,E247,F247,I247)</f>
        <v/>
      </c>
      <c r="B247" s="7">
        <f>CONCATENATE(C247,E247,I247)</f>
        <v/>
      </c>
      <c r="C247" s="8" t="n">
        <v>900004166</v>
      </c>
      <c r="D247" s="7">
        <f>IFERROR(VLOOKUP(C247,TRAOPE!$G:$H,2,0),"")</f>
        <v/>
      </c>
      <c r="E247" s="8" t="inlineStr">
        <is>
          <t>DW68</t>
        </is>
      </c>
      <c r="F247" s="8" t="inlineStr">
        <is>
          <t>D214</t>
        </is>
      </c>
      <c r="G247" s="8">
        <f>IFERROR(VLOOKUP(A247,Flete!$A:$E,5,0),"")</f>
        <v/>
      </c>
      <c r="H247" s="7">
        <f>IFERROR(VLOOKUP(F247,TRAOPE!$AA:$AB,2,0),"")</f>
        <v/>
      </c>
      <c r="I247" s="7" t="n">
        <v>10035053</v>
      </c>
      <c r="J247" s="7">
        <f>IFERROR(VLOOKUP(I247,Materiales!$A:$H,8,0),"")</f>
        <v/>
      </c>
      <c r="K247" s="9">
        <f>IFERROR(VLOOKUP(I247,Materiales!$A:$G,7,0),"")</f>
        <v/>
      </c>
      <c r="L247" s="8" t="inlineStr">
        <is>
          <t>20230629</t>
        </is>
      </c>
      <c r="M247" s="8" t="inlineStr">
        <is>
          <t>20251031</t>
        </is>
      </c>
      <c r="N247" s="10" t="n">
        <v>125.65</v>
      </c>
      <c r="O247" s="10">
        <f>IFERROR(VLOOKUP(A247,Flete!$A:$J,10,0),"")</f>
        <v/>
      </c>
      <c r="P247" s="8" t="inlineStr">
        <is>
          <t>TN</t>
        </is>
      </c>
      <c r="Q247" s="10">
        <f>IFERROR(IFERROR(VLOOKUP(A247,TRAOPE!$A:$U,21,0),VLOOKUP(B247,TRAOPE!$A:$U,21,0)),"")</f>
        <v/>
      </c>
      <c r="R247" s="8">
        <f>IFERROR(IFERROR(VLOOKUP(A247,TRAOPE!$A:$W,23,0),VLOOKUP(B247,TRAOPE!$A:$W,23,0)),"")</f>
        <v/>
      </c>
      <c r="S247" s="10">
        <f>IF(AND(P247="TN",R247="TN"),N247+N(O247),IF(G247&amp;""="1",N(K247)*N247,(N247+N(O247))*N(K247)))</f>
        <v/>
      </c>
      <c r="T247" s="10">
        <f>IF(Q247="","",Q247-S247)</f>
        <v/>
      </c>
    </row>
    <row r="248">
      <c r="A248" s="7">
        <f>CONCATENATE(C248,E248,F248,I248)</f>
        <v/>
      </c>
      <c r="B248" s="7">
        <f>CONCATENATE(C248,E248,I248)</f>
        <v/>
      </c>
      <c r="C248" s="8" t="n">
        <v>900004166</v>
      </c>
      <c r="D248" s="7">
        <f>IFERROR(VLOOKUP(C248,TRAOPE!$G:$H,2,0),"")</f>
        <v/>
      </c>
      <c r="E248" s="8" t="inlineStr">
        <is>
          <t>DW68</t>
        </is>
      </c>
      <c r="F248" s="8" t="inlineStr">
        <is>
          <t>D214</t>
        </is>
      </c>
      <c r="G248" s="8">
        <f>IFERROR(VLOOKUP(A248,Flete!$A:$E,5,0),"")</f>
        <v/>
      </c>
      <c r="H248" s="7">
        <f>IFERROR(VLOOKUP(F248,TRAOPE!$AA:$AB,2,0),"")</f>
        <v/>
      </c>
      <c r="I248" s="7" t="n">
        <v>10110630</v>
      </c>
      <c r="J248" s="7">
        <f>IFERROR(VLOOKUP(I248,Materiales!$A:$H,8,0),"")</f>
        <v/>
      </c>
      <c r="K248" s="9">
        <f>IFERROR(VLOOKUP(I248,Materiales!$A:$G,7,0),"")</f>
        <v/>
      </c>
      <c r="L248" s="8" t="inlineStr">
        <is>
          <t>20230629</t>
        </is>
      </c>
      <c r="M248" s="8" t="inlineStr">
        <is>
          <t>20251031</t>
        </is>
      </c>
      <c r="N248" s="10" t="n">
        <v>165.84</v>
      </c>
      <c r="O248" s="10">
        <f>IFERROR(VLOOKUP(A248,Flete!$A:$J,10,0),"")</f>
        <v/>
      </c>
      <c r="P248" s="8" t="inlineStr">
        <is>
          <t>TN</t>
        </is>
      </c>
      <c r="Q248" s="10">
        <f>IFERROR(IFERROR(VLOOKUP(A248,TRAOPE!$A:$U,21,0),VLOOKUP(B248,TRAOPE!$A:$U,21,0)),"")</f>
        <v/>
      </c>
      <c r="R248" s="8">
        <f>IFERROR(IFERROR(VLOOKUP(A248,TRAOPE!$A:$W,23,0),VLOOKUP(B248,TRAOPE!$A:$W,23,0)),"")</f>
        <v/>
      </c>
      <c r="S248" s="10">
        <f>IF(AND(P248="TN",R248="TN"),N248+N(O248),IF(G248&amp;""="1",N(K248)*N248,(N248+N(O248))*N(K248)))</f>
        <v/>
      </c>
      <c r="T248" s="10">
        <f>IF(Q248="","",Q248-S248)</f>
        <v/>
      </c>
    </row>
    <row r="249">
      <c r="A249" s="7">
        <f>CONCATENATE(C249,E249,F249,I249)</f>
        <v/>
      </c>
      <c r="B249" s="7">
        <f>CONCATENATE(C249,E249,I249)</f>
        <v/>
      </c>
      <c r="C249" s="8" t="n">
        <v>900004166</v>
      </c>
      <c r="D249" s="7">
        <f>IFERROR(VLOOKUP(C249,TRAOPE!$G:$H,2,0),"")</f>
        <v/>
      </c>
      <c r="E249" s="8" t="inlineStr">
        <is>
          <t>DW68</t>
        </is>
      </c>
      <c r="F249" s="8" t="inlineStr">
        <is>
          <t>D214</t>
        </is>
      </c>
      <c r="G249" s="8">
        <f>IFERROR(VLOOKUP(A249,Flete!$A:$E,5,0),"")</f>
        <v/>
      </c>
      <c r="H249" s="7">
        <f>IFERROR(VLOOKUP(F249,TRAOPE!$AA:$AB,2,0),"")</f>
        <v/>
      </c>
      <c r="I249" s="7" t="n">
        <v>10132394</v>
      </c>
      <c r="J249" s="7">
        <f>IFERROR(VLOOKUP(I249,Materiales!$A:$H,8,0),"")</f>
        <v/>
      </c>
      <c r="K249" s="9">
        <f>IFERROR(VLOOKUP(I249,Materiales!$A:$G,7,0),"")</f>
        <v/>
      </c>
      <c r="L249" s="8" t="inlineStr">
        <is>
          <t>20230629</t>
        </is>
      </c>
      <c r="M249" s="8" t="inlineStr">
        <is>
          <t>20251031</t>
        </is>
      </c>
      <c r="N249" s="10" t="n">
        <v>120.34</v>
      </c>
      <c r="O249" s="10">
        <f>IFERROR(VLOOKUP(A249,Flete!$A:$J,10,0),"")</f>
        <v/>
      </c>
      <c r="P249" s="8" t="inlineStr">
        <is>
          <t>TN</t>
        </is>
      </c>
      <c r="Q249" s="10">
        <f>IFERROR(IFERROR(VLOOKUP(A249,TRAOPE!$A:$U,21,0),VLOOKUP(B249,TRAOPE!$A:$U,21,0)),"")</f>
        <v/>
      </c>
      <c r="R249" s="8">
        <f>IFERROR(IFERROR(VLOOKUP(A249,TRAOPE!$A:$W,23,0),VLOOKUP(B249,TRAOPE!$A:$W,23,0)),"")</f>
        <v/>
      </c>
      <c r="S249" s="10">
        <f>IF(AND(P249="TN",R249="TN"),N249+N(O249),IF(G249&amp;""="1",N(K249)*N249,(N249+N(O249))*N(K249)))</f>
        <v/>
      </c>
      <c r="T249" s="10">
        <f>IF(Q249="","",Q249-S249)</f>
        <v/>
      </c>
    </row>
    <row r="250">
      <c r="A250" s="7">
        <f>CONCATENATE(C250,E250,F250,I250)</f>
        <v/>
      </c>
      <c r="B250" s="7">
        <f>CONCATENATE(C250,E250,I250)</f>
        <v/>
      </c>
      <c r="C250" s="8" t="n">
        <v>900004166</v>
      </c>
      <c r="D250" s="7">
        <f>IFERROR(VLOOKUP(C250,TRAOPE!$G:$H,2,0),"")</f>
        <v/>
      </c>
      <c r="E250" s="8" t="inlineStr">
        <is>
          <t>DW68</t>
        </is>
      </c>
      <c r="F250" s="8" t="inlineStr">
        <is>
          <t>D228</t>
        </is>
      </c>
      <c r="G250" s="8">
        <f>IFERROR(VLOOKUP(A250,Flete!$A:$E,5,0),"")</f>
        <v/>
      </c>
      <c r="H250" s="7">
        <f>IFERROR(VLOOKUP(F250,TRAOPE!$AA:$AB,2,0),"")</f>
        <v/>
      </c>
      <c r="I250" s="7" t="n">
        <v>10000384</v>
      </c>
      <c r="J250" s="7">
        <f>IFERROR(VLOOKUP(I250,Materiales!$A:$H,8,0),"")</f>
        <v/>
      </c>
      <c r="K250" s="9">
        <f>IFERROR(VLOOKUP(I250,Materiales!$A:$G,7,0),"")</f>
        <v/>
      </c>
      <c r="L250" s="8" t="inlineStr">
        <is>
          <t>20230629</t>
        </is>
      </c>
      <c r="M250" s="8" t="inlineStr">
        <is>
          <t>20251031</t>
        </is>
      </c>
      <c r="N250" s="10" t="n">
        <v>204.97</v>
      </c>
      <c r="O250" s="10">
        <f>IFERROR(VLOOKUP(A250,Flete!$A:$J,10,0),"")</f>
        <v/>
      </c>
      <c r="P250" s="8" t="inlineStr">
        <is>
          <t>TN</t>
        </is>
      </c>
      <c r="Q250" s="10">
        <f>IFERROR(IFERROR(VLOOKUP(A250,TRAOPE!$A:$U,21,0),VLOOKUP(B250,TRAOPE!$A:$U,21,0)),"")</f>
        <v/>
      </c>
      <c r="R250" s="8">
        <f>IFERROR(IFERROR(VLOOKUP(A250,TRAOPE!$A:$W,23,0),VLOOKUP(B250,TRAOPE!$A:$W,23,0)),"")</f>
        <v/>
      </c>
      <c r="S250" s="10">
        <f>IF(AND(P250="TN",R250="TN"),N250+N(O250),IF(G250&amp;""="1",N(K250)*N250,(N250+N(O250))*N(K250)))</f>
        <v/>
      </c>
      <c r="T250" s="10">
        <f>IF(Q250="","",Q250-S250)</f>
        <v/>
      </c>
    </row>
    <row r="251">
      <c r="A251" s="7">
        <f>CONCATENATE(C251,E251,F251,I251)</f>
        <v/>
      </c>
      <c r="B251" s="7">
        <f>CONCATENATE(C251,E251,I251)</f>
        <v/>
      </c>
      <c r="C251" s="8" t="n">
        <v>900004166</v>
      </c>
      <c r="D251" s="7">
        <f>IFERROR(VLOOKUP(C251,TRAOPE!$G:$H,2,0),"")</f>
        <v/>
      </c>
      <c r="E251" s="8" t="inlineStr">
        <is>
          <t>DW68</t>
        </is>
      </c>
      <c r="F251" s="8" t="inlineStr">
        <is>
          <t>D228</t>
        </is>
      </c>
      <c r="G251" s="8">
        <f>IFERROR(VLOOKUP(A251,Flete!$A:$E,5,0),"")</f>
        <v/>
      </c>
      <c r="H251" s="7">
        <f>IFERROR(VLOOKUP(F251,TRAOPE!$AA:$AB,2,0),"")</f>
        <v/>
      </c>
      <c r="I251" s="7" t="n">
        <v>10004258</v>
      </c>
      <c r="J251" s="7">
        <f>IFERROR(VLOOKUP(I251,Materiales!$A:$H,8,0),"")</f>
        <v/>
      </c>
      <c r="K251" s="9">
        <f>IFERROR(VLOOKUP(I251,Materiales!$A:$G,7,0),"")</f>
        <v/>
      </c>
      <c r="L251" s="8" t="inlineStr">
        <is>
          <t>20230629</t>
        </is>
      </c>
      <c r="M251" s="8" t="inlineStr">
        <is>
          <t>20251031</t>
        </is>
      </c>
      <c r="N251" s="10" t="n">
        <v>313.73</v>
      </c>
      <c r="O251" s="10">
        <f>IFERROR(VLOOKUP(A251,Flete!$A:$J,10,0),"")</f>
        <v/>
      </c>
      <c r="P251" s="8" t="inlineStr">
        <is>
          <t>TN</t>
        </is>
      </c>
      <c r="Q251" s="10">
        <f>IFERROR(IFERROR(VLOOKUP(A251,TRAOPE!$A:$U,21,0),VLOOKUP(B251,TRAOPE!$A:$U,21,0)),"")</f>
        <v/>
      </c>
      <c r="R251" s="8">
        <f>IFERROR(IFERROR(VLOOKUP(A251,TRAOPE!$A:$W,23,0),VLOOKUP(B251,TRAOPE!$A:$W,23,0)),"")</f>
        <v/>
      </c>
      <c r="S251" s="10">
        <f>IF(AND(P251="TN",R251="TN"),N251+N(O251),IF(G251&amp;""="1",N(K251)*N251,(N251+N(O251))*N(K251)))</f>
        <v/>
      </c>
      <c r="T251" s="10">
        <f>IF(Q251="","",Q251-S251)</f>
        <v/>
      </c>
    </row>
    <row r="252">
      <c r="A252" s="7">
        <f>CONCATENATE(C252,E252,F252,I252)</f>
        <v/>
      </c>
      <c r="B252" s="7">
        <f>CONCATENATE(C252,E252,I252)</f>
        <v/>
      </c>
      <c r="C252" s="8" t="n">
        <v>900004166</v>
      </c>
      <c r="D252" s="7">
        <f>IFERROR(VLOOKUP(C252,TRAOPE!$G:$H,2,0),"")</f>
        <v/>
      </c>
      <c r="E252" s="8" t="inlineStr">
        <is>
          <t>DW68</t>
        </is>
      </c>
      <c r="F252" s="8" t="inlineStr">
        <is>
          <t>D228</t>
        </is>
      </c>
      <c r="G252" s="8">
        <f>IFERROR(VLOOKUP(A252,Flete!$A:$E,5,0),"")</f>
        <v/>
      </c>
      <c r="H252" s="7">
        <f>IFERROR(VLOOKUP(F252,TRAOPE!$AA:$AB,2,0),"")</f>
        <v/>
      </c>
      <c r="I252" s="7" t="n">
        <v>10034701</v>
      </c>
      <c r="J252" s="7">
        <f>IFERROR(VLOOKUP(I252,Materiales!$A:$H,8,0),"")</f>
        <v/>
      </c>
      <c r="K252" s="9">
        <f>IFERROR(VLOOKUP(I252,Materiales!$A:$G,7,0),"")</f>
        <v/>
      </c>
      <c r="L252" s="8" t="inlineStr">
        <is>
          <t>20230629</t>
        </is>
      </c>
      <c r="M252" s="8" t="inlineStr">
        <is>
          <t>20251031</t>
        </is>
      </c>
      <c r="N252" s="10" t="n">
        <v>181.82</v>
      </c>
      <c r="O252" s="10">
        <f>IFERROR(VLOOKUP(A252,Flete!$A:$J,10,0),"")</f>
        <v/>
      </c>
      <c r="P252" s="8" t="inlineStr">
        <is>
          <t>TN</t>
        </is>
      </c>
      <c r="Q252" s="10">
        <f>IFERROR(IFERROR(VLOOKUP(A252,TRAOPE!$A:$U,21,0),VLOOKUP(B252,TRAOPE!$A:$U,21,0)),"")</f>
        <v/>
      </c>
      <c r="R252" s="8">
        <f>IFERROR(IFERROR(VLOOKUP(A252,TRAOPE!$A:$W,23,0),VLOOKUP(B252,TRAOPE!$A:$W,23,0)),"")</f>
        <v/>
      </c>
      <c r="S252" s="10">
        <f>IF(AND(P252="TN",R252="TN"),N252+N(O252),IF(G252&amp;""="1",N(K252)*N252,(N252+N(O252))*N(K252)))</f>
        <v/>
      </c>
      <c r="T252" s="10">
        <f>IF(Q252="","",Q252-S252)</f>
        <v/>
      </c>
    </row>
    <row r="253">
      <c r="A253" s="7">
        <f>CONCATENATE(C253,E253,F253,I253)</f>
        <v/>
      </c>
      <c r="B253" s="7">
        <f>CONCATENATE(C253,E253,I253)</f>
        <v/>
      </c>
      <c r="C253" s="8" t="n">
        <v>900004166</v>
      </c>
      <c r="D253" s="7">
        <f>IFERROR(VLOOKUP(C253,TRAOPE!$G:$H,2,0),"")</f>
        <v/>
      </c>
      <c r="E253" s="8" t="inlineStr">
        <is>
          <t>DW68</t>
        </is>
      </c>
      <c r="F253" s="8" t="inlineStr">
        <is>
          <t>D228</t>
        </is>
      </c>
      <c r="G253" s="8">
        <f>IFERROR(VLOOKUP(A253,Flete!$A:$E,5,0),"")</f>
        <v/>
      </c>
      <c r="H253" s="7">
        <f>IFERROR(VLOOKUP(F253,TRAOPE!$AA:$AB,2,0),"")</f>
        <v/>
      </c>
      <c r="I253" s="7" t="n">
        <v>10035053</v>
      </c>
      <c r="J253" s="7">
        <f>IFERROR(VLOOKUP(I253,Materiales!$A:$H,8,0),"")</f>
        <v/>
      </c>
      <c r="K253" s="9">
        <f>IFERROR(VLOOKUP(I253,Materiales!$A:$G,7,0),"")</f>
        <v/>
      </c>
      <c r="L253" s="8" t="inlineStr">
        <is>
          <t>20230629</t>
        </is>
      </c>
      <c r="M253" s="8" t="inlineStr">
        <is>
          <t>20251031</t>
        </is>
      </c>
      <c r="N253" s="10" t="n">
        <v>125.65</v>
      </c>
      <c r="O253" s="10">
        <f>IFERROR(VLOOKUP(A253,Flete!$A:$J,10,0),"")</f>
        <v/>
      </c>
      <c r="P253" s="8" t="inlineStr">
        <is>
          <t>TN</t>
        </is>
      </c>
      <c r="Q253" s="10">
        <f>IFERROR(IFERROR(VLOOKUP(A253,TRAOPE!$A:$U,21,0),VLOOKUP(B253,TRAOPE!$A:$U,21,0)),"")</f>
        <v/>
      </c>
      <c r="R253" s="8">
        <f>IFERROR(IFERROR(VLOOKUP(A253,TRAOPE!$A:$W,23,0),VLOOKUP(B253,TRAOPE!$A:$W,23,0)),"")</f>
        <v/>
      </c>
      <c r="S253" s="10">
        <f>IF(AND(P253="TN",R253="TN"),N253+N(O253),IF(G253&amp;""="1",N(K253)*N253,(N253+N(O253))*N(K253)))</f>
        <v/>
      </c>
      <c r="T253" s="10">
        <f>IF(Q253="","",Q253-S253)</f>
        <v/>
      </c>
    </row>
    <row r="254">
      <c r="A254" s="7">
        <f>CONCATENATE(C254,E254,F254,I254)</f>
        <v/>
      </c>
      <c r="B254" s="7">
        <f>CONCATENATE(C254,E254,I254)</f>
        <v/>
      </c>
      <c r="C254" s="8" t="n">
        <v>900004166</v>
      </c>
      <c r="D254" s="7">
        <f>IFERROR(VLOOKUP(C254,TRAOPE!$G:$H,2,0),"")</f>
        <v/>
      </c>
      <c r="E254" s="8" t="inlineStr">
        <is>
          <t>DW68</t>
        </is>
      </c>
      <c r="F254" s="8" t="inlineStr">
        <is>
          <t>D228</t>
        </is>
      </c>
      <c r="G254" s="8">
        <f>IFERROR(VLOOKUP(A254,Flete!$A:$E,5,0),"")</f>
        <v/>
      </c>
      <c r="H254" s="7">
        <f>IFERROR(VLOOKUP(F254,TRAOPE!$AA:$AB,2,0),"")</f>
        <v/>
      </c>
      <c r="I254" s="7" t="n">
        <v>10110630</v>
      </c>
      <c r="J254" s="7">
        <f>IFERROR(VLOOKUP(I254,Materiales!$A:$H,8,0),"")</f>
        <v/>
      </c>
      <c r="K254" s="9">
        <f>IFERROR(VLOOKUP(I254,Materiales!$A:$G,7,0),"")</f>
        <v/>
      </c>
      <c r="L254" s="8" t="inlineStr">
        <is>
          <t>20230629</t>
        </is>
      </c>
      <c r="M254" s="8" t="inlineStr">
        <is>
          <t>20251031</t>
        </is>
      </c>
      <c r="N254" s="10" t="n">
        <v>165.84</v>
      </c>
      <c r="O254" s="10">
        <f>IFERROR(VLOOKUP(A254,Flete!$A:$J,10,0),"")</f>
        <v/>
      </c>
      <c r="P254" s="8" t="inlineStr">
        <is>
          <t>TN</t>
        </is>
      </c>
      <c r="Q254" s="10">
        <f>IFERROR(IFERROR(VLOOKUP(A254,TRAOPE!$A:$U,21,0),VLOOKUP(B254,TRAOPE!$A:$U,21,0)),"")</f>
        <v/>
      </c>
      <c r="R254" s="8">
        <f>IFERROR(IFERROR(VLOOKUP(A254,TRAOPE!$A:$W,23,0),VLOOKUP(B254,TRAOPE!$A:$W,23,0)),"")</f>
        <v/>
      </c>
      <c r="S254" s="10">
        <f>IF(AND(P254="TN",R254="TN"),N254+N(O254),IF(G254&amp;""="1",N(K254)*N254,(N254+N(O254))*N(K254)))</f>
        <v/>
      </c>
      <c r="T254" s="10">
        <f>IF(Q254="","",Q254-S254)</f>
        <v/>
      </c>
    </row>
    <row r="255">
      <c r="A255" s="7">
        <f>CONCATENATE(C255,E255,F255,I255)</f>
        <v/>
      </c>
      <c r="B255" s="7">
        <f>CONCATENATE(C255,E255,I255)</f>
        <v/>
      </c>
      <c r="C255" s="8" t="n">
        <v>900004166</v>
      </c>
      <c r="D255" s="7">
        <f>IFERROR(VLOOKUP(C255,TRAOPE!$G:$H,2,0),"")</f>
        <v/>
      </c>
      <c r="E255" s="8" t="inlineStr">
        <is>
          <t>DW68</t>
        </is>
      </c>
      <c r="F255" s="8" t="inlineStr">
        <is>
          <t>D228</t>
        </is>
      </c>
      <c r="G255" s="8">
        <f>IFERROR(VLOOKUP(A255,Flete!$A:$E,5,0),"")</f>
        <v/>
      </c>
      <c r="H255" s="7">
        <f>IFERROR(VLOOKUP(F255,TRAOPE!$AA:$AB,2,0),"")</f>
        <v/>
      </c>
      <c r="I255" s="7" t="n">
        <v>10132394</v>
      </c>
      <c r="J255" s="7">
        <f>IFERROR(VLOOKUP(I255,Materiales!$A:$H,8,0),"")</f>
        <v/>
      </c>
      <c r="K255" s="9">
        <f>IFERROR(VLOOKUP(I255,Materiales!$A:$G,7,0),"")</f>
        <v/>
      </c>
      <c r="L255" s="8" t="inlineStr">
        <is>
          <t>20230629</t>
        </is>
      </c>
      <c r="M255" s="8" t="inlineStr">
        <is>
          <t>20251031</t>
        </is>
      </c>
      <c r="N255" s="10" t="n">
        <v>120.34</v>
      </c>
      <c r="O255" s="10">
        <f>IFERROR(VLOOKUP(A255,Flete!$A:$J,10,0),"")</f>
        <v/>
      </c>
      <c r="P255" s="8" t="inlineStr">
        <is>
          <t>TN</t>
        </is>
      </c>
      <c r="Q255" s="10">
        <f>IFERROR(IFERROR(VLOOKUP(A255,TRAOPE!$A:$U,21,0),VLOOKUP(B255,TRAOPE!$A:$U,21,0)),"")</f>
        <v/>
      </c>
      <c r="R255" s="8">
        <f>IFERROR(IFERROR(VLOOKUP(A255,TRAOPE!$A:$W,23,0),VLOOKUP(B255,TRAOPE!$A:$W,23,0)),"")</f>
        <v/>
      </c>
      <c r="S255" s="10">
        <f>IF(AND(P255="TN",R255="TN"),N255+N(O255),IF(G255&amp;""="1",N(K255)*N255,(N255+N(O255))*N(K255)))</f>
        <v/>
      </c>
      <c r="T255" s="10">
        <f>IF(Q255="","",Q255-S255)</f>
        <v/>
      </c>
    </row>
    <row r="256">
      <c r="A256" s="7">
        <f>CONCATENATE(C256,E256,F256,I256)</f>
        <v/>
      </c>
      <c r="B256" s="7">
        <f>CONCATENATE(C256,E256,I256)</f>
        <v/>
      </c>
      <c r="C256" s="8" t="n">
        <v>900004166</v>
      </c>
      <c r="D256" s="7">
        <f>IFERROR(VLOOKUP(C256,TRAOPE!$G:$H,2,0),"")</f>
        <v/>
      </c>
      <c r="E256" s="8" t="inlineStr">
        <is>
          <t>DW68</t>
        </is>
      </c>
      <c r="F256" s="8" t="inlineStr">
        <is>
          <t>D242</t>
        </is>
      </c>
      <c r="G256" s="8">
        <f>IFERROR(VLOOKUP(A256,Flete!$A:$E,5,0),"")</f>
        <v/>
      </c>
      <c r="H256" s="7">
        <f>IFERROR(VLOOKUP(F256,TRAOPE!$AA:$AB,2,0),"")</f>
        <v/>
      </c>
      <c r="I256" s="7" t="n">
        <v>10000384</v>
      </c>
      <c r="J256" s="7">
        <f>IFERROR(VLOOKUP(I256,Materiales!$A:$H,8,0),"")</f>
        <v/>
      </c>
      <c r="K256" s="9">
        <f>IFERROR(VLOOKUP(I256,Materiales!$A:$G,7,0),"")</f>
        <v/>
      </c>
      <c r="L256" s="8" t="inlineStr">
        <is>
          <t>20230629</t>
        </is>
      </c>
      <c r="M256" s="8" t="inlineStr">
        <is>
          <t>20251031</t>
        </is>
      </c>
      <c r="N256" s="10" t="n">
        <v>204.97</v>
      </c>
      <c r="O256" s="10">
        <f>IFERROR(VLOOKUP(A256,Flete!$A:$J,10,0),"")</f>
        <v/>
      </c>
      <c r="P256" s="8" t="inlineStr">
        <is>
          <t>TN</t>
        </is>
      </c>
      <c r="Q256" s="10">
        <f>IFERROR(IFERROR(VLOOKUP(A256,TRAOPE!$A:$U,21,0),VLOOKUP(B256,TRAOPE!$A:$U,21,0)),"")</f>
        <v/>
      </c>
      <c r="R256" s="8">
        <f>IFERROR(IFERROR(VLOOKUP(A256,TRAOPE!$A:$W,23,0),VLOOKUP(B256,TRAOPE!$A:$W,23,0)),"")</f>
        <v/>
      </c>
      <c r="S256" s="10">
        <f>IF(AND(P256="TN",R256="TN"),N256+N(O256),IF(G256&amp;""="1",N(K256)*N256,(N256+N(O256))*N(K256)))</f>
        <v/>
      </c>
      <c r="T256" s="10">
        <f>IF(Q256="","",Q256-S256)</f>
        <v/>
      </c>
    </row>
    <row r="257">
      <c r="A257" s="7">
        <f>CONCATENATE(C257,E257,F257,I257)</f>
        <v/>
      </c>
      <c r="B257" s="7">
        <f>CONCATENATE(C257,E257,I257)</f>
        <v/>
      </c>
      <c r="C257" s="8" t="n">
        <v>900004166</v>
      </c>
      <c r="D257" s="7">
        <f>IFERROR(VLOOKUP(C257,TRAOPE!$G:$H,2,0),"")</f>
        <v/>
      </c>
      <c r="E257" s="8" t="inlineStr">
        <is>
          <t>DW68</t>
        </is>
      </c>
      <c r="F257" s="8" t="inlineStr">
        <is>
          <t>D242</t>
        </is>
      </c>
      <c r="G257" s="8">
        <f>IFERROR(VLOOKUP(A257,Flete!$A:$E,5,0),"")</f>
        <v/>
      </c>
      <c r="H257" s="7">
        <f>IFERROR(VLOOKUP(F257,TRAOPE!$AA:$AB,2,0),"")</f>
        <v/>
      </c>
      <c r="I257" s="7" t="n">
        <v>10004258</v>
      </c>
      <c r="J257" s="7">
        <f>IFERROR(VLOOKUP(I257,Materiales!$A:$H,8,0),"")</f>
        <v/>
      </c>
      <c r="K257" s="9">
        <f>IFERROR(VLOOKUP(I257,Materiales!$A:$G,7,0),"")</f>
        <v/>
      </c>
      <c r="L257" s="8" t="inlineStr">
        <is>
          <t>20230629</t>
        </is>
      </c>
      <c r="M257" s="8" t="inlineStr">
        <is>
          <t>20251031</t>
        </is>
      </c>
      <c r="N257" s="10" t="n">
        <v>313.73</v>
      </c>
      <c r="O257" s="10">
        <f>IFERROR(VLOOKUP(A257,Flete!$A:$J,10,0),"")</f>
        <v/>
      </c>
      <c r="P257" s="8" t="inlineStr">
        <is>
          <t>TN</t>
        </is>
      </c>
      <c r="Q257" s="10">
        <f>IFERROR(IFERROR(VLOOKUP(A257,TRAOPE!$A:$U,21,0),VLOOKUP(B257,TRAOPE!$A:$U,21,0)),"")</f>
        <v/>
      </c>
      <c r="R257" s="8">
        <f>IFERROR(IFERROR(VLOOKUP(A257,TRAOPE!$A:$W,23,0),VLOOKUP(B257,TRAOPE!$A:$W,23,0)),"")</f>
        <v/>
      </c>
      <c r="S257" s="10">
        <f>IF(AND(P257="TN",R257="TN"),N257+N(O257),IF(G257&amp;""="1",N(K257)*N257,(N257+N(O257))*N(K257)))</f>
        <v/>
      </c>
      <c r="T257" s="10">
        <f>IF(Q257="","",Q257-S257)</f>
        <v/>
      </c>
    </row>
    <row r="258">
      <c r="A258" s="7">
        <f>CONCATENATE(C258,E258,F258,I258)</f>
        <v/>
      </c>
      <c r="B258" s="7">
        <f>CONCATENATE(C258,E258,I258)</f>
        <v/>
      </c>
      <c r="C258" s="8" t="n">
        <v>900004166</v>
      </c>
      <c r="D258" s="7">
        <f>IFERROR(VLOOKUP(C258,TRAOPE!$G:$H,2,0),"")</f>
        <v/>
      </c>
      <c r="E258" s="8" t="inlineStr">
        <is>
          <t>DW68</t>
        </is>
      </c>
      <c r="F258" s="8" t="inlineStr">
        <is>
          <t>D242</t>
        </is>
      </c>
      <c r="G258" s="8">
        <f>IFERROR(VLOOKUP(A258,Flete!$A:$E,5,0),"")</f>
        <v/>
      </c>
      <c r="H258" s="7">
        <f>IFERROR(VLOOKUP(F258,TRAOPE!$AA:$AB,2,0),"")</f>
        <v/>
      </c>
      <c r="I258" s="7" t="n">
        <v>10034701</v>
      </c>
      <c r="J258" s="7">
        <f>IFERROR(VLOOKUP(I258,Materiales!$A:$H,8,0),"")</f>
        <v/>
      </c>
      <c r="K258" s="9">
        <f>IFERROR(VLOOKUP(I258,Materiales!$A:$G,7,0),"")</f>
        <v/>
      </c>
      <c r="L258" s="8" t="inlineStr">
        <is>
          <t>20230629</t>
        </is>
      </c>
      <c r="M258" s="8" t="inlineStr">
        <is>
          <t>20251031</t>
        </is>
      </c>
      <c r="N258" s="10" t="n">
        <v>181.82</v>
      </c>
      <c r="O258" s="10">
        <f>IFERROR(VLOOKUP(A258,Flete!$A:$J,10,0),"")</f>
        <v/>
      </c>
      <c r="P258" s="8" t="inlineStr">
        <is>
          <t>TN</t>
        </is>
      </c>
      <c r="Q258" s="10">
        <f>IFERROR(IFERROR(VLOOKUP(A258,TRAOPE!$A:$U,21,0),VLOOKUP(B258,TRAOPE!$A:$U,21,0)),"")</f>
        <v/>
      </c>
      <c r="R258" s="8">
        <f>IFERROR(IFERROR(VLOOKUP(A258,TRAOPE!$A:$W,23,0),VLOOKUP(B258,TRAOPE!$A:$W,23,0)),"")</f>
        <v/>
      </c>
      <c r="S258" s="10">
        <f>IF(AND(P258="TN",R258="TN"),N258+N(O258),IF(G258&amp;""="1",N(K258)*N258,(N258+N(O258))*N(K258)))</f>
        <v/>
      </c>
      <c r="T258" s="10">
        <f>IF(Q258="","",Q258-S258)</f>
        <v/>
      </c>
    </row>
    <row r="259">
      <c r="A259" s="7">
        <f>CONCATENATE(C259,E259,F259,I259)</f>
        <v/>
      </c>
      <c r="B259" s="7">
        <f>CONCATENATE(C259,E259,I259)</f>
        <v/>
      </c>
      <c r="C259" s="8" t="n">
        <v>900004166</v>
      </c>
      <c r="D259" s="7">
        <f>IFERROR(VLOOKUP(C259,TRAOPE!$G:$H,2,0),"")</f>
        <v/>
      </c>
      <c r="E259" s="8" t="inlineStr">
        <is>
          <t>DW68</t>
        </is>
      </c>
      <c r="F259" s="8" t="inlineStr">
        <is>
          <t>D242</t>
        </is>
      </c>
      <c r="G259" s="8">
        <f>IFERROR(VLOOKUP(A259,Flete!$A:$E,5,0),"")</f>
        <v/>
      </c>
      <c r="H259" s="7">
        <f>IFERROR(VLOOKUP(F259,TRAOPE!$AA:$AB,2,0),"")</f>
        <v/>
      </c>
      <c r="I259" s="7" t="n">
        <v>10035053</v>
      </c>
      <c r="J259" s="7">
        <f>IFERROR(VLOOKUP(I259,Materiales!$A:$H,8,0),"")</f>
        <v/>
      </c>
      <c r="K259" s="9">
        <f>IFERROR(VLOOKUP(I259,Materiales!$A:$G,7,0),"")</f>
        <v/>
      </c>
      <c r="L259" s="8" t="inlineStr">
        <is>
          <t>20230629</t>
        </is>
      </c>
      <c r="M259" s="8" t="inlineStr">
        <is>
          <t>20251031</t>
        </is>
      </c>
      <c r="N259" s="10" t="n">
        <v>125.65</v>
      </c>
      <c r="O259" s="10">
        <f>IFERROR(VLOOKUP(A259,Flete!$A:$J,10,0),"")</f>
        <v/>
      </c>
      <c r="P259" s="8" t="inlineStr">
        <is>
          <t>TN</t>
        </is>
      </c>
      <c r="Q259" s="10">
        <f>IFERROR(IFERROR(VLOOKUP(A259,TRAOPE!$A:$U,21,0),VLOOKUP(B259,TRAOPE!$A:$U,21,0)),"")</f>
        <v/>
      </c>
      <c r="R259" s="8">
        <f>IFERROR(IFERROR(VLOOKUP(A259,TRAOPE!$A:$W,23,0),VLOOKUP(B259,TRAOPE!$A:$W,23,0)),"")</f>
        <v/>
      </c>
      <c r="S259" s="10">
        <f>IF(AND(P259="TN",R259="TN"),N259+N(O259),IF(G259&amp;""="1",N(K259)*N259,(N259+N(O259))*N(K259)))</f>
        <v/>
      </c>
      <c r="T259" s="10">
        <f>IF(Q259="","",Q259-S259)</f>
        <v/>
      </c>
    </row>
    <row r="260">
      <c r="A260" s="7">
        <f>CONCATENATE(C260,E260,F260,I260)</f>
        <v/>
      </c>
      <c r="B260" s="7">
        <f>CONCATENATE(C260,E260,I260)</f>
        <v/>
      </c>
      <c r="C260" s="8" t="n">
        <v>900004166</v>
      </c>
      <c r="D260" s="7">
        <f>IFERROR(VLOOKUP(C260,TRAOPE!$G:$H,2,0),"")</f>
        <v/>
      </c>
      <c r="E260" s="8" t="inlineStr">
        <is>
          <t>DW68</t>
        </is>
      </c>
      <c r="F260" s="8" t="inlineStr">
        <is>
          <t>D242</t>
        </is>
      </c>
      <c r="G260" s="8">
        <f>IFERROR(VLOOKUP(A260,Flete!$A:$E,5,0),"")</f>
        <v/>
      </c>
      <c r="H260" s="7">
        <f>IFERROR(VLOOKUP(F260,TRAOPE!$AA:$AB,2,0),"")</f>
        <v/>
      </c>
      <c r="I260" s="7" t="n">
        <v>10110630</v>
      </c>
      <c r="J260" s="7">
        <f>IFERROR(VLOOKUP(I260,Materiales!$A:$H,8,0),"")</f>
        <v/>
      </c>
      <c r="K260" s="9">
        <f>IFERROR(VLOOKUP(I260,Materiales!$A:$G,7,0),"")</f>
        <v/>
      </c>
      <c r="L260" s="8" t="inlineStr">
        <is>
          <t>20230629</t>
        </is>
      </c>
      <c r="M260" s="8" t="inlineStr">
        <is>
          <t>20251031</t>
        </is>
      </c>
      <c r="N260" s="10" t="n">
        <v>165.84</v>
      </c>
      <c r="O260" s="10">
        <f>IFERROR(VLOOKUP(A260,Flete!$A:$J,10,0),"")</f>
        <v/>
      </c>
      <c r="P260" s="8" t="inlineStr">
        <is>
          <t>TN</t>
        </is>
      </c>
      <c r="Q260" s="10">
        <f>IFERROR(IFERROR(VLOOKUP(A260,TRAOPE!$A:$U,21,0),VLOOKUP(B260,TRAOPE!$A:$U,21,0)),"")</f>
        <v/>
      </c>
      <c r="R260" s="8">
        <f>IFERROR(IFERROR(VLOOKUP(A260,TRAOPE!$A:$W,23,0),VLOOKUP(B260,TRAOPE!$A:$W,23,0)),"")</f>
        <v/>
      </c>
      <c r="S260" s="10">
        <f>IF(AND(P260="TN",R260="TN"),N260+N(O260),IF(G260&amp;""="1",N(K260)*N260,(N260+N(O260))*N(K260)))</f>
        <v/>
      </c>
      <c r="T260" s="10">
        <f>IF(Q260="","",Q260-S260)</f>
        <v/>
      </c>
    </row>
    <row r="261">
      <c r="A261" s="7">
        <f>CONCATENATE(C261,E261,F261,I261)</f>
        <v/>
      </c>
      <c r="B261" s="7">
        <f>CONCATENATE(C261,E261,I261)</f>
        <v/>
      </c>
      <c r="C261" s="8" t="n">
        <v>900004166</v>
      </c>
      <c r="D261" s="7">
        <f>IFERROR(VLOOKUP(C261,TRAOPE!$G:$H,2,0),"")</f>
        <v/>
      </c>
      <c r="E261" s="8" t="inlineStr">
        <is>
          <t>DW68</t>
        </is>
      </c>
      <c r="F261" s="8" t="inlineStr">
        <is>
          <t>D242</t>
        </is>
      </c>
      <c r="G261" s="8">
        <f>IFERROR(VLOOKUP(A261,Flete!$A:$E,5,0),"")</f>
        <v/>
      </c>
      <c r="H261" s="7">
        <f>IFERROR(VLOOKUP(F261,TRAOPE!$AA:$AB,2,0),"")</f>
        <v/>
      </c>
      <c r="I261" s="7" t="n">
        <v>10132394</v>
      </c>
      <c r="J261" s="7">
        <f>IFERROR(VLOOKUP(I261,Materiales!$A:$H,8,0),"")</f>
        <v/>
      </c>
      <c r="K261" s="9">
        <f>IFERROR(VLOOKUP(I261,Materiales!$A:$G,7,0),"")</f>
        <v/>
      </c>
      <c r="L261" s="8" t="inlineStr">
        <is>
          <t>20230629</t>
        </is>
      </c>
      <c r="M261" s="8" t="inlineStr">
        <is>
          <t>20251031</t>
        </is>
      </c>
      <c r="N261" s="10" t="n">
        <v>120.34</v>
      </c>
      <c r="O261" s="10">
        <f>IFERROR(VLOOKUP(A261,Flete!$A:$J,10,0),"")</f>
        <v/>
      </c>
      <c r="P261" s="8" t="inlineStr">
        <is>
          <t>TN</t>
        </is>
      </c>
      <c r="Q261" s="10">
        <f>IFERROR(IFERROR(VLOOKUP(A261,TRAOPE!$A:$U,21,0),VLOOKUP(B261,TRAOPE!$A:$U,21,0)),"")</f>
        <v/>
      </c>
      <c r="R261" s="8">
        <f>IFERROR(IFERROR(VLOOKUP(A261,TRAOPE!$A:$W,23,0),VLOOKUP(B261,TRAOPE!$A:$W,23,0)),"")</f>
        <v/>
      </c>
      <c r="S261" s="10">
        <f>IF(AND(P261="TN",R261="TN"),N261+N(O261),IF(G261&amp;""="1",N(K261)*N261,(N261+N(O261))*N(K261)))</f>
        <v/>
      </c>
      <c r="T261" s="10">
        <f>IF(Q261="","",Q261-S261)</f>
        <v/>
      </c>
    </row>
    <row r="262">
      <c r="A262" s="7">
        <f>CONCATENATE(C262,E262,F262,I262)</f>
        <v/>
      </c>
      <c r="B262" s="7">
        <f>CONCATENATE(C262,E262,I262)</f>
        <v/>
      </c>
      <c r="C262" s="8" t="n">
        <v>900004166</v>
      </c>
      <c r="D262" s="7">
        <f>IFERROR(VLOOKUP(C262,TRAOPE!$G:$H,2,0),"")</f>
        <v/>
      </c>
      <c r="E262" s="8" t="inlineStr">
        <is>
          <t>DW68</t>
        </is>
      </c>
      <c r="F262" s="8" t="inlineStr">
        <is>
          <t>D247</t>
        </is>
      </c>
      <c r="G262" s="8">
        <f>IFERROR(VLOOKUP(A262,Flete!$A:$E,5,0),"")</f>
        <v/>
      </c>
      <c r="H262" s="7">
        <f>IFERROR(VLOOKUP(F262,TRAOPE!$AA:$AB,2,0),"")</f>
        <v/>
      </c>
      <c r="I262" s="7" t="n">
        <v>10000384</v>
      </c>
      <c r="J262" s="7">
        <f>IFERROR(VLOOKUP(I262,Materiales!$A:$H,8,0),"")</f>
        <v/>
      </c>
      <c r="K262" s="9">
        <f>IFERROR(VLOOKUP(I262,Materiales!$A:$G,7,0),"")</f>
        <v/>
      </c>
      <c r="L262" s="8" t="inlineStr">
        <is>
          <t>20230629</t>
        </is>
      </c>
      <c r="M262" s="8" t="inlineStr">
        <is>
          <t>20251031</t>
        </is>
      </c>
      <c r="N262" s="10" t="n">
        <v>204.97</v>
      </c>
      <c r="O262" s="10">
        <f>IFERROR(VLOOKUP(A262,Flete!$A:$J,10,0),"")</f>
        <v/>
      </c>
      <c r="P262" s="8" t="inlineStr">
        <is>
          <t>TN</t>
        </is>
      </c>
      <c r="Q262" s="10">
        <f>IFERROR(IFERROR(VLOOKUP(A262,TRAOPE!$A:$U,21,0),VLOOKUP(B262,TRAOPE!$A:$U,21,0)),"")</f>
        <v/>
      </c>
      <c r="R262" s="8">
        <f>IFERROR(IFERROR(VLOOKUP(A262,TRAOPE!$A:$W,23,0),VLOOKUP(B262,TRAOPE!$A:$W,23,0)),"")</f>
        <v/>
      </c>
      <c r="S262" s="10">
        <f>IF(AND(P262="TN",R262="TN"),N262+N(O262),IF(G262&amp;""="1",N(K262)*N262,(N262+N(O262))*N(K262)))</f>
        <v/>
      </c>
      <c r="T262" s="10">
        <f>IF(Q262="","",Q262-S262)</f>
        <v/>
      </c>
    </row>
    <row r="263">
      <c r="A263" s="7">
        <f>CONCATENATE(C263,E263,F263,I263)</f>
        <v/>
      </c>
      <c r="B263" s="7">
        <f>CONCATENATE(C263,E263,I263)</f>
        <v/>
      </c>
      <c r="C263" s="8" t="n">
        <v>900004166</v>
      </c>
      <c r="D263" s="7">
        <f>IFERROR(VLOOKUP(C263,TRAOPE!$G:$H,2,0),"")</f>
        <v/>
      </c>
      <c r="E263" s="8" t="inlineStr">
        <is>
          <t>DW68</t>
        </is>
      </c>
      <c r="F263" s="8" t="inlineStr">
        <is>
          <t>D247</t>
        </is>
      </c>
      <c r="G263" s="8">
        <f>IFERROR(VLOOKUP(A263,Flete!$A:$E,5,0),"")</f>
        <v/>
      </c>
      <c r="H263" s="7">
        <f>IFERROR(VLOOKUP(F263,TRAOPE!$AA:$AB,2,0),"")</f>
        <v/>
      </c>
      <c r="I263" s="7" t="n">
        <v>10004258</v>
      </c>
      <c r="J263" s="7">
        <f>IFERROR(VLOOKUP(I263,Materiales!$A:$H,8,0),"")</f>
        <v/>
      </c>
      <c r="K263" s="9">
        <f>IFERROR(VLOOKUP(I263,Materiales!$A:$G,7,0),"")</f>
        <v/>
      </c>
      <c r="L263" s="8" t="inlineStr">
        <is>
          <t>20230629</t>
        </is>
      </c>
      <c r="M263" s="8" t="inlineStr">
        <is>
          <t>20251031</t>
        </is>
      </c>
      <c r="N263" s="10" t="n">
        <v>313.73</v>
      </c>
      <c r="O263" s="10">
        <f>IFERROR(VLOOKUP(A263,Flete!$A:$J,10,0),"")</f>
        <v/>
      </c>
      <c r="P263" s="8" t="inlineStr">
        <is>
          <t>TN</t>
        </is>
      </c>
      <c r="Q263" s="10">
        <f>IFERROR(IFERROR(VLOOKUP(A263,TRAOPE!$A:$U,21,0),VLOOKUP(B263,TRAOPE!$A:$U,21,0)),"")</f>
        <v/>
      </c>
      <c r="R263" s="8">
        <f>IFERROR(IFERROR(VLOOKUP(A263,TRAOPE!$A:$W,23,0),VLOOKUP(B263,TRAOPE!$A:$W,23,0)),"")</f>
        <v/>
      </c>
      <c r="S263" s="10">
        <f>IF(AND(P263="TN",R263="TN"),N263+N(O263),IF(G263&amp;""="1",N(K263)*N263,(N263+N(O263))*N(K263)))</f>
        <v/>
      </c>
      <c r="T263" s="10">
        <f>IF(Q263="","",Q263-S263)</f>
        <v/>
      </c>
    </row>
    <row r="264">
      <c r="A264" s="7">
        <f>CONCATENATE(C264,E264,F264,I264)</f>
        <v/>
      </c>
      <c r="B264" s="7">
        <f>CONCATENATE(C264,E264,I264)</f>
        <v/>
      </c>
      <c r="C264" s="8" t="n">
        <v>900004166</v>
      </c>
      <c r="D264" s="7">
        <f>IFERROR(VLOOKUP(C264,TRAOPE!$G:$H,2,0),"")</f>
        <v/>
      </c>
      <c r="E264" s="8" t="inlineStr">
        <is>
          <t>DW68</t>
        </is>
      </c>
      <c r="F264" s="8" t="inlineStr">
        <is>
          <t>D247</t>
        </is>
      </c>
      <c r="G264" s="8">
        <f>IFERROR(VLOOKUP(A264,Flete!$A:$E,5,0),"")</f>
        <v/>
      </c>
      <c r="H264" s="7">
        <f>IFERROR(VLOOKUP(F264,TRAOPE!$AA:$AB,2,0),"")</f>
        <v/>
      </c>
      <c r="I264" s="7" t="n">
        <v>10034701</v>
      </c>
      <c r="J264" s="7">
        <f>IFERROR(VLOOKUP(I264,Materiales!$A:$H,8,0),"")</f>
        <v/>
      </c>
      <c r="K264" s="9">
        <f>IFERROR(VLOOKUP(I264,Materiales!$A:$G,7,0),"")</f>
        <v/>
      </c>
      <c r="L264" s="8" t="inlineStr">
        <is>
          <t>20230629</t>
        </is>
      </c>
      <c r="M264" s="8" t="inlineStr">
        <is>
          <t>20251031</t>
        </is>
      </c>
      <c r="N264" s="10" t="n">
        <v>181.82</v>
      </c>
      <c r="O264" s="10">
        <f>IFERROR(VLOOKUP(A264,Flete!$A:$J,10,0),"")</f>
        <v/>
      </c>
      <c r="P264" s="8" t="inlineStr">
        <is>
          <t>TN</t>
        </is>
      </c>
      <c r="Q264" s="10">
        <f>IFERROR(IFERROR(VLOOKUP(A264,TRAOPE!$A:$U,21,0),VLOOKUP(B264,TRAOPE!$A:$U,21,0)),"")</f>
        <v/>
      </c>
      <c r="R264" s="8">
        <f>IFERROR(IFERROR(VLOOKUP(A264,TRAOPE!$A:$W,23,0),VLOOKUP(B264,TRAOPE!$A:$W,23,0)),"")</f>
        <v/>
      </c>
      <c r="S264" s="10">
        <f>IF(AND(P264="TN",R264="TN"),N264+N(O264),IF(G264&amp;""="1",N(K264)*N264,(N264+N(O264))*N(K264)))</f>
        <v/>
      </c>
      <c r="T264" s="10">
        <f>IF(Q264="","",Q264-S264)</f>
        <v/>
      </c>
    </row>
    <row r="265">
      <c r="A265" s="7">
        <f>CONCATENATE(C265,E265,F265,I265)</f>
        <v/>
      </c>
      <c r="B265" s="7">
        <f>CONCATENATE(C265,E265,I265)</f>
        <v/>
      </c>
      <c r="C265" s="8" t="n">
        <v>900004166</v>
      </c>
      <c r="D265" s="7">
        <f>IFERROR(VLOOKUP(C265,TRAOPE!$G:$H,2,0),"")</f>
        <v/>
      </c>
      <c r="E265" s="8" t="inlineStr">
        <is>
          <t>DW68</t>
        </is>
      </c>
      <c r="F265" s="8" t="inlineStr">
        <is>
          <t>D247</t>
        </is>
      </c>
      <c r="G265" s="8">
        <f>IFERROR(VLOOKUP(A265,Flete!$A:$E,5,0),"")</f>
        <v/>
      </c>
      <c r="H265" s="7">
        <f>IFERROR(VLOOKUP(F265,TRAOPE!$AA:$AB,2,0),"")</f>
        <v/>
      </c>
      <c r="I265" s="7" t="n">
        <v>10110630</v>
      </c>
      <c r="J265" s="7">
        <f>IFERROR(VLOOKUP(I265,Materiales!$A:$H,8,0),"")</f>
        <v/>
      </c>
      <c r="K265" s="9">
        <f>IFERROR(VLOOKUP(I265,Materiales!$A:$G,7,0),"")</f>
        <v/>
      </c>
      <c r="L265" s="8" t="inlineStr">
        <is>
          <t>20230629</t>
        </is>
      </c>
      <c r="M265" s="8" t="inlineStr">
        <is>
          <t>20251031</t>
        </is>
      </c>
      <c r="N265" s="10" t="n">
        <v>137.61</v>
      </c>
      <c r="O265" s="10">
        <f>IFERROR(VLOOKUP(A265,Flete!$A:$J,10,0),"")</f>
        <v/>
      </c>
      <c r="P265" s="8" t="inlineStr">
        <is>
          <t>TN</t>
        </is>
      </c>
      <c r="Q265" s="10">
        <f>IFERROR(IFERROR(VLOOKUP(A265,TRAOPE!$A:$U,21,0),VLOOKUP(B265,TRAOPE!$A:$U,21,0)),"")</f>
        <v/>
      </c>
      <c r="R265" s="8">
        <f>IFERROR(IFERROR(VLOOKUP(A265,TRAOPE!$A:$W,23,0),VLOOKUP(B265,TRAOPE!$A:$W,23,0)),"")</f>
        <v/>
      </c>
      <c r="S265" s="10">
        <f>IF(AND(P265="TN",R265="TN"),N265+N(O265),IF(G265&amp;""="1",N(K265)*N265,(N265+N(O265))*N(K265)))</f>
        <v/>
      </c>
      <c r="T265" s="10">
        <f>IF(Q265="","",Q265-S265)</f>
        <v/>
      </c>
    </row>
    <row r="266">
      <c r="A266" s="7">
        <f>CONCATENATE(C266,E266,F266,I266)</f>
        <v/>
      </c>
      <c r="B266" s="7">
        <f>CONCATENATE(C266,E266,I266)</f>
        <v/>
      </c>
      <c r="C266" s="8" t="n">
        <v>900004166</v>
      </c>
      <c r="D266" s="7">
        <f>IFERROR(VLOOKUP(C266,TRAOPE!$G:$H,2,0),"")</f>
        <v/>
      </c>
      <c r="E266" s="8" t="inlineStr">
        <is>
          <t>DW68</t>
        </is>
      </c>
      <c r="F266" s="8" t="inlineStr">
        <is>
          <t>D251</t>
        </is>
      </c>
      <c r="G266" s="8">
        <f>IFERROR(VLOOKUP(A266,Flete!$A:$E,5,0),"")</f>
        <v/>
      </c>
      <c r="H266" s="7">
        <f>IFERROR(VLOOKUP(F266,TRAOPE!$AA:$AB,2,0),"")</f>
        <v/>
      </c>
      <c r="I266" s="7" t="n">
        <v>10000384</v>
      </c>
      <c r="J266" s="7">
        <f>IFERROR(VLOOKUP(I266,Materiales!$A:$H,8,0),"")</f>
        <v/>
      </c>
      <c r="K266" s="9">
        <f>IFERROR(VLOOKUP(I266,Materiales!$A:$G,7,0),"")</f>
        <v/>
      </c>
      <c r="L266" s="8" t="inlineStr">
        <is>
          <t>20230629</t>
        </is>
      </c>
      <c r="M266" s="8" t="inlineStr">
        <is>
          <t>20251031</t>
        </is>
      </c>
      <c r="N266" s="10" t="n">
        <v>204.97</v>
      </c>
      <c r="O266" s="10">
        <f>IFERROR(VLOOKUP(A266,Flete!$A:$J,10,0),"")</f>
        <v/>
      </c>
      <c r="P266" s="8" t="inlineStr">
        <is>
          <t>TN</t>
        </is>
      </c>
      <c r="Q266" s="10">
        <f>IFERROR(IFERROR(VLOOKUP(A266,TRAOPE!$A:$U,21,0),VLOOKUP(B266,TRAOPE!$A:$U,21,0)),"")</f>
        <v/>
      </c>
      <c r="R266" s="8">
        <f>IFERROR(IFERROR(VLOOKUP(A266,TRAOPE!$A:$W,23,0),VLOOKUP(B266,TRAOPE!$A:$W,23,0)),"")</f>
        <v/>
      </c>
      <c r="S266" s="10">
        <f>IF(AND(P266="TN",R266="TN"),N266+N(O266),IF(G266&amp;""="1",N(K266)*N266,(N266+N(O266))*N(K266)))</f>
        <v/>
      </c>
      <c r="T266" s="10">
        <f>IF(Q266="","",Q266-S266)</f>
        <v/>
      </c>
    </row>
    <row r="267">
      <c r="A267" s="7">
        <f>CONCATENATE(C267,E267,F267,I267)</f>
        <v/>
      </c>
      <c r="B267" s="7">
        <f>CONCATENATE(C267,E267,I267)</f>
        <v/>
      </c>
      <c r="C267" s="8" t="n">
        <v>900004166</v>
      </c>
      <c r="D267" s="7">
        <f>IFERROR(VLOOKUP(C267,TRAOPE!$G:$H,2,0),"")</f>
        <v/>
      </c>
      <c r="E267" s="8" t="inlineStr">
        <is>
          <t>DW68</t>
        </is>
      </c>
      <c r="F267" s="8" t="inlineStr">
        <is>
          <t>D251</t>
        </is>
      </c>
      <c r="G267" s="8">
        <f>IFERROR(VLOOKUP(A267,Flete!$A:$E,5,0),"")</f>
        <v/>
      </c>
      <c r="H267" s="7">
        <f>IFERROR(VLOOKUP(F267,TRAOPE!$AA:$AB,2,0),"")</f>
        <v/>
      </c>
      <c r="I267" s="7" t="n">
        <v>10004258</v>
      </c>
      <c r="J267" s="7">
        <f>IFERROR(VLOOKUP(I267,Materiales!$A:$H,8,0),"")</f>
        <v/>
      </c>
      <c r="K267" s="9">
        <f>IFERROR(VLOOKUP(I267,Materiales!$A:$G,7,0),"")</f>
        <v/>
      </c>
      <c r="L267" s="8" t="inlineStr">
        <is>
          <t>20230629</t>
        </is>
      </c>
      <c r="M267" s="8" t="inlineStr">
        <is>
          <t>20251031</t>
        </is>
      </c>
      <c r="N267" s="10" t="n">
        <v>313.73</v>
      </c>
      <c r="O267" s="10">
        <f>IFERROR(VLOOKUP(A267,Flete!$A:$J,10,0),"")</f>
        <v/>
      </c>
      <c r="P267" s="8" t="inlineStr">
        <is>
          <t>TN</t>
        </is>
      </c>
      <c r="Q267" s="10">
        <f>IFERROR(IFERROR(VLOOKUP(A267,TRAOPE!$A:$U,21,0),VLOOKUP(B267,TRAOPE!$A:$U,21,0)),"")</f>
        <v/>
      </c>
      <c r="R267" s="8">
        <f>IFERROR(IFERROR(VLOOKUP(A267,TRAOPE!$A:$W,23,0),VLOOKUP(B267,TRAOPE!$A:$W,23,0)),"")</f>
        <v/>
      </c>
      <c r="S267" s="10">
        <f>IF(AND(P267="TN",R267="TN"),N267+N(O267),IF(G267&amp;""="1",N(K267)*N267,(N267+N(O267))*N(K267)))</f>
        <v/>
      </c>
      <c r="T267" s="10">
        <f>IF(Q267="","",Q267-S267)</f>
        <v/>
      </c>
    </row>
    <row r="268">
      <c r="A268" s="7">
        <f>CONCATENATE(C268,E268,F268,I268)</f>
        <v/>
      </c>
      <c r="B268" s="7">
        <f>CONCATENATE(C268,E268,I268)</f>
        <v/>
      </c>
      <c r="C268" s="8" t="n">
        <v>900004166</v>
      </c>
      <c r="D268" s="7">
        <f>IFERROR(VLOOKUP(C268,TRAOPE!$G:$H,2,0),"")</f>
        <v/>
      </c>
      <c r="E268" s="8" t="inlineStr">
        <is>
          <t>DW68</t>
        </is>
      </c>
      <c r="F268" s="8" t="inlineStr">
        <is>
          <t>D251</t>
        </is>
      </c>
      <c r="G268" s="8">
        <f>IFERROR(VLOOKUP(A268,Flete!$A:$E,5,0),"")</f>
        <v/>
      </c>
      <c r="H268" s="7">
        <f>IFERROR(VLOOKUP(F268,TRAOPE!$AA:$AB,2,0),"")</f>
        <v/>
      </c>
      <c r="I268" s="7" t="n">
        <v>10034701</v>
      </c>
      <c r="J268" s="7">
        <f>IFERROR(VLOOKUP(I268,Materiales!$A:$H,8,0),"")</f>
        <v/>
      </c>
      <c r="K268" s="9">
        <f>IFERROR(VLOOKUP(I268,Materiales!$A:$G,7,0),"")</f>
        <v/>
      </c>
      <c r="L268" s="8" t="inlineStr">
        <is>
          <t>20230629</t>
        </is>
      </c>
      <c r="M268" s="8" t="inlineStr">
        <is>
          <t>20251031</t>
        </is>
      </c>
      <c r="N268" s="10" t="n">
        <v>181.82</v>
      </c>
      <c r="O268" s="10">
        <f>IFERROR(VLOOKUP(A268,Flete!$A:$J,10,0),"")</f>
        <v/>
      </c>
      <c r="P268" s="8" t="inlineStr">
        <is>
          <t>TN</t>
        </is>
      </c>
      <c r="Q268" s="10">
        <f>IFERROR(IFERROR(VLOOKUP(A268,TRAOPE!$A:$U,21,0),VLOOKUP(B268,TRAOPE!$A:$U,21,0)),"")</f>
        <v/>
      </c>
      <c r="R268" s="8">
        <f>IFERROR(IFERROR(VLOOKUP(A268,TRAOPE!$A:$W,23,0),VLOOKUP(B268,TRAOPE!$A:$W,23,0)),"")</f>
        <v/>
      </c>
      <c r="S268" s="10">
        <f>IF(AND(P268="TN",R268="TN"),N268+N(O268),IF(G268&amp;""="1",N(K268)*N268,(N268+N(O268))*N(K268)))</f>
        <v/>
      </c>
      <c r="T268" s="10">
        <f>IF(Q268="","",Q268-S268)</f>
        <v/>
      </c>
    </row>
    <row r="269">
      <c r="A269" s="7">
        <f>CONCATENATE(C269,E269,F269,I269)</f>
        <v/>
      </c>
      <c r="B269" s="7">
        <f>CONCATENATE(C269,E269,I269)</f>
        <v/>
      </c>
      <c r="C269" s="8" t="n">
        <v>900004166</v>
      </c>
      <c r="D269" s="7">
        <f>IFERROR(VLOOKUP(C269,TRAOPE!$G:$H,2,0),"")</f>
        <v/>
      </c>
      <c r="E269" s="8" t="inlineStr">
        <is>
          <t>DW68</t>
        </is>
      </c>
      <c r="F269" s="8" t="inlineStr">
        <is>
          <t>D251</t>
        </is>
      </c>
      <c r="G269" s="8">
        <f>IFERROR(VLOOKUP(A269,Flete!$A:$E,5,0),"")</f>
        <v/>
      </c>
      <c r="H269" s="7">
        <f>IFERROR(VLOOKUP(F269,TRAOPE!$AA:$AB,2,0),"")</f>
        <v/>
      </c>
      <c r="I269" s="7" t="n">
        <v>10035053</v>
      </c>
      <c r="J269" s="7">
        <f>IFERROR(VLOOKUP(I269,Materiales!$A:$H,8,0),"")</f>
        <v/>
      </c>
      <c r="K269" s="9">
        <f>IFERROR(VLOOKUP(I269,Materiales!$A:$G,7,0),"")</f>
        <v/>
      </c>
      <c r="L269" s="8" t="inlineStr">
        <is>
          <t>20230629</t>
        </is>
      </c>
      <c r="M269" s="8" t="inlineStr">
        <is>
          <t>20251031</t>
        </is>
      </c>
      <c r="N269" s="10" t="n">
        <v>125.65</v>
      </c>
      <c r="O269" s="10">
        <f>IFERROR(VLOOKUP(A269,Flete!$A:$J,10,0),"")</f>
        <v/>
      </c>
      <c r="P269" s="8" t="inlineStr">
        <is>
          <t>TN</t>
        </is>
      </c>
      <c r="Q269" s="10">
        <f>IFERROR(IFERROR(VLOOKUP(A269,TRAOPE!$A:$U,21,0),VLOOKUP(B269,TRAOPE!$A:$U,21,0)),"")</f>
        <v/>
      </c>
      <c r="R269" s="8">
        <f>IFERROR(IFERROR(VLOOKUP(A269,TRAOPE!$A:$W,23,0),VLOOKUP(B269,TRAOPE!$A:$W,23,0)),"")</f>
        <v/>
      </c>
      <c r="S269" s="10">
        <f>IF(AND(P269="TN",R269="TN"),N269+N(O269),IF(G269&amp;""="1",N(K269)*N269,(N269+N(O269))*N(K269)))</f>
        <v/>
      </c>
      <c r="T269" s="10">
        <f>IF(Q269="","",Q269-S269)</f>
        <v/>
      </c>
    </row>
    <row r="270">
      <c r="A270" s="7">
        <f>CONCATENATE(C270,E270,F270,I270)</f>
        <v/>
      </c>
      <c r="B270" s="7">
        <f>CONCATENATE(C270,E270,I270)</f>
        <v/>
      </c>
      <c r="C270" s="8" t="n">
        <v>900004166</v>
      </c>
      <c r="D270" s="7">
        <f>IFERROR(VLOOKUP(C270,TRAOPE!$G:$H,2,0),"")</f>
        <v/>
      </c>
      <c r="E270" s="8" t="inlineStr">
        <is>
          <t>DW68</t>
        </is>
      </c>
      <c r="F270" s="8" t="inlineStr">
        <is>
          <t>D251</t>
        </is>
      </c>
      <c r="G270" s="8">
        <f>IFERROR(VLOOKUP(A270,Flete!$A:$E,5,0),"")</f>
        <v/>
      </c>
      <c r="H270" s="7">
        <f>IFERROR(VLOOKUP(F270,TRAOPE!$AA:$AB,2,0),"")</f>
        <v/>
      </c>
      <c r="I270" s="7" t="n">
        <v>10110630</v>
      </c>
      <c r="J270" s="7">
        <f>IFERROR(VLOOKUP(I270,Materiales!$A:$H,8,0),"")</f>
        <v/>
      </c>
      <c r="K270" s="9">
        <f>IFERROR(VLOOKUP(I270,Materiales!$A:$G,7,0),"")</f>
        <v/>
      </c>
      <c r="L270" s="8" t="inlineStr">
        <is>
          <t>20230629</t>
        </is>
      </c>
      <c r="M270" s="8" t="inlineStr">
        <is>
          <t>20251031</t>
        </is>
      </c>
      <c r="N270" s="10" t="n">
        <v>165.84</v>
      </c>
      <c r="O270" s="10">
        <f>IFERROR(VLOOKUP(A270,Flete!$A:$J,10,0),"")</f>
        <v/>
      </c>
      <c r="P270" s="8" t="inlineStr">
        <is>
          <t>TN</t>
        </is>
      </c>
      <c r="Q270" s="10">
        <f>IFERROR(IFERROR(VLOOKUP(A270,TRAOPE!$A:$U,21,0),VLOOKUP(B270,TRAOPE!$A:$U,21,0)),"")</f>
        <v/>
      </c>
      <c r="R270" s="8">
        <f>IFERROR(IFERROR(VLOOKUP(A270,TRAOPE!$A:$W,23,0),VLOOKUP(B270,TRAOPE!$A:$W,23,0)),"")</f>
        <v/>
      </c>
      <c r="S270" s="10">
        <f>IF(AND(P270="TN",R270="TN"),N270+N(O270),IF(G270&amp;""="1",N(K270)*N270,(N270+N(O270))*N(K270)))</f>
        <v/>
      </c>
      <c r="T270" s="10">
        <f>IF(Q270="","",Q270-S270)</f>
        <v/>
      </c>
    </row>
    <row r="271">
      <c r="A271" s="7">
        <f>CONCATENATE(C271,E271,F271,I271)</f>
        <v/>
      </c>
      <c r="B271" s="7">
        <f>CONCATENATE(C271,E271,I271)</f>
        <v/>
      </c>
      <c r="C271" s="8" t="n">
        <v>900004166</v>
      </c>
      <c r="D271" s="7">
        <f>IFERROR(VLOOKUP(C271,TRAOPE!$G:$H,2,0),"")</f>
        <v/>
      </c>
      <c r="E271" s="8" t="inlineStr">
        <is>
          <t>DW68</t>
        </is>
      </c>
      <c r="F271" s="8" t="inlineStr">
        <is>
          <t>D251</t>
        </is>
      </c>
      <c r="G271" s="8">
        <f>IFERROR(VLOOKUP(A271,Flete!$A:$E,5,0),"")</f>
        <v/>
      </c>
      <c r="H271" s="7">
        <f>IFERROR(VLOOKUP(F271,TRAOPE!$AA:$AB,2,0),"")</f>
        <v/>
      </c>
      <c r="I271" s="7" t="n">
        <v>10132394</v>
      </c>
      <c r="J271" s="7">
        <f>IFERROR(VLOOKUP(I271,Materiales!$A:$H,8,0),"")</f>
        <v/>
      </c>
      <c r="K271" s="9">
        <f>IFERROR(VLOOKUP(I271,Materiales!$A:$G,7,0),"")</f>
        <v/>
      </c>
      <c r="L271" s="8" t="inlineStr">
        <is>
          <t>20230629</t>
        </is>
      </c>
      <c r="M271" s="8" t="inlineStr">
        <is>
          <t>20251031</t>
        </is>
      </c>
      <c r="N271" s="10" t="n">
        <v>120.34</v>
      </c>
      <c r="O271" s="10">
        <f>IFERROR(VLOOKUP(A271,Flete!$A:$J,10,0),"")</f>
        <v/>
      </c>
      <c r="P271" s="8" t="inlineStr">
        <is>
          <t>TN</t>
        </is>
      </c>
      <c r="Q271" s="10">
        <f>IFERROR(IFERROR(VLOOKUP(A271,TRAOPE!$A:$U,21,0),VLOOKUP(B271,TRAOPE!$A:$U,21,0)),"")</f>
        <v/>
      </c>
      <c r="R271" s="8">
        <f>IFERROR(IFERROR(VLOOKUP(A271,TRAOPE!$A:$W,23,0),VLOOKUP(B271,TRAOPE!$A:$W,23,0)),"")</f>
        <v/>
      </c>
      <c r="S271" s="10">
        <f>IF(AND(P271="TN",R271="TN"),N271+N(O271),IF(G271&amp;""="1",N(K271)*N271,(N271+N(O271))*N(K271)))</f>
        <v/>
      </c>
      <c r="T271" s="10">
        <f>IF(Q271="","",Q271-S271)</f>
        <v/>
      </c>
    </row>
    <row r="272">
      <c r="A272" s="7">
        <f>CONCATENATE(C272,E272,F272,I272)</f>
        <v/>
      </c>
      <c r="B272" s="7">
        <f>CONCATENATE(C272,E272,I272)</f>
        <v/>
      </c>
      <c r="C272" s="8" t="n">
        <v>900004166</v>
      </c>
      <c r="D272" s="7">
        <f>IFERROR(VLOOKUP(C272,TRAOPE!$G:$H,2,0),"")</f>
        <v/>
      </c>
      <c r="E272" s="8" t="inlineStr">
        <is>
          <t>DW68</t>
        </is>
      </c>
      <c r="F272" s="8" t="inlineStr">
        <is>
          <t>D264</t>
        </is>
      </c>
      <c r="G272" s="8">
        <f>IFERROR(VLOOKUP(A272,Flete!$A:$E,5,0),"")</f>
        <v/>
      </c>
      <c r="H272" s="7">
        <f>IFERROR(VLOOKUP(F272,TRAOPE!$AA:$AB,2,0),"")</f>
        <v/>
      </c>
      <c r="I272" s="7" t="n">
        <v>10000384</v>
      </c>
      <c r="J272" s="7">
        <f>IFERROR(VLOOKUP(I272,Materiales!$A:$H,8,0),"")</f>
        <v/>
      </c>
      <c r="K272" s="9">
        <f>IFERROR(VLOOKUP(I272,Materiales!$A:$G,7,0),"")</f>
        <v/>
      </c>
      <c r="L272" s="8" t="inlineStr">
        <is>
          <t>20230629</t>
        </is>
      </c>
      <c r="M272" s="8" t="inlineStr">
        <is>
          <t>20251031</t>
        </is>
      </c>
      <c r="N272" s="10" t="n">
        <v>204.97</v>
      </c>
      <c r="O272" s="10">
        <f>IFERROR(VLOOKUP(A272,Flete!$A:$J,10,0),"")</f>
        <v/>
      </c>
      <c r="P272" s="8" t="inlineStr">
        <is>
          <t>TN</t>
        </is>
      </c>
      <c r="Q272" s="10">
        <f>IFERROR(IFERROR(VLOOKUP(A272,TRAOPE!$A:$U,21,0),VLOOKUP(B272,TRAOPE!$A:$U,21,0)),"")</f>
        <v/>
      </c>
      <c r="R272" s="8">
        <f>IFERROR(IFERROR(VLOOKUP(A272,TRAOPE!$A:$W,23,0),VLOOKUP(B272,TRAOPE!$A:$W,23,0)),"")</f>
        <v/>
      </c>
      <c r="S272" s="10">
        <f>IF(AND(P272="TN",R272="TN"),N272+N(O272),IF(G272&amp;""="1",N(K272)*N272,(N272+N(O272))*N(K272)))</f>
        <v/>
      </c>
      <c r="T272" s="10">
        <f>IF(Q272="","",Q272-S272)</f>
        <v/>
      </c>
    </row>
    <row r="273">
      <c r="A273" s="7">
        <f>CONCATENATE(C273,E273,F273,I273)</f>
        <v/>
      </c>
      <c r="B273" s="7">
        <f>CONCATENATE(C273,E273,I273)</f>
        <v/>
      </c>
      <c r="C273" s="8" t="n">
        <v>900004166</v>
      </c>
      <c r="D273" s="7">
        <f>IFERROR(VLOOKUP(C273,TRAOPE!$G:$H,2,0),"")</f>
        <v/>
      </c>
      <c r="E273" s="8" t="inlineStr">
        <is>
          <t>DW68</t>
        </is>
      </c>
      <c r="F273" s="8" t="inlineStr">
        <is>
          <t>D264</t>
        </is>
      </c>
      <c r="G273" s="8">
        <f>IFERROR(VLOOKUP(A273,Flete!$A:$E,5,0),"")</f>
        <v/>
      </c>
      <c r="H273" s="7">
        <f>IFERROR(VLOOKUP(F273,TRAOPE!$AA:$AB,2,0),"")</f>
        <v/>
      </c>
      <c r="I273" s="7" t="n">
        <v>10004258</v>
      </c>
      <c r="J273" s="7">
        <f>IFERROR(VLOOKUP(I273,Materiales!$A:$H,8,0),"")</f>
        <v/>
      </c>
      <c r="K273" s="9">
        <f>IFERROR(VLOOKUP(I273,Materiales!$A:$G,7,0),"")</f>
        <v/>
      </c>
      <c r="L273" s="8" t="inlineStr">
        <is>
          <t>20230629</t>
        </is>
      </c>
      <c r="M273" s="8" t="inlineStr">
        <is>
          <t>20251031</t>
        </is>
      </c>
      <c r="N273" s="10" t="n">
        <v>313.73</v>
      </c>
      <c r="O273" s="10">
        <f>IFERROR(VLOOKUP(A273,Flete!$A:$J,10,0),"")</f>
        <v/>
      </c>
      <c r="P273" s="8" t="inlineStr">
        <is>
          <t>TN</t>
        </is>
      </c>
      <c r="Q273" s="10">
        <f>IFERROR(IFERROR(VLOOKUP(A273,TRAOPE!$A:$U,21,0),VLOOKUP(B273,TRAOPE!$A:$U,21,0)),"")</f>
        <v/>
      </c>
      <c r="R273" s="8">
        <f>IFERROR(IFERROR(VLOOKUP(A273,TRAOPE!$A:$W,23,0),VLOOKUP(B273,TRAOPE!$A:$W,23,0)),"")</f>
        <v/>
      </c>
      <c r="S273" s="10">
        <f>IF(AND(P273="TN",R273="TN"),N273+N(O273),IF(G273&amp;""="1",N(K273)*N273,(N273+N(O273))*N(K273)))</f>
        <v/>
      </c>
      <c r="T273" s="10">
        <f>IF(Q273="","",Q273-S273)</f>
        <v/>
      </c>
    </row>
    <row r="274">
      <c r="A274" s="7">
        <f>CONCATENATE(C274,E274,F274,I274)</f>
        <v/>
      </c>
      <c r="B274" s="7">
        <f>CONCATENATE(C274,E274,I274)</f>
        <v/>
      </c>
      <c r="C274" s="8" t="n">
        <v>900004166</v>
      </c>
      <c r="D274" s="7">
        <f>IFERROR(VLOOKUP(C274,TRAOPE!$G:$H,2,0),"")</f>
        <v/>
      </c>
      <c r="E274" s="8" t="inlineStr">
        <is>
          <t>DW68</t>
        </is>
      </c>
      <c r="F274" s="8" t="inlineStr">
        <is>
          <t>D264</t>
        </is>
      </c>
      <c r="G274" s="8">
        <f>IFERROR(VLOOKUP(A274,Flete!$A:$E,5,0),"")</f>
        <v/>
      </c>
      <c r="H274" s="7">
        <f>IFERROR(VLOOKUP(F274,TRAOPE!$AA:$AB,2,0),"")</f>
        <v/>
      </c>
      <c r="I274" s="7" t="n">
        <v>10034701</v>
      </c>
      <c r="J274" s="7">
        <f>IFERROR(VLOOKUP(I274,Materiales!$A:$H,8,0),"")</f>
        <v/>
      </c>
      <c r="K274" s="9">
        <f>IFERROR(VLOOKUP(I274,Materiales!$A:$G,7,0),"")</f>
        <v/>
      </c>
      <c r="L274" s="8" t="inlineStr">
        <is>
          <t>20230629</t>
        </is>
      </c>
      <c r="M274" s="8" t="inlineStr">
        <is>
          <t>20251031</t>
        </is>
      </c>
      <c r="N274" s="10" t="n">
        <v>181.82</v>
      </c>
      <c r="O274" s="10">
        <f>IFERROR(VLOOKUP(A274,Flete!$A:$J,10,0),"")</f>
        <v/>
      </c>
      <c r="P274" s="8" t="inlineStr">
        <is>
          <t>TN</t>
        </is>
      </c>
      <c r="Q274" s="10">
        <f>IFERROR(IFERROR(VLOOKUP(A274,TRAOPE!$A:$U,21,0),VLOOKUP(B274,TRAOPE!$A:$U,21,0)),"")</f>
        <v/>
      </c>
      <c r="R274" s="8">
        <f>IFERROR(IFERROR(VLOOKUP(A274,TRAOPE!$A:$W,23,0),VLOOKUP(B274,TRAOPE!$A:$W,23,0)),"")</f>
        <v/>
      </c>
      <c r="S274" s="10">
        <f>IF(AND(P274="TN",R274="TN"),N274+N(O274),IF(G274&amp;""="1",N(K274)*N274,(N274+N(O274))*N(K274)))</f>
        <v/>
      </c>
      <c r="T274" s="10">
        <f>IF(Q274="","",Q274-S274)</f>
        <v/>
      </c>
    </row>
    <row r="275">
      <c r="A275" s="7">
        <f>CONCATENATE(C275,E275,F275,I275)</f>
        <v/>
      </c>
      <c r="B275" s="7">
        <f>CONCATENATE(C275,E275,I275)</f>
        <v/>
      </c>
      <c r="C275" s="8" t="n">
        <v>900004166</v>
      </c>
      <c r="D275" s="7">
        <f>IFERROR(VLOOKUP(C275,TRAOPE!$G:$H,2,0),"")</f>
        <v/>
      </c>
      <c r="E275" s="8" t="inlineStr">
        <is>
          <t>DW68</t>
        </is>
      </c>
      <c r="F275" s="8" t="inlineStr">
        <is>
          <t>D264</t>
        </is>
      </c>
      <c r="G275" s="8">
        <f>IFERROR(VLOOKUP(A275,Flete!$A:$E,5,0),"")</f>
        <v/>
      </c>
      <c r="H275" s="7">
        <f>IFERROR(VLOOKUP(F275,TRAOPE!$AA:$AB,2,0),"")</f>
        <v/>
      </c>
      <c r="I275" s="7" t="n">
        <v>10035053</v>
      </c>
      <c r="J275" s="7">
        <f>IFERROR(VLOOKUP(I275,Materiales!$A:$H,8,0),"")</f>
        <v/>
      </c>
      <c r="K275" s="9">
        <f>IFERROR(VLOOKUP(I275,Materiales!$A:$G,7,0),"")</f>
        <v/>
      </c>
      <c r="L275" s="8" t="inlineStr">
        <is>
          <t>20230629</t>
        </is>
      </c>
      <c r="M275" s="8" t="inlineStr">
        <is>
          <t>20251031</t>
        </is>
      </c>
      <c r="N275" s="10" t="n">
        <v>125.65</v>
      </c>
      <c r="O275" s="10">
        <f>IFERROR(VLOOKUP(A275,Flete!$A:$J,10,0),"")</f>
        <v/>
      </c>
      <c r="P275" s="8" t="inlineStr">
        <is>
          <t>TN</t>
        </is>
      </c>
      <c r="Q275" s="10">
        <f>IFERROR(IFERROR(VLOOKUP(A275,TRAOPE!$A:$U,21,0),VLOOKUP(B275,TRAOPE!$A:$U,21,0)),"")</f>
        <v/>
      </c>
      <c r="R275" s="8">
        <f>IFERROR(IFERROR(VLOOKUP(A275,TRAOPE!$A:$W,23,0),VLOOKUP(B275,TRAOPE!$A:$W,23,0)),"")</f>
        <v/>
      </c>
      <c r="S275" s="10">
        <f>IF(AND(P275="TN",R275="TN"),N275+N(O275),IF(G275&amp;""="1",N(K275)*N275,(N275+N(O275))*N(K275)))</f>
        <v/>
      </c>
      <c r="T275" s="10">
        <f>IF(Q275="","",Q275-S275)</f>
        <v/>
      </c>
    </row>
    <row r="276">
      <c r="A276" s="7">
        <f>CONCATENATE(C276,E276,F276,I276)</f>
        <v/>
      </c>
      <c r="B276" s="7">
        <f>CONCATENATE(C276,E276,I276)</f>
        <v/>
      </c>
      <c r="C276" s="8" t="n">
        <v>900004166</v>
      </c>
      <c r="D276" s="7">
        <f>IFERROR(VLOOKUP(C276,TRAOPE!$G:$H,2,0),"")</f>
        <v/>
      </c>
      <c r="E276" s="8" t="inlineStr">
        <is>
          <t>DW68</t>
        </is>
      </c>
      <c r="F276" s="8" t="inlineStr">
        <is>
          <t>D264</t>
        </is>
      </c>
      <c r="G276" s="8">
        <f>IFERROR(VLOOKUP(A276,Flete!$A:$E,5,0),"")</f>
        <v/>
      </c>
      <c r="H276" s="7">
        <f>IFERROR(VLOOKUP(F276,TRAOPE!$AA:$AB,2,0),"")</f>
        <v/>
      </c>
      <c r="I276" s="7" t="n">
        <v>10110630</v>
      </c>
      <c r="J276" s="7">
        <f>IFERROR(VLOOKUP(I276,Materiales!$A:$H,8,0),"")</f>
        <v/>
      </c>
      <c r="K276" s="9">
        <f>IFERROR(VLOOKUP(I276,Materiales!$A:$G,7,0),"")</f>
        <v/>
      </c>
      <c r="L276" s="8" t="inlineStr">
        <is>
          <t>20230629</t>
        </is>
      </c>
      <c r="M276" s="8" t="inlineStr">
        <is>
          <t>20251031</t>
        </is>
      </c>
      <c r="N276" s="10" t="n">
        <v>165.84</v>
      </c>
      <c r="O276" s="10">
        <f>IFERROR(VLOOKUP(A276,Flete!$A:$J,10,0),"")</f>
        <v/>
      </c>
      <c r="P276" s="8" t="inlineStr">
        <is>
          <t>TN</t>
        </is>
      </c>
      <c r="Q276" s="10">
        <f>IFERROR(IFERROR(VLOOKUP(A276,TRAOPE!$A:$U,21,0),VLOOKUP(B276,TRAOPE!$A:$U,21,0)),"")</f>
        <v/>
      </c>
      <c r="R276" s="8">
        <f>IFERROR(IFERROR(VLOOKUP(A276,TRAOPE!$A:$W,23,0),VLOOKUP(B276,TRAOPE!$A:$W,23,0)),"")</f>
        <v/>
      </c>
      <c r="S276" s="10">
        <f>IF(AND(P276="TN",R276="TN"),N276+N(O276),IF(G276&amp;""="1",N(K276)*N276,(N276+N(O276))*N(K276)))</f>
        <v/>
      </c>
      <c r="T276" s="10">
        <f>IF(Q276="","",Q276-S276)</f>
        <v/>
      </c>
    </row>
    <row r="277">
      <c r="A277" s="7">
        <f>CONCATENATE(C277,E277,F277,I277)</f>
        <v/>
      </c>
      <c r="B277" s="7">
        <f>CONCATENATE(C277,E277,I277)</f>
        <v/>
      </c>
      <c r="C277" s="8" t="n">
        <v>900004166</v>
      </c>
      <c r="D277" s="7">
        <f>IFERROR(VLOOKUP(C277,TRAOPE!$G:$H,2,0),"")</f>
        <v/>
      </c>
      <c r="E277" s="8" t="inlineStr">
        <is>
          <t>DW68</t>
        </is>
      </c>
      <c r="F277" s="8" t="inlineStr">
        <is>
          <t>D264</t>
        </is>
      </c>
      <c r="G277" s="8">
        <f>IFERROR(VLOOKUP(A277,Flete!$A:$E,5,0),"")</f>
        <v/>
      </c>
      <c r="H277" s="7">
        <f>IFERROR(VLOOKUP(F277,TRAOPE!$AA:$AB,2,0),"")</f>
        <v/>
      </c>
      <c r="I277" s="7" t="n">
        <v>10132394</v>
      </c>
      <c r="J277" s="7">
        <f>IFERROR(VLOOKUP(I277,Materiales!$A:$H,8,0),"")</f>
        <v/>
      </c>
      <c r="K277" s="9">
        <f>IFERROR(VLOOKUP(I277,Materiales!$A:$G,7,0),"")</f>
        <v/>
      </c>
      <c r="L277" s="8" t="inlineStr">
        <is>
          <t>20230629</t>
        </is>
      </c>
      <c r="M277" s="8" t="inlineStr">
        <is>
          <t>20251031</t>
        </is>
      </c>
      <c r="N277" s="10" t="n">
        <v>120.34</v>
      </c>
      <c r="O277" s="10">
        <f>IFERROR(VLOOKUP(A277,Flete!$A:$J,10,0),"")</f>
        <v/>
      </c>
      <c r="P277" s="8" t="inlineStr">
        <is>
          <t>TN</t>
        </is>
      </c>
      <c r="Q277" s="10">
        <f>IFERROR(IFERROR(VLOOKUP(A277,TRAOPE!$A:$U,21,0),VLOOKUP(B277,TRAOPE!$A:$U,21,0)),"")</f>
        <v/>
      </c>
      <c r="R277" s="8">
        <f>IFERROR(IFERROR(VLOOKUP(A277,TRAOPE!$A:$W,23,0),VLOOKUP(B277,TRAOPE!$A:$W,23,0)),"")</f>
        <v/>
      </c>
      <c r="S277" s="10">
        <f>IF(AND(P277="TN",R277="TN"),N277+N(O277),IF(G277&amp;""="1",N(K277)*N277,(N277+N(O277))*N(K277)))</f>
        <v/>
      </c>
      <c r="T277" s="10">
        <f>IF(Q277="","",Q277-S277)</f>
        <v/>
      </c>
    </row>
    <row r="278">
      <c r="A278" s="7">
        <f>CONCATENATE(C278,E278,F278,I278)</f>
        <v/>
      </c>
      <c r="B278" s="7">
        <f>CONCATENATE(C278,E278,I278)</f>
        <v/>
      </c>
      <c r="C278" s="8" t="n">
        <v>900004166</v>
      </c>
      <c r="D278" s="7">
        <f>IFERROR(VLOOKUP(C278,TRAOPE!$G:$H,2,0),"")</f>
        <v/>
      </c>
      <c r="E278" s="8" t="inlineStr">
        <is>
          <t>DW68</t>
        </is>
      </c>
      <c r="F278" s="8" t="inlineStr">
        <is>
          <t>D267</t>
        </is>
      </c>
      <c r="G278" s="8">
        <f>IFERROR(VLOOKUP(A278,Flete!$A:$E,5,0),"")</f>
        <v/>
      </c>
      <c r="H278" s="7">
        <f>IFERROR(VLOOKUP(F278,TRAOPE!$AA:$AB,2,0),"")</f>
        <v/>
      </c>
      <c r="I278" s="7" t="n">
        <v>10000384</v>
      </c>
      <c r="J278" s="7">
        <f>IFERROR(VLOOKUP(I278,Materiales!$A:$H,8,0),"")</f>
        <v/>
      </c>
      <c r="K278" s="9">
        <f>IFERROR(VLOOKUP(I278,Materiales!$A:$G,7,0),"")</f>
        <v/>
      </c>
      <c r="L278" s="8" t="inlineStr">
        <is>
          <t>20230629</t>
        </is>
      </c>
      <c r="M278" s="8" t="inlineStr">
        <is>
          <t>20251031</t>
        </is>
      </c>
      <c r="N278" s="10" t="n">
        <v>204.97</v>
      </c>
      <c r="O278" s="10">
        <f>IFERROR(VLOOKUP(A278,Flete!$A:$J,10,0),"")</f>
        <v/>
      </c>
      <c r="P278" s="8" t="inlineStr">
        <is>
          <t>TN</t>
        </is>
      </c>
      <c r="Q278" s="10">
        <f>IFERROR(IFERROR(VLOOKUP(A278,TRAOPE!$A:$U,21,0),VLOOKUP(B278,TRAOPE!$A:$U,21,0)),"")</f>
        <v/>
      </c>
      <c r="R278" s="8">
        <f>IFERROR(IFERROR(VLOOKUP(A278,TRAOPE!$A:$W,23,0),VLOOKUP(B278,TRAOPE!$A:$W,23,0)),"")</f>
        <v/>
      </c>
      <c r="S278" s="10">
        <f>IF(AND(P278="TN",R278="TN"),N278+N(O278),IF(G278&amp;""="1",N(K278)*N278,(N278+N(O278))*N(K278)))</f>
        <v/>
      </c>
      <c r="T278" s="10">
        <f>IF(Q278="","",Q278-S278)</f>
        <v/>
      </c>
    </row>
    <row r="279">
      <c r="A279" s="7">
        <f>CONCATENATE(C279,E279,F279,I279)</f>
        <v/>
      </c>
      <c r="B279" s="7">
        <f>CONCATENATE(C279,E279,I279)</f>
        <v/>
      </c>
      <c r="C279" s="8" t="n">
        <v>900004166</v>
      </c>
      <c r="D279" s="7">
        <f>IFERROR(VLOOKUP(C279,TRAOPE!$G:$H,2,0),"")</f>
        <v/>
      </c>
      <c r="E279" s="8" t="inlineStr">
        <is>
          <t>DW68</t>
        </is>
      </c>
      <c r="F279" s="8" t="inlineStr">
        <is>
          <t>D267</t>
        </is>
      </c>
      <c r="G279" s="8">
        <f>IFERROR(VLOOKUP(A279,Flete!$A:$E,5,0),"")</f>
        <v/>
      </c>
      <c r="H279" s="7">
        <f>IFERROR(VLOOKUP(F279,TRAOPE!$AA:$AB,2,0),"")</f>
        <v/>
      </c>
      <c r="I279" s="7" t="n">
        <v>10004258</v>
      </c>
      <c r="J279" s="7">
        <f>IFERROR(VLOOKUP(I279,Materiales!$A:$H,8,0),"")</f>
        <v/>
      </c>
      <c r="K279" s="9">
        <f>IFERROR(VLOOKUP(I279,Materiales!$A:$G,7,0),"")</f>
        <v/>
      </c>
      <c r="L279" s="8" t="inlineStr">
        <is>
          <t>20230629</t>
        </is>
      </c>
      <c r="M279" s="8" t="inlineStr">
        <is>
          <t>20251031</t>
        </is>
      </c>
      <c r="N279" s="10" t="n">
        <v>313.73</v>
      </c>
      <c r="O279" s="10">
        <f>IFERROR(VLOOKUP(A279,Flete!$A:$J,10,0),"")</f>
        <v/>
      </c>
      <c r="P279" s="8" t="inlineStr">
        <is>
          <t>TN</t>
        </is>
      </c>
      <c r="Q279" s="10">
        <f>IFERROR(IFERROR(VLOOKUP(A279,TRAOPE!$A:$U,21,0),VLOOKUP(B279,TRAOPE!$A:$U,21,0)),"")</f>
        <v/>
      </c>
      <c r="R279" s="8">
        <f>IFERROR(IFERROR(VLOOKUP(A279,TRAOPE!$A:$W,23,0),VLOOKUP(B279,TRAOPE!$A:$W,23,0)),"")</f>
        <v/>
      </c>
      <c r="S279" s="10">
        <f>IF(AND(P279="TN",R279="TN"),N279+N(O279),IF(G279&amp;""="1",N(K279)*N279,(N279+N(O279))*N(K279)))</f>
        <v/>
      </c>
      <c r="T279" s="10">
        <f>IF(Q279="","",Q279-S279)</f>
        <v/>
      </c>
    </row>
    <row r="280">
      <c r="A280" s="7">
        <f>CONCATENATE(C280,E280,F280,I280)</f>
        <v/>
      </c>
      <c r="B280" s="7">
        <f>CONCATENATE(C280,E280,I280)</f>
        <v/>
      </c>
      <c r="C280" s="8" t="n">
        <v>900004166</v>
      </c>
      <c r="D280" s="7">
        <f>IFERROR(VLOOKUP(C280,TRAOPE!$G:$H,2,0),"")</f>
        <v/>
      </c>
      <c r="E280" s="8" t="inlineStr">
        <is>
          <t>DW68</t>
        </is>
      </c>
      <c r="F280" s="8" t="inlineStr">
        <is>
          <t>D267</t>
        </is>
      </c>
      <c r="G280" s="8">
        <f>IFERROR(VLOOKUP(A280,Flete!$A:$E,5,0),"")</f>
        <v/>
      </c>
      <c r="H280" s="7">
        <f>IFERROR(VLOOKUP(F280,TRAOPE!$AA:$AB,2,0),"")</f>
        <v/>
      </c>
      <c r="I280" s="7" t="n">
        <v>10034701</v>
      </c>
      <c r="J280" s="7">
        <f>IFERROR(VLOOKUP(I280,Materiales!$A:$H,8,0),"")</f>
        <v/>
      </c>
      <c r="K280" s="9">
        <f>IFERROR(VLOOKUP(I280,Materiales!$A:$G,7,0),"")</f>
        <v/>
      </c>
      <c r="L280" s="8" t="inlineStr">
        <is>
          <t>20230629</t>
        </is>
      </c>
      <c r="M280" s="8" t="inlineStr">
        <is>
          <t>20251031</t>
        </is>
      </c>
      <c r="N280" s="10" t="n">
        <v>181.82</v>
      </c>
      <c r="O280" s="10">
        <f>IFERROR(VLOOKUP(A280,Flete!$A:$J,10,0),"")</f>
        <v/>
      </c>
      <c r="P280" s="8" t="inlineStr">
        <is>
          <t>TN</t>
        </is>
      </c>
      <c r="Q280" s="10">
        <f>IFERROR(IFERROR(VLOOKUP(A280,TRAOPE!$A:$U,21,0),VLOOKUP(B280,TRAOPE!$A:$U,21,0)),"")</f>
        <v/>
      </c>
      <c r="R280" s="8">
        <f>IFERROR(IFERROR(VLOOKUP(A280,TRAOPE!$A:$W,23,0),VLOOKUP(B280,TRAOPE!$A:$W,23,0)),"")</f>
        <v/>
      </c>
      <c r="S280" s="10">
        <f>IF(AND(P280="TN",R280="TN"),N280+N(O280),IF(G280&amp;""="1",N(K280)*N280,(N280+N(O280))*N(K280)))</f>
        <v/>
      </c>
      <c r="T280" s="10">
        <f>IF(Q280="","",Q280-S280)</f>
        <v/>
      </c>
    </row>
    <row r="281">
      <c r="A281" s="7">
        <f>CONCATENATE(C281,E281,F281,I281)</f>
        <v/>
      </c>
      <c r="B281" s="7">
        <f>CONCATENATE(C281,E281,I281)</f>
        <v/>
      </c>
      <c r="C281" s="8" t="n">
        <v>900004166</v>
      </c>
      <c r="D281" s="7">
        <f>IFERROR(VLOOKUP(C281,TRAOPE!$G:$H,2,0),"")</f>
        <v/>
      </c>
      <c r="E281" s="8" t="inlineStr">
        <is>
          <t>DW68</t>
        </is>
      </c>
      <c r="F281" s="8" t="inlineStr">
        <is>
          <t>D267</t>
        </is>
      </c>
      <c r="G281" s="8">
        <f>IFERROR(VLOOKUP(A281,Flete!$A:$E,5,0),"")</f>
        <v/>
      </c>
      <c r="H281" s="7">
        <f>IFERROR(VLOOKUP(F281,TRAOPE!$AA:$AB,2,0),"")</f>
        <v/>
      </c>
      <c r="I281" s="7" t="n">
        <v>10035053</v>
      </c>
      <c r="J281" s="7">
        <f>IFERROR(VLOOKUP(I281,Materiales!$A:$H,8,0),"")</f>
        <v/>
      </c>
      <c r="K281" s="9">
        <f>IFERROR(VLOOKUP(I281,Materiales!$A:$G,7,0),"")</f>
        <v/>
      </c>
      <c r="L281" s="8" t="inlineStr">
        <is>
          <t>20230629</t>
        </is>
      </c>
      <c r="M281" s="8" t="inlineStr">
        <is>
          <t>20251031</t>
        </is>
      </c>
      <c r="N281" s="10" t="n">
        <v>125.65</v>
      </c>
      <c r="O281" s="10">
        <f>IFERROR(VLOOKUP(A281,Flete!$A:$J,10,0),"")</f>
        <v/>
      </c>
      <c r="P281" s="8" t="inlineStr">
        <is>
          <t>TN</t>
        </is>
      </c>
      <c r="Q281" s="10">
        <f>IFERROR(IFERROR(VLOOKUP(A281,TRAOPE!$A:$U,21,0),VLOOKUP(B281,TRAOPE!$A:$U,21,0)),"")</f>
        <v/>
      </c>
      <c r="R281" s="8">
        <f>IFERROR(IFERROR(VLOOKUP(A281,TRAOPE!$A:$W,23,0),VLOOKUP(B281,TRAOPE!$A:$W,23,0)),"")</f>
        <v/>
      </c>
      <c r="S281" s="10">
        <f>IF(AND(P281="TN",R281="TN"),N281+N(O281),IF(G281&amp;""="1",N(K281)*N281,(N281+N(O281))*N(K281)))</f>
        <v/>
      </c>
      <c r="T281" s="10">
        <f>IF(Q281="","",Q281-S281)</f>
        <v/>
      </c>
    </row>
    <row r="282">
      <c r="A282" s="7">
        <f>CONCATENATE(C282,E282,F282,I282)</f>
        <v/>
      </c>
      <c r="B282" s="7">
        <f>CONCATENATE(C282,E282,I282)</f>
        <v/>
      </c>
      <c r="C282" s="8" t="n">
        <v>900004166</v>
      </c>
      <c r="D282" s="7">
        <f>IFERROR(VLOOKUP(C282,TRAOPE!$G:$H,2,0),"")</f>
        <v/>
      </c>
      <c r="E282" s="8" t="inlineStr">
        <is>
          <t>DW68</t>
        </is>
      </c>
      <c r="F282" s="8" t="inlineStr">
        <is>
          <t>D267</t>
        </is>
      </c>
      <c r="G282" s="8">
        <f>IFERROR(VLOOKUP(A282,Flete!$A:$E,5,0),"")</f>
        <v/>
      </c>
      <c r="H282" s="7">
        <f>IFERROR(VLOOKUP(F282,TRAOPE!$AA:$AB,2,0),"")</f>
        <v/>
      </c>
      <c r="I282" s="7" t="n">
        <v>10110630</v>
      </c>
      <c r="J282" s="7">
        <f>IFERROR(VLOOKUP(I282,Materiales!$A:$H,8,0),"")</f>
        <v/>
      </c>
      <c r="K282" s="9">
        <f>IFERROR(VLOOKUP(I282,Materiales!$A:$G,7,0),"")</f>
        <v/>
      </c>
      <c r="L282" s="8" t="inlineStr">
        <is>
          <t>20230629</t>
        </is>
      </c>
      <c r="M282" s="8" t="inlineStr">
        <is>
          <t>20251031</t>
        </is>
      </c>
      <c r="N282" s="10" t="n">
        <v>165.84</v>
      </c>
      <c r="O282" s="10">
        <f>IFERROR(VLOOKUP(A282,Flete!$A:$J,10,0),"")</f>
        <v/>
      </c>
      <c r="P282" s="8" t="inlineStr">
        <is>
          <t>TN</t>
        </is>
      </c>
      <c r="Q282" s="10">
        <f>IFERROR(IFERROR(VLOOKUP(A282,TRAOPE!$A:$U,21,0),VLOOKUP(B282,TRAOPE!$A:$U,21,0)),"")</f>
        <v/>
      </c>
      <c r="R282" s="8">
        <f>IFERROR(IFERROR(VLOOKUP(A282,TRAOPE!$A:$W,23,0),VLOOKUP(B282,TRAOPE!$A:$W,23,0)),"")</f>
        <v/>
      </c>
      <c r="S282" s="10">
        <f>IF(AND(P282="TN",R282="TN"),N282+N(O282),IF(G282&amp;""="1",N(K282)*N282,(N282+N(O282))*N(K282)))</f>
        <v/>
      </c>
      <c r="T282" s="10">
        <f>IF(Q282="","",Q282-S282)</f>
        <v/>
      </c>
    </row>
    <row r="283">
      <c r="A283" s="7">
        <f>CONCATENATE(C283,E283,F283,I283)</f>
        <v/>
      </c>
      <c r="B283" s="7">
        <f>CONCATENATE(C283,E283,I283)</f>
        <v/>
      </c>
      <c r="C283" s="8" t="n">
        <v>900004166</v>
      </c>
      <c r="D283" s="7">
        <f>IFERROR(VLOOKUP(C283,TRAOPE!$G:$H,2,0),"")</f>
        <v/>
      </c>
      <c r="E283" s="8" t="inlineStr">
        <is>
          <t>DW68</t>
        </is>
      </c>
      <c r="F283" s="8" t="inlineStr">
        <is>
          <t>D267</t>
        </is>
      </c>
      <c r="G283" s="8">
        <f>IFERROR(VLOOKUP(A283,Flete!$A:$E,5,0),"")</f>
        <v/>
      </c>
      <c r="H283" s="7">
        <f>IFERROR(VLOOKUP(F283,TRAOPE!$AA:$AB,2,0),"")</f>
        <v/>
      </c>
      <c r="I283" s="7" t="n">
        <v>10132394</v>
      </c>
      <c r="J283" s="7">
        <f>IFERROR(VLOOKUP(I283,Materiales!$A:$H,8,0),"")</f>
        <v/>
      </c>
      <c r="K283" s="9">
        <f>IFERROR(VLOOKUP(I283,Materiales!$A:$G,7,0),"")</f>
        <v/>
      </c>
      <c r="L283" s="8" t="inlineStr">
        <is>
          <t>20230629</t>
        </is>
      </c>
      <c r="M283" s="8" t="inlineStr">
        <is>
          <t>20251031</t>
        </is>
      </c>
      <c r="N283" s="10" t="n">
        <v>120.34</v>
      </c>
      <c r="O283" s="10">
        <f>IFERROR(VLOOKUP(A283,Flete!$A:$J,10,0),"")</f>
        <v/>
      </c>
      <c r="P283" s="8" t="inlineStr">
        <is>
          <t>TN</t>
        </is>
      </c>
      <c r="Q283" s="10">
        <f>IFERROR(IFERROR(VLOOKUP(A283,TRAOPE!$A:$U,21,0),VLOOKUP(B283,TRAOPE!$A:$U,21,0)),"")</f>
        <v/>
      </c>
      <c r="R283" s="8">
        <f>IFERROR(IFERROR(VLOOKUP(A283,TRAOPE!$A:$W,23,0),VLOOKUP(B283,TRAOPE!$A:$W,23,0)),"")</f>
        <v/>
      </c>
      <c r="S283" s="10">
        <f>IF(AND(P283="TN",R283="TN"),N283+N(O283),IF(G283&amp;""="1",N(K283)*N283,(N283+N(O283))*N(K283)))</f>
        <v/>
      </c>
      <c r="T283" s="10">
        <f>IF(Q283="","",Q283-S283)</f>
        <v/>
      </c>
    </row>
    <row r="284">
      <c r="A284" s="7">
        <f>CONCATENATE(C284,E284,F284,I284)</f>
        <v/>
      </c>
      <c r="B284" s="7">
        <f>CONCATENATE(C284,E284,I284)</f>
        <v/>
      </c>
      <c r="C284" s="8" t="n">
        <v>900004166</v>
      </c>
      <c r="D284" s="7">
        <f>IFERROR(VLOOKUP(C284,TRAOPE!$G:$H,2,0),"")</f>
        <v/>
      </c>
      <c r="E284" s="8" t="inlineStr">
        <is>
          <t>DW68</t>
        </is>
      </c>
      <c r="F284" s="8" t="inlineStr">
        <is>
          <t>DD58</t>
        </is>
      </c>
      <c r="G284" s="8">
        <f>IFERROR(VLOOKUP(A284,Flete!$A:$E,5,0),"")</f>
        <v/>
      </c>
      <c r="H284" s="7">
        <f>IFERROR(VLOOKUP(F284,TRAOPE!$AA:$AB,2,0),"")</f>
        <v/>
      </c>
      <c r="I284" s="7" t="n">
        <v>10000726</v>
      </c>
      <c r="J284" s="7">
        <f>IFERROR(VLOOKUP(I284,Materiales!$A:$H,8,0),"")</f>
        <v/>
      </c>
      <c r="K284" s="9">
        <f>IFERROR(VLOOKUP(I284,Materiales!$A:$G,7,0),"")</f>
        <v/>
      </c>
      <c r="L284" s="8" t="inlineStr">
        <is>
          <t>20230926</t>
        </is>
      </c>
      <c r="M284" s="8" t="inlineStr">
        <is>
          <t>20230926</t>
        </is>
      </c>
      <c r="N284" s="10" t="n">
        <v>375.09</v>
      </c>
      <c r="O284" s="10">
        <f>IFERROR(VLOOKUP(A284,Flete!$A:$J,10,0),"")</f>
        <v/>
      </c>
      <c r="P284" s="8" t="inlineStr">
        <is>
          <t>TN</t>
        </is>
      </c>
      <c r="Q284" s="10">
        <f>IFERROR(IFERROR(VLOOKUP(A284,TRAOPE!$A:$U,21,0),VLOOKUP(B284,TRAOPE!$A:$U,21,0)),"")</f>
        <v/>
      </c>
      <c r="R284" s="8">
        <f>IFERROR(IFERROR(VLOOKUP(A284,TRAOPE!$A:$W,23,0),VLOOKUP(B284,TRAOPE!$A:$W,23,0)),"")</f>
        <v/>
      </c>
      <c r="S284" s="10">
        <f>IF(AND(P284="TN",R284="TN"),N284+N(O284),IF(G284&amp;""="1",N(K284)*N284,(N284+N(O284))*N(K284)))</f>
        <v/>
      </c>
      <c r="T284" s="10">
        <f>IF(Q284="","",Q284-S284)</f>
        <v/>
      </c>
    </row>
    <row r="285">
      <c r="A285" s="7">
        <f>CONCATENATE(C285,E285,F285,I285)</f>
        <v/>
      </c>
      <c r="B285" s="7">
        <f>CONCATENATE(C285,E285,I285)</f>
        <v/>
      </c>
      <c r="C285" s="8" t="n">
        <v>900004356</v>
      </c>
      <c r="D285" s="7">
        <f>IFERROR(VLOOKUP(C285,TRAOPE!$G:$H,2,0),"")</f>
        <v/>
      </c>
      <c r="E285" s="8" t="inlineStr">
        <is>
          <t>DW68</t>
        </is>
      </c>
      <c r="F285" s="8" t="inlineStr">
        <is>
          <t>D042</t>
        </is>
      </c>
      <c r="G285" s="8">
        <f>IFERROR(VLOOKUP(A285,Flete!$A:$E,5,0),"")</f>
        <v/>
      </c>
      <c r="H285" s="7">
        <f>IFERROR(VLOOKUP(F285,TRAOPE!$AA:$AB,2,0),"")</f>
        <v/>
      </c>
      <c r="I285" s="7" t="n">
        <v>10000191</v>
      </c>
      <c r="J285" s="7">
        <f>IFERROR(VLOOKUP(I285,Materiales!$A:$H,8,0),"")</f>
        <v/>
      </c>
      <c r="K285" s="9">
        <f>IFERROR(VLOOKUP(I285,Materiales!$A:$G,7,0),"")</f>
        <v/>
      </c>
      <c r="L285" s="8" t="inlineStr">
        <is>
          <t>20220516</t>
        </is>
      </c>
      <c r="M285" s="8" t="inlineStr">
        <is>
          <t>20250219</t>
        </is>
      </c>
      <c r="N285" s="10" t="n">
        <v>100.71</v>
      </c>
      <c r="O285" s="10">
        <f>IFERROR(VLOOKUP(A285,Flete!$A:$J,10,0),"")</f>
        <v/>
      </c>
      <c r="P285" s="8" t="inlineStr">
        <is>
          <t>TN</t>
        </is>
      </c>
      <c r="Q285" s="10">
        <f>IFERROR(IFERROR(VLOOKUP(A285,TRAOPE!$A:$U,21,0),VLOOKUP(B285,TRAOPE!$A:$U,21,0)),"")</f>
        <v/>
      </c>
      <c r="R285" s="8">
        <f>IFERROR(IFERROR(VLOOKUP(A285,TRAOPE!$A:$W,23,0),VLOOKUP(B285,TRAOPE!$A:$W,23,0)),"")</f>
        <v/>
      </c>
      <c r="S285" s="10">
        <f>IF(AND(P285="TN",R285="TN"),N285+N(O285),IF(G285&amp;""="1",N(K285)*N285,(N285+N(O285))*N(K285)))</f>
        <v/>
      </c>
      <c r="T285" s="10">
        <f>IF(Q285="","",Q285-S285)</f>
        <v/>
      </c>
    </row>
    <row r="286">
      <c r="A286" s="7">
        <f>CONCATENATE(C286,E286,F286,I286)</f>
        <v/>
      </c>
      <c r="B286" s="7">
        <f>CONCATENATE(C286,E286,I286)</f>
        <v/>
      </c>
      <c r="C286" s="8" t="n">
        <v>900004356</v>
      </c>
      <c r="D286" s="7">
        <f>IFERROR(VLOOKUP(C286,TRAOPE!$G:$H,2,0),"")</f>
        <v/>
      </c>
      <c r="E286" s="8" t="inlineStr">
        <is>
          <t>DW68</t>
        </is>
      </c>
      <c r="F286" s="8" t="inlineStr">
        <is>
          <t>D042</t>
        </is>
      </c>
      <c r="G286" s="8">
        <f>IFERROR(VLOOKUP(A286,Flete!$A:$E,5,0),"")</f>
        <v/>
      </c>
      <c r="H286" s="7">
        <f>IFERROR(VLOOKUP(F286,TRAOPE!$AA:$AB,2,0),"")</f>
        <v/>
      </c>
      <c r="I286" s="7" t="n">
        <v>10000388</v>
      </c>
      <c r="J286" s="7">
        <f>IFERROR(VLOOKUP(I286,Materiales!$A:$H,8,0),"")</f>
        <v/>
      </c>
      <c r="K286" s="9">
        <f>IFERROR(VLOOKUP(I286,Materiales!$A:$G,7,0),"")</f>
        <v/>
      </c>
      <c r="L286" s="8" t="inlineStr">
        <is>
          <t>20250301</t>
        </is>
      </c>
      <c r="M286" s="8" t="inlineStr">
        <is>
          <t>20250708</t>
        </is>
      </c>
      <c r="N286" s="10" t="n">
        <v>167.99</v>
      </c>
      <c r="O286" s="10">
        <f>IFERROR(VLOOKUP(A286,Flete!$A:$J,10,0),"")</f>
        <v/>
      </c>
      <c r="P286" s="8" t="inlineStr">
        <is>
          <t>TN</t>
        </is>
      </c>
      <c r="Q286" s="10">
        <f>IFERROR(IFERROR(VLOOKUP(A286,TRAOPE!$A:$U,21,0),VLOOKUP(B286,TRAOPE!$A:$U,21,0)),"")</f>
        <v/>
      </c>
      <c r="R286" s="8">
        <f>IFERROR(IFERROR(VLOOKUP(A286,TRAOPE!$A:$W,23,0),VLOOKUP(B286,TRAOPE!$A:$W,23,0)),"")</f>
        <v/>
      </c>
      <c r="S286" s="10">
        <f>IF(AND(P286="TN",R286="TN"),N286+N(O286),IF(G286&amp;""="1",N(K286)*N286,(N286+N(O286))*N(K286)))</f>
        <v/>
      </c>
      <c r="T286" s="10">
        <f>IF(Q286="","",Q286-S286)</f>
        <v/>
      </c>
    </row>
    <row r="287">
      <c r="A287" s="7">
        <f>CONCATENATE(C287,E287,F287,I287)</f>
        <v/>
      </c>
      <c r="B287" s="7">
        <f>CONCATENATE(C287,E287,I287)</f>
        <v/>
      </c>
      <c r="C287" s="8" t="n">
        <v>900004356</v>
      </c>
      <c r="D287" s="7">
        <f>IFERROR(VLOOKUP(C287,TRAOPE!$G:$H,2,0),"")</f>
        <v/>
      </c>
      <c r="E287" s="8" t="inlineStr">
        <is>
          <t>DW68</t>
        </is>
      </c>
      <c r="F287" s="8" t="inlineStr">
        <is>
          <t>D042</t>
        </is>
      </c>
      <c r="G287" s="8">
        <f>IFERROR(VLOOKUP(A287,Flete!$A:$E,5,0),"")</f>
        <v/>
      </c>
      <c r="H287" s="7">
        <f>IFERROR(VLOOKUP(F287,TRAOPE!$AA:$AB,2,0),"")</f>
        <v/>
      </c>
      <c r="I287" s="7" t="n">
        <v>10000437</v>
      </c>
      <c r="J287" s="7">
        <f>IFERROR(VLOOKUP(I287,Materiales!$A:$H,8,0),"")</f>
        <v/>
      </c>
      <c r="K287" s="9">
        <f>IFERROR(VLOOKUP(I287,Materiales!$A:$G,7,0),"")</f>
        <v/>
      </c>
      <c r="L287" s="8" t="inlineStr">
        <is>
          <t>20251014</t>
        </is>
      </c>
      <c r="M287" s="8" t="inlineStr">
        <is>
          <t>20260506</t>
        </is>
      </c>
      <c r="N287" s="10" t="n">
        <v>196.01</v>
      </c>
      <c r="O287" s="10">
        <f>IFERROR(VLOOKUP(A287,Flete!$A:$J,10,0),"")</f>
        <v/>
      </c>
      <c r="P287" s="8" t="inlineStr">
        <is>
          <t>TN</t>
        </is>
      </c>
      <c r="Q287" s="10">
        <f>IFERROR(IFERROR(VLOOKUP(A287,TRAOPE!$A:$U,21,0),VLOOKUP(B287,TRAOPE!$A:$U,21,0)),"")</f>
        <v/>
      </c>
      <c r="R287" s="8">
        <f>IFERROR(IFERROR(VLOOKUP(A287,TRAOPE!$A:$W,23,0),VLOOKUP(B287,TRAOPE!$A:$W,23,0)),"")</f>
        <v/>
      </c>
      <c r="S287" s="10">
        <f>IF(AND(P287="TN",R287="TN"),N287+N(O287),IF(G287&amp;""="1",N(K287)*N287,(N287+N(O287))*N(K287)))</f>
        <v/>
      </c>
      <c r="T287" s="10">
        <f>IF(Q287="","",Q287-S287)</f>
        <v/>
      </c>
    </row>
    <row r="288">
      <c r="A288" s="7">
        <f>CONCATENATE(C288,E288,F288,I288)</f>
        <v/>
      </c>
      <c r="B288" s="7">
        <f>CONCATENATE(C288,E288,I288)</f>
        <v/>
      </c>
      <c r="C288" s="8" t="n">
        <v>900004356</v>
      </c>
      <c r="D288" s="7">
        <f>IFERROR(VLOOKUP(C288,TRAOPE!$G:$H,2,0),"")</f>
        <v/>
      </c>
      <c r="E288" s="8" t="inlineStr">
        <is>
          <t>DW68</t>
        </is>
      </c>
      <c r="F288" s="8" t="inlineStr">
        <is>
          <t>D042</t>
        </is>
      </c>
      <c r="G288" s="8">
        <f>IFERROR(VLOOKUP(A288,Flete!$A:$E,5,0),"")</f>
        <v/>
      </c>
      <c r="H288" s="7">
        <f>IFERROR(VLOOKUP(F288,TRAOPE!$AA:$AB,2,0),"")</f>
        <v/>
      </c>
      <c r="I288" s="7" t="n">
        <v>10268650</v>
      </c>
      <c r="J288" s="7">
        <f>IFERROR(VLOOKUP(I288,Materiales!$A:$H,8,0),"")</f>
        <v/>
      </c>
      <c r="K288" s="9">
        <f>IFERROR(VLOOKUP(I288,Materiales!$A:$G,7,0),"")</f>
        <v/>
      </c>
      <c r="L288" s="8" t="inlineStr">
        <is>
          <t>20260526</t>
        </is>
      </c>
      <c r="M288" s="8" t="inlineStr">
        <is>
          <t>99991231</t>
        </is>
      </c>
      <c r="N288" s="10" t="n">
        <v>226.92</v>
      </c>
      <c r="O288" s="10">
        <f>IFERROR(VLOOKUP(A288,Flete!$A:$J,10,0),"")</f>
        <v/>
      </c>
      <c r="P288" s="8" t="inlineStr">
        <is>
          <t>TN</t>
        </is>
      </c>
      <c r="Q288" s="10">
        <f>IFERROR(IFERROR(VLOOKUP(A288,TRAOPE!$A:$U,21,0),VLOOKUP(B288,TRAOPE!$A:$U,21,0)),"")</f>
        <v/>
      </c>
      <c r="R288" s="8">
        <f>IFERROR(IFERROR(VLOOKUP(A288,TRAOPE!$A:$W,23,0),VLOOKUP(B288,TRAOPE!$A:$W,23,0)),"")</f>
        <v/>
      </c>
      <c r="S288" s="10">
        <f>IF(AND(P288="TN",R288="TN"),N288+N(O288),IF(G288&amp;""="1",N(K288)*N288,(N288+N(O288))*N(K288)))</f>
        <v/>
      </c>
      <c r="T288" s="10">
        <f>IF(Q288="","",Q288-S288)</f>
        <v/>
      </c>
    </row>
    <row r="289">
      <c r="A289" s="7">
        <f>CONCATENATE(C289,E289,F289,I289)</f>
        <v/>
      </c>
      <c r="B289" s="7">
        <f>CONCATENATE(C289,E289,I289)</f>
        <v/>
      </c>
      <c r="C289" s="8" t="n">
        <v>900004356</v>
      </c>
      <c r="D289" s="7">
        <f>IFERROR(VLOOKUP(C289,TRAOPE!$G:$H,2,0),"")</f>
        <v/>
      </c>
      <c r="E289" s="8" t="inlineStr">
        <is>
          <t>DW68</t>
        </is>
      </c>
      <c r="F289" s="8" t="inlineStr">
        <is>
          <t>D209</t>
        </is>
      </c>
      <c r="G289" s="8">
        <f>IFERROR(VLOOKUP(A289,Flete!$A:$E,5,0),"")</f>
        <v/>
      </c>
      <c r="H289" s="7">
        <f>IFERROR(VLOOKUP(F289,TRAOPE!$AA:$AB,2,0),"")</f>
        <v/>
      </c>
      <c r="I289" s="7" t="n">
        <v>10000191</v>
      </c>
      <c r="J289" s="7">
        <f>IFERROR(VLOOKUP(I289,Materiales!$A:$H,8,0),"")</f>
        <v/>
      </c>
      <c r="K289" s="9">
        <f>IFERROR(VLOOKUP(I289,Materiales!$A:$G,7,0),"")</f>
        <v/>
      </c>
      <c r="L289" s="8" t="inlineStr">
        <is>
          <t>20220516</t>
        </is>
      </c>
      <c r="M289" s="8" t="inlineStr">
        <is>
          <t>20250219</t>
        </is>
      </c>
      <c r="N289" s="10" t="n">
        <v>100.71</v>
      </c>
      <c r="O289" s="10">
        <f>IFERROR(VLOOKUP(A289,Flete!$A:$J,10,0),"")</f>
        <v/>
      </c>
      <c r="P289" s="8" t="inlineStr">
        <is>
          <t>TN</t>
        </is>
      </c>
      <c r="Q289" s="10">
        <f>IFERROR(IFERROR(VLOOKUP(A289,TRAOPE!$A:$U,21,0),VLOOKUP(B289,TRAOPE!$A:$U,21,0)),"")</f>
        <v/>
      </c>
      <c r="R289" s="8">
        <f>IFERROR(IFERROR(VLOOKUP(A289,TRAOPE!$A:$W,23,0),VLOOKUP(B289,TRAOPE!$A:$W,23,0)),"")</f>
        <v/>
      </c>
      <c r="S289" s="10">
        <f>IF(AND(P289="TN",R289="TN"),N289+N(O289),IF(G289&amp;""="1",N(K289)*N289,(N289+N(O289))*N(K289)))</f>
        <v/>
      </c>
      <c r="T289" s="10">
        <f>IF(Q289="","",Q289-S289)</f>
        <v/>
      </c>
    </row>
    <row r="290">
      <c r="A290" s="7">
        <f>CONCATENATE(C290,E290,F290,I290)</f>
        <v/>
      </c>
      <c r="B290" s="7">
        <f>CONCATENATE(C290,E290,I290)</f>
        <v/>
      </c>
      <c r="C290" s="8" t="n">
        <v>900004356</v>
      </c>
      <c r="D290" s="7">
        <f>IFERROR(VLOOKUP(C290,TRAOPE!$G:$H,2,0),"")</f>
        <v/>
      </c>
      <c r="E290" s="8" t="inlineStr">
        <is>
          <t>DW68</t>
        </is>
      </c>
      <c r="F290" s="8" t="inlineStr">
        <is>
          <t>D209</t>
        </is>
      </c>
      <c r="G290" s="8">
        <f>IFERROR(VLOOKUP(A290,Flete!$A:$E,5,0),"")</f>
        <v/>
      </c>
      <c r="H290" s="7">
        <f>IFERROR(VLOOKUP(F290,TRAOPE!$AA:$AB,2,0),"")</f>
        <v/>
      </c>
      <c r="I290" s="7" t="n">
        <v>10000388</v>
      </c>
      <c r="J290" s="7">
        <f>IFERROR(VLOOKUP(I290,Materiales!$A:$H,8,0),"")</f>
        <v/>
      </c>
      <c r="K290" s="9">
        <f>IFERROR(VLOOKUP(I290,Materiales!$A:$G,7,0),"")</f>
        <v/>
      </c>
      <c r="L290" s="8" t="inlineStr">
        <is>
          <t>20250301</t>
        </is>
      </c>
      <c r="M290" s="8" t="inlineStr">
        <is>
          <t>20250708</t>
        </is>
      </c>
      <c r="N290" s="10" t="n">
        <v>167.99</v>
      </c>
      <c r="O290" s="10">
        <f>IFERROR(VLOOKUP(A290,Flete!$A:$J,10,0),"")</f>
        <v/>
      </c>
      <c r="P290" s="8" t="inlineStr">
        <is>
          <t>TN</t>
        </is>
      </c>
      <c r="Q290" s="10">
        <f>IFERROR(IFERROR(VLOOKUP(A290,TRAOPE!$A:$U,21,0),VLOOKUP(B290,TRAOPE!$A:$U,21,0)),"")</f>
        <v/>
      </c>
      <c r="R290" s="8">
        <f>IFERROR(IFERROR(VLOOKUP(A290,TRAOPE!$A:$W,23,0),VLOOKUP(B290,TRAOPE!$A:$W,23,0)),"")</f>
        <v/>
      </c>
      <c r="S290" s="10">
        <f>IF(AND(P290="TN",R290="TN"),N290+N(O290),IF(G290&amp;""="1",N(K290)*N290,(N290+N(O290))*N(K290)))</f>
        <v/>
      </c>
      <c r="T290" s="10">
        <f>IF(Q290="","",Q290-S290)</f>
        <v/>
      </c>
    </row>
    <row r="291">
      <c r="A291" s="7">
        <f>CONCATENATE(C291,E291,F291,I291)</f>
        <v/>
      </c>
      <c r="B291" s="7">
        <f>CONCATENATE(C291,E291,I291)</f>
        <v/>
      </c>
      <c r="C291" s="8" t="n">
        <v>900004356</v>
      </c>
      <c r="D291" s="7">
        <f>IFERROR(VLOOKUP(C291,TRAOPE!$G:$H,2,0),"")</f>
        <v/>
      </c>
      <c r="E291" s="8" t="inlineStr">
        <is>
          <t>DW68</t>
        </is>
      </c>
      <c r="F291" s="8" t="inlineStr">
        <is>
          <t>D209</t>
        </is>
      </c>
      <c r="G291" s="8">
        <f>IFERROR(VLOOKUP(A291,Flete!$A:$E,5,0),"")</f>
        <v/>
      </c>
      <c r="H291" s="7">
        <f>IFERROR(VLOOKUP(F291,TRAOPE!$AA:$AB,2,0),"")</f>
        <v/>
      </c>
      <c r="I291" s="7" t="n">
        <v>10000437</v>
      </c>
      <c r="J291" s="7">
        <f>IFERROR(VLOOKUP(I291,Materiales!$A:$H,8,0),"")</f>
        <v/>
      </c>
      <c r="K291" s="9">
        <f>IFERROR(VLOOKUP(I291,Materiales!$A:$G,7,0),"")</f>
        <v/>
      </c>
      <c r="L291" s="8" t="inlineStr">
        <is>
          <t>20251014</t>
        </is>
      </c>
      <c r="M291" s="8" t="inlineStr">
        <is>
          <t>20260506</t>
        </is>
      </c>
      <c r="N291" s="10" t="n">
        <v>196.01</v>
      </c>
      <c r="O291" s="10">
        <f>IFERROR(VLOOKUP(A291,Flete!$A:$J,10,0),"")</f>
        <v/>
      </c>
      <c r="P291" s="8" t="inlineStr">
        <is>
          <t>TN</t>
        </is>
      </c>
      <c r="Q291" s="10">
        <f>IFERROR(IFERROR(VLOOKUP(A291,TRAOPE!$A:$U,21,0),VLOOKUP(B291,TRAOPE!$A:$U,21,0)),"")</f>
        <v/>
      </c>
      <c r="R291" s="8">
        <f>IFERROR(IFERROR(VLOOKUP(A291,TRAOPE!$A:$W,23,0),VLOOKUP(B291,TRAOPE!$A:$W,23,0)),"")</f>
        <v/>
      </c>
      <c r="S291" s="10">
        <f>IF(AND(P291="TN",R291="TN"),N291+N(O291),IF(G291&amp;""="1",N(K291)*N291,(N291+N(O291))*N(K291)))</f>
        <v/>
      </c>
      <c r="T291" s="10">
        <f>IF(Q291="","",Q291-S291)</f>
        <v/>
      </c>
    </row>
    <row r="292">
      <c r="A292" s="7">
        <f>CONCATENATE(C292,E292,F292,I292)</f>
        <v/>
      </c>
      <c r="B292" s="7">
        <f>CONCATENATE(C292,E292,I292)</f>
        <v/>
      </c>
      <c r="C292" s="8" t="n">
        <v>900004356</v>
      </c>
      <c r="D292" s="7">
        <f>IFERROR(VLOOKUP(C292,TRAOPE!$G:$H,2,0),"")</f>
        <v/>
      </c>
      <c r="E292" s="8" t="inlineStr">
        <is>
          <t>DW68</t>
        </is>
      </c>
      <c r="F292" s="8" t="inlineStr">
        <is>
          <t>D209</t>
        </is>
      </c>
      <c r="G292" s="8">
        <f>IFERROR(VLOOKUP(A292,Flete!$A:$E,5,0),"")</f>
        <v/>
      </c>
      <c r="H292" s="7">
        <f>IFERROR(VLOOKUP(F292,TRAOPE!$AA:$AB,2,0),"")</f>
        <v/>
      </c>
      <c r="I292" s="7" t="n">
        <v>10268650</v>
      </c>
      <c r="J292" s="7">
        <f>IFERROR(VLOOKUP(I292,Materiales!$A:$H,8,0),"")</f>
        <v/>
      </c>
      <c r="K292" s="9">
        <f>IFERROR(VLOOKUP(I292,Materiales!$A:$G,7,0),"")</f>
        <v/>
      </c>
      <c r="L292" s="8" t="inlineStr">
        <is>
          <t>20260526</t>
        </is>
      </c>
      <c r="M292" s="8" t="inlineStr">
        <is>
          <t>99991231</t>
        </is>
      </c>
      <c r="N292" s="10" t="n">
        <v>226.92</v>
      </c>
      <c r="O292" s="10">
        <f>IFERROR(VLOOKUP(A292,Flete!$A:$J,10,0),"")</f>
        <v/>
      </c>
      <c r="P292" s="8" t="inlineStr">
        <is>
          <t>TN</t>
        </is>
      </c>
      <c r="Q292" s="10">
        <f>IFERROR(IFERROR(VLOOKUP(A292,TRAOPE!$A:$U,21,0),VLOOKUP(B292,TRAOPE!$A:$U,21,0)),"")</f>
        <v/>
      </c>
      <c r="R292" s="8">
        <f>IFERROR(IFERROR(VLOOKUP(A292,TRAOPE!$A:$W,23,0),VLOOKUP(B292,TRAOPE!$A:$W,23,0)),"")</f>
        <v/>
      </c>
      <c r="S292" s="10">
        <f>IF(AND(P292="TN",R292="TN"),N292+N(O292),IF(G292&amp;""="1",N(K292)*N292,(N292+N(O292))*N(K292)))</f>
        <v/>
      </c>
      <c r="T292" s="10">
        <f>IF(Q292="","",Q292-S292)</f>
        <v/>
      </c>
    </row>
    <row r="293">
      <c r="A293" s="7">
        <f>CONCATENATE(C293,E293,F293,I293)</f>
        <v/>
      </c>
      <c r="B293" s="7">
        <f>CONCATENATE(C293,E293,I293)</f>
        <v/>
      </c>
      <c r="C293" s="8" t="n">
        <v>900004356</v>
      </c>
      <c r="D293" s="7">
        <f>IFERROR(VLOOKUP(C293,TRAOPE!$G:$H,2,0),"")</f>
        <v/>
      </c>
      <c r="E293" s="8" t="inlineStr">
        <is>
          <t>DW68</t>
        </is>
      </c>
      <c r="F293" s="8" t="inlineStr">
        <is>
          <t>D211</t>
        </is>
      </c>
      <c r="G293" s="8">
        <f>IFERROR(VLOOKUP(A293,Flete!$A:$E,5,0),"")</f>
        <v/>
      </c>
      <c r="H293" s="7">
        <f>IFERROR(VLOOKUP(F293,TRAOPE!$AA:$AB,2,0),"")</f>
        <v/>
      </c>
      <c r="I293" s="7" t="n">
        <v>10000191</v>
      </c>
      <c r="J293" s="7">
        <f>IFERROR(VLOOKUP(I293,Materiales!$A:$H,8,0),"")</f>
        <v/>
      </c>
      <c r="K293" s="9">
        <f>IFERROR(VLOOKUP(I293,Materiales!$A:$G,7,0),"")</f>
        <v/>
      </c>
      <c r="L293" s="8" t="inlineStr">
        <is>
          <t>20220516</t>
        </is>
      </c>
      <c r="M293" s="8" t="inlineStr">
        <is>
          <t>20250219</t>
        </is>
      </c>
      <c r="N293" s="10" t="n">
        <v>100.71</v>
      </c>
      <c r="O293" s="10">
        <f>IFERROR(VLOOKUP(A293,Flete!$A:$J,10,0),"")</f>
        <v/>
      </c>
      <c r="P293" s="8" t="inlineStr">
        <is>
          <t>TN</t>
        </is>
      </c>
      <c r="Q293" s="10">
        <f>IFERROR(IFERROR(VLOOKUP(A293,TRAOPE!$A:$U,21,0),VLOOKUP(B293,TRAOPE!$A:$U,21,0)),"")</f>
        <v/>
      </c>
      <c r="R293" s="8">
        <f>IFERROR(IFERROR(VLOOKUP(A293,TRAOPE!$A:$W,23,0),VLOOKUP(B293,TRAOPE!$A:$W,23,0)),"")</f>
        <v/>
      </c>
      <c r="S293" s="10">
        <f>IF(AND(P293="TN",R293="TN"),N293+N(O293),IF(G293&amp;""="1",N(K293)*N293,(N293+N(O293))*N(K293)))</f>
        <v/>
      </c>
      <c r="T293" s="10">
        <f>IF(Q293="","",Q293-S293)</f>
        <v/>
      </c>
    </row>
    <row r="294">
      <c r="A294" s="7">
        <f>CONCATENATE(C294,E294,F294,I294)</f>
        <v/>
      </c>
      <c r="B294" s="7">
        <f>CONCATENATE(C294,E294,I294)</f>
        <v/>
      </c>
      <c r="C294" s="8" t="n">
        <v>900004356</v>
      </c>
      <c r="D294" s="7">
        <f>IFERROR(VLOOKUP(C294,TRAOPE!$G:$H,2,0),"")</f>
        <v/>
      </c>
      <c r="E294" s="8" t="inlineStr">
        <is>
          <t>DW68</t>
        </is>
      </c>
      <c r="F294" s="8" t="inlineStr">
        <is>
          <t>D211</t>
        </is>
      </c>
      <c r="G294" s="8">
        <f>IFERROR(VLOOKUP(A294,Flete!$A:$E,5,0),"")</f>
        <v/>
      </c>
      <c r="H294" s="7">
        <f>IFERROR(VLOOKUP(F294,TRAOPE!$AA:$AB,2,0),"")</f>
        <v/>
      </c>
      <c r="I294" s="7" t="n">
        <v>10000388</v>
      </c>
      <c r="J294" s="7">
        <f>IFERROR(VLOOKUP(I294,Materiales!$A:$H,8,0),"")</f>
        <v/>
      </c>
      <c r="K294" s="9">
        <f>IFERROR(VLOOKUP(I294,Materiales!$A:$G,7,0),"")</f>
        <v/>
      </c>
      <c r="L294" s="8" t="inlineStr">
        <is>
          <t>20250301</t>
        </is>
      </c>
      <c r="M294" s="8" t="inlineStr">
        <is>
          <t>20250708</t>
        </is>
      </c>
      <c r="N294" s="10" t="n">
        <v>167.99</v>
      </c>
      <c r="O294" s="10">
        <f>IFERROR(VLOOKUP(A294,Flete!$A:$J,10,0),"")</f>
        <v/>
      </c>
      <c r="P294" s="8" t="inlineStr">
        <is>
          <t>TN</t>
        </is>
      </c>
      <c r="Q294" s="10">
        <f>IFERROR(IFERROR(VLOOKUP(A294,TRAOPE!$A:$U,21,0),VLOOKUP(B294,TRAOPE!$A:$U,21,0)),"")</f>
        <v/>
      </c>
      <c r="R294" s="8">
        <f>IFERROR(IFERROR(VLOOKUP(A294,TRAOPE!$A:$W,23,0),VLOOKUP(B294,TRAOPE!$A:$W,23,0)),"")</f>
        <v/>
      </c>
      <c r="S294" s="10">
        <f>IF(AND(P294="TN",R294="TN"),N294+N(O294),IF(G294&amp;""="1",N(K294)*N294,(N294+N(O294))*N(K294)))</f>
        <v/>
      </c>
      <c r="T294" s="10">
        <f>IF(Q294="","",Q294-S294)</f>
        <v/>
      </c>
    </row>
    <row r="295">
      <c r="A295" s="7">
        <f>CONCATENATE(C295,E295,F295,I295)</f>
        <v/>
      </c>
      <c r="B295" s="7">
        <f>CONCATENATE(C295,E295,I295)</f>
        <v/>
      </c>
      <c r="C295" s="8" t="n">
        <v>900004356</v>
      </c>
      <c r="D295" s="7">
        <f>IFERROR(VLOOKUP(C295,TRAOPE!$G:$H,2,0),"")</f>
        <v/>
      </c>
      <c r="E295" s="8" t="inlineStr">
        <is>
          <t>DW68</t>
        </is>
      </c>
      <c r="F295" s="8" t="inlineStr">
        <is>
          <t>D211</t>
        </is>
      </c>
      <c r="G295" s="8">
        <f>IFERROR(VLOOKUP(A295,Flete!$A:$E,5,0),"")</f>
        <v/>
      </c>
      <c r="H295" s="7">
        <f>IFERROR(VLOOKUP(F295,TRAOPE!$AA:$AB,2,0),"")</f>
        <v/>
      </c>
      <c r="I295" s="7" t="n">
        <v>10000437</v>
      </c>
      <c r="J295" s="7">
        <f>IFERROR(VLOOKUP(I295,Materiales!$A:$H,8,0),"")</f>
        <v/>
      </c>
      <c r="K295" s="9">
        <f>IFERROR(VLOOKUP(I295,Materiales!$A:$G,7,0),"")</f>
        <v/>
      </c>
      <c r="L295" s="8" t="inlineStr">
        <is>
          <t>20251014</t>
        </is>
      </c>
      <c r="M295" s="8" t="inlineStr">
        <is>
          <t>20260506</t>
        </is>
      </c>
      <c r="N295" s="10" t="n">
        <v>196.01</v>
      </c>
      <c r="O295" s="10">
        <f>IFERROR(VLOOKUP(A295,Flete!$A:$J,10,0),"")</f>
        <v/>
      </c>
      <c r="P295" s="8" t="inlineStr">
        <is>
          <t>TN</t>
        </is>
      </c>
      <c r="Q295" s="10">
        <f>IFERROR(IFERROR(VLOOKUP(A295,TRAOPE!$A:$U,21,0),VLOOKUP(B295,TRAOPE!$A:$U,21,0)),"")</f>
        <v/>
      </c>
      <c r="R295" s="8">
        <f>IFERROR(IFERROR(VLOOKUP(A295,TRAOPE!$A:$W,23,0),VLOOKUP(B295,TRAOPE!$A:$W,23,0)),"")</f>
        <v/>
      </c>
      <c r="S295" s="10">
        <f>IF(AND(P295="TN",R295="TN"),N295+N(O295),IF(G295&amp;""="1",N(K295)*N295,(N295+N(O295))*N(K295)))</f>
        <v/>
      </c>
      <c r="T295" s="10">
        <f>IF(Q295="","",Q295-S295)</f>
        <v/>
      </c>
    </row>
    <row r="296">
      <c r="A296" s="7">
        <f>CONCATENATE(C296,E296,F296,I296)</f>
        <v/>
      </c>
      <c r="B296" s="7">
        <f>CONCATENATE(C296,E296,I296)</f>
        <v/>
      </c>
      <c r="C296" s="8" t="n">
        <v>900004356</v>
      </c>
      <c r="D296" s="7">
        <f>IFERROR(VLOOKUP(C296,TRAOPE!$G:$H,2,0),"")</f>
        <v/>
      </c>
      <c r="E296" s="8" t="inlineStr">
        <is>
          <t>DW68</t>
        </is>
      </c>
      <c r="F296" s="8" t="inlineStr">
        <is>
          <t>D211</t>
        </is>
      </c>
      <c r="G296" s="8">
        <f>IFERROR(VLOOKUP(A296,Flete!$A:$E,5,0),"")</f>
        <v/>
      </c>
      <c r="H296" s="7">
        <f>IFERROR(VLOOKUP(F296,TRAOPE!$AA:$AB,2,0),"")</f>
        <v/>
      </c>
      <c r="I296" s="7" t="n">
        <v>10268650</v>
      </c>
      <c r="J296" s="7">
        <f>IFERROR(VLOOKUP(I296,Materiales!$A:$H,8,0),"")</f>
        <v/>
      </c>
      <c r="K296" s="9">
        <f>IFERROR(VLOOKUP(I296,Materiales!$A:$G,7,0),"")</f>
        <v/>
      </c>
      <c r="L296" s="8" t="inlineStr">
        <is>
          <t>20260526</t>
        </is>
      </c>
      <c r="M296" s="8" t="inlineStr">
        <is>
          <t>99991231</t>
        </is>
      </c>
      <c r="N296" s="10" t="n">
        <v>226.92</v>
      </c>
      <c r="O296" s="10">
        <f>IFERROR(VLOOKUP(A296,Flete!$A:$J,10,0),"")</f>
        <v/>
      </c>
      <c r="P296" s="8" t="inlineStr">
        <is>
          <t>TN</t>
        </is>
      </c>
      <c r="Q296" s="10">
        <f>IFERROR(IFERROR(VLOOKUP(A296,TRAOPE!$A:$U,21,0),VLOOKUP(B296,TRAOPE!$A:$U,21,0)),"")</f>
        <v/>
      </c>
      <c r="R296" s="8">
        <f>IFERROR(IFERROR(VLOOKUP(A296,TRAOPE!$A:$W,23,0),VLOOKUP(B296,TRAOPE!$A:$W,23,0)),"")</f>
        <v/>
      </c>
      <c r="S296" s="10">
        <f>IF(AND(P296="TN",R296="TN"),N296+N(O296),IF(G296&amp;""="1",N(K296)*N296,(N296+N(O296))*N(K296)))</f>
        <v/>
      </c>
      <c r="T296" s="10">
        <f>IF(Q296="","",Q296-S296)</f>
        <v/>
      </c>
    </row>
    <row r="297">
      <c r="A297" s="7">
        <f>CONCATENATE(C297,E297,F297,I297)</f>
        <v/>
      </c>
      <c r="B297" s="7">
        <f>CONCATENATE(C297,E297,I297)</f>
        <v/>
      </c>
      <c r="C297" s="8" t="n">
        <v>900004356</v>
      </c>
      <c r="D297" s="7">
        <f>IFERROR(VLOOKUP(C297,TRAOPE!$G:$H,2,0),"")</f>
        <v/>
      </c>
      <c r="E297" s="8" t="inlineStr">
        <is>
          <t>DW68</t>
        </is>
      </c>
      <c r="F297" s="8" t="inlineStr">
        <is>
          <t>D214</t>
        </is>
      </c>
      <c r="G297" s="8">
        <f>IFERROR(VLOOKUP(A297,Flete!$A:$E,5,0),"")</f>
        <v/>
      </c>
      <c r="H297" s="7">
        <f>IFERROR(VLOOKUP(F297,TRAOPE!$AA:$AB,2,0),"")</f>
        <v/>
      </c>
      <c r="I297" s="7" t="n">
        <v>10000191</v>
      </c>
      <c r="J297" s="7">
        <f>IFERROR(VLOOKUP(I297,Materiales!$A:$H,8,0),"")</f>
        <v/>
      </c>
      <c r="K297" s="9">
        <f>IFERROR(VLOOKUP(I297,Materiales!$A:$G,7,0),"")</f>
        <v/>
      </c>
      <c r="L297" s="8" t="inlineStr">
        <is>
          <t>20220516</t>
        </is>
      </c>
      <c r="M297" s="8" t="inlineStr">
        <is>
          <t>20250219</t>
        </is>
      </c>
      <c r="N297" s="10" t="n">
        <v>100.71</v>
      </c>
      <c r="O297" s="10">
        <f>IFERROR(VLOOKUP(A297,Flete!$A:$J,10,0),"")</f>
        <v/>
      </c>
      <c r="P297" s="8" t="inlineStr">
        <is>
          <t>TN</t>
        </is>
      </c>
      <c r="Q297" s="10">
        <f>IFERROR(IFERROR(VLOOKUP(A297,TRAOPE!$A:$U,21,0),VLOOKUP(B297,TRAOPE!$A:$U,21,0)),"")</f>
        <v/>
      </c>
      <c r="R297" s="8">
        <f>IFERROR(IFERROR(VLOOKUP(A297,TRAOPE!$A:$W,23,0),VLOOKUP(B297,TRAOPE!$A:$W,23,0)),"")</f>
        <v/>
      </c>
      <c r="S297" s="10">
        <f>IF(AND(P297="TN",R297="TN"),N297+N(O297),IF(G297&amp;""="1",N(K297)*N297,(N297+N(O297))*N(K297)))</f>
        <v/>
      </c>
      <c r="T297" s="10">
        <f>IF(Q297="","",Q297-S297)</f>
        <v/>
      </c>
    </row>
    <row r="298">
      <c r="A298" s="7">
        <f>CONCATENATE(C298,E298,F298,I298)</f>
        <v/>
      </c>
      <c r="B298" s="7">
        <f>CONCATENATE(C298,E298,I298)</f>
        <v/>
      </c>
      <c r="C298" s="8" t="n">
        <v>900004356</v>
      </c>
      <c r="D298" s="7">
        <f>IFERROR(VLOOKUP(C298,TRAOPE!$G:$H,2,0),"")</f>
        <v/>
      </c>
      <c r="E298" s="8" t="inlineStr">
        <is>
          <t>DW68</t>
        </is>
      </c>
      <c r="F298" s="8" t="inlineStr">
        <is>
          <t>D214</t>
        </is>
      </c>
      <c r="G298" s="8">
        <f>IFERROR(VLOOKUP(A298,Flete!$A:$E,5,0),"")</f>
        <v/>
      </c>
      <c r="H298" s="7">
        <f>IFERROR(VLOOKUP(F298,TRAOPE!$AA:$AB,2,0),"")</f>
        <v/>
      </c>
      <c r="I298" s="7" t="n">
        <v>10000388</v>
      </c>
      <c r="J298" s="7">
        <f>IFERROR(VLOOKUP(I298,Materiales!$A:$H,8,0),"")</f>
        <v/>
      </c>
      <c r="K298" s="9">
        <f>IFERROR(VLOOKUP(I298,Materiales!$A:$G,7,0),"")</f>
        <v/>
      </c>
      <c r="L298" s="8" t="inlineStr">
        <is>
          <t>20250301</t>
        </is>
      </c>
      <c r="M298" s="8" t="inlineStr">
        <is>
          <t>20250708</t>
        </is>
      </c>
      <c r="N298" s="10" t="n">
        <v>167.99</v>
      </c>
      <c r="O298" s="10">
        <f>IFERROR(VLOOKUP(A298,Flete!$A:$J,10,0),"")</f>
        <v/>
      </c>
      <c r="P298" s="8" t="inlineStr">
        <is>
          <t>TN</t>
        </is>
      </c>
      <c r="Q298" s="10">
        <f>IFERROR(IFERROR(VLOOKUP(A298,TRAOPE!$A:$U,21,0),VLOOKUP(B298,TRAOPE!$A:$U,21,0)),"")</f>
        <v/>
      </c>
      <c r="R298" s="8">
        <f>IFERROR(IFERROR(VLOOKUP(A298,TRAOPE!$A:$W,23,0),VLOOKUP(B298,TRAOPE!$A:$W,23,0)),"")</f>
        <v/>
      </c>
      <c r="S298" s="10">
        <f>IF(AND(P298="TN",R298="TN"),N298+N(O298),IF(G298&amp;""="1",N(K298)*N298,(N298+N(O298))*N(K298)))</f>
        <v/>
      </c>
      <c r="T298" s="10">
        <f>IF(Q298="","",Q298-S298)</f>
        <v/>
      </c>
    </row>
    <row r="299">
      <c r="A299" s="7">
        <f>CONCATENATE(C299,E299,F299,I299)</f>
        <v/>
      </c>
      <c r="B299" s="7">
        <f>CONCATENATE(C299,E299,I299)</f>
        <v/>
      </c>
      <c r="C299" s="8" t="n">
        <v>900004356</v>
      </c>
      <c r="D299" s="7">
        <f>IFERROR(VLOOKUP(C299,TRAOPE!$G:$H,2,0),"")</f>
        <v/>
      </c>
      <c r="E299" s="8" t="inlineStr">
        <is>
          <t>DW68</t>
        </is>
      </c>
      <c r="F299" s="8" t="inlineStr">
        <is>
          <t>D214</t>
        </is>
      </c>
      <c r="G299" s="8">
        <f>IFERROR(VLOOKUP(A299,Flete!$A:$E,5,0),"")</f>
        <v/>
      </c>
      <c r="H299" s="7">
        <f>IFERROR(VLOOKUP(F299,TRAOPE!$AA:$AB,2,0),"")</f>
        <v/>
      </c>
      <c r="I299" s="7" t="n">
        <v>10268650</v>
      </c>
      <c r="J299" s="7">
        <f>IFERROR(VLOOKUP(I299,Materiales!$A:$H,8,0),"")</f>
        <v/>
      </c>
      <c r="K299" s="9">
        <f>IFERROR(VLOOKUP(I299,Materiales!$A:$G,7,0),"")</f>
        <v/>
      </c>
      <c r="L299" s="8" t="inlineStr">
        <is>
          <t>20260526</t>
        </is>
      </c>
      <c r="M299" s="8" t="inlineStr">
        <is>
          <t>99991231</t>
        </is>
      </c>
      <c r="N299" s="10" t="n">
        <v>226.92</v>
      </c>
      <c r="O299" s="10">
        <f>IFERROR(VLOOKUP(A299,Flete!$A:$J,10,0),"")</f>
        <v/>
      </c>
      <c r="P299" s="8" t="inlineStr">
        <is>
          <t>TN</t>
        </is>
      </c>
      <c r="Q299" s="10">
        <f>IFERROR(IFERROR(VLOOKUP(A299,TRAOPE!$A:$U,21,0),VLOOKUP(B299,TRAOPE!$A:$U,21,0)),"")</f>
        <v/>
      </c>
      <c r="R299" s="8">
        <f>IFERROR(IFERROR(VLOOKUP(A299,TRAOPE!$A:$W,23,0),VLOOKUP(B299,TRAOPE!$A:$W,23,0)),"")</f>
        <v/>
      </c>
      <c r="S299" s="10">
        <f>IF(AND(P299="TN",R299="TN"),N299+N(O299),IF(G299&amp;""="1",N(K299)*N299,(N299+N(O299))*N(K299)))</f>
        <v/>
      </c>
      <c r="T299" s="10">
        <f>IF(Q299="","",Q299-S299)</f>
        <v/>
      </c>
    </row>
    <row r="300">
      <c r="A300" s="7">
        <f>CONCATENATE(C300,E300,F300,I300)</f>
        <v/>
      </c>
      <c r="B300" s="7">
        <f>CONCATENATE(C300,E300,I300)</f>
        <v/>
      </c>
      <c r="C300" s="8" t="n">
        <v>900004356</v>
      </c>
      <c r="D300" s="7">
        <f>IFERROR(VLOOKUP(C300,TRAOPE!$G:$H,2,0),"")</f>
        <v/>
      </c>
      <c r="E300" s="8" t="inlineStr">
        <is>
          <t>DW68</t>
        </is>
      </c>
      <c r="F300" s="8" t="inlineStr">
        <is>
          <t>D228</t>
        </is>
      </c>
      <c r="G300" s="8">
        <f>IFERROR(VLOOKUP(A300,Flete!$A:$E,5,0),"")</f>
        <v/>
      </c>
      <c r="H300" s="7">
        <f>IFERROR(VLOOKUP(F300,TRAOPE!$AA:$AB,2,0),"")</f>
        <v/>
      </c>
      <c r="I300" s="7" t="n">
        <v>10000191</v>
      </c>
      <c r="J300" s="7">
        <f>IFERROR(VLOOKUP(I300,Materiales!$A:$H,8,0),"")</f>
        <v/>
      </c>
      <c r="K300" s="9">
        <f>IFERROR(VLOOKUP(I300,Materiales!$A:$G,7,0),"")</f>
        <v/>
      </c>
      <c r="L300" s="8" t="inlineStr">
        <is>
          <t>20220516</t>
        </is>
      </c>
      <c r="M300" s="8" t="inlineStr">
        <is>
          <t>20250219</t>
        </is>
      </c>
      <c r="N300" s="10" t="n">
        <v>100.71</v>
      </c>
      <c r="O300" s="10">
        <f>IFERROR(VLOOKUP(A300,Flete!$A:$J,10,0),"")</f>
        <v/>
      </c>
      <c r="P300" s="8" t="inlineStr">
        <is>
          <t>TN</t>
        </is>
      </c>
      <c r="Q300" s="10">
        <f>IFERROR(IFERROR(VLOOKUP(A300,TRAOPE!$A:$U,21,0),VLOOKUP(B300,TRAOPE!$A:$U,21,0)),"")</f>
        <v/>
      </c>
      <c r="R300" s="8">
        <f>IFERROR(IFERROR(VLOOKUP(A300,TRAOPE!$A:$W,23,0),VLOOKUP(B300,TRAOPE!$A:$W,23,0)),"")</f>
        <v/>
      </c>
      <c r="S300" s="10">
        <f>IF(AND(P300="TN",R300="TN"),N300+N(O300),IF(G300&amp;""="1",N(K300)*N300,(N300+N(O300))*N(K300)))</f>
        <v/>
      </c>
      <c r="T300" s="10">
        <f>IF(Q300="","",Q300-S300)</f>
        <v/>
      </c>
    </row>
    <row r="301">
      <c r="A301" s="7">
        <f>CONCATENATE(C301,E301,F301,I301)</f>
        <v/>
      </c>
      <c r="B301" s="7">
        <f>CONCATENATE(C301,E301,I301)</f>
        <v/>
      </c>
      <c r="C301" s="8" t="n">
        <v>900004356</v>
      </c>
      <c r="D301" s="7">
        <f>IFERROR(VLOOKUP(C301,TRAOPE!$G:$H,2,0),"")</f>
        <v/>
      </c>
      <c r="E301" s="8" t="inlineStr">
        <is>
          <t>DW68</t>
        </is>
      </c>
      <c r="F301" s="8" t="inlineStr">
        <is>
          <t>D228</t>
        </is>
      </c>
      <c r="G301" s="8">
        <f>IFERROR(VLOOKUP(A301,Flete!$A:$E,5,0),"")</f>
        <v/>
      </c>
      <c r="H301" s="7">
        <f>IFERROR(VLOOKUP(F301,TRAOPE!$AA:$AB,2,0),"")</f>
        <v/>
      </c>
      <c r="I301" s="7" t="n">
        <v>10000388</v>
      </c>
      <c r="J301" s="7">
        <f>IFERROR(VLOOKUP(I301,Materiales!$A:$H,8,0),"")</f>
        <v/>
      </c>
      <c r="K301" s="9">
        <f>IFERROR(VLOOKUP(I301,Materiales!$A:$G,7,0),"")</f>
        <v/>
      </c>
      <c r="L301" s="8" t="inlineStr">
        <is>
          <t>20250301</t>
        </is>
      </c>
      <c r="M301" s="8" t="inlineStr">
        <is>
          <t>20250708</t>
        </is>
      </c>
      <c r="N301" s="10" t="n">
        <v>167.99</v>
      </c>
      <c r="O301" s="10">
        <f>IFERROR(VLOOKUP(A301,Flete!$A:$J,10,0),"")</f>
        <v/>
      </c>
      <c r="P301" s="8" t="inlineStr">
        <is>
          <t>TN</t>
        </is>
      </c>
      <c r="Q301" s="10">
        <f>IFERROR(IFERROR(VLOOKUP(A301,TRAOPE!$A:$U,21,0),VLOOKUP(B301,TRAOPE!$A:$U,21,0)),"")</f>
        <v/>
      </c>
      <c r="R301" s="8">
        <f>IFERROR(IFERROR(VLOOKUP(A301,TRAOPE!$A:$W,23,0),VLOOKUP(B301,TRAOPE!$A:$W,23,0)),"")</f>
        <v/>
      </c>
      <c r="S301" s="10">
        <f>IF(AND(P301="TN",R301="TN"),N301+N(O301),IF(G301&amp;""="1",N(K301)*N301,(N301+N(O301))*N(K301)))</f>
        <v/>
      </c>
      <c r="T301" s="10">
        <f>IF(Q301="","",Q301-S301)</f>
        <v/>
      </c>
    </row>
    <row r="302">
      <c r="A302" s="7">
        <f>CONCATENATE(C302,E302,F302,I302)</f>
        <v/>
      </c>
      <c r="B302" s="7">
        <f>CONCATENATE(C302,E302,I302)</f>
        <v/>
      </c>
      <c r="C302" s="8" t="n">
        <v>900004356</v>
      </c>
      <c r="D302" s="7">
        <f>IFERROR(VLOOKUP(C302,TRAOPE!$G:$H,2,0),"")</f>
        <v/>
      </c>
      <c r="E302" s="8" t="inlineStr">
        <is>
          <t>DW68</t>
        </is>
      </c>
      <c r="F302" s="8" t="inlineStr">
        <is>
          <t>D228</t>
        </is>
      </c>
      <c r="G302" s="8">
        <f>IFERROR(VLOOKUP(A302,Flete!$A:$E,5,0),"")</f>
        <v/>
      </c>
      <c r="H302" s="7">
        <f>IFERROR(VLOOKUP(F302,TRAOPE!$AA:$AB,2,0),"")</f>
        <v/>
      </c>
      <c r="I302" s="7" t="n">
        <v>10000437</v>
      </c>
      <c r="J302" s="7">
        <f>IFERROR(VLOOKUP(I302,Materiales!$A:$H,8,0),"")</f>
        <v/>
      </c>
      <c r="K302" s="9">
        <f>IFERROR(VLOOKUP(I302,Materiales!$A:$G,7,0),"")</f>
        <v/>
      </c>
      <c r="L302" s="8" t="inlineStr">
        <is>
          <t>20251014</t>
        </is>
      </c>
      <c r="M302" s="8" t="inlineStr">
        <is>
          <t>20260506</t>
        </is>
      </c>
      <c r="N302" s="10" t="n">
        <v>196.01</v>
      </c>
      <c r="O302" s="10">
        <f>IFERROR(VLOOKUP(A302,Flete!$A:$J,10,0),"")</f>
        <v/>
      </c>
      <c r="P302" s="8" t="inlineStr">
        <is>
          <t>TN</t>
        </is>
      </c>
      <c r="Q302" s="10">
        <f>IFERROR(IFERROR(VLOOKUP(A302,TRAOPE!$A:$U,21,0),VLOOKUP(B302,TRAOPE!$A:$U,21,0)),"")</f>
        <v/>
      </c>
      <c r="R302" s="8">
        <f>IFERROR(IFERROR(VLOOKUP(A302,TRAOPE!$A:$W,23,0),VLOOKUP(B302,TRAOPE!$A:$W,23,0)),"")</f>
        <v/>
      </c>
      <c r="S302" s="10">
        <f>IF(AND(P302="TN",R302="TN"),N302+N(O302),IF(G302&amp;""="1",N(K302)*N302,(N302+N(O302))*N(K302)))</f>
        <v/>
      </c>
      <c r="T302" s="10">
        <f>IF(Q302="","",Q302-S302)</f>
        <v/>
      </c>
    </row>
    <row r="303">
      <c r="A303" s="7">
        <f>CONCATENATE(C303,E303,F303,I303)</f>
        <v/>
      </c>
      <c r="B303" s="7">
        <f>CONCATENATE(C303,E303,I303)</f>
        <v/>
      </c>
      <c r="C303" s="8" t="n">
        <v>900004356</v>
      </c>
      <c r="D303" s="7">
        <f>IFERROR(VLOOKUP(C303,TRAOPE!$G:$H,2,0),"")</f>
        <v/>
      </c>
      <c r="E303" s="8" t="inlineStr">
        <is>
          <t>DW68</t>
        </is>
      </c>
      <c r="F303" s="8" t="inlineStr">
        <is>
          <t>D228</t>
        </is>
      </c>
      <c r="G303" s="8">
        <f>IFERROR(VLOOKUP(A303,Flete!$A:$E,5,0),"")</f>
        <v/>
      </c>
      <c r="H303" s="7">
        <f>IFERROR(VLOOKUP(F303,TRAOPE!$AA:$AB,2,0),"")</f>
        <v/>
      </c>
      <c r="I303" s="7" t="n">
        <v>10268650</v>
      </c>
      <c r="J303" s="7">
        <f>IFERROR(VLOOKUP(I303,Materiales!$A:$H,8,0),"")</f>
        <v/>
      </c>
      <c r="K303" s="9">
        <f>IFERROR(VLOOKUP(I303,Materiales!$A:$G,7,0),"")</f>
        <v/>
      </c>
      <c r="L303" s="8" t="inlineStr">
        <is>
          <t>20260526</t>
        </is>
      </c>
      <c r="M303" s="8" t="inlineStr">
        <is>
          <t>99991231</t>
        </is>
      </c>
      <c r="N303" s="10" t="n">
        <v>226.92</v>
      </c>
      <c r="O303" s="10">
        <f>IFERROR(VLOOKUP(A303,Flete!$A:$J,10,0),"")</f>
        <v/>
      </c>
      <c r="P303" s="8" t="inlineStr">
        <is>
          <t>TN</t>
        </is>
      </c>
      <c r="Q303" s="10">
        <f>IFERROR(IFERROR(VLOOKUP(A303,TRAOPE!$A:$U,21,0),VLOOKUP(B303,TRAOPE!$A:$U,21,0)),"")</f>
        <v/>
      </c>
      <c r="R303" s="8">
        <f>IFERROR(IFERROR(VLOOKUP(A303,TRAOPE!$A:$W,23,0),VLOOKUP(B303,TRAOPE!$A:$W,23,0)),"")</f>
        <v/>
      </c>
      <c r="S303" s="10">
        <f>IF(AND(P303="TN",R303="TN"),N303+N(O303),IF(G303&amp;""="1",N(K303)*N303,(N303+N(O303))*N(K303)))</f>
        <v/>
      </c>
      <c r="T303" s="10">
        <f>IF(Q303="","",Q303-S303)</f>
        <v/>
      </c>
    </row>
    <row r="304">
      <c r="A304" s="7">
        <f>CONCATENATE(C304,E304,F304,I304)</f>
        <v/>
      </c>
      <c r="B304" s="7">
        <f>CONCATENATE(C304,E304,I304)</f>
        <v/>
      </c>
      <c r="C304" s="8" t="n">
        <v>900004356</v>
      </c>
      <c r="D304" s="7">
        <f>IFERROR(VLOOKUP(C304,TRAOPE!$G:$H,2,0),"")</f>
        <v/>
      </c>
      <c r="E304" s="8" t="inlineStr">
        <is>
          <t>DW68</t>
        </is>
      </c>
      <c r="F304" s="8" t="inlineStr">
        <is>
          <t>D242</t>
        </is>
      </c>
      <c r="G304" s="8">
        <f>IFERROR(VLOOKUP(A304,Flete!$A:$E,5,0),"")</f>
        <v/>
      </c>
      <c r="H304" s="7">
        <f>IFERROR(VLOOKUP(F304,TRAOPE!$AA:$AB,2,0),"")</f>
        <v/>
      </c>
      <c r="I304" s="7" t="n">
        <v>10000191</v>
      </c>
      <c r="J304" s="7">
        <f>IFERROR(VLOOKUP(I304,Materiales!$A:$H,8,0),"")</f>
        <v/>
      </c>
      <c r="K304" s="9">
        <f>IFERROR(VLOOKUP(I304,Materiales!$A:$G,7,0),"")</f>
        <v/>
      </c>
      <c r="L304" s="8" t="inlineStr">
        <is>
          <t>20220516</t>
        </is>
      </c>
      <c r="M304" s="8" t="inlineStr">
        <is>
          <t>20250219</t>
        </is>
      </c>
      <c r="N304" s="10" t="n">
        <v>100.71</v>
      </c>
      <c r="O304" s="10">
        <f>IFERROR(VLOOKUP(A304,Flete!$A:$J,10,0),"")</f>
        <v/>
      </c>
      <c r="P304" s="8" t="inlineStr">
        <is>
          <t>TN</t>
        </is>
      </c>
      <c r="Q304" s="10">
        <f>IFERROR(IFERROR(VLOOKUP(A304,TRAOPE!$A:$U,21,0),VLOOKUP(B304,TRAOPE!$A:$U,21,0)),"")</f>
        <v/>
      </c>
      <c r="R304" s="8">
        <f>IFERROR(IFERROR(VLOOKUP(A304,TRAOPE!$A:$W,23,0),VLOOKUP(B304,TRAOPE!$A:$W,23,0)),"")</f>
        <v/>
      </c>
      <c r="S304" s="10">
        <f>IF(AND(P304="TN",R304="TN"),N304+N(O304),IF(G304&amp;""="1",N(K304)*N304,(N304+N(O304))*N(K304)))</f>
        <v/>
      </c>
      <c r="T304" s="10">
        <f>IF(Q304="","",Q304-S304)</f>
        <v/>
      </c>
    </row>
    <row r="305">
      <c r="A305" s="7">
        <f>CONCATENATE(C305,E305,F305,I305)</f>
        <v/>
      </c>
      <c r="B305" s="7">
        <f>CONCATENATE(C305,E305,I305)</f>
        <v/>
      </c>
      <c r="C305" s="8" t="n">
        <v>900004356</v>
      </c>
      <c r="D305" s="7">
        <f>IFERROR(VLOOKUP(C305,TRAOPE!$G:$H,2,0),"")</f>
        <v/>
      </c>
      <c r="E305" s="8" t="inlineStr">
        <is>
          <t>DW68</t>
        </is>
      </c>
      <c r="F305" s="8" t="inlineStr">
        <is>
          <t>D242</t>
        </is>
      </c>
      <c r="G305" s="8">
        <f>IFERROR(VLOOKUP(A305,Flete!$A:$E,5,0),"")</f>
        <v/>
      </c>
      <c r="H305" s="7">
        <f>IFERROR(VLOOKUP(F305,TRAOPE!$AA:$AB,2,0),"")</f>
        <v/>
      </c>
      <c r="I305" s="7" t="n">
        <v>10000388</v>
      </c>
      <c r="J305" s="7">
        <f>IFERROR(VLOOKUP(I305,Materiales!$A:$H,8,0),"")</f>
        <v/>
      </c>
      <c r="K305" s="9">
        <f>IFERROR(VLOOKUP(I305,Materiales!$A:$G,7,0),"")</f>
        <v/>
      </c>
      <c r="L305" s="8" t="inlineStr">
        <is>
          <t>20250301</t>
        </is>
      </c>
      <c r="M305" s="8" t="inlineStr">
        <is>
          <t>20250708</t>
        </is>
      </c>
      <c r="N305" s="10" t="n">
        <v>167.99</v>
      </c>
      <c r="O305" s="10">
        <f>IFERROR(VLOOKUP(A305,Flete!$A:$J,10,0),"")</f>
        <v/>
      </c>
      <c r="P305" s="8" t="inlineStr">
        <is>
          <t>TN</t>
        </is>
      </c>
      <c r="Q305" s="10">
        <f>IFERROR(IFERROR(VLOOKUP(A305,TRAOPE!$A:$U,21,0),VLOOKUP(B305,TRAOPE!$A:$U,21,0)),"")</f>
        <v/>
      </c>
      <c r="R305" s="8">
        <f>IFERROR(IFERROR(VLOOKUP(A305,TRAOPE!$A:$W,23,0),VLOOKUP(B305,TRAOPE!$A:$W,23,0)),"")</f>
        <v/>
      </c>
      <c r="S305" s="10">
        <f>IF(AND(P305="TN",R305="TN"),N305+N(O305),IF(G305&amp;""="1",N(K305)*N305,(N305+N(O305))*N(K305)))</f>
        <v/>
      </c>
      <c r="T305" s="10">
        <f>IF(Q305="","",Q305-S305)</f>
        <v/>
      </c>
    </row>
    <row r="306">
      <c r="A306" s="7">
        <f>CONCATENATE(C306,E306,F306,I306)</f>
        <v/>
      </c>
      <c r="B306" s="7">
        <f>CONCATENATE(C306,E306,I306)</f>
        <v/>
      </c>
      <c r="C306" s="8" t="n">
        <v>900004356</v>
      </c>
      <c r="D306" s="7">
        <f>IFERROR(VLOOKUP(C306,TRAOPE!$G:$H,2,0),"")</f>
        <v/>
      </c>
      <c r="E306" s="8" t="inlineStr">
        <is>
          <t>DW68</t>
        </is>
      </c>
      <c r="F306" s="8" t="inlineStr">
        <is>
          <t>D242</t>
        </is>
      </c>
      <c r="G306" s="8">
        <f>IFERROR(VLOOKUP(A306,Flete!$A:$E,5,0),"")</f>
        <v/>
      </c>
      <c r="H306" s="7">
        <f>IFERROR(VLOOKUP(F306,TRAOPE!$AA:$AB,2,0),"")</f>
        <v/>
      </c>
      <c r="I306" s="7" t="n">
        <v>10000437</v>
      </c>
      <c r="J306" s="7">
        <f>IFERROR(VLOOKUP(I306,Materiales!$A:$H,8,0),"")</f>
        <v/>
      </c>
      <c r="K306" s="9">
        <f>IFERROR(VLOOKUP(I306,Materiales!$A:$G,7,0),"")</f>
        <v/>
      </c>
      <c r="L306" s="8" t="inlineStr">
        <is>
          <t>20251014</t>
        </is>
      </c>
      <c r="M306" s="8" t="inlineStr">
        <is>
          <t>20260506</t>
        </is>
      </c>
      <c r="N306" s="10" t="n">
        <v>196.01</v>
      </c>
      <c r="O306" s="10">
        <f>IFERROR(VLOOKUP(A306,Flete!$A:$J,10,0),"")</f>
        <v/>
      </c>
      <c r="P306" s="8" t="inlineStr">
        <is>
          <t>TN</t>
        </is>
      </c>
      <c r="Q306" s="10">
        <f>IFERROR(IFERROR(VLOOKUP(A306,TRAOPE!$A:$U,21,0),VLOOKUP(B306,TRAOPE!$A:$U,21,0)),"")</f>
        <v/>
      </c>
      <c r="R306" s="8">
        <f>IFERROR(IFERROR(VLOOKUP(A306,TRAOPE!$A:$W,23,0),VLOOKUP(B306,TRAOPE!$A:$W,23,0)),"")</f>
        <v/>
      </c>
      <c r="S306" s="10">
        <f>IF(AND(P306="TN",R306="TN"),N306+N(O306),IF(G306&amp;""="1",N(K306)*N306,(N306+N(O306))*N(K306)))</f>
        <v/>
      </c>
      <c r="T306" s="10">
        <f>IF(Q306="","",Q306-S306)</f>
        <v/>
      </c>
    </row>
    <row r="307">
      <c r="A307" s="7">
        <f>CONCATENATE(C307,E307,F307,I307)</f>
        <v/>
      </c>
      <c r="B307" s="7">
        <f>CONCATENATE(C307,E307,I307)</f>
        <v/>
      </c>
      <c r="C307" s="8" t="n">
        <v>900004356</v>
      </c>
      <c r="D307" s="7">
        <f>IFERROR(VLOOKUP(C307,TRAOPE!$G:$H,2,0),"")</f>
        <v/>
      </c>
      <c r="E307" s="8" t="inlineStr">
        <is>
          <t>DW68</t>
        </is>
      </c>
      <c r="F307" s="8" t="inlineStr">
        <is>
          <t>D242</t>
        </is>
      </c>
      <c r="G307" s="8">
        <f>IFERROR(VLOOKUP(A307,Flete!$A:$E,5,0),"")</f>
        <v/>
      </c>
      <c r="H307" s="7">
        <f>IFERROR(VLOOKUP(F307,TRAOPE!$AA:$AB,2,0),"")</f>
        <v/>
      </c>
      <c r="I307" s="7" t="n">
        <v>10268650</v>
      </c>
      <c r="J307" s="7">
        <f>IFERROR(VLOOKUP(I307,Materiales!$A:$H,8,0),"")</f>
        <v/>
      </c>
      <c r="K307" s="9">
        <f>IFERROR(VLOOKUP(I307,Materiales!$A:$G,7,0),"")</f>
        <v/>
      </c>
      <c r="L307" s="8" t="inlineStr">
        <is>
          <t>20260526</t>
        </is>
      </c>
      <c r="M307" s="8" t="inlineStr">
        <is>
          <t>99991231</t>
        </is>
      </c>
      <c r="N307" s="10" t="n">
        <v>226.92</v>
      </c>
      <c r="O307" s="10">
        <f>IFERROR(VLOOKUP(A307,Flete!$A:$J,10,0),"")</f>
        <v/>
      </c>
      <c r="P307" s="8" t="inlineStr">
        <is>
          <t>TN</t>
        </is>
      </c>
      <c r="Q307" s="10">
        <f>IFERROR(IFERROR(VLOOKUP(A307,TRAOPE!$A:$U,21,0),VLOOKUP(B307,TRAOPE!$A:$U,21,0)),"")</f>
        <v/>
      </c>
      <c r="R307" s="8">
        <f>IFERROR(IFERROR(VLOOKUP(A307,TRAOPE!$A:$W,23,0),VLOOKUP(B307,TRAOPE!$A:$W,23,0)),"")</f>
        <v/>
      </c>
      <c r="S307" s="10">
        <f>IF(AND(P307="TN",R307="TN"),N307+N(O307),IF(G307&amp;""="1",N(K307)*N307,(N307+N(O307))*N(K307)))</f>
        <v/>
      </c>
      <c r="T307" s="10">
        <f>IF(Q307="","",Q307-S307)</f>
        <v/>
      </c>
    </row>
    <row r="308">
      <c r="A308" s="7">
        <f>CONCATENATE(C308,E308,F308,I308)</f>
        <v/>
      </c>
      <c r="B308" s="7">
        <f>CONCATENATE(C308,E308,I308)</f>
        <v/>
      </c>
      <c r="C308" s="8" t="n">
        <v>900004356</v>
      </c>
      <c r="D308" s="7">
        <f>IFERROR(VLOOKUP(C308,TRAOPE!$G:$H,2,0),"")</f>
        <v/>
      </c>
      <c r="E308" s="8" t="inlineStr">
        <is>
          <t>DW68</t>
        </is>
      </c>
      <c r="F308" s="8" t="inlineStr">
        <is>
          <t>D247</t>
        </is>
      </c>
      <c r="G308" s="8">
        <f>IFERROR(VLOOKUP(A308,Flete!$A:$E,5,0),"")</f>
        <v/>
      </c>
      <c r="H308" s="7">
        <f>IFERROR(VLOOKUP(F308,TRAOPE!$AA:$AB,2,0),"")</f>
        <v/>
      </c>
      <c r="I308" s="7" t="n">
        <v>10000191</v>
      </c>
      <c r="J308" s="7">
        <f>IFERROR(VLOOKUP(I308,Materiales!$A:$H,8,0),"")</f>
        <v/>
      </c>
      <c r="K308" s="9">
        <f>IFERROR(VLOOKUP(I308,Materiales!$A:$G,7,0),"")</f>
        <v/>
      </c>
      <c r="L308" s="8" t="inlineStr">
        <is>
          <t>20220516</t>
        </is>
      </c>
      <c r="M308" s="8" t="inlineStr">
        <is>
          <t>20250219</t>
        </is>
      </c>
      <c r="N308" s="10" t="n">
        <v>100.71</v>
      </c>
      <c r="O308" s="10">
        <f>IFERROR(VLOOKUP(A308,Flete!$A:$J,10,0),"")</f>
        <v/>
      </c>
      <c r="P308" s="8" t="inlineStr">
        <is>
          <t>TN</t>
        </is>
      </c>
      <c r="Q308" s="10">
        <f>IFERROR(IFERROR(VLOOKUP(A308,TRAOPE!$A:$U,21,0),VLOOKUP(B308,TRAOPE!$A:$U,21,0)),"")</f>
        <v/>
      </c>
      <c r="R308" s="8">
        <f>IFERROR(IFERROR(VLOOKUP(A308,TRAOPE!$A:$W,23,0),VLOOKUP(B308,TRAOPE!$A:$W,23,0)),"")</f>
        <v/>
      </c>
      <c r="S308" s="10">
        <f>IF(AND(P308="TN",R308="TN"),N308+N(O308),IF(G308&amp;""="1",N(K308)*N308,(N308+N(O308))*N(K308)))</f>
        <v/>
      </c>
      <c r="T308" s="10">
        <f>IF(Q308="","",Q308-S308)</f>
        <v/>
      </c>
    </row>
    <row r="309">
      <c r="A309" s="7">
        <f>CONCATENATE(C309,E309,F309,I309)</f>
        <v/>
      </c>
      <c r="B309" s="7">
        <f>CONCATENATE(C309,E309,I309)</f>
        <v/>
      </c>
      <c r="C309" s="8" t="n">
        <v>900004356</v>
      </c>
      <c r="D309" s="7">
        <f>IFERROR(VLOOKUP(C309,TRAOPE!$G:$H,2,0),"")</f>
        <v/>
      </c>
      <c r="E309" s="8" t="inlineStr">
        <is>
          <t>DW68</t>
        </is>
      </c>
      <c r="F309" s="8" t="inlineStr">
        <is>
          <t>D247</t>
        </is>
      </c>
      <c r="G309" s="8">
        <f>IFERROR(VLOOKUP(A309,Flete!$A:$E,5,0),"")</f>
        <v/>
      </c>
      <c r="H309" s="7">
        <f>IFERROR(VLOOKUP(F309,TRAOPE!$AA:$AB,2,0),"")</f>
        <v/>
      </c>
      <c r="I309" s="7" t="n">
        <v>10000388</v>
      </c>
      <c r="J309" s="7">
        <f>IFERROR(VLOOKUP(I309,Materiales!$A:$H,8,0),"")</f>
        <v/>
      </c>
      <c r="K309" s="9">
        <f>IFERROR(VLOOKUP(I309,Materiales!$A:$G,7,0),"")</f>
        <v/>
      </c>
      <c r="L309" s="8" t="inlineStr">
        <is>
          <t>20250301</t>
        </is>
      </c>
      <c r="M309" s="8" t="inlineStr">
        <is>
          <t>20250708</t>
        </is>
      </c>
      <c r="N309" s="10" t="n">
        <v>167.99</v>
      </c>
      <c r="O309" s="10">
        <f>IFERROR(VLOOKUP(A309,Flete!$A:$J,10,0),"")</f>
        <v/>
      </c>
      <c r="P309" s="8" t="inlineStr">
        <is>
          <t>TN</t>
        </is>
      </c>
      <c r="Q309" s="10">
        <f>IFERROR(IFERROR(VLOOKUP(A309,TRAOPE!$A:$U,21,0),VLOOKUP(B309,TRAOPE!$A:$U,21,0)),"")</f>
        <v/>
      </c>
      <c r="R309" s="8">
        <f>IFERROR(IFERROR(VLOOKUP(A309,TRAOPE!$A:$W,23,0),VLOOKUP(B309,TRAOPE!$A:$W,23,0)),"")</f>
        <v/>
      </c>
      <c r="S309" s="10">
        <f>IF(AND(P309="TN",R309="TN"),N309+N(O309),IF(G309&amp;""="1",N(K309)*N309,(N309+N(O309))*N(K309)))</f>
        <v/>
      </c>
      <c r="T309" s="10">
        <f>IF(Q309="","",Q309-S309)</f>
        <v/>
      </c>
    </row>
    <row r="310">
      <c r="A310" s="7">
        <f>CONCATENATE(C310,E310,F310,I310)</f>
        <v/>
      </c>
      <c r="B310" s="7">
        <f>CONCATENATE(C310,E310,I310)</f>
        <v/>
      </c>
      <c r="C310" s="8" t="n">
        <v>900004356</v>
      </c>
      <c r="D310" s="7">
        <f>IFERROR(VLOOKUP(C310,TRAOPE!$G:$H,2,0),"")</f>
        <v/>
      </c>
      <c r="E310" s="8" t="inlineStr">
        <is>
          <t>DW68</t>
        </is>
      </c>
      <c r="F310" s="8" t="inlineStr">
        <is>
          <t>D247</t>
        </is>
      </c>
      <c r="G310" s="8">
        <f>IFERROR(VLOOKUP(A310,Flete!$A:$E,5,0),"")</f>
        <v/>
      </c>
      <c r="H310" s="7">
        <f>IFERROR(VLOOKUP(F310,TRAOPE!$AA:$AB,2,0),"")</f>
        <v/>
      </c>
      <c r="I310" s="7" t="n">
        <v>10000437</v>
      </c>
      <c r="J310" s="7">
        <f>IFERROR(VLOOKUP(I310,Materiales!$A:$H,8,0),"")</f>
        <v/>
      </c>
      <c r="K310" s="9">
        <f>IFERROR(VLOOKUP(I310,Materiales!$A:$G,7,0),"")</f>
        <v/>
      </c>
      <c r="L310" s="8" t="inlineStr">
        <is>
          <t>20251014</t>
        </is>
      </c>
      <c r="M310" s="8" t="inlineStr">
        <is>
          <t>20260506</t>
        </is>
      </c>
      <c r="N310" s="10" t="n">
        <v>196.01</v>
      </c>
      <c r="O310" s="10">
        <f>IFERROR(VLOOKUP(A310,Flete!$A:$J,10,0),"")</f>
        <v/>
      </c>
      <c r="P310" s="8" t="inlineStr">
        <is>
          <t>TN</t>
        </is>
      </c>
      <c r="Q310" s="10">
        <f>IFERROR(IFERROR(VLOOKUP(A310,TRAOPE!$A:$U,21,0),VLOOKUP(B310,TRAOPE!$A:$U,21,0)),"")</f>
        <v/>
      </c>
      <c r="R310" s="8">
        <f>IFERROR(IFERROR(VLOOKUP(A310,TRAOPE!$A:$W,23,0),VLOOKUP(B310,TRAOPE!$A:$W,23,0)),"")</f>
        <v/>
      </c>
      <c r="S310" s="10">
        <f>IF(AND(P310="TN",R310="TN"),N310+N(O310),IF(G310&amp;""="1",N(K310)*N310,(N310+N(O310))*N(K310)))</f>
        <v/>
      </c>
      <c r="T310" s="10">
        <f>IF(Q310="","",Q310-S310)</f>
        <v/>
      </c>
    </row>
    <row r="311">
      <c r="A311" s="7">
        <f>CONCATENATE(C311,E311,F311,I311)</f>
        <v/>
      </c>
      <c r="B311" s="7">
        <f>CONCATENATE(C311,E311,I311)</f>
        <v/>
      </c>
      <c r="C311" s="8" t="n">
        <v>900004356</v>
      </c>
      <c r="D311" s="7">
        <f>IFERROR(VLOOKUP(C311,TRAOPE!$G:$H,2,0),"")</f>
        <v/>
      </c>
      <c r="E311" s="8" t="inlineStr">
        <is>
          <t>DW68</t>
        </is>
      </c>
      <c r="F311" s="8" t="inlineStr">
        <is>
          <t>D247</t>
        </is>
      </c>
      <c r="G311" s="8">
        <f>IFERROR(VLOOKUP(A311,Flete!$A:$E,5,0),"")</f>
        <v/>
      </c>
      <c r="H311" s="7">
        <f>IFERROR(VLOOKUP(F311,TRAOPE!$AA:$AB,2,0),"")</f>
        <v/>
      </c>
      <c r="I311" s="7" t="n">
        <v>10268650</v>
      </c>
      <c r="J311" s="7">
        <f>IFERROR(VLOOKUP(I311,Materiales!$A:$H,8,0),"")</f>
        <v/>
      </c>
      <c r="K311" s="9">
        <f>IFERROR(VLOOKUP(I311,Materiales!$A:$G,7,0),"")</f>
        <v/>
      </c>
      <c r="L311" s="8" t="inlineStr">
        <is>
          <t>20260526</t>
        </is>
      </c>
      <c r="M311" s="8" t="inlineStr">
        <is>
          <t>99991231</t>
        </is>
      </c>
      <c r="N311" s="10" t="n">
        <v>226.92</v>
      </c>
      <c r="O311" s="10">
        <f>IFERROR(VLOOKUP(A311,Flete!$A:$J,10,0),"")</f>
        <v/>
      </c>
      <c r="P311" s="8" t="inlineStr">
        <is>
          <t>TN</t>
        </is>
      </c>
      <c r="Q311" s="10">
        <f>IFERROR(IFERROR(VLOOKUP(A311,TRAOPE!$A:$U,21,0),VLOOKUP(B311,TRAOPE!$A:$U,21,0)),"")</f>
        <v/>
      </c>
      <c r="R311" s="8">
        <f>IFERROR(IFERROR(VLOOKUP(A311,TRAOPE!$A:$W,23,0),VLOOKUP(B311,TRAOPE!$A:$W,23,0)),"")</f>
        <v/>
      </c>
      <c r="S311" s="10">
        <f>IF(AND(P311="TN",R311="TN"),N311+N(O311),IF(G311&amp;""="1",N(K311)*N311,(N311+N(O311))*N(K311)))</f>
        <v/>
      </c>
      <c r="T311" s="10">
        <f>IF(Q311="","",Q311-S311)</f>
        <v/>
      </c>
    </row>
    <row r="312">
      <c r="A312" s="7">
        <f>CONCATENATE(C312,E312,F312,I312)</f>
        <v/>
      </c>
      <c r="B312" s="7">
        <f>CONCATENATE(C312,E312,I312)</f>
        <v/>
      </c>
      <c r="C312" s="8" t="n">
        <v>900004356</v>
      </c>
      <c r="D312" s="7">
        <f>IFERROR(VLOOKUP(C312,TRAOPE!$G:$H,2,0),"")</f>
        <v/>
      </c>
      <c r="E312" s="8" t="inlineStr">
        <is>
          <t>DW68</t>
        </is>
      </c>
      <c r="F312" s="8" t="inlineStr">
        <is>
          <t>D251</t>
        </is>
      </c>
      <c r="G312" s="8">
        <f>IFERROR(VLOOKUP(A312,Flete!$A:$E,5,0),"")</f>
        <v/>
      </c>
      <c r="H312" s="7">
        <f>IFERROR(VLOOKUP(F312,TRAOPE!$AA:$AB,2,0),"")</f>
        <v/>
      </c>
      <c r="I312" s="7" t="n">
        <v>10000191</v>
      </c>
      <c r="J312" s="7">
        <f>IFERROR(VLOOKUP(I312,Materiales!$A:$H,8,0),"")</f>
        <v/>
      </c>
      <c r="K312" s="9">
        <f>IFERROR(VLOOKUP(I312,Materiales!$A:$G,7,0),"")</f>
        <v/>
      </c>
      <c r="L312" s="8" t="inlineStr">
        <is>
          <t>20220516</t>
        </is>
      </c>
      <c r="M312" s="8" t="inlineStr">
        <is>
          <t>20250219</t>
        </is>
      </c>
      <c r="N312" s="10" t="n">
        <v>100.71</v>
      </c>
      <c r="O312" s="10">
        <f>IFERROR(VLOOKUP(A312,Flete!$A:$J,10,0),"")</f>
        <v/>
      </c>
      <c r="P312" s="8" t="inlineStr">
        <is>
          <t>TN</t>
        </is>
      </c>
      <c r="Q312" s="10">
        <f>IFERROR(IFERROR(VLOOKUP(A312,TRAOPE!$A:$U,21,0),VLOOKUP(B312,TRAOPE!$A:$U,21,0)),"")</f>
        <v/>
      </c>
      <c r="R312" s="8">
        <f>IFERROR(IFERROR(VLOOKUP(A312,TRAOPE!$A:$W,23,0),VLOOKUP(B312,TRAOPE!$A:$W,23,0)),"")</f>
        <v/>
      </c>
      <c r="S312" s="10">
        <f>IF(AND(P312="TN",R312="TN"),N312+N(O312),IF(G312&amp;""="1",N(K312)*N312,(N312+N(O312))*N(K312)))</f>
        <v/>
      </c>
      <c r="T312" s="10">
        <f>IF(Q312="","",Q312-S312)</f>
        <v/>
      </c>
    </row>
    <row r="313">
      <c r="A313" s="7">
        <f>CONCATENATE(C313,E313,F313,I313)</f>
        <v/>
      </c>
      <c r="B313" s="7">
        <f>CONCATENATE(C313,E313,I313)</f>
        <v/>
      </c>
      <c r="C313" s="8" t="n">
        <v>900004356</v>
      </c>
      <c r="D313" s="7">
        <f>IFERROR(VLOOKUP(C313,TRAOPE!$G:$H,2,0),"")</f>
        <v/>
      </c>
      <c r="E313" s="8" t="inlineStr">
        <is>
          <t>DW68</t>
        </is>
      </c>
      <c r="F313" s="8" t="inlineStr">
        <is>
          <t>D251</t>
        </is>
      </c>
      <c r="G313" s="8">
        <f>IFERROR(VLOOKUP(A313,Flete!$A:$E,5,0),"")</f>
        <v/>
      </c>
      <c r="H313" s="7">
        <f>IFERROR(VLOOKUP(F313,TRAOPE!$AA:$AB,2,0),"")</f>
        <v/>
      </c>
      <c r="I313" s="7" t="n">
        <v>10000388</v>
      </c>
      <c r="J313" s="7">
        <f>IFERROR(VLOOKUP(I313,Materiales!$A:$H,8,0),"")</f>
        <v/>
      </c>
      <c r="K313" s="9">
        <f>IFERROR(VLOOKUP(I313,Materiales!$A:$G,7,0),"")</f>
        <v/>
      </c>
      <c r="L313" s="8" t="inlineStr">
        <is>
          <t>20250301</t>
        </is>
      </c>
      <c r="M313" s="8" t="inlineStr">
        <is>
          <t>20250708</t>
        </is>
      </c>
      <c r="N313" s="10" t="n">
        <v>167.99</v>
      </c>
      <c r="O313" s="10">
        <f>IFERROR(VLOOKUP(A313,Flete!$A:$J,10,0),"")</f>
        <v/>
      </c>
      <c r="P313" s="8" t="inlineStr">
        <is>
          <t>TN</t>
        </is>
      </c>
      <c r="Q313" s="10">
        <f>IFERROR(IFERROR(VLOOKUP(A313,TRAOPE!$A:$U,21,0),VLOOKUP(B313,TRAOPE!$A:$U,21,0)),"")</f>
        <v/>
      </c>
      <c r="R313" s="8">
        <f>IFERROR(IFERROR(VLOOKUP(A313,TRAOPE!$A:$W,23,0),VLOOKUP(B313,TRAOPE!$A:$W,23,0)),"")</f>
        <v/>
      </c>
      <c r="S313" s="10">
        <f>IF(AND(P313="TN",R313="TN"),N313+N(O313),IF(G313&amp;""="1",N(K313)*N313,(N313+N(O313))*N(K313)))</f>
        <v/>
      </c>
      <c r="T313" s="10">
        <f>IF(Q313="","",Q313-S313)</f>
        <v/>
      </c>
    </row>
    <row r="314">
      <c r="A314" s="7">
        <f>CONCATENATE(C314,E314,F314,I314)</f>
        <v/>
      </c>
      <c r="B314" s="7">
        <f>CONCATENATE(C314,E314,I314)</f>
        <v/>
      </c>
      <c r="C314" s="8" t="n">
        <v>900004356</v>
      </c>
      <c r="D314" s="7">
        <f>IFERROR(VLOOKUP(C314,TRAOPE!$G:$H,2,0),"")</f>
        <v/>
      </c>
      <c r="E314" s="8" t="inlineStr">
        <is>
          <t>DW68</t>
        </is>
      </c>
      <c r="F314" s="8" t="inlineStr">
        <is>
          <t>D251</t>
        </is>
      </c>
      <c r="G314" s="8">
        <f>IFERROR(VLOOKUP(A314,Flete!$A:$E,5,0),"")</f>
        <v/>
      </c>
      <c r="H314" s="7">
        <f>IFERROR(VLOOKUP(F314,TRAOPE!$AA:$AB,2,0),"")</f>
        <v/>
      </c>
      <c r="I314" s="7" t="n">
        <v>10000437</v>
      </c>
      <c r="J314" s="7">
        <f>IFERROR(VLOOKUP(I314,Materiales!$A:$H,8,0),"")</f>
        <v/>
      </c>
      <c r="K314" s="9">
        <f>IFERROR(VLOOKUP(I314,Materiales!$A:$G,7,0),"")</f>
        <v/>
      </c>
      <c r="L314" s="8" t="inlineStr">
        <is>
          <t>20251014</t>
        </is>
      </c>
      <c r="M314" s="8" t="inlineStr">
        <is>
          <t>20260506</t>
        </is>
      </c>
      <c r="N314" s="10" t="n">
        <v>196.01</v>
      </c>
      <c r="O314" s="10">
        <f>IFERROR(VLOOKUP(A314,Flete!$A:$J,10,0),"")</f>
        <v/>
      </c>
      <c r="P314" s="8" t="inlineStr">
        <is>
          <t>TN</t>
        </is>
      </c>
      <c r="Q314" s="10">
        <f>IFERROR(IFERROR(VLOOKUP(A314,TRAOPE!$A:$U,21,0),VLOOKUP(B314,TRAOPE!$A:$U,21,0)),"")</f>
        <v/>
      </c>
      <c r="R314" s="8">
        <f>IFERROR(IFERROR(VLOOKUP(A314,TRAOPE!$A:$W,23,0),VLOOKUP(B314,TRAOPE!$A:$W,23,0)),"")</f>
        <v/>
      </c>
      <c r="S314" s="10">
        <f>IF(AND(P314="TN",R314="TN"),N314+N(O314),IF(G314&amp;""="1",N(K314)*N314,(N314+N(O314))*N(K314)))</f>
        <v/>
      </c>
      <c r="T314" s="10">
        <f>IF(Q314="","",Q314-S314)</f>
        <v/>
      </c>
    </row>
    <row r="315">
      <c r="A315" s="7">
        <f>CONCATENATE(C315,E315,F315,I315)</f>
        <v/>
      </c>
      <c r="B315" s="7">
        <f>CONCATENATE(C315,E315,I315)</f>
        <v/>
      </c>
      <c r="C315" s="8" t="n">
        <v>900004356</v>
      </c>
      <c r="D315" s="7">
        <f>IFERROR(VLOOKUP(C315,TRAOPE!$G:$H,2,0),"")</f>
        <v/>
      </c>
      <c r="E315" s="8" t="inlineStr">
        <is>
          <t>DW68</t>
        </is>
      </c>
      <c r="F315" s="8" t="inlineStr">
        <is>
          <t>D251</t>
        </is>
      </c>
      <c r="G315" s="8">
        <f>IFERROR(VLOOKUP(A315,Flete!$A:$E,5,0),"")</f>
        <v/>
      </c>
      <c r="H315" s="7">
        <f>IFERROR(VLOOKUP(F315,TRAOPE!$AA:$AB,2,0),"")</f>
        <v/>
      </c>
      <c r="I315" s="7" t="n">
        <v>10268650</v>
      </c>
      <c r="J315" s="7">
        <f>IFERROR(VLOOKUP(I315,Materiales!$A:$H,8,0),"")</f>
        <v/>
      </c>
      <c r="K315" s="9">
        <f>IFERROR(VLOOKUP(I315,Materiales!$A:$G,7,0),"")</f>
        <v/>
      </c>
      <c r="L315" s="8" t="inlineStr">
        <is>
          <t>20260526</t>
        </is>
      </c>
      <c r="M315" s="8" t="inlineStr">
        <is>
          <t>99991231</t>
        </is>
      </c>
      <c r="N315" s="10" t="n">
        <v>226.92</v>
      </c>
      <c r="O315" s="10">
        <f>IFERROR(VLOOKUP(A315,Flete!$A:$J,10,0),"")</f>
        <v/>
      </c>
      <c r="P315" s="8" t="inlineStr">
        <is>
          <t>TN</t>
        </is>
      </c>
      <c r="Q315" s="10">
        <f>IFERROR(IFERROR(VLOOKUP(A315,TRAOPE!$A:$U,21,0),VLOOKUP(B315,TRAOPE!$A:$U,21,0)),"")</f>
        <v/>
      </c>
      <c r="R315" s="8">
        <f>IFERROR(IFERROR(VLOOKUP(A315,TRAOPE!$A:$W,23,0),VLOOKUP(B315,TRAOPE!$A:$W,23,0)),"")</f>
        <v/>
      </c>
      <c r="S315" s="10">
        <f>IF(AND(P315="TN",R315="TN"),N315+N(O315),IF(G315&amp;""="1",N(K315)*N315,(N315+N(O315))*N(K315)))</f>
        <v/>
      </c>
      <c r="T315" s="10">
        <f>IF(Q315="","",Q315-S315)</f>
        <v/>
      </c>
    </row>
    <row r="316">
      <c r="A316" s="7">
        <f>CONCATENATE(C316,E316,F316,I316)</f>
        <v/>
      </c>
      <c r="B316" s="7">
        <f>CONCATENATE(C316,E316,I316)</f>
        <v/>
      </c>
      <c r="C316" s="8" t="n">
        <v>900004356</v>
      </c>
      <c r="D316" s="7">
        <f>IFERROR(VLOOKUP(C316,TRAOPE!$G:$H,2,0),"")</f>
        <v/>
      </c>
      <c r="E316" s="8" t="inlineStr">
        <is>
          <t>DW68</t>
        </is>
      </c>
      <c r="F316" s="8" t="inlineStr">
        <is>
          <t>D264</t>
        </is>
      </c>
      <c r="G316" s="8">
        <f>IFERROR(VLOOKUP(A316,Flete!$A:$E,5,0),"")</f>
        <v/>
      </c>
      <c r="H316" s="7">
        <f>IFERROR(VLOOKUP(F316,TRAOPE!$AA:$AB,2,0),"")</f>
        <v/>
      </c>
      <c r="I316" s="7" t="n">
        <v>10000191</v>
      </c>
      <c r="J316" s="7">
        <f>IFERROR(VLOOKUP(I316,Materiales!$A:$H,8,0),"")</f>
        <v/>
      </c>
      <c r="K316" s="9">
        <f>IFERROR(VLOOKUP(I316,Materiales!$A:$G,7,0),"")</f>
        <v/>
      </c>
      <c r="L316" s="8" t="inlineStr">
        <is>
          <t>20220516</t>
        </is>
      </c>
      <c r="M316" s="8" t="inlineStr">
        <is>
          <t>20250219</t>
        </is>
      </c>
      <c r="N316" s="10" t="n">
        <v>100.71</v>
      </c>
      <c r="O316" s="10">
        <f>IFERROR(VLOOKUP(A316,Flete!$A:$J,10,0),"")</f>
        <v/>
      </c>
      <c r="P316" s="8" t="inlineStr">
        <is>
          <t>TN</t>
        </is>
      </c>
      <c r="Q316" s="10">
        <f>IFERROR(IFERROR(VLOOKUP(A316,TRAOPE!$A:$U,21,0),VLOOKUP(B316,TRAOPE!$A:$U,21,0)),"")</f>
        <v/>
      </c>
      <c r="R316" s="8">
        <f>IFERROR(IFERROR(VLOOKUP(A316,TRAOPE!$A:$W,23,0),VLOOKUP(B316,TRAOPE!$A:$W,23,0)),"")</f>
        <v/>
      </c>
      <c r="S316" s="10">
        <f>IF(AND(P316="TN",R316="TN"),N316+N(O316),IF(G316&amp;""="1",N(K316)*N316,(N316+N(O316))*N(K316)))</f>
        <v/>
      </c>
      <c r="T316" s="10">
        <f>IF(Q316="","",Q316-S316)</f>
        <v/>
      </c>
    </row>
    <row r="317">
      <c r="A317" s="7">
        <f>CONCATENATE(C317,E317,F317,I317)</f>
        <v/>
      </c>
      <c r="B317" s="7">
        <f>CONCATENATE(C317,E317,I317)</f>
        <v/>
      </c>
      <c r="C317" s="8" t="n">
        <v>900004356</v>
      </c>
      <c r="D317" s="7">
        <f>IFERROR(VLOOKUP(C317,TRAOPE!$G:$H,2,0),"")</f>
        <v/>
      </c>
      <c r="E317" s="8" t="inlineStr">
        <is>
          <t>DW68</t>
        </is>
      </c>
      <c r="F317" s="8" t="inlineStr">
        <is>
          <t>D264</t>
        </is>
      </c>
      <c r="G317" s="8">
        <f>IFERROR(VLOOKUP(A317,Flete!$A:$E,5,0),"")</f>
        <v/>
      </c>
      <c r="H317" s="7">
        <f>IFERROR(VLOOKUP(F317,TRAOPE!$AA:$AB,2,0),"")</f>
        <v/>
      </c>
      <c r="I317" s="7" t="n">
        <v>10000388</v>
      </c>
      <c r="J317" s="7">
        <f>IFERROR(VLOOKUP(I317,Materiales!$A:$H,8,0),"")</f>
        <v/>
      </c>
      <c r="K317" s="9">
        <f>IFERROR(VLOOKUP(I317,Materiales!$A:$G,7,0),"")</f>
        <v/>
      </c>
      <c r="L317" s="8" t="inlineStr">
        <is>
          <t>20250301</t>
        </is>
      </c>
      <c r="M317" s="8" t="inlineStr">
        <is>
          <t>20250708</t>
        </is>
      </c>
      <c r="N317" s="10" t="n">
        <v>167.99</v>
      </c>
      <c r="O317" s="10">
        <f>IFERROR(VLOOKUP(A317,Flete!$A:$J,10,0),"")</f>
        <v/>
      </c>
      <c r="P317" s="8" t="inlineStr">
        <is>
          <t>TN</t>
        </is>
      </c>
      <c r="Q317" s="10">
        <f>IFERROR(IFERROR(VLOOKUP(A317,TRAOPE!$A:$U,21,0),VLOOKUP(B317,TRAOPE!$A:$U,21,0)),"")</f>
        <v/>
      </c>
      <c r="R317" s="8">
        <f>IFERROR(IFERROR(VLOOKUP(A317,TRAOPE!$A:$W,23,0),VLOOKUP(B317,TRAOPE!$A:$W,23,0)),"")</f>
        <v/>
      </c>
      <c r="S317" s="10">
        <f>IF(AND(P317="TN",R317="TN"),N317+N(O317),IF(G317&amp;""="1",N(K317)*N317,(N317+N(O317))*N(K317)))</f>
        <v/>
      </c>
      <c r="T317" s="10">
        <f>IF(Q317="","",Q317-S317)</f>
        <v/>
      </c>
    </row>
    <row r="318">
      <c r="A318" s="7">
        <f>CONCATENATE(C318,E318,F318,I318)</f>
        <v/>
      </c>
      <c r="B318" s="7">
        <f>CONCATENATE(C318,E318,I318)</f>
        <v/>
      </c>
      <c r="C318" s="8" t="n">
        <v>900004356</v>
      </c>
      <c r="D318" s="7">
        <f>IFERROR(VLOOKUP(C318,TRAOPE!$G:$H,2,0),"")</f>
        <v/>
      </c>
      <c r="E318" s="8" t="inlineStr">
        <is>
          <t>DW68</t>
        </is>
      </c>
      <c r="F318" s="8" t="inlineStr">
        <is>
          <t>D264</t>
        </is>
      </c>
      <c r="G318" s="8">
        <f>IFERROR(VLOOKUP(A318,Flete!$A:$E,5,0),"")</f>
        <v/>
      </c>
      <c r="H318" s="7">
        <f>IFERROR(VLOOKUP(F318,TRAOPE!$AA:$AB,2,0),"")</f>
        <v/>
      </c>
      <c r="I318" s="7" t="n">
        <v>10000437</v>
      </c>
      <c r="J318" s="7">
        <f>IFERROR(VLOOKUP(I318,Materiales!$A:$H,8,0),"")</f>
        <v/>
      </c>
      <c r="K318" s="9">
        <f>IFERROR(VLOOKUP(I318,Materiales!$A:$G,7,0),"")</f>
        <v/>
      </c>
      <c r="L318" s="8" t="inlineStr">
        <is>
          <t>20251014</t>
        </is>
      </c>
      <c r="M318" s="8" t="inlineStr">
        <is>
          <t>20260506</t>
        </is>
      </c>
      <c r="N318" s="10" t="n">
        <v>196.01</v>
      </c>
      <c r="O318" s="10">
        <f>IFERROR(VLOOKUP(A318,Flete!$A:$J,10,0),"")</f>
        <v/>
      </c>
      <c r="P318" s="8" t="inlineStr">
        <is>
          <t>TN</t>
        </is>
      </c>
      <c r="Q318" s="10">
        <f>IFERROR(IFERROR(VLOOKUP(A318,TRAOPE!$A:$U,21,0),VLOOKUP(B318,TRAOPE!$A:$U,21,0)),"")</f>
        <v/>
      </c>
      <c r="R318" s="8">
        <f>IFERROR(IFERROR(VLOOKUP(A318,TRAOPE!$A:$W,23,0),VLOOKUP(B318,TRAOPE!$A:$W,23,0)),"")</f>
        <v/>
      </c>
      <c r="S318" s="10">
        <f>IF(AND(P318="TN",R318="TN"),N318+N(O318),IF(G318&amp;""="1",N(K318)*N318,(N318+N(O318))*N(K318)))</f>
        <v/>
      </c>
      <c r="T318" s="10">
        <f>IF(Q318="","",Q318-S318)</f>
        <v/>
      </c>
    </row>
    <row r="319">
      <c r="A319" s="7">
        <f>CONCATENATE(C319,E319,F319,I319)</f>
        <v/>
      </c>
      <c r="B319" s="7">
        <f>CONCATENATE(C319,E319,I319)</f>
        <v/>
      </c>
      <c r="C319" s="8" t="n">
        <v>900004356</v>
      </c>
      <c r="D319" s="7">
        <f>IFERROR(VLOOKUP(C319,TRAOPE!$G:$H,2,0),"")</f>
        <v/>
      </c>
      <c r="E319" s="8" t="inlineStr">
        <is>
          <t>DW68</t>
        </is>
      </c>
      <c r="F319" s="8" t="inlineStr">
        <is>
          <t>D264</t>
        </is>
      </c>
      <c r="G319" s="8">
        <f>IFERROR(VLOOKUP(A319,Flete!$A:$E,5,0),"")</f>
        <v/>
      </c>
      <c r="H319" s="7">
        <f>IFERROR(VLOOKUP(F319,TRAOPE!$AA:$AB,2,0),"")</f>
        <v/>
      </c>
      <c r="I319" s="7" t="n">
        <v>10268650</v>
      </c>
      <c r="J319" s="7">
        <f>IFERROR(VLOOKUP(I319,Materiales!$A:$H,8,0),"")</f>
        <v/>
      </c>
      <c r="K319" s="9">
        <f>IFERROR(VLOOKUP(I319,Materiales!$A:$G,7,0),"")</f>
        <v/>
      </c>
      <c r="L319" s="8" t="inlineStr">
        <is>
          <t>20260526</t>
        </is>
      </c>
      <c r="M319" s="8" t="inlineStr">
        <is>
          <t>99991231</t>
        </is>
      </c>
      <c r="N319" s="10" t="n">
        <v>226.92</v>
      </c>
      <c r="O319" s="10">
        <f>IFERROR(VLOOKUP(A319,Flete!$A:$J,10,0),"")</f>
        <v/>
      </c>
      <c r="P319" s="8" t="inlineStr">
        <is>
          <t>TN</t>
        </is>
      </c>
      <c r="Q319" s="10">
        <f>IFERROR(IFERROR(VLOOKUP(A319,TRAOPE!$A:$U,21,0),VLOOKUP(B319,TRAOPE!$A:$U,21,0)),"")</f>
        <v/>
      </c>
      <c r="R319" s="8">
        <f>IFERROR(IFERROR(VLOOKUP(A319,TRAOPE!$A:$W,23,0),VLOOKUP(B319,TRAOPE!$A:$W,23,0)),"")</f>
        <v/>
      </c>
      <c r="S319" s="10">
        <f>IF(AND(P319="TN",R319="TN"),N319+N(O319),IF(G319&amp;""="1",N(K319)*N319,(N319+N(O319))*N(K319)))</f>
        <v/>
      </c>
      <c r="T319" s="10">
        <f>IF(Q319="","",Q319-S319)</f>
        <v/>
      </c>
    </row>
    <row r="320">
      <c r="A320" s="7">
        <f>CONCATENATE(C320,E320,F320,I320)</f>
        <v/>
      </c>
      <c r="B320" s="7">
        <f>CONCATENATE(C320,E320,I320)</f>
        <v/>
      </c>
      <c r="C320" s="8" t="n">
        <v>900004356</v>
      </c>
      <c r="D320" s="7">
        <f>IFERROR(VLOOKUP(C320,TRAOPE!$G:$H,2,0),"")</f>
        <v/>
      </c>
      <c r="E320" s="8" t="inlineStr">
        <is>
          <t>DW68</t>
        </is>
      </c>
      <c r="F320" s="8" t="inlineStr">
        <is>
          <t>D267</t>
        </is>
      </c>
      <c r="G320" s="8">
        <f>IFERROR(VLOOKUP(A320,Flete!$A:$E,5,0),"")</f>
        <v/>
      </c>
      <c r="H320" s="7">
        <f>IFERROR(VLOOKUP(F320,TRAOPE!$AA:$AB,2,0),"")</f>
        <v/>
      </c>
      <c r="I320" s="7" t="n">
        <v>10000191</v>
      </c>
      <c r="J320" s="7">
        <f>IFERROR(VLOOKUP(I320,Materiales!$A:$H,8,0),"")</f>
        <v/>
      </c>
      <c r="K320" s="9">
        <f>IFERROR(VLOOKUP(I320,Materiales!$A:$G,7,0),"")</f>
        <v/>
      </c>
      <c r="L320" s="8" t="inlineStr">
        <is>
          <t>20220516</t>
        </is>
      </c>
      <c r="M320" s="8" t="inlineStr">
        <is>
          <t>20250219</t>
        </is>
      </c>
      <c r="N320" s="10" t="n">
        <v>100.71</v>
      </c>
      <c r="O320" s="10">
        <f>IFERROR(VLOOKUP(A320,Flete!$A:$J,10,0),"")</f>
        <v/>
      </c>
      <c r="P320" s="8" t="inlineStr">
        <is>
          <t>TN</t>
        </is>
      </c>
      <c r="Q320" s="10">
        <f>IFERROR(IFERROR(VLOOKUP(A320,TRAOPE!$A:$U,21,0),VLOOKUP(B320,TRAOPE!$A:$U,21,0)),"")</f>
        <v/>
      </c>
      <c r="R320" s="8">
        <f>IFERROR(IFERROR(VLOOKUP(A320,TRAOPE!$A:$W,23,0),VLOOKUP(B320,TRAOPE!$A:$W,23,0)),"")</f>
        <v/>
      </c>
      <c r="S320" s="10">
        <f>IF(AND(P320="TN",R320="TN"),N320+N(O320),IF(G320&amp;""="1",N(K320)*N320,(N320+N(O320))*N(K320)))</f>
        <v/>
      </c>
      <c r="T320" s="10">
        <f>IF(Q320="","",Q320-S320)</f>
        <v/>
      </c>
    </row>
    <row r="321">
      <c r="A321" s="7">
        <f>CONCATENATE(C321,E321,F321,I321)</f>
        <v/>
      </c>
      <c r="B321" s="7">
        <f>CONCATENATE(C321,E321,I321)</f>
        <v/>
      </c>
      <c r="C321" s="8" t="n">
        <v>900004356</v>
      </c>
      <c r="D321" s="7">
        <f>IFERROR(VLOOKUP(C321,TRAOPE!$G:$H,2,0),"")</f>
        <v/>
      </c>
      <c r="E321" s="8" t="inlineStr">
        <is>
          <t>DW68</t>
        </is>
      </c>
      <c r="F321" s="8" t="inlineStr">
        <is>
          <t>D267</t>
        </is>
      </c>
      <c r="G321" s="8">
        <f>IFERROR(VLOOKUP(A321,Flete!$A:$E,5,0),"")</f>
        <v/>
      </c>
      <c r="H321" s="7">
        <f>IFERROR(VLOOKUP(F321,TRAOPE!$AA:$AB,2,0),"")</f>
        <v/>
      </c>
      <c r="I321" s="7" t="n">
        <v>10000388</v>
      </c>
      <c r="J321" s="7">
        <f>IFERROR(VLOOKUP(I321,Materiales!$A:$H,8,0),"")</f>
        <v/>
      </c>
      <c r="K321" s="9">
        <f>IFERROR(VLOOKUP(I321,Materiales!$A:$G,7,0),"")</f>
        <v/>
      </c>
      <c r="L321" s="8" t="inlineStr">
        <is>
          <t>20250301</t>
        </is>
      </c>
      <c r="M321" s="8" t="inlineStr">
        <is>
          <t>20250708</t>
        </is>
      </c>
      <c r="N321" s="10" t="n">
        <v>167.99</v>
      </c>
      <c r="O321" s="10">
        <f>IFERROR(VLOOKUP(A321,Flete!$A:$J,10,0),"")</f>
        <v/>
      </c>
      <c r="P321" s="8" t="inlineStr">
        <is>
          <t>TN</t>
        </is>
      </c>
      <c r="Q321" s="10">
        <f>IFERROR(IFERROR(VLOOKUP(A321,TRAOPE!$A:$U,21,0),VLOOKUP(B321,TRAOPE!$A:$U,21,0)),"")</f>
        <v/>
      </c>
      <c r="R321" s="8">
        <f>IFERROR(IFERROR(VLOOKUP(A321,TRAOPE!$A:$W,23,0),VLOOKUP(B321,TRAOPE!$A:$W,23,0)),"")</f>
        <v/>
      </c>
      <c r="S321" s="10">
        <f>IF(AND(P321="TN",R321="TN"),N321+N(O321),IF(G321&amp;""="1",N(K321)*N321,(N321+N(O321))*N(K321)))</f>
        <v/>
      </c>
      <c r="T321" s="10">
        <f>IF(Q321="","",Q321-S321)</f>
        <v/>
      </c>
    </row>
    <row r="322">
      <c r="A322" s="7">
        <f>CONCATENATE(C322,E322,F322,I322)</f>
        <v/>
      </c>
      <c r="B322" s="7">
        <f>CONCATENATE(C322,E322,I322)</f>
        <v/>
      </c>
      <c r="C322" s="8" t="n">
        <v>900004356</v>
      </c>
      <c r="D322" s="7">
        <f>IFERROR(VLOOKUP(C322,TRAOPE!$G:$H,2,0),"")</f>
        <v/>
      </c>
      <c r="E322" s="8" t="inlineStr">
        <is>
          <t>DW68</t>
        </is>
      </c>
      <c r="F322" s="8" t="inlineStr">
        <is>
          <t>D267</t>
        </is>
      </c>
      <c r="G322" s="8">
        <f>IFERROR(VLOOKUP(A322,Flete!$A:$E,5,0),"")</f>
        <v/>
      </c>
      <c r="H322" s="7">
        <f>IFERROR(VLOOKUP(F322,TRAOPE!$AA:$AB,2,0),"")</f>
        <v/>
      </c>
      <c r="I322" s="7" t="n">
        <v>10000437</v>
      </c>
      <c r="J322" s="7">
        <f>IFERROR(VLOOKUP(I322,Materiales!$A:$H,8,0),"")</f>
        <v/>
      </c>
      <c r="K322" s="9">
        <f>IFERROR(VLOOKUP(I322,Materiales!$A:$G,7,0),"")</f>
        <v/>
      </c>
      <c r="L322" s="8" t="inlineStr">
        <is>
          <t>20251014</t>
        </is>
      </c>
      <c r="M322" s="8" t="inlineStr">
        <is>
          <t>20260506</t>
        </is>
      </c>
      <c r="N322" s="10" t="n">
        <v>196.01</v>
      </c>
      <c r="O322" s="10">
        <f>IFERROR(VLOOKUP(A322,Flete!$A:$J,10,0),"")</f>
        <v/>
      </c>
      <c r="P322" s="8" t="inlineStr">
        <is>
          <t>TN</t>
        </is>
      </c>
      <c r="Q322" s="10">
        <f>IFERROR(IFERROR(VLOOKUP(A322,TRAOPE!$A:$U,21,0),VLOOKUP(B322,TRAOPE!$A:$U,21,0)),"")</f>
        <v/>
      </c>
      <c r="R322" s="8">
        <f>IFERROR(IFERROR(VLOOKUP(A322,TRAOPE!$A:$W,23,0),VLOOKUP(B322,TRAOPE!$A:$W,23,0)),"")</f>
        <v/>
      </c>
      <c r="S322" s="10">
        <f>IF(AND(P322="TN",R322="TN"),N322+N(O322),IF(G322&amp;""="1",N(K322)*N322,(N322+N(O322))*N(K322)))</f>
        <v/>
      </c>
      <c r="T322" s="10">
        <f>IF(Q322="","",Q322-S322)</f>
        <v/>
      </c>
    </row>
    <row r="323">
      <c r="A323" s="7">
        <f>CONCATENATE(C323,E323,F323,I323)</f>
        <v/>
      </c>
      <c r="B323" s="7">
        <f>CONCATENATE(C323,E323,I323)</f>
        <v/>
      </c>
      <c r="C323" s="8" t="n">
        <v>900004356</v>
      </c>
      <c r="D323" s="7">
        <f>IFERROR(VLOOKUP(C323,TRAOPE!$G:$H,2,0),"")</f>
        <v/>
      </c>
      <c r="E323" s="8" t="inlineStr">
        <is>
          <t>DW68</t>
        </is>
      </c>
      <c r="F323" s="8" t="inlineStr">
        <is>
          <t>D267</t>
        </is>
      </c>
      <c r="G323" s="8">
        <f>IFERROR(VLOOKUP(A323,Flete!$A:$E,5,0),"")</f>
        <v/>
      </c>
      <c r="H323" s="7">
        <f>IFERROR(VLOOKUP(F323,TRAOPE!$AA:$AB,2,0),"")</f>
        <v/>
      </c>
      <c r="I323" s="7" t="n">
        <v>10268650</v>
      </c>
      <c r="J323" s="7">
        <f>IFERROR(VLOOKUP(I323,Materiales!$A:$H,8,0),"")</f>
        <v/>
      </c>
      <c r="K323" s="9">
        <f>IFERROR(VLOOKUP(I323,Materiales!$A:$G,7,0),"")</f>
        <v/>
      </c>
      <c r="L323" s="8" t="inlineStr">
        <is>
          <t>20260526</t>
        </is>
      </c>
      <c r="M323" s="8" t="inlineStr">
        <is>
          <t>99991231</t>
        </is>
      </c>
      <c r="N323" s="10" t="n">
        <v>226.92</v>
      </c>
      <c r="O323" s="10">
        <f>IFERROR(VLOOKUP(A323,Flete!$A:$J,10,0),"")</f>
        <v/>
      </c>
      <c r="P323" s="8" t="inlineStr">
        <is>
          <t>TN</t>
        </is>
      </c>
      <c r="Q323" s="10">
        <f>IFERROR(IFERROR(VLOOKUP(A323,TRAOPE!$A:$U,21,0),VLOOKUP(B323,TRAOPE!$A:$U,21,0)),"")</f>
        <v/>
      </c>
      <c r="R323" s="8">
        <f>IFERROR(IFERROR(VLOOKUP(A323,TRAOPE!$A:$W,23,0),VLOOKUP(B323,TRAOPE!$A:$W,23,0)),"")</f>
        <v/>
      </c>
      <c r="S323" s="10">
        <f>IF(AND(P323="TN",R323="TN"),N323+N(O323),IF(G323&amp;""="1",N(K323)*N323,(N323+N(O323))*N(K323)))</f>
        <v/>
      </c>
      <c r="T323" s="10">
        <f>IF(Q323="","",Q323-S323)</f>
        <v/>
      </c>
    </row>
    <row r="324">
      <c r="A324" s="7">
        <f>CONCATENATE(C324,E324,F324,I324)</f>
        <v/>
      </c>
      <c r="B324" s="7">
        <f>CONCATENATE(C324,E324,I324)</f>
        <v/>
      </c>
      <c r="C324" s="8" t="n">
        <v>900004356</v>
      </c>
      <c r="D324" s="7">
        <f>IFERROR(VLOOKUP(C324,TRAOPE!$G:$H,2,0),"")</f>
        <v/>
      </c>
      <c r="E324" s="8" t="inlineStr">
        <is>
          <t>DW68</t>
        </is>
      </c>
      <c r="F324" s="8" t="inlineStr">
        <is>
          <t>D268</t>
        </is>
      </c>
      <c r="G324" s="8">
        <f>IFERROR(VLOOKUP(A324,Flete!$A:$E,5,0),"")</f>
        <v/>
      </c>
      <c r="H324" s="7">
        <f>IFERROR(VLOOKUP(F324,TRAOPE!$AA:$AB,2,0),"")</f>
        <v/>
      </c>
      <c r="I324" s="7" t="n">
        <v>10000388</v>
      </c>
      <c r="J324" s="7">
        <f>IFERROR(VLOOKUP(I324,Materiales!$A:$H,8,0),"")</f>
        <v/>
      </c>
      <c r="K324" s="9">
        <f>IFERROR(VLOOKUP(I324,Materiales!$A:$G,7,0),"")</f>
        <v/>
      </c>
      <c r="L324" s="8" t="inlineStr">
        <is>
          <t>20250301</t>
        </is>
      </c>
      <c r="M324" s="8" t="inlineStr">
        <is>
          <t>20250708</t>
        </is>
      </c>
      <c r="N324" s="10" t="n">
        <v>167.99</v>
      </c>
      <c r="O324" s="10">
        <f>IFERROR(VLOOKUP(A324,Flete!$A:$J,10,0),"")</f>
        <v/>
      </c>
      <c r="P324" s="8" t="inlineStr">
        <is>
          <t>TN</t>
        </is>
      </c>
      <c r="Q324" s="10">
        <f>IFERROR(IFERROR(VLOOKUP(A324,TRAOPE!$A:$U,21,0),VLOOKUP(B324,TRAOPE!$A:$U,21,0)),"")</f>
        <v/>
      </c>
      <c r="R324" s="8">
        <f>IFERROR(IFERROR(VLOOKUP(A324,TRAOPE!$A:$W,23,0),VLOOKUP(B324,TRAOPE!$A:$W,23,0)),"")</f>
        <v/>
      </c>
      <c r="S324" s="10">
        <f>IF(AND(P324="TN",R324="TN"),N324+N(O324),IF(G324&amp;""="1",N(K324)*N324,(N324+N(O324))*N(K324)))</f>
        <v/>
      </c>
      <c r="T324" s="10">
        <f>IF(Q324="","",Q324-S324)</f>
        <v/>
      </c>
    </row>
    <row r="325">
      <c r="A325" s="7">
        <f>CONCATENATE(C325,E325,F325,I325)</f>
        <v/>
      </c>
      <c r="B325" s="7">
        <f>CONCATENATE(C325,E325,I325)</f>
        <v/>
      </c>
      <c r="C325" s="8" t="n">
        <v>900004356</v>
      </c>
      <c r="D325" s="7">
        <f>IFERROR(VLOOKUP(C325,TRAOPE!$G:$H,2,0),"")</f>
        <v/>
      </c>
      <c r="E325" s="8" t="inlineStr">
        <is>
          <t>DW68</t>
        </is>
      </c>
      <c r="F325" s="8" t="inlineStr">
        <is>
          <t>D268</t>
        </is>
      </c>
      <c r="G325" s="8">
        <f>IFERROR(VLOOKUP(A325,Flete!$A:$E,5,0),"")</f>
        <v/>
      </c>
      <c r="H325" s="7">
        <f>IFERROR(VLOOKUP(F325,TRAOPE!$AA:$AB,2,0),"")</f>
        <v/>
      </c>
      <c r="I325" s="7" t="n">
        <v>10268650</v>
      </c>
      <c r="J325" s="7">
        <f>IFERROR(VLOOKUP(I325,Materiales!$A:$H,8,0),"")</f>
        <v/>
      </c>
      <c r="K325" s="9">
        <f>IFERROR(VLOOKUP(I325,Materiales!$A:$G,7,0),"")</f>
        <v/>
      </c>
      <c r="L325" s="8" t="inlineStr">
        <is>
          <t>20260330</t>
        </is>
      </c>
      <c r="M325" s="8" t="inlineStr">
        <is>
          <t>20260529</t>
        </is>
      </c>
      <c r="N325" s="10" t="n">
        <v>207.69</v>
      </c>
      <c r="O325" s="10">
        <f>IFERROR(VLOOKUP(A325,Flete!$A:$J,10,0),"")</f>
        <v/>
      </c>
      <c r="P325" s="8" t="inlineStr">
        <is>
          <t>TN</t>
        </is>
      </c>
      <c r="Q325" s="10">
        <f>IFERROR(IFERROR(VLOOKUP(A325,TRAOPE!$A:$U,21,0),VLOOKUP(B325,TRAOPE!$A:$U,21,0)),"")</f>
        <v/>
      </c>
      <c r="R325" s="8">
        <f>IFERROR(IFERROR(VLOOKUP(A325,TRAOPE!$A:$W,23,0),VLOOKUP(B325,TRAOPE!$A:$W,23,0)),"")</f>
        <v/>
      </c>
      <c r="S325" s="10">
        <f>IF(AND(P325="TN",R325="TN"),N325+N(O325),IF(G325&amp;""="1",N(K325)*N325,(N325+N(O325))*N(K325)))</f>
        <v/>
      </c>
      <c r="T325" s="10">
        <f>IF(Q325="","",Q325-S325)</f>
        <v/>
      </c>
    </row>
    <row r="326">
      <c r="A326" s="7">
        <f>CONCATENATE(C326,E326,F326,I326)</f>
        <v/>
      </c>
      <c r="B326" s="7">
        <f>CONCATENATE(C326,E326,I326)</f>
        <v/>
      </c>
      <c r="C326" s="8" t="n">
        <v>900004369</v>
      </c>
      <c r="D326" s="7">
        <f>IFERROR(VLOOKUP(C326,TRAOPE!$G:$H,2,0),"")</f>
        <v/>
      </c>
      <c r="E326" s="8" t="inlineStr">
        <is>
          <t>DW68</t>
        </is>
      </c>
      <c r="F326" s="8" t="inlineStr">
        <is>
          <t>D042</t>
        </is>
      </c>
      <c r="G326" s="8">
        <f>IFERROR(VLOOKUP(A326,Flete!$A:$E,5,0),"")</f>
        <v/>
      </c>
      <c r="H326" s="7">
        <f>IFERROR(VLOOKUP(F326,TRAOPE!$AA:$AB,2,0),"")</f>
        <v/>
      </c>
      <c r="I326" s="7" t="n">
        <v>10000786</v>
      </c>
      <c r="J326" s="7">
        <f>IFERROR(VLOOKUP(I326,Materiales!$A:$H,8,0),"")</f>
        <v/>
      </c>
      <c r="K326" s="9">
        <f>IFERROR(VLOOKUP(I326,Materiales!$A:$G,7,0),"")</f>
        <v/>
      </c>
      <c r="L326" s="8" t="inlineStr">
        <is>
          <t>20210620</t>
        </is>
      </c>
      <c r="M326" s="8" t="inlineStr">
        <is>
          <t>20251031</t>
        </is>
      </c>
      <c r="N326" s="10" t="n">
        <v>47.13</v>
      </c>
      <c r="O326" s="10">
        <f>IFERROR(VLOOKUP(A326,Flete!$A:$J,10,0),"")</f>
        <v/>
      </c>
      <c r="P326" s="8" t="inlineStr">
        <is>
          <t>TN</t>
        </is>
      </c>
      <c r="Q326" s="10">
        <f>IFERROR(IFERROR(VLOOKUP(A326,TRAOPE!$A:$U,21,0),VLOOKUP(B326,TRAOPE!$A:$U,21,0)),"")</f>
        <v/>
      </c>
      <c r="R326" s="8">
        <f>IFERROR(IFERROR(VLOOKUP(A326,TRAOPE!$A:$W,23,0),VLOOKUP(B326,TRAOPE!$A:$W,23,0)),"")</f>
        <v/>
      </c>
      <c r="S326" s="10">
        <f>IF(AND(P326="TN",R326="TN"),N326+N(O326),IF(G326&amp;""="1",N(K326)*N326,(N326+N(O326))*N(K326)))</f>
        <v/>
      </c>
      <c r="T326" s="10">
        <f>IF(Q326="","",Q326-S326)</f>
        <v/>
      </c>
    </row>
    <row r="327">
      <c r="A327" s="7">
        <f>CONCATENATE(C327,E327,F327,I327)</f>
        <v/>
      </c>
      <c r="B327" s="7">
        <f>CONCATENATE(C327,E327,I327)</f>
        <v/>
      </c>
      <c r="C327" s="8" t="n">
        <v>900004369</v>
      </c>
      <c r="D327" s="7">
        <f>IFERROR(VLOOKUP(C327,TRAOPE!$G:$H,2,0),"")</f>
        <v/>
      </c>
      <c r="E327" s="8" t="inlineStr">
        <is>
          <t>DW68</t>
        </is>
      </c>
      <c r="F327" s="8" t="inlineStr">
        <is>
          <t>D267</t>
        </is>
      </c>
      <c r="G327" s="8">
        <f>IFERROR(VLOOKUP(A327,Flete!$A:$E,5,0),"")</f>
        <v/>
      </c>
      <c r="H327" s="7">
        <f>IFERROR(VLOOKUP(F327,TRAOPE!$AA:$AB,2,0),"")</f>
        <v/>
      </c>
      <c r="I327" s="7" t="n">
        <v>10000786</v>
      </c>
      <c r="J327" s="7">
        <f>IFERROR(VLOOKUP(I327,Materiales!$A:$H,8,0),"")</f>
        <v/>
      </c>
      <c r="K327" s="9">
        <f>IFERROR(VLOOKUP(I327,Materiales!$A:$G,7,0),"")</f>
        <v/>
      </c>
      <c r="L327" s="8" t="inlineStr">
        <is>
          <t>20210620</t>
        </is>
      </c>
      <c r="M327" s="8" t="inlineStr">
        <is>
          <t>20251031</t>
        </is>
      </c>
      <c r="N327" s="10" t="n">
        <v>48.52</v>
      </c>
      <c r="O327" s="10">
        <f>IFERROR(VLOOKUP(A327,Flete!$A:$J,10,0),"")</f>
        <v/>
      </c>
      <c r="P327" s="8" t="inlineStr">
        <is>
          <t>TN</t>
        </is>
      </c>
      <c r="Q327" s="10">
        <f>IFERROR(IFERROR(VLOOKUP(A327,TRAOPE!$A:$U,21,0),VLOOKUP(B327,TRAOPE!$A:$U,21,0)),"")</f>
        <v/>
      </c>
      <c r="R327" s="8">
        <f>IFERROR(IFERROR(VLOOKUP(A327,TRAOPE!$A:$W,23,0),VLOOKUP(B327,TRAOPE!$A:$W,23,0)),"")</f>
        <v/>
      </c>
      <c r="S327" s="10">
        <f>IF(AND(P327="TN",R327="TN"),N327+N(O327),IF(G327&amp;""="1",N(K327)*N327,(N327+N(O327))*N(K327)))</f>
        <v/>
      </c>
      <c r="T327" s="10">
        <f>IF(Q327="","",Q327-S327)</f>
        <v/>
      </c>
    </row>
    <row r="328">
      <c r="A328" s="7">
        <f>CONCATENATE(C328,E328,F328,I328)</f>
        <v/>
      </c>
      <c r="B328" s="7">
        <f>CONCATENATE(C328,E328,I328)</f>
        <v/>
      </c>
      <c r="C328" s="8" t="n">
        <v>900004700</v>
      </c>
      <c r="D328" s="7">
        <f>IFERROR(VLOOKUP(C328,TRAOPE!$G:$H,2,0),"")</f>
        <v/>
      </c>
      <c r="E328" s="8" t="inlineStr">
        <is>
          <t>DW68</t>
        </is>
      </c>
      <c r="F328" s="8" t="inlineStr">
        <is>
          <t>D042</t>
        </is>
      </c>
      <c r="G328" s="8">
        <f>IFERROR(VLOOKUP(A328,Flete!$A:$E,5,0),"")</f>
        <v/>
      </c>
      <c r="H328" s="7">
        <f>IFERROR(VLOOKUP(F328,TRAOPE!$AA:$AB,2,0),"")</f>
        <v/>
      </c>
      <c r="I328" s="7" t="n">
        <v>10000191</v>
      </c>
      <c r="J328" s="7">
        <f>IFERROR(VLOOKUP(I328,Materiales!$A:$H,8,0),"")</f>
        <v/>
      </c>
      <c r="K328" s="9">
        <f>IFERROR(VLOOKUP(I328,Materiales!$A:$G,7,0),"")</f>
        <v/>
      </c>
      <c r="L328" s="8" t="inlineStr">
        <is>
          <t>20230802</t>
        </is>
      </c>
      <c r="M328" s="8" t="inlineStr">
        <is>
          <t>20251031</t>
        </is>
      </c>
      <c r="N328" s="10" t="n">
        <v>149.14</v>
      </c>
      <c r="O328" s="10">
        <f>IFERROR(VLOOKUP(A328,Flete!$A:$J,10,0),"")</f>
        <v/>
      </c>
      <c r="P328" s="8" t="inlineStr">
        <is>
          <t>TN</t>
        </is>
      </c>
      <c r="Q328" s="10">
        <f>IFERROR(IFERROR(VLOOKUP(A328,TRAOPE!$A:$U,21,0),VLOOKUP(B328,TRAOPE!$A:$U,21,0)),"")</f>
        <v/>
      </c>
      <c r="R328" s="8">
        <f>IFERROR(IFERROR(VLOOKUP(A328,TRAOPE!$A:$W,23,0),VLOOKUP(B328,TRAOPE!$A:$W,23,0)),"")</f>
        <v/>
      </c>
      <c r="S328" s="10">
        <f>IF(AND(P328="TN",R328="TN"),N328+N(O328),IF(G328&amp;""="1",N(K328)*N328,(N328+N(O328))*N(K328)))</f>
        <v/>
      </c>
      <c r="T328" s="10">
        <f>IF(Q328="","",Q328-S328)</f>
        <v/>
      </c>
    </row>
    <row r="329">
      <c r="A329" s="7">
        <f>CONCATENATE(C329,E329,F329,I329)</f>
        <v/>
      </c>
      <c r="B329" s="7">
        <f>CONCATENATE(C329,E329,I329)</f>
        <v/>
      </c>
      <c r="C329" s="8" t="n">
        <v>900004700</v>
      </c>
      <c r="D329" s="7">
        <f>IFERROR(VLOOKUP(C329,TRAOPE!$G:$H,2,0),"")</f>
        <v/>
      </c>
      <c r="E329" s="8" t="inlineStr">
        <is>
          <t>DW68</t>
        </is>
      </c>
      <c r="F329" s="8" t="inlineStr">
        <is>
          <t>D042</t>
        </is>
      </c>
      <c r="G329" s="8">
        <f>IFERROR(VLOOKUP(A329,Flete!$A:$E,5,0),"")</f>
        <v/>
      </c>
      <c r="H329" s="7">
        <f>IFERROR(VLOOKUP(F329,TRAOPE!$AA:$AB,2,0),"")</f>
        <v/>
      </c>
      <c r="I329" s="7" t="n">
        <v>10000384</v>
      </c>
      <c r="J329" s="7">
        <f>IFERROR(VLOOKUP(I329,Materiales!$A:$H,8,0),"")</f>
        <v/>
      </c>
      <c r="K329" s="9">
        <f>IFERROR(VLOOKUP(I329,Materiales!$A:$G,7,0),"")</f>
        <v/>
      </c>
      <c r="L329" s="8" t="inlineStr">
        <is>
          <t>20230802</t>
        </is>
      </c>
      <c r="M329" s="8" t="inlineStr">
        <is>
          <t>20251031</t>
        </is>
      </c>
      <c r="N329" s="10" t="n">
        <v>170.97</v>
      </c>
      <c r="O329" s="10">
        <f>IFERROR(VLOOKUP(A329,Flete!$A:$J,10,0),"")</f>
        <v/>
      </c>
      <c r="P329" s="8" t="inlineStr">
        <is>
          <t>TN</t>
        </is>
      </c>
      <c r="Q329" s="10">
        <f>IFERROR(IFERROR(VLOOKUP(A329,TRAOPE!$A:$U,21,0),VLOOKUP(B329,TRAOPE!$A:$U,21,0)),"")</f>
        <v/>
      </c>
      <c r="R329" s="8">
        <f>IFERROR(IFERROR(VLOOKUP(A329,TRAOPE!$A:$W,23,0),VLOOKUP(B329,TRAOPE!$A:$W,23,0)),"")</f>
        <v/>
      </c>
      <c r="S329" s="10">
        <f>IF(AND(P329="TN",R329="TN"),N329+N(O329),IF(G329&amp;""="1",N(K329)*N329,(N329+N(O329))*N(K329)))</f>
        <v/>
      </c>
      <c r="T329" s="10">
        <f>IF(Q329="","",Q329-S329)</f>
        <v/>
      </c>
    </row>
    <row r="330">
      <c r="A330" s="7">
        <f>CONCATENATE(C330,E330,F330,I330)</f>
        <v/>
      </c>
      <c r="B330" s="7">
        <f>CONCATENATE(C330,E330,I330)</f>
        <v/>
      </c>
      <c r="C330" s="8" t="n">
        <v>900004700</v>
      </c>
      <c r="D330" s="7">
        <f>IFERROR(VLOOKUP(C330,TRAOPE!$G:$H,2,0),"")</f>
        <v/>
      </c>
      <c r="E330" s="8" t="inlineStr">
        <is>
          <t>DW68</t>
        </is>
      </c>
      <c r="F330" s="8" t="inlineStr">
        <is>
          <t>D042</t>
        </is>
      </c>
      <c r="G330" s="8">
        <f>IFERROR(VLOOKUP(A330,Flete!$A:$E,5,0),"")</f>
        <v/>
      </c>
      <c r="H330" s="7">
        <f>IFERROR(VLOOKUP(F330,TRAOPE!$AA:$AB,2,0),"")</f>
        <v/>
      </c>
      <c r="I330" s="7" t="n">
        <v>10000388</v>
      </c>
      <c r="J330" s="7">
        <f>IFERROR(VLOOKUP(I330,Materiales!$A:$H,8,0),"")</f>
        <v/>
      </c>
      <c r="K330" s="9">
        <f>IFERROR(VLOOKUP(I330,Materiales!$A:$G,7,0),"")</f>
        <v/>
      </c>
      <c r="L330" s="8" t="inlineStr">
        <is>
          <t>20230802</t>
        </is>
      </c>
      <c r="M330" s="8" t="inlineStr">
        <is>
          <t>20251031</t>
        </is>
      </c>
      <c r="N330" s="10" t="n">
        <v>149.57</v>
      </c>
      <c r="O330" s="10">
        <f>IFERROR(VLOOKUP(A330,Flete!$A:$J,10,0),"")</f>
        <v/>
      </c>
      <c r="P330" s="8" t="inlineStr">
        <is>
          <t>TN</t>
        </is>
      </c>
      <c r="Q330" s="10">
        <f>IFERROR(IFERROR(VLOOKUP(A330,TRAOPE!$A:$U,21,0),VLOOKUP(B330,TRAOPE!$A:$U,21,0)),"")</f>
        <v/>
      </c>
      <c r="R330" s="8">
        <f>IFERROR(IFERROR(VLOOKUP(A330,TRAOPE!$A:$W,23,0),VLOOKUP(B330,TRAOPE!$A:$W,23,0)),"")</f>
        <v/>
      </c>
      <c r="S330" s="10">
        <f>IF(AND(P330="TN",R330="TN"),N330+N(O330),IF(G330&amp;""="1",N(K330)*N330,(N330+N(O330))*N(K330)))</f>
        <v/>
      </c>
      <c r="T330" s="10">
        <f>IF(Q330="","",Q330-S330)</f>
        <v/>
      </c>
    </row>
    <row r="331">
      <c r="A331" s="7">
        <f>CONCATENATE(C331,E331,F331,I331)</f>
        <v/>
      </c>
      <c r="B331" s="7">
        <f>CONCATENATE(C331,E331,I331)</f>
        <v/>
      </c>
      <c r="C331" s="8" t="n">
        <v>900004700</v>
      </c>
      <c r="D331" s="7">
        <f>IFERROR(VLOOKUP(C331,TRAOPE!$G:$H,2,0),"")</f>
        <v/>
      </c>
      <c r="E331" s="8" t="inlineStr">
        <is>
          <t>DW68</t>
        </is>
      </c>
      <c r="F331" s="8" t="inlineStr">
        <is>
          <t>D042</t>
        </is>
      </c>
      <c r="G331" s="8">
        <f>IFERROR(VLOOKUP(A331,Flete!$A:$E,5,0),"")</f>
        <v/>
      </c>
      <c r="H331" s="7">
        <f>IFERROR(VLOOKUP(F331,TRAOPE!$AA:$AB,2,0),"")</f>
        <v/>
      </c>
      <c r="I331" s="7" t="n">
        <v>10004258</v>
      </c>
      <c r="J331" s="7">
        <f>IFERROR(VLOOKUP(I331,Materiales!$A:$H,8,0),"")</f>
        <v/>
      </c>
      <c r="K331" s="9">
        <f>IFERROR(VLOOKUP(I331,Materiales!$A:$G,7,0),"")</f>
        <v/>
      </c>
      <c r="L331" s="8" t="inlineStr">
        <is>
          <t>20230802</t>
        </is>
      </c>
      <c r="M331" s="8" t="inlineStr">
        <is>
          <t>20251031</t>
        </is>
      </c>
      <c r="N331" s="10" t="n">
        <v>233.82</v>
      </c>
      <c r="O331" s="10">
        <f>IFERROR(VLOOKUP(A331,Flete!$A:$J,10,0),"")</f>
        <v/>
      </c>
      <c r="P331" s="8" t="inlineStr">
        <is>
          <t>TN</t>
        </is>
      </c>
      <c r="Q331" s="10">
        <f>IFERROR(IFERROR(VLOOKUP(A331,TRAOPE!$A:$U,21,0),VLOOKUP(B331,TRAOPE!$A:$U,21,0)),"")</f>
        <v/>
      </c>
      <c r="R331" s="8">
        <f>IFERROR(IFERROR(VLOOKUP(A331,TRAOPE!$A:$W,23,0),VLOOKUP(B331,TRAOPE!$A:$W,23,0)),"")</f>
        <v/>
      </c>
      <c r="S331" s="10">
        <f>IF(AND(P331="TN",R331="TN"),N331+N(O331),IF(G331&amp;""="1",N(K331)*N331,(N331+N(O331))*N(K331)))</f>
        <v/>
      </c>
      <c r="T331" s="10">
        <f>IF(Q331="","",Q331-S331)</f>
        <v/>
      </c>
    </row>
    <row r="332">
      <c r="A332" s="7">
        <f>CONCATENATE(C332,E332,F332,I332)</f>
        <v/>
      </c>
      <c r="B332" s="7">
        <f>CONCATENATE(C332,E332,I332)</f>
        <v/>
      </c>
      <c r="C332" s="8" t="n">
        <v>900004700</v>
      </c>
      <c r="D332" s="7">
        <f>IFERROR(VLOOKUP(C332,TRAOPE!$G:$H,2,0),"")</f>
        <v/>
      </c>
      <c r="E332" s="8" t="inlineStr">
        <is>
          <t>DW68</t>
        </is>
      </c>
      <c r="F332" s="8" t="inlineStr">
        <is>
          <t>D209</t>
        </is>
      </c>
      <c r="G332" s="8">
        <f>IFERROR(VLOOKUP(A332,Flete!$A:$E,5,0),"")</f>
        <v/>
      </c>
      <c r="H332" s="7">
        <f>IFERROR(VLOOKUP(F332,TRAOPE!$AA:$AB,2,0),"")</f>
        <v/>
      </c>
      <c r="I332" s="7" t="n">
        <v>10000191</v>
      </c>
      <c r="J332" s="7">
        <f>IFERROR(VLOOKUP(I332,Materiales!$A:$H,8,0),"")</f>
        <v/>
      </c>
      <c r="K332" s="9">
        <f>IFERROR(VLOOKUP(I332,Materiales!$A:$G,7,0),"")</f>
        <v/>
      </c>
      <c r="L332" s="8" t="inlineStr">
        <is>
          <t>20230802</t>
        </is>
      </c>
      <c r="M332" s="8" t="inlineStr">
        <is>
          <t>20251031</t>
        </is>
      </c>
      <c r="N332" s="10" t="n">
        <v>149.14</v>
      </c>
      <c r="O332" s="10">
        <f>IFERROR(VLOOKUP(A332,Flete!$A:$J,10,0),"")</f>
        <v/>
      </c>
      <c r="P332" s="8" t="inlineStr">
        <is>
          <t>TN</t>
        </is>
      </c>
      <c r="Q332" s="10">
        <f>IFERROR(IFERROR(VLOOKUP(A332,TRAOPE!$A:$U,21,0),VLOOKUP(B332,TRAOPE!$A:$U,21,0)),"")</f>
        <v/>
      </c>
      <c r="R332" s="8">
        <f>IFERROR(IFERROR(VLOOKUP(A332,TRAOPE!$A:$W,23,0),VLOOKUP(B332,TRAOPE!$A:$W,23,0)),"")</f>
        <v/>
      </c>
      <c r="S332" s="10">
        <f>IF(AND(P332="TN",R332="TN"),N332+N(O332),IF(G332&amp;""="1",N(K332)*N332,(N332+N(O332))*N(K332)))</f>
        <v/>
      </c>
      <c r="T332" s="10">
        <f>IF(Q332="","",Q332-S332)</f>
        <v/>
      </c>
    </row>
    <row r="333">
      <c r="A333" s="7">
        <f>CONCATENATE(C333,E333,F333,I333)</f>
        <v/>
      </c>
      <c r="B333" s="7">
        <f>CONCATENATE(C333,E333,I333)</f>
        <v/>
      </c>
      <c r="C333" s="8" t="n">
        <v>900004700</v>
      </c>
      <c r="D333" s="7">
        <f>IFERROR(VLOOKUP(C333,TRAOPE!$G:$H,2,0),"")</f>
        <v/>
      </c>
      <c r="E333" s="8" t="inlineStr">
        <is>
          <t>DW68</t>
        </is>
      </c>
      <c r="F333" s="8" t="inlineStr">
        <is>
          <t>D209</t>
        </is>
      </c>
      <c r="G333" s="8">
        <f>IFERROR(VLOOKUP(A333,Flete!$A:$E,5,0),"")</f>
        <v/>
      </c>
      <c r="H333" s="7">
        <f>IFERROR(VLOOKUP(F333,TRAOPE!$AA:$AB,2,0),"")</f>
        <v/>
      </c>
      <c r="I333" s="7" t="n">
        <v>10000384</v>
      </c>
      <c r="J333" s="7">
        <f>IFERROR(VLOOKUP(I333,Materiales!$A:$H,8,0),"")</f>
        <v/>
      </c>
      <c r="K333" s="9">
        <f>IFERROR(VLOOKUP(I333,Materiales!$A:$G,7,0),"")</f>
        <v/>
      </c>
      <c r="L333" s="8" t="inlineStr">
        <is>
          <t>20230802</t>
        </is>
      </c>
      <c r="M333" s="8" t="inlineStr">
        <is>
          <t>20251031</t>
        </is>
      </c>
      <c r="N333" s="10" t="n">
        <v>170.97</v>
      </c>
      <c r="O333" s="10">
        <f>IFERROR(VLOOKUP(A333,Flete!$A:$J,10,0),"")</f>
        <v/>
      </c>
      <c r="P333" s="8" t="inlineStr">
        <is>
          <t>TN</t>
        </is>
      </c>
      <c r="Q333" s="10">
        <f>IFERROR(IFERROR(VLOOKUP(A333,TRAOPE!$A:$U,21,0),VLOOKUP(B333,TRAOPE!$A:$U,21,0)),"")</f>
        <v/>
      </c>
      <c r="R333" s="8">
        <f>IFERROR(IFERROR(VLOOKUP(A333,TRAOPE!$A:$W,23,0),VLOOKUP(B333,TRAOPE!$A:$W,23,0)),"")</f>
        <v/>
      </c>
      <c r="S333" s="10">
        <f>IF(AND(P333="TN",R333="TN"),N333+N(O333),IF(G333&amp;""="1",N(K333)*N333,(N333+N(O333))*N(K333)))</f>
        <v/>
      </c>
      <c r="T333" s="10">
        <f>IF(Q333="","",Q333-S333)</f>
        <v/>
      </c>
    </row>
    <row r="334">
      <c r="A334" s="7">
        <f>CONCATENATE(C334,E334,F334,I334)</f>
        <v/>
      </c>
      <c r="B334" s="7">
        <f>CONCATENATE(C334,E334,I334)</f>
        <v/>
      </c>
      <c r="C334" s="8" t="n">
        <v>900004700</v>
      </c>
      <c r="D334" s="7">
        <f>IFERROR(VLOOKUP(C334,TRAOPE!$G:$H,2,0),"")</f>
        <v/>
      </c>
      <c r="E334" s="8" t="inlineStr">
        <is>
          <t>DW68</t>
        </is>
      </c>
      <c r="F334" s="8" t="inlineStr">
        <is>
          <t>D209</t>
        </is>
      </c>
      <c r="G334" s="8">
        <f>IFERROR(VLOOKUP(A334,Flete!$A:$E,5,0),"")</f>
        <v/>
      </c>
      <c r="H334" s="7">
        <f>IFERROR(VLOOKUP(F334,TRAOPE!$AA:$AB,2,0),"")</f>
        <v/>
      </c>
      <c r="I334" s="7" t="n">
        <v>10000388</v>
      </c>
      <c r="J334" s="7">
        <f>IFERROR(VLOOKUP(I334,Materiales!$A:$H,8,0),"")</f>
        <v/>
      </c>
      <c r="K334" s="9">
        <f>IFERROR(VLOOKUP(I334,Materiales!$A:$G,7,0),"")</f>
        <v/>
      </c>
      <c r="L334" s="8" t="inlineStr">
        <is>
          <t>20230802</t>
        </is>
      </c>
      <c r="M334" s="8" t="inlineStr">
        <is>
          <t>20251031</t>
        </is>
      </c>
      <c r="N334" s="10" t="n">
        <v>149.57</v>
      </c>
      <c r="O334" s="10">
        <f>IFERROR(VLOOKUP(A334,Flete!$A:$J,10,0),"")</f>
        <v/>
      </c>
      <c r="P334" s="8" t="inlineStr">
        <is>
          <t>TN</t>
        </is>
      </c>
      <c r="Q334" s="10">
        <f>IFERROR(IFERROR(VLOOKUP(A334,TRAOPE!$A:$U,21,0),VLOOKUP(B334,TRAOPE!$A:$U,21,0)),"")</f>
        <v/>
      </c>
      <c r="R334" s="8">
        <f>IFERROR(IFERROR(VLOOKUP(A334,TRAOPE!$A:$W,23,0),VLOOKUP(B334,TRAOPE!$A:$W,23,0)),"")</f>
        <v/>
      </c>
      <c r="S334" s="10">
        <f>IF(AND(P334="TN",R334="TN"),N334+N(O334),IF(G334&amp;""="1",N(K334)*N334,(N334+N(O334))*N(K334)))</f>
        <v/>
      </c>
      <c r="T334" s="10">
        <f>IF(Q334="","",Q334-S334)</f>
        <v/>
      </c>
    </row>
    <row r="335">
      <c r="A335" s="7">
        <f>CONCATENATE(C335,E335,F335,I335)</f>
        <v/>
      </c>
      <c r="B335" s="7">
        <f>CONCATENATE(C335,E335,I335)</f>
        <v/>
      </c>
      <c r="C335" s="8" t="n">
        <v>900004700</v>
      </c>
      <c r="D335" s="7">
        <f>IFERROR(VLOOKUP(C335,TRAOPE!$G:$H,2,0),"")</f>
        <v/>
      </c>
      <c r="E335" s="8" t="inlineStr">
        <is>
          <t>DW68</t>
        </is>
      </c>
      <c r="F335" s="8" t="inlineStr">
        <is>
          <t>D209</t>
        </is>
      </c>
      <c r="G335" s="8">
        <f>IFERROR(VLOOKUP(A335,Flete!$A:$E,5,0),"")</f>
        <v/>
      </c>
      <c r="H335" s="7">
        <f>IFERROR(VLOOKUP(F335,TRAOPE!$AA:$AB,2,0),"")</f>
        <v/>
      </c>
      <c r="I335" s="7" t="n">
        <v>10004258</v>
      </c>
      <c r="J335" s="7">
        <f>IFERROR(VLOOKUP(I335,Materiales!$A:$H,8,0),"")</f>
        <v/>
      </c>
      <c r="K335" s="9">
        <f>IFERROR(VLOOKUP(I335,Materiales!$A:$G,7,0),"")</f>
        <v/>
      </c>
      <c r="L335" s="8" t="inlineStr">
        <is>
          <t>20230802</t>
        </is>
      </c>
      <c r="M335" s="8" t="inlineStr">
        <is>
          <t>20251031</t>
        </is>
      </c>
      <c r="N335" s="10" t="n">
        <v>233.82</v>
      </c>
      <c r="O335" s="10">
        <f>IFERROR(VLOOKUP(A335,Flete!$A:$J,10,0),"")</f>
        <v/>
      </c>
      <c r="P335" s="8" t="inlineStr">
        <is>
          <t>TN</t>
        </is>
      </c>
      <c r="Q335" s="10">
        <f>IFERROR(IFERROR(VLOOKUP(A335,TRAOPE!$A:$U,21,0),VLOOKUP(B335,TRAOPE!$A:$U,21,0)),"")</f>
        <v/>
      </c>
      <c r="R335" s="8">
        <f>IFERROR(IFERROR(VLOOKUP(A335,TRAOPE!$A:$W,23,0),VLOOKUP(B335,TRAOPE!$A:$W,23,0)),"")</f>
        <v/>
      </c>
      <c r="S335" s="10">
        <f>IF(AND(P335="TN",R335="TN"),N335+N(O335),IF(G335&amp;""="1",N(K335)*N335,(N335+N(O335))*N(K335)))</f>
        <v/>
      </c>
      <c r="T335" s="10">
        <f>IF(Q335="","",Q335-S335)</f>
        <v/>
      </c>
    </row>
    <row r="336">
      <c r="A336" s="7">
        <f>CONCATENATE(C336,E336,F336,I336)</f>
        <v/>
      </c>
      <c r="B336" s="7">
        <f>CONCATENATE(C336,E336,I336)</f>
        <v/>
      </c>
      <c r="C336" s="8" t="n">
        <v>900004700</v>
      </c>
      <c r="D336" s="7">
        <f>IFERROR(VLOOKUP(C336,TRAOPE!$G:$H,2,0),"")</f>
        <v/>
      </c>
      <c r="E336" s="8" t="inlineStr">
        <is>
          <t>DW68</t>
        </is>
      </c>
      <c r="F336" s="8" t="inlineStr">
        <is>
          <t>D211</t>
        </is>
      </c>
      <c r="G336" s="8">
        <f>IFERROR(VLOOKUP(A336,Flete!$A:$E,5,0),"")</f>
        <v/>
      </c>
      <c r="H336" s="7">
        <f>IFERROR(VLOOKUP(F336,TRAOPE!$AA:$AB,2,0),"")</f>
        <v/>
      </c>
      <c r="I336" s="7" t="n">
        <v>10000191</v>
      </c>
      <c r="J336" s="7">
        <f>IFERROR(VLOOKUP(I336,Materiales!$A:$H,8,0),"")</f>
        <v/>
      </c>
      <c r="K336" s="9">
        <f>IFERROR(VLOOKUP(I336,Materiales!$A:$G,7,0),"")</f>
        <v/>
      </c>
      <c r="L336" s="8" t="inlineStr">
        <is>
          <t>20230802</t>
        </is>
      </c>
      <c r="M336" s="8" t="inlineStr">
        <is>
          <t>20251031</t>
        </is>
      </c>
      <c r="N336" s="10" t="n">
        <v>149.14</v>
      </c>
      <c r="O336" s="10">
        <f>IFERROR(VLOOKUP(A336,Flete!$A:$J,10,0),"")</f>
        <v/>
      </c>
      <c r="P336" s="8" t="inlineStr">
        <is>
          <t>TN</t>
        </is>
      </c>
      <c r="Q336" s="10">
        <f>IFERROR(IFERROR(VLOOKUP(A336,TRAOPE!$A:$U,21,0),VLOOKUP(B336,TRAOPE!$A:$U,21,0)),"")</f>
        <v/>
      </c>
      <c r="R336" s="8">
        <f>IFERROR(IFERROR(VLOOKUP(A336,TRAOPE!$A:$W,23,0),VLOOKUP(B336,TRAOPE!$A:$W,23,0)),"")</f>
        <v/>
      </c>
      <c r="S336" s="10">
        <f>IF(AND(P336="TN",R336="TN"),N336+N(O336),IF(G336&amp;""="1",N(K336)*N336,(N336+N(O336))*N(K336)))</f>
        <v/>
      </c>
      <c r="T336" s="10">
        <f>IF(Q336="","",Q336-S336)</f>
        <v/>
      </c>
    </row>
    <row r="337">
      <c r="A337" s="7">
        <f>CONCATENATE(C337,E337,F337,I337)</f>
        <v/>
      </c>
      <c r="B337" s="7">
        <f>CONCATENATE(C337,E337,I337)</f>
        <v/>
      </c>
      <c r="C337" s="8" t="n">
        <v>900004700</v>
      </c>
      <c r="D337" s="7">
        <f>IFERROR(VLOOKUP(C337,TRAOPE!$G:$H,2,0),"")</f>
        <v/>
      </c>
      <c r="E337" s="8" t="inlineStr">
        <is>
          <t>DW68</t>
        </is>
      </c>
      <c r="F337" s="8" t="inlineStr">
        <is>
          <t>D211</t>
        </is>
      </c>
      <c r="G337" s="8">
        <f>IFERROR(VLOOKUP(A337,Flete!$A:$E,5,0),"")</f>
        <v/>
      </c>
      <c r="H337" s="7">
        <f>IFERROR(VLOOKUP(F337,TRAOPE!$AA:$AB,2,0),"")</f>
        <v/>
      </c>
      <c r="I337" s="7" t="n">
        <v>10000384</v>
      </c>
      <c r="J337" s="7">
        <f>IFERROR(VLOOKUP(I337,Materiales!$A:$H,8,0),"")</f>
        <v/>
      </c>
      <c r="K337" s="9">
        <f>IFERROR(VLOOKUP(I337,Materiales!$A:$G,7,0),"")</f>
        <v/>
      </c>
      <c r="L337" s="8" t="inlineStr">
        <is>
          <t>20230802</t>
        </is>
      </c>
      <c r="M337" s="8" t="inlineStr">
        <is>
          <t>20251031</t>
        </is>
      </c>
      <c r="N337" s="10" t="n">
        <v>170.97</v>
      </c>
      <c r="O337" s="10">
        <f>IFERROR(VLOOKUP(A337,Flete!$A:$J,10,0),"")</f>
        <v/>
      </c>
      <c r="P337" s="8" t="inlineStr">
        <is>
          <t>TN</t>
        </is>
      </c>
      <c r="Q337" s="10">
        <f>IFERROR(IFERROR(VLOOKUP(A337,TRAOPE!$A:$U,21,0),VLOOKUP(B337,TRAOPE!$A:$U,21,0)),"")</f>
        <v/>
      </c>
      <c r="R337" s="8">
        <f>IFERROR(IFERROR(VLOOKUP(A337,TRAOPE!$A:$W,23,0),VLOOKUP(B337,TRAOPE!$A:$W,23,0)),"")</f>
        <v/>
      </c>
      <c r="S337" s="10">
        <f>IF(AND(P337="TN",R337="TN"),N337+N(O337),IF(G337&amp;""="1",N(K337)*N337,(N337+N(O337))*N(K337)))</f>
        <v/>
      </c>
      <c r="T337" s="10">
        <f>IF(Q337="","",Q337-S337)</f>
        <v/>
      </c>
    </row>
    <row r="338">
      <c r="A338" s="7">
        <f>CONCATENATE(C338,E338,F338,I338)</f>
        <v/>
      </c>
      <c r="B338" s="7">
        <f>CONCATENATE(C338,E338,I338)</f>
        <v/>
      </c>
      <c r="C338" s="8" t="n">
        <v>900004700</v>
      </c>
      <c r="D338" s="7">
        <f>IFERROR(VLOOKUP(C338,TRAOPE!$G:$H,2,0),"")</f>
        <v/>
      </c>
      <c r="E338" s="8" t="inlineStr">
        <is>
          <t>DW68</t>
        </is>
      </c>
      <c r="F338" s="8" t="inlineStr">
        <is>
          <t>D211</t>
        </is>
      </c>
      <c r="G338" s="8">
        <f>IFERROR(VLOOKUP(A338,Flete!$A:$E,5,0),"")</f>
        <v/>
      </c>
      <c r="H338" s="7">
        <f>IFERROR(VLOOKUP(F338,TRAOPE!$AA:$AB,2,0),"")</f>
        <v/>
      </c>
      <c r="I338" s="7" t="n">
        <v>10000388</v>
      </c>
      <c r="J338" s="7">
        <f>IFERROR(VLOOKUP(I338,Materiales!$A:$H,8,0),"")</f>
        <v/>
      </c>
      <c r="K338" s="9">
        <f>IFERROR(VLOOKUP(I338,Materiales!$A:$G,7,0),"")</f>
        <v/>
      </c>
      <c r="L338" s="8" t="inlineStr">
        <is>
          <t>20230802</t>
        </is>
      </c>
      <c r="M338" s="8" t="inlineStr">
        <is>
          <t>20251031</t>
        </is>
      </c>
      <c r="N338" s="10" t="n">
        <v>149.57</v>
      </c>
      <c r="O338" s="10">
        <f>IFERROR(VLOOKUP(A338,Flete!$A:$J,10,0),"")</f>
        <v/>
      </c>
      <c r="P338" s="8" t="inlineStr">
        <is>
          <t>TN</t>
        </is>
      </c>
      <c r="Q338" s="10">
        <f>IFERROR(IFERROR(VLOOKUP(A338,TRAOPE!$A:$U,21,0),VLOOKUP(B338,TRAOPE!$A:$U,21,0)),"")</f>
        <v/>
      </c>
      <c r="R338" s="8">
        <f>IFERROR(IFERROR(VLOOKUP(A338,TRAOPE!$A:$W,23,0),VLOOKUP(B338,TRAOPE!$A:$W,23,0)),"")</f>
        <v/>
      </c>
      <c r="S338" s="10">
        <f>IF(AND(P338="TN",R338="TN"),N338+N(O338),IF(G338&amp;""="1",N(K338)*N338,(N338+N(O338))*N(K338)))</f>
        <v/>
      </c>
      <c r="T338" s="10">
        <f>IF(Q338="","",Q338-S338)</f>
        <v/>
      </c>
    </row>
    <row r="339">
      <c r="A339" s="7">
        <f>CONCATENATE(C339,E339,F339,I339)</f>
        <v/>
      </c>
      <c r="B339" s="7">
        <f>CONCATENATE(C339,E339,I339)</f>
        <v/>
      </c>
      <c r="C339" s="8" t="n">
        <v>900004700</v>
      </c>
      <c r="D339" s="7">
        <f>IFERROR(VLOOKUP(C339,TRAOPE!$G:$H,2,0),"")</f>
        <v/>
      </c>
      <c r="E339" s="8" t="inlineStr">
        <is>
          <t>DW68</t>
        </is>
      </c>
      <c r="F339" s="8" t="inlineStr">
        <is>
          <t>D211</t>
        </is>
      </c>
      <c r="G339" s="8">
        <f>IFERROR(VLOOKUP(A339,Flete!$A:$E,5,0),"")</f>
        <v/>
      </c>
      <c r="H339" s="7">
        <f>IFERROR(VLOOKUP(F339,TRAOPE!$AA:$AB,2,0),"")</f>
        <v/>
      </c>
      <c r="I339" s="7" t="n">
        <v>10004258</v>
      </c>
      <c r="J339" s="7">
        <f>IFERROR(VLOOKUP(I339,Materiales!$A:$H,8,0),"")</f>
        <v/>
      </c>
      <c r="K339" s="9">
        <f>IFERROR(VLOOKUP(I339,Materiales!$A:$G,7,0),"")</f>
        <v/>
      </c>
      <c r="L339" s="8" t="inlineStr">
        <is>
          <t>20230802</t>
        </is>
      </c>
      <c r="M339" s="8" t="inlineStr">
        <is>
          <t>20251031</t>
        </is>
      </c>
      <c r="N339" s="10" t="n">
        <v>233.82</v>
      </c>
      <c r="O339" s="10">
        <f>IFERROR(VLOOKUP(A339,Flete!$A:$J,10,0),"")</f>
        <v/>
      </c>
      <c r="P339" s="8" t="inlineStr">
        <is>
          <t>TN</t>
        </is>
      </c>
      <c r="Q339" s="10">
        <f>IFERROR(IFERROR(VLOOKUP(A339,TRAOPE!$A:$U,21,0),VLOOKUP(B339,TRAOPE!$A:$U,21,0)),"")</f>
        <v/>
      </c>
      <c r="R339" s="8">
        <f>IFERROR(IFERROR(VLOOKUP(A339,TRAOPE!$A:$W,23,0),VLOOKUP(B339,TRAOPE!$A:$W,23,0)),"")</f>
        <v/>
      </c>
      <c r="S339" s="10">
        <f>IF(AND(P339="TN",R339="TN"),N339+N(O339),IF(G339&amp;""="1",N(K339)*N339,(N339+N(O339))*N(K339)))</f>
        <v/>
      </c>
      <c r="T339" s="10">
        <f>IF(Q339="","",Q339-S339)</f>
        <v/>
      </c>
    </row>
    <row r="340">
      <c r="A340" s="7">
        <f>CONCATENATE(C340,E340,F340,I340)</f>
        <v/>
      </c>
      <c r="B340" s="7">
        <f>CONCATENATE(C340,E340,I340)</f>
        <v/>
      </c>
      <c r="C340" s="8" t="n">
        <v>900004700</v>
      </c>
      <c r="D340" s="7">
        <f>IFERROR(VLOOKUP(C340,TRAOPE!$G:$H,2,0),"")</f>
        <v/>
      </c>
      <c r="E340" s="8" t="inlineStr">
        <is>
          <t>DW68</t>
        </is>
      </c>
      <c r="F340" s="8" t="inlineStr">
        <is>
          <t>D220</t>
        </is>
      </c>
      <c r="G340" s="8">
        <f>IFERROR(VLOOKUP(A340,Flete!$A:$E,5,0),"")</f>
        <v/>
      </c>
      <c r="H340" s="7">
        <f>IFERROR(VLOOKUP(F340,TRAOPE!$AA:$AB,2,0),"")</f>
        <v/>
      </c>
      <c r="I340" s="7" t="n">
        <v>10000191</v>
      </c>
      <c r="J340" s="7">
        <f>IFERROR(VLOOKUP(I340,Materiales!$A:$H,8,0),"")</f>
        <v/>
      </c>
      <c r="K340" s="9">
        <f>IFERROR(VLOOKUP(I340,Materiales!$A:$G,7,0),"")</f>
        <v/>
      </c>
      <c r="L340" s="8" t="inlineStr">
        <is>
          <t>20230802</t>
        </is>
      </c>
      <c r="M340" s="8" t="inlineStr">
        <is>
          <t>20251031</t>
        </is>
      </c>
      <c r="N340" s="10" t="n">
        <v>149.14</v>
      </c>
      <c r="O340" s="10">
        <f>IFERROR(VLOOKUP(A340,Flete!$A:$J,10,0),"")</f>
        <v/>
      </c>
      <c r="P340" s="8" t="inlineStr">
        <is>
          <t>TN</t>
        </is>
      </c>
      <c r="Q340" s="10">
        <f>IFERROR(IFERROR(VLOOKUP(A340,TRAOPE!$A:$U,21,0),VLOOKUP(B340,TRAOPE!$A:$U,21,0)),"")</f>
        <v/>
      </c>
      <c r="R340" s="8">
        <f>IFERROR(IFERROR(VLOOKUP(A340,TRAOPE!$A:$W,23,0),VLOOKUP(B340,TRAOPE!$A:$W,23,0)),"")</f>
        <v/>
      </c>
      <c r="S340" s="10">
        <f>IF(AND(P340="TN",R340="TN"),N340+N(O340),IF(G340&amp;""="1",N(K340)*N340,(N340+N(O340))*N(K340)))</f>
        <v/>
      </c>
      <c r="T340" s="10">
        <f>IF(Q340="","",Q340-S340)</f>
        <v/>
      </c>
    </row>
    <row r="341">
      <c r="A341" s="7">
        <f>CONCATENATE(C341,E341,F341,I341)</f>
        <v/>
      </c>
      <c r="B341" s="7">
        <f>CONCATENATE(C341,E341,I341)</f>
        <v/>
      </c>
      <c r="C341" s="8" t="n">
        <v>900004700</v>
      </c>
      <c r="D341" s="7">
        <f>IFERROR(VLOOKUP(C341,TRAOPE!$G:$H,2,0),"")</f>
        <v/>
      </c>
      <c r="E341" s="8" t="inlineStr">
        <is>
          <t>DW68</t>
        </is>
      </c>
      <c r="F341" s="8" t="inlineStr">
        <is>
          <t>D220</t>
        </is>
      </c>
      <c r="G341" s="8">
        <f>IFERROR(VLOOKUP(A341,Flete!$A:$E,5,0),"")</f>
        <v/>
      </c>
      <c r="H341" s="7">
        <f>IFERROR(VLOOKUP(F341,TRAOPE!$AA:$AB,2,0),"")</f>
        <v/>
      </c>
      <c r="I341" s="7" t="n">
        <v>10000384</v>
      </c>
      <c r="J341" s="7">
        <f>IFERROR(VLOOKUP(I341,Materiales!$A:$H,8,0),"")</f>
        <v/>
      </c>
      <c r="K341" s="9">
        <f>IFERROR(VLOOKUP(I341,Materiales!$A:$G,7,0),"")</f>
        <v/>
      </c>
      <c r="L341" s="8" t="inlineStr">
        <is>
          <t>20230802</t>
        </is>
      </c>
      <c r="M341" s="8" t="inlineStr">
        <is>
          <t>20251031</t>
        </is>
      </c>
      <c r="N341" s="10" t="n">
        <v>170.97</v>
      </c>
      <c r="O341" s="10">
        <f>IFERROR(VLOOKUP(A341,Flete!$A:$J,10,0),"")</f>
        <v/>
      </c>
      <c r="P341" s="8" t="inlineStr">
        <is>
          <t>TN</t>
        </is>
      </c>
      <c r="Q341" s="10">
        <f>IFERROR(IFERROR(VLOOKUP(A341,TRAOPE!$A:$U,21,0),VLOOKUP(B341,TRAOPE!$A:$U,21,0)),"")</f>
        <v/>
      </c>
      <c r="R341" s="8">
        <f>IFERROR(IFERROR(VLOOKUP(A341,TRAOPE!$A:$W,23,0),VLOOKUP(B341,TRAOPE!$A:$W,23,0)),"")</f>
        <v/>
      </c>
      <c r="S341" s="10">
        <f>IF(AND(P341="TN",R341="TN"),N341+N(O341),IF(G341&amp;""="1",N(K341)*N341,(N341+N(O341))*N(K341)))</f>
        <v/>
      </c>
      <c r="T341" s="10">
        <f>IF(Q341="","",Q341-S341)</f>
        <v/>
      </c>
    </row>
    <row r="342">
      <c r="A342" s="7">
        <f>CONCATENATE(C342,E342,F342,I342)</f>
        <v/>
      </c>
      <c r="B342" s="7">
        <f>CONCATENATE(C342,E342,I342)</f>
        <v/>
      </c>
      <c r="C342" s="8" t="n">
        <v>900004700</v>
      </c>
      <c r="D342" s="7">
        <f>IFERROR(VLOOKUP(C342,TRAOPE!$G:$H,2,0),"")</f>
        <v/>
      </c>
      <c r="E342" s="8" t="inlineStr">
        <is>
          <t>DW68</t>
        </is>
      </c>
      <c r="F342" s="8" t="inlineStr">
        <is>
          <t>D220</t>
        </is>
      </c>
      <c r="G342" s="8">
        <f>IFERROR(VLOOKUP(A342,Flete!$A:$E,5,0),"")</f>
        <v/>
      </c>
      <c r="H342" s="7">
        <f>IFERROR(VLOOKUP(F342,TRAOPE!$AA:$AB,2,0),"")</f>
        <v/>
      </c>
      <c r="I342" s="7" t="n">
        <v>10000388</v>
      </c>
      <c r="J342" s="7">
        <f>IFERROR(VLOOKUP(I342,Materiales!$A:$H,8,0),"")</f>
        <v/>
      </c>
      <c r="K342" s="9">
        <f>IFERROR(VLOOKUP(I342,Materiales!$A:$G,7,0),"")</f>
        <v/>
      </c>
      <c r="L342" s="8" t="inlineStr">
        <is>
          <t>20230802</t>
        </is>
      </c>
      <c r="M342" s="8" t="inlineStr">
        <is>
          <t>20251031</t>
        </is>
      </c>
      <c r="N342" s="10" t="n">
        <v>149.57</v>
      </c>
      <c r="O342" s="10">
        <f>IFERROR(VLOOKUP(A342,Flete!$A:$J,10,0),"")</f>
        <v/>
      </c>
      <c r="P342" s="8" t="inlineStr">
        <is>
          <t>TN</t>
        </is>
      </c>
      <c r="Q342" s="10">
        <f>IFERROR(IFERROR(VLOOKUP(A342,TRAOPE!$A:$U,21,0),VLOOKUP(B342,TRAOPE!$A:$U,21,0)),"")</f>
        <v/>
      </c>
      <c r="R342" s="8">
        <f>IFERROR(IFERROR(VLOOKUP(A342,TRAOPE!$A:$W,23,0),VLOOKUP(B342,TRAOPE!$A:$W,23,0)),"")</f>
        <v/>
      </c>
      <c r="S342" s="10">
        <f>IF(AND(P342="TN",R342="TN"),N342+N(O342),IF(G342&amp;""="1",N(K342)*N342,(N342+N(O342))*N(K342)))</f>
        <v/>
      </c>
      <c r="T342" s="10">
        <f>IF(Q342="","",Q342-S342)</f>
        <v/>
      </c>
    </row>
    <row r="343">
      <c r="A343" s="7">
        <f>CONCATENATE(C343,E343,F343,I343)</f>
        <v/>
      </c>
      <c r="B343" s="7">
        <f>CONCATENATE(C343,E343,I343)</f>
        <v/>
      </c>
      <c r="C343" s="8" t="n">
        <v>900004700</v>
      </c>
      <c r="D343" s="7">
        <f>IFERROR(VLOOKUP(C343,TRAOPE!$G:$H,2,0),"")</f>
        <v/>
      </c>
      <c r="E343" s="8" t="inlineStr">
        <is>
          <t>DW68</t>
        </is>
      </c>
      <c r="F343" s="8" t="inlineStr">
        <is>
          <t>D220</t>
        </is>
      </c>
      <c r="G343" s="8">
        <f>IFERROR(VLOOKUP(A343,Flete!$A:$E,5,0),"")</f>
        <v/>
      </c>
      <c r="H343" s="7">
        <f>IFERROR(VLOOKUP(F343,TRAOPE!$AA:$AB,2,0),"")</f>
        <v/>
      </c>
      <c r="I343" s="7" t="n">
        <v>10004258</v>
      </c>
      <c r="J343" s="7">
        <f>IFERROR(VLOOKUP(I343,Materiales!$A:$H,8,0),"")</f>
        <v/>
      </c>
      <c r="K343" s="9">
        <f>IFERROR(VLOOKUP(I343,Materiales!$A:$G,7,0),"")</f>
        <v/>
      </c>
      <c r="L343" s="8" t="inlineStr">
        <is>
          <t>20230802</t>
        </is>
      </c>
      <c r="M343" s="8" t="inlineStr">
        <is>
          <t>20251031</t>
        </is>
      </c>
      <c r="N343" s="10" t="n">
        <v>233.82</v>
      </c>
      <c r="O343" s="10">
        <f>IFERROR(VLOOKUP(A343,Flete!$A:$J,10,0),"")</f>
        <v/>
      </c>
      <c r="P343" s="8" t="inlineStr">
        <is>
          <t>TN</t>
        </is>
      </c>
      <c r="Q343" s="10">
        <f>IFERROR(IFERROR(VLOOKUP(A343,TRAOPE!$A:$U,21,0),VLOOKUP(B343,TRAOPE!$A:$U,21,0)),"")</f>
        <v/>
      </c>
      <c r="R343" s="8">
        <f>IFERROR(IFERROR(VLOOKUP(A343,TRAOPE!$A:$W,23,0),VLOOKUP(B343,TRAOPE!$A:$W,23,0)),"")</f>
        <v/>
      </c>
      <c r="S343" s="10">
        <f>IF(AND(P343="TN",R343="TN"),N343+N(O343),IF(G343&amp;""="1",N(K343)*N343,(N343+N(O343))*N(K343)))</f>
        <v/>
      </c>
      <c r="T343" s="10">
        <f>IF(Q343="","",Q343-S343)</f>
        <v/>
      </c>
    </row>
    <row r="344">
      <c r="A344" s="7">
        <f>CONCATENATE(C344,E344,F344,I344)</f>
        <v/>
      </c>
      <c r="B344" s="7">
        <f>CONCATENATE(C344,E344,I344)</f>
        <v/>
      </c>
      <c r="C344" s="8" t="n">
        <v>900004700</v>
      </c>
      <c r="D344" s="7">
        <f>IFERROR(VLOOKUP(C344,TRAOPE!$G:$H,2,0),"")</f>
        <v/>
      </c>
      <c r="E344" s="8" t="inlineStr">
        <is>
          <t>DW68</t>
        </is>
      </c>
      <c r="F344" s="8" t="inlineStr">
        <is>
          <t>D228</t>
        </is>
      </c>
      <c r="G344" s="8">
        <f>IFERROR(VLOOKUP(A344,Flete!$A:$E,5,0),"")</f>
        <v/>
      </c>
      <c r="H344" s="7">
        <f>IFERROR(VLOOKUP(F344,TRAOPE!$AA:$AB,2,0),"")</f>
        <v/>
      </c>
      <c r="I344" s="7" t="n">
        <v>10000191</v>
      </c>
      <c r="J344" s="7">
        <f>IFERROR(VLOOKUP(I344,Materiales!$A:$H,8,0),"")</f>
        <v/>
      </c>
      <c r="K344" s="9">
        <f>IFERROR(VLOOKUP(I344,Materiales!$A:$G,7,0),"")</f>
        <v/>
      </c>
      <c r="L344" s="8" t="inlineStr">
        <is>
          <t>20230802</t>
        </is>
      </c>
      <c r="M344" s="8" t="inlineStr">
        <is>
          <t>20251031</t>
        </is>
      </c>
      <c r="N344" s="10" t="n">
        <v>149.14</v>
      </c>
      <c r="O344" s="10">
        <f>IFERROR(VLOOKUP(A344,Flete!$A:$J,10,0),"")</f>
        <v/>
      </c>
      <c r="P344" s="8" t="inlineStr">
        <is>
          <t>TN</t>
        </is>
      </c>
      <c r="Q344" s="10">
        <f>IFERROR(IFERROR(VLOOKUP(A344,TRAOPE!$A:$U,21,0),VLOOKUP(B344,TRAOPE!$A:$U,21,0)),"")</f>
        <v/>
      </c>
      <c r="R344" s="8">
        <f>IFERROR(IFERROR(VLOOKUP(A344,TRAOPE!$A:$W,23,0),VLOOKUP(B344,TRAOPE!$A:$W,23,0)),"")</f>
        <v/>
      </c>
      <c r="S344" s="10">
        <f>IF(AND(P344="TN",R344="TN"),N344+N(O344),IF(G344&amp;""="1",N(K344)*N344,(N344+N(O344))*N(K344)))</f>
        <v/>
      </c>
      <c r="T344" s="10">
        <f>IF(Q344="","",Q344-S344)</f>
        <v/>
      </c>
    </row>
    <row r="345">
      <c r="A345" s="7">
        <f>CONCATENATE(C345,E345,F345,I345)</f>
        <v/>
      </c>
      <c r="B345" s="7">
        <f>CONCATENATE(C345,E345,I345)</f>
        <v/>
      </c>
      <c r="C345" s="8" t="n">
        <v>900004700</v>
      </c>
      <c r="D345" s="7">
        <f>IFERROR(VLOOKUP(C345,TRAOPE!$G:$H,2,0),"")</f>
        <v/>
      </c>
      <c r="E345" s="8" t="inlineStr">
        <is>
          <t>DW68</t>
        </is>
      </c>
      <c r="F345" s="8" t="inlineStr">
        <is>
          <t>D228</t>
        </is>
      </c>
      <c r="G345" s="8">
        <f>IFERROR(VLOOKUP(A345,Flete!$A:$E,5,0),"")</f>
        <v/>
      </c>
      <c r="H345" s="7">
        <f>IFERROR(VLOOKUP(F345,TRAOPE!$AA:$AB,2,0),"")</f>
        <v/>
      </c>
      <c r="I345" s="7" t="n">
        <v>10000384</v>
      </c>
      <c r="J345" s="7">
        <f>IFERROR(VLOOKUP(I345,Materiales!$A:$H,8,0),"")</f>
        <v/>
      </c>
      <c r="K345" s="9">
        <f>IFERROR(VLOOKUP(I345,Materiales!$A:$G,7,0),"")</f>
        <v/>
      </c>
      <c r="L345" s="8" t="inlineStr">
        <is>
          <t>20230802</t>
        </is>
      </c>
      <c r="M345" s="8" t="inlineStr">
        <is>
          <t>20251031</t>
        </is>
      </c>
      <c r="N345" s="10" t="n">
        <v>170.97</v>
      </c>
      <c r="O345" s="10">
        <f>IFERROR(VLOOKUP(A345,Flete!$A:$J,10,0),"")</f>
        <v/>
      </c>
      <c r="P345" s="8" t="inlineStr">
        <is>
          <t>TN</t>
        </is>
      </c>
      <c r="Q345" s="10">
        <f>IFERROR(IFERROR(VLOOKUP(A345,TRAOPE!$A:$U,21,0),VLOOKUP(B345,TRAOPE!$A:$U,21,0)),"")</f>
        <v/>
      </c>
      <c r="R345" s="8">
        <f>IFERROR(IFERROR(VLOOKUP(A345,TRAOPE!$A:$W,23,0),VLOOKUP(B345,TRAOPE!$A:$W,23,0)),"")</f>
        <v/>
      </c>
      <c r="S345" s="10">
        <f>IF(AND(P345="TN",R345="TN"),N345+N(O345),IF(G345&amp;""="1",N(K345)*N345,(N345+N(O345))*N(K345)))</f>
        <v/>
      </c>
      <c r="T345" s="10">
        <f>IF(Q345="","",Q345-S345)</f>
        <v/>
      </c>
    </row>
    <row r="346">
      <c r="A346" s="7">
        <f>CONCATENATE(C346,E346,F346,I346)</f>
        <v/>
      </c>
      <c r="B346" s="7">
        <f>CONCATENATE(C346,E346,I346)</f>
        <v/>
      </c>
      <c r="C346" s="8" t="n">
        <v>900004700</v>
      </c>
      <c r="D346" s="7">
        <f>IFERROR(VLOOKUP(C346,TRAOPE!$G:$H,2,0),"")</f>
        <v/>
      </c>
      <c r="E346" s="8" t="inlineStr">
        <is>
          <t>DW68</t>
        </is>
      </c>
      <c r="F346" s="8" t="inlineStr">
        <is>
          <t>D228</t>
        </is>
      </c>
      <c r="G346" s="8">
        <f>IFERROR(VLOOKUP(A346,Flete!$A:$E,5,0),"")</f>
        <v/>
      </c>
      <c r="H346" s="7">
        <f>IFERROR(VLOOKUP(F346,TRAOPE!$AA:$AB,2,0),"")</f>
        <v/>
      </c>
      <c r="I346" s="7" t="n">
        <v>10000388</v>
      </c>
      <c r="J346" s="7">
        <f>IFERROR(VLOOKUP(I346,Materiales!$A:$H,8,0),"")</f>
        <v/>
      </c>
      <c r="K346" s="9">
        <f>IFERROR(VLOOKUP(I346,Materiales!$A:$G,7,0),"")</f>
        <v/>
      </c>
      <c r="L346" s="8" t="inlineStr">
        <is>
          <t>20230802</t>
        </is>
      </c>
      <c r="M346" s="8" t="inlineStr">
        <is>
          <t>20251031</t>
        </is>
      </c>
      <c r="N346" s="10" t="n">
        <v>149.57</v>
      </c>
      <c r="O346" s="10">
        <f>IFERROR(VLOOKUP(A346,Flete!$A:$J,10,0),"")</f>
        <v/>
      </c>
      <c r="P346" s="8" t="inlineStr">
        <is>
          <t>TN</t>
        </is>
      </c>
      <c r="Q346" s="10">
        <f>IFERROR(IFERROR(VLOOKUP(A346,TRAOPE!$A:$U,21,0),VLOOKUP(B346,TRAOPE!$A:$U,21,0)),"")</f>
        <v/>
      </c>
      <c r="R346" s="8">
        <f>IFERROR(IFERROR(VLOOKUP(A346,TRAOPE!$A:$W,23,0),VLOOKUP(B346,TRAOPE!$A:$W,23,0)),"")</f>
        <v/>
      </c>
      <c r="S346" s="10">
        <f>IF(AND(P346="TN",R346="TN"),N346+N(O346),IF(G346&amp;""="1",N(K346)*N346,(N346+N(O346))*N(K346)))</f>
        <v/>
      </c>
      <c r="T346" s="10">
        <f>IF(Q346="","",Q346-S346)</f>
        <v/>
      </c>
    </row>
    <row r="347">
      <c r="A347" s="7">
        <f>CONCATENATE(C347,E347,F347,I347)</f>
        <v/>
      </c>
      <c r="B347" s="7">
        <f>CONCATENATE(C347,E347,I347)</f>
        <v/>
      </c>
      <c r="C347" s="8" t="n">
        <v>900004700</v>
      </c>
      <c r="D347" s="7">
        <f>IFERROR(VLOOKUP(C347,TRAOPE!$G:$H,2,0),"")</f>
        <v/>
      </c>
      <c r="E347" s="8" t="inlineStr">
        <is>
          <t>DW68</t>
        </is>
      </c>
      <c r="F347" s="8" t="inlineStr">
        <is>
          <t>D228</t>
        </is>
      </c>
      <c r="G347" s="8">
        <f>IFERROR(VLOOKUP(A347,Flete!$A:$E,5,0),"")</f>
        <v/>
      </c>
      <c r="H347" s="7">
        <f>IFERROR(VLOOKUP(F347,TRAOPE!$AA:$AB,2,0),"")</f>
        <v/>
      </c>
      <c r="I347" s="7" t="n">
        <v>10004258</v>
      </c>
      <c r="J347" s="7">
        <f>IFERROR(VLOOKUP(I347,Materiales!$A:$H,8,0),"")</f>
        <v/>
      </c>
      <c r="K347" s="9">
        <f>IFERROR(VLOOKUP(I347,Materiales!$A:$G,7,0),"")</f>
        <v/>
      </c>
      <c r="L347" s="8" t="inlineStr">
        <is>
          <t>20230802</t>
        </is>
      </c>
      <c r="M347" s="8" t="inlineStr">
        <is>
          <t>20251031</t>
        </is>
      </c>
      <c r="N347" s="10" t="n">
        <v>233.82</v>
      </c>
      <c r="O347" s="10">
        <f>IFERROR(VLOOKUP(A347,Flete!$A:$J,10,0),"")</f>
        <v/>
      </c>
      <c r="P347" s="8" t="inlineStr">
        <is>
          <t>TN</t>
        </is>
      </c>
      <c r="Q347" s="10">
        <f>IFERROR(IFERROR(VLOOKUP(A347,TRAOPE!$A:$U,21,0),VLOOKUP(B347,TRAOPE!$A:$U,21,0)),"")</f>
        <v/>
      </c>
      <c r="R347" s="8">
        <f>IFERROR(IFERROR(VLOOKUP(A347,TRAOPE!$A:$W,23,0),VLOOKUP(B347,TRAOPE!$A:$W,23,0)),"")</f>
        <v/>
      </c>
      <c r="S347" s="10">
        <f>IF(AND(P347="TN",R347="TN"),N347+N(O347),IF(G347&amp;""="1",N(K347)*N347,(N347+N(O347))*N(K347)))</f>
        <v/>
      </c>
      <c r="T347" s="10">
        <f>IF(Q347="","",Q347-S347)</f>
        <v/>
      </c>
    </row>
    <row r="348">
      <c r="A348" s="7">
        <f>CONCATENATE(C348,E348,F348,I348)</f>
        <v/>
      </c>
      <c r="B348" s="7">
        <f>CONCATENATE(C348,E348,I348)</f>
        <v/>
      </c>
      <c r="C348" s="8" t="n">
        <v>900004700</v>
      </c>
      <c r="D348" s="7">
        <f>IFERROR(VLOOKUP(C348,TRAOPE!$G:$H,2,0),"")</f>
        <v/>
      </c>
      <c r="E348" s="8" t="inlineStr">
        <is>
          <t>DW68</t>
        </is>
      </c>
      <c r="F348" s="8" t="inlineStr">
        <is>
          <t>D242</t>
        </is>
      </c>
      <c r="G348" s="8">
        <f>IFERROR(VLOOKUP(A348,Flete!$A:$E,5,0),"")</f>
        <v/>
      </c>
      <c r="H348" s="7">
        <f>IFERROR(VLOOKUP(F348,TRAOPE!$AA:$AB,2,0),"")</f>
        <v/>
      </c>
      <c r="I348" s="7" t="n">
        <v>10000191</v>
      </c>
      <c r="J348" s="7">
        <f>IFERROR(VLOOKUP(I348,Materiales!$A:$H,8,0),"")</f>
        <v/>
      </c>
      <c r="K348" s="9">
        <f>IFERROR(VLOOKUP(I348,Materiales!$A:$G,7,0),"")</f>
        <v/>
      </c>
      <c r="L348" s="8" t="inlineStr">
        <is>
          <t>20230802</t>
        </is>
      </c>
      <c r="M348" s="8" t="inlineStr">
        <is>
          <t>20251031</t>
        </is>
      </c>
      <c r="N348" s="10" t="n">
        <v>149.14</v>
      </c>
      <c r="O348" s="10">
        <f>IFERROR(VLOOKUP(A348,Flete!$A:$J,10,0),"")</f>
        <v/>
      </c>
      <c r="P348" s="8" t="inlineStr">
        <is>
          <t>TN</t>
        </is>
      </c>
      <c r="Q348" s="10">
        <f>IFERROR(IFERROR(VLOOKUP(A348,TRAOPE!$A:$U,21,0),VLOOKUP(B348,TRAOPE!$A:$U,21,0)),"")</f>
        <v/>
      </c>
      <c r="R348" s="8">
        <f>IFERROR(IFERROR(VLOOKUP(A348,TRAOPE!$A:$W,23,0),VLOOKUP(B348,TRAOPE!$A:$W,23,0)),"")</f>
        <v/>
      </c>
      <c r="S348" s="10">
        <f>IF(AND(P348="TN",R348="TN"),N348+N(O348),IF(G348&amp;""="1",N(K348)*N348,(N348+N(O348))*N(K348)))</f>
        <v/>
      </c>
      <c r="T348" s="10">
        <f>IF(Q348="","",Q348-S348)</f>
        <v/>
      </c>
    </row>
    <row r="349">
      <c r="A349" s="7">
        <f>CONCATENATE(C349,E349,F349,I349)</f>
        <v/>
      </c>
      <c r="B349" s="7">
        <f>CONCATENATE(C349,E349,I349)</f>
        <v/>
      </c>
      <c r="C349" s="8" t="n">
        <v>900004700</v>
      </c>
      <c r="D349" s="7">
        <f>IFERROR(VLOOKUP(C349,TRAOPE!$G:$H,2,0),"")</f>
        <v/>
      </c>
      <c r="E349" s="8" t="inlineStr">
        <is>
          <t>DW68</t>
        </is>
      </c>
      <c r="F349" s="8" t="inlineStr">
        <is>
          <t>D242</t>
        </is>
      </c>
      <c r="G349" s="8">
        <f>IFERROR(VLOOKUP(A349,Flete!$A:$E,5,0),"")</f>
        <v/>
      </c>
      <c r="H349" s="7">
        <f>IFERROR(VLOOKUP(F349,TRAOPE!$AA:$AB,2,0),"")</f>
        <v/>
      </c>
      <c r="I349" s="7" t="n">
        <v>10000384</v>
      </c>
      <c r="J349" s="7">
        <f>IFERROR(VLOOKUP(I349,Materiales!$A:$H,8,0),"")</f>
        <v/>
      </c>
      <c r="K349" s="9">
        <f>IFERROR(VLOOKUP(I349,Materiales!$A:$G,7,0),"")</f>
        <v/>
      </c>
      <c r="L349" s="8" t="inlineStr">
        <is>
          <t>20230802</t>
        </is>
      </c>
      <c r="M349" s="8" t="inlineStr">
        <is>
          <t>20251031</t>
        </is>
      </c>
      <c r="N349" s="10" t="n">
        <v>170.97</v>
      </c>
      <c r="O349" s="10">
        <f>IFERROR(VLOOKUP(A349,Flete!$A:$J,10,0),"")</f>
        <v/>
      </c>
      <c r="P349" s="8" t="inlineStr">
        <is>
          <t>TN</t>
        </is>
      </c>
      <c r="Q349" s="10">
        <f>IFERROR(IFERROR(VLOOKUP(A349,TRAOPE!$A:$U,21,0),VLOOKUP(B349,TRAOPE!$A:$U,21,0)),"")</f>
        <v/>
      </c>
      <c r="R349" s="8">
        <f>IFERROR(IFERROR(VLOOKUP(A349,TRAOPE!$A:$W,23,0),VLOOKUP(B349,TRAOPE!$A:$W,23,0)),"")</f>
        <v/>
      </c>
      <c r="S349" s="10">
        <f>IF(AND(P349="TN",R349="TN"),N349+N(O349),IF(G349&amp;""="1",N(K349)*N349,(N349+N(O349))*N(K349)))</f>
        <v/>
      </c>
      <c r="T349" s="10">
        <f>IF(Q349="","",Q349-S349)</f>
        <v/>
      </c>
    </row>
    <row r="350">
      <c r="A350" s="7">
        <f>CONCATENATE(C350,E350,F350,I350)</f>
        <v/>
      </c>
      <c r="B350" s="7">
        <f>CONCATENATE(C350,E350,I350)</f>
        <v/>
      </c>
      <c r="C350" s="8" t="n">
        <v>900004700</v>
      </c>
      <c r="D350" s="7">
        <f>IFERROR(VLOOKUP(C350,TRAOPE!$G:$H,2,0),"")</f>
        <v/>
      </c>
      <c r="E350" s="8" t="inlineStr">
        <is>
          <t>DW68</t>
        </is>
      </c>
      <c r="F350" s="8" t="inlineStr">
        <is>
          <t>D242</t>
        </is>
      </c>
      <c r="G350" s="8">
        <f>IFERROR(VLOOKUP(A350,Flete!$A:$E,5,0),"")</f>
        <v/>
      </c>
      <c r="H350" s="7">
        <f>IFERROR(VLOOKUP(F350,TRAOPE!$AA:$AB,2,0),"")</f>
        <v/>
      </c>
      <c r="I350" s="7" t="n">
        <v>10000388</v>
      </c>
      <c r="J350" s="7">
        <f>IFERROR(VLOOKUP(I350,Materiales!$A:$H,8,0),"")</f>
        <v/>
      </c>
      <c r="K350" s="9">
        <f>IFERROR(VLOOKUP(I350,Materiales!$A:$G,7,0),"")</f>
        <v/>
      </c>
      <c r="L350" s="8" t="inlineStr">
        <is>
          <t>20230802</t>
        </is>
      </c>
      <c r="M350" s="8" t="inlineStr">
        <is>
          <t>20251031</t>
        </is>
      </c>
      <c r="N350" s="10" t="n">
        <v>149.57</v>
      </c>
      <c r="O350" s="10">
        <f>IFERROR(VLOOKUP(A350,Flete!$A:$J,10,0),"")</f>
        <v/>
      </c>
      <c r="P350" s="8" t="inlineStr">
        <is>
          <t>TN</t>
        </is>
      </c>
      <c r="Q350" s="10">
        <f>IFERROR(IFERROR(VLOOKUP(A350,TRAOPE!$A:$U,21,0),VLOOKUP(B350,TRAOPE!$A:$U,21,0)),"")</f>
        <v/>
      </c>
      <c r="R350" s="8">
        <f>IFERROR(IFERROR(VLOOKUP(A350,TRAOPE!$A:$W,23,0),VLOOKUP(B350,TRAOPE!$A:$W,23,0)),"")</f>
        <v/>
      </c>
      <c r="S350" s="10">
        <f>IF(AND(P350="TN",R350="TN"),N350+N(O350),IF(G350&amp;""="1",N(K350)*N350,(N350+N(O350))*N(K350)))</f>
        <v/>
      </c>
      <c r="T350" s="10">
        <f>IF(Q350="","",Q350-S350)</f>
        <v/>
      </c>
    </row>
    <row r="351">
      <c r="A351" s="7">
        <f>CONCATENATE(C351,E351,F351,I351)</f>
        <v/>
      </c>
      <c r="B351" s="7">
        <f>CONCATENATE(C351,E351,I351)</f>
        <v/>
      </c>
      <c r="C351" s="8" t="n">
        <v>900004700</v>
      </c>
      <c r="D351" s="7">
        <f>IFERROR(VLOOKUP(C351,TRAOPE!$G:$H,2,0),"")</f>
        <v/>
      </c>
      <c r="E351" s="8" t="inlineStr">
        <is>
          <t>DW68</t>
        </is>
      </c>
      <c r="F351" s="8" t="inlineStr">
        <is>
          <t>D242</t>
        </is>
      </c>
      <c r="G351" s="8">
        <f>IFERROR(VLOOKUP(A351,Flete!$A:$E,5,0),"")</f>
        <v/>
      </c>
      <c r="H351" s="7">
        <f>IFERROR(VLOOKUP(F351,TRAOPE!$AA:$AB,2,0),"")</f>
        <v/>
      </c>
      <c r="I351" s="7" t="n">
        <v>10004258</v>
      </c>
      <c r="J351" s="7">
        <f>IFERROR(VLOOKUP(I351,Materiales!$A:$H,8,0),"")</f>
        <v/>
      </c>
      <c r="K351" s="9">
        <f>IFERROR(VLOOKUP(I351,Materiales!$A:$G,7,0),"")</f>
        <v/>
      </c>
      <c r="L351" s="8" t="inlineStr">
        <is>
          <t>20230802</t>
        </is>
      </c>
      <c r="M351" s="8" t="inlineStr">
        <is>
          <t>20251031</t>
        </is>
      </c>
      <c r="N351" s="10" t="n">
        <v>233.82</v>
      </c>
      <c r="O351" s="10">
        <f>IFERROR(VLOOKUP(A351,Flete!$A:$J,10,0),"")</f>
        <v/>
      </c>
      <c r="P351" s="8" t="inlineStr">
        <is>
          <t>TN</t>
        </is>
      </c>
      <c r="Q351" s="10">
        <f>IFERROR(IFERROR(VLOOKUP(A351,TRAOPE!$A:$U,21,0),VLOOKUP(B351,TRAOPE!$A:$U,21,0)),"")</f>
        <v/>
      </c>
      <c r="R351" s="8">
        <f>IFERROR(IFERROR(VLOOKUP(A351,TRAOPE!$A:$W,23,0),VLOOKUP(B351,TRAOPE!$A:$W,23,0)),"")</f>
        <v/>
      </c>
      <c r="S351" s="10">
        <f>IF(AND(P351="TN",R351="TN"),N351+N(O351),IF(G351&amp;""="1",N(K351)*N351,(N351+N(O351))*N(K351)))</f>
        <v/>
      </c>
      <c r="T351" s="10">
        <f>IF(Q351="","",Q351-S351)</f>
        <v/>
      </c>
    </row>
    <row r="352">
      <c r="A352" s="7">
        <f>CONCATENATE(C352,E352,F352,I352)</f>
        <v/>
      </c>
      <c r="B352" s="7">
        <f>CONCATENATE(C352,E352,I352)</f>
        <v/>
      </c>
      <c r="C352" s="8" t="n">
        <v>900004700</v>
      </c>
      <c r="D352" s="7">
        <f>IFERROR(VLOOKUP(C352,TRAOPE!$G:$H,2,0),"")</f>
        <v/>
      </c>
      <c r="E352" s="8" t="inlineStr">
        <is>
          <t>DW68</t>
        </is>
      </c>
      <c r="F352" s="8" t="inlineStr">
        <is>
          <t>D247</t>
        </is>
      </c>
      <c r="G352" s="8">
        <f>IFERROR(VLOOKUP(A352,Flete!$A:$E,5,0),"")</f>
        <v/>
      </c>
      <c r="H352" s="7">
        <f>IFERROR(VLOOKUP(F352,TRAOPE!$AA:$AB,2,0),"")</f>
        <v/>
      </c>
      <c r="I352" s="7" t="n">
        <v>10000191</v>
      </c>
      <c r="J352" s="7">
        <f>IFERROR(VLOOKUP(I352,Materiales!$A:$H,8,0),"")</f>
        <v/>
      </c>
      <c r="K352" s="9">
        <f>IFERROR(VLOOKUP(I352,Materiales!$A:$G,7,0),"")</f>
        <v/>
      </c>
      <c r="L352" s="8" t="inlineStr">
        <is>
          <t>20230802</t>
        </is>
      </c>
      <c r="M352" s="8" t="inlineStr">
        <is>
          <t>20251031</t>
        </is>
      </c>
      <c r="N352" s="10" t="n">
        <v>149.14</v>
      </c>
      <c r="O352" s="10">
        <f>IFERROR(VLOOKUP(A352,Flete!$A:$J,10,0),"")</f>
        <v/>
      </c>
      <c r="P352" s="8" t="inlineStr">
        <is>
          <t>TN</t>
        </is>
      </c>
      <c r="Q352" s="10">
        <f>IFERROR(IFERROR(VLOOKUP(A352,TRAOPE!$A:$U,21,0),VLOOKUP(B352,TRAOPE!$A:$U,21,0)),"")</f>
        <v/>
      </c>
      <c r="R352" s="8">
        <f>IFERROR(IFERROR(VLOOKUP(A352,TRAOPE!$A:$W,23,0),VLOOKUP(B352,TRAOPE!$A:$W,23,0)),"")</f>
        <v/>
      </c>
      <c r="S352" s="10">
        <f>IF(AND(P352="TN",R352="TN"),N352+N(O352),IF(G352&amp;""="1",N(K352)*N352,(N352+N(O352))*N(K352)))</f>
        <v/>
      </c>
      <c r="T352" s="10">
        <f>IF(Q352="","",Q352-S352)</f>
        <v/>
      </c>
    </row>
    <row r="353">
      <c r="A353" s="7">
        <f>CONCATENATE(C353,E353,F353,I353)</f>
        <v/>
      </c>
      <c r="B353" s="7">
        <f>CONCATENATE(C353,E353,I353)</f>
        <v/>
      </c>
      <c r="C353" s="8" t="n">
        <v>900004700</v>
      </c>
      <c r="D353" s="7">
        <f>IFERROR(VLOOKUP(C353,TRAOPE!$G:$H,2,0),"")</f>
        <v/>
      </c>
      <c r="E353" s="8" t="inlineStr">
        <is>
          <t>DW68</t>
        </is>
      </c>
      <c r="F353" s="8" t="inlineStr">
        <is>
          <t>D247</t>
        </is>
      </c>
      <c r="G353" s="8">
        <f>IFERROR(VLOOKUP(A353,Flete!$A:$E,5,0),"")</f>
        <v/>
      </c>
      <c r="H353" s="7">
        <f>IFERROR(VLOOKUP(F353,TRAOPE!$AA:$AB,2,0),"")</f>
        <v/>
      </c>
      <c r="I353" s="7" t="n">
        <v>10000384</v>
      </c>
      <c r="J353" s="7">
        <f>IFERROR(VLOOKUP(I353,Materiales!$A:$H,8,0),"")</f>
        <v/>
      </c>
      <c r="K353" s="9">
        <f>IFERROR(VLOOKUP(I353,Materiales!$A:$G,7,0),"")</f>
        <v/>
      </c>
      <c r="L353" s="8" t="inlineStr">
        <is>
          <t>20230802</t>
        </is>
      </c>
      <c r="M353" s="8" t="inlineStr">
        <is>
          <t>20251031</t>
        </is>
      </c>
      <c r="N353" s="10" t="n">
        <v>170.97</v>
      </c>
      <c r="O353" s="10">
        <f>IFERROR(VLOOKUP(A353,Flete!$A:$J,10,0),"")</f>
        <v/>
      </c>
      <c r="P353" s="8" t="inlineStr">
        <is>
          <t>TN</t>
        </is>
      </c>
      <c r="Q353" s="10">
        <f>IFERROR(IFERROR(VLOOKUP(A353,TRAOPE!$A:$U,21,0),VLOOKUP(B353,TRAOPE!$A:$U,21,0)),"")</f>
        <v/>
      </c>
      <c r="R353" s="8">
        <f>IFERROR(IFERROR(VLOOKUP(A353,TRAOPE!$A:$W,23,0),VLOOKUP(B353,TRAOPE!$A:$W,23,0)),"")</f>
        <v/>
      </c>
      <c r="S353" s="10">
        <f>IF(AND(P353="TN",R353="TN"),N353+N(O353),IF(G353&amp;""="1",N(K353)*N353,(N353+N(O353))*N(K353)))</f>
        <v/>
      </c>
      <c r="T353" s="10">
        <f>IF(Q353="","",Q353-S353)</f>
        <v/>
      </c>
    </row>
    <row r="354">
      <c r="A354" s="7">
        <f>CONCATENATE(C354,E354,F354,I354)</f>
        <v/>
      </c>
      <c r="B354" s="7">
        <f>CONCATENATE(C354,E354,I354)</f>
        <v/>
      </c>
      <c r="C354" s="8" t="n">
        <v>900004700</v>
      </c>
      <c r="D354" s="7">
        <f>IFERROR(VLOOKUP(C354,TRAOPE!$G:$H,2,0),"")</f>
        <v/>
      </c>
      <c r="E354" s="8" t="inlineStr">
        <is>
          <t>DW68</t>
        </is>
      </c>
      <c r="F354" s="8" t="inlineStr">
        <is>
          <t>D247</t>
        </is>
      </c>
      <c r="G354" s="8">
        <f>IFERROR(VLOOKUP(A354,Flete!$A:$E,5,0),"")</f>
        <v/>
      </c>
      <c r="H354" s="7">
        <f>IFERROR(VLOOKUP(F354,TRAOPE!$AA:$AB,2,0),"")</f>
        <v/>
      </c>
      <c r="I354" s="7" t="n">
        <v>10000388</v>
      </c>
      <c r="J354" s="7">
        <f>IFERROR(VLOOKUP(I354,Materiales!$A:$H,8,0),"")</f>
        <v/>
      </c>
      <c r="K354" s="9">
        <f>IFERROR(VLOOKUP(I354,Materiales!$A:$G,7,0),"")</f>
        <v/>
      </c>
      <c r="L354" s="8" t="inlineStr">
        <is>
          <t>20230802</t>
        </is>
      </c>
      <c r="M354" s="8" t="inlineStr">
        <is>
          <t>20251031</t>
        </is>
      </c>
      <c r="N354" s="10" t="n">
        <v>149.57</v>
      </c>
      <c r="O354" s="10">
        <f>IFERROR(VLOOKUP(A354,Flete!$A:$J,10,0),"")</f>
        <v/>
      </c>
      <c r="P354" s="8" t="inlineStr">
        <is>
          <t>TN</t>
        </is>
      </c>
      <c r="Q354" s="10">
        <f>IFERROR(IFERROR(VLOOKUP(A354,TRAOPE!$A:$U,21,0),VLOOKUP(B354,TRAOPE!$A:$U,21,0)),"")</f>
        <v/>
      </c>
      <c r="R354" s="8">
        <f>IFERROR(IFERROR(VLOOKUP(A354,TRAOPE!$A:$W,23,0),VLOOKUP(B354,TRAOPE!$A:$W,23,0)),"")</f>
        <v/>
      </c>
      <c r="S354" s="10">
        <f>IF(AND(P354="TN",R354="TN"),N354+N(O354),IF(G354&amp;""="1",N(K354)*N354,(N354+N(O354))*N(K354)))</f>
        <v/>
      </c>
      <c r="T354" s="10">
        <f>IF(Q354="","",Q354-S354)</f>
        <v/>
      </c>
    </row>
    <row r="355">
      <c r="A355" s="7">
        <f>CONCATENATE(C355,E355,F355,I355)</f>
        <v/>
      </c>
      <c r="B355" s="7">
        <f>CONCATENATE(C355,E355,I355)</f>
        <v/>
      </c>
      <c r="C355" s="8" t="n">
        <v>900004700</v>
      </c>
      <c r="D355" s="7">
        <f>IFERROR(VLOOKUP(C355,TRAOPE!$G:$H,2,0),"")</f>
        <v/>
      </c>
      <c r="E355" s="8" t="inlineStr">
        <is>
          <t>DW68</t>
        </is>
      </c>
      <c r="F355" s="8" t="inlineStr">
        <is>
          <t>D247</t>
        </is>
      </c>
      <c r="G355" s="8">
        <f>IFERROR(VLOOKUP(A355,Flete!$A:$E,5,0),"")</f>
        <v/>
      </c>
      <c r="H355" s="7">
        <f>IFERROR(VLOOKUP(F355,TRAOPE!$AA:$AB,2,0),"")</f>
        <v/>
      </c>
      <c r="I355" s="7" t="n">
        <v>10004258</v>
      </c>
      <c r="J355" s="7">
        <f>IFERROR(VLOOKUP(I355,Materiales!$A:$H,8,0),"")</f>
        <v/>
      </c>
      <c r="K355" s="9">
        <f>IFERROR(VLOOKUP(I355,Materiales!$A:$G,7,0),"")</f>
        <v/>
      </c>
      <c r="L355" s="8" t="inlineStr">
        <is>
          <t>20230802</t>
        </is>
      </c>
      <c r="M355" s="8" t="inlineStr">
        <is>
          <t>20251031</t>
        </is>
      </c>
      <c r="N355" s="10" t="n">
        <v>233.82</v>
      </c>
      <c r="O355" s="10">
        <f>IFERROR(VLOOKUP(A355,Flete!$A:$J,10,0),"")</f>
        <v/>
      </c>
      <c r="P355" s="8" t="inlineStr">
        <is>
          <t>TN</t>
        </is>
      </c>
      <c r="Q355" s="10">
        <f>IFERROR(IFERROR(VLOOKUP(A355,TRAOPE!$A:$U,21,0),VLOOKUP(B355,TRAOPE!$A:$U,21,0)),"")</f>
        <v/>
      </c>
      <c r="R355" s="8">
        <f>IFERROR(IFERROR(VLOOKUP(A355,TRAOPE!$A:$W,23,0),VLOOKUP(B355,TRAOPE!$A:$W,23,0)),"")</f>
        <v/>
      </c>
      <c r="S355" s="10">
        <f>IF(AND(P355="TN",R355="TN"),N355+N(O355),IF(G355&amp;""="1",N(K355)*N355,(N355+N(O355))*N(K355)))</f>
        <v/>
      </c>
      <c r="T355" s="10">
        <f>IF(Q355="","",Q355-S355)</f>
        <v/>
      </c>
    </row>
    <row r="356">
      <c r="A356" s="7">
        <f>CONCATENATE(C356,E356,F356,I356)</f>
        <v/>
      </c>
      <c r="B356" s="7">
        <f>CONCATENATE(C356,E356,I356)</f>
        <v/>
      </c>
      <c r="C356" s="8" t="n">
        <v>900004700</v>
      </c>
      <c r="D356" s="7">
        <f>IFERROR(VLOOKUP(C356,TRAOPE!$G:$H,2,0),"")</f>
        <v/>
      </c>
      <c r="E356" s="8" t="inlineStr">
        <is>
          <t>DW68</t>
        </is>
      </c>
      <c r="F356" s="8" t="inlineStr">
        <is>
          <t>D251</t>
        </is>
      </c>
      <c r="G356" s="8">
        <f>IFERROR(VLOOKUP(A356,Flete!$A:$E,5,0),"")</f>
        <v/>
      </c>
      <c r="H356" s="7">
        <f>IFERROR(VLOOKUP(F356,TRAOPE!$AA:$AB,2,0),"")</f>
        <v/>
      </c>
      <c r="I356" s="7" t="n">
        <v>10000191</v>
      </c>
      <c r="J356" s="7">
        <f>IFERROR(VLOOKUP(I356,Materiales!$A:$H,8,0),"")</f>
        <v/>
      </c>
      <c r="K356" s="9">
        <f>IFERROR(VLOOKUP(I356,Materiales!$A:$G,7,0),"")</f>
        <v/>
      </c>
      <c r="L356" s="8" t="inlineStr">
        <is>
          <t>20230802</t>
        </is>
      </c>
      <c r="M356" s="8" t="inlineStr">
        <is>
          <t>20251031</t>
        </is>
      </c>
      <c r="N356" s="10" t="n">
        <v>149.14</v>
      </c>
      <c r="O356" s="10">
        <f>IFERROR(VLOOKUP(A356,Flete!$A:$J,10,0),"")</f>
        <v/>
      </c>
      <c r="P356" s="8" t="inlineStr">
        <is>
          <t>TN</t>
        </is>
      </c>
      <c r="Q356" s="10">
        <f>IFERROR(IFERROR(VLOOKUP(A356,TRAOPE!$A:$U,21,0),VLOOKUP(B356,TRAOPE!$A:$U,21,0)),"")</f>
        <v/>
      </c>
      <c r="R356" s="8">
        <f>IFERROR(IFERROR(VLOOKUP(A356,TRAOPE!$A:$W,23,0),VLOOKUP(B356,TRAOPE!$A:$W,23,0)),"")</f>
        <v/>
      </c>
      <c r="S356" s="10">
        <f>IF(AND(P356="TN",R356="TN"),N356+N(O356),IF(G356&amp;""="1",N(K356)*N356,(N356+N(O356))*N(K356)))</f>
        <v/>
      </c>
      <c r="T356" s="10">
        <f>IF(Q356="","",Q356-S356)</f>
        <v/>
      </c>
    </row>
    <row r="357">
      <c r="A357" s="7">
        <f>CONCATENATE(C357,E357,F357,I357)</f>
        <v/>
      </c>
      <c r="B357" s="7">
        <f>CONCATENATE(C357,E357,I357)</f>
        <v/>
      </c>
      <c r="C357" s="8" t="n">
        <v>900004700</v>
      </c>
      <c r="D357" s="7">
        <f>IFERROR(VLOOKUP(C357,TRAOPE!$G:$H,2,0),"")</f>
        <v/>
      </c>
      <c r="E357" s="8" t="inlineStr">
        <is>
          <t>DW68</t>
        </is>
      </c>
      <c r="F357" s="8" t="inlineStr">
        <is>
          <t>D251</t>
        </is>
      </c>
      <c r="G357" s="8">
        <f>IFERROR(VLOOKUP(A357,Flete!$A:$E,5,0),"")</f>
        <v/>
      </c>
      <c r="H357" s="7">
        <f>IFERROR(VLOOKUP(F357,TRAOPE!$AA:$AB,2,0),"")</f>
        <v/>
      </c>
      <c r="I357" s="7" t="n">
        <v>10000384</v>
      </c>
      <c r="J357" s="7">
        <f>IFERROR(VLOOKUP(I357,Materiales!$A:$H,8,0),"")</f>
        <v/>
      </c>
      <c r="K357" s="9">
        <f>IFERROR(VLOOKUP(I357,Materiales!$A:$G,7,0),"")</f>
        <v/>
      </c>
      <c r="L357" s="8" t="inlineStr">
        <is>
          <t>20230802</t>
        </is>
      </c>
      <c r="M357" s="8" t="inlineStr">
        <is>
          <t>20251031</t>
        </is>
      </c>
      <c r="N357" s="10" t="n">
        <v>170.97</v>
      </c>
      <c r="O357" s="10">
        <f>IFERROR(VLOOKUP(A357,Flete!$A:$J,10,0),"")</f>
        <v/>
      </c>
      <c r="P357" s="8" t="inlineStr">
        <is>
          <t>TN</t>
        </is>
      </c>
      <c r="Q357" s="10">
        <f>IFERROR(IFERROR(VLOOKUP(A357,TRAOPE!$A:$U,21,0),VLOOKUP(B357,TRAOPE!$A:$U,21,0)),"")</f>
        <v/>
      </c>
      <c r="R357" s="8">
        <f>IFERROR(IFERROR(VLOOKUP(A357,TRAOPE!$A:$W,23,0),VLOOKUP(B357,TRAOPE!$A:$W,23,0)),"")</f>
        <v/>
      </c>
      <c r="S357" s="10">
        <f>IF(AND(P357="TN",R357="TN"),N357+N(O357),IF(G357&amp;""="1",N(K357)*N357,(N357+N(O357))*N(K357)))</f>
        <v/>
      </c>
      <c r="T357" s="10">
        <f>IF(Q357="","",Q357-S357)</f>
        <v/>
      </c>
    </row>
    <row r="358">
      <c r="A358" s="7">
        <f>CONCATENATE(C358,E358,F358,I358)</f>
        <v/>
      </c>
      <c r="B358" s="7">
        <f>CONCATENATE(C358,E358,I358)</f>
        <v/>
      </c>
      <c r="C358" s="8" t="n">
        <v>900004700</v>
      </c>
      <c r="D358" s="7">
        <f>IFERROR(VLOOKUP(C358,TRAOPE!$G:$H,2,0),"")</f>
        <v/>
      </c>
      <c r="E358" s="8" t="inlineStr">
        <is>
          <t>DW68</t>
        </is>
      </c>
      <c r="F358" s="8" t="inlineStr">
        <is>
          <t>D251</t>
        </is>
      </c>
      <c r="G358" s="8">
        <f>IFERROR(VLOOKUP(A358,Flete!$A:$E,5,0),"")</f>
        <v/>
      </c>
      <c r="H358" s="7">
        <f>IFERROR(VLOOKUP(F358,TRAOPE!$AA:$AB,2,0),"")</f>
        <v/>
      </c>
      <c r="I358" s="7" t="n">
        <v>10000388</v>
      </c>
      <c r="J358" s="7">
        <f>IFERROR(VLOOKUP(I358,Materiales!$A:$H,8,0),"")</f>
        <v/>
      </c>
      <c r="K358" s="9">
        <f>IFERROR(VLOOKUP(I358,Materiales!$A:$G,7,0),"")</f>
        <v/>
      </c>
      <c r="L358" s="8" t="inlineStr">
        <is>
          <t>20230802</t>
        </is>
      </c>
      <c r="M358" s="8" t="inlineStr">
        <is>
          <t>20251031</t>
        </is>
      </c>
      <c r="N358" s="10" t="n">
        <v>149.57</v>
      </c>
      <c r="O358" s="10">
        <f>IFERROR(VLOOKUP(A358,Flete!$A:$J,10,0),"")</f>
        <v/>
      </c>
      <c r="P358" s="8" t="inlineStr">
        <is>
          <t>TN</t>
        </is>
      </c>
      <c r="Q358" s="10">
        <f>IFERROR(IFERROR(VLOOKUP(A358,TRAOPE!$A:$U,21,0),VLOOKUP(B358,TRAOPE!$A:$U,21,0)),"")</f>
        <v/>
      </c>
      <c r="R358" s="8">
        <f>IFERROR(IFERROR(VLOOKUP(A358,TRAOPE!$A:$W,23,0),VLOOKUP(B358,TRAOPE!$A:$W,23,0)),"")</f>
        <v/>
      </c>
      <c r="S358" s="10">
        <f>IF(AND(P358="TN",R358="TN"),N358+N(O358),IF(G358&amp;""="1",N(K358)*N358,(N358+N(O358))*N(K358)))</f>
        <v/>
      </c>
      <c r="T358" s="10">
        <f>IF(Q358="","",Q358-S358)</f>
        <v/>
      </c>
    </row>
    <row r="359">
      <c r="A359" s="7">
        <f>CONCATENATE(C359,E359,F359,I359)</f>
        <v/>
      </c>
      <c r="B359" s="7">
        <f>CONCATENATE(C359,E359,I359)</f>
        <v/>
      </c>
      <c r="C359" s="8" t="n">
        <v>900004700</v>
      </c>
      <c r="D359" s="7">
        <f>IFERROR(VLOOKUP(C359,TRAOPE!$G:$H,2,0),"")</f>
        <v/>
      </c>
      <c r="E359" s="8" t="inlineStr">
        <is>
          <t>DW68</t>
        </is>
      </c>
      <c r="F359" s="8" t="inlineStr">
        <is>
          <t>D251</t>
        </is>
      </c>
      <c r="G359" s="8">
        <f>IFERROR(VLOOKUP(A359,Flete!$A:$E,5,0),"")</f>
        <v/>
      </c>
      <c r="H359" s="7">
        <f>IFERROR(VLOOKUP(F359,TRAOPE!$AA:$AB,2,0),"")</f>
        <v/>
      </c>
      <c r="I359" s="7" t="n">
        <v>10004258</v>
      </c>
      <c r="J359" s="7">
        <f>IFERROR(VLOOKUP(I359,Materiales!$A:$H,8,0),"")</f>
        <v/>
      </c>
      <c r="K359" s="9">
        <f>IFERROR(VLOOKUP(I359,Materiales!$A:$G,7,0),"")</f>
        <v/>
      </c>
      <c r="L359" s="8" t="inlineStr">
        <is>
          <t>20230802</t>
        </is>
      </c>
      <c r="M359" s="8" t="inlineStr">
        <is>
          <t>20251031</t>
        </is>
      </c>
      <c r="N359" s="10" t="n">
        <v>233.82</v>
      </c>
      <c r="O359" s="10">
        <f>IFERROR(VLOOKUP(A359,Flete!$A:$J,10,0),"")</f>
        <v/>
      </c>
      <c r="P359" s="8" t="inlineStr">
        <is>
          <t>TN</t>
        </is>
      </c>
      <c r="Q359" s="10">
        <f>IFERROR(IFERROR(VLOOKUP(A359,TRAOPE!$A:$U,21,0),VLOOKUP(B359,TRAOPE!$A:$U,21,0)),"")</f>
        <v/>
      </c>
      <c r="R359" s="8">
        <f>IFERROR(IFERROR(VLOOKUP(A359,TRAOPE!$A:$W,23,0),VLOOKUP(B359,TRAOPE!$A:$W,23,0)),"")</f>
        <v/>
      </c>
      <c r="S359" s="10">
        <f>IF(AND(P359="TN",R359="TN"),N359+N(O359),IF(G359&amp;""="1",N(K359)*N359,(N359+N(O359))*N(K359)))</f>
        <v/>
      </c>
      <c r="T359" s="10">
        <f>IF(Q359="","",Q359-S359)</f>
        <v/>
      </c>
    </row>
    <row r="360">
      <c r="A360" s="7">
        <f>CONCATENATE(C360,E360,F360,I360)</f>
        <v/>
      </c>
      <c r="B360" s="7">
        <f>CONCATENATE(C360,E360,I360)</f>
        <v/>
      </c>
      <c r="C360" s="8" t="n">
        <v>900004700</v>
      </c>
      <c r="D360" s="7">
        <f>IFERROR(VLOOKUP(C360,TRAOPE!$G:$H,2,0),"")</f>
        <v/>
      </c>
      <c r="E360" s="8" t="inlineStr">
        <is>
          <t>DW68</t>
        </is>
      </c>
      <c r="F360" s="8" t="inlineStr">
        <is>
          <t>D264</t>
        </is>
      </c>
      <c r="G360" s="8">
        <f>IFERROR(VLOOKUP(A360,Flete!$A:$E,5,0),"")</f>
        <v/>
      </c>
      <c r="H360" s="7">
        <f>IFERROR(VLOOKUP(F360,TRAOPE!$AA:$AB,2,0),"")</f>
        <v/>
      </c>
      <c r="I360" s="7" t="n">
        <v>10000191</v>
      </c>
      <c r="J360" s="7">
        <f>IFERROR(VLOOKUP(I360,Materiales!$A:$H,8,0),"")</f>
        <v/>
      </c>
      <c r="K360" s="9">
        <f>IFERROR(VLOOKUP(I360,Materiales!$A:$G,7,0),"")</f>
        <v/>
      </c>
      <c r="L360" s="8" t="inlineStr">
        <is>
          <t>20230802</t>
        </is>
      </c>
      <c r="M360" s="8" t="inlineStr">
        <is>
          <t>20251031</t>
        </is>
      </c>
      <c r="N360" s="10" t="n">
        <v>149.14</v>
      </c>
      <c r="O360" s="10">
        <f>IFERROR(VLOOKUP(A360,Flete!$A:$J,10,0),"")</f>
        <v/>
      </c>
      <c r="P360" s="8" t="inlineStr">
        <is>
          <t>TN</t>
        </is>
      </c>
      <c r="Q360" s="10">
        <f>IFERROR(IFERROR(VLOOKUP(A360,TRAOPE!$A:$U,21,0),VLOOKUP(B360,TRAOPE!$A:$U,21,0)),"")</f>
        <v/>
      </c>
      <c r="R360" s="8">
        <f>IFERROR(IFERROR(VLOOKUP(A360,TRAOPE!$A:$W,23,0),VLOOKUP(B360,TRAOPE!$A:$W,23,0)),"")</f>
        <v/>
      </c>
      <c r="S360" s="10">
        <f>IF(AND(P360="TN",R360="TN"),N360+N(O360),IF(G360&amp;""="1",N(K360)*N360,(N360+N(O360))*N(K360)))</f>
        <v/>
      </c>
      <c r="T360" s="10">
        <f>IF(Q360="","",Q360-S360)</f>
        <v/>
      </c>
    </row>
    <row r="361">
      <c r="A361" s="7">
        <f>CONCATENATE(C361,E361,F361,I361)</f>
        <v/>
      </c>
      <c r="B361" s="7">
        <f>CONCATENATE(C361,E361,I361)</f>
        <v/>
      </c>
      <c r="C361" s="8" t="n">
        <v>900004700</v>
      </c>
      <c r="D361" s="7">
        <f>IFERROR(VLOOKUP(C361,TRAOPE!$G:$H,2,0),"")</f>
        <v/>
      </c>
      <c r="E361" s="8" t="inlineStr">
        <is>
          <t>DW68</t>
        </is>
      </c>
      <c r="F361" s="8" t="inlineStr">
        <is>
          <t>D264</t>
        </is>
      </c>
      <c r="G361" s="8">
        <f>IFERROR(VLOOKUP(A361,Flete!$A:$E,5,0),"")</f>
        <v/>
      </c>
      <c r="H361" s="7">
        <f>IFERROR(VLOOKUP(F361,TRAOPE!$AA:$AB,2,0),"")</f>
        <v/>
      </c>
      <c r="I361" s="7" t="n">
        <v>10000384</v>
      </c>
      <c r="J361" s="7">
        <f>IFERROR(VLOOKUP(I361,Materiales!$A:$H,8,0),"")</f>
        <v/>
      </c>
      <c r="K361" s="9">
        <f>IFERROR(VLOOKUP(I361,Materiales!$A:$G,7,0),"")</f>
        <v/>
      </c>
      <c r="L361" s="8" t="inlineStr">
        <is>
          <t>20230802</t>
        </is>
      </c>
      <c r="M361" s="8" t="inlineStr">
        <is>
          <t>20251031</t>
        </is>
      </c>
      <c r="N361" s="10" t="n">
        <v>170.97</v>
      </c>
      <c r="O361" s="10">
        <f>IFERROR(VLOOKUP(A361,Flete!$A:$J,10,0),"")</f>
        <v/>
      </c>
      <c r="P361" s="8" t="inlineStr">
        <is>
          <t>TN</t>
        </is>
      </c>
      <c r="Q361" s="10">
        <f>IFERROR(IFERROR(VLOOKUP(A361,TRAOPE!$A:$U,21,0),VLOOKUP(B361,TRAOPE!$A:$U,21,0)),"")</f>
        <v/>
      </c>
      <c r="R361" s="8">
        <f>IFERROR(IFERROR(VLOOKUP(A361,TRAOPE!$A:$W,23,0),VLOOKUP(B361,TRAOPE!$A:$W,23,0)),"")</f>
        <v/>
      </c>
      <c r="S361" s="10">
        <f>IF(AND(P361="TN",R361="TN"),N361+N(O361),IF(G361&amp;""="1",N(K361)*N361,(N361+N(O361))*N(K361)))</f>
        <v/>
      </c>
      <c r="T361" s="10">
        <f>IF(Q361="","",Q361-S361)</f>
        <v/>
      </c>
    </row>
    <row r="362">
      <c r="A362" s="7">
        <f>CONCATENATE(C362,E362,F362,I362)</f>
        <v/>
      </c>
      <c r="B362" s="7">
        <f>CONCATENATE(C362,E362,I362)</f>
        <v/>
      </c>
      <c r="C362" s="8" t="n">
        <v>900004700</v>
      </c>
      <c r="D362" s="7">
        <f>IFERROR(VLOOKUP(C362,TRAOPE!$G:$H,2,0),"")</f>
        <v/>
      </c>
      <c r="E362" s="8" t="inlineStr">
        <is>
          <t>DW68</t>
        </is>
      </c>
      <c r="F362" s="8" t="inlineStr">
        <is>
          <t>D264</t>
        </is>
      </c>
      <c r="G362" s="8">
        <f>IFERROR(VLOOKUP(A362,Flete!$A:$E,5,0),"")</f>
        <v/>
      </c>
      <c r="H362" s="7">
        <f>IFERROR(VLOOKUP(F362,TRAOPE!$AA:$AB,2,0),"")</f>
        <v/>
      </c>
      <c r="I362" s="7" t="n">
        <v>10000388</v>
      </c>
      <c r="J362" s="7">
        <f>IFERROR(VLOOKUP(I362,Materiales!$A:$H,8,0),"")</f>
        <v/>
      </c>
      <c r="K362" s="9">
        <f>IFERROR(VLOOKUP(I362,Materiales!$A:$G,7,0),"")</f>
        <v/>
      </c>
      <c r="L362" s="8" t="inlineStr">
        <is>
          <t>20230802</t>
        </is>
      </c>
      <c r="M362" s="8" t="inlineStr">
        <is>
          <t>20251031</t>
        </is>
      </c>
      <c r="N362" s="10" t="n">
        <v>149.57</v>
      </c>
      <c r="O362" s="10">
        <f>IFERROR(VLOOKUP(A362,Flete!$A:$J,10,0),"")</f>
        <v/>
      </c>
      <c r="P362" s="8" t="inlineStr">
        <is>
          <t>TN</t>
        </is>
      </c>
      <c r="Q362" s="10">
        <f>IFERROR(IFERROR(VLOOKUP(A362,TRAOPE!$A:$U,21,0),VLOOKUP(B362,TRAOPE!$A:$U,21,0)),"")</f>
        <v/>
      </c>
      <c r="R362" s="8">
        <f>IFERROR(IFERROR(VLOOKUP(A362,TRAOPE!$A:$W,23,0),VLOOKUP(B362,TRAOPE!$A:$W,23,0)),"")</f>
        <v/>
      </c>
      <c r="S362" s="10">
        <f>IF(AND(P362="TN",R362="TN"),N362+N(O362),IF(G362&amp;""="1",N(K362)*N362,(N362+N(O362))*N(K362)))</f>
        <v/>
      </c>
      <c r="T362" s="10">
        <f>IF(Q362="","",Q362-S362)</f>
        <v/>
      </c>
    </row>
    <row r="363">
      <c r="A363" s="7">
        <f>CONCATENATE(C363,E363,F363,I363)</f>
        <v/>
      </c>
      <c r="B363" s="7">
        <f>CONCATENATE(C363,E363,I363)</f>
        <v/>
      </c>
      <c r="C363" s="8" t="n">
        <v>900004700</v>
      </c>
      <c r="D363" s="7">
        <f>IFERROR(VLOOKUP(C363,TRAOPE!$G:$H,2,0),"")</f>
        <v/>
      </c>
      <c r="E363" s="8" t="inlineStr">
        <is>
          <t>DW68</t>
        </is>
      </c>
      <c r="F363" s="8" t="inlineStr">
        <is>
          <t>D264</t>
        </is>
      </c>
      <c r="G363" s="8">
        <f>IFERROR(VLOOKUP(A363,Flete!$A:$E,5,0),"")</f>
        <v/>
      </c>
      <c r="H363" s="7">
        <f>IFERROR(VLOOKUP(F363,TRAOPE!$AA:$AB,2,0),"")</f>
        <v/>
      </c>
      <c r="I363" s="7" t="n">
        <v>10004258</v>
      </c>
      <c r="J363" s="7">
        <f>IFERROR(VLOOKUP(I363,Materiales!$A:$H,8,0),"")</f>
        <v/>
      </c>
      <c r="K363" s="9">
        <f>IFERROR(VLOOKUP(I363,Materiales!$A:$G,7,0),"")</f>
        <v/>
      </c>
      <c r="L363" s="8" t="inlineStr">
        <is>
          <t>20230802</t>
        </is>
      </c>
      <c r="M363" s="8" t="inlineStr">
        <is>
          <t>20251031</t>
        </is>
      </c>
      <c r="N363" s="10" t="n">
        <v>233.82</v>
      </c>
      <c r="O363" s="10">
        <f>IFERROR(VLOOKUP(A363,Flete!$A:$J,10,0),"")</f>
        <v/>
      </c>
      <c r="P363" s="8" t="inlineStr">
        <is>
          <t>TN</t>
        </is>
      </c>
      <c r="Q363" s="10">
        <f>IFERROR(IFERROR(VLOOKUP(A363,TRAOPE!$A:$U,21,0),VLOOKUP(B363,TRAOPE!$A:$U,21,0)),"")</f>
        <v/>
      </c>
      <c r="R363" s="8">
        <f>IFERROR(IFERROR(VLOOKUP(A363,TRAOPE!$A:$W,23,0),VLOOKUP(B363,TRAOPE!$A:$W,23,0)),"")</f>
        <v/>
      </c>
      <c r="S363" s="10">
        <f>IF(AND(P363="TN",R363="TN"),N363+N(O363),IF(G363&amp;""="1",N(K363)*N363,(N363+N(O363))*N(K363)))</f>
        <v/>
      </c>
      <c r="T363" s="10">
        <f>IF(Q363="","",Q363-S363)</f>
        <v/>
      </c>
    </row>
    <row r="364">
      <c r="A364" s="7">
        <f>CONCATENATE(C364,E364,F364,I364)</f>
        <v/>
      </c>
      <c r="B364" s="7">
        <f>CONCATENATE(C364,E364,I364)</f>
        <v/>
      </c>
      <c r="C364" s="8" t="n">
        <v>900004700</v>
      </c>
      <c r="D364" s="7">
        <f>IFERROR(VLOOKUP(C364,TRAOPE!$G:$H,2,0),"")</f>
        <v/>
      </c>
      <c r="E364" s="8" t="inlineStr">
        <is>
          <t>DW68</t>
        </is>
      </c>
      <c r="F364" s="8" t="inlineStr">
        <is>
          <t>D267</t>
        </is>
      </c>
      <c r="G364" s="8">
        <f>IFERROR(VLOOKUP(A364,Flete!$A:$E,5,0),"")</f>
        <v/>
      </c>
      <c r="H364" s="7">
        <f>IFERROR(VLOOKUP(F364,TRAOPE!$AA:$AB,2,0),"")</f>
        <v/>
      </c>
      <c r="I364" s="7" t="n">
        <v>10000191</v>
      </c>
      <c r="J364" s="7">
        <f>IFERROR(VLOOKUP(I364,Materiales!$A:$H,8,0),"")</f>
        <v/>
      </c>
      <c r="K364" s="9">
        <f>IFERROR(VLOOKUP(I364,Materiales!$A:$G,7,0),"")</f>
        <v/>
      </c>
      <c r="L364" s="8" t="inlineStr">
        <is>
          <t>20230802</t>
        </is>
      </c>
      <c r="M364" s="8" t="inlineStr">
        <is>
          <t>20251031</t>
        </is>
      </c>
      <c r="N364" s="10" t="n">
        <v>149.14</v>
      </c>
      <c r="O364" s="10">
        <f>IFERROR(VLOOKUP(A364,Flete!$A:$J,10,0),"")</f>
        <v/>
      </c>
      <c r="P364" s="8" t="inlineStr">
        <is>
          <t>TN</t>
        </is>
      </c>
      <c r="Q364" s="10">
        <f>IFERROR(IFERROR(VLOOKUP(A364,TRAOPE!$A:$U,21,0),VLOOKUP(B364,TRAOPE!$A:$U,21,0)),"")</f>
        <v/>
      </c>
      <c r="R364" s="8">
        <f>IFERROR(IFERROR(VLOOKUP(A364,TRAOPE!$A:$W,23,0),VLOOKUP(B364,TRAOPE!$A:$W,23,0)),"")</f>
        <v/>
      </c>
      <c r="S364" s="10">
        <f>IF(AND(P364="TN",R364="TN"),N364+N(O364),IF(G364&amp;""="1",N(K364)*N364,(N364+N(O364))*N(K364)))</f>
        <v/>
      </c>
      <c r="T364" s="10">
        <f>IF(Q364="","",Q364-S364)</f>
        <v/>
      </c>
    </row>
    <row r="365">
      <c r="A365" s="7">
        <f>CONCATENATE(C365,E365,F365,I365)</f>
        <v/>
      </c>
      <c r="B365" s="7">
        <f>CONCATENATE(C365,E365,I365)</f>
        <v/>
      </c>
      <c r="C365" s="8" t="n">
        <v>900004700</v>
      </c>
      <c r="D365" s="7">
        <f>IFERROR(VLOOKUP(C365,TRAOPE!$G:$H,2,0),"")</f>
        <v/>
      </c>
      <c r="E365" s="8" t="inlineStr">
        <is>
          <t>DW68</t>
        </is>
      </c>
      <c r="F365" s="8" t="inlineStr">
        <is>
          <t>D267</t>
        </is>
      </c>
      <c r="G365" s="8">
        <f>IFERROR(VLOOKUP(A365,Flete!$A:$E,5,0),"")</f>
        <v/>
      </c>
      <c r="H365" s="7">
        <f>IFERROR(VLOOKUP(F365,TRAOPE!$AA:$AB,2,0),"")</f>
        <v/>
      </c>
      <c r="I365" s="7" t="n">
        <v>10000384</v>
      </c>
      <c r="J365" s="7">
        <f>IFERROR(VLOOKUP(I365,Materiales!$A:$H,8,0),"")</f>
        <v/>
      </c>
      <c r="K365" s="9">
        <f>IFERROR(VLOOKUP(I365,Materiales!$A:$G,7,0),"")</f>
        <v/>
      </c>
      <c r="L365" s="8" t="inlineStr">
        <is>
          <t>20230802</t>
        </is>
      </c>
      <c r="M365" s="8" t="inlineStr">
        <is>
          <t>20251031</t>
        </is>
      </c>
      <c r="N365" s="10" t="n">
        <v>170.97</v>
      </c>
      <c r="O365" s="10">
        <f>IFERROR(VLOOKUP(A365,Flete!$A:$J,10,0),"")</f>
        <v/>
      </c>
      <c r="P365" s="8" t="inlineStr">
        <is>
          <t>TN</t>
        </is>
      </c>
      <c r="Q365" s="10">
        <f>IFERROR(IFERROR(VLOOKUP(A365,TRAOPE!$A:$U,21,0),VLOOKUP(B365,TRAOPE!$A:$U,21,0)),"")</f>
        <v/>
      </c>
      <c r="R365" s="8">
        <f>IFERROR(IFERROR(VLOOKUP(A365,TRAOPE!$A:$W,23,0),VLOOKUP(B365,TRAOPE!$A:$W,23,0)),"")</f>
        <v/>
      </c>
      <c r="S365" s="10">
        <f>IF(AND(P365="TN",R365="TN"),N365+N(O365),IF(G365&amp;""="1",N(K365)*N365,(N365+N(O365))*N(K365)))</f>
        <v/>
      </c>
      <c r="T365" s="10">
        <f>IF(Q365="","",Q365-S365)</f>
        <v/>
      </c>
    </row>
    <row r="366">
      <c r="A366" s="7">
        <f>CONCATENATE(C366,E366,F366,I366)</f>
        <v/>
      </c>
      <c r="B366" s="7">
        <f>CONCATENATE(C366,E366,I366)</f>
        <v/>
      </c>
      <c r="C366" s="8" t="n">
        <v>900004700</v>
      </c>
      <c r="D366" s="7">
        <f>IFERROR(VLOOKUP(C366,TRAOPE!$G:$H,2,0),"")</f>
        <v/>
      </c>
      <c r="E366" s="8" t="inlineStr">
        <is>
          <t>DW68</t>
        </is>
      </c>
      <c r="F366" s="8" t="inlineStr">
        <is>
          <t>D267</t>
        </is>
      </c>
      <c r="G366" s="8">
        <f>IFERROR(VLOOKUP(A366,Flete!$A:$E,5,0),"")</f>
        <v/>
      </c>
      <c r="H366" s="7">
        <f>IFERROR(VLOOKUP(F366,TRAOPE!$AA:$AB,2,0),"")</f>
        <v/>
      </c>
      <c r="I366" s="7" t="n">
        <v>10000388</v>
      </c>
      <c r="J366" s="7">
        <f>IFERROR(VLOOKUP(I366,Materiales!$A:$H,8,0),"")</f>
        <v/>
      </c>
      <c r="K366" s="9">
        <f>IFERROR(VLOOKUP(I366,Materiales!$A:$G,7,0),"")</f>
        <v/>
      </c>
      <c r="L366" s="8" t="inlineStr">
        <is>
          <t>20230802</t>
        </is>
      </c>
      <c r="M366" s="8" t="inlineStr">
        <is>
          <t>20251031</t>
        </is>
      </c>
      <c r="N366" s="10" t="n">
        <v>149.57</v>
      </c>
      <c r="O366" s="10">
        <f>IFERROR(VLOOKUP(A366,Flete!$A:$J,10,0),"")</f>
        <v/>
      </c>
      <c r="P366" s="8" t="inlineStr">
        <is>
          <t>TN</t>
        </is>
      </c>
      <c r="Q366" s="10">
        <f>IFERROR(IFERROR(VLOOKUP(A366,TRAOPE!$A:$U,21,0),VLOOKUP(B366,TRAOPE!$A:$U,21,0)),"")</f>
        <v/>
      </c>
      <c r="R366" s="8">
        <f>IFERROR(IFERROR(VLOOKUP(A366,TRAOPE!$A:$W,23,0),VLOOKUP(B366,TRAOPE!$A:$W,23,0)),"")</f>
        <v/>
      </c>
      <c r="S366" s="10">
        <f>IF(AND(P366="TN",R366="TN"),N366+N(O366),IF(G366&amp;""="1",N(K366)*N366,(N366+N(O366))*N(K366)))</f>
        <v/>
      </c>
      <c r="T366" s="10">
        <f>IF(Q366="","",Q366-S366)</f>
        <v/>
      </c>
    </row>
    <row r="367">
      <c r="A367" s="7">
        <f>CONCATENATE(C367,E367,F367,I367)</f>
        <v/>
      </c>
      <c r="B367" s="7">
        <f>CONCATENATE(C367,E367,I367)</f>
        <v/>
      </c>
      <c r="C367" s="8" t="n">
        <v>900004700</v>
      </c>
      <c r="D367" s="7">
        <f>IFERROR(VLOOKUP(C367,TRAOPE!$G:$H,2,0),"")</f>
        <v/>
      </c>
      <c r="E367" s="8" t="inlineStr">
        <is>
          <t>DW68</t>
        </is>
      </c>
      <c r="F367" s="8" t="inlineStr">
        <is>
          <t>D267</t>
        </is>
      </c>
      <c r="G367" s="8">
        <f>IFERROR(VLOOKUP(A367,Flete!$A:$E,5,0),"")</f>
        <v/>
      </c>
      <c r="H367" s="7">
        <f>IFERROR(VLOOKUP(F367,TRAOPE!$AA:$AB,2,0),"")</f>
        <v/>
      </c>
      <c r="I367" s="7" t="n">
        <v>10004258</v>
      </c>
      <c r="J367" s="7">
        <f>IFERROR(VLOOKUP(I367,Materiales!$A:$H,8,0),"")</f>
        <v/>
      </c>
      <c r="K367" s="9">
        <f>IFERROR(VLOOKUP(I367,Materiales!$A:$G,7,0),"")</f>
        <v/>
      </c>
      <c r="L367" s="8" t="inlineStr">
        <is>
          <t>20230802</t>
        </is>
      </c>
      <c r="M367" s="8" t="inlineStr">
        <is>
          <t>20251031</t>
        </is>
      </c>
      <c r="N367" s="10" t="n">
        <v>233.82</v>
      </c>
      <c r="O367" s="10">
        <f>IFERROR(VLOOKUP(A367,Flete!$A:$J,10,0),"")</f>
        <v/>
      </c>
      <c r="P367" s="8" t="inlineStr">
        <is>
          <t>TN</t>
        </is>
      </c>
      <c r="Q367" s="10">
        <f>IFERROR(IFERROR(VLOOKUP(A367,TRAOPE!$A:$U,21,0),VLOOKUP(B367,TRAOPE!$A:$U,21,0)),"")</f>
        <v/>
      </c>
      <c r="R367" s="8">
        <f>IFERROR(IFERROR(VLOOKUP(A367,TRAOPE!$A:$W,23,0),VLOOKUP(B367,TRAOPE!$A:$W,23,0)),"")</f>
        <v/>
      </c>
      <c r="S367" s="10">
        <f>IF(AND(P367="TN",R367="TN"),N367+N(O367),IF(G367&amp;""="1",N(K367)*N367,(N367+N(O367))*N(K367)))</f>
        <v/>
      </c>
      <c r="T367" s="10">
        <f>IF(Q367="","",Q367-S367)</f>
        <v/>
      </c>
    </row>
    <row r="368">
      <c r="A368" s="7">
        <f>CONCATENATE(C368,E368,F368,I368)</f>
        <v/>
      </c>
      <c r="B368" s="7">
        <f>CONCATENATE(C368,E368,I368)</f>
        <v/>
      </c>
      <c r="C368" s="8" t="n">
        <v>900004885</v>
      </c>
      <c r="D368" s="7">
        <f>IFERROR(VLOOKUP(C368,TRAOPE!$G:$H,2,0),"")</f>
        <v/>
      </c>
      <c r="E368" s="8" t="inlineStr">
        <is>
          <t>DW68</t>
        </is>
      </c>
      <c r="F368" s="8" t="inlineStr">
        <is>
          <t>D042</t>
        </is>
      </c>
      <c r="G368" s="8">
        <f>IFERROR(VLOOKUP(A368,Flete!$A:$E,5,0),"")</f>
        <v/>
      </c>
      <c r="H368" s="7">
        <f>IFERROR(VLOOKUP(F368,TRAOPE!$AA:$AB,2,0),"")</f>
        <v/>
      </c>
      <c r="I368" s="7" t="n">
        <v>10000191</v>
      </c>
      <c r="J368" s="7">
        <f>IFERROR(VLOOKUP(I368,Materiales!$A:$H,8,0),"")</f>
        <v/>
      </c>
      <c r="K368" s="9">
        <f>IFERROR(VLOOKUP(I368,Materiales!$A:$G,7,0),"")</f>
        <v/>
      </c>
      <c r="L368" s="8" t="inlineStr">
        <is>
          <t>20220516</t>
        </is>
      </c>
      <c r="M368" s="8" t="inlineStr">
        <is>
          <t>20251031</t>
        </is>
      </c>
      <c r="N368" s="10" t="n">
        <v>92.2</v>
      </c>
      <c r="O368" s="10">
        <f>IFERROR(VLOOKUP(A368,Flete!$A:$J,10,0),"")</f>
        <v/>
      </c>
      <c r="P368" s="8" t="inlineStr">
        <is>
          <t>TN</t>
        </is>
      </c>
      <c r="Q368" s="10">
        <f>IFERROR(IFERROR(VLOOKUP(A368,TRAOPE!$A:$U,21,0),VLOOKUP(B368,TRAOPE!$A:$U,21,0)),"")</f>
        <v/>
      </c>
      <c r="R368" s="8">
        <f>IFERROR(IFERROR(VLOOKUP(A368,TRAOPE!$A:$W,23,0),VLOOKUP(B368,TRAOPE!$A:$W,23,0)),"")</f>
        <v/>
      </c>
      <c r="S368" s="10">
        <f>IF(AND(P368="TN",R368="TN"),N368+N(O368),IF(G368&amp;""="1",N(K368)*N368,(N368+N(O368))*N(K368)))</f>
        <v/>
      </c>
      <c r="T368" s="10">
        <f>IF(Q368="","",Q368-S368)</f>
        <v/>
      </c>
    </row>
    <row r="369">
      <c r="A369" s="7">
        <f>CONCATENATE(C369,E369,F369,I369)</f>
        <v/>
      </c>
      <c r="B369" s="7">
        <f>CONCATENATE(C369,E369,I369)</f>
        <v/>
      </c>
      <c r="C369" s="8" t="n">
        <v>900004885</v>
      </c>
      <c r="D369" s="7">
        <f>IFERROR(VLOOKUP(C369,TRAOPE!$G:$H,2,0),"")</f>
        <v/>
      </c>
      <c r="E369" s="8" t="inlineStr">
        <is>
          <t>DW68</t>
        </is>
      </c>
      <c r="F369" s="8" t="inlineStr">
        <is>
          <t>D042</t>
        </is>
      </c>
      <c r="G369" s="8">
        <f>IFERROR(VLOOKUP(A369,Flete!$A:$E,5,0),"")</f>
        <v/>
      </c>
      <c r="H369" s="7">
        <f>IFERROR(VLOOKUP(F369,TRAOPE!$AA:$AB,2,0),"")</f>
        <v/>
      </c>
      <c r="I369" s="7" t="n">
        <v>10000388</v>
      </c>
      <c r="J369" s="7">
        <f>IFERROR(VLOOKUP(I369,Materiales!$A:$H,8,0),"")</f>
        <v/>
      </c>
      <c r="K369" s="9">
        <f>IFERROR(VLOOKUP(I369,Materiales!$A:$G,7,0),"")</f>
        <v/>
      </c>
      <c r="L369" s="8" t="inlineStr">
        <is>
          <t>20220516</t>
        </is>
      </c>
      <c r="M369" s="8" t="inlineStr">
        <is>
          <t>20251031</t>
        </is>
      </c>
      <c r="N369" s="10" t="n">
        <v>93.19</v>
      </c>
      <c r="O369" s="10">
        <f>IFERROR(VLOOKUP(A369,Flete!$A:$J,10,0),"")</f>
        <v/>
      </c>
      <c r="P369" s="8" t="inlineStr">
        <is>
          <t>TN</t>
        </is>
      </c>
      <c r="Q369" s="10">
        <f>IFERROR(IFERROR(VLOOKUP(A369,TRAOPE!$A:$U,21,0),VLOOKUP(B369,TRAOPE!$A:$U,21,0)),"")</f>
        <v/>
      </c>
      <c r="R369" s="8">
        <f>IFERROR(IFERROR(VLOOKUP(A369,TRAOPE!$A:$W,23,0),VLOOKUP(B369,TRAOPE!$A:$W,23,0)),"")</f>
        <v/>
      </c>
      <c r="S369" s="10">
        <f>IF(AND(P369="TN",R369="TN"),N369+N(O369),IF(G369&amp;""="1",N(K369)*N369,(N369+N(O369))*N(K369)))</f>
        <v/>
      </c>
      <c r="T369" s="10">
        <f>IF(Q369="","",Q369-S369)</f>
        <v/>
      </c>
    </row>
    <row r="370">
      <c r="A370" s="7">
        <f>CONCATENATE(C370,E370,F370,I370)</f>
        <v/>
      </c>
      <c r="B370" s="7">
        <f>CONCATENATE(C370,E370,I370)</f>
        <v/>
      </c>
      <c r="C370" s="8" t="n">
        <v>900004885</v>
      </c>
      <c r="D370" s="7">
        <f>IFERROR(VLOOKUP(C370,TRAOPE!$G:$H,2,0),"")</f>
        <v/>
      </c>
      <c r="E370" s="8" t="inlineStr">
        <is>
          <t>DW68</t>
        </is>
      </c>
      <c r="F370" s="8" t="inlineStr">
        <is>
          <t>D175</t>
        </is>
      </c>
      <c r="G370" s="8">
        <f>IFERROR(VLOOKUP(A370,Flete!$A:$E,5,0),"")</f>
        <v/>
      </c>
      <c r="H370" s="7">
        <f>IFERROR(VLOOKUP(F370,TRAOPE!$AA:$AB,2,0),"")</f>
        <v/>
      </c>
      <c r="I370" s="7" t="n">
        <v>10000191</v>
      </c>
      <c r="J370" s="7">
        <f>IFERROR(VLOOKUP(I370,Materiales!$A:$H,8,0),"")</f>
        <v/>
      </c>
      <c r="K370" s="9">
        <f>IFERROR(VLOOKUP(I370,Materiales!$A:$G,7,0),"")</f>
        <v/>
      </c>
      <c r="L370" s="8" t="inlineStr">
        <is>
          <t>20220516</t>
        </is>
      </c>
      <c r="M370" s="8" t="inlineStr">
        <is>
          <t>20251031</t>
        </is>
      </c>
      <c r="N370" s="10" t="n">
        <v>101.13</v>
      </c>
      <c r="O370" s="10">
        <f>IFERROR(VLOOKUP(A370,Flete!$A:$J,10,0),"")</f>
        <v/>
      </c>
      <c r="P370" s="8" t="inlineStr">
        <is>
          <t>TN</t>
        </is>
      </c>
      <c r="Q370" s="10">
        <f>IFERROR(IFERROR(VLOOKUP(A370,TRAOPE!$A:$U,21,0),VLOOKUP(B370,TRAOPE!$A:$U,21,0)),"")</f>
        <v/>
      </c>
      <c r="R370" s="8">
        <f>IFERROR(IFERROR(VLOOKUP(A370,TRAOPE!$A:$W,23,0),VLOOKUP(B370,TRAOPE!$A:$W,23,0)),"")</f>
        <v/>
      </c>
      <c r="S370" s="10">
        <f>IF(AND(P370="TN",R370="TN"),N370+N(O370),IF(G370&amp;""="1",N(K370)*N370,(N370+N(O370))*N(K370)))</f>
        <v/>
      </c>
      <c r="T370" s="10">
        <f>IF(Q370="","",Q370-S370)</f>
        <v/>
      </c>
    </row>
    <row r="371">
      <c r="A371" s="7">
        <f>CONCATENATE(C371,E371,F371,I371)</f>
        <v/>
      </c>
      <c r="B371" s="7">
        <f>CONCATENATE(C371,E371,I371)</f>
        <v/>
      </c>
      <c r="C371" s="8" t="n">
        <v>900004885</v>
      </c>
      <c r="D371" s="7">
        <f>IFERROR(VLOOKUP(C371,TRAOPE!$G:$H,2,0),"")</f>
        <v/>
      </c>
      <c r="E371" s="8" t="inlineStr">
        <is>
          <t>DW68</t>
        </is>
      </c>
      <c r="F371" s="8" t="inlineStr">
        <is>
          <t>D175</t>
        </is>
      </c>
      <c r="G371" s="8">
        <f>IFERROR(VLOOKUP(A371,Flete!$A:$E,5,0),"")</f>
        <v/>
      </c>
      <c r="H371" s="7">
        <f>IFERROR(VLOOKUP(F371,TRAOPE!$AA:$AB,2,0),"")</f>
        <v/>
      </c>
      <c r="I371" s="7" t="n">
        <v>10000388</v>
      </c>
      <c r="J371" s="7">
        <f>IFERROR(VLOOKUP(I371,Materiales!$A:$H,8,0),"")</f>
        <v/>
      </c>
      <c r="K371" s="9">
        <f>IFERROR(VLOOKUP(I371,Materiales!$A:$G,7,0),"")</f>
        <v/>
      </c>
      <c r="L371" s="8" t="inlineStr">
        <is>
          <t>20220516</t>
        </is>
      </c>
      <c r="M371" s="8" t="inlineStr">
        <is>
          <t>20251031</t>
        </is>
      </c>
      <c r="N371" s="10" t="n">
        <v>102.21</v>
      </c>
      <c r="O371" s="10">
        <f>IFERROR(VLOOKUP(A371,Flete!$A:$J,10,0),"")</f>
        <v/>
      </c>
      <c r="P371" s="8" t="inlineStr">
        <is>
          <t>TN</t>
        </is>
      </c>
      <c r="Q371" s="10">
        <f>IFERROR(IFERROR(VLOOKUP(A371,TRAOPE!$A:$U,21,0),VLOOKUP(B371,TRAOPE!$A:$U,21,0)),"")</f>
        <v/>
      </c>
      <c r="R371" s="8">
        <f>IFERROR(IFERROR(VLOOKUP(A371,TRAOPE!$A:$W,23,0),VLOOKUP(B371,TRAOPE!$A:$W,23,0)),"")</f>
        <v/>
      </c>
      <c r="S371" s="10">
        <f>IF(AND(P371="TN",R371="TN"),N371+N(O371),IF(G371&amp;""="1",N(K371)*N371,(N371+N(O371))*N(K371)))</f>
        <v/>
      </c>
      <c r="T371" s="10">
        <f>IF(Q371="","",Q371-S371)</f>
        <v/>
      </c>
    </row>
    <row r="372">
      <c r="A372" s="7">
        <f>CONCATENATE(C372,E372,F372,I372)</f>
        <v/>
      </c>
      <c r="B372" s="7">
        <f>CONCATENATE(C372,E372,I372)</f>
        <v/>
      </c>
      <c r="C372" s="8" t="n">
        <v>900004885</v>
      </c>
      <c r="D372" s="7">
        <f>IFERROR(VLOOKUP(C372,TRAOPE!$G:$H,2,0),"")</f>
        <v/>
      </c>
      <c r="E372" s="8" t="inlineStr">
        <is>
          <t>DW68</t>
        </is>
      </c>
      <c r="F372" s="8" t="inlineStr">
        <is>
          <t>D209</t>
        </is>
      </c>
      <c r="G372" s="8">
        <f>IFERROR(VLOOKUP(A372,Flete!$A:$E,5,0),"")</f>
        <v/>
      </c>
      <c r="H372" s="7">
        <f>IFERROR(VLOOKUP(F372,TRAOPE!$AA:$AB,2,0),"")</f>
        <v/>
      </c>
      <c r="I372" s="7" t="n">
        <v>10000191</v>
      </c>
      <c r="J372" s="7">
        <f>IFERROR(VLOOKUP(I372,Materiales!$A:$H,8,0),"")</f>
        <v/>
      </c>
      <c r="K372" s="9">
        <f>IFERROR(VLOOKUP(I372,Materiales!$A:$G,7,0),"")</f>
        <v/>
      </c>
      <c r="L372" s="8" t="inlineStr">
        <is>
          <t>20220516</t>
        </is>
      </c>
      <c r="M372" s="8" t="inlineStr">
        <is>
          <t>20251031</t>
        </is>
      </c>
      <c r="N372" s="10" t="n">
        <v>92.2</v>
      </c>
      <c r="O372" s="10">
        <f>IFERROR(VLOOKUP(A372,Flete!$A:$J,10,0),"")</f>
        <v/>
      </c>
      <c r="P372" s="8" t="inlineStr">
        <is>
          <t>TN</t>
        </is>
      </c>
      <c r="Q372" s="10">
        <f>IFERROR(IFERROR(VLOOKUP(A372,TRAOPE!$A:$U,21,0),VLOOKUP(B372,TRAOPE!$A:$U,21,0)),"")</f>
        <v/>
      </c>
      <c r="R372" s="8">
        <f>IFERROR(IFERROR(VLOOKUP(A372,TRAOPE!$A:$W,23,0),VLOOKUP(B372,TRAOPE!$A:$W,23,0)),"")</f>
        <v/>
      </c>
      <c r="S372" s="10">
        <f>IF(AND(P372="TN",R372="TN"),N372+N(O372),IF(G372&amp;""="1",N(K372)*N372,(N372+N(O372))*N(K372)))</f>
        <v/>
      </c>
      <c r="T372" s="10">
        <f>IF(Q372="","",Q372-S372)</f>
        <v/>
      </c>
    </row>
    <row r="373">
      <c r="A373" s="7">
        <f>CONCATENATE(C373,E373,F373,I373)</f>
        <v/>
      </c>
      <c r="B373" s="7">
        <f>CONCATENATE(C373,E373,I373)</f>
        <v/>
      </c>
      <c r="C373" s="8" t="n">
        <v>900004885</v>
      </c>
      <c r="D373" s="7">
        <f>IFERROR(VLOOKUP(C373,TRAOPE!$G:$H,2,0),"")</f>
        <v/>
      </c>
      <c r="E373" s="8" t="inlineStr">
        <is>
          <t>DW68</t>
        </is>
      </c>
      <c r="F373" s="8" t="inlineStr">
        <is>
          <t>D209</t>
        </is>
      </c>
      <c r="G373" s="8">
        <f>IFERROR(VLOOKUP(A373,Flete!$A:$E,5,0),"")</f>
        <v/>
      </c>
      <c r="H373" s="7">
        <f>IFERROR(VLOOKUP(F373,TRAOPE!$AA:$AB,2,0),"")</f>
        <v/>
      </c>
      <c r="I373" s="7" t="n">
        <v>10000388</v>
      </c>
      <c r="J373" s="7">
        <f>IFERROR(VLOOKUP(I373,Materiales!$A:$H,8,0),"")</f>
        <v/>
      </c>
      <c r="K373" s="9">
        <f>IFERROR(VLOOKUP(I373,Materiales!$A:$G,7,0),"")</f>
        <v/>
      </c>
      <c r="L373" s="8" t="inlineStr">
        <is>
          <t>20220516</t>
        </is>
      </c>
      <c r="M373" s="8" t="inlineStr">
        <is>
          <t>20251031</t>
        </is>
      </c>
      <c r="N373" s="10" t="n">
        <v>93.19</v>
      </c>
      <c r="O373" s="10">
        <f>IFERROR(VLOOKUP(A373,Flete!$A:$J,10,0),"")</f>
        <v/>
      </c>
      <c r="P373" s="8" t="inlineStr">
        <is>
          <t>TN</t>
        </is>
      </c>
      <c r="Q373" s="10">
        <f>IFERROR(IFERROR(VLOOKUP(A373,TRAOPE!$A:$U,21,0),VLOOKUP(B373,TRAOPE!$A:$U,21,0)),"")</f>
        <v/>
      </c>
      <c r="R373" s="8">
        <f>IFERROR(IFERROR(VLOOKUP(A373,TRAOPE!$A:$W,23,0),VLOOKUP(B373,TRAOPE!$A:$W,23,0)),"")</f>
        <v/>
      </c>
      <c r="S373" s="10">
        <f>IF(AND(P373="TN",R373="TN"),N373+N(O373),IF(G373&amp;""="1",N(K373)*N373,(N373+N(O373))*N(K373)))</f>
        <v/>
      </c>
      <c r="T373" s="10">
        <f>IF(Q373="","",Q373-S373)</f>
        <v/>
      </c>
    </row>
    <row r="374">
      <c r="A374" s="7">
        <f>CONCATENATE(C374,E374,F374,I374)</f>
        <v/>
      </c>
      <c r="B374" s="7">
        <f>CONCATENATE(C374,E374,I374)</f>
        <v/>
      </c>
      <c r="C374" s="8" t="n">
        <v>900004885</v>
      </c>
      <c r="D374" s="7">
        <f>IFERROR(VLOOKUP(C374,TRAOPE!$G:$H,2,0),"")</f>
        <v/>
      </c>
      <c r="E374" s="8" t="inlineStr">
        <is>
          <t>DW68</t>
        </is>
      </c>
      <c r="F374" s="8" t="inlineStr">
        <is>
          <t>D211</t>
        </is>
      </c>
      <c r="G374" s="8">
        <f>IFERROR(VLOOKUP(A374,Flete!$A:$E,5,0),"")</f>
        <v/>
      </c>
      <c r="H374" s="7">
        <f>IFERROR(VLOOKUP(F374,TRAOPE!$AA:$AB,2,0),"")</f>
        <v/>
      </c>
      <c r="I374" s="7" t="n">
        <v>10000191</v>
      </c>
      <c r="J374" s="7">
        <f>IFERROR(VLOOKUP(I374,Materiales!$A:$H,8,0),"")</f>
        <v/>
      </c>
      <c r="K374" s="9">
        <f>IFERROR(VLOOKUP(I374,Materiales!$A:$G,7,0),"")</f>
        <v/>
      </c>
      <c r="L374" s="8" t="inlineStr">
        <is>
          <t>20220516</t>
        </is>
      </c>
      <c r="M374" s="8" t="inlineStr">
        <is>
          <t>20251031</t>
        </is>
      </c>
      <c r="N374" s="10" t="n">
        <v>92.2</v>
      </c>
      <c r="O374" s="10">
        <f>IFERROR(VLOOKUP(A374,Flete!$A:$J,10,0),"")</f>
        <v/>
      </c>
      <c r="P374" s="8" t="inlineStr">
        <is>
          <t>TN</t>
        </is>
      </c>
      <c r="Q374" s="10">
        <f>IFERROR(IFERROR(VLOOKUP(A374,TRAOPE!$A:$U,21,0),VLOOKUP(B374,TRAOPE!$A:$U,21,0)),"")</f>
        <v/>
      </c>
      <c r="R374" s="8">
        <f>IFERROR(IFERROR(VLOOKUP(A374,TRAOPE!$A:$W,23,0),VLOOKUP(B374,TRAOPE!$A:$W,23,0)),"")</f>
        <v/>
      </c>
      <c r="S374" s="10">
        <f>IF(AND(P374="TN",R374="TN"),N374+N(O374),IF(G374&amp;""="1",N(K374)*N374,(N374+N(O374))*N(K374)))</f>
        <v/>
      </c>
      <c r="T374" s="10">
        <f>IF(Q374="","",Q374-S374)</f>
        <v/>
      </c>
    </row>
    <row r="375">
      <c r="A375" s="7">
        <f>CONCATENATE(C375,E375,F375,I375)</f>
        <v/>
      </c>
      <c r="B375" s="7">
        <f>CONCATENATE(C375,E375,I375)</f>
        <v/>
      </c>
      <c r="C375" s="8" t="n">
        <v>900004885</v>
      </c>
      <c r="D375" s="7">
        <f>IFERROR(VLOOKUP(C375,TRAOPE!$G:$H,2,0),"")</f>
        <v/>
      </c>
      <c r="E375" s="8" t="inlineStr">
        <is>
          <t>DW68</t>
        </is>
      </c>
      <c r="F375" s="8" t="inlineStr">
        <is>
          <t>D211</t>
        </is>
      </c>
      <c r="G375" s="8">
        <f>IFERROR(VLOOKUP(A375,Flete!$A:$E,5,0),"")</f>
        <v/>
      </c>
      <c r="H375" s="7">
        <f>IFERROR(VLOOKUP(F375,TRAOPE!$AA:$AB,2,0),"")</f>
        <v/>
      </c>
      <c r="I375" s="7" t="n">
        <v>10000388</v>
      </c>
      <c r="J375" s="7">
        <f>IFERROR(VLOOKUP(I375,Materiales!$A:$H,8,0),"")</f>
        <v/>
      </c>
      <c r="K375" s="9">
        <f>IFERROR(VLOOKUP(I375,Materiales!$A:$G,7,0),"")</f>
        <v/>
      </c>
      <c r="L375" s="8" t="inlineStr">
        <is>
          <t>20220516</t>
        </is>
      </c>
      <c r="M375" s="8" t="inlineStr">
        <is>
          <t>20251031</t>
        </is>
      </c>
      <c r="N375" s="10" t="n">
        <v>93.19</v>
      </c>
      <c r="O375" s="10">
        <f>IFERROR(VLOOKUP(A375,Flete!$A:$J,10,0),"")</f>
        <v/>
      </c>
      <c r="P375" s="8" t="inlineStr">
        <is>
          <t>TN</t>
        </is>
      </c>
      <c r="Q375" s="10">
        <f>IFERROR(IFERROR(VLOOKUP(A375,TRAOPE!$A:$U,21,0),VLOOKUP(B375,TRAOPE!$A:$U,21,0)),"")</f>
        <v/>
      </c>
      <c r="R375" s="8">
        <f>IFERROR(IFERROR(VLOOKUP(A375,TRAOPE!$A:$W,23,0),VLOOKUP(B375,TRAOPE!$A:$W,23,0)),"")</f>
        <v/>
      </c>
      <c r="S375" s="10">
        <f>IF(AND(P375="TN",R375="TN"),N375+N(O375),IF(G375&amp;""="1",N(K375)*N375,(N375+N(O375))*N(K375)))</f>
        <v/>
      </c>
      <c r="T375" s="10">
        <f>IF(Q375="","",Q375-S375)</f>
        <v/>
      </c>
    </row>
    <row r="376">
      <c r="A376" s="7">
        <f>CONCATENATE(C376,E376,F376,I376)</f>
        <v/>
      </c>
      <c r="B376" s="7">
        <f>CONCATENATE(C376,E376,I376)</f>
        <v/>
      </c>
      <c r="C376" s="8" t="n">
        <v>900004885</v>
      </c>
      <c r="D376" s="7">
        <f>IFERROR(VLOOKUP(C376,TRAOPE!$G:$H,2,0),"")</f>
        <v/>
      </c>
      <c r="E376" s="8" t="inlineStr">
        <is>
          <t>DW68</t>
        </is>
      </c>
      <c r="F376" s="8" t="inlineStr">
        <is>
          <t>D214</t>
        </is>
      </c>
      <c r="G376" s="8">
        <f>IFERROR(VLOOKUP(A376,Flete!$A:$E,5,0),"")</f>
        <v/>
      </c>
      <c r="H376" s="7">
        <f>IFERROR(VLOOKUP(F376,TRAOPE!$AA:$AB,2,0),"")</f>
        <v/>
      </c>
      <c r="I376" s="7" t="n">
        <v>10000191</v>
      </c>
      <c r="J376" s="7">
        <f>IFERROR(VLOOKUP(I376,Materiales!$A:$H,8,0),"")</f>
        <v/>
      </c>
      <c r="K376" s="9">
        <f>IFERROR(VLOOKUP(I376,Materiales!$A:$G,7,0),"")</f>
        <v/>
      </c>
      <c r="L376" s="8" t="inlineStr">
        <is>
          <t>20220516</t>
        </is>
      </c>
      <c r="M376" s="8" t="inlineStr">
        <is>
          <t>20251031</t>
        </is>
      </c>
      <c r="N376" s="10" t="n">
        <v>92.2</v>
      </c>
      <c r="O376" s="10">
        <f>IFERROR(VLOOKUP(A376,Flete!$A:$J,10,0),"")</f>
        <v/>
      </c>
      <c r="P376" s="8" t="inlineStr">
        <is>
          <t>TN</t>
        </is>
      </c>
      <c r="Q376" s="10">
        <f>IFERROR(IFERROR(VLOOKUP(A376,TRAOPE!$A:$U,21,0),VLOOKUP(B376,TRAOPE!$A:$U,21,0)),"")</f>
        <v/>
      </c>
      <c r="R376" s="8">
        <f>IFERROR(IFERROR(VLOOKUP(A376,TRAOPE!$A:$W,23,0),VLOOKUP(B376,TRAOPE!$A:$W,23,0)),"")</f>
        <v/>
      </c>
      <c r="S376" s="10">
        <f>IF(AND(P376="TN",R376="TN"),N376+N(O376),IF(G376&amp;""="1",N(K376)*N376,(N376+N(O376))*N(K376)))</f>
        <v/>
      </c>
      <c r="T376" s="10">
        <f>IF(Q376="","",Q376-S376)</f>
        <v/>
      </c>
    </row>
    <row r="377">
      <c r="A377" s="7">
        <f>CONCATENATE(C377,E377,F377,I377)</f>
        <v/>
      </c>
      <c r="B377" s="7">
        <f>CONCATENATE(C377,E377,I377)</f>
        <v/>
      </c>
      <c r="C377" s="8" t="n">
        <v>900004885</v>
      </c>
      <c r="D377" s="7">
        <f>IFERROR(VLOOKUP(C377,TRAOPE!$G:$H,2,0),"")</f>
        <v/>
      </c>
      <c r="E377" s="8" t="inlineStr">
        <is>
          <t>DW68</t>
        </is>
      </c>
      <c r="F377" s="8" t="inlineStr">
        <is>
          <t>D214</t>
        </is>
      </c>
      <c r="G377" s="8">
        <f>IFERROR(VLOOKUP(A377,Flete!$A:$E,5,0),"")</f>
        <v/>
      </c>
      <c r="H377" s="7">
        <f>IFERROR(VLOOKUP(F377,TRAOPE!$AA:$AB,2,0),"")</f>
        <v/>
      </c>
      <c r="I377" s="7" t="n">
        <v>10000388</v>
      </c>
      <c r="J377" s="7">
        <f>IFERROR(VLOOKUP(I377,Materiales!$A:$H,8,0),"")</f>
        <v/>
      </c>
      <c r="K377" s="9">
        <f>IFERROR(VLOOKUP(I377,Materiales!$A:$G,7,0),"")</f>
        <v/>
      </c>
      <c r="L377" s="8" t="inlineStr">
        <is>
          <t>20220516</t>
        </is>
      </c>
      <c r="M377" s="8" t="inlineStr">
        <is>
          <t>20251031</t>
        </is>
      </c>
      <c r="N377" s="10" t="n">
        <v>93.19</v>
      </c>
      <c r="O377" s="10">
        <f>IFERROR(VLOOKUP(A377,Flete!$A:$J,10,0),"")</f>
        <v/>
      </c>
      <c r="P377" s="8" t="inlineStr">
        <is>
          <t>TN</t>
        </is>
      </c>
      <c r="Q377" s="10">
        <f>IFERROR(IFERROR(VLOOKUP(A377,TRAOPE!$A:$U,21,0),VLOOKUP(B377,TRAOPE!$A:$U,21,0)),"")</f>
        <v/>
      </c>
      <c r="R377" s="8">
        <f>IFERROR(IFERROR(VLOOKUP(A377,TRAOPE!$A:$W,23,0),VLOOKUP(B377,TRAOPE!$A:$W,23,0)),"")</f>
        <v/>
      </c>
      <c r="S377" s="10">
        <f>IF(AND(P377="TN",R377="TN"),N377+N(O377),IF(G377&amp;""="1",N(K377)*N377,(N377+N(O377))*N(K377)))</f>
        <v/>
      </c>
      <c r="T377" s="10">
        <f>IF(Q377="","",Q377-S377)</f>
        <v/>
      </c>
    </row>
    <row r="378">
      <c r="A378" s="7">
        <f>CONCATENATE(C378,E378,F378,I378)</f>
        <v/>
      </c>
      <c r="B378" s="7">
        <f>CONCATENATE(C378,E378,I378)</f>
        <v/>
      </c>
      <c r="C378" s="8" t="n">
        <v>900004885</v>
      </c>
      <c r="D378" s="7">
        <f>IFERROR(VLOOKUP(C378,TRAOPE!$G:$H,2,0),"")</f>
        <v/>
      </c>
      <c r="E378" s="8" t="inlineStr">
        <is>
          <t>DW68</t>
        </is>
      </c>
      <c r="F378" s="8" t="inlineStr">
        <is>
          <t>D220</t>
        </is>
      </c>
      <c r="G378" s="8">
        <f>IFERROR(VLOOKUP(A378,Flete!$A:$E,5,0),"")</f>
        <v/>
      </c>
      <c r="H378" s="7">
        <f>IFERROR(VLOOKUP(F378,TRAOPE!$AA:$AB,2,0),"")</f>
        <v/>
      </c>
      <c r="I378" s="7" t="n">
        <v>10000191</v>
      </c>
      <c r="J378" s="7">
        <f>IFERROR(VLOOKUP(I378,Materiales!$A:$H,8,0),"")</f>
        <v/>
      </c>
      <c r="K378" s="9">
        <f>IFERROR(VLOOKUP(I378,Materiales!$A:$G,7,0),"")</f>
        <v/>
      </c>
      <c r="L378" s="8" t="inlineStr">
        <is>
          <t>20220516</t>
        </is>
      </c>
      <c r="M378" s="8" t="inlineStr">
        <is>
          <t>20251031</t>
        </is>
      </c>
      <c r="N378" s="10" t="n">
        <v>85.11</v>
      </c>
      <c r="O378" s="10">
        <f>IFERROR(VLOOKUP(A378,Flete!$A:$J,10,0),"")</f>
        <v/>
      </c>
      <c r="P378" s="8" t="inlineStr">
        <is>
          <t>TN</t>
        </is>
      </c>
      <c r="Q378" s="10">
        <f>IFERROR(IFERROR(VLOOKUP(A378,TRAOPE!$A:$U,21,0),VLOOKUP(B378,TRAOPE!$A:$U,21,0)),"")</f>
        <v/>
      </c>
      <c r="R378" s="8">
        <f>IFERROR(IFERROR(VLOOKUP(A378,TRAOPE!$A:$W,23,0),VLOOKUP(B378,TRAOPE!$A:$W,23,0)),"")</f>
        <v/>
      </c>
      <c r="S378" s="10">
        <f>IF(AND(P378="TN",R378="TN"),N378+N(O378),IF(G378&amp;""="1",N(K378)*N378,(N378+N(O378))*N(K378)))</f>
        <v/>
      </c>
      <c r="T378" s="10">
        <f>IF(Q378="","",Q378-S378)</f>
        <v/>
      </c>
    </row>
    <row r="379">
      <c r="A379" s="7">
        <f>CONCATENATE(C379,E379,F379,I379)</f>
        <v/>
      </c>
      <c r="B379" s="7">
        <f>CONCATENATE(C379,E379,I379)</f>
        <v/>
      </c>
      <c r="C379" s="8" t="n">
        <v>900004885</v>
      </c>
      <c r="D379" s="7">
        <f>IFERROR(VLOOKUP(C379,TRAOPE!$G:$H,2,0),"")</f>
        <v/>
      </c>
      <c r="E379" s="8" t="inlineStr">
        <is>
          <t>DW68</t>
        </is>
      </c>
      <c r="F379" s="8" t="inlineStr">
        <is>
          <t>D220</t>
        </is>
      </c>
      <c r="G379" s="8">
        <f>IFERROR(VLOOKUP(A379,Flete!$A:$E,5,0),"")</f>
        <v/>
      </c>
      <c r="H379" s="7">
        <f>IFERROR(VLOOKUP(F379,TRAOPE!$AA:$AB,2,0),"")</f>
        <v/>
      </c>
      <c r="I379" s="7" t="n">
        <v>10000388</v>
      </c>
      <c r="J379" s="7">
        <f>IFERROR(VLOOKUP(I379,Materiales!$A:$H,8,0),"")</f>
        <v/>
      </c>
      <c r="K379" s="9">
        <f>IFERROR(VLOOKUP(I379,Materiales!$A:$G,7,0),"")</f>
        <v/>
      </c>
      <c r="L379" s="8" t="inlineStr">
        <is>
          <t>20220516</t>
        </is>
      </c>
      <c r="M379" s="8" t="inlineStr">
        <is>
          <t>20251031</t>
        </is>
      </c>
      <c r="N379" s="10" t="n">
        <v>86.02</v>
      </c>
      <c r="O379" s="10">
        <f>IFERROR(VLOOKUP(A379,Flete!$A:$J,10,0),"")</f>
        <v/>
      </c>
      <c r="P379" s="8" t="inlineStr">
        <is>
          <t>TN</t>
        </is>
      </c>
      <c r="Q379" s="10">
        <f>IFERROR(IFERROR(VLOOKUP(A379,TRAOPE!$A:$U,21,0),VLOOKUP(B379,TRAOPE!$A:$U,21,0)),"")</f>
        <v/>
      </c>
      <c r="R379" s="8">
        <f>IFERROR(IFERROR(VLOOKUP(A379,TRAOPE!$A:$W,23,0),VLOOKUP(B379,TRAOPE!$A:$W,23,0)),"")</f>
        <v/>
      </c>
      <c r="S379" s="10">
        <f>IF(AND(P379="TN",R379="TN"),N379+N(O379),IF(G379&amp;""="1",N(K379)*N379,(N379+N(O379))*N(K379)))</f>
        <v/>
      </c>
      <c r="T379" s="10">
        <f>IF(Q379="","",Q379-S379)</f>
        <v/>
      </c>
    </row>
    <row r="380">
      <c r="A380" s="7">
        <f>CONCATENATE(C380,E380,F380,I380)</f>
        <v/>
      </c>
      <c r="B380" s="7">
        <f>CONCATENATE(C380,E380,I380)</f>
        <v/>
      </c>
      <c r="C380" s="8" t="n">
        <v>900004885</v>
      </c>
      <c r="D380" s="7">
        <f>IFERROR(VLOOKUP(C380,TRAOPE!$G:$H,2,0),"")</f>
        <v/>
      </c>
      <c r="E380" s="8" t="inlineStr">
        <is>
          <t>DW68</t>
        </is>
      </c>
      <c r="F380" s="8" t="inlineStr">
        <is>
          <t>D228</t>
        </is>
      </c>
      <c r="G380" s="8">
        <f>IFERROR(VLOOKUP(A380,Flete!$A:$E,5,0),"")</f>
        <v/>
      </c>
      <c r="H380" s="7">
        <f>IFERROR(VLOOKUP(F380,TRAOPE!$AA:$AB,2,0),"")</f>
        <v/>
      </c>
      <c r="I380" s="7" t="n">
        <v>10000191</v>
      </c>
      <c r="J380" s="7">
        <f>IFERROR(VLOOKUP(I380,Materiales!$A:$H,8,0),"")</f>
        <v/>
      </c>
      <c r="K380" s="9">
        <f>IFERROR(VLOOKUP(I380,Materiales!$A:$G,7,0),"")</f>
        <v/>
      </c>
      <c r="L380" s="8" t="inlineStr">
        <is>
          <t>20220516</t>
        </is>
      </c>
      <c r="M380" s="8" t="inlineStr">
        <is>
          <t>20251031</t>
        </is>
      </c>
      <c r="N380" s="10" t="n">
        <v>92.2</v>
      </c>
      <c r="O380" s="10">
        <f>IFERROR(VLOOKUP(A380,Flete!$A:$J,10,0),"")</f>
        <v/>
      </c>
      <c r="P380" s="8" t="inlineStr">
        <is>
          <t>TN</t>
        </is>
      </c>
      <c r="Q380" s="10">
        <f>IFERROR(IFERROR(VLOOKUP(A380,TRAOPE!$A:$U,21,0),VLOOKUP(B380,TRAOPE!$A:$U,21,0)),"")</f>
        <v/>
      </c>
      <c r="R380" s="8">
        <f>IFERROR(IFERROR(VLOOKUP(A380,TRAOPE!$A:$W,23,0),VLOOKUP(B380,TRAOPE!$A:$W,23,0)),"")</f>
        <v/>
      </c>
      <c r="S380" s="10">
        <f>IF(AND(P380="TN",R380="TN"),N380+N(O380),IF(G380&amp;""="1",N(K380)*N380,(N380+N(O380))*N(K380)))</f>
        <v/>
      </c>
      <c r="T380" s="10">
        <f>IF(Q380="","",Q380-S380)</f>
        <v/>
      </c>
    </row>
    <row r="381">
      <c r="A381" s="7">
        <f>CONCATENATE(C381,E381,F381,I381)</f>
        <v/>
      </c>
      <c r="B381" s="7">
        <f>CONCATENATE(C381,E381,I381)</f>
        <v/>
      </c>
      <c r="C381" s="8" t="n">
        <v>900004885</v>
      </c>
      <c r="D381" s="7">
        <f>IFERROR(VLOOKUP(C381,TRAOPE!$G:$H,2,0),"")</f>
        <v/>
      </c>
      <c r="E381" s="8" t="inlineStr">
        <is>
          <t>DW68</t>
        </is>
      </c>
      <c r="F381" s="8" t="inlineStr">
        <is>
          <t>D228</t>
        </is>
      </c>
      <c r="G381" s="8">
        <f>IFERROR(VLOOKUP(A381,Flete!$A:$E,5,0),"")</f>
        <v/>
      </c>
      <c r="H381" s="7">
        <f>IFERROR(VLOOKUP(F381,TRAOPE!$AA:$AB,2,0),"")</f>
        <v/>
      </c>
      <c r="I381" s="7" t="n">
        <v>10000388</v>
      </c>
      <c r="J381" s="7">
        <f>IFERROR(VLOOKUP(I381,Materiales!$A:$H,8,0),"")</f>
        <v/>
      </c>
      <c r="K381" s="9">
        <f>IFERROR(VLOOKUP(I381,Materiales!$A:$G,7,0),"")</f>
        <v/>
      </c>
      <c r="L381" s="8" t="inlineStr">
        <is>
          <t>20220516</t>
        </is>
      </c>
      <c r="M381" s="8" t="inlineStr">
        <is>
          <t>20251031</t>
        </is>
      </c>
      <c r="N381" s="10" t="n">
        <v>93.19</v>
      </c>
      <c r="O381" s="10">
        <f>IFERROR(VLOOKUP(A381,Flete!$A:$J,10,0),"")</f>
        <v/>
      </c>
      <c r="P381" s="8" t="inlineStr">
        <is>
          <t>TN</t>
        </is>
      </c>
      <c r="Q381" s="10">
        <f>IFERROR(IFERROR(VLOOKUP(A381,TRAOPE!$A:$U,21,0),VLOOKUP(B381,TRAOPE!$A:$U,21,0)),"")</f>
        <v/>
      </c>
      <c r="R381" s="8">
        <f>IFERROR(IFERROR(VLOOKUP(A381,TRAOPE!$A:$W,23,0),VLOOKUP(B381,TRAOPE!$A:$W,23,0)),"")</f>
        <v/>
      </c>
      <c r="S381" s="10">
        <f>IF(AND(P381="TN",R381="TN"),N381+N(O381),IF(G381&amp;""="1",N(K381)*N381,(N381+N(O381))*N(K381)))</f>
        <v/>
      </c>
      <c r="T381" s="10">
        <f>IF(Q381="","",Q381-S381)</f>
        <v/>
      </c>
    </row>
    <row r="382">
      <c r="A382" s="7">
        <f>CONCATENATE(C382,E382,F382,I382)</f>
        <v/>
      </c>
      <c r="B382" s="7">
        <f>CONCATENATE(C382,E382,I382)</f>
        <v/>
      </c>
      <c r="C382" s="8" t="n">
        <v>900004885</v>
      </c>
      <c r="D382" s="7">
        <f>IFERROR(VLOOKUP(C382,TRAOPE!$G:$H,2,0),"")</f>
        <v/>
      </c>
      <c r="E382" s="8" t="inlineStr">
        <is>
          <t>DW68</t>
        </is>
      </c>
      <c r="F382" s="8" t="inlineStr">
        <is>
          <t>D242</t>
        </is>
      </c>
      <c r="G382" s="8">
        <f>IFERROR(VLOOKUP(A382,Flete!$A:$E,5,0),"")</f>
        <v/>
      </c>
      <c r="H382" s="7">
        <f>IFERROR(VLOOKUP(F382,TRAOPE!$AA:$AB,2,0),"")</f>
        <v/>
      </c>
      <c r="I382" s="7" t="n">
        <v>10000191</v>
      </c>
      <c r="J382" s="7">
        <f>IFERROR(VLOOKUP(I382,Materiales!$A:$H,8,0),"")</f>
        <v/>
      </c>
      <c r="K382" s="9">
        <f>IFERROR(VLOOKUP(I382,Materiales!$A:$G,7,0),"")</f>
        <v/>
      </c>
      <c r="L382" s="8" t="inlineStr">
        <is>
          <t>20220516</t>
        </is>
      </c>
      <c r="M382" s="8" t="inlineStr">
        <is>
          <t>20251031</t>
        </is>
      </c>
      <c r="N382" s="10" t="n">
        <v>92.2</v>
      </c>
      <c r="O382" s="10">
        <f>IFERROR(VLOOKUP(A382,Flete!$A:$J,10,0),"")</f>
        <v/>
      </c>
      <c r="P382" s="8" t="inlineStr">
        <is>
          <t>TN</t>
        </is>
      </c>
      <c r="Q382" s="10">
        <f>IFERROR(IFERROR(VLOOKUP(A382,TRAOPE!$A:$U,21,0),VLOOKUP(B382,TRAOPE!$A:$U,21,0)),"")</f>
        <v/>
      </c>
      <c r="R382" s="8">
        <f>IFERROR(IFERROR(VLOOKUP(A382,TRAOPE!$A:$W,23,0),VLOOKUP(B382,TRAOPE!$A:$W,23,0)),"")</f>
        <v/>
      </c>
      <c r="S382" s="10">
        <f>IF(AND(P382="TN",R382="TN"),N382+N(O382),IF(G382&amp;""="1",N(K382)*N382,(N382+N(O382))*N(K382)))</f>
        <v/>
      </c>
      <c r="T382" s="10">
        <f>IF(Q382="","",Q382-S382)</f>
        <v/>
      </c>
    </row>
    <row r="383">
      <c r="A383" s="7">
        <f>CONCATENATE(C383,E383,F383,I383)</f>
        <v/>
      </c>
      <c r="B383" s="7">
        <f>CONCATENATE(C383,E383,I383)</f>
        <v/>
      </c>
      <c r="C383" s="8" t="n">
        <v>900004885</v>
      </c>
      <c r="D383" s="7">
        <f>IFERROR(VLOOKUP(C383,TRAOPE!$G:$H,2,0),"")</f>
        <v/>
      </c>
      <c r="E383" s="8" t="inlineStr">
        <is>
          <t>DW68</t>
        </is>
      </c>
      <c r="F383" s="8" t="inlineStr">
        <is>
          <t>D242</t>
        </is>
      </c>
      <c r="G383" s="8">
        <f>IFERROR(VLOOKUP(A383,Flete!$A:$E,5,0),"")</f>
        <v/>
      </c>
      <c r="H383" s="7">
        <f>IFERROR(VLOOKUP(F383,TRAOPE!$AA:$AB,2,0),"")</f>
        <v/>
      </c>
      <c r="I383" s="7" t="n">
        <v>10000388</v>
      </c>
      <c r="J383" s="7">
        <f>IFERROR(VLOOKUP(I383,Materiales!$A:$H,8,0),"")</f>
        <v/>
      </c>
      <c r="K383" s="9">
        <f>IFERROR(VLOOKUP(I383,Materiales!$A:$G,7,0),"")</f>
        <v/>
      </c>
      <c r="L383" s="8" t="inlineStr">
        <is>
          <t>20220516</t>
        </is>
      </c>
      <c r="M383" s="8" t="inlineStr">
        <is>
          <t>20251031</t>
        </is>
      </c>
      <c r="N383" s="10" t="n">
        <v>93.19</v>
      </c>
      <c r="O383" s="10">
        <f>IFERROR(VLOOKUP(A383,Flete!$A:$J,10,0),"")</f>
        <v/>
      </c>
      <c r="P383" s="8" t="inlineStr">
        <is>
          <t>TN</t>
        </is>
      </c>
      <c r="Q383" s="10">
        <f>IFERROR(IFERROR(VLOOKUP(A383,TRAOPE!$A:$U,21,0),VLOOKUP(B383,TRAOPE!$A:$U,21,0)),"")</f>
        <v/>
      </c>
      <c r="R383" s="8">
        <f>IFERROR(IFERROR(VLOOKUP(A383,TRAOPE!$A:$W,23,0),VLOOKUP(B383,TRAOPE!$A:$W,23,0)),"")</f>
        <v/>
      </c>
      <c r="S383" s="10">
        <f>IF(AND(P383="TN",R383="TN"),N383+N(O383),IF(G383&amp;""="1",N(K383)*N383,(N383+N(O383))*N(K383)))</f>
        <v/>
      </c>
      <c r="T383" s="10">
        <f>IF(Q383="","",Q383-S383)</f>
        <v/>
      </c>
    </row>
    <row r="384">
      <c r="A384" s="7">
        <f>CONCATENATE(C384,E384,F384,I384)</f>
        <v/>
      </c>
      <c r="B384" s="7">
        <f>CONCATENATE(C384,E384,I384)</f>
        <v/>
      </c>
      <c r="C384" s="8" t="n">
        <v>900004885</v>
      </c>
      <c r="D384" s="7">
        <f>IFERROR(VLOOKUP(C384,TRAOPE!$G:$H,2,0),"")</f>
        <v/>
      </c>
      <c r="E384" s="8" t="inlineStr">
        <is>
          <t>DW68</t>
        </is>
      </c>
      <c r="F384" s="8" t="inlineStr">
        <is>
          <t>D247</t>
        </is>
      </c>
      <c r="G384" s="8">
        <f>IFERROR(VLOOKUP(A384,Flete!$A:$E,5,0),"")</f>
        <v/>
      </c>
      <c r="H384" s="7">
        <f>IFERROR(VLOOKUP(F384,TRAOPE!$AA:$AB,2,0),"")</f>
        <v/>
      </c>
      <c r="I384" s="7" t="n">
        <v>10000191</v>
      </c>
      <c r="J384" s="7">
        <f>IFERROR(VLOOKUP(I384,Materiales!$A:$H,8,0),"")</f>
        <v/>
      </c>
      <c r="K384" s="9">
        <f>IFERROR(VLOOKUP(I384,Materiales!$A:$G,7,0),"")</f>
        <v/>
      </c>
      <c r="L384" s="8" t="inlineStr">
        <is>
          <t>20220516</t>
        </is>
      </c>
      <c r="M384" s="8" t="inlineStr">
        <is>
          <t>20251031</t>
        </is>
      </c>
      <c r="N384" s="10" t="n">
        <v>74.47</v>
      </c>
      <c r="O384" s="10">
        <f>IFERROR(VLOOKUP(A384,Flete!$A:$J,10,0),"")</f>
        <v/>
      </c>
      <c r="P384" s="8" t="inlineStr">
        <is>
          <t>TN</t>
        </is>
      </c>
      <c r="Q384" s="10">
        <f>IFERROR(IFERROR(VLOOKUP(A384,TRAOPE!$A:$U,21,0),VLOOKUP(B384,TRAOPE!$A:$U,21,0)),"")</f>
        <v/>
      </c>
      <c r="R384" s="8">
        <f>IFERROR(IFERROR(VLOOKUP(A384,TRAOPE!$A:$W,23,0),VLOOKUP(B384,TRAOPE!$A:$W,23,0)),"")</f>
        <v/>
      </c>
      <c r="S384" s="10">
        <f>IF(AND(P384="TN",R384="TN"),N384+N(O384),IF(G384&amp;""="1",N(K384)*N384,(N384+N(O384))*N(K384)))</f>
        <v/>
      </c>
      <c r="T384" s="10">
        <f>IF(Q384="","",Q384-S384)</f>
        <v/>
      </c>
    </row>
    <row r="385">
      <c r="A385" s="7">
        <f>CONCATENATE(C385,E385,F385,I385)</f>
        <v/>
      </c>
      <c r="B385" s="7">
        <f>CONCATENATE(C385,E385,I385)</f>
        <v/>
      </c>
      <c r="C385" s="8" t="n">
        <v>900004885</v>
      </c>
      <c r="D385" s="7">
        <f>IFERROR(VLOOKUP(C385,TRAOPE!$G:$H,2,0),"")</f>
        <v/>
      </c>
      <c r="E385" s="8" t="inlineStr">
        <is>
          <t>DW68</t>
        </is>
      </c>
      <c r="F385" s="8" t="inlineStr">
        <is>
          <t>D247</t>
        </is>
      </c>
      <c r="G385" s="8">
        <f>IFERROR(VLOOKUP(A385,Flete!$A:$E,5,0),"")</f>
        <v/>
      </c>
      <c r="H385" s="7">
        <f>IFERROR(VLOOKUP(F385,TRAOPE!$AA:$AB,2,0),"")</f>
        <v/>
      </c>
      <c r="I385" s="7" t="n">
        <v>10000388</v>
      </c>
      <c r="J385" s="7">
        <f>IFERROR(VLOOKUP(I385,Materiales!$A:$H,8,0),"")</f>
        <v/>
      </c>
      <c r="K385" s="9">
        <f>IFERROR(VLOOKUP(I385,Materiales!$A:$G,7,0),"")</f>
        <v/>
      </c>
      <c r="L385" s="8" t="inlineStr">
        <is>
          <t>20220516</t>
        </is>
      </c>
      <c r="M385" s="8" t="inlineStr">
        <is>
          <t>20251031</t>
        </is>
      </c>
      <c r="N385" s="10" t="n">
        <v>75.27</v>
      </c>
      <c r="O385" s="10">
        <f>IFERROR(VLOOKUP(A385,Flete!$A:$J,10,0),"")</f>
        <v/>
      </c>
      <c r="P385" s="8" t="inlineStr">
        <is>
          <t>TN</t>
        </is>
      </c>
      <c r="Q385" s="10">
        <f>IFERROR(IFERROR(VLOOKUP(A385,TRAOPE!$A:$U,21,0),VLOOKUP(B385,TRAOPE!$A:$U,21,0)),"")</f>
        <v/>
      </c>
      <c r="R385" s="8">
        <f>IFERROR(IFERROR(VLOOKUP(A385,TRAOPE!$A:$W,23,0),VLOOKUP(B385,TRAOPE!$A:$W,23,0)),"")</f>
        <v/>
      </c>
      <c r="S385" s="10">
        <f>IF(AND(P385="TN",R385="TN"),N385+N(O385),IF(G385&amp;""="1",N(K385)*N385,(N385+N(O385))*N(K385)))</f>
        <v/>
      </c>
      <c r="T385" s="10">
        <f>IF(Q385="","",Q385-S385)</f>
        <v/>
      </c>
    </row>
    <row r="386">
      <c r="A386" s="7">
        <f>CONCATENATE(C386,E386,F386,I386)</f>
        <v/>
      </c>
      <c r="B386" s="7">
        <f>CONCATENATE(C386,E386,I386)</f>
        <v/>
      </c>
      <c r="C386" s="8" t="n">
        <v>900004885</v>
      </c>
      <c r="D386" s="7">
        <f>IFERROR(VLOOKUP(C386,TRAOPE!$G:$H,2,0),"")</f>
        <v/>
      </c>
      <c r="E386" s="8" t="inlineStr">
        <is>
          <t>DW68</t>
        </is>
      </c>
      <c r="F386" s="8" t="inlineStr">
        <is>
          <t>D251</t>
        </is>
      </c>
      <c r="G386" s="8">
        <f>IFERROR(VLOOKUP(A386,Flete!$A:$E,5,0),"")</f>
        <v/>
      </c>
      <c r="H386" s="7">
        <f>IFERROR(VLOOKUP(F386,TRAOPE!$AA:$AB,2,0),"")</f>
        <v/>
      </c>
      <c r="I386" s="7" t="n">
        <v>10000191</v>
      </c>
      <c r="J386" s="7">
        <f>IFERROR(VLOOKUP(I386,Materiales!$A:$H,8,0),"")</f>
        <v/>
      </c>
      <c r="K386" s="9">
        <f>IFERROR(VLOOKUP(I386,Materiales!$A:$G,7,0),"")</f>
        <v/>
      </c>
      <c r="L386" s="8" t="inlineStr">
        <is>
          <t>20220516</t>
        </is>
      </c>
      <c r="M386" s="8" t="inlineStr">
        <is>
          <t>20251031</t>
        </is>
      </c>
      <c r="N386" s="10" t="n">
        <v>77.3</v>
      </c>
      <c r="O386" s="10">
        <f>IFERROR(VLOOKUP(A386,Flete!$A:$J,10,0),"")</f>
        <v/>
      </c>
      <c r="P386" s="8" t="inlineStr">
        <is>
          <t>TN</t>
        </is>
      </c>
      <c r="Q386" s="10">
        <f>IFERROR(IFERROR(VLOOKUP(A386,TRAOPE!$A:$U,21,0),VLOOKUP(B386,TRAOPE!$A:$U,21,0)),"")</f>
        <v/>
      </c>
      <c r="R386" s="8">
        <f>IFERROR(IFERROR(VLOOKUP(A386,TRAOPE!$A:$W,23,0),VLOOKUP(B386,TRAOPE!$A:$W,23,0)),"")</f>
        <v/>
      </c>
      <c r="S386" s="10">
        <f>IF(AND(P386="TN",R386="TN"),N386+N(O386),IF(G386&amp;""="1",N(K386)*N386,(N386+N(O386))*N(K386)))</f>
        <v/>
      </c>
      <c r="T386" s="10">
        <f>IF(Q386="","",Q386-S386)</f>
        <v/>
      </c>
    </row>
    <row r="387">
      <c r="A387" s="7">
        <f>CONCATENATE(C387,E387,F387,I387)</f>
        <v/>
      </c>
      <c r="B387" s="7">
        <f>CONCATENATE(C387,E387,I387)</f>
        <v/>
      </c>
      <c r="C387" s="8" t="n">
        <v>900004885</v>
      </c>
      <c r="D387" s="7">
        <f>IFERROR(VLOOKUP(C387,TRAOPE!$G:$H,2,0),"")</f>
        <v/>
      </c>
      <c r="E387" s="8" t="inlineStr">
        <is>
          <t>DW68</t>
        </is>
      </c>
      <c r="F387" s="8" t="inlineStr">
        <is>
          <t>D251</t>
        </is>
      </c>
      <c r="G387" s="8">
        <f>IFERROR(VLOOKUP(A387,Flete!$A:$E,5,0),"")</f>
        <v/>
      </c>
      <c r="H387" s="7">
        <f>IFERROR(VLOOKUP(F387,TRAOPE!$AA:$AB,2,0),"")</f>
        <v/>
      </c>
      <c r="I387" s="7" t="n">
        <v>10000388</v>
      </c>
      <c r="J387" s="7">
        <f>IFERROR(VLOOKUP(I387,Materiales!$A:$H,8,0),"")</f>
        <v/>
      </c>
      <c r="K387" s="9">
        <f>IFERROR(VLOOKUP(I387,Materiales!$A:$G,7,0),"")</f>
        <v/>
      </c>
      <c r="L387" s="8" t="inlineStr">
        <is>
          <t>20220516</t>
        </is>
      </c>
      <c r="M387" s="8" t="inlineStr">
        <is>
          <t>20251031</t>
        </is>
      </c>
      <c r="N387" s="10" t="n">
        <v>78.14</v>
      </c>
      <c r="O387" s="10">
        <f>IFERROR(VLOOKUP(A387,Flete!$A:$J,10,0),"")</f>
        <v/>
      </c>
      <c r="P387" s="8" t="inlineStr">
        <is>
          <t>TN</t>
        </is>
      </c>
      <c r="Q387" s="10">
        <f>IFERROR(IFERROR(VLOOKUP(A387,TRAOPE!$A:$U,21,0),VLOOKUP(B387,TRAOPE!$A:$U,21,0)),"")</f>
        <v/>
      </c>
      <c r="R387" s="8">
        <f>IFERROR(IFERROR(VLOOKUP(A387,TRAOPE!$A:$W,23,0),VLOOKUP(B387,TRAOPE!$A:$W,23,0)),"")</f>
        <v/>
      </c>
      <c r="S387" s="10">
        <f>IF(AND(P387="TN",R387="TN"),N387+N(O387),IF(G387&amp;""="1",N(K387)*N387,(N387+N(O387))*N(K387)))</f>
        <v/>
      </c>
      <c r="T387" s="10">
        <f>IF(Q387="","",Q387-S387)</f>
        <v/>
      </c>
    </row>
    <row r="388">
      <c r="A388" s="7">
        <f>CONCATENATE(C388,E388,F388,I388)</f>
        <v/>
      </c>
      <c r="B388" s="7">
        <f>CONCATENATE(C388,E388,I388)</f>
        <v/>
      </c>
      <c r="C388" s="8" t="n">
        <v>900004885</v>
      </c>
      <c r="D388" s="7">
        <f>IFERROR(VLOOKUP(C388,TRAOPE!$G:$H,2,0),"")</f>
        <v/>
      </c>
      <c r="E388" s="8" t="inlineStr">
        <is>
          <t>DW68</t>
        </is>
      </c>
      <c r="F388" s="8" t="inlineStr">
        <is>
          <t>D264</t>
        </is>
      </c>
      <c r="G388" s="8">
        <f>IFERROR(VLOOKUP(A388,Flete!$A:$E,5,0),"")</f>
        <v/>
      </c>
      <c r="H388" s="7">
        <f>IFERROR(VLOOKUP(F388,TRAOPE!$AA:$AB,2,0),"")</f>
        <v/>
      </c>
      <c r="I388" s="7" t="n">
        <v>10000191</v>
      </c>
      <c r="J388" s="7">
        <f>IFERROR(VLOOKUP(I388,Materiales!$A:$H,8,0),"")</f>
        <v/>
      </c>
      <c r="K388" s="9">
        <f>IFERROR(VLOOKUP(I388,Materiales!$A:$G,7,0),"")</f>
        <v/>
      </c>
      <c r="L388" s="8" t="inlineStr">
        <is>
          <t>20220516</t>
        </is>
      </c>
      <c r="M388" s="8" t="inlineStr">
        <is>
          <t>20251031</t>
        </is>
      </c>
      <c r="N388" s="10" t="n">
        <v>92.2</v>
      </c>
      <c r="O388" s="10">
        <f>IFERROR(VLOOKUP(A388,Flete!$A:$J,10,0),"")</f>
        <v/>
      </c>
      <c r="P388" s="8" t="inlineStr">
        <is>
          <t>TN</t>
        </is>
      </c>
      <c r="Q388" s="10">
        <f>IFERROR(IFERROR(VLOOKUP(A388,TRAOPE!$A:$U,21,0),VLOOKUP(B388,TRAOPE!$A:$U,21,0)),"")</f>
        <v/>
      </c>
      <c r="R388" s="8">
        <f>IFERROR(IFERROR(VLOOKUP(A388,TRAOPE!$A:$W,23,0),VLOOKUP(B388,TRAOPE!$A:$W,23,0)),"")</f>
        <v/>
      </c>
      <c r="S388" s="10">
        <f>IF(AND(P388="TN",R388="TN"),N388+N(O388),IF(G388&amp;""="1",N(K388)*N388,(N388+N(O388))*N(K388)))</f>
        <v/>
      </c>
      <c r="T388" s="10">
        <f>IF(Q388="","",Q388-S388)</f>
        <v/>
      </c>
    </row>
    <row r="389">
      <c r="A389" s="7">
        <f>CONCATENATE(C389,E389,F389,I389)</f>
        <v/>
      </c>
      <c r="B389" s="7">
        <f>CONCATENATE(C389,E389,I389)</f>
        <v/>
      </c>
      <c r="C389" s="8" t="n">
        <v>900004885</v>
      </c>
      <c r="D389" s="7">
        <f>IFERROR(VLOOKUP(C389,TRAOPE!$G:$H,2,0),"")</f>
        <v/>
      </c>
      <c r="E389" s="8" t="inlineStr">
        <is>
          <t>DW68</t>
        </is>
      </c>
      <c r="F389" s="8" t="inlineStr">
        <is>
          <t>D264</t>
        </is>
      </c>
      <c r="G389" s="8">
        <f>IFERROR(VLOOKUP(A389,Flete!$A:$E,5,0),"")</f>
        <v/>
      </c>
      <c r="H389" s="7">
        <f>IFERROR(VLOOKUP(F389,TRAOPE!$AA:$AB,2,0),"")</f>
        <v/>
      </c>
      <c r="I389" s="7" t="n">
        <v>10000388</v>
      </c>
      <c r="J389" s="7">
        <f>IFERROR(VLOOKUP(I389,Materiales!$A:$H,8,0),"")</f>
        <v/>
      </c>
      <c r="K389" s="9">
        <f>IFERROR(VLOOKUP(I389,Materiales!$A:$G,7,0),"")</f>
        <v/>
      </c>
      <c r="L389" s="8" t="inlineStr">
        <is>
          <t>20220516</t>
        </is>
      </c>
      <c r="M389" s="8" t="inlineStr">
        <is>
          <t>20251031</t>
        </is>
      </c>
      <c r="N389" s="10" t="n">
        <v>93.19</v>
      </c>
      <c r="O389" s="10">
        <f>IFERROR(VLOOKUP(A389,Flete!$A:$J,10,0),"")</f>
        <v/>
      </c>
      <c r="P389" s="8" t="inlineStr">
        <is>
          <t>TN</t>
        </is>
      </c>
      <c r="Q389" s="10">
        <f>IFERROR(IFERROR(VLOOKUP(A389,TRAOPE!$A:$U,21,0),VLOOKUP(B389,TRAOPE!$A:$U,21,0)),"")</f>
        <v/>
      </c>
      <c r="R389" s="8">
        <f>IFERROR(IFERROR(VLOOKUP(A389,TRAOPE!$A:$W,23,0),VLOOKUP(B389,TRAOPE!$A:$W,23,0)),"")</f>
        <v/>
      </c>
      <c r="S389" s="10">
        <f>IF(AND(P389="TN",R389="TN"),N389+N(O389),IF(G389&amp;""="1",N(K389)*N389,(N389+N(O389))*N(K389)))</f>
        <v/>
      </c>
      <c r="T389" s="10">
        <f>IF(Q389="","",Q389-S389)</f>
        <v/>
      </c>
    </row>
    <row r="390">
      <c r="A390" s="7">
        <f>CONCATENATE(C390,E390,F390,I390)</f>
        <v/>
      </c>
      <c r="B390" s="7">
        <f>CONCATENATE(C390,E390,I390)</f>
        <v/>
      </c>
      <c r="C390" s="8" t="n">
        <v>900004885</v>
      </c>
      <c r="D390" s="7">
        <f>IFERROR(VLOOKUP(C390,TRAOPE!$G:$H,2,0),"")</f>
        <v/>
      </c>
      <c r="E390" s="8" t="inlineStr">
        <is>
          <t>DW68</t>
        </is>
      </c>
      <c r="F390" s="8" t="inlineStr">
        <is>
          <t>D267</t>
        </is>
      </c>
      <c r="G390" s="8">
        <f>IFERROR(VLOOKUP(A390,Flete!$A:$E,5,0),"")</f>
        <v/>
      </c>
      <c r="H390" s="7">
        <f>IFERROR(VLOOKUP(F390,TRAOPE!$AA:$AB,2,0),"")</f>
        <v/>
      </c>
      <c r="I390" s="7" t="n">
        <v>10000191</v>
      </c>
      <c r="J390" s="7">
        <f>IFERROR(VLOOKUP(I390,Materiales!$A:$H,8,0),"")</f>
        <v/>
      </c>
      <c r="K390" s="9">
        <f>IFERROR(VLOOKUP(I390,Materiales!$A:$G,7,0),"")</f>
        <v/>
      </c>
      <c r="L390" s="8" t="inlineStr">
        <is>
          <t>20220516</t>
        </is>
      </c>
      <c r="M390" s="8" t="inlineStr">
        <is>
          <t>20251031</t>
        </is>
      </c>
      <c r="N390" s="10" t="n">
        <v>92.2</v>
      </c>
      <c r="O390" s="10">
        <f>IFERROR(VLOOKUP(A390,Flete!$A:$J,10,0),"")</f>
        <v/>
      </c>
      <c r="P390" s="8" t="inlineStr">
        <is>
          <t>TN</t>
        </is>
      </c>
      <c r="Q390" s="10">
        <f>IFERROR(IFERROR(VLOOKUP(A390,TRAOPE!$A:$U,21,0),VLOOKUP(B390,TRAOPE!$A:$U,21,0)),"")</f>
        <v/>
      </c>
      <c r="R390" s="8">
        <f>IFERROR(IFERROR(VLOOKUP(A390,TRAOPE!$A:$W,23,0),VLOOKUP(B390,TRAOPE!$A:$W,23,0)),"")</f>
        <v/>
      </c>
      <c r="S390" s="10">
        <f>IF(AND(P390="TN",R390="TN"),N390+N(O390),IF(G390&amp;""="1",N(K390)*N390,(N390+N(O390))*N(K390)))</f>
        <v/>
      </c>
      <c r="T390" s="10">
        <f>IF(Q390="","",Q390-S390)</f>
        <v/>
      </c>
    </row>
    <row r="391">
      <c r="A391" s="7">
        <f>CONCATENATE(C391,E391,F391,I391)</f>
        <v/>
      </c>
      <c r="B391" s="7">
        <f>CONCATENATE(C391,E391,I391)</f>
        <v/>
      </c>
      <c r="C391" s="8" t="n">
        <v>900004885</v>
      </c>
      <c r="D391" s="7">
        <f>IFERROR(VLOOKUP(C391,TRAOPE!$G:$H,2,0),"")</f>
        <v/>
      </c>
      <c r="E391" s="8" t="inlineStr">
        <is>
          <t>DW68</t>
        </is>
      </c>
      <c r="F391" s="8" t="inlineStr">
        <is>
          <t>D267</t>
        </is>
      </c>
      <c r="G391" s="8">
        <f>IFERROR(VLOOKUP(A391,Flete!$A:$E,5,0),"")</f>
        <v/>
      </c>
      <c r="H391" s="7">
        <f>IFERROR(VLOOKUP(F391,TRAOPE!$AA:$AB,2,0),"")</f>
        <v/>
      </c>
      <c r="I391" s="7" t="n">
        <v>10000388</v>
      </c>
      <c r="J391" s="7">
        <f>IFERROR(VLOOKUP(I391,Materiales!$A:$H,8,0),"")</f>
        <v/>
      </c>
      <c r="K391" s="9">
        <f>IFERROR(VLOOKUP(I391,Materiales!$A:$G,7,0),"")</f>
        <v/>
      </c>
      <c r="L391" s="8" t="inlineStr">
        <is>
          <t>20220516</t>
        </is>
      </c>
      <c r="M391" s="8" t="inlineStr">
        <is>
          <t>20251031</t>
        </is>
      </c>
      <c r="N391" s="10" t="n">
        <v>93.19</v>
      </c>
      <c r="O391" s="10">
        <f>IFERROR(VLOOKUP(A391,Flete!$A:$J,10,0),"")</f>
        <v/>
      </c>
      <c r="P391" s="8" t="inlineStr">
        <is>
          <t>TN</t>
        </is>
      </c>
      <c r="Q391" s="10">
        <f>IFERROR(IFERROR(VLOOKUP(A391,TRAOPE!$A:$U,21,0),VLOOKUP(B391,TRAOPE!$A:$U,21,0)),"")</f>
        <v/>
      </c>
      <c r="R391" s="8">
        <f>IFERROR(IFERROR(VLOOKUP(A391,TRAOPE!$A:$W,23,0),VLOOKUP(B391,TRAOPE!$A:$W,23,0)),"")</f>
        <v/>
      </c>
      <c r="S391" s="10">
        <f>IF(AND(P391="TN",R391="TN"),N391+N(O391),IF(G391&amp;""="1",N(K391)*N391,(N391+N(O391))*N(K391)))</f>
        <v/>
      </c>
      <c r="T391" s="10">
        <f>IF(Q391="","",Q391-S391)</f>
        <v/>
      </c>
    </row>
    <row r="392">
      <c r="A392" s="7">
        <f>CONCATENATE(C392,E392,F392,I392)</f>
        <v/>
      </c>
      <c r="B392" s="7">
        <f>CONCATENATE(C392,E392,I392)</f>
        <v/>
      </c>
      <c r="C392" s="8" t="n">
        <v>900004995</v>
      </c>
      <c r="D392" s="7">
        <f>IFERROR(VLOOKUP(C392,TRAOPE!$G:$H,2,0),"")</f>
        <v/>
      </c>
      <c r="E392" s="8" t="inlineStr">
        <is>
          <t>DW68</t>
        </is>
      </c>
      <c r="F392" s="8" t="inlineStr">
        <is>
          <t>D042</t>
        </is>
      </c>
      <c r="G392" s="8">
        <f>IFERROR(VLOOKUP(A392,Flete!$A:$E,5,0),"")</f>
        <v/>
      </c>
      <c r="H392" s="7">
        <f>IFERROR(VLOOKUP(F392,TRAOPE!$AA:$AB,2,0),"")</f>
        <v/>
      </c>
      <c r="I392" s="7" t="n">
        <v>10018375</v>
      </c>
      <c r="J392" s="7">
        <f>IFERROR(VLOOKUP(I392,Materiales!$A:$H,8,0),"")</f>
        <v/>
      </c>
      <c r="K392" s="9">
        <f>IFERROR(VLOOKUP(I392,Materiales!$A:$G,7,0),"")</f>
        <v/>
      </c>
      <c r="L392" s="8" t="inlineStr">
        <is>
          <t>20260415</t>
        </is>
      </c>
      <c r="M392" s="8" t="inlineStr">
        <is>
          <t>99991231</t>
        </is>
      </c>
      <c r="N392" s="10" t="n">
        <v>85.68000000000001</v>
      </c>
      <c r="O392" s="10">
        <f>IFERROR(VLOOKUP(A392,Flete!$A:$J,10,0),"")</f>
        <v/>
      </c>
      <c r="P392" s="8" t="inlineStr">
        <is>
          <t>TN</t>
        </is>
      </c>
      <c r="Q392" s="10">
        <f>IFERROR(IFERROR(VLOOKUP(A392,TRAOPE!$A:$U,21,0),VLOOKUP(B392,TRAOPE!$A:$U,21,0)),"")</f>
        <v/>
      </c>
      <c r="R392" s="8">
        <f>IFERROR(IFERROR(VLOOKUP(A392,TRAOPE!$A:$W,23,0),VLOOKUP(B392,TRAOPE!$A:$W,23,0)),"")</f>
        <v/>
      </c>
      <c r="S392" s="10">
        <f>IF(AND(P392="TN",R392="TN"),N392+N(O392),IF(G392&amp;""="1",N(K392)*N392,(N392+N(O392))*N(K392)))</f>
        <v/>
      </c>
      <c r="T392" s="10">
        <f>IF(Q392="","",Q392-S392)</f>
        <v/>
      </c>
    </row>
    <row r="393">
      <c r="A393" s="7">
        <f>CONCATENATE(C393,E393,F393,I393)</f>
        <v/>
      </c>
      <c r="B393" s="7">
        <f>CONCATENATE(C393,E393,I393)</f>
        <v/>
      </c>
      <c r="C393" s="8" t="n">
        <v>900004995</v>
      </c>
      <c r="D393" s="7">
        <f>IFERROR(VLOOKUP(C393,TRAOPE!$G:$H,2,0),"")</f>
        <v/>
      </c>
      <c r="E393" s="8" t="inlineStr">
        <is>
          <t>DW68</t>
        </is>
      </c>
      <c r="F393" s="8" t="inlineStr">
        <is>
          <t>D209</t>
        </is>
      </c>
      <c r="G393" s="8">
        <f>IFERROR(VLOOKUP(A393,Flete!$A:$E,5,0),"")</f>
        <v/>
      </c>
      <c r="H393" s="7">
        <f>IFERROR(VLOOKUP(F393,TRAOPE!$AA:$AB,2,0),"")</f>
        <v/>
      </c>
      <c r="I393" s="7" t="n">
        <v>10000200</v>
      </c>
      <c r="J393" s="7">
        <f>IFERROR(VLOOKUP(I393,Materiales!$A:$H,8,0),"")</f>
        <v/>
      </c>
      <c r="K393" s="9">
        <f>IFERROR(VLOOKUP(I393,Materiales!$A:$G,7,0),"")</f>
        <v/>
      </c>
      <c r="L393" s="8" t="inlineStr">
        <is>
          <t>20230203</t>
        </is>
      </c>
      <c r="M393" s="8" t="inlineStr">
        <is>
          <t>20240201</t>
        </is>
      </c>
      <c r="N393" s="10" t="n">
        <v>70.76000000000001</v>
      </c>
      <c r="O393" s="10">
        <f>IFERROR(VLOOKUP(A393,Flete!$A:$J,10,0),"")</f>
        <v/>
      </c>
      <c r="P393" s="8" t="inlineStr">
        <is>
          <t>TN</t>
        </is>
      </c>
      <c r="Q393" s="10">
        <f>IFERROR(IFERROR(VLOOKUP(A393,TRAOPE!$A:$U,21,0),VLOOKUP(B393,TRAOPE!$A:$U,21,0)),"")</f>
        <v/>
      </c>
      <c r="R393" s="8">
        <f>IFERROR(IFERROR(VLOOKUP(A393,TRAOPE!$A:$W,23,0),VLOOKUP(B393,TRAOPE!$A:$W,23,0)),"")</f>
        <v/>
      </c>
      <c r="S393" s="10">
        <f>IF(AND(P393="TN",R393="TN"),N393+N(O393),IF(G393&amp;""="1",N(K393)*N393,(N393+N(O393))*N(K393)))</f>
        <v/>
      </c>
      <c r="T393" s="10">
        <f>IF(Q393="","",Q393-S393)</f>
        <v/>
      </c>
    </row>
    <row r="394">
      <c r="A394" s="7">
        <f>CONCATENATE(C394,E394,F394,I394)</f>
        <v/>
      </c>
      <c r="B394" s="7">
        <f>CONCATENATE(C394,E394,I394)</f>
        <v/>
      </c>
      <c r="C394" s="8" t="n">
        <v>900004995</v>
      </c>
      <c r="D394" s="7">
        <f>IFERROR(VLOOKUP(C394,TRAOPE!$G:$H,2,0),"")</f>
        <v/>
      </c>
      <c r="E394" s="8" t="inlineStr">
        <is>
          <t>DW68</t>
        </is>
      </c>
      <c r="F394" s="8" t="inlineStr">
        <is>
          <t>D209</t>
        </is>
      </c>
      <c r="G394" s="8">
        <f>IFERROR(VLOOKUP(A394,Flete!$A:$E,5,0),"")</f>
        <v/>
      </c>
      <c r="H394" s="7">
        <f>IFERROR(VLOOKUP(F394,TRAOPE!$AA:$AB,2,0),"")</f>
        <v/>
      </c>
      <c r="I394" s="7" t="n">
        <v>10018375</v>
      </c>
      <c r="J394" s="7">
        <f>IFERROR(VLOOKUP(I394,Materiales!$A:$H,8,0),"")</f>
        <v/>
      </c>
      <c r="K394" s="9">
        <f>IFERROR(VLOOKUP(I394,Materiales!$A:$G,7,0),"")</f>
        <v/>
      </c>
      <c r="L394" s="8" t="inlineStr">
        <is>
          <t>20260415</t>
        </is>
      </c>
      <c r="M394" s="8" t="inlineStr">
        <is>
          <t>99991231</t>
        </is>
      </c>
      <c r="N394" s="10" t="n">
        <v>85.68000000000001</v>
      </c>
      <c r="O394" s="10">
        <f>IFERROR(VLOOKUP(A394,Flete!$A:$J,10,0),"")</f>
        <v/>
      </c>
      <c r="P394" s="8" t="inlineStr">
        <is>
          <t>TN</t>
        </is>
      </c>
      <c r="Q394" s="10">
        <f>IFERROR(IFERROR(VLOOKUP(A394,TRAOPE!$A:$U,21,0),VLOOKUP(B394,TRAOPE!$A:$U,21,0)),"")</f>
        <v/>
      </c>
      <c r="R394" s="8">
        <f>IFERROR(IFERROR(VLOOKUP(A394,TRAOPE!$A:$W,23,0),VLOOKUP(B394,TRAOPE!$A:$W,23,0)),"")</f>
        <v/>
      </c>
      <c r="S394" s="10">
        <f>IF(AND(P394="TN",R394="TN"),N394+N(O394),IF(G394&amp;""="1",N(K394)*N394,(N394+N(O394))*N(K394)))</f>
        <v/>
      </c>
      <c r="T394" s="10">
        <f>IF(Q394="","",Q394-S394)</f>
        <v/>
      </c>
    </row>
    <row r="395">
      <c r="A395" s="7">
        <f>CONCATENATE(C395,E395,F395,I395)</f>
        <v/>
      </c>
      <c r="B395" s="7">
        <f>CONCATENATE(C395,E395,I395)</f>
        <v/>
      </c>
      <c r="C395" s="8" t="n">
        <v>900004995</v>
      </c>
      <c r="D395" s="7">
        <f>IFERROR(VLOOKUP(C395,TRAOPE!$G:$H,2,0),"")</f>
        <v/>
      </c>
      <c r="E395" s="8" t="inlineStr">
        <is>
          <t>DW68</t>
        </is>
      </c>
      <c r="F395" s="8" t="inlineStr">
        <is>
          <t>D211</t>
        </is>
      </c>
      <c r="G395" s="8">
        <f>IFERROR(VLOOKUP(A395,Flete!$A:$E,5,0),"")</f>
        <v/>
      </c>
      <c r="H395" s="7">
        <f>IFERROR(VLOOKUP(F395,TRAOPE!$AA:$AB,2,0),"")</f>
        <v/>
      </c>
      <c r="I395" s="7" t="n">
        <v>10000200</v>
      </c>
      <c r="J395" s="7">
        <f>IFERROR(VLOOKUP(I395,Materiales!$A:$H,8,0),"")</f>
        <v/>
      </c>
      <c r="K395" s="9">
        <f>IFERROR(VLOOKUP(I395,Materiales!$A:$G,7,0),"")</f>
        <v/>
      </c>
      <c r="L395" s="8" t="inlineStr">
        <is>
          <t>20230203</t>
        </is>
      </c>
      <c r="M395" s="8" t="inlineStr">
        <is>
          <t>20240201</t>
        </is>
      </c>
      <c r="N395" s="10" t="n">
        <v>69.48999999999999</v>
      </c>
      <c r="O395" s="10">
        <f>IFERROR(VLOOKUP(A395,Flete!$A:$J,10,0),"")</f>
        <v/>
      </c>
      <c r="P395" s="8" t="inlineStr">
        <is>
          <t>TN</t>
        </is>
      </c>
      <c r="Q395" s="10">
        <f>IFERROR(IFERROR(VLOOKUP(A395,TRAOPE!$A:$U,21,0),VLOOKUP(B395,TRAOPE!$A:$U,21,0)),"")</f>
        <v/>
      </c>
      <c r="R395" s="8">
        <f>IFERROR(IFERROR(VLOOKUP(A395,TRAOPE!$A:$W,23,0),VLOOKUP(B395,TRAOPE!$A:$W,23,0)),"")</f>
        <v/>
      </c>
      <c r="S395" s="10">
        <f>IF(AND(P395="TN",R395="TN"),N395+N(O395),IF(G395&amp;""="1",N(K395)*N395,(N395+N(O395))*N(K395)))</f>
        <v/>
      </c>
      <c r="T395" s="10">
        <f>IF(Q395="","",Q395-S395)</f>
        <v/>
      </c>
    </row>
    <row r="396">
      <c r="A396" s="7">
        <f>CONCATENATE(C396,E396,F396,I396)</f>
        <v/>
      </c>
      <c r="B396" s="7">
        <f>CONCATENATE(C396,E396,I396)</f>
        <v/>
      </c>
      <c r="C396" s="8" t="n">
        <v>900004995</v>
      </c>
      <c r="D396" s="7">
        <f>IFERROR(VLOOKUP(C396,TRAOPE!$G:$H,2,0),"")</f>
        <v/>
      </c>
      <c r="E396" s="8" t="inlineStr">
        <is>
          <t>DW68</t>
        </is>
      </c>
      <c r="F396" s="8" t="inlineStr">
        <is>
          <t>D211</t>
        </is>
      </c>
      <c r="G396" s="8">
        <f>IFERROR(VLOOKUP(A396,Flete!$A:$E,5,0),"")</f>
        <v/>
      </c>
      <c r="H396" s="7">
        <f>IFERROR(VLOOKUP(F396,TRAOPE!$AA:$AB,2,0),"")</f>
        <v/>
      </c>
      <c r="I396" s="7" t="n">
        <v>10018375</v>
      </c>
      <c r="J396" s="7">
        <f>IFERROR(VLOOKUP(I396,Materiales!$A:$H,8,0),"")</f>
        <v/>
      </c>
      <c r="K396" s="9">
        <f>IFERROR(VLOOKUP(I396,Materiales!$A:$G,7,0),"")</f>
        <v/>
      </c>
      <c r="L396" s="8" t="inlineStr">
        <is>
          <t>20260415</t>
        </is>
      </c>
      <c r="M396" s="8" t="inlineStr">
        <is>
          <t>99991231</t>
        </is>
      </c>
      <c r="N396" s="10" t="n">
        <v>85.68000000000001</v>
      </c>
      <c r="O396" s="10">
        <f>IFERROR(VLOOKUP(A396,Flete!$A:$J,10,0),"")</f>
        <v/>
      </c>
      <c r="P396" s="8" t="inlineStr">
        <is>
          <t>TN</t>
        </is>
      </c>
      <c r="Q396" s="10">
        <f>IFERROR(IFERROR(VLOOKUP(A396,TRAOPE!$A:$U,21,0),VLOOKUP(B396,TRAOPE!$A:$U,21,0)),"")</f>
        <v/>
      </c>
      <c r="R396" s="8">
        <f>IFERROR(IFERROR(VLOOKUP(A396,TRAOPE!$A:$W,23,0),VLOOKUP(B396,TRAOPE!$A:$W,23,0)),"")</f>
        <v/>
      </c>
      <c r="S396" s="10">
        <f>IF(AND(P396="TN",R396="TN"),N396+N(O396),IF(G396&amp;""="1",N(K396)*N396,(N396+N(O396))*N(K396)))</f>
        <v/>
      </c>
      <c r="T396" s="10">
        <f>IF(Q396="","",Q396-S396)</f>
        <v/>
      </c>
    </row>
    <row r="397">
      <c r="A397" s="7">
        <f>CONCATENATE(C397,E397,F397,I397)</f>
        <v/>
      </c>
      <c r="B397" s="7">
        <f>CONCATENATE(C397,E397,I397)</f>
        <v/>
      </c>
      <c r="C397" s="8" t="n">
        <v>900004995</v>
      </c>
      <c r="D397" s="7">
        <f>IFERROR(VLOOKUP(C397,TRAOPE!$G:$H,2,0),"")</f>
        <v/>
      </c>
      <c r="E397" s="8" t="inlineStr">
        <is>
          <t>DW68</t>
        </is>
      </c>
      <c r="F397" s="8" t="inlineStr">
        <is>
          <t>D213</t>
        </is>
      </c>
      <c r="G397" s="8">
        <f>IFERROR(VLOOKUP(A397,Flete!$A:$E,5,0),"")</f>
        <v/>
      </c>
      <c r="H397" s="7">
        <f>IFERROR(VLOOKUP(F397,TRAOPE!$AA:$AB,2,0),"")</f>
        <v/>
      </c>
      <c r="I397" s="7" t="n">
        <v>10018375</v>
      </c>
      <c r="J397" s="7">
        <f>IFERROR(VLOOKUP(I397,Materiales!$A:$H,8,0),"")</f>
        <v/>
      </c>
      <c r="K397" s="9">
        <f>IFERROR(VLOOKUP(I397,Materiales!$A:$G,7,0),"")</f>
        <v/>
      </c>
      <c r="L397" s="8" t="inlineStr">
        <is>
          <t>20260415</t>
        </is>
      </c>
      <c r="M397" s="8" t="inlineStr">
        <is>
          <t>99991231</t>
        </is>
      </c>
      <c r="N397" s="10" t="n">
        <v>85.68000000000001</v>
      </c>
      <c r="O397" s="10">
        <f>IFERROR(VLOOKUP(A397,Flete!$A:$J,10,0),"")</f>
        <v/>
      </c>
      <c r="P397" s="8" t="inlineStr">
        <is>
          <t>TN</t>
        </is>
      </c>
      <c r="Q397" s="10">
        <f>IFERROR(IFERROR(VLOOKUP(A397,TRAOPE!$A:$U,21,0),VLOOKUP(B397,TRAOPE!$A:$U,21,0)),"")</f>
        <v/>
      </c>
      <c r="R397" s="8">
        <f>IFERROR(IFERROR(VLOOKUP(A397,TRAOPE!$A:$W,23,0),VLOOKUP(B397,TRAOPE!$A:$W,23,0)),"")</f>
        <v/>
      </c>
      <c r="S397" s="10">
        <f>IF(AND(P397="TN",R397="TN"),N397+N(O397),IF(G397&amp;""="1",N(K397)*N397,(N397+N(O397))*N(K397)))</f>
        <v/>
      </c>
      <c r="T397" s="10">
        <f>IF(Q397="","",Q397-S397)</f>
        <v/>
      </c>
    </row>
    <row r="398">
      <c r="A398" s="7">
        <f>CONCATENATE(C398,E398,F398,I398)</f>
        <v/>
      </c>
      <c r="B398" s="7">
        <f>CONCATENATE(C398,E398,I398)</f>
        <v/>
      </c>
      <c r="C398" s="8" t="n">
        <v>900004995</v>
      </c>
      <c r="D398" s="7">
        <f>IFERROR(VLOOKUP(C398,TRAOPE!$G:$H,2,0),"")</f>
        <v/>
      </c>
      <c r="E398" s="8" t="inlineStr">
        <is>
          <t>DW68</t>
        </is>
      </c>
      <c r="F398" s="8" t="inlineStr">
        <is>
          <t>D214</t>
        </is>
      </c>
      <c r="G398" s="8">
        <f>IFERROR(VLOOKUP(A398,Flete!$A:$E,5,0),"")</f>
        <v/>
      </c>
      <c r="H398" s="7">
        <f>IFERROR(VLOOKUP(F398,TRAOPE!$AA:$AB,2,0),"")</f>
        <v/>
      </c>
      <c r="I398" s="7" t="n">
        <v>10018375</v>
      </c>
      <c r="J398" s="7">
        <f>IFERROR(VLOOKUP(I398,Materiales!$A:$H,8,0),"")</f>
        <v/>
      </c>
      <c r="K398" s="9">
        <f>IFERROR(VLOOKUP(I398,Materiales!$A:$G,7,0),"")</f>
        <v/>
      </c>
      <c r="L398" s="8" t="inlineStr">
        <is>
          <t>20260415</t>
        </is>
      </c>
      <c r="M398" s="8" t="inlineStr">
        <is>
          <t>99991231</t>
        </is>
      </c>
      <c r="N398" s="10" t="n">
        <v>85.68000000000001</v>
      </c>
      <c r="O398" s="10">
        <f>IFERROR(VLOOKUP(A398,Flete!$A:$J,10,0),"")</f>
        <v/>
      </c>
      <c r="P398" s="8" t="inlineStr">
        <is>
          <t>TN</t>
        </is>
      </c>
      <c r="Q398" s="10">
        <f>IFERROR(IFERROR(VLOOKUP(A398,TRAOPE!$A:$U,21,0),VLOOKUP(B398,TRAOPE!$A:$U,21,0)),"")</f>
        <v/>
      </c>
      <c r="R398" s="8">
        <f>IFERROR(IFERROR(VLOOKUP(A398,TRAOPE!$A:$W,23,0),VLOOKUP(B398,TRAOPE!$A:$W,23,0)),"")</f>
        <v/>
      </c>
      <c r="S398" s="10">
        <f>IF(AND(P398="TN",R398="TN"),N398+N(O398),IF(G398&amp;""="1",N(K398)*N398,(N398+N(O398))*N(K398)))</f>
        <v/>
      </c>
      <c r="T398" s="10">
        <f>IF(Q398="","",Q398-S398)</f>
        <v/>
      </c>
    </row>
    <row r="399">
      <c r="A399" s="7">
        <f>CONCATENATE(C399,E399,F399,I399)</f>
        <v/>
      </c>
      <c r="B399" s="7">
        <f>CONCATENATE(C399,E399,I399)</f>
        <v/>
      </c>
      <c r="C399" s="8" t="n">
        <v>900004995</v>
      </c>
      <c r="D399" s="7">
        <f>IFERROR(VLOOKUP(C399,TRAOPE!$G:$H,2,0),"")</f>
        <v/>
      </c>
      <c r="E399" s="8" t="inlineStr">
        <is>
          <t>DW68</t>
        </is>
      </c>
      <c r="F399" s="8" t="inlineStr">
        <is>
          <t>D220</t>
        </is>
      </c>
      <c r="G399" s="8">
        <f>IFERROR(VLOOKUP(A399,Flete!$A:$E,5,0),"")</f>
        <v/>
      </c>
      <c r="H399" s="7">
        <f>IFERROR(VLOOKUP(F399,TRAOPE!$AA:$AB,2,0),"")</f>
        <v/>
      </c>
      <c r="I399" s="7" t="n">
        <v>10018375</v>
      </c>
      <c r="J399" s="7">
        <f>IFERROR(VLOOKUP(I399,Materiales!$A:$H,8,0),"")</f>
        <v/>
      </c>
      <c r="K399" s="9">
        <f>IFERROR(VLOOKUP(I399,Materiales!$A:$G,7,0),"")</f>
        <v/>
      </c>
      <c r="L399" s="8" t="inlineStr">
        <is>
          <t>20260415</t>
        </is>
      </c>
      <c r="M399" s="8" t="inlineStr">
        <is>
          <t>99991231</t>
        </is>
      </c>
      <c r="N399" s="10" t="n">
        <v>85.68000000000001</v>
      </c>
      <c r="O399" s="10">
        <f>IFERROR(VLOOKUP(A399,Flete!$A:$J,10,0),"")</f>
        <v/>
      </c>
      <c r="P399" s="8" t="inlineStr">
        <is>
          <t>TN</t>
        </is>
      </c>
      <c r="Q399" s="10">
        <f>IFERROR(IFERROR(VLOOKUP(A399,TRAOPE!$A:$U,21,0),VLOOKUP(B399,TRAOPE!$A:$U,21,0)),"")</f>
        <v/>
      </c>
      <c r="R399" s="8">
        <f>IFERROR(IFERROR(VLOOKUP(A399,TRAOPE!$A:$W,23,0),VLOOKUP(B399,TRAOPE!$A:$W,23,0)),"")</f>
        <v/>
      </c>
      <c r="S399" s="10">
        <f>IF(AND(P399="TN",R399="TN"),N399+N(O399),IF(G399&amp;""="1",N(K399)*N399,(N399+N(O399))*N(K399)))</f>
        <v/>
      </c>
      <c r="T399" s="10">
        <f>IF(Q399="","",Q399-S399)</f>
        <v/>
      </c>
    </row>
    <row r="400">
      <c r="A400" s="7">
        <f>CONCATENATE(C400,E400,F400,I400)</f>
        <v/>
      </c>
      <c r="B400" s="7">
        <f>CONCATENATE(C400,E400,I400)</f>
        <v/>
      </c>
      <c r="C400" s="8" t="n">
        <v>900004995</v>
      </c>
      <c r="D400" s="7">
        <f>IFERROR(VLOOKUP(C400,TRAOPE!$G:$H,2,0),"")</f>
        <v/>
      </c>
      <c r="E400" s="8" t="inlineStr">
        <is>
          <t>DW68</t>
        </is>
      </c>
      <c r="F400" s="8" t="inlineStr">
        <is>
          <t>D227</t>
        </is>
      </c>
      <c r="G400" s="8">
        <f>IFERROR(VLOOKUP(A400,Flete!$A:$E,5,0),"")</f>
        <v/>
      </c>
      <c r="H400" s="7">
        <f>IFERROR(VLOOKUP(F400,TRAOPE!$AA:$AB,2,0),"")</f>
        <v/>
      </c>
      <c r="I400" s="7" t="n">
        <v>10018375</v>
      </c>
      <c r="J400" s="7">
        <f>IFERROR(VLOOKUP(I400,Materiales!$A:$H,8,0),"")</f>
        <v/>
      </c>
      <c r="K400" s="9">
        <f>IFERROR(VLOOKUP(I400,Materiales!$A:$G,7,0),"")</f>
        <v/>
      </c>
      <c r="L400" s="8" t="inlineStr">
        <is>
          <t>20250414</t>
        </is>
      </c>
      <c r="M400" s="8" t="inlineStr">
        <is>
          <t>99991231</t>
        </is>
      </c>
      <c r="N400" s="10" t="n">
        <v>71.94</v>
      </c>
      <c r="O400" s="10">
        <f>IFERROR(VLOOKUP(A400,Flete!$A:$J,10,0),"")</f>
        <v/>
      </c>
      <c r="P400" s="8" t="inlineStr">
        <is>
          <t>TN</t>
        </is>
      </c>
      <c r="Q400" s="10">
        <f>IFERROR(IFERROR(VLOOKUP(A400,TRAOPE!$A:$U,21,0),VLOOKUP(B400,TRAOPE!$A:$U,21,0)),"")</f>
        <v/>
      </c>
      <c r="R400" s="8">
        <f>IFERROR(IFERROR(VLOOKUP(A400,TRAOPE!$A:$W,23,0),VLOOKUP(B400,TRAOPE!$A:$W,23,0)),"")</f>
        <v/>
      </c>
      <c r="S400" s="10">
        <f>IF(AND(P400="TN",R400="TN"),N400+N(O400),IF(G400&amp;""="1",N(K400)*N400,(N400+N(O400))*N(K400)))</f>
        <v/>
      </c>
      <c r="T400" s="10">
        <f>IF(Q400="","",Q400-S400)</f>
        <v/>
      </c>
    </row>
    <row r="401">
      <c r="A401" s="7">
        <f>CONCATENATE(C401,E401,F401,I401)</f>
        <v/>
      </c>
      <c r="B401" s="7">
        <f>CONCATENATE(C401,E401,I401)</f>
        <v/>
      </c>
      <c r="C401" s="8" t="n">
        <v>900004995</v>
      </c>
      <c r="D401" s="7">
        <f>IFERROR(VLOOKUP(C401,TRAOPE!$G:$H,2,0),"")</f>
        <v/>
      </c>
      <c r="E401" s="8" t="inlineStr">
        <is>
          <t>DW68</t>
        </is>
      </c>
      <c r="F401" s="8" t="inlineStr">
        <is>
          <t>D228</t>
        </is>
      </c>
      <c r="G401" s="8">
        <f>IFERROR(VLOOKUP(A401,Flete!$A:$E,5,0),"")</f>
        <v/>
      </c>
      <c r="H401" s="7">
        <f>IFERROR(VLOOKUP(F401,TRAOPE!$AA:$AB,2,0),"")</f>
        <v/>
      </c>
      <c r="I401" s="7" t="n">
        <v>10018375</v>
      </c>
      <c r="J401" s="7">
        <f>IFERROR(VLOOKUP(I401,Materiales!$A:$H,8,0),"")</f>
        <v/>
      </c>
      <c r="K401" s="9">
        <f>IFERROR(VLOOKUP(I401,Materiales!$A:$G,7,0),"")</f>
        <v/>
      </c>
      <c r="L401" s="8" t="inlineStr">
        <is>
          <t>20260415</t>
        </is>
      </c>
      <c r="M401" s="8" t="inlineStr">
        <is>
          <t>99991231</t>
        </is>
      </c>
      <c r="N401" s="10" t="n">
        <v>85.68000000000001</v>
      </c>
      <c r="O401" s="10">
        <f>IFERROR(VLOOKUP(A401,Flete!$A:$J,10,0),"")</f>
        <v/>
      </c>
      <c r="P401" s="8" t="inlineStr">
        <is>
          <t>TN</t>
        </is>
      </c>
      <c r="Q401" s="10">
        <f>IFERROR(IFERROR(VLOOKUP(A401,TRAOPE!$A:$U,21,0),VLOOKUP(B401,TRAOPE!$A:$U,21,0)),"")</f>
        <v/>
      </c>
      <c r="R401" s="8">
        <f>IFERROR(IFERROR(VLOOKUP(A401,TRAOPE!$A:$W,23,0),VLOOKUP(B401,TRAOPE!$A:$W,23,0)),"")</f>
        <v/>
      </c>
      <c r="S401" s="10">
        <f>IF(AND(P401="TN",R401="TN"),N401+N(O401),IF(G401&amp;""="1",N(K401)*N401,(N401+N(O401))*N(K401)))</f>
        <v/>
      </c>
      <c r="T401" s="10">
        <f>IF(Q401="","",Q401-S401)</f>
        <v/>
      </c>
    </row>
    <row r="402">
      <c r="A402" s="7">
        <f>CONCATENATE(C402,E402,F402,I402)</f>
        <v/>
      </c>
      <c r="B402" s="7">
        <f>CONCATENATE(C402,E402,I402)</f>
        <v/>
      </c>
      <c r="C402" s="8" t="n">
        <v>900004995</v>
      </c>
      <c r="D402" s="7">
        <f>IFERROR(VLOOKUP(C402,TRAOPE!$G:$H,2,0),"")</f>
        <v/>
      </c>
      <c r="E402" s="8" t="inlineStr">
        <is>
          <t>DW68</t>
        </is>
      </c>
      <c r="F402" s="8" t="inlineStr">
        <is>
          <t>D242</t>
        </is>
      </c>
      <c r="G402" s="8">
        <f>IFERROR(VLOOKUP(A402,Flete!$A:$E,5,0),"")</f>
        <v/>
      </c>
      <c r="H402" s="7">
        <f>IFERROR(VLOOKUP(F402,TRAOPE!$AA:$AB,2,0),"")</f>
        <v/>
      </c>
      <c r="I402" s="7" t="n">
        <v>10000200</v>
      </c>
      <c r="J402" s="7">
        <f>IFERROR(VLOOKUP(I402,Materiales!$A:$H,8,0),"")</f>
        <v/>
      </c>
      <c r="K402" s="9">
        <f>IFERROR(VLOOKUP(I402,Materiales!$A:$G,7,0),"")</f>
        <v/>
      </c>
      <c r="L402" s="8" t="inlineStr">
        <is>
          <t>20230203</t>
        </is>
      </c>
      <c r="M402" s="8" t="inlineStr">
        <is>
          <t>20240201</t>
        </is>
      </c>
      <c r="N402" s="10" t="n">
        <v>70.76000000000001</v>
      </c>
      <c r="O402" s="10">
        <f>IFERROR(VLOOKUP(A402,Flete!$A:$J,10,0),"")</f>
        <v/>
      </c>
      <c r="P402" s="8" t="inlineStr">
        <is>
          <t>TN</t>
        </is>
      </c>
      <c r="Q402" s="10">
        <f>IFERROR(IFERROR(VLOOKUP(A402,TRAOPE!$A:$U,21,0),VLOOKUP(B402,TRAOPE!$A:$U,21,0)),"")</f>
        <v/>
      </c>
      <c r="R402" s="8">
        <f>IFERROR(IFERROR(VLOOKUP(A402,TRAOPE!$A:$W,23,0),VLOOKUP(B402,TRAOPE!$A:$W,23,0)),"")</f>
        <v/>
      </c>
      <c r="S402" s="10">
        <f>IF(AND(P402="TN",R402="TN"),N402+N(O402),IF(G402&amp;""="1",N(K402)*N402,(N402+N(O402))*N(K402)))</f>
        <v/>
      </c>
      <c r="T402" s="10">
        <f>IF(Q402="","",Q402-S402)</f>
        <v/>
      </c>
    </row>
    <row r="403">
      <c r="A403" s="7">
        <f>CONCATENATE(C403,E403,F403,I403)</f>
        <v/>
      </c>
      <c r="B403" s="7">
        <f>CONCATENATE(C403,E403,I403)</f>
        <v/>
      </c>
      <c r="C403" s="8" t="n">
        <v>900004995</v>
      </c>
      <c r="D403" s="7">
        <f>IFERROR(VLOOKUP(C403,TRAOPE!$G:$H,2,0),"")</f>
        <v/>
      </c>
      <c r="E403" s="8" t="inlineStr">
        <is>
          <t>DW68</t>
        </is>
      </c>
      <c r="F403" s="8" t="inlineStr">
        <is>
          <t>D242</t>
        </is>
      </c>
      <c r="G403" s="8">
        <f>IFERROR(VLOOKUP(A403,Flete!$A:$E,5,0),"")</f>
        <v/>
      </c>
      <c r="H403" s="7">
        <f>IFERROR(VLOOKUP(F403,TRAOPE!$AA:$AB,2,0),"")</f>
        <v/>
      </c>
      <c r="I403" s="7" t="n">
        <v>10018375</v>
      </c>
      <c r="J403" s="7">
        <f>IFERROR(VLOOKUP(I403,Materiales!$A:$H,8,0),"")</f>
        <v/>
      </c>
      <c r="K403" s="9">
        <f>IFERROR(VLOOKUP(I403,Materiales!$A:$G,7,0),"")</f>
        <v/>
      </c>
      <c r="L403" s="8" t="inlineStr">
        <is>
          <t>20260415</t>
        </is>
      </c>
      <c r="M403" s="8" t="inlineStr">
        <is>
          <t>99991231</t>
        </is>
      </c>
      <c r="N403" s="10" t="n">
        <v>85.68000000000001</v>
      </c>
      <c r="O403" s="10">
        <f>IFERROR(VLOOKUP(A403,Flete!$A:$J,10,0),"")</f>
        <v/>
      </c>
      <c r="P403" s="8" t="inlineStr">
        <is>
          <t>TN</t>
        </is>
      </c>
      <c r="Q403" s="10">
        <f>IFERROR(IFERROR(VLOOKUP(A403,TRAOPE!$A:$U,21,0),VLOOKUP(B403,TRAOPE!$A:$U,21,0)),"")</f>
        <v/>
      </c>
      <c r="R403" s="8">
        <f>IFERROR(IFERROR(VLOOKUP(A403,TRAOPE!$A:$W,23,0),VLOOKUP(B403,TRAOPE!$A:$W,23,0)),"")</f>
        <v/>
      </c>
      <c r="S403" s="10">
        <f>IF(AND(P403="TN",R403="TN"),N403+N(O403),IF(G403&amp;""="1",N(K403)*N403,(N403+N(O403))*N(K403)))</f>
        <v/>
      </c>
      <c r="T403" s="10">
        <f>IF(Q403="","",Q403-S403)</f>
        <v/>
      </c>
    </row>
    <row r="404">
      <c r="A404" s="7">
        <f>CONCATENATE(C404,E404,F404,I404)</f>
        <v/>
      </c>
      <c r="B404" s="7">
        <f>CONCATENATE(C404,E404,I404)</f>
        <v/>
      </c>
      <c r="C404" s="8" t="n">
        <v>900004995</v>
      </c>
      <c r="D404" s="7">
        <f>IFERROR(VLOOKUP(C404,TRAOPE!$G:$H,2,0),"")</f>
        <v/>
      </c>
      <c r="E404" s="8" t="inlineStr">
        <is>
          <t>DW68</t>
        </is>
      </c>
      <c r="F404" s="8" t="inlineStr">
        <is>
          <t>D247</t>
        </is>
      </c>
      <c r="G404" s="8">
        <f>IFERROR(VLOOKUP(A404,Flete!$A:$E,5,0),"")</f>
        <v/>
      </c>
      <c r="H404" s="7">
        <f>IFERROR(VLOOKUP(F404,TRAOPE!$AA:$AB,2,0),"")</f>
        <v/>
      </c>
      <c r="I404" s="7" t="n">
        <v>10018375</v>
      </c>
      <c r="J404" s="7">
        <f>IFERROR(VLOOKUP(I404,Materiales!$A:$H,8,0),"")</f>
        <v/>
      </c>
      <c r="K404" s="9">
        <f>IFERROR(VLOOKUP(I404,Materiales!$A:$G,7,0),"")</f>
        <v/>
      </c>
      <c r="L404" s="8" t="inlineStr">
        <is>
          <t>20260415</t>
        </is>
      </c>
      <c r="M404" s="8" t="inlineStr">
        <is>
          <t>99991231</t>
        </is>
      </c>
      <c r="N404" s="10" t="n">
        <v>85.68000000000001</v>
      </c>
      <c r="O404" s="10">
        <f>IFERROR(VLOOKUP(A404,Flete!$A:$J,10,0),"")</f>
        <v/>
      </c>
      <c r="P404" s="8" t="inlineStr">
        <is>
          <t>TN</t>
        </is>
      </c>
      <c r="Q404" s="10">
        <f>IFERROR(IFERROR(VLOOKUP(A404,TRAOPE!$A:$U,21,0),VLOOKUP(B404,TRAOPE!$A:$U,21,0)),"")</f>
        <v/>
      </c>
      <c r="R404" s="8">
        <f>IFERROR(IFERROR(VLOOKUP(A404,TRAOPE!$A:$W,23,0),VLOOKUP(B404,TRAOPE!$A:$W,23,0)),"")</f>
        <v/>
      </c>
      <c r="S404" s="10">
        <f>IF(AND(P404="TN",R404="TN"),N404+N(O404),IF(G404&amp;""="1",N(K404)*N404,(N404+N(O404))*N(K404)))</f>
        <v/>
      </c>
      <c r="T404" s="10">
        <f>IF(Q404="","",Q404-S404)</f>
        <v/>
      </c>
    </row>
    <row r="405">
      <c r="A405" s="7">
        <f>CONCATENATE(C405,E405,F405,I405)</f>
        <v/>
      </c>
      <c r="B405" s="7">
        <f>CONCATENATE(C405,E405,I405)</f>
        <v/>
      </c>
      <c r="C405" s="8" t="n">
        <v>900004995</v>
      </c>
      <c r="D405" s="7">
        <f>IFERROR(VLOOKUP(C405,TRAOPE!$G:$H,2,0),"")</f>
        <v/>
      </c>
      <c r="E405" s="8" t="inlineStr">
        <is>
          <t>DW68</t>
        </is>
      </c>
      <c r="F405" s="8" t="inlineStr">
        <is>
          <t>D251</t>
        </is>
      </c>
      <c r="G405" s="8">
        <f>IFERROR(VLOOKUP(A405,Flete!$A:$E,5,0),"")</f>
        <v/>
      </c>
      <c r="H405" s="7">
        <f>IFERROR(VLOOKUP(F405,TRAOPE!$AA:$AB,2,0),"")</f>
        <v/>
      </c>
      <c r="I405" s="7" t="n">
        <v>10018375</v>
      </c>
      <c r="J405" s="7">
        <f>IFERROR(VLOOKUP(I405,Materiales!$A:$H,8,0),"")</f>
        <v/>
      </c>
      <c r="K405" s="9">
        <f>IFERROR(VLOOKUP(I405,Materiales!$A:$G,7,0),"")</f>
        <v/>
      </c>
      <c r="L405" s="8" t="inlineStr">
        <is>
          <t>20260415</t>
        </is>
      </c>
      <c r="M405" s="8" t="inlineStr">
        <is>
          <t>99991231</t>
        </is>
      </c>
      <c r="N405" s="10" t="n">
        <v>85.68000000000001</v>
      </c>
      <c r="O405" s="10">
        <f>IFERROR(VLOOKUP(A405,Flete!$A:$J,10,0),"")</f>
        <v/>
      </c>
      <c r="P405" s="8" t="inlineStr">
        <is>
          <t>TN</t>
        </is>
      </c>
      <c r="Q405" s="10">
        <f>IFERROR(IFERROR(VLOOKUP(A405,TRAOPE!$A:$U,21,0),VLOOKUP(B405,TRAOPE!$A:$U,21,0)),"")</f>
        <v/>
      </c>
      <c r="R405" s="8">
        <f>IFERROR(IFERROR(VLOOKUP(A405,TRAOPE!$A:$W,23,0),VLOOKUP(B405,TRAOPE!$A:$W,23,0)),"")</f>
        <v/>
      </c>
      <c r="S405" s="10">
        <f>IF(AND(P405="TN",R405="TN"),N405+N(O405),IF(G405&amp;""="1",N(K405)*N405,(N405+N(O405))*N(K405)))</f>
        <v/>
      </c>
      <c r="T405" s="10">
        <f>IF(Q405="","",Q405-S405)</f>
        <v/>
      </c>
    </row>
    <row r="406">
      <c r="A406" s="7">
        <f>CONCATENATE(C406,E406,F406,I406)</f>
        <v/>
      </c>
      <c r="B406" s="7">
        <f>CONCATENATE(C406,E406,I406)</f>
        <v/>
      </c>
      <c r="C406" s="8" t="n">
        <v>900004995</v>
      </c>
      <c r="D406" s="7">
        <f>IFERROR(VLOOKUP(C406,TRAOPE!$G:$H,2,0),"")</f>
        <v/>
      </c>
      <c r="E406" s="8" t="inlineStr">
        <is>
          <t>DW68</t>
        </is>
      </c>
      <c r="F406" s="8" t="inlineStr">
        <is>
          <t>D264</t>
        </is>
      </c>
      <c r="G406" s="8">
        <f>IFERROR(VLOOKUP(A406,Flete!$A:$E,5,0),"")</f>
        <v/>
      </c>
      <c r="H406" s="7">
        <f>IFERROR(VLOOKUP(F406,TRAOPE!$AA:$AB,2,0),"")</f>
        <v/>
      </c>
      <c r="I406" s="7" t="n">
        <v>10000200</v>
      </c>
      <c r="J406" s="7">
        <f>IFERROR(VLOOKUP(I406,Materiales!$A:$H,8,0),"")</f>
        <v/>
      </c>
      <c r="K406" s="9">
        <f>IFERROR(VLOOKUP(I406,Materiales!$A:$G,7,0),"")</f>
        <v/>
      </c>
      <c r="L406" s="8" t="inlineStr">
        <is>
          <t>20230203</t>
        </is>
      </c>
      <c r="M406" s="8" t="inlineStr">
        <is>
          <t>20240201</t>
        </is>
      </c>
      <c r="N406" s="10" t="n">
        <v>69.92</v>
      </c>
      <c r="O406" s="10">
        <f>IFERROR(VLOOKUP(A406,Flete!$A:$J,10,0),"")</f>
        <v/>
      </c>
      <c r="P406" s="8" t="inlineStr">
        <is>
          <t>TN</t>
        </is>
      </c>
      <c r="Q406" s="10">
        <f>IFERROR(IFERROR(VLOOKUP(A406,TRAOPE!$A:$U,21,0),VLOOKUP(B406,TRAOPE!$A:$U,21,0)),"")</f>
        <v/>
      </c>
      <c r="R406" s="8">
        <f>IFERROR(IFERROR(VLOOKUP(A406,TRAOPE!$A:$W,23,0),VLOOKUP(B406,TRAOPE!$A:$W,23,0)),"")</f>
        <v/>
      </c>
      <c r="S406" s="10">
        <f>IF(AND(P406="TN",R406="TN"),N406+N(O406),IF(G406&amp;""="1",N(K406)*N406,(N406+N(O406))*N(K406)))</f>
        <v/>
      </c>
      <c r="T406" s="10">
        <f>IF(Q406="","",Q406-S406)</f>
        <v/>
      </c>
    </row>
    <row r="407">
      <c r="A407" s="7">
        <f>CONCATENATE(C407,E407,F407,I407)</f>
        <v/>
      </c>
      <c r="B407" s="7">
        <f>CONCATENATE(C407,E407,I407)</f>
        <v/>
      </c>
      <c r="C407" s="8" t="n">
        <v>900004995</v>
      </c>
      <c r="D407" s="7">
        <f>IFERROR(VLOOKUP(C407,TRAOPE!$G:$H,2,0),"")</f>
        <v/>
      </c>
      <c r="E407" s="8" t="inlineStr">
        <is>
          <t>DW68</t>
        </is>
      </c>
      <c r="F407" s="8" t="inlineStr">
        <is>
          <t>D264</t>
        </is>
      </c>
      <c r="G407" s="8">
        <f>IFERROR(VLOOKUP(A407,Flete!$A:$E,5,0),"")</f>
        <v/>
      </c>
      <c r="H407" s="7">
        <f>IFERROR(VLOOKUP(F407,TRAOPE!$AA:$AB,2,0),"")</f>
        <v/>
      </c>
      <c r="I407" s="7" t="n">
        <v>10018375</v>
      </c>
      <c r="J407" s="7">
        <f>IFERROR(VLOOKUP(I407,Materiales!$A:$H,8,0),"")</f>
        <v/>
      </c>
      <c r="K407" s="9">
        <f>IFERROR(VLOOKUP(I407,Materiales!$A:$G,7,0),"")</f>
        <v/>
      </c>
      <c r="L407" s="8" t="inlineStr">
        <is>
          <t>20260415</t>
        </is>
      </c>
      <c r="M407" s="8" t="inlineStr">
        <is>
          <t>99991231</t>
        </is>
      </c>
      <c r="N407" s="10" t="n">
        <v>85.68000000000001</v>
      </c>
      <c r="O407" s="10">
        <f>IFERROR(VLOOKUP(A407,Flete!$A:$J,10,0),"")</f>
        <v/>
      </c>
      <c r="P407" s="8" t="inlineStr">
        <is>
          <t>TN</t>
        </is>
      </c>
      <c r="Q407" s="10">
        <f>IFERROR(IFERROR(VLOOKUP(A407,TRAOPE!$A:$U,21,0),VLOOKUP(B407,TRAOPE!$A:$U,21,0)),"")</f>
        <v/>
      </c>
      <c r="R407" s="8">
        <f>IFERROR(IFERROR(VLOOKUP(A407,TRAOPE!$A:$W,23,0),VLOOKUP(B407,TRAOPE!$A:$W,23,0)),"")</f>
        <v/>
      </c>
      <c r="S407" s="10">
        <f>IF(AND(P407="TN",R407="TN"),N407+N(O407),IF(G407&amp;""="1",N(K407)*N407,(N407+N(O407))*N(K407)))</f>
        <v/>
      </c>
      <c r="T407" s="10">
        <f>IF(Q407="","",Q407-S407)</f>
        <v/>
      </c>
    </row>
    <row r="408">
      <c r="A408" s="7">
        <f>CONCATENATE(C408,E408,F408,I408)</f>
        <v/>
      </c>
      <c r="B408" s="7">
        <f>CONCATENATE(C408,E408,I408)</f>
        <v/>
      </c>
      <c r="C408" s="8" t="n">
        <v>900004995</v>
      </c>
      <c r="D408" s="7">
        <f>IFERROR(VLOOKUP(C408,TRAOPE!$G:$H,2,0),"")</f>
        <v/>
      </c>
      <c r="E408" s="8" t="inlineStr">
        <is>
          <t>DW68</t>
        </is>
      </c>
      <c r="F408" s="8" t="inlineStr">
        <is>
          <t>D267</t>
        </is>
      </c>
      <c r="G408" s="8">
        <f>IFERROR(VLOOKUP(A408,Flete!$A:$E,5,0),"")</f>
        <v/>
      </c>
      <c r="H408" s="7">
        <f>IFERROR(VLOOKUP(F408,TRAOPE!$AA:$AB,2,0),"")</f>
        <v/>
      </c>
      <c r="I408" s="7" t="n">
        <v>10018375</v>
      </c>
      <c r="J408" s="7">
        <f>IFERROR(VLOOKUP(I408,Materiales!$A:$H,8,0),"")</f>
        <v/>
      </c>
      <c r="K408" s="9">
        <f>IFERROR(VLOOKUP(I408,Materiales!$A:$G,7,0),"")</f>
        <v/>
      </c>
      <c r="L408" s="8" t="inlineStr">
        <is>
          <t>20260415</t>
        </is>
      </c>
      <c r="M408" s="8" t="inlineStr">
        <is>
          <t>99991231</t>
        </is>
      </c>
      <c r="N408" s="10" t="n">
        <v>85.68000000000001</v>
      </c>
      <c r="O408" s="10">
        <f>IFERROR(VLOOKUP(A408,Flete!$A:$J,10,0),"")</f>
        <v/>
      </c>
      <c r="P408" s="8" t="inlineStr">
        <is>
          <t>TN</t>
        </is>
      </c>
      <c r="Q408" s="10">
        <f>IFERROR(IFERROR(VLOOKUP(A408,TRAOPE!$A:$U,21,0),VLOOKUP(B408,TRAOPE!$A:$U,21,0)),"")</f>
        <v/>
      </c>
      <c r="R408" s="8">
        <f>IFERROR(IFERROR(VLOOKUP(A408,TRAOPE!$A:$W,23,0),VLOOKUP(B408,TRAOPE!$A:$W,23,0)),"")</f>
        <v/>
      </c>
      <c r="S408" s="10">
        <f>IF(AND(P408="TN",R408="TN"),N408+N(O408),IF(G408&amp;""="1",N(K408)*N408,(N408+N(O408))*N(K408)))</f>
        <v/>
      </c>
      <c r="T408" s="10">
        <f>IF(Q408="","",Q408-S408)</f>
        <v/>
      </c>
    </row>
    <row r="409">
      <c r="A409" s="7">
        <f>CONCATENATE(C409,E409,F409,I409)</f>
        <v/>
      </c>
      <c r="B409" s="7">
        <f>CONCATENATE(C409,E409,I409)</f>
        <v/>
      </c>
      <c r="C409" s="8" t="n">
        <v>900004995</v>
      </c>
      <c r="D409" s="7">
        <f>IFERROR(VLOOKUP(C409,TRAOPE!$G:$H,2,0),"")</f>
        <v/>
      </c>
      <c r="E409" s="8" t="inlineStr">
        <is>
          <t>DW68</t>
        </is>
      </c>
      <c r="F409" s="8" t="inlineStr">
        <is>
          <t>D268</t>
        </is>
      </c>
      <c r="G409" s="8">
        <f>IFERROR(VLOOKUP(A409,Flete!$A:$E,5,0),"")</f>
        <v/>
      </c>
      <c r="H409" s="7">
        <f>IFERROR(VLOOKUP(F409,TRAOPE!$AA:$AB,2,0),"")</f>
        <v/>
      </c>
      <c r="I409" s="7" t="n">
        <v>10018375</v>
      </c>
      <c r="J409" s="7">
        <f>IFERROR(VLOOKUP(I409,Materiales!$A:$H,8,0),"")</f>
        <v/>
      </c>
      <c r="K409" s="9">
        <f>IFERROR(VLOOKUP(I409,Materiales!$A:$G,7,0),"")</f>
        <v/>
      </c>
      <c r="L409" s="8" t="inlineStr">
        <is>
          <t>20260415</t>
        </is>
      </c>
      <c r="M409" s="8" t="inlineStr">
        <is>
          <t>99991231</t>
        </is>
      </c>
      <c r="N409" s="10" t="n">
        <v>85.68000000000001</v>
      </c>
      <c r="O409" s="10">
        <f>IFERROR(VLOOKUP(A409,Flete!$A:$J,10,0),"")</f>
        <v/>
      </c>
      <c r="P409" s="8" t="inlineStr">
        <is>
          <t>TN</t>
        </is>
      </c>
      <c r="Q409" s="10">
        <f>IFERROR(IFERROR(VLOOKUP(A409,TRAOPE!$A:$U,21,0),VLOOKUP(B409,TRAOPE!$A:$U,21,0)),"")</f>
        <v/>
      </c>
      <c r="R409" s="8">
        <f>IFERROR(IFERROR(VLOOKUP(A409,TRAOPE!$A:$W,23,0),VLOOKUP(B409,TRAOPE!$A:$W,23,0)),"")</f>
        <v/>
      </c>
      <c r="S409" s="10">
        <f>IF(AND(P409="TN",R409="TN"),N409+N(O409),IF(G409&amp;""="1",N(K409)*N409,(N409+N(O409))*N(K409)))</f>
        <v/>
      </c>
      <c r="T409" s="10">
        <f>IF(Q409="","",Q409-S409)</f>
        <v/>
      </c>
    </row>
    <row r="410">
      <c r="A410" s="7">
        <f>CONCATENATE(C410,E410,F410,I410)</f>
        <v/>
      </c>
      <c r="B410" s="7">
        <f>CONCATENATE(C410,E410,I410)</f>
        <v/>
      </c>
      <c r="C410" s="8" t="n">
        <v>900004995</v>
      </c>
      <c r="D410" s="7">
        <f>IFERROR(VLOOKUP(C410,TRAOPE!$G:$H,2,0),"")</f>
        <v/>
      </c>
      <c r="E410" s="8" t="inlineStr">
        <is>
          <t>DW68</t>
        </is>
      </c>
      <c r="F410" s="8" t="inlineStr">
        <is>
          <t>D365</t>
        </is>
      </c>
      <c r="G410" s="8">
        <f>IFERROR(VLOOKUP(A410,Flete!$A:$E,5,0),"")</f>
        <v/>
      </c>
      <c r="H410" s="7">
        <f>IFERROR(VLOOKUP(F410,TRAOPE!$AA:$AB,2,0),"")</f>
        <v/>
      </c>
      <c r="I410" s="7" t="n">
        <v>10000200</v>
      </c>
      <c r="J410" s="7">
        <f>IFERROR(VLOOKUP(I410,Materiales!$A:$H,8,0),"")</f>
        <v/>
      </c>
      <c r="K410" s="9">
        <f>IFERROR(VLOOKUP(I410,Materiales!$A:$G,7,0),"")</f>
        <v/>
      </c>
      <c r="L410" s="8" t="inlineStr">
        <is>
          <t>20230203</t>
        </is>
      </c>
      <c r="M410" s="8" t="inlineStr">
        <is>
          <t>20240201</t>
        </is>
      </c>
      <c r="N410" s="10" t="n">
        <v>60.53</v>
      </c>
      <c r="O410" s="10">
        <f>IFERROR(VLOOKUP(A410,Flete!$A:$J,10,0),"")</f>
        <v/>
      </c>
      <c r="P410" s="8" t="inlineStr">
        <is>
          <t>TN</t>
        </is>
      </c>
      <c r="Q410" s="10">
        <f>IFERROR(IFERROR(VLOOKUP(A410,TRAOPE!$A:$U,21,0),VLOOKUP(B410,TRAOPE!$A:$U,21,0)),"")</f>
        <v/>
      </c>
      <c r="R410" s="8">
        <f>IFERROR(IFERROR(VLOOKUP(A410,TRAOPE!$A:$W,23,0),VLOOKUP(B410,TRAOPE!$A:$W,23,0)),"")</f>
        <v/>
      </c>
      <c r="S410" s="10">
        <f>IF(AND(P410="TN",R410="TN"),N410+N(O410),IF(G410&amp;""="1",N(K410)*N410,(N410+N(O410))*N(K410)))</f>
        <v/>
      </c>
      <c r="T410" s="10">
        <f>IF(Q410="","",Q410-S410)</f>
        <v/>
      </c>
    </row>
    <row r="411">
      <c r="A411" s="7">
        <f>CONCATENATE(C411,E411,F411,I411)</f>
        <v/>
      </c>
      <c r="B411" s="7">
        <f>CONCATENATE(C411,E411,I411)</f>
        <v/>
      </c>
      <c r="C411" s="8" t="n">
        <v>900004995</v>
      </c>
      <c r="D411" s="7">
        <f>IFERROR(VLOOKUP(C411,TRAOPE!$G:$H,2,0),"")</f>
        <v/>
      </c>
      <c r="E411" s="8" t="inlineStr">
        <is>
          <t>DW68</t>
        </is>
      </c>
      <c r="F411" s="8" t="inlineStr">
        <is>
          <t>D577</t>
        </is>
      </c>
      <c r="G411" s="8">
        <f>IFERROR(VLOOKUP(A411,Flete!$A:$E,5,0),"")</f>
        <v/>
      </c>
      <c r="H411" s="7">
        <f>IFERROR(VLOOKUP(F411,TRAOPE!$AA:$AB,2,0),"")</f>
        <v/>
      </c>
      <c r="I411" s="7" t="n">
        <v>10270914</v>
      </c>
      <c r="J411" s="7">
        <f>IFERROR(VLOOKUP(I411,Materiales!$A:$H,8,0),"")</f>
        <v/>
      </c>
      <c r="K411" s="9">
        <f>IFERROR(VLOOKUP(I411,Materiales!$A:$G,7,0),"")</f>
        <v/>
      </c>
      <c r="L411" s="8" t="inlineStr">
        <is>
          <t>20260401</t>
        </is>
      </c>
      <c r="M411" s="8" t="inlineStr">
        <is>
          <t>99991231</t>
        </is>
      </c>
      <c r="N411" s="10" t="n">
        <v>69.01000000000001</v>
      </c>
      <c r="O411" s="10">
        <f>IFERROR(VLOOKUP(A411,Flete!$A:$J,10,0),"")</f>
        <v/>
      </c>
      <c r="P411" s="8" t="inlineStr">
        <is>
          <t>TN</t>
        </is>
      </c>
      <c r="Q411" s="10">
        <f>IFERROR(IFERROR(VLOOKUP(A411,TRAOPE!$A:$U,21,0),VLOOKUP(B411,TRAOPE!$A:$U,21,0)),"")</f>
        <v/>
      </c>
      <c r="R411" s="8">
        <f>IFERROR(IFERROR(VLOOKUP(A411,TRAOPE!$A:$W,23,0),VLOOKUP(B411,TRAOPE!$A:$W,23,0)),"")</f>
        <v/>
      </c>
      <c r="S411" s="10">
        <f>IF(AND(P411="TN",R411="TN"),N411+N(O411),IF(G411&amp;""="1",N(K411)*N411,(N411+N(O411))*N(K411)))</f>
        <v/>
      </c>
      <c r="T411" s="10">
        <f>IF(Q411="","",Q411-S411)</f>
        <v/>
      </c>
    </row>
    <row r="412">
      <c r="A412" s="7">
        <f>CONCATENATE(C412,E412,F412,I412)</f>
        <v/>
      </c>
      <c r="B412" s="7">
        <f>CONCATENATE(C412,E412,I412)</f>
        <v/>
      </c>
      <c r="C412" s="8" t="n">
        <v>900004995</v>
      </c>
      <c r="D412" s="7">
        <f>IFERROR(VLOOKUP(C412,TRAOPE!$G:$H,2,0),"")</f>
        <v/>
      </c>
      <c r="E412" s="8" t="inlineStr">
        <is>
          <t>DW68</t>
        </is>
      </c>
      <c r="F412" s="8" t="inlineStr">
        <is>
          <t>ENL1</t>
        </is>
      </c>
      <c r="G412" s="8">
        <f>IFERROR(VLOOKUP(A412,Flete!$A:$E,5,0),"")</f>
        <v/>
      </c>
      <c r="H412" s="7">
        <f>IFERROR(VLOOKUP(F412,TRAOPE!$AA:$AB,2,0),"")</f>
        <v/>
      </c>
      <c r="I412" s="7" t="n">
        <v>10270914</v>
      </c>
      <c r="J412" s="7">
        <f>IFERROR(VLOOKUP(I412,Materiales!$A:$H,8,0),"")</f>
        <v/>
      </c>
      <c r="K412" s="9">
        <f>IFERROR(VLOOKUP(I412,Materiales!$A:$G,7,0),"")</f>
        <v/>
      </c>
      <c r="L412" s="8" t="inlineStr">
        <is>
          <t>20250915</t>
        </is>
      </c>
      <c r="M412" s="8" t="inlineStr">
        <is>
          <t>99991231</t>
        </is>
      </c>
      <c r="N412" s="10" t="n">
        <v>69.01000000000001</v>
      </c>
      <c r="O412" s="10">
        <f>IFERROR(VLOOKUP(A412,Flete!$A:$J,10,0),"")</f>
        <v/>
      </c>
      <c r="P412" s="8" t="inlineStr">
        <is>
          <t>TN</t>
        </is>
      </c>
      <c r="Q412" s="10">
        <f>IFERROR(IFERROR(VLOOKUP(A412,TRAOPE!$A:$U,21,0),VLOOKUP(B412,TRAOPE!$A:$U,21,0)),"")</f>
        <v/>
      </c>
      <c r="R412" s="8">
        <f>IFERROR(IFERROR(VLOOKUP(A412,TRAOPE!$A:$W,23,0),VLOOKUP(B412,TRAOPE!$A:$W,23,0)),"")</f>
        <v/>
      </c>
      <c r="S412" s="10">
        <f>IF(AND(P412="TN",R412="TN"),N412+N(O412),IF(G412&amp;""="1",N(K412)*N412,(N412+N(O412))*N(K412)))</f>
        <v/>
      </c>
      <c r="T412" s="10">
        <f>IF(Q412="","",Q412-S412)</f>
        <v/>
      </c>
    </row>
    <row r="413">
      <c r="A413" s="7">
        <f>CONCATENATE(C413,E413,F413,I413)</f>
        <v/>
      </c>
      <c r="B413" s="7">
        <f>CONCATENATE(C413,E413,I413)</f>
        <v/>
      </c>
      <c r="C413" s="8" t="n">
        <v>900004995</v>
      </c>
      <c r="D413" s="7">
        <f>IFERROR(VLOOKUP(C413,TRAOPE!$G:$H,2,0),"")</f>
        <v/>
      </c>
      <c r="E413" s="8" t="inlineStr">
        <is>
          <t>DW68</t>
        </is>
      </c>
      <c r="F413" s="8" t="inlineStr">
        <is>
          <t>ENV9</t>
        </is>
      </c>
      <c r="G413" s="8">
        <f>IFERROR(VLOOKUP(A413,Flete!$A:$E,5,0),"")</f>
        <v/>
      </c>
      <c r="H413" s="7">
        <f>IFERROR(VLOOKUP(F413,TRAOPE!$AA:$AB,2,0),"")</f>
        <v/>
      </c>
      <c r="I413" s="7" t="n">
        <v>10270914</v>
      </c>
      <c r="J413" s="7">
        <f>IFERROR(VLOOKUP(I413,Materiales!$A:$H,8,0),"")</f>
        <v/>
      </c>
      <c r="K413" s="9">
        <f>IFERROR(VLOOKUP(I413,Materiales!$A:$G,7,0),"")</f>
        <v/>
      </c>
      <c r="L413" s="8" t="inlineStr">
        <is>
          <t>20250917</t>
        </is>
      </c>
      <c r="M413" s="8" t="inlineStr">
        <is>
          <t>99991231</t>
        </is>
      </c>
      <c r="N413" s="10" t="n">
        <v>69.01000000000001</v>
      </c>
      <c r="O413" s="10">
        <f>IFERROR(VLOOKUP(A413,Flete!$A:$J,10,0),"")</f>
        <v/>
      </c>
      <c r="P413" s="8" t="inlineStr">
        <is>
          <t>TN</t>
        </is>
      </c>
      <c r="Q413" s="10">
        <f>IFERROR(IFERROR(VLOOKUP(A413,TRAOPE!$A:$U,21,0),VLOOKUP(B413,TRAOPE!$A:$U,21,0)),"")</f>
        <v/>
      </c>
      <c r="R413" s="8">
        <f>IFERROR(IFERROR(VLOOKUP(A413,TRAOPE!$A:$W,23,0),VLOOKUP(B413,TRAOPE!$A:$W,23,0)),"")</f>
        <v/>
      </c>
      <c r="S413" s="10">
        <f>IF(AND(P413="TN",R413="TN"),N413+N(O413),IF(G413&amp;""="1",N(K413)*N413,(N413+N(O413))*N(K413)))</f>
        <v/>
      </c>
      <c r="T413" s="10">
        <f>IF(Q413="","",Q413-S413)</f>
        <v/>
      </c>
    </row>
    <row r="414">
      <c r="A414" s="7">
        <f>CONCATENATE(C414,E414,F414,I414)</f>
        <v/>
      </c>
      <c r="B414" s="7">
        <f>CONCATENATE(C414,E414,I414)</f>
        <v/>
      </c>
      <c r="C414" s="8" t="n">
        <v>900004996</v>
      </c>
      <c r="D414" s="7">
        <f>IFERROR(VLOOKUP(C414,TRAOPE!$G:$H,2,0),"")</f>
        <v/>
      </c>
      <c r="E414" s="8" t="inlineStr">
        <is>
          <t>DW68</t>
        </is>
      </c>
      <c r="F414" s="8" t="inlineStr">
        <is>
          <t>D042</t>
        </is>
      </c>
      <c r="G414" s="8">
        <f>IFERROR(VLOOKUP(A414,Flete!$A:$E,5,0),"")</f>
        <v/>
      </c>
      <c r="H414" s="7">
        <f>IFERROR(VLOOKUP(F414,TRAOPE!$AA:$AB,2,0),"")</f>
        <v/>
      </c>
      <c r="I414" s="7" t="n">
        <v>10018375</v>
      </c>
      <c r="J414" s="7">
        <f>IFERROR(VLOOKUP(I414,Materiales!$A:$H,8,0),"")</f>
        <v/>
      </c>
      <c r="K414" s="9">
        <f>IFERROR(VLOOKUP(I414,Materiales!$A:$G,7,0),"")</f>
        <v/>
      </c>
      <c r="L414" s="8" t="inlineStr">
        <is>
          <t>20260415</t>
        </is>
      </c>
      <c r="M414" s="8" t="inlineStr">
        <is>
          <t>99991231</t>
        </is>
      </c>
      <c r="N414" s="10" t="n">
        <v>85.41</v>
      </c>
      <c r="O414" s="10">
        <f>IFERROR(VLOOKUP(A414,Flete!$A:$J,10,0),"")</f>
        <v/>
      </c>
      <c r="P414" s="8" t="inlineStr">
        <is>
          <t>TN</t>
        </is>
      </c>
      <c r="Q414" s="10">
        <f>IFERROR(IFERROR(VLOOKUP(A414,TRAOPE!$A:$U,21,0),VLOOKUP(B414,TRAOPE!$A:$U,21,0)),"")</f>
        <v/>
      </c>
      <c r="R414" s="8">
        <f>IFERROR(IFERROR(VLOOKUP(A414,TRAOPE!$A:$W,23,0),VLOOKUP(B414,TRAOPE!$A:$W,23,0)),"")</f>
        <v/>
      </c>
      <c r="S414" s="10">
        <f>IF(AND(P414="TN",R414="TN"),N414+N(O414),IF(G414&amp;""="1",N(K414)*N414,(N414+N(O414))*N(K414)))</f>
        <v/>
      </c>
      <c r="T414" s="10">
        <f>IF(Q414="","",Q414-S414)</f>
        <v/>
      </c>
    </row>
    <row r="415">
      <c r="A415" s="7">
        <f>CONCATENATE(C415,E415,F415,I415)</f>
        <v/>
      </c>
      <c r="B415" s="7">
        <f>CONCATENATE(C415,E415,I415)</f>
        <v/>
      </c>
      <c r="C415" s="8" t="n">
        <v>900004996</v>
      </c>
      <c r="D415" s="7">
        <f>IFERROR(VLOOKUP(C415,TRAOPE!$G:$H,2,0),"")</f>
        <v/>
      </c>
      <c r="E415" s="8" t="inlineStr">
        <is>
          <t>DW68</t>
        </is>
      </c>
      <c r="F415" s="8" t="inlineStr">
        <is>
          <t>D057</t>
        </is>
      </c>
      <c r="G415" s="8">
        <f>IFERROR(VLOOKUP(A415,Flete!$A:$E,5,0),"")</f>
        <v/>
      </c>
      <c r="H415" s="7">
        <f>IFERROR(VLOOKUP(F415,TRAOPE!$AA:$AB,2,0),"")</f>
        <v/>
      </c>
      <c r="I415" s="7" t="n">
        <v>10018375</v>
      </c>
      <c r="J415" s="7">
        <f>IFERROR(VLOOKUP(I415,Materiales!$A:$H,8,0),"")</f>
        <v/>
      </c>
      <c r="K415" s="9">
        <f>IFERROR(VLOOKUP(I415,Materiales!$A:$G,7,0),"")</f>
        <v/>
      </c>
      <c r="L415" s="8" t="inlineStr">
        <is>
          <t>20260415</t>
        </is>
      </c>
      <c r="M415" s="8" t="inlineStr">
        <is>
          <t>99991231</t>
        </is>
      </c>
      <c r="N415" s="10" t="n">
        <v>85.41</v>
      </c>
      <c r="O415" s="10">
        <f>IFERROR(VLOOKUP(A415,Flete!$A:$J,10,0),"")</f>
        <v/>
      </c>
      <c r="P415" s="8" t="inlineStr">
        <is>
          <t>TN</t>
        </is>
      </c>
      <c r="Q415" s="10">
        <f>IFERROR(IFERROR(VLOOKUP(A415,TRAOPE!$A:$U,21,0),VLOOKUP(B415,TRAOPE!$A:$U,21,0)),"")</f>
        <v/>
      </c>
      <c r="R415" s="8">
        <f>IFERROR(IFERROR(VLOOKUP(A415,TRAOPE!$A:$W,23,0),VLOOKUP(B415,TRAOPE!$A:$W,23,0)),"")</f>
        <v/>
      </c>
      <c r="S415" s="10">
        <f>IF(AND(P415="TN",R415="TN"),N415+N(O415),IF(G415&amp;""="1",N(K415)*N415,(N415+N(O415))*N(K415)))</f>
        <v/>
      </c>
      <c r="T415" s="10">
        <f>IF(Q415="","",Q415-S415)</f>
        <v/>
      </c>
    </row>
    <row r="416">
      <c r="A416" s="7">
        <f>CONCATENATE(C416,E416,F416,I416)</f>
        <v/>
      </c>
      <c r="B416" s="7">
        <f>CONCATENATE(C416,E416,I416)</f>
        <v/>
      </c>
      <c r="C416" s="8" t="n">
        <v>900004996</v>
      </c>
      <c r="D416" s="7">
        <f>IFERROR(VLOOKUP(C416,TRAOPE!$G:$H,2,0),"")</f>
        <v/>
      </c>
      <c r="E416" s="8" t="inlineStr">
        <is>
          <t>DW68</t>
        </is>
      </c>
      <c r="F416" s="8" t="inlineStr">
        <is>
          <t>D209</t>
        </is>
      </c>
      <c r="G416" s="8">
        <f>IFERROR(VLOOKUP(A416,Flete!$A:$E,5,0),"")</f>
        <v/>
      </c>
      <c r="H416" s="7">
        <f>IFERROR(VLOOKUP(F416,TRAOPE!$AA:$AB,2,0),"")</f>
        <v/>
      </c>
      <c r="I416" s="7" t="n">
        <v>10018375</v>
      </c>
      <c r="J416" s="7">
        <f>IFERROR(VLOOKUP(I416,Materiales!$A:$H,8,0),"")</f>
        <v/>
      </c>
      <c r="K416" s="9">
        <f>IFERROR(VLOOKUP(I416,Materiales!$A:$G,7,0),"")</f>
        <v/>
      </c>
      <c r="L416" s="8" t="inlineStr">
        <is>
          <t>20260415</t>
        </is>
      </c>
      <c r="M416" s="8" t="inlineStr">
        <is>
          <t>99991231</t>
        </is>
      </c>
      <c r="N416" s="10" t="n">
        <v>85.41</v>
      </c>
      <c r="O416" s="10">
        <f>IFERROR(VLOOKUP(A416,Flete!$A:$J,10,0),"")</f>
        <v/>
      </c>
      <c r="P416" s="8" t="inlineStr">
        <is>
          <t>TN</t>
        </is>
      </c>
      <c r="Q416" s="10">
        <f>IFERROR(IFERROR(VLOOKUP(A416,TRAOPE!$A:$U,21,0),VLOOKUP(B416,TRAOPE!$A:$U,21,0)),"")</f>
        <v/>
      </c>
      <c r="R416" s="8">
        <f>IFERROR(IFERROR(VLOOKUP(A416,TRAOPE!$A:$W,23,0),VLOOKUP(B416,TRAOPE!$A:$W,23,0)),"")</f>
        <v/>
      </c>
      <c r="S416" s="10">
        <f>IF(AND(P416="TN",R416="TN"),N416+N(O416),IF(G416&amp;""="1",N(K416)*N416,(N416+N(O416))*N(K416)))</f>
        <v/>
      </c>
      <c r="T416" s="10">
        <f>IF(Q416="","",Q416-S416)</f>
        <v/>
      </c>
    </row>
    <row r="417">
      <c r="A417" s="7">
        <f>CONCATENATE(C417,E417,F417,I417)</f>
        <v/>
      </c>
      <c r="B417" s="7">
        <f>CONCATENATE(C417,E417,I417)</f>
        <v/>
      </c>
      <c r="C417" s="8" t="n">
        <v>900004996</v>
      </c>
      <c r="D417" s="7">
        <f>IFERROR(VLOOKUP(C417,TRAOPE!$G:$H,2,0),"")</f>
        <v/>
      </c>
      <c r="E417" s="8" t="inlineStr">
        <is>
          <t>DW68</t>
        </is>
      </c>
      <c r="F417" s="8" t="inlineStr">
        <is>
          <t>D211</t>
        </is>
      </c>
      <c r="G417" s="8">
        <f>IFERROR(VLOOKUP(A417,Flete!$A:$E,5,0),"")</f>
        <v/>
      </c>
      <c r="H417" s="7">
        <f>IFERROR(VLOOKUP(F417,TRAOPE!$AA:$AB,2,0),"")</f>
        <v/>
      </c>
      <c r="I417" s="7" t="n">
        <v>10018375</v>
      </c>
      <c r="J417" s="7">
        <f>IFERROR(VLOOKUP(I417,Materiales!$A:$H,8,0),"")</f>
        <v/>
      </c>
      <c r="K417" s="9">
        <f>IFERROR(VLOOKUP(I417,Materiales!$A:$G,7,0),"")</f>
        <v/>
      </c>
      <c r="L417" s="8" t="inlineStr">
        <is>
          <t>20260415</t>
        </is>
      </c>
      <c r="M417" s="8" t="inlineStr">
        <is>
          <t>99991231</t>
        </is>
      </c>
      <c r="N417" s="10" t="n">
        <v>85.41</v>
      </c>
      <c r="O417" s="10">
        <f>IFERROR(VLOOKUP(A417,Flete!$A:$J,10,0),"")</f>
        <v/>
      </c>
      <c r="P417" s="8" t="inlineStr">
        <is>
          <t>TN</t>
        </is>
      </c>
      <c r="Q417" s="10">
        <f>IFERROR(IFERROR(VLOOKUP(A417,TRAOPE!$A:$U,21,0),VLOOKUP(B417,TRAOPE!$A:$U,21,0)),"")</f>
        <v/>
      </c>
      <c r="R417" s="8">
        <f>IFERROR(IFERROR(VLOOKUP(A417,TRAOPE!$A:$W,23,0),VLOOKUP(B417,TRAOPE!$A:$W,23,0)),"")</f>
        <v/>
      </c>
      <c r="S417" s="10">
        <f>IF(AND(P417="TN",R417="TN"),N417+N(O417),IF(G417&amp;""="1",N(K417)*N417,(N417+N(O417))*N(K417)))</f>
        <v/>
      </c>
      <c r="T417" s="10">
        <f>IF(Q417="","",Q417-S417)</f>
        <v/>
      </c>
    </row>
    <row r="418">
      <c r="A418" s="7">
        <f>CONCATENATE(C418,E418,F418,I418)</f>
        <v/>
      </c>
      <c r="B418" s="7">
        <f>CONCATENATE(C418,E418,I418)</f>
        <v/>
      </c>
      <c r="C418" s="8" t="n">
        <v>900004996</v>
      </c>
      <c r="D418" s="7">
        <f>IFERROR(VLOOKUP(C418,TRAOPE!$G:$H,2,0),"")</f>
        <v/>
      </c>
      <c r="E418" s="8" t="inlineStr">
        <is>
          <t>DW68</t>
        </is>
      </c>
      <c r="F418" s="8" t="inlineStr">
        <is>
          <t>D213</t>
        </is>
      </c>
      <c r="G418" s="8">
        <f>IFERROR(VLOOKUP(A418,Flete!$A:$E,5,0),"")</f>
        <v/>
      </c>
      <c r="H418" s="7">
        <f>IFERROR(VLOOKUP(F418,TRAOPE!$AA:$AB,2,0),"")</f>
        <v/>
      </c>
      <c r="I418" s="7" t="n">
        <v>10018375</v>
      </c>
      <c r="J418" s="7">
        <f>IFERROR(VLOOKUP(I418,Materiales!$A:$H,8,0),"")</f>
        <v/>
      </c>
      <c r="K418" s="9">
        <f>IFERROR(VLOOKUP(I418,Materiales!$A:$G,7,0),"")</f>
        <v/>
      </c>
      <c r="L418" s="8" t="inlineStr">
        <is>
          <t>20260415</t>
        </is>
      </c>
      <c r="M418" s="8" t="inlineStr">
        <is>
          <t>99991231</t>
        </is>
      </c>
      <c r="N418" s="10" t="n">
        <v>85.41</v>
      </c>
      <c r="O418" s="10">
        <f>IFERROR(VLOOKUP(A418,Flete!$A:$J,10,0),"")</f>
        <v/>
      </c>
      <c r="P418" s="8" t="inlineStr">
        <is>
          <t>TN</t>
        </is>
      </c>
      <c r="Q418" s="10">
        <f>IFERROR(IFERROR(VLOOKUP(A418,TRAOPE!$A:$U,21,0),VLOOKUP(B418,TRAOPE!$A:$U,21,0)),"")</f>
        <v/>
      </c>
      <c r="R418" s="8">
        <f>IFERROR(IFERROR(VLOOKUP(A418,TRAOPE!$A:$W,23,0),VLOOKUP(B418,TRAOPE!$A:$W,23,0)),"")</f>
        <v/>
      </c>
      <c r="S418" s="10">
        <f>IF(AND(P418="TN",R418="TN"),N418+N(O418),IF(G418&amp;""="1",N(K418)*N418,(N418+N(O418))*N(K418)))</f>
        <v/>
      </c>
      <c r="T418" s="10">
        <f>IF(Q418="","",Q418-S418)</f>
        <v/>
      </c>
    </row>
    <row r="419">
      <c r="A419" s="7">
        <f>CONCATENATE(C419,E419,F419,I419)</f>
        <v/>
      </c>
      <c r="B419" s="7">
        <f>CONCATENATE(C419,E419,I419)</f>
        <v/>
      </c>
      <c r="C419" s="8" t="n">
        <v>900004996</v>
      </c>
      <c r="D419" s="7">
        <f>IFERROR(VLOOKUP(C419,TRAOPE!$G:$H,2,0),"")</f>
        <v/>
      </c>
      <c r="E419" s="8" t="inlineStr">
        <is>
          <t>DW68</t>
        </is>
      </c>
      <c r="F419" s="8" t="inlineStr">
        <is>
          <t>D214</t>
        </is>
      </c>
      <c r="G419" s="8">
        <f>IFERROR(VLOOKUP(A419,Flete!$A:$E,5,0),"")</f>
        <v/>
      </c>
      <c r="H419" s="7">
        <f>IFERROR(VLOOKUP(F419,TRAOPE!$AA:$AB,2,0),"")</f>
        <v/>
      </c>
      <c r="I419" s="7" t="n">
        <v>10018375</v>
      </c>
      <c r="J419" s="7">
        <f>IFERROR(VLOOKUP(I419,Materiales!$A:$H,8,0),"")</f>
        <v/>
      </c>
      <c r="K419" s="9">
        <f>IFERROR(VLOOKUP(I419,Materiales!$A:$G,7,0),"")</f>
        <v/>
      </c>
      <c r="L419" s="8" t="inlineStr">
        <is>
          <t>20260415</t>
        </is>
      </c>
      <c r="M419" s="8" t="inlineStr">
        <is>
          <t>99991231</t>
        </is>
      </c>
      <c r="N419" s="10" t="n">
        <v>85.41</v>
      </c>
      <c r="O419" s="10">
        <f>IFERROR(VLOOKUP(A419,Flete!$A:$J,10,0),"")</f>
        <v/>
      </c>
      <c r="P419" s="8" t="inlineStr">
        <is>
          <t>TN</t>
        </is>
      </c>
      <c r="Q419" s="10">
        <f>IFERROR(IFERROR(VLOOKUP(A419,TRAOPE!$A:$U,21,0),VLOOKUP(B419,TRAOPE!$A:$U,21,0)),"")</f>
        <v/>
      </c>
      <c r="R419" s="8">
        <f>IFERROR(IFERROR(VLOOKUP(A419,TRAOPE!$A:$W,23,0),VLOOKUP(B419,TRAOPE!$A:$W,23,0)),"")</f>
        <v/>
      </c>
      <c r="S419" s="10">
        <f>IF(AND(P419="TN",R419="TN"),N419+N(O419),IF(G419&amp;""="1",N(K419)*N419,(N419+N(O419))*N(K419)))</f>
        <v/>
      </c>
      <c r="T419" s="10">
        <f>IF(Q419="","",Q419-S419)</f>
        <v/>
      </c>
    </row>
    <row r="420">
      <c r="A420" s="7">
        <f>CONCATENATE(C420,E420,F420,I420)</f>
        <v/>
      </c>
      <c r="B420" s="7">
        <f>CONCATENATE(C420,E420,I420)</f>
        <v/>
      </c>
      <c r="C420" s="8" t="n">
        <v>900004996</v>
      </c>
      <c r="D420" s="7">
        <f>IFERROR(VLOOKUP(C420,TRAOPE!$G:$H,2,0),"")</f>
        <v/>
      </c>
      <c r="E420" s="8" t="inlineStr">
        <is>
          <t>DW68</t>
        </is>
      </c>
      <c r="F420" s="8" t="inlineStr">
        <is>
          <t>D220</t>
        </is>
      </c>
      <c r="G420" s="8">
        <f>IFERROR(VLOOKUP(A420,Flete!$A:$E,5,0),"")</f>
        <v/>
      </c>
      <c r="H420" s="7">
        <f>IFERROR(VLOOKUP(F420,TRAOPE!$AA:$AB,2,0),"")</f>
        <v/>
      </c>
      <c r="I420" s="7" t="n">
        <v>10018375</v>
      </c>
      <c r="J420" s="7">
        <f>IFERROR(VLOOKUP(I420,Materiales!$A:$H,8,0),"")</f>
        <v/>
      </c>
      <c r="K420" s="9">
        <f>IFERROR(VLOOKUP(I420,Materiales!$A:$G,7,0),"")</f>
        <v/>
      </c>
      <c r="L420" s="8" t="inlineStr">
        <is>
          <t>20260415</t>
        </is>
      </c>
      <c r="M420" s="8" t="inlineStr">
        <is>
          <t>99991231</t>
        </is>
      </c>
      <c r="N420" s="10" t="n">
        <v>85.41</v>
      </c>
      <c r="O420" s="10">
        <f>IFERROR(VLOOKUP(A420,Flete!$A:$J,10,0),"")</f>
        <v/>
      </c>
      <c r="P420" s="8" t="inlineStr">
        <is>
          <t>TN</t>
        </is>
      </c>
      <c r="Q420" s="10">
        <f>IFERROR(IFERROR(VLOOKUP(A420,TRAOPE!$A:$U,21,0),VLOOKUP(B420,TRAOPE!$A:$U,21,0)),"")</f>
        <v/>
      </c>
      <c r="R420" s="8">
        <f>IFERROR(IFERROR(VLOOKUP(A420,TRAOPE!$A:$W,23,0),VLOOKUP(B420,TRAOPE!$A:$W,23,0)),"")</f>
        <v/>
      </c>
      <c r="S420" s="10">
        <f>IF(AND(P420="TN",R420="TN"),N420+N(O420),IF(G420&amp;""="1",N(K420)*N420,(N420+N(O420))*N(K420)))</f>
        <v/>
      </c>
      <c r="T420" s="10">
        <f>IF(Q420="","",Q420-S420)</f>
        <v/>
      </c>
    </row>
    <row r="421">
      <c r="A421" s="7">
        <f>CONCATENATE(C421,E421,F421,I421)</f>
        <v/>
      </c>
      <c r="B421" s="7">
        <f>CONCATENATE(C421,E421,I421)</f>
        <v/>
      </c>
      <c r="C421" s="8" t="n">
        <v>900004996</v>
      </c>
      <c r="D421" s="7">
        <f>IFERROR(VLOOKUP(C421,TRAOPE!$G:$H,2,0),"")</f>
        <v/>
      </c>
      <c r="E421" s="8" t="inlineStr">
        <is>
          <t>DW68</t>
        </is>
      </c>
      <c r="F421" s="8" t="inlineStr">
        <is>
          <t>D228</t>
        </is>
      </c>
      <c r="G421" s="8">
        <f>IFERROR(VLOOKUP(A421,Flete!$A:$E,5,0),"")</f>
        <v/>
      </c>
      <c r="H421" s="7">
        <f>IFERROR(VLOOKUP(F421,TRAOPE!$AA:$AB,2,0),"")</f>
        <v/>
      </c>
      <c r="I421" s="7" t="n">
        <v>10018375</v>
      </c>
      <c r="J421" s="7">
        <f>IFERROR(VLOOKUP(I421,Materiales!$A:$H,8,0),"")</f>
        <v/>
      </c>
      <c r="K421" s="9">
        <f>IFERROR(VLOOKUP(I421,Materiales!$A:$G,7,0),"")</f>
        <v/>
      </c>
      <c r="L421" s="8" t="inlineStr">
        <is>
          <t>20260415</t>
        </is>
      </c>
      <c r="M421" s="8" t="inlineStr">
        <is>
          <t>99991231</t>
        </is>
      </c>
      <c r="N421" s="10" t="n">
        <v>85.41</v>
      </c>
      <c r="O421" s="10">
        <f>IFERROR(VLOOKUP(A421,Flete!$A:$J,10,0),"")</f>
        <v/>
      </c>
      <c r="P421" s="8" t="inlineStr">
        <is>
          <t>TN</t>
        </is>
      </c>
      <c r="Q421" s="10">
        <f>IFERROR(IFERROR(VLOOKUP(A421,TRAOPE!$A:$U,21,0),VLOOKUP(B421,TRAOPE!$A:$U,21,0)),"")</f>
        <v/>
      </c>
      <c r="R421" s="8">
        <f>IFERROR(IFERROR(VLOOKUP(A421,TRAOPE!$A:$W,23,0),VLOOKUP(B421,TRAOPE!$A:$W,23,0)),"")</f>
        <v/>
      </c>
      <c r="S421" s="10">
        <f>IF(AND(P421="TN",R421="TN"),N421+N(O421),IF(G421&amp;""="1",N(K421)*N421,(N421+N(O421))*N(K421)))</f>
        <v/>
      </c>
      <c r="T421" s="10">
        <f>IF(Q421="","",Q421-S421)</f>
        <v/>
      </c>
    </row>
    <row r="422">
      <c r="A422" s="7">
        <f>CONCATENATE(C422,E422,F422,I422)</f>
        <v/>
      </c>
      <c r="B422" s="7">
        <f>CONCATENATE(C422,E422,I422)</f>
        <v/>
      </c>
      <c r="C422" s="8" t="n">
        <v>900004996</v>
      </c>
      <c r="D422" s="7">
        <f>IFERROR(VLOOKUP(C422,TRAOPE!$G:$H,2,0),"")</f>
        <v/>
      </c>
      <c r="E422" s="8" t="inlineStr">
        <is>
          <t>DW68</t>
        </is>
      </c>
      <c r="F422" s="8" t="inlineStr">
        <is>
          <t>D242</t>
        </is>
      </c>
      <c r="G422" s="8">
        <f>IFERROR(VLOOKUP(A422,Flete!$A:$E,5,0),"")</f>
        <v/>
      </c>
      <c r="H422" s="7">
        <f>IFERROR(VLOOKUP(F422,TRAOPE!$AA:$AB,2,0),"")</f>
        <v/>
      </c>
      <c r="I422" s="7" t="n">
        <v>10018375</v>
      </c>
      <c r="J422" s="7">
        <f>IFERROR(VLOOKUP(I422,Materiales!$A:$H,8,0),"")</f>
        <v/>
      </c>
      <c r="K422" s="9">
        <f>IFERROR(VLOOKUP(I422,Materiales!$A:$G,7,0),"")</f>
        <v/>
      </c>
      <c r="L422" s="8" t="inlineStr">
        <is>
          <t>20260415</t>
        </is>
      </c>
      <c r="M422" s="8" t="inlineStr">
        <is>
          <t>99991231</t>
        </is>
      </c>
      <c r="N422" s="10" t="n">
        <v>85.41</v>
      </c>
      <c r="O422" s="10">
        <f>IFERROR(VLOOKUP(A422,Flete!$A:$J,10,0),"")</f>
        <v/>
      </c>
      <c r="P422" s="8" t="inlineStr">
        <is>
          <t>TN</t>
        </is>
      </c>
      <c r="Q422" s="10">
        <f>IFERROR(IFERROR(VLOOKUP(A422,TRAOPE!$A:$U,21,0),VLOOKUP(B422,TRAOPE!$A:$U,21,0)),"")</f>
        <v/>
      </c>
      <c r="R422" s="8">
        <f>IFERROR(IFERROR(VLOOKUP(A422,TRAOPE!$A:$W,23,0),VLOOKUP(B422,TRAOPE!$A:$W,23,0)),"")</f>
        <v/>
      </c>
      <c r="S422" s="10">
        <f>IF(AND(P422="TN",R422="TN"),N422+N(O422),IF(G422&amp;""="1",N(K422)*N422,(N422+N(O422))*N(K422)))</f>
        <v/>
      </c>
      <c r="T422" s="10">
        <f>IF(Q422="","",Q422-S422)</f>
        <v/>
      </c>
    </row>
    <row r="423">
      <c r="A423" s="7">
        <f>CONCATENATE(C423,E423,F423,I423)</f>
        <v/>
      </c>
      <c r="B423" s="7">
        <f>CONCATENATE(C423,E423,I423)</f>
        <v/>
      </c>
      <c r="C423" s="8" t="n">
        <v>900004996</v>
      </c>
      <c r="D423" s="7">
        <f>IFERROR(VLOOKUP(C423,TRAOPE!$G:$H,2,0),"")</f>
        <v/>
      </c>
      <c r="E423" s="8" t="inlineStr">
        <is>
          <t>DW68</t>
        </is>
      </c>
      <c r="F423" s="8" t="inlineStr">
        <is>
          <t>D247</t>
        </is>
      </c>
      <c r="G423" s="8">
        <f>IFERROR(VLOOKUP(A423,Flete!$A:$E,5,0),"")</f>
        <v/>
      </c>
      <c r="H423" s="7">
        <f>IFERROR(VLOOKUP(F423,TRAOPE!$AA:$AB,2,0),"")</f>
        <v/>
      </c>
      <c r="I423" s="7" t="n">
        <v>10018375</v>
      </c>
      <c r="J423" s="7">
        <f>IFERROR(VLOOKUP(I423,Materiales!$A:$H,8,0),"")</f>
        <v/>
      </c>
      <c r="K423" s="9">
        <f>IFERROR(VLOOKUP(I423,Materiales!$A:$G,7,0),"")</f>
        <v/>
      </c>
      <c r="L423" s="8" t="inlineStr">
        <is>
          <t>20260415</t>
        </is>
      </c>
      <c r="M423" s="8" t="inlineStr">
        <is>
          <t>99991231</t>
        </is>
      </c>
      <c r="N423" s="10" t="n">
        <v>85.41</v>
      </c>
      <c r="O423" s="10">
        <f>IFERROR(VLOOKUP(A423,Flete!$A:$J,10,0),"")</f>
        <v/>
      </c>
      <c r="P423" s="8" t="inlineStr">
        <is>
          <t>TN</t>
        </is>
      </c>
      <c r="Q423" s="10">
        <f>IFERROR(IFERROR(VLOOKUP(A423,TRAOPE!$A:$U,21,0),VLOOKUP(B423,TRAOPE!$A:$U,21,0)),"")</f>
        <v/>
      </c>
      <c r="R423" s="8">
        <f>IFERROR(IFERROR(VLOOKUP(A423,TRAOPE!$A:$W,23,0),VLOOKUP(B423,TRAOPE!$A:$W,23,0)),"")</f>
        <v/>
      </c>
      <c r="S423" s="10">
        <f>IF(AND(P423="TN",R423="TN"),N423+N(O423),IF(G423&amp;""="1",N(K423)*N423,(N423+N(O423))*N(K423)))</f>
        <v/>
      </c>
      <c r="T423" s="10">
        <f>IF(Q423="","",Q423-S423)</f>
        <v/>
      </c>
    </row>
    <row r="424">
      <c r="A424" s="7">
        <f>CONCATENATE(C424,E424,F424,I424)</f>
        <v/>
      </c>
      <c r="B424" s="7">
        <f>CONCATENATE(C424,E424,I424)</f>
        <v/>
      </c>
      <c r="C424" s="8" t="n">
        <v>900004996</v>
      </c>
      <c r="D424" s="7">
        <f>IFERROR(VLOOKUP(C424,TRAOPE!$G:$H,2,0),"")</f>
        <v/>
      </c>
      <c r="E424" s="8" t="inlineStr">
        <is>
          <t>DW68</t>
        </is>
      </c>
      <c r="F424" s="8" t="inlineStr">
        <is>
          <t>D251</t>
        </is>
      </c>
      <c r="G424" s="8">
        <f>IFERROR(VLOOKUP(A424,Flete!$A:$E,5,0),"")</f>
        <v/>
      </c>
      <c r="H424" s="7">
        <f>IFERROR(VLOOKUP(F424,TRAOPE!$AA:$AB,2,0),"")</f>
        <v/>
      </c>
      <c r="I424" s="7" t="n">
        <v>10018375</v>
      </c>
      <c r="J424" s="7">
        <f>IFERROR(VLOOKUP(I424,Materiales!$A:$H,8,0),"")</f>
        <v/>
      </c>
      <c r="K424" s="9">
        <f>IFERROR(VLOOKUP(I424,Materiales!$A:$G,7,0),"")</f>
        <v/>
      </c>
      <c r="L424" s="8" t="inlineStr">
        <is>
          <t>20260415</t>
        </is>
      </c>
      <c r="M424" s="8" t="inlineStr">
        <is>
          <t>99991231</t>
        </is>
      </c>
      <c r="N424" s="10" t="n">
        <v>85.41</v>
      </c>
      <c r="O424" s="10">
        <f>IFERROR(VLOOKUP(A424,Flete!$A:$J,10,0),"")</f>
        <v/>
      </c>
      <c r="P424" s="8" t="inlineStr">
        <is>
          <t>TN</t>
        </is>
      </c>
      <c r="Q424" s="10">
        <f>IFERROR(IFERROR(VLOOKUP(A424,TRAOPE!$A:$U,21,0),VLOOKUP(B424,TRAOPE!$A:$U,21,0)),"")</f>
        <v/>
      </c>
      <c r="R424" s="8">
        <f>IFERROR(IFERROR(VLOOKUP(A424,TRAOPE!$A:$W,23,0),VLOOKUP(B424,TRAOPE!$A:$W,23,0)),"")</f>
        <v/>
      </c>
      <c r="S424" s="10">
        <f>IF(AND(P424="TN",R424="TN"),N424+N(O424),IF(G424&amp;""="1",N(K424)*N424,(N424+N(O424))*N(K424)))</f>
        <v/>
      </c>
      <c r="T424" s="10">
        <f>IF(Q424="","",Q424-S424)</f>
        <v/>
      </c>
    </row>
    <row r="425">
      <c r="A425" s="7">
        <f>CONCATENATE(C425,E425,F425,I425)</f>
        <v/>
      </c>
      <c r="B425" s="7">
        <f>CONCATENATE(C425,E425,I425)</f>
        <v/>
      </c>
      <c r="C425" s="8" t="n">
        <v>900004996</v>
      </c>
      <c r="D425" s="7">
        <f>IFERROR(VLOOKUP(C425,TRAOPE!$G:$H,2,0),"")</f>
        <v/>
      </c>
      <c r="E425" s="8" t="inlineStr">
        <is>
          <t>DW68</t>
        </is>
      </c>
      <c r="F425" s="8" t="inlineStr">
        <is>
          <t>D264</t>
        </is>
      </c>
      <c r="G425" s="8">
        <f>IFERROR(VLOOKUP(A425,Flete!$A:$E,5,0),"")</f>
        <v/>
      </c>
      <c r="H425" s="7">
        <f>IFERROR(VLOOKUP(F425,TRAOPE!$AA:$AB,2,0),"")</f>
        <v/>
      </c>
      <c r="I425" s="7" t="n">
        <v>10018375</v>
      </c>
      <c r="J425" s="7">
        <f>IFERROR(VLOOKUP(I425,Materiales!$A:$H,8,0),"")</f>
        <v/>
      </c>
      <c r="K425" s="9">
        <f>IFERROR(VLOOKUP(I425,Materiales!$A:$G,7,0),"")</f>
        <v/>
      </c>
      <c r="L425" s="8" t="inlineStr">
        <is>
          <t>20260415</t>
        </is>
      </c>
      <c r="M425" s="8" t="inlineStr">
        <is>
          <t>99991231</t>
        </is>
      </c>
      <c r="N425" s="10" t="n">
        <v>85.41</v>
      </c>
      <c r="O425" s="10">
        <f>IFERROR(VLOOKUP(A425,Flete!$A:$J,10,0),"")</f>
        <v/>
      </c>
      <c r="P425" s="8" t="inlineStr">
        <is>
          <t>TN</t>
        </is>
      </c>
      <c r="Q425" s="10">
        <f>IFERROR(IFERROR(VLOOKUP(A425,TRAOPE!$A:$U,21,0),VLOOKUP(B425,TRAOPE!$A:$U,21,0)),"")</f>
        <v/>
      </c>
      <c r="R425" s="8">
        <f>IFERROR(IFERROR(VLOOKUP(A425,TRAOPE!$A:$W,23,0),VLOOKUP(B425,TRAOPE!$A:$W,23,0)),"")</f>
        <v/>
      </c>
      <c r="S425" s="10">
        <f>IF(AND(P425="TN",R425="TN"),N425+N(O425),IF(G425&amp;""="1",N(K425)*N425,(N425+N(O425))*N(K425)))</f>
        <v/>
      </c>
      <c r="T425" s="10">
        <f>IF(Q425="","",Q425-S425)</f>
        <v/>
      </c>
    </row>
    <row r="426">
      <c r="A426" s="7">
        <f>CONCATENATE(C426,E426,F426,I426)</f>
        <v/>
      </c>
      <c r="B426" s="7">
        <f>CONCATENATE(C426,E426,I426)</f>
        <v/>
      </c>
      <c r="C426" s="8" t="n">
        <v>900004996</v>
      </c>
      <c r="D426" s="7">
        <f>IFERROR(VLOOKUP(C426,TRAOPE!$G:$H,2,0),"")</f>
        <v/>
      </c>
      <c r="E426" s="8" t="inlineStr">
        <is>
          <t>DW68</t>
        </is>
      </c>
      <c r="F426" s="8" t="inlineStr">
        <is>
          <t>D267</t>
        </is>
      </c>
      <c r="G426" s="8">
        <f>IFERROR(VLOOKUP(A426,Flete!$A:$E,5,0),"")</f>
        <v/>
      </c>
      <c r="H426" s="7">
        <f>IFERROR(VLOOKUP(F426,TRAOPE!$AA:$AB,2,0),"")</f>
        <v/>
      </c>
      <c r="I426" s="7" t="n">
        <v>10018375</v>
      </c>
      <c r="J426" s="7">
        <f>IFERROR(VLOOKUP(I426,Materiales!$A:$H,8,0),"")</f>
        <v/>
      </c>
      <c r="K426" s="9">
        <f>IFERROR(VLOOKUP(I426,Materiales!$A:$G,7,0),"")</f>
        <v/>
      </c>
      <c r="L426" s="8" t="inlineStr">
        <is>
          <t>20260415</t>
        </is>
      </c>
      <c r="M426" s="8" t="inlineStr">
        <is>
          <t>99991231</t>
        </is>
      </c>
      <c r="N426" s="10" t="n">
        <v>85.41</v>
      </c>
      <c r="O426" s="10">
        <f>IFERROR(VLOOKUP(A426,Flete!$A:$J,10,0),"")</f>
        <v/>
      </c>
      <c r="P426" s="8" t="inlineStr">
        <is>
          <t>TN</t>
        </is>
      </c>
      <c r="Q426" s="10">
        <f>IFERROR(IFERROR(VLOOKUP(A426,TRAOPE!$A:$U,21,0),VLOOKUP(B426,TRAOPE!$A:$U,21,0)),"")</f>
        <v/>
      </c>
      <c r="R426" s="8">
        <f>IFERROR(IFERROR(VLOOKUP(A426,TRAOPE!$A:$W,23,0),VLOOKUP(B426,TRAOPE!$A:$W,23,0)),"")</f>
        <v/>
      </c>
      <c r="S426" s="10">
        <f>IF(AND(P426="TN",R426="TN"),N426+N(O426),IF(G426&amp;""="1",N(K426)*N426,(N426+N(O426))*N(K426)))</f>
        <v/>
      </c>
      <c r="T426" s="10">
        <f>IF(Q426="","",Q426-S426)</f>
        <v/>
      </c>
    </row>
    <row r="427">
      <c r="A427" s="7">
        <f>CONCATENATE(C427,E427,F427,I427)</f>
        <v/>
      </c>
      <c r="B427" s="7">
        <f>CONCATENATE(C427,E427,I427)</f>
        <v/>
      </c>
      <c r="C427" s="8" t="n">
        <v>900004996</v>
      </c>
      <c r="D427" s="7">
        <f>IFERROR(VLOOKUP(C427,TRAOPE!$G:$H,2,0),"")</f>
        <v/>
      </c>
      <c r="E427" s="8" t="inlineStr">
        <is>
          <t>DW68</t>
        </is>
      </c>
      <c r="F427" s="8" t="inlineStr">
        <is>
          <t>D268</t>
        </is>
      </c>
      <c r="G427" s="8">
        <f>IFERROR(VLOOKUP(A427,Flete!$A:$E,5,0),"")</f>
        <v/>
      </c>
      <c r="H427" s="7">
        <f>IFERROR(VLOOKUP(F427,TRAOPE!$AA:$AB,2,0),"")</f>
        <v/>
      </c>
      <c r="I427" s="7" t="n">
        <v>10018375</v>
      </c>
      <c r="J427" s="7">
        <f>IFERROR(VLOOKUP(I427,Materiales!$A:$H,8,0),"")</f>
        <v/>
      </c>
      <c r="K427" s="9">
        <f>IFERROR(VLOOKUP(I427,Materiales!$A:$G,7,0),"")</f>
        <v/>
      </c>
      <c r="L427" s="8" t="inlineStr">
        <is>
          <t>20260415</t>
        </is>
      </c>
      <c r="M427" s="8" t="inlineStr">
        <is>
          <t>99991231</t>
        </is>
      </c>
      <c r="N427" s="10" t="n">
        <v>85.41</v>
      </c>
      <c r="O427" s="10">
        <f>IFERROR(VLOOKUP(A427,Flete!$A:$J,10,0),"")</f>
        <v/>
      </c>
      <c r="P427" s="8" t="inlineStr">
        <is>
          <t>TN</t>
        </is>
      </c>
      <c r="Q427" s="10">
        <f>IFERROR(IFERROR(VLOOKUP(A427,TRAOPE!$A:$U,21,0),VLOOKUP(B427,TRAOPE!$A:$U,21,0)),"")</f>
        <v/>
      </c>
      <c r="R427" s="8">
        <f>IFERROR(IFERROR(VLOOKUP(A427,TRAOPE!$A:$W,23,0),VLOOKUP(B427,TRAOPE!$A:$W,23,0)),"")</f>
        <v/>
      </c>
      <c r="S427" s="10">
        <f>IF(AND(P427="TN",R427="TN"),N427+N(O427),IF(G427&amp;""="1",N(K427)*N427,(N427+N(O427))*N(K427)))</f>
        <v/>
      </c>
      <c r="T427" s="10">
        <f>IF(Q427="","",Q427-S427)</f>
        <v/>
      </c>
    </row>
    <row r="428">
      <c r="A428" s="7">
        <f>CONCATENATE(C428,E428,F428,I428)</f>
        <v/>
      </c>
      <c r="B428" s="7">
        <f>CONCATENATE(C428,E428,I428)</f>
        <v/>
      </c>
      <c r="C428" s="8" t="n">
        <v>900005508</v>
      </c>
      <c r="D428" s="7">
        <f>IFERROR(VLOOKUP(C428,TRAOPE!$G:$H,2,0),"")</f>
        <v/>
      </c>
      <c r="E428" s="8" t="inlineStr">
        <is>
          <t>DW68</t>
        </is>
      </c>
      <c r="F428" s="8" t="inlineStr">
        <is>
          <t>D042</t>
        </is>
      </c>
      <c r="G428" s="8">
        <f>IFERROR(VLOOKUP(A428,Flete!$A:$E,5,0),"")</f>
        <v/>
      </c>
      <c r="H428" s="7">
        <f>IFERROR(VLOOKUP(F428,TRAOPE!$AA:$AB,2,0),"")</f>
        <v/>
      </c>
      <c r="I428" s="7" t="n">
        <v>10000191</v>
      </c>
      <c r="J428" s="7">
        <f>IFERROR(VLOOKUP(I428,Materiales!$A:$H,8,0),"")</f>
        <v/>
      </c>
      <c r="K428" s="9">
        <f>IFERROR(VLOOKUP(I428,Materiales!$A:$G,7,0),"")</f>
        <v/>
      </c>
      <c r="L428" s="8" t="inlineStr">
        <is>
          <t>20220516</t>
        </is>
      </c>
      <c r="M428" s="8" t="inlineStr">
        <is>
          <t>20251031</t>
        </is>
      </c>
      <c r="N428" s="10" t="n">
        <v>78.01000000000001</v>
      </c>
      <c r="O428" s="10">
        <f>IFERROR(VLOOKUP(A428,Flete!$A:$J,10,0),"")</f>
        <v/>
      </c>
      <c r="P428" s="8" t="inlineStr">
        <is>
          <t>TN</t>
        </is>
      </c>
      <c r="Q428" s="10">
        <f>IFERROR(IFERROR(VLOOKUP(A428,TRAOPE!$A:$U,21,0),VLOOKUP(B428,TRAOPE!$A:$U,21,0)),"")</f>
        <v/>
      </c>
      <c r="R428" s="8">
        <f>IFERROR(IFERROR(VLOOKUP(A428,TRAOPE!$A:$W,23,0),VLOOKUP(B428,TRAOPE!$A:$W,23,0)),"")</f>
        <v/>
      </c>
      <c r="S428" s="10">
        <f>IF(AND(P428="TN",R428="TN"),N428+N(O428),IF(G428&amp;""="1",N(K428)*N428,(N428+N(O428))*N(K428)))</f>
        <v/>
      </c>
      <c r="T428" s="10">
        <f>IF(Q428="","",Q428-S428)</f>
        <v/>
      </c>
    </row>
    <row r="429">
      <c r="A429" s="7">
        <f>CONCATENATE(C429,E429,F429,I429)</f>
        <v/>
      </c>
      <c r="B429" s="7">
        <f>CONCATENATE(C429,E429,I429)</f>
        <v/>
      </c>
      <c r="C429" s="8" t="n">
        <v>900005508</v>
      </c>
      <c r="D429" s="7">
        <f>IFERROR(VLOOKUP(C429,TRAOPE!$G:$H,2,0),"")</f>
        <v/>
      </c>
      <c r="E429" s="8" t="inlineStr">
        <is>
          <t>DW68</t>
        </is>
      </c>
      <c r="F429" s="8" t="inlineStr">
        <is>
          <t>D042</t>
        </is>
      </c>
      <c r="G429" s="8">
        <f>IFERROR(VLOOKUP(A429,Flete!$A:$E,5,0),"")</f>
        <v/>
      </c>
      <c r="H429" s="7">
        <f>IFERROR(VLOOKUP(F429,TRAOPE!$AA:$AB,2,0),"")</f>
        <v/>
      </c>
      <c r="I429" s="7" t="n">
        <v>10000388</v>
      </c>
      <c r="J429" s="7">
        <f>IFERROR(VLOOKUP(I429,Materiales!$A:$H,8,0),"")</f>
        <v/>
      </c>
      <c r="K429" s="9">
        <f>IFERROR(VLOOKUP(I429,Materiales!$A:$G,7,0),"")</f>
        <v/>
      </c>
      <c r="L429" s="8" t="inlineStr">
        <is>
          <t>20220516</t>
        </is>
      </c>
      <c r="M429" s="8" t="inlineStr">
        <is>
          <t>20251031</t>
        </is>
      </c>
      <c r="N429" s="10" t="n">
        <v>89.61</v>
      </c>
      <c r="O429" s="10">
        <f>IFERROR(VLOOKUP(A429,Flete!$A:$J,10,0),"")</f>
        <v/>
      </c>
      <c r="P429" s="8" t="inlineStr">
        <is>
          <t>TN</t>
        </is>
      </c>
      <c r="Q429" s="10">
        <f>IFERROR(IFERROR(VLOOKUP(A429,TRAOPE!$A:$U,21,0),VLOOKUP(B429,TRAOPE!$A:$U,21,0)),"")</f>
        <v/>
      </c>
      <c r="R429" s="8">
        <f>IFERROR(IFERROR(VLOOKUP(A429,TRAOPE!$A:$W,23,0),VLOOKUP(B429,TRAOPE!$A:$W,23,0)),"")</f>
        <v/>
      </c>
      <c r="S429" s="10">
        <f>IF(AND(P429="TN",R429="TN"),N429+N(O429),IF(G429&amp;""="1",N(K429)*N429,(N429+N(O429))*N(K429)))</f>
        <v/>
      </c>
      <c r="T429" s="10">
        <f>IF(Q429="","",Q429-S429)</f>
        <v/>
      </c>
    </row>
    <row r="430">
      <c r="A430" s="7">
        <f>CONCATENATE(C430,E430,F430,I430)</f>
        <v/>
      </c>
      <c r="B430" s="7">
        <f>CONCATENATE(C430,E430,I430)</f>
        <v/>
      </c>
      <c r="C430" s="8" t="n">
        <v>900005508</v>
      </c>
      <c r="D430" s="7">
        <f>IFERROR(VLOOKUP(C430,TRAOPE!$G:$H,2,0),"")</f>
        <v/>
      </c>
      <c r="E430" s="8" t="inlineStr">
        <is>
          <t>DW68</t>
        </is>
      </c>
      <c r="F430" s="8" t="inlineStr">
        <is>
          <t>D209</t>
        </is>
      </c>
      <c r="G430" s="8">
        <f>IFERROR(VLOOKUP(A430,Flete!$A:$E,5,0),"")</f>
        <v/>
      </c>
      <c r="H430" s="7">
        <f>IFERROR(VLOOKUP(F430,TRAOPE!$AA:$AB,2,0),"")</f>
        <v/>
      </c>
      <c r="I430" s="7" t="n">
        <v>10000191</v>
      </c>
      <c r="J430" s="7">
        <f>IFERROR(VLOOKUP(I430,Materiales!$A:$H,8,0),"")</f>
        <v/>
      </c>
      <c r="K430" s="9">
        <f>IFERROR(VLOOKUP(I430,Materiales!$A:$G,7,0),"")</f>
        <v/>
      </c>
      <c r="L430" s="8" t="inlineStr">
        <is>
          <t>20220516</t>
        </is>
      </c>
      <c r="M430" s="8" t="inlineStr">
        <is>
          <t>20251031</t>
        </is>
      </c>
      <c r="N430" s="10" t="n">
        <v>78.01000000000001</v>
      </c>
      <c r="O430" s="10">
        <f>IFERROR(VLOOKUP(A430,Flete!$A:$J,10,0),"")</f>
        <v/>
      </c>
      <c r="P430" s="8" t="inlineStr">
        <is>
          <t>TN</t>
        </is>
      </c>
      <c r="Q430" s="10">
        <f>IFERROR(IFERROR(VLOOKUP(A430,TRAOPE!$A:$U,21,0),VLOOKUP(B430,TRAOPE!$A:$U,21,0)),"")</f>
        <v/>
      </c>
      <c r="R430" s="8">
        <f>IFERROR(IFERROR(VLOOKUP(A430,TRAOPE!$A:$W,23,0),VLOOKUP(B430,TRAOPE!$A:$W,23,0)),"")</f>
        <v/>
      </c>
      <c r="S430" s="10">
        <f>IF(AND(P430="TN",R430="TN"),N430+N(O430),IF(G430&amp;""="1",N(K430)*N430,(N430+N(O430))*N(K430)))</f>
        <v/>
      </c>
      <c r="T430" s="10">
        <f>IF(Q430="","",Q430-S430)</f>
        <v/>
      </c>
    </row>
    <row r="431">
      <c r="A431" s="7">
        <f>CONCATENATE(C431,E431,F431,I431)</f>
        <v/>
      </c>
      <c r="B431" s="7">
        <f>CONCATENATE(C431,E431,I431)</f>
        <v/>
      </c>
      <c r="C431" s="8" t="n">
        <v>900005508</v>
      </c>
      <c r="D431" s="7">
        <f>IFERROR(VLOOKUP(C431,TRAOPE!$G:$H,2,0),"")</f>
        <v/>
      </c>
      <c r="E431" s="8" t="inlineStr">
        <is>
          <t>DW68</t>
        </is>
      </c>
      <c r="F431" s="8" t="inlineStr">
        <is>
          <t>D209</t>
        </is>
      </c>
      <c r="G431" s="8">
        <f>IFERROR(VLOOKUP(A431,Flete!$A:$E,5,0),"")</f>
        <v/>
      </c>
      <c r="H431" s="7">
        <f>IFERROR(VLOOKUP(F431,TRAOPE!$AA:$AB,2,0),"")</f>
        <v/>
      </c>
      <c r="I431" s="7" t="n">
        <v>10000388</v>
      </c>
      <c r="J431" s="7">
        <f>IFERROR(VLOOKUP(I431,Materiales!$A:$H,8,0),"")</f>
        <v/>
      </c>
      <c r="K431" s="9">
        <f>IFERROR(VLOOKUP(I431,Materiales!$A:$G,7,0),"")</f>
        <v/>
      </c>
      <c r="L431" s="8" t="inlineStr">
        <is>
          <t>20220516</t>
        </is>
      </c>
      <c r="M431" s="8" t="inlineStr">
        <is>
          <t>20251031</t>
        </is>
      </c>
      <c r="N431" s="10" t="n">
        <v>89.61</v>
      </c>
      <c r="O431" s="10">
        <f>IFERROR(VLOOKUP(A431,Flete!$A:$J,10,0),"")</f>
        <v/>
      </c>
      <c r="P431" s="8" t="inlineStr">
        <is>
          <t>TN</t>
        </is>
      </c>
      <c r="Q431" s="10">
        <f>IFERROR(IFERROR(VLOOKUP(A431,TRAOPE!$A:$U,21,0),VLOOKUP(B431,TRAOPE!$A:$U,21,0)),"")</f>
        <v/>
      </c>
      <c r="R431" s="8">
        <f>IFERROR(IFERROR(VLOOKUP(A431,TRAOPE!$A:$W,23,0),VLOOKUP(B431,TRAOPE!$A:$W,23,0)),"")</f>
        <v/>
      </c>
      <c r="S431" s="10">
        <f>IF(AND(P431="TN",R431="TN"),N431+N(O431),IF(G431&amp;""="1",N(K431)*N431,(N431+N(O431))*N(K431)))</f>
        <v/>
      </c>
      <c r="T431" s="10">
        <f>IF(Q431="","",Q431-S431)</f>
        <v/>
      </c>
    </row>
    <row r="432">
      <c r="A432" s="7">
        <f>CONCATENATE(C432,E432,F432,I432)</f>
        <v/>
      </c>
      <c r="B432" s="7">
        <f>CONCATENATE(C432,E432,I432)</f>
        <v/>
      </c>
      <c r="C432" s="8" t="n">
        <v>900005508</v>
      </c>
      <c r="D432" s="7">
        <f>IFERROR(VLOOKUP(C432,TRAOPE!$G:$H,2,0),"")</f>
        <v/>
      </c>
      <c r="E432" s="8" t="inlineStr">
        <is>
          <t>DW68</t>
        </is>
      </c>
      <c r="F432" s="8" t="inlineStr">
        <is>
          <t>D211</t>
        </is>
      </c>
      <c r="G432" s="8">
        <f>IFERROR(VLOOKUP(A432,Flete!$A:$E,5,0),"")</f>
        <v/>
      </c>
      <c r="H432" s="7">
        <f>IFERROR(VLOOKUP(F432,TRAOPE!$AA:$AB,2,0),"")</f>
        <v/>
      </c>
      <c r="I432" s="7" t="n">
        <v>10000191</v>
      </c>
      <c r="J432" s="7">
        <f>IFERROR(VLOOKUP(I432,Materiales!$A:$H,8,0),"")</f>
        <v/>
      </c>
      <c r="K432" s="9">
        <f>IFERROR(VLOOKUP(I432,Materiales!$A:$G,7,0),"")</f>
        <v/>
      </c>
      <c r="L432" s="8" t="inlineStr">
        <is>
          <t>20220516</t>
        </is>
      </c>
      <c r="M432" s="8" t="inlineStr">
        <is>
          <t>20251031</t>
        </is>
      </c>
      <c r="N432" s="10" t="n">
        <v>78.01000000000001</v>
      </c>
      <c r="O432" s="10">
        <f>IFERROR(VLOOKUP(A432,Flete!$A:$J,10,0),"")</f>
        <v/>
      </c>
      <c r="P432" s="8" t="inlineStr">
        <is>
          <t>TN</t>
        </is>
      </c>
      <c r="Q432" s="10">
        <f>IFERROR(IFERROR(VLOOKUP(A432,TRAOPE!$A:$U,21,0),VLOOKUP(B432,TRAOPE!$A:$U,21,0)),"")</f>
        <v/>
      </c>
      <c r="R432" s="8">
        <f>IFERROR(IFERROR(VLOOKUP(A432,TRAOPE!$A:$W,23,0),VLOOKUP(B432,TRAOPE!$A:$W,23,0)),"")</f>
        <v/>
      </c>
      <c r="S432" s="10">
        <f>IF(AND(P432="TN",R432="TN"),N432+N(O432),IF(G432&amp;""="1",N(K432)*N432,(N432+N(O432))*N(K432)))</f>
        <v/>
      </c>
      <c r="T432" s="10">
        <f>IF(Q432="","",Q432-S432)</f>
        <v/>
      </c>
    </row>
    <row r="433">
      <c r="A433" s="7">
        <f>CONCATENATE(C433,E433,F433,I433)</f>
        <v/>
      </c>
      <c r="B433" s="7">
        <f>CONCATENATE(C433,E433,I433)</f>
        <v/>
      </c>
      <c r="C433" s="8" t="n">
        <v>900005508</v>
      </c>
      <c r="D433" s="7">
        <f>IFERROR(VLOOKUP(C433,TRAOPE!$G:$H,2,0),"")</f>
        <v/>
      </c>
      <c r="E433" s="8" t="inlineStr">
        <is>
          <t>DW68</t>
        </is>
      </c>
      <c r="F433" s="8" t="inlineStr">
        <is>
          <t>D211</t>
        </is>
      </c>
      <c r="G433" s="8">
        <f>IFERROR(VLOOKUP(A433,Flete!$A:$E,5,0),"")</f>
        <v/>
      </c>
      <c r="H433" s="7">
        <f>IFERROR(VLOOKUP(F433,TRAOPE!$AA:$AB,2,0),"")</f>
        <v/>
      </c>
      <c r="I433" s="7" t="n">
        <v>10000388</v>
      </c>
      <c r="J433" s="7">
        <f>IFERROR(VLOOKUP(I433,Materiales!$A:$H,8,0),"")</f>
        <v/>
      </c>
      <c r="K433" s="9">
        <f>IFERROR(VLOOKUP(I433,Materiales!$A:$G,7,0),"")</f>
        <v/>
      </c>
      <c r="L433" s="8" t="inlineStr">
        <is>
          <t>20220516</t>
        </is>
      </c>
      <c r="M433" s="8" t="inlineStr">
        <is>
          <t>20251031</t>
        </is>
      </c>
      <c r="N433" s="10" t="n">
        <v>89.61</v>
      </c>
      <c r="O433" s="10">
        <f>IFERROR(VLOOKUP(A433,Flete!$A:$J,10,0),"")</f>
        <v/>
      </c>
      <c r="P433" s="8" t="inlineStr">
        <is>
          <t>TN</t>
        </is>
      </c>
      <c r="Q433" s="10">
        <f>IFERROR(IFERROR(VLOOKUP(A433,TRAOPE!$A:$U,21,0),VLOOKUP(B433,TRAOPE!$A:$U,21,0)),"")</f>
        <v/>
      </c>
      <c r="R433" s="8">
        <f>IFERROR(IFERROR(VLOOKUP(A433,TRAOPE!$A:$W,23,0),VLOOKUP(B433,TRAOPE!$A:$W,23,0)),"")</f>
        <v/>
      </c>
      <c r="S433" s="10">
        <f>IF(AND(P433="TN",R433="TN"),N433+N(O433),IF(G433&amp;""="1",N(K433)*N433,(N433+N(O433))*N(K433)))</f>
        <v/>
      </c>
      <c r="T433" s="10">
        <f>IF(Q433="","",Q433-S433)</f>
        <v/>
      </c>
    </row>
    <row r="434">
      <c r="A434" s="7">
        <f>CONCATENATE(C434,E434,F434,I434)</f>
        <v/>
      </c>
      <c r="B434" s="7">
        <f>CONCATENATE(C434,E434,I434)</f>
        <v/>
      </c>
      <c r="C434" s="8" t="n">
        <v>900005508</v>
      </c>
      <c r="D434" s="7">
        <f>IFERROR(VLOOKUP(C434,TRAOPE!$G:$H,2,0),"")</f>
        <v/>
      </c>
      <c r="E434" s="8" t="inlineStr">
        <is>
          <t>DW68</t>
        </is>
      </c>
      <c r="F434" s="8" t="inlineStr">
        <is>
          <t>D214</t>
        </is>
      </c>
      <c r="G434" s="8">
        <f>IFERROR(VLOOKUP(A434,Flete!$A:$E,5,0),"")</f>
        <v/>
      </c>
      <c r="H434" s="7">
        <f>IFERROR(VLOOKUP(F434,TRAOPE!$AA:$AB,2,0),"")</f>
        <v/>
      </c>
      <c r="I434" s="7" t="n">
        <v>10000191</v>
      </c>
      <c r="J434" s="7">
        <f>IFERROR(VLOOKUP(I434,Materiales!$A:$H,8,0),"")</f>
        <v/>
      </c>
      <c r="K434" s="9">
        <f>IFERROR(VLOOKUP(I434,Materiales!$A:$G,7,0),"")</f>
        <v/>
      </c>
      <c r="L434" s="8" t="inlineStr">
        <is>
          <t>20220516</t>
        </is>
      </c>
      <c r="M434" s="8" t="inlineStr">
        <is>
          <t>20251031</t>
        </is>
      </c>
      <c r="N434" s="10" t="n">
        <v>78.01000000000001</v>
      </c>
      <c r="O434" s="10">
        <f>IFERROR(VLOOKUP(A434,Flete!$A:$J,10,0),"")</f>
        <v/>
      </c>
      <c r="P434" s="8" t="inlineStr">
        <is>
          <t>TN</t>
        </is>
      </c>
      <c r="Q434" s="10">
        <f>IFERROR(IFERROR(VLOOKUP(A434,TRAOPE!$A:$U,21,0),VLOOKUP(B434,TRAOPE!$A:$U,21,0)),"")</f>
        <v/>
      </c>
      <c r="R434" s="8">
        <f>IFERROR(IFERROR(VLOOKUP(A434,TRAOPE!$A:$W,23,0),VLOOKUP(B434,TRAOPE!$A:$W,23,0)),"")</f>
        <v/>
      </c>
      <c r="S434" s="10">
        <f>IF(AND(P434="TN",R434="TN"),N434+N(O434),IF(G434&amp;""="1",N(K434)*N434,(N434+N(O434))*N(K434)))</f>
        <v/>
      </c>
      <c r="T434" s="10">
        <f>IF(Q434="","",Q434-S434)</f>
        <v/>
      </c>
    </row>
    <row r="435">
      <c r="A435" s="7">
        <f>CONCATENATE(C435,E435,F435,I435)</f>
        <v/>
      </c>
      <c r="B435" s="7">
        <f>CONCATENATE(C435,E435,I435)</f>
        <v/>
      </c>
      <c r="C435" s="8" t="n">
        <v>900005508</v>
      </c>
      <c r="D435" s="7">
        <f>IFERROR(VLOOKUP(C435,TRAOPE!$G:$H,2,0),"")</f>
        <v/>
      </c>
      <c r="E435" s="8" t="inlineStr">
        <is>
          <t>DW68</t>
        </is>
      </c>
      <c r="F435" s="8" t="inlineStr">
        <is>
          <t>D214</t>
        </is>
      </c>
      <c r="G435" s="8">
        <f>IFERROR(VLOOKUP(A435,Flete!$A:$E,5,0),"")</f>
        <v/>
      </c>
      <c r="H435" s="7">
        <f>IFERROR(VLOOKUP(F435,TRAOPE!$AA:$AB,2,0),"")</f>
        <v/>
      </c>
      <c r="I435" s="7" t="n">
        <v>10000388</v>
      </c>
      <c r="J435" s="7">
        <f>IFERROR(VLOOKUP(I435,Materiales!$A:$H,8,0),"")</f>
        <v/>
      </c>
      <c r="K435" s="9">
        <f>IFERROR(VLOOKUP(I435,Materiales!$A:$G,7,0),"")</f>
        <v/>
      </c>
      <c r="L435" s="8" t="inlineStr">
        <is>
          <t>20220516</t>
        </is>
      </c>
      <c r="M435" s="8" t="inlineStr">
        <is>
          <t>20251031</t>
        </is>
      </c>
      <c r="N435" s="10" t="n">
        <v>78.84999999999999</v>
      </c>
      <c r="O435" s="10">
        <f>IFERROR(VLOOKUP(A435,Flete!$A:$J,10,0),"")</f>
        <v/>
      </c>
      <c r="P435" s="8" t="inlineStr">
        <is>
          <t>TN</t>
        </is>
      </c>
      <c r="Q435" s="10">
        <f>IFERROR(IFERROR(VLOOKUP(A435,TRAOPE!$A:$U,21,0),VLOOKUP(B435,TRAOPE!$A:$U,21,0)),"")</f>
        <v/>
      </c>
      <c r="R435" s="8">
        <f>IFERROR(IFERROR(VLOOKUP(A435,TRAOPE!$A:$W,23,0),VLOOKUP(B435,TRAOPE!$A:$W,23,0)),"")</f>
        <v/>
      </c>
      <c r="S435" s="10">
        <f>IF(AND(P435="TN",R435="TN"),N435+N(O435),IF(G435&amp;""="1",N(K435)*N435,(N435+N(O435))*N(K435)))</f>
        <v/>
      </c>
      <c r="T435" s="10">
        <f>IF(Q435="","",Q435-S435)</f>
        <v/>
      </c>
    </row>
    <row r="436">
      <c r="A436" s="7">
        <f>CONCATENATE(C436,E436,F436,I436)</f>
        <v/>
      </c>
      <c r="B436" s="7">
        <f>CONCATENATE(C436,E436,I436)</f>
        <v/>
      </c>
      <c r="C436" s="8" t="n">
        <v>900005508</v>
      </c>
      <c r="D436" s="7">
        <f>IFERROR(VLOOKUP(C436,TRAOPE!$G:$H,2,0),"")</f>
        <v/>
      </c>
      <c r="E436" s="8" t="inlineStr">
        <is>
          <t>DW68</t>
        </is>
      </c>
      <c r="F436" s="8" t="inlineStr">
        <is>
          <t>D228</t>
        </is>
      </c>
      <c r="G436" s="8">
        <f>IFERROR(VLOOKUP(A436,Flete!$A:$E,5,0),"")</f>
        <v/>
      </c>
      <c r="H436" s="7">
        <f>IFERROR(VLOOKUP(F436,TRAOPE!$AA:$AB,2,0),"")</f>
        <v/>
      </c>
      <c r="I436" s="7" t="n">
        <v>10000191</v>
      </c>
      <c r="J436" s="7">
        <f>IFERROR(VLOOKUP(I436,Materiales!$A:$H,8,0),"")</f>
        <v/>
      </c>
      <c r="K436" s="9">
        <f>IFERROR(VLOOKUP(I436,Materiales!$A:$G,7,0),"")</f>
        <v/>
      </c>
      <c r="L436" s="8" t="inlineStr">
        <is>
          <t>20220516</t>
        </is>
      </c>
      <c r="M436" s="8" t="inlineStr">
        <is>
          <t>20251031</t>
        </is>
      </c>
      <c r="N436" s="10" t="n">
        <v>78.01000000000001</v>
      </c>
      <c r="O436" s="10">
        <f>IFERROR(VLOOKUP(A436,Flete!$A:$J,10,0),"")</f>
        <v/>
      </c>
      <c r="P436" s="8" t="inlineStr">
        <is>
          <t>TN</t>
        </is>
      </c>
      <c r="Q436" s="10">
        <f>IFERROR(IFERROR(VLOOKUP(A436,TRAOPE!$A:$U,21,0),VLOOKUP(B436,TRAOPE!$A:$U,21,0)),"")</f>
        <v/>
      </c>
      <c r="R436" s="8">
        <f>IFERROR(IFERROR(VLOOKUP(A436,TRAOPE!$A:$W,23,0),VLOOKUP(B436,TRAOPE!$A:$W,23,0)),"")</f>
        <v/>
      </c>
      <c r="S436" s="10">
        <f>IF(AND(P436="TN",R436="TN"),N436+N(O436),IF(G436&amp;""="1",N(K436)*N436,(N436+N(O436))*N(K436)))</f>
        <v/>
      </c>
      <c r="T436" s="10">
        <f>IF(Q436="","",Q436-S436)</f>
        <v/>
      </c>
    </row>
    <row r="437">
      <c r="A437" s="7">
        <f>CONCATENATE(C437,E437,F437,I437)</f>
        <v/>
      </c>
      <c r="B437" s="7">
        <f>CONCATENATE(C437,E437,I437)</f>
        <v/>
      </c>
      <c r="C437" s="8" t="n">
        <v>900005508</v>
      </c>
      <c r="D437" s="7">
        <f>IFERROR(VLOOKUP(C437,TRAOPE!$G:$H,2,0),"")</f>
        <v/>
      </c>
      <c r="E437" s="8" t="inlineStr">
        <is>
          <t>DW68</t>
        </is>
      </c>
      <c r="F437" s="8" t="inlineStr">
        <is>
          <t>D228</t>
        </is>
      </c>
      <c r="G437" s="8">
        <f>IFERROR(VLOOKUP(A437,Flete!$A:$E,5,0),"")</f>
        <v/>
      </c>
      <c r="H437" s="7">
        <f>IFERROR(VLOOKUP(F437,TRAOPE!$AA:$AB,2,0),"")</f>
        <v/>
      </c>
      <c r="I437" s="7" t="n">
        <v>10000388</v>
      </c>
      <c r="J437" s="7">
        <f>IFERROR(VLOOKUP(I437,Materiales!$A:$H,8,0),"")</f>
        <v/>
      </c>
      <c r="K437" s="9">
        <f>IFERROR(VLOOKUP(I437,Materiales!$A:$G,7,0),"")</f>
        <v/>
      </c>
      <c r="L437" s="8" t="inlineStr">
        <is>
          <t>20220516</t>
        </is>
      </c>
      <c r="M437" s="8" t="inlineStr">
        <is>
          <t>20251031</t>
        </is>
      </c>
      <c r="N437" s="10" t="n">
        <v>78.84999999999999</v>
      </c>
      <c r="O437" s="10">
        <f>IFERROR(VLOOKUP(A437,Flete!$A:$J,10,0),"")</f>
        <v/>
      </c>
      <c r="P437" s="8" t="inlineStr">
        <is>
          <t>TN</t>
        </is>
      </c>
      <c r="Q437" s="10">
        <f>IFERROR(IFERROR(VLOOKUP(A437,TRAOPE!$A:$U,21,0),VLOOKUP(B437,TRAOPE!$A:$U,21,0)),"")</f>
        <v/>
      </c>
      <c r="R437" s="8">
        <f>IFERROR(IFERROR(VLOOKUP(A437,TRAOPE!$A:$W,23,0),VLOOKUP(B437,TRAOPE!$A:$W,23,0)),"")</f>
        <v/>
      </c>
      <c r="S437" s="10">
        <f>IF(AND(P437="TN",R437="TN"),N437+N(O437),IF(G437&amp;""="1",N(K437)*N437,(N437+N(O437))*N(K437)))</f>
        <v/>
      </c>
      <c r="T437" s="10">
        <f>IF(Q437="","",Q437-S437)</f>
        <v/>
      </c>
    </row>
    <row r="438">
      <c r="A438" s="7">
        <f>CONCATENATE(C438,E438,F438,I438)</f>
        <v/>
      </c>
      <c r="B438" s="7">
        <f>CONCATENATE(C438,E438,I438)</f>
        <v/>
      </c>
      <c r="C438" s="8" t="n">
        <v>900005508</v>
      </c>
      <c r="D438" s="7">
        <f>IFERROR(VLOOKUP(C438,TRAOPE!$G:$H,2,0),"")</f>
        <v/>
      </c>
      <c r="E438" s="8" t="inlineStr">
        <is>
          <t>DW68</t>
        </is>
      </c>
      <c r="F438" s="8" t="inlineStr">
        <is>
          <t>D242</t>
        </is>
      </c>
      <c r="G438" s="8">
        <f>IFERROR(VLOOKUP(A438,Flete!$A:$E,5,0),"")</f>
        <v/>
      </c>
      <c r="H438" s="7">
        <f>IFERROR(VLOOKUP(F438,TRAOPE!$AA:$AB,2,0),"")</f>
        <v/>
      </c>
      <c r="I438" s="7" t="n">
        <v>10000191</v>
      </c>
      <c r="J438" s="7">
        <f>IFERROR(VLOOKUP(I438,Materiales!$A:$H,8,0),"")</f>
        <v/>
      </c>
      <c r="K438" s="9">
        <f>IFERROR(VLOOKUP(I438,Materiales!$A:$G,7,0),"")</f>
        <v/>
      </c>
      <c r="L438" s="8" t="inlineStr">
        <is>
          <t>20220516</t>
        </is>
      </c>
      <c r="M438" s="8" t="inlineStr">
        <is>
          <t>20251031</t>
        </is>
      </c>
      <c r="N438" s="10" t="n">
        <v>78.01000000000001</v>
      </c>
      <c r="O438" s="10">
        <f>IFERROR(VLOOKUP(A438,Flete!$A:$J,10,0),"")</f>
        <v/>
      </c>
      <c r="P438" s="8" t="inlineStr">
        <is>
          <t>TN</t>
        </is>
      </c>
      <c r="Q438" s="10">
        <f>IFERROR(IFERROR(VLOOKUP(A438,TRAOPE!$A:$U,21,0),VLOOKUP(B438,TRAOPE!$A:$U,21,0)),"")</f>
        <v/>
      </c>
      <c r="R438" s="8">
        <f>IFERROR(IFERROR(VLOOKUP(A438,TRAOPE!$A:$W,23,0),VLOOKUP(B438,TRAOPE!$A:$W,23,0)),"")</f>
        <v/>
      </c>
      <c r="S438" s="10">
        <f>IF(AND(P438="TN",R438="TN"),N438+N(O438),IF(G438&amp;""="1",N(K438)*N438,(N438+N(O438))*N(K438)))</f>
        <v/>
      </c>
      <c r="T438" s="10">
        <f>IF(Q438="","",Q438-S438)</f>
        <v/>
      </c>
    </row>
    <row r="439">
      <c r="A439" s="7">
        <f>CONCATENATE(C439,E439,F439,I439)</f>
        <v/>
      </c>
      <c r="B439" s="7">
        <f>CONCATENATE(C439,E439,I439)</f>
        <v/>
      </c>
      <c r="C439" s="8" t="n">
        <v>900005508</v>
      </c>
      <c r="D439" s="7">
        <f>IFERROR(VLOOKUP(C439,TRAOPE!$G:$H,2,0),"")</f>
        <v/>
      </c>
      <c r="E439" s="8" t="inlineStr">
        <is>
          <t>DW68</t>
        </is>
      </c>
      <c r="F439" s="8" t="inlineStr">
        <is>
          <t>D242</t>
        </is>
      </c>
      <c r="G439" s="8">
        <f>IFERROR(VLOOKUP(A439,Flete!$A:$E,5,0),"")</f>
        <v/>
      </c>
      <c r="H439" s="7">
        <f>IFERROR(VLOOKUP(F439,TRAOPE!$AA:$AB,2,0),"")</f>
        <v/>
      </c>
      <c r="I439" s="7" t="n">
        <v>10000388</v>
      </c>
      <c r="J439" s="7">
        <f>IFERROR(VLOOKUP(I439,Materiales!$A:$H,8,0),"")</f>
        <v/>
      </c>
      <c r="K439" s="9">
        <f>IFERROR(VLOOKUP(I439,Materiales!$A:$G,7,0),"")</f>
        <v/>
      </c>
      <c r="L439" s="8" t="inlineStr">
        <is>
          <t>20220516</t>
        </is>
      </c>
      <c r="M439" s="8" t="inlineStr">
        <is>
          <t>20251031</t>
        </is>
      </c>
      <c r="N439" s="10" t="n">
        <v>89.61</v>
      </c>
      <c r="O439" s="10">
        <f>IFERROR(VLOOKUP(A439,Flete!$A:$J,10,0),"")</f>
        <v/>
      </c>
      <c r="P439" s="8" t="inlineStr">
        <is>
          <t>TN</t>
        </is>
      </c>
      <c r="Q439" s="10">
        <f>IFERROR(IFERROR(VLOOKUP(A439,TRAOPE!$A:$U,21,0),VLOOKUP(B439,TRAOPE!$A:$U,21,0)),"")</f>
        <v/>
      </c>
      <c r="R439" s="8">
        <f>IFERROR(IFERROR(VLOOKUP(A439,TRAOPE!$A:$W,23,0),VLOOKUP(B439,TRAOPE!$A:$W,23,0)),"")</f>
        <v/>
      </c>
      <c r="S439" s="10">
        <f>IF(AND(P439="TN",R439="TN"),N439+N(O439),IF(G439&amp;""="1",N(K439)*N439,(N439+N(O439))*N(K439)))</f>
        <v/>
      </c>
      <c r="T439" s="10">
        <f>IF(Q439="","",Q439-S439)</f>
        <v/>
      </c>
    </row>
    <row r="440">
      <c r="A440" s="7">
        <f>CONCATENATE(C440,E440,F440,I440)</f>
        <v/>
      </c>
      <c r="B440" s="7">
        <f>CONCATENATE(C440,E440,I440)</f>
        <v/>
      </c>
      <c r="C440" s="8" t="n">
        <v>900005508</v>
      </c>
      <c r="D440" s="7">
        <f>IFERROR(VLOOKUP(C440,TRAOPE!$G:$H,2,0),"")</f>
        <v/>
      </c>
      <c r="E440" s="8" t="inlineStr">
        <is>
          <t>DW68</t>
        </is>
      </c>
      <c r="F440" s="8" t="inlineStr">
        <is>
          <t>D251</t>
        </is>
      </c>
      <c r="G440" s="8">
        <f>IFERROR(VLOOKUP(A440,Flete!$A:$E,5,0),"")</f>
        <v/>
      </c>
      <c r="H440" s="7">
        <f>IFERROR(VLOOKUP(F440,TRAOPE!$AA:$AB,2,0),"")</f>
        <v/>
      </c>
      <c r="I440" s="7" t="n">
        <v>10000191</v>
      </c>
      <c r="J440" s="7">
        <f>IFERROR(VLOOKUP(I440,Materiales!$A:$H,8,0),"")</f>
        <v/>
      </c>
      <c r="K440" s="9">
        <f>IFERROR(VLOOKUP(I440,Materiales!$A:$G,7,0),"")</f>
        <v/>
      </c>
      <c r="L440" s="8" t="inlineStr">
        <is>
          <t>20220516</t>
        </is>
      </c>
      <c r="M440" s="8" t="inlineStr">
        <is>
          <t>20251031</t>
        </is>
      </c>
      <c r="N440" s="10" t="n">
        <v>78.01000000000001</v>
      </c>
      <c r="O440" s="10">
        <f>IFERROR(VLOOKUP(A440,Flete!$A:$J,10,0),"")</f>
        <v/>
      </c>
      <c r="P440" s="8" t="inlineStr">
        <is>
          <t>TN</t>
        </is>
      </c>
      <c r="Q440" s="10">
        <f>IFERROR(IFERROR(VLOOKUP(A440,TRAOPE!$A:$U,21,0),VLOOKUP(B440,TRAOPE!$A:$U,21,0)),"")</f>
        <v/>
      </c>
      <c r="R440" s="8">
        <f>IFERROR(IFERROR(VLOOKUP(A440,TRAOPE!$A:$W,23,0),VLOOKUP(B440,TRAOPE!$A:$W,23,0)),"")</f>
        <v/>
      </c>
      <c r="S440" s="10">
        <f>IF(AND(P440="TN",R440="TN"),N440+N(O440),IF(G440&amp;""="1",N(K440)*N440,(N440+N(O440))*N(K440)))</f>
        <v/>
      </c>
      <c r="T440" s="10">
        <f>IF(Q440="","",Q440-S440)</f>
        <v/>
      </c>
    </row>
    <row r="441">
      <c r="A441" s="7">
        <f>CONCATENATE(C441,E441,F441,I441)</f>
        <v/>
      </c>
      <c r="B441" s="7">
        <f>CONCATENATE(C441,E441,I441)</f>
        <v/>
      </c>
      <c r="C441" s="8" t="n">
        <v>900005508</v>
      </c>
      <c r="D441" s="7">
        <f>IFERROR(VLOOKUP(C441,TRAOPE!$G:$H,2,0),"")</f>
        <v/>
      </c>
      <c r="E441" s="8" t="inlineStr">
        <is>
          <t>DW68</t>
        </is>
      </c>
      <c r="F441" s="8" t="inlineStr">
        <is>
          <t>D251</t>
        </is>
      </c>
      <c r="G441" s="8">
        <f>IFERROR(VLOOKUP(A441,Flete!$A:$E,5,0),"")</f>
        <v/>
      </c>
      <c r="H441" s="7">
        <f>IFERROR(VLOOKUP(F441,TRAOPE!$AA:$AB,2,0),"")</f>
        <v/>
      </c>
      <c r="I441" s="7" t="n">
        <v>10000388</v>
      </c>
      <c r="J441" s="7">
        <f>IFERROR(VLOOKUP(I441,Materiales!$A:$H,8,0),"")</f>
        <v/>
      </c>
      <c r="K441" s="9">
        <f>IFERROR(VLOOKUP(I441,Materiales!$A:$G,7,0),"")</f>
        <v/>
      </c>
      <c r="L441" s="8" t="inlineStr">
        <is>
          <t>20220516</t>
        </is>
      </c>
      <c r="M441" s="8" t="inlineStr">
        <is>
          <t>20251031</t>
        </is>
      </c>
      <c r="N441" s="10" t="n">
        <v>89.61</v>
      </c>
      <c r="O441" s="10">
        <f>IFERROR(VLOOKUP(A441,Flete!$A:$J,10,0),"")</f>
        <v/>
      </c>
      <c r="P441" s="8" t="inlineStr">
        <is>
          <t>TN</t>
        </is>
      </c>
      <c r="Q441" s="10">
        <f>IFERROR(IFERROR(VLOOKUP(A441,TRAOPE!$A:$U,21,0),VLOOKUP(B441,TRAOPE!$A:$U,21,0)),"")</f>
        <v/>
      </c>
      <c r="R441" s="8">
        <f>IFERROR(IFERROR(VLOOKUP(A441,TRAOPE!$A:$W,23,0),VLOOKUP(B441,TRAOPE!$A:$W,23,0)),"")</f>
        <v/>
      </c>
      <c r="S441" s="10">
        <f>IF(AND(P441="TN",R441="TN"),N441+N(O441),IF(G441&amp;""="1",N(K441)*N441,(N441+N(O441))*N(K441)))</f>
        <v/>
      </c>
      <c r="T441" s="10">
        <f>IF(Q441="","",Q441-S441)</f>
        <v/>
      </c>
    </row>
    <row r="442">
      <c r="A442" s="7">
        <f>CONCATENATE(C442,E442,F442,I442)</f>
        <v/>
      </c>
      <c r="B442" s="7">
        <f>CONCATENATE(C442,E442,I442)</f>
        <v/>
      </c>
      <c r="C442" s="8" t="n">
        <v>900005508</v>
      </c>
      <c r="D442" s="7">
        <f>IFERROR(VLOOKUP(C442,TRAOPE!$G:$H,2,0),"")</f>
        <v/>
      </c>
      <c r="E442" s="8" t="inlineStr">
        <is>
          <t>DW68</t>
        </is>
      </c>
      <c r="F442" s="8" t="inlineStr">
        <is>
          <t>D264</t>
        </is>
      </c>
      <c r="G442" s="8">
        <f>IFERROR(VLOOKUP(A442,Flete!$A:$E,5,0),"")</f>
        <v/>
      </c>
      <c r="H442" s="7">
        <f>IFERROR(VLOOKUP(F442,TRAOPE!$AA:$AB,2,0),"")</f>
        <v/>
      </c>
      <c r="I442" s="7" t="n">
        <v>10000191</v>
      </c>
      <c r="J442" s="7">
        <f>IFERROR(VLOOKUP(I442,Materiales!$A:$H,8,0),"")</f>
        <v/>
      </c>
      <c r="K442" s="9">
        <f>IFERROR(VLOOKUP(I442,Materiales!$A:$G,7,0),"")</f>
        <v/>
      </c>
      <c r="L442" s="8" t="inlineStr">
        <is>
          <t>20220516</t>
        </is>
      </c>
      <c r="M442" s="8" t="inlineStr">
        <is>
          <t>20251031</t>
        </is>
      </c>
      <c r="N442" s="10" t="n">
        <v>78.01000000000001</v>
      </c>
      <c r="O442" s="10">
        <f>IFERROR(VLOOKUP(A442,Flete!$A:$J,10,0),"")</f>
        <v/>
      </c>
      <c r="P442" s="8" t="inlineStr">
        <is>
          <t>TN</t>
        </is>
      </c>
      <c r="Q442" s="10">
        <f>IFERROR(IFERROR(VLOOKUP(A442,TRAOPE!$A:$U,21,0),VLOOKUP(B442,TRAOPE!$A:$U,21,0)),"")</f>
        <v/>
      </c>
      <c r="R442" s="8">
        <f>IFERROR(IFERROR(VLOOKUP(A442,TRAOPE!$A:$W,23,0),VLOOKUP(B442,TRAOPE!$A:$W,23,0)),"")</f>
        <v/>
      </c>
      <c r="S442" s="10">
        <f>IF(AND(P442="TN",R442="TN"),N442+N(O442),IF(G442&amp;""="1",N(K442)*N442,(N442+N(O442))*N(K442)))</f>
        <v/>
      </c>
      <c r="T442" s="10">
        <f>IF(Q442="","",Q442-S442)</f>
        <v/>
      </c>
    </row>
    <row r="443">
      <c r="A443" s="7">
        <f>CONCATENATE(C443,E443,F443,I443)</f>
        <v/>
      </c>
      <c r="B443" s="7">
        <f>CONCATENATE(C443,E443,I443)</f>
        <v/>
      </c>
      <c r="C443" s="8" t="n">
        <v>900005508</v>
      </c>
      <c r="D443" s="7">
        <f>IFERROR(VLOOKUP(C443,TRAOPE!$G:$H,2,0),"")</f>
        <v/>
      </c>
      <c r="E443" s="8" t="inlineStr">
        <is>
          <t>DW68</t>
        </is>
      </c>
      <c r="F443" s="8" t="inlineStr">
        <is>
          <t>D264</t>
        </is>
      </c>
      <c r="G443" s="8">
        <f>IFERROR(VLOOKUP(A443,Flete!$A:$E,5,0),"")</f>
        <v/>
      </c>
      <c r="H443" s="7">
        <f>IFERROR(VLOOKUP(F443,TRAOPE!$AA:$AB,2,0),"")</f>
        <v/>
      </c>
      <c r="I443" s="7" t="n">
        <v>10000388</v>
      </c>
      <c r="J443" s="7">
        <f>IFERROR(VLOOKUP(I443,Materiales!$A:$H,8,0),"")</f>
        <v/>
      </c>
      <c r="K443" s="9">
        <f>IFERROR(VLOOKUP(I443,Materiales!$A:$G,7,0),"")</f>
        <v/>
      </c>
      <c r="L443" s="8" t="inlineStr">
        <is>
          <t>20220516</t>
        </is>
      </c>
      <c r="M443" s="8" t="inlineStr">
        <is>
          <t>20251031</t>
        </is>
      </c>
      <c r="N443" s="10" t="n">
        <v>89.61</v>
      </c>
      <c r="O443" s="10">
        <f>IFERROR(VLOOKUP(A443,Flete!$A:$J,10,0),"")</f>
        <v/>
      </c>
      <c r="P443" s="8" t="inlineStr">
        <is>
          <t>TN</t>
        </is>
      </c>
      <c r="Q443" s="10">
        <f>IFERROR(IFERROR(VLOOKUP(A443,TRAOPE!$A:$U,21,0),VLOOKUP(B443,TRAOPE!$A:$U,21,0)),"")</f>
        <v/>
      </c>
      <c r="R443" s="8">
        <f>IFERROR(IFERROR(VLOOKUP(A443,TRAOPE!$A:$W,23,0),VLOOKUP(B443,TRAOPE!$A:$W,23,0)),"")</f>
        <v/>
      </c>
      <c r="S443" s="10">
        <f>IF(AND(P443="TN",R443="TN"),N443+N(O443),IF(G443&amp;""="1",N(K443)*N443,(N443+N(O443))*N(K443)))</f>
        <v/>
      </c>
      <c r="T443" s="10">
        <f>IF(Q443="","",Q443-S443)</f>
        <v/>
      </c>
    </row>
    <row r="444">
      <c r="A444" s="7">
        <f>CONCATENATE(C444,E444,F444,I444)</f>
        <v/>
      </c>
      <c r="B444" s="7">
        <f>CONCATENATE(C444,E444,I444)</f>
        <v/>
      </c>
      <c r="C444" s="8" t="n">
        <v>900005508</v>
      </c>
      <c r="D444" s="7">
        <f>IFERROR(VLOOKUP(C444,TRAOPE!$G:$H,2,0),"")</f>
        <v/>
      </c>
      <c r="E444" s="8" t="inlineStr">
        <is>
          <t>DW68</t>
        </is>
      </c>
      <c r="F444" s="8" t="inlineStr">
        <is>
          <t>D267</t>
        </is>
      </c>
      <c r="G444" s="8">
        <f>IFERROR(VLOOKUP(A444,Flete!$A:$E,5,0),"")</f>
        <v/>
      </c>
      <c r="H444" s="7">
        <f>IFERROR(VLOOKUP(F444,TRAOPE!$AA:$AB,2,0),"")</f>
        <v/>
      </c>
      <c r="I444" s="7" t="n">
        <v>10000191</v>
      </c>
      <c r="J444" s="7">
        <f>IFERROR(VLOOKUP(I444,Materiales!$A:$H,8,0),"")</f>
        <v/>
      </c>
      <c r="K444" s="9">
        <f>IFERROR(VLOOKUP(I444,Materiales!$A:$G,7,0),"")</f>
        <v/>
      </c>
      <c r="L444" s="8" t="inlineStr">
        <is>
          <t>20220516</t>
        </is>
      </c>
      <c r="M444" s="8" t="inlineStr">
        <is>
          <t>20251031</t>
        </is>
      </c>
      <c r="N444" s="10" t="n">
        <v>78.01000000000001</v>
      </c>
      <c r="O444" s="10">
        <f>IFERROR(VLOOKUP(A444,Flete!$A:$J,10,0),"")</f>
        <v/>
      </c>
      <c r="P444" s="8" t="inlineStr">
        <is>
          <t>TN</t>
        </is>
      </c>
      <c r="Q444" s="10">
        <f>IFERROR(IFERROR(VLOOKUP(A444,TRAOPE!$A:$U,21,0),VLOOKUP(B444,TRAOPE!$A:$U,21,0)),"")</f>
        <v/>
      </c>
      <c r="R444" s="8">
        <f>IFERROR(IFERROR(VLOOKUP(A444,TRAOPE!$A:$W,23,0),VLOOKUP(B444,TRAOPE!$A:$W,23,0)),"")</f>
        <v/>
      </c>
      <c r="S444" s="10">
        <f>IF(AND(P444="TN",R444="TN"),N444+N(O444),IF(G444&amp;""="1",N(K444)*N444,(N444+N(O444))*N(K444)))</f>
        <v/>
      </c>
      <c r="T444" s="10">
        <f>IF(Q444="","",Q444-S444)</f>
        <v/>
      </c>
    </row>
    <row r="445">
      <c r="A445" s="7">
        <f>CONCATENATE(C445,E445,F445,I445)</f>
        <v/>
      </c>
      <c r="B445" s="7">
        <f>CONCATENATE(C445,E445,I445)</f>
        <v/>
      </c>
      <c r="C445" s="8" t="n">
        <v>900005508</v>
      </c>
      <c r="D445" s="7">
        <f>IFERROR(VLOOKUP(C445,TRAOPE!$G:$H,2,0),"")</f>
        <v/>
      </c>
      <c r="E445" s="8" t="inlineStr">
        <is>
          <t>DW68</t>
        </is>
      </c>
      <c r="F445" s="8" t="inlineStr">
        <is>
          <t>D267</t>
        </is>
      </c>
      <c r="G445" s="8">
        <f>IFERROR(VLOOKUP(A445,Flete!$A:$E,5,0),"")</f>
        <v/>
      </c>
      <c r="H445" s="7">
        <f>IFERROR(VLOOKUP(F445,TRAOPE!$AA:$AB,2,0),"")</f>
        <v/>
      </c>
      <c r="I445" s="7" t="n">
        <v>10000388</v>
      </c>
      <c r="J445" s="7">
        <f>IFERROR(VLOOKUP(I445,Materiales!$A:$H,8,0),"")</f>
        <v/>
      </c>
      <c r="K445" s="9">
        <f>IFERROR(VLOOKUP(I445,Materiales!$A:$G,7,0),"")</f>
        <v/>
      </c>
      <c r="L445" s="8" t="inlineStr">
        <is>
          <t>20220516</t>
        </is>
      </c>
      <c r="M445" s="8" t="inlineStr">
        <is>
          <t>20251031</t>
        </is>
      </c>
      <c r="N445" s="10" t="n">
        <v>89.61</v>
      </c>
      <c r="O445" s="10">
        <f>IFERROR(VLOOKUP(A445,Flete!$A:$J,10,0),"")</f>
        <v/>
      </c>
      <c r="P445" s="8" t="inlineStr">
        <is>
          <t>TN</t>
        </is>
      </c>
      <c r="Q445" s="10">
        <f>IFERROR(IFERROR(VLOOKUP(A445,TRAOPE!$A:$U,21,0),VLOOKUP(B445,TRAOPE!$A:$U,21,0)),"")</f>
        <v/>
      </c>
      <c r="R445" s="8">
        <f>IFERROR(IFERROR(VLOOKUP(A445,TRAOPE!$A:$W,23,0),VLOOKUP(B445,TRAOPE!$A:$W,23,0)),"")</f>
        <v/>
      </c>
      <c r="S445" s="10">
        <f>IF(AND(P445="TN",R445="TN"),N445+N(O445),IF(G445&amp;""="1",N(K445)*N445,(N445+N(O445))*N(K445)))</f>
        <v/>
      </c>
      <c r="T445" s="10">
        <f>IF(Q445="","",Q445-S445)</f>
        <v/>
      </c>
    </row>
    <row r="446">
      <c r="A446" s="7">
        <f>CONCATENATE(C446,E446,F446,I446)</f>
        <v/>
      </c>
      <c r="B446" s="7">
        <f>CONCATENATE(C446,E446,I446)</f>
        <v/>
      </c>
      <c r="C446" s="8" t="n">
        <v>900005508</v>
      </c>
      <c r="D446" s="7">
        <f>IFERROR(VLOOKUP(C446,TRAOPE!$G:$H,2,0),"")</f>
        <v/>
      </c>
      <c r="E446" s="8" t="inlineStr">
        <is>
          <t>DW68</t>
        </is>
      </c>
      <c r="F446" s="8" t="inlineStr">
        <is>
          <t>D268</t>
        </is>
      </c>
      <c r="G446" s="8">
        <f>IFERROR(VLOOKUP(A446,Flete!$A:$E,5,0),"")</f>
        <v/>
      </c>
      <c r="H446" s="7">
        <f>IFERROR(VLOOKUP(F446,TRAOPE!$AA:$AB,2,0),"")</f>
        <v/>
      </c>
      <c r="I446" s="7" t="n">
        <v>10000388</v>
      </c>
      <c r="J446" s="7">
        <f>IFERROR(VLOOKUP(I446,Materiales!$A:$H,8,0),"")</f>
        <v/>
      </c>
      <c r="K446" s="9">
        <f>IFERROR(VLOOKUP(I446,Materiales!$A:$G,7,0),"")</f>
        <v/>
      </c>
      <c r="L446" s="8" t="inlineStr">
        <is>
          <t>20220516</t>
        </is>
      </c>
      <c r="M446" s="8" t="inlineStr">
        <is>
          <t>20251031</t>
        </is>
      </c>
      <c r="N446" s="10" t="n">
        <v>78.84999999999999</v>
      </c>
      <c r="O446" s="10">
        <f>IFERROR(VLOOKUP(A446,Flete!$A:$J,10,0),"")</f>
        <v/>
      </c>
      <c r="P446" s="8" t="inlineStr">
        <is>
          <t>TN</t>
        </is>
      </c>
      <c r="Q446" s="10">
        <f>IFERROR(IFERROR(VLOOKUP(A446,TRAOPE!$A:$U,21,0),VLOOKUP(B446,TRAOPE!$A:$U,21,0)),"")</f>
        <v/>
      </c>
      <c r="R446" s="8">
        <f>IFERROR(IFERROR(VLOOKUP(A446,TRAOPE!$A:$W,23,0),VLOOKUP(B446,TRAOPE!$A:$W,23,0)),"")</f>
        <v/>
      </c>
      <c r="S446" s="10">
        <f>IF(AND(P446="TN",R446="TN"),N446+N(O446),IF(G446&amp;""="1",N(K446)*N446,(N446+N(O446))*N(K446)))</f>
        <v/>
      </c>
      <c r="T446" s="10">
        <f>IF(Q446="","",Q446-S446)</f>
        <v/>
      </c>
    </row>
    <row r="447">
      <c r="A447" s="7">
        <f>CONCATENATE(C447,E447,F447,I447)</f>
        <v/>
      </c>
      <c r="B447" s="7">
        <f>CONCATENATE(C447,E447,I447)</f>
        <v/>
      </c>
      <c r="C447" s="8" t="n">
        <v>900005660</v>
      </c>
      <c r="D447" s="7">
        <f>IFERROR(VLOOKUP(C447,TRAOPE!$G:$H,2,0),"")</f>
        <v/>
      </c>
      <c r="E447" s="8" t="inlineStr">
        <is>
          <t>DW68</t>
        </is>
      </c>
      <c r="F447" s="8" t="inlineStr">
        <is>
          <t>D042</t>
        </is>
      </c>
      <c r="G447" s="8">
        <f>IFERROR(VLOOKUP(A447,Flete!$A:$E,5,0),"")</f>
        <v/>
      </c>
      <c r="H447" s="7">
        <f>IFERROR(VLOOKUP(F447,TRAOPE!$AA:$AB,2,0),"")</f>
        <v/>
      </c>
      <c r="I447" s="7" t="n">
        <v>10000320</v>
      </c>
      <c r="J447" s="7">
        <f>IFERROR(VLOOKUP(I447,Materiales!$A:$H,8,0),"")</f>
        <v/>
      </c>
      <c r="K447" s="9">
        <f>IFERROR(VLOOKUP(I447,Materiales!$A:$G,7,0),"")</f>
        <v/>
      </c>
      <c r="L447" s="8" t="inlineStr">
        <is>
          <t>20220516</t>
        </is>
      </c>
      <c r="M447" s="8" t="inlineStr">
        <is>
          <t>20251031</t>
        </is>
      </c>
      <c r="N447" s="10" t="n">
        <v>130</v>
      </c>
      <c r="O447" s="10">
        <f>IFERROR(VLOOKUP(A447,Flete!$A:$J,10,0),"")</f>
        <v/>
      </c>
      <c r="P447" s="8" t="inlineStr">
        <is>
          <t>TN</t>
        </is>
      </c>
      <c r="Q447" s="10">
        <f>IFERROR(IFERROR(VLOOKUP(A447,TRAOPE!$A:$U,21,0),VLOOKUP(B447,TRAOPE!$A:$U,21,0)),"")</f>
        <v/>
      </c>
      <c r="R447" s="8">
        <f>IFERROR(IFERROR(VLOOKUP(A447,TRAOPE!$A:$W,23,0),VLOOKUP(B447,TRAOPE!$A:$W,23,0)),"")</f>
        <v/>
      </c>
      <c r="S447" s="10">
        <f>IF(AND(P447="TN",R447="TN"),N447+N(O447),IF(G447&amp;""="1",N(K447)*N447,(N447+N(O447))*N(K447)))</f>
        <v/>
      </c>
      <c r="T447" s="10">
        <f>IF(Q447="","",Q447-S447)</f>
        <v/>
      </c>
    </row>
    <row r="448">
      <c r="A448" s="7">
        <f>CONCATENATE(C448,E448,F448,I448)</f>
        <v/>
      </c>
      <c r="B448" s="7">
        <f>CONCATENATE(C448,E448,I448)</f>
        <v/>
      </c>
      <c r="C448" s="8" t="n">
        <v>900005660</v>
      </c>
      <c r="D448" s="7">
        <f>IFERROR(VLOOKUP(C448,TRAOPE!$G:$H,2,0),"")</f>
        <v/>
      </c>
      <c r="E448" s="8" t="inlineStr">
        <is>
          <t>DW68</t>
        </is>
      </c>
      <c r="F448" s="8" t="inlineStr">
        <is>
          <t>D209</t>
        </is>
      </c>
      <c r="G448" s="8">
        <f>IFERROR(VLOOKUP(A448,Flete!$A:$E,5,0),"")</f>
        <v/>
      </c>
      <c r="H448" s="7">
        <f>IFERROR(VLOOKUP(F448,TRAOPE!$AA:$AB,2,0),"")</f>
        <v/>
      </c>
      <c r="I448" s="7" t="n">
        <v>10000320</v>
      </c>
      <c r="J448" s="7">
        <f>IFERROR(VLOOKUP(I448,Materiales!$A:$H,8,0),"")</f>
        <v/>
      </c>
      <c r="K448" s="9">
        <f>IFERROR(VLOOKUP(I448,Materiales!$A:$G,7,0),"")</f>
        <v/>
      </c>
      <c r="L448" s="8" t="inlineStr">
        <is>
          <t>20220516</t>
        </is>
      </c>
      <c r="M448" s="8" t="inlineStr">
        <is>
          <t>20251031</t>
        </is>
      </c>
      <c r="N448" s="10" t="n">
        <v>130</v>
      </c>
      <c r="O448" s="10">
        <f>IFERROR(VLOOKUP(A448,Flete!$A:$J,10,0),"")</f>
        <v/>
      </c>
      <c r="P448" s="8" t="inlineStr">
        <is>
          <t>TN</t>
        </is>
      </c>
      <c r="Q448" s="10">
        <f>IFERROR(IFERROR(VLOOKUP(A448,TRAOPE!$A:$U,21,0),VLOOKUP(B448,TRAOPE!$A:$U,21,0)),"")</f>
        <v/>
      </c>
      <c r="R448" s="8">
        <f>IFERROR(IFERROR(VLOOKUP(A448,TRAOPE!$A:$W,23,0),VLOOKUP(B448,TRAOPE!$A:$W,23,0)),"")</f>
        <v/>
      </c>
      <c r="S448" s="10">
        <f>IF(AND(P448="TN",R448="TN"),N448+N(O448),IF(G448&amp;""="1",N(K448)*N448,(N448+N(O448))*N(K448)))</f>
        <v/>
      </c>
      <c r="T448" s="10">
        <f>IF(Q448="","",Q448-S448)</f>
        <v/>
      </c>
    </row>
    <row r="449">
      <c r="A449" s="7">
        <f>CONCATENATE(C449,E449,F449,I449)</f>
        <v/>
      </c>
      <c r="B449" s="7">
        <f>CONCATENATE(C449,E449,I449)</f>
        <v/>
      </c>
      <c r="C449" s="8" t="n">
        <v>900005660</v>
      </c>
      <c r="D449" s="7">
        <f>IFERROR(VLOOKUP(C449,TRAOPE!$G:$H,2,0),"")</f>
        <v/>
      </c>
      <c r="E449" s="8" t="inlineStr">
        <is>
          <t>DW68</t>
        </is>
      </c>
      <c r="F449" s="8" t="inlineStr">
        <is>
          <t>D211</t>
        </is>
      </c>
      <c r="G449" s="8">
        <f>IFERROR(VLOOKUP(A449,Flete!$A:$E,5,0),"")</f>
        <v/>
      </c>
      <c r="H449" s="7">
        <f>IFERROR(VLOOKUP(F449,TRAOPE!$AA:$AB,2,0),"")</f>
        <v/>
      </c>
      <c r="I449" s="7" t="n">
        <v>10000320</v>
      </c>
      <c r="J449" s="7">
        <f>IFERROR(VLOOKUP(I449,Materiales!$A:$H,8,0),"")</f>
        <v/>
      </c>
      <c r="K449" s="9">
        <f>IFERROR(VLOOKUP(I449,Materiales!$A:$G,7,0),"")</f>
        <v/>
      </c>
      <c r="L449" s="8" t="inlineStr">
        <is>
          <t>20220516</t>
        </is>
      </c>
      <c r="M449" s="8" t="inlineStr">
        <is>
          <t>20251031</t>
        </is>
      </c>
      <c r="N449" s="10" t="n">
        <v>130</v>
      </c>
      <c r="O449" s="10">
        <f>IFERROR(VLOOKUP(A449,Flete!$A:$J,10,0),"")</f>
        <v/>
      </c>
      <c r="P449" s="8" t="inlineStr">
        <is>
          <t>TN</t>
        </is>
      </c>
      <c r="Q449" s="10">
        <f>IFERROR(IFERROR(VLOOKUP(A449,TRAOPE!$A:$U,21,0),VLOOKUP(B449,TRAOPE!$A:$U,21,0)),"")</f>
        <v/>
      </c>
      <c r="R449" s="8">
        <f>IFERROR(IFERROR(VLOOKUP(A449,TRAOPE!$A:$W,23,0),VLOOKUP(B449,TRAOPE!$A:$W,23,0)),"")</f>
        <v/>
      </c>
      <c r="S449" s="10">
        <f>IF(AND(P449="TN",R449="TN"),N449+N(O449),IF(G449&amp;""="1",N(K449)*N449,(N449+N(O449))*N(K449)))</f>
        <v/>
      </c>
      <c r="T449" s="10">
        <f>IF(Q449="","",Q449-S449)</f>
        <v/>
      </c>
    </row>
    <row r="450">
      <c r="A450" s="7">
        <f>CONCATENATE(C450,E450,F450,I450)</f>
        <v/>
      </c>
      <c r="B450" s="7">
        <f>CONCATENATE(C450,E450,I450)</f>
        <v/>
      </c>
      <c r="C450" s="8" t="n">
        <v>900005660</v>
      </c>
      <c r="D450" s="7">
        <f>IFERROR(VLOOKUP(C450,TRAOPE!$G:$H,2,0),"")</f>
        <v/>
      </c>
      <c r="E450" s="8" t="inlineStr">
        <is>
          <t>DW68</t>
        </is>
      </c>
      <c r="F450" s="8" t="inlineStr">
        <is>
          <t>D213</t>
        </is>
      </c>
      <c r="G450" s="8">
        <f>IFERROR(VLOOKUP(A450,Flete!$A:$E,5,0),"")</f>
        <v/>
      </c>
      <c r="H450" s="7">
        <f>IFERROR(VLOOKUP(F450,TRAOPE!$AA:$AB,2,0),"")</f>
        <v/>
      </c>
      <c r="I450" s="7" t="n">
        <v>10000320</v>
      </c>
      <c r="J450" s="7">
        <f>IFERROR(VLOOKUP(I450,Materiales!$A:$H,8,0),"")</f>
        <v/>
      </c>
      <c r="K450" s="9">
        <f>IFERROR(VLOOKUP(I450,Materiales!$A:$G,7,0),"")</f>
        <v/>
      </c>
      <c r="L450" s="8" t="inlineStr">
        <is>
          <t>20220516</t>
        </is>
      </c>
      <c r="M450" s="8" t="inlineStr">
        <is>
          <t>20251031</t>
        </is>
      </c>
      <c r="N450" s="10" t="n">
        <v>130</v>
      </c>
      <c r="O450" s="10">
        <f>IFERROR(VLOOKUP(A450,Flete!$A:$J,10,0),"")</f>
        <v/>
      </c>
      <c r="P450" s="8" t="inlineStr">
        <is>
          <t>TN</t>
        </is>
      </c>
      <c r="Q450" s="10">
        <f>IFERROR(IFERROR(VLOOKUP(A450,TRAOPE!$A:$U,21,0),VLOOKUP(B450,TRAOPE!$A:$U,21,0)),"")</f>
        <v/>
      </c>
      <c r="R450" s="8">
        <f>IFERROR(IFERROR(VLOOKUP(A450,TRAOPE!$A:$W,23,0),VLOOKUP(B450,TRAOPE!$A:$W,23,0)),"")</f>
        <v/>
      </c>
      <c r="S450" s="10">
        <f>IF(AND(P450="TN",R450="TN"),N450+N(O450),IF(G450&amp;""="1",N(K450)*N450,(N450+N(O450))*N(K450)))</f>
        <v/>
      </c>
      <c r="T450" s="10">
        <f>IF(Q450="","",Q450-S450)</f>
        <v/>
      </c>
    </row>
    <row r="451">
      <c r="A451" s="7">
        <f>CONCATENATE(C451,E451,F451,I451)</f>
        <v/>
      </c>
      <c r="B451" s="7">
        <f>CONCATENATE(C451,E451,I451)</f>
        <v/>
      </c>
      <c r="C451" s="8" t="n">
        <v>900005660</v>
      </c>
      <c r="D451" s="7">
        <f>IFERROR(VLOOKUP(C451,TRAOPE!$G:$H,2,0),"")</f>
        <v/>
      </c>
      <c r="E451" s="8" t="inlineStr">
        <is>
          <t>DW68</t>
        </is>
      </c>
      <c r="F451" s="8" t="inlineStr">
        <is>
          <t>D214</t>
        </is>
      </c>
      <c r="G451" s="8">
        <f>IFERROR(VLOOKUP(A451,Flete!$A:$E,5,0),"")</f>
        <v/>
      </c>
      <c r="H451" s="7">
        <f>IFERROR(VLOOKUP(F451,TRAOPE!$AA:$AB,2,0),"")</f>
        <v/>
      </c>
      <c r="I451" s="7" t="n">
        <v>10000320</v>
      </c>
      <c r="J451" s="7">
        <f>IFERROR(VLOOKUP(I451,Materiales!$A:$H,8,0),"")</f>
        <v/>
      </c>
      <c r="K451" s="9">
        <f>IFERROR(VLOOKUP(I451,Materiales!$A:$G,7,0),"")</f>
        <v/>
      </c>
      <c r="L451" s="8" t="inlineStr">
        <is>
          <t>20220516</t>
        </is>
      </c>
      <c r="M451" s="8" t="inlineStr">
        <is>
          <t>20251031</t>
        </is>
      </c>
      <c r="N451" s="10" t="n">
        <v>130</v>
      </c>
      <c r="O451" s="10">
        <f>IFERROR(VLOOKUP(A451,Flete!$A:$J,10,0),"")</f>
        <v/>
      </c>
      <c r="P451" s="8" t="inlineStr">
        <is>
          <t>TN</t>
        </is>
      </c>
      <c r="Q451" s="10">
        <f>IFERROR(IFERROR(VLOOKUP(A451,TRAOPE!$A:$U,21,0),VLOOKUP(B451,TRAOPE!$A:$U,21,0)),"")</f>
        <v/>
      </c>
      <c r="R451" s="8">
        <f>IFERROR(IFERROR(VLOOKUP(A451,TRAOPE!$A:$W,23,0),VLOOKUP(B451,TRAOPE!$A:$W,23,0)),"")</f>
        <v/>
      </c>
      <c r="S451" s="10">
        <f>IF(AND(P451="TN",R451="TN"),N451+N(O451),IF(G451&amp;""="1",N(K451)*N451,(N451+N(O451))*N(K451)))</f>
        <v/>
      </c>
      <c r="T451" s="10">
        <f>IF(Q451="","",Q451-S451)</f>
        <v/>
      </c>
    </row>
    <row r="452">
      <c r="A452" s="7">
        <f>CONCATENATE(C452,E452,F452,I452)</f>
        <v/>
      </c>
      <c r="B452" s="7">
        <f>CONCATENATE(C452,E452,I452)</f>
        <v/>
      </c>
      <c r="C452" s="8" t="n">
        <v>900005660</v>
      </c>
      <c r="D452" s="7">
        <f>IFERROR(VLOOKUP(C452,TRAOPE!$G:$H,2,0),"")</f>
        <v/>
      </c>
      <c r="E452" s="8" t="inlineStr">
        <is>
          <t>DW68</t>
        </is>
      </c>
      <c r="F452" s="8" t="inlineStr">
        <is>
          <t>D228</t>
        </is>
      </c>
      <c r="G452" s="8">
        <f>IFERROR(VLOOKUP(A452,Flete!$A:$E,5,0),"")</f>
        <v/>
      </c>
      <c r="H452" s="7">
        <f>IFERROR(VLOOKUP(F452,TRAOPE!$AA:$AB,2,0),"")</f>
        <v/>
      </c>
      <c r="I452" s="7" t="n">
        <v>10000320</v>
      </c>
      <c r="J452" s="7">
        <f>IFERROR(VLOOKUP(I452,Materiales!$A:$H,8,0),"")</f>
        <v/>
      </c>
      <c r="K452" s="9">
        <f>IFERROR(VLOOKUP(I452,Materiales!$A:$G,7,0),"")</f>
        <v/>
      </c>
      <c r="L452" s="8" t="inlineStr">
        <is>
          <t>20220516</t>
        </is>
      </c>
      <c r="M452" s="8" t="inlineStr">
        <is>
          <t>20251031</t>
        </is>
      </c>
      <c r="N452" s="10" t="n">
        <v>130</v>
      </c>
      <c r="O452" s="10">
        <f>IFERROR(VLOOKUP(A452,Flete!$A:$J,10,0),"")</f>
        <v/>
      </c>
      <c r="P452" s="8" t="inlineStr">
        <is>
          <t>TN</t>
        </is>
      </c>
      <c r="Q452" s="10">
        <f>IFERROR(IFERROR(VLOOKUP(A452,TRAOPE!$A:$U,21,0),VLOOKUP(B452,TRAOPE!$A:$U,21,0)),"")</f>
        <v/>
      </c>
      <c r="R452" s="8">
        <f>IFERROR(IFERROR(VLOOKUP(A452,TRAOPE!$A:$W,23,0),VLOOKUP(B452,TRAOPE!$A:$W,23,0)),"")</f>
        <v/>
      </c>
      <c r="S452" s="10">
        <f>IF(AND(P452="TN",R452="TN"),N452+N(O452),IF(G452&amp;""="1",N(K452)*N452,(N452+N(O452))*N(K452)))</f>
        <v/>
      </c>
      <c r="T452" s="10">
        <f>IF(Q452="","",Q452-S452)</f>
        <v/>
      </c>
    </row>
    <row r="453">
      <c r="A453" s="7">
        <f>CONCATENATE(C453,E453,F453,I453)</f>
        <v/>
      </c>
      <c r="B453" s="7">
        <f>CONCATENATE(C453,E453,I453)</f>
        <v/>
      </c>
      <c r="C453" s="8" t="n">
        <v>900005660</v>
      </c>
      <c r="D453" s="7">
        <f>IFERROR(VLOOKUP(C453,TRAOPE!$G:$H,2,0),"")</f>
        <v/>
      </c>
      <c r="E453" s="8" t="inlineStr">
        <is>
          <t>DW68</t>
        </is>
      </c>
      <c r="F453" s="8" t="inlineStr">
        <is>
          <t>D242</t>
        </is>
      </c>
      <c r="G453" s="8">
        <f>IFERROR(VLOOKUP(A453,Flete!$A:$E,5,0),"")</f>
        <v/>
      </c>
      <c r="H453" s="7">
        <f>IFERROR(VLOOKUP(F453,TRAOPE!$AA:$AB,2,0),"")</f>
        <v/>
      </c>
      <c r="I453" s="7" t="n">
        <v>10000320</v>
      </c>
      <c r="J453" s="7">
        <f>IFERROR(VLOOKUP(I453,Materiales!$A:$H,8,0),"")</f>
        <v/>
      </c>
      <c r="K453" s="9">
        <f>IFERROR(VLOOKUP(I453,Materiales!$A:$G,7,0),"")</f>
        <v/>
      </c>
      <c r="L453" s="8" t="inlineStr">
        <is>
          <t>20220516</t>
        </is>
      </c>
      <c r="M453" s="8" t="inlineStr">
        <is>
          <t>20251031</t>
        </is>
      </c>
      <c r="N453" s="10" t="n">
        <v>130</v>
      </c>
      <c r="O453" s="10">
        <f>IFERROR(VLOOKUP(A453,Flete!$A:$J,10,0),"")</f>
        <v/>
      </c>
      <c r="P453" s="8" t="inlineStr">
        <is>
          <t>TN</t>
        </is>
      </c>
      <c r="Q453" s="10">
        <f>IFERROR(IFERROR(VLOOKUP(A453,TRAOPE!$A:$U,21,0),VLOOKUP(B453,TRAOPE!$A:$U,21,0)),"")</f>
        <v/>
      </c>
      <c r="R453" s="8">
        <f>IFERROR(IFERROR(VLOOKUP(A453,TRAOPE!$A:$W,23,0),VLOOKUP(B453,TRAOPE!$A:$W,23,0)),"")</f>
        <v/>
      </c>
      <c r="S453" s="10">
        <f>IF(AND(P453="TN",R453="TN"),N453+N(O453),IF(G453&amp;""="1",N(K453)*N453,(N453+N(O453))*N(K453)))</f>
        <v/>
      </c>
      <c r="T453" s="10">
        <f>IF(Q453="","",Q453-S453)</f>
        <v/>
      </c>
    </row>
    <row r="454">
      <c r="A454" s="7">
        <f>CONCATENATE(C454,E454,F454,I454)</f>
        <v/>
      </c>
      <c r="B454" s="7">
        <f>CONCATENATE(C454,E454,I454)</f>
        <v/>
      </c>
      <c r="C454" s="8" t="n">
        <v>900005660</v>
      </c>
      <c r="D454" s="7">
        <f>IFERROR(VLOOKUP(C454,TRAOPE!$G:$H,2,0),"")</f>
        <v/>
      </c>
      <c r="E454" s="8" t="inlineStr">
        <is>
          <t>DW68</t>
        </is>
      </c>
      <c r="F454" s="8" t="inlineStr">
        <is>
          <t>D251</t>
        </is>
      </c>
      <c r="G454" s="8">
        <f>IFERROR(VLOOKUP(A454,Flete!$A:$E,5,0),"")</f>
        <v/>
      </c>
      <c r="H454" s="7">
        <f>IFERROR(VLOOKUP(F454,TRAOPE!$AA:$AB,2,0),"")</f>
        <v/>
      </c>
      <c r="I454" s="7" t="n">
        <v>10000320</v>
      </c>
      <c r="J454" s="7">
        <f>IFERROR(VLOOKUP(I454,Materiales!$A:$H,8,0),"")</f>
        <v/>
      </c>
      <c r="K454" s="9">
        <f>IFERROR(VLOOKUP(I454,Materiales!$A:$G,7,0),"")</f>
        <v/>
      </c>
      <c r="L454" s="8" t="inlineStr">
        <is>
          <t>20220516</t>
        </is>
      </c>
      <c r="M454" s="8" t="inlineStr">
        <is>
          <t>20251031</t>
        </is>
      </c>
      <c r="N454" s="10" t="n">
        <v>130</v>
      </c>
      <c r="O454" s="10">
        <f>IFERROR(VLOOKUP(A454,Flete!$A:$J,10,0),"")</f>
        <v/>
      </c>
      <c r="P454" s="8" t="inlineStr">
        <is>
          <t>TN</t>
        </is>
      </c>
      <c r="Q454" s="10">
        <f>IFERROR(IFERROR(VLOOKUP(A454,TRAOPE!$A:$U,21,0),VLOOKUP(B454,TRAOPE!$A:$U,21,0)),"")</f>
        <v/>
      </c>
      <c r="R454" s="8">
        <f>IFERROR(IFERROR(VLOOKUP(A454,TRAOPE!$A:$W,23,0),VLOOKUP(B454,TRAOPE!$A:$W,23,0)),"")</f>
        <v/>
      </c>
      <c r="S454" s="10">
        <f>IF(AND(P454="TN",R454="TN"),N454+N(O454),IF(G454&amp;""="1",N(K454)*N454,(N454+N(O454))*N(K454)))</f>
        <v/>
      </c>
      <c r="T454" s="10">
        <f>IF(Q454="","",Q454-S454)</f>
        <v/>
      </c>
    </row>
    <row r="455">
      <c r="A455" s="7">
        <f>CONCATENATE(C455,E455,F455,I455)</f>
        <v/>
      </c>
      <c r="B455" s="7">
        <f>CONCATENATE(C455,E455,I455)</f>
        <v/>
      </c>
      <c r="C455" s="8" t="n">
        <v>900005660</v>
      </c>
      <c r="D455" s="7">
        <f>IFERROR(VLOOKUP(C455,TRAOPE!$G:$H,2,0),"")</f>
        <v/>
      </c>
      <c r="E455" s="8" t="inlineStr">
        <is>
          <t>DW68</t>
        </is>
      </c>
      <c r="F455" s="8" t="inlineStr">
        <is>
          <t>D264</t>
        </is>
      </c>
      <c r="G455" s="8">
        <f>IFERROR(VLOOKUP(A455,Flete!$A:$E,5,0),"")</f>
        <v/>
      </c>
      <c r="H455" s="7">
        <f>IFERROR(VLOOKUP(F455,TRAOPE!$AA:$AB,2,0),"")</f>
        <v/>
      </c>
      <c r="I455" s="7" t="n">
        <v>10000320</v>
      </c>
      <c r="J455" s="7">
        <f>IFERROR(VLOOKUP(I455,Materiales!$A:$H,8,0),"")</f>
        <v/>
      </c>
      <c r="K455" s="9">
        <f>IFERROR(VLOOKUP(I455,Materiales!$A:$G,7,0),"")</f>
        <v/>
      </c>
      <c r="L455" s="8" t="inlineStr">
        <is>
          <t>20220516</t>
        </is>
      </c>
      <c r="M455" s="8" t="inlineStr">
        <is>
          <t>20251031</t>
        </is>
      </c>
      <c r="N455" s="10" t="n">
        <v>130</v>
      </c>
      <c r="O455" s="10">
        <f>IFERROR(VLOOKUP(A455,Flete!$A:$J,10,0),"")</f>
        <v/>
      </c>
      <c r="P455" s="8" t="inlineStr">
        <is>
          <t>TN</t>
        </is>
      </c>
      <c r="Q455" s="10">
        <f>IFERROR(IFERROR(VLOOKUP(A455,TRAOPE!$A:$U,21,0),VLOOKUP(B455,TRAOPE!$A:$U,21,0)),"")</f>
        <v/>
      </c>
      <c r="R455" s="8">
        <f>IFERROR(IFERROR(VLOOKUP(A455,TRAOPE!$A:$W,23,0),VLOOKUP(B455,TRAOPE!$A:$W,23,0)),"")</f>
        <v/>
      </c>
      <c r="S455" s="10">
        <f>IF(AND(P455="TN",R455="TN"),N455+N(O455),IF(G455&amp;""="1",N(K455)*N455,(N455+N(O455))*N(K455)))</f>
        <v/>
      </c>
      <c r="T455" s="10">
        <f>IF(Q455="","",Q455-S455)</f>
        <v/>
      </c>
    </row>
    <row r="456">
      <c r="A456" s="7">
        <f>CONCATENATE(C456,E456,F456,I456)</f>
        <v/>
      </c>
      <c r="B456" s="7">
        <f>CONCATENATE(C456,E456,I456)</f>
        <v/>
      </c>
      <c r="C456" s="8" t="n">
        <v>900005660</v>
      </c>
      <c r="D456" s="7">
        <f>IFERROR(VLOOKUP(C456,TRAOPE!$G:$H,2,0),"")</f>
        <v/>
      </c>
      <c r="E456" s="8" t="inlineStr">
        <is>
          <t>DW68</t>
        </is>
      </c>
      <c r="F456" s="8" t="inlineStr">
        <is>
          <t>D267</t>
        </is>
      </c>
      <c r="G456" s="8">
        <f>IFERROR(VLOOKUP(A456,Flete!$A:$E,5,0),"")</f>
        <v/>
      </c>
      <c r="H456" s="7">
        <f>IFERROR(VLOOKUP(F456,TRAOPE!$AA:$AB,2,0),"")</f>
        <v/>
      </c>
      <c r="I456" s="7" t="n">
        <v>10000320</v>
      </c>
      <c r="J456" s="7">
        <f>IFERROR(VLOOKUP(I456,Materiales!$A:$H,8,0),"")</f>
        <v/>
      </c>
      <c r="K456" s="9">
        <f>IFERROR(VLOOKUP(I456,Materiales!$A:$G,7,0),"")</f>
        <v/>
      </c>
      <c r="L456" s="8" t="inlineStr">
        <is>
          <t>20220516</t>
        </is>
      </c>
      <c r="M456" s="8" t="inlineStr">
        <is>
          <t>20251031</t>
        </is>
      </c>
      <c r="N456" s="10" t="n">
        <v>130</v>
      </c>
      <c r="O456" s="10">
        <f>IFERROR(VLOOKUP(A456,Flete!$A:$J,10,0),"")</f>
        <v/>
      </c>
      <c r="P456" s="8" t="inlineStr">
        <is>
          <t>TN</t>
        </is>
      </c>
      <c r="Q456" s="10">
        <f>IFERROR(IFERROR(VLOOKUP(A456,TRAOPE!$A:$U,21,0),VLOOKUP(B456,TRAOPE!$A:$U,21,0)),"")</f>
        <v/>
      </c>
      <c r="R456" s="8">
        <f>IFERROR(IFERROR(VLOOKUP(A456,TRAOPE!$A:$W,23,0),VLOOKUP(B456,TRAOPE!$A:$W,23,0)),"")</f>
        <v/>
      </c>
      <c r="S456" s="10">
        <f>IF(AND(P456="TN",R456="TN"),N456+N(O456),IF(G456&amp;""="1",N(K456)*N456,(N456+N(O456))*N(K456)))</f>
        <v/>
      </c>
      <c r="T456" s="10">
        <f>IF(Q456="","",Q456-S456)</f>
        <v/>
      </c>
    </row>
    <row r="457">
      <c r="A457" s="7">
        <f>CONCATENATE(C457,E457,F457,I457)</f>
        <v/>
      </c>
      <c r="B457" s="7">
        <f>CONCATENATE(C457,E457,I457)</f>
        <v/>
      </c>
      <c r="C457" s="8" t="n">
        <v>900006441</v>
      </c>
      <c r="D457" s="7">
        <f>IFERROR(VLOOKUP(C457,TRAOPE!$G:$H,2,0),"")</f>
        <v/>
      </c>
      <c r="E457" s="8" t="inlineStr">
        <is>
          <t>DW68</t>
        </is>
      </c>
      <c r="F457" s="8" t="inlineStr">
        <is>
          <t>D042</t>
        </is>
      </c>
      <c r="G457" s="8">
        <f>IFERROR(VLOOKUP(A457,Flete!$A:$E,5,0),"")</f>
        <v/>
      </c>
      <c r="H457" s="7">
        <f>IFERROR(VLOOKUP(F457,TRAOPE!$AA:$AB,2,0),"")</f>
        <v/>
      </c>
      <c r="I457" s="7" t="n">
        <v>10000191</v>
      </c>
      <c r="J457" s="7">
        <f>IFERROR(VLOOKUP(I457,Materiales!$A:$H,8,0),"")</f>
        <v/>
      </c>
      <c r="K457" s="9">
        <f>IFERROR(VLOOKUP(I457,Materiales!$A:$G,7,0),"")</f>
        <v/>
      </c>
      <c r="L457" s="8" t="inlineStr">
        <is>
          <t>20220516</t>
        </is>
      </c>
      <c r="M457" s="8" t="inlineStr">
        <is>
          <t>20251031</t>
        </is>
      </c>
      <c r="N457" s="10" t="n">
        <v>85.11</v>
      </c>
      <c r="O457" s="10">
        <f>IFERROR(VLOOKUP(A457,Flete!$A:$J,10,0),"")</f>
        <v/>
      </c>
      <c r="P457" s="8" t="inlineStr">
        <is>
          <t>TN</t>
        </is>
      </c>
      <c r="Q457" s="10">
        <f>IFERROR(IFERROR(VLOOKUP(A457,TRAOPE!$A:$U,21,0),VLOOKUP(B457,TRAOPE!$A:$U,21,0)),"")</f>
        <v/>
      </c>
      <c r="R457" s="8">
        <f>IFERROR(IFERROR(VLOOKUP(A457,TRAOPE!$A:$W,23,0),VLOOKUP(B457,TRAOPE!$A:$W,23,0)),"")</f>
        <v/>
      </c>
      <c r="S457" s="10">
        <f>IF(AND(P457="TN",R457="TN"),N457+N(O457),IF(G457&amp;""="1",N(K457)*N457,(N457+N(O457))*N(K457)))</f>
        <v/>
      </c>
      <c r="T457" s="10">
        <f>IF(Q457="","",Q457-S457)</f>
        <v/>
      </c>
    </row>
    <row r="458">
      <c r="A458" s="7">
        <f>CONCATENATE(C458,E458,F458,I458)</f>
        <v/>
      </c>
      <c r="B458" s="7">
        <f>CONCATENATE(C458,E458,I458)</f>
        <v/>
      </c>
      <c r="C458" s="8" t="n">
        <v>900006441</v>
      </c>
      <c r="D458" s="7">
        <f>IFERROR(VLOOKUP(C458,TRAOPE!$G:$H,2,0),"")</f>
        <v/>
      </c>
      <c r="E458" s="8" t="inlineStr">
        <is>
          <t>DW68</t>
        </is>
      </c>
      <c r="F458" s="8" t="inlineStr">
        <is>
          <t>D209</t>
        </is>
      </c>
      <c r="G458" s="8">
        <f>IFERROR(VLOOKUP(A458,Flete!$A:$E,5,0),"")</f>
        <v/>
      </c>
      <c r="H458" s="7">
        <f>IFERROR(VLOOKUP(F458,TRAOPE!$AA:$AB,2,0),"")</f>
        <v/>
      </c>
      <c r="I458" s="7" t="n">
        <v>10000191</v>
      </c>
      <c r="J458" s="7">
        <f>IFERROR(VLOOKUP(I458,Materiales!$A:$H,8,0),"")</f>
        <v/>
      </c>
      <c r="K458" s="9">
        <f>IFERROR(VLOOKUP(I458,Materiales!$A:$G,7,0),"")</f>
        <v/>
      </c>
      <c r="L458" s="8" t="inlineStr">
        <is>
          <t>20220516</t>
        </is>
      </c>
      <c r="M458" s="8" t="inlineStr">
        <is>
          <t>20251031</t>
        </is>
      </c>
      <c r="N458" s="10" t="n">
        <v>85.11</v>
      </c>
      <c r="O458" s="10">
        <f>IFERROR(VLOOKUP(A458,Flete!$A:$J,10,0),"")</f>
        <v/>
      </c>
      <c r="P458" s="8" t="inlineStr">
        <is>
          <t>TN</t>
        </is>
      </c>
      <c r="Q458" s="10">
        <f>IFERROR(IFERROR(VLOOKUP(A458,TRAOPE!$A:$U,21,0),VLOOKUP(B458,TRAOPE!$A:$U,21,0)),"")</f>
        <v/>
      </c>
      <c r="R458" s="8">
        <f>IFERROR(IFERROR(VLOOKUP(A458,TRAOPE!$A:$W,23,0),VLOOKUP(B458,TRAOPE!$A:$W,23,0)),"")</f>
        <v/>
      </c>
      <c r="S458" s="10">
        <f>IF(AND(P458="TN",R458="TN"),N458+N(O458),IF(G458&amp;""="1",N(K458)*N458,(N458+N(O458))*N(K458)))</f>
        <v/>
      </c>
      <c r="T458" s="10">
        <f>IF(Q458="","",Q458-S458)</f>
        <v/>
      </c>
    </row>
    <row r="459">
      <c r="A459" s="7">
        <f>CONCATENATE(C459,E459,F459,I459)</f>
        <v/>
      </c>
      <c r="B459" s="7">
        <f>CONCATENATE(C459,E459,I459)</f>
        <v/>
      </c>
      <c r="C459" s="8" t="n">
        <v>900006441</v>
      </c>
      <c r="D459" s="7">
        <f>IFERROR(VLOOKUP(C459,TRAOPE!$G:$H,2,0),"")</f>
        <v/>
      </c>
      <c r="E459" s="8" t="inlineStr">
        <is>
          <t>DW68</t>
        </is>
      </c>
      <c r="F459" s="8" t="inlineStr">
        <is>
          <t>D211</t>
        </is>
      </c>
      <c r="G459" s="8">
        <f>IFERROR(VLOOKUP(A459,Flete!$A:$E,5,0),"")</f>
        <v/>
      </c>
      <c r="H459" s="7">
        <f>IFERROR(VLOOKUP(F459,TRAOPE!$AA:$AB,2,0),"")</f>
        <v/>
      </c>
      <c r="I459" s="7" t="n">
        <v>10000191</v>
      </c>
      <c r="J459" s="7">
        <f>IFERROR(VLOOKUP(I459,Materiales!$A:$H,8,0),"")</f>
        <v/>
      </c>
      <c r="K459" s="9">
        <f>IFERROR(VLOOKUP(I459,Materiales!$A:$G,7,0),"")</f>
        <v/>
      </c>
      <c r="L459" s="8" t="inlineStr">
        <is>
          <t>20220516</t>
        </is>
      </c>
      <c r="M459" s="8" t="inlineStr">
        <is>
          <t>20251031</t>
        </is>
      </c>
      <c r="N459" s="10" t="n">
        <v>85.11</v>
      </c>
      <c r="O459" s="10">
        <f>IFERROR(VLOOKUP(A459,Flete!$A:$J,10,0),"")</f>
        <v/>
      </c>
      <c r="P459" s="8" t="inlineStr">
        <is>
          <t>TN</t>
        </is>
      </c>
      <c r="Q459" s="10">
        <f>IFERROR(IFERROR(VLOOKUP(A459,TRAOPE!$A:$U,21,0),VLOOKUP(B459,TRAOPE!$A:$U,21,0)),"")</f>
        <v/>
      </c>
      <c r="R459" s="8">
        <f>IFERROR(IFERROR(VLOOKUP(A459,TRAOPE!$A:$W,23,0),VLOOKUP(B459,TRAOPE!$A:$W,23,0)),"")</f>
        <v/>
      </c>
      <c r="S459" s="10">
        <f>IF(AND(P459="TN",R459="TN"),N459+N(O459),IF(G459&amp;""="1",N(K459)*N459,(N459+N(O459))*N(K459)))</f>
        <v/>
      </c>
      <c r="T459" s="10">
        <f>IF(Q459="","",Q459-S459)</f>
        <v/>
      </c>
    </row>
    <row r="460">
      <c r="A460" s="7">
        <f>CONCATENATE(C460,E460,F460,I460)</f>
        <v/>
      </c>
      <c r="B460" s="7">
        <f>CONCATENATE(C460,E460,I460)</f>
        <v/>
      </c>
      <c r="C460" s="8" t="n">
        <v>900006441</v>
      </c>
      <c r="D460" s="7">
        <f>IFERROR(VLOOKUP(C460,TRAOPE!$G:$H,2,0),"")</f>
        <v/>
      </c>
      <c r="E460" s="8" t="inlineStr">
        <is>
          <t>DW68</t>
        </is>
      </c>
      <c r="F460" s="8" t="inlineStr">
        <is>
          <t>D214</t>
        </is>
      </c>
      <c r="G460" s="8">
        <f>IFERROR(VLOOKUP(A460,Flete!$A:$E,5,0),"")</f>
        <v/>
      </c>
      <c r="H460" s="7">
        <f>IFERROR(VLOOKUP(F460,TRAOPE!$AA:$AB,2,0),"")</f>
        <v/>
      </c>
      <c r="I460" s="7" t="n">
        <v>10000191</v>
      </c>
      <c r="J460" s="7">
        <f>IFERROR(VLOOKUP(I460,Materiales!$A:$H,8,0),"")</f>
        <v/>
      </c>
      <c r="K460" s="9">
        <f>IFERROR(VLOOKUP(I460,Materiales!$A:$G,7,0),"")</f>
        <v/>
      </c>
      <c r="L460" s="8" t="inlineStr">
        <is>
          <t>20220516</t>
        </is>
      </c>
      <c r="M460" s="8" t="inlineStr">
        <is>
          <t>20251031</t>
        </is>
      </c>
      <c r="N460" s="10" t="n">
        <v>85.11</v>
      </c>
      <c r="O460" s="10">
        <f>IFERROR(VLOOKUP(A460,Flete!$A:$J,10,0),"")</f>
        <v/>
      </c>
      <c r="P460" s="8" t="inlineStr">
        <is>
          <t>TN</t>
        </is>
      </c>
      <c r="Q460" s="10">
        <f>IFERROR(IFERROR(VLOOKUP(A460,TRAOPE!$A:$U,21,0),VLOOKUP(B460,TRAOPE!$A:$U,21,0)),"")</f>
        <v/>
      </c>
      <c r="R460" s="8">
        <f>IFERROR(IFERROR(VLOOKUP(A460,TRAOPE!$A:$W,23,0),VLOOKUP(B460,TRAOPE!$A:$W,23,0)),"")</f>
        <v/>
      </c>
      <c r="S460" s="10">
        <f>IF(AND(P460="TN",R460="TN"),N460+N(O460),IF(G460&amp;""="1",N(K460)*N460,(N460+N(O460))*N(K460)))</f>
        <v/>
      </c>
      <c r="T460" s="10">
        <f>IF(Q460="","",Q460-S460)</f>
        <v/>
      </c>
    </row>
    <row r="461">
      <c r="A461" s="7">
        <f>CONCATENATE(C461,E461,F461,I461)</f>
        <v/>
      </c>
      <c r="B461" s="7">
        <f>CONCATENATE(C461,E461,I461)</f>
        <v/>
      </c>
      <c r="C461" s="8" t="n">
        <v>900006441</v>
      </c>
      <c r="D461" s="7">
        <f>IFERROR(VLOOKUP(C461,TRAOPE!$G:$H,2,0),"")</f>
        <v/>
      </c>
      <c r="E461" s="8" t="inlineStr">
        <is>
          <t>DW68</t>
        </is>
      </c>
      <c r="F461" s="8" t="inlineStr">
        <is>
          <t>D228</t>
        </is>
      </c>
      <c r="G461" s="8">
        <f>IFERROR(VLOOKUP(A461,Flete!$A:$E,5,0),"")</f>
        <v/>
      </c>
      <c r="H461" s="7">
        <f>IFERROR(VLOOKUP(F461,TRAOPE!$AA:$AB,2,0),"")</f>
        <v/>
      </c>
      <c r="I461" s="7" t="n">
        <v>10000191</v>
      </c>
      <c r="J461" s="7">
        <f>IFERROR(VLOOKUP(I461,Materiales!$A:$H,8,0),"")</f>
        <v/>
      </c>
      <c r="K461" s="9">
        <f>IFERROR(VLOOKUP(I461,Materiales!$A:$G,7,0),"")</f>
        <v/>
      </c>
      <c r="L461" s="8" t="inlineStr">
        <is>
          <t>20220516</t>
        </is>
      </c>
      <c r="M461" s="8" t="inlineStr">
        <is>
          <t>20251031</t>
        </is>
      </c>
      <c r="N461" s="10" t="n">
        <v>85.11</v>
      </c>
      <c r="O461" s="10">
        <f>IFERROR(VLOOKUP(A461,Flete!$A:$J,10,0),"")</f>
        <v/>
      </c>
      <c r="P461" s="8" t="inlineStr">
        <is>
          <t>TN</t>
        </is>
      </c>
      <c r="Q461" s="10">
        <f>IFERROR(IFERROR(VLOOKUP(A461,TRAOPE!$A:$U,21,0),VLOOKUP(B461,TRAOPE!$A:$U,21,0)),"")</f>
        <v/>
      </c>
      <c r="R461" s="8">
        <f>IFERROR(IFERROR(VLOOKUP(A461,TRAOPE!$A:$W,23,0),VLOOKUP(B461,TRAOPE!$A:$W,23,0)),"")</f>
        <v/>
      </c>
      <c r="S461" s="10">
        <f>IF(AND(P461="TN",R461="TN"),N461+N(O461),IF(G461&amp;""="1",N(K461)*N461,(N461+N(O461))*N(K461)))</f>
        <v/>
      </c>
      <c r="T461" s="10">
        <f>IF(Q461="","",Q461-S461)</f>
        <v/>
      </c>
    </row>
    <row r="462">
      <c r="A462" s="7">
        <f>CONCATENATE(C462,E462,F462,I462)</f>
        <v/>
      </c>
      <c r="B462" s="7">
        <f>CONCATENATE(C462,E462,I462)</f>
        <v/>
      </c>
      <c r="C462" s="8" t="n">
        <v>900006441</v>
      </c>
      <c r="D462" s="7">
        <f>IFERROR(VLOOKUP(C462,TRAOPE!$G:$H,2,0),"")</f>
        <v/>
      </c>
      <c r="E462" s="8" t="inlineStr">
        <is>
          <t>DW68</t>
        </is>
      </c>
      <c r="F462" s="8" t="inlineStr">
        <is>
          <t>D242</t>
        </is>
      </c>
      <c r="G462" s="8">
        <f>IFERROR(VLOOKUP(A462,Flete!$A:$E,5,0),"")</f>
        <v/>
      </c>
      <c r="H462" s="7">
        <f>IFERROR(VLOOKUP(F462,TRAOPE!$AA:$AB,2,0),"")</f>
        <v/>
      </c>
      <c r="I462" s="7" t="n">
        <v>10000191</v>
      </c>
      <c r="J462" s="7">
        <f>IFERROR(VLOOKUP(I462,Materiales!$A:$H,8,0),"")</f>
        <v/>
      </c>
      <c r="K462" s="9">
        <f>IFERROR(VLOOKUP(I462,Materiales!$A:$G,7,0),"")</f>
        <v/>
      </c>
      <c r="L462" s="8" t="inlineStr">
        <is>
          <t>20220516</t>
        </is>
      </c>
      <c r="M462" s="8" t="inlineStr">
        <is>
          <t>20251031</t>
        </is>
      </c>
      <c r="N462" s="10" t="n">
        <v>85.11</v>
      </c>
      <c r="O462" s="10">
        <f>IFERROR(VLOOKUP(A462,Flete!$A:$J,10,0),"")</f>
        <v/>
      </c>
      <c r="P462" s="8" t="inlineStr">
        <is>
          <t>TN</t>
        </is>
      </c>
      <c r="Q462" s="10">
        <f>IFERROR(IFERROR(VLOOKUP(A462,TRAOPE!$A:$U,21,0),VLOOKUP(B462,TRAOPE!$A:$U,21,0)),"")</f>
        <v/>
      </c>
      <c r="R462" s="8">
        <f>IFERROR(IFERROR(VLOOKUP(A462,TRAOPE!$A:$W,23,0),VLOOKUP(B462,TRAOPE!$A:$W,23,0)),"")</f>
        <v/>
      </c>
      <c r="S462" s="10">
        <f>IF(AND(P462="TN",R462="TN"),N462+N(O462),IF(G462&amp;""="1",N(K462)*N462,(N462+N(O462))*N(K462)))</f>
        <v/>
      </c>
      <c r="T462" s="10">
        <f>IF(Q462="","",Q462-S462)</f>
        <v/>
      </c>
    </row>
    <row r="463">
      <c r="A463" s="7">
        <f>CONCATENATE(C463,E463,F463,I463)</f>
        <v/>
      </c>
      <c r="B463" s="7">
        <f>CONCATENATE(C463,E463,I463)</f>
        <v/>
      </c>
      <c r="C463" s="8" t="n">
        <v>900006441</v>
      </c>
      <c r="D463" s="7">
        <f>IFERROR(VLOOKUP(C463,TRAOPE!$G:$H,2,0),"")</f>
        <v/>
      </c>
      <c r="E463" s="8" t="inlineStr">
        <is>
          <t>DW68</t>
        </is>
      </c>
      <c r="F463" s="8" t="inlineStr">
        <is>
          <t>D251</t>
        </is>
      </c>
      <c r="G463" s="8">
        <f>IFERROR(VLOOKUP(A463,Flete!$A:$E,5,0),"")</f>
        <v/>
      </c>
      <c r="H463" s="7">
        <f>IFERROR(VLOOKUP(F463,TRAOPE!$AA:$AB,2,0),"")</f>
        <v/>
      </c>
      <c r="I463" s="7" t="n">
        <v>10000191</v>
      </c>
      <c r="J463" s="7">
        <f>IFERROR(VLOOKUP(I463,Materiales!$A:$H,8,0),"")</f>
        <v/>
      </c>
      <c r="K463" s="9">
        <f>IFERROR(VLOOKUP(I463,Materiales!$A:$G,7,0),"")</f>
        <v/>
      </c>
      <c r="L463" s="8" t="inlineStr">
        <is>
          <t>20220516</t>
        </is>
      </c>
      <c r="M463" s="8" t="inlineStr">
        <is>
          <t>20251031</t>
        </is>
      </c>
      <c r="N463" s="10" t="n">
        <v>85.11</v>
      </c>
      <c r="O463" s="10">
        <f>IFERROR(VLOOKUP(A463,Flete!$A:$J,10,0),"")</f>
        <v/>
      </c>
      <c r="P463" s="8" t="inlineStr">
        <is>
          <t>TN</t>
        </is>
      </c>
      <c r="Q463" s="10">
        <f>IFERROR(IFERROR(VLOOKUP(A463,TRAOPE!$A:$U,21,0),VLOOKUP(B463,TRAOPE!$A:$U,21,0)),"")</f>
        <v/>
      </c>
      <c r="R463" s="8">
        <f>IFERROR(IFERROR(VLOOKUP(A463,TRAOPE!$A:$W,23,0),VLOOKUP(B463,TRAOPE!$A:$W,23,0)),"")</f>
        <v/>
      </c>
      <c r="S463" s="10">
        <f>IF(AND(P463="TN",R463="TN"),N463+N(O463),IF(G463&amp;""="1",N(K463)*N463,(N463+N(O463))*N(K463)))</f>
        <v/>
      </c>
      <c r="T463" s="10">
        <f>IF(Q463="","",Q463-S463)</f>
        <v/>
      </c>
    </row>
    <row r="464">
      <c r="A464" s="7">
        <f>CONCATENATE(C464,E464,F464,I464)</f>
        <v/>
      </c>
      <c r="B464" s="7">
        <f>CONCATENATE(C464,E464,I464)</f>
        <v/>
      </c>
      <c r="C464" s="8" t="n">
        <v>900006441</v>
      </c>
      <c r="D464" s="7">
        <f>IFERROR(VLOOKUP(C464,TRAOPE!$G:$H,2,0),"")</f>
        <v/>
      </c>
      <c r="E464" s="8" t="inlineStr">
        <is>
          <t>DW68</t>
        </is>
      </c>
      <c r="F464" s="8" t="inlineStr">
        <is>
          <t>D264</t>
        </is>
      </c>
      <c r="G464" s="8">
        <f>IFERROR(VLOOKUP(A464,Flete!$A:$E,5,0),"")</f>
        <v/>
      </c>
      <c r="H464" s="7">
        <f>IFERROR(VLOOKUP(F464,TRAOPE!$AA:$AB,2,0),"")</f>
        <v/>
      </c>
      <c r="I464" s="7" t="n">
        <v>10000191</v>
      </c>
      <c r="J464" s="7">
        <f>IFERROR(VLOOKUP(I464,Materiales!$A:$H,8,0),"")</f>
        <v/>
      </c>
      <c r="K464" s="9">
        <f>IFERROR(VLOOKUP(I464,Materiales!$A:$G,7,0),"")</f>
        <v/>
      </c>
      <c r="L464" s="8" t="inlineStr">
        <is>
          <t>20220516</t>
        </is>
      </c>
      <c r="M464" s="8" t="inlineStr">
        <is>
          <t>20251031</t>
        </is>
      </c>
      <c r="N464" s="10" t="n">
        <v>85.11</v>
      </c>
      <c r="O464" s="10">
        <f>IFERROR(VLOOKUP(A464,Flete!$A:$J,10,0),"")</f>
        <v/>
      </c>
      <c r="P464" s="8" t="inlineStr">
        <is>
          <t>TN</t>
        </is>
      </c>
      <c r="Q464" s="10">
        <f>IFERROR(IFERROR(VLOOKUP(A464,TRAOPE!$A:$U,21,0),VLOOKUP(B464,TRAOPE!$A:$U,21,0)),"")</f>
        <v/>
      </c>
      <c r="R464" s="8">
        <f>IFERROR(IFERROR(VLOOKUP(A464,TRAOPE!$A:$W,23,0),VLOOKUP(B464,TRAOPE!$A:$W,23,0)),"")</f>
        <v/>
      </c>
      <c r="S464" s="10">
        <f>IF(AND(P464="TN",R464="TN"),N464+N(O464),IF(G464&amp;""="1",N(K464)*N464,(N464+N(O464))*N(K464)))</f>
        <v/>
      </c>
      <c r="T464" s="10">
        <f>IF(Q464="","",Q464-S464)</f>
        <v/>
      </c>
    </row>
    <row r="465">
      <c r="A465" s="7">
        <f>CONCATENATE(C465,E465,F465,I465)</f>
        <v/>
      </c>
      <c r="B465" s="7">
        <f>CONCATENATE(C465,E465,I465)</f>
        <v/>
      </c>
      <c r="C465" s="8" t="n">
        <v>900006441</v>
      </c>
      <c r="D465" s="7">
        <f>IFERROR(VLOOKUP(C465,TRAOPE!$G:$H,2,0),"")</f>
        <v/>
      </c>
      <c r="E465" s="8" t="inlineStr">
        <is>
          <t>DW68</t>
        </is>
      </c>
      <c r="F465" s="8" t="inlineStr">
        <is>
          <t>D267</t>
        </is>
      </c>
      <c r="G465" s="8">
        <f>IFERROR(VLOOKUP(A465,Flete!$A:$E,5,0),"")</f>
        <v/>
      </c>
      <c r="H465" s="7">
        <f>IFERROR(VLOOKUP(F465,TRAOPE!$AA:$AB,2,0),"")</f>
        <v/>
      </c>
      <c r="I465" s="7" t="n">
        <v>10000191</v>
      </c>
      <c r="J465" s="7">
        <f>IFERROR(VLOOKUP(I465,Materiales!$A:$H,8,0),"")</f>
        <v/>
      </c>
      <c r="K465" s="9">
        <f>IFERROR(VLOOKUP(I465,Materiales!$A:$G,7,0),"")</f>
        <v/>
      </c>
      <c r="L465" s="8" t="inlineStr">
        <is>
          <t>20220516</t>
        </is>
      </c>
      <c r="M465" s="8" t="inlineStr">
        <is>
          <t>20251031</t>
        </is>
      </c>
      <c r="N465" s="10" t="n">
        <v>85.11</v>
      </c>
      <c r="O465" s="10">
        <f>IFERROR(VLOOKUP(A465,Flete!$A:$J,10,0),"")</f>
        <v/>
      </c>
      <c r="P465" s="8" t="inlineStr">
        <is>
          <t>TN</t>
        </is>
      </c>
      <c r="Q465" s="10">
        <f>IFERROR(IFERROR(VLOOKUP(A465,TRAOPE!$A:$U,21,0),VLOOKUP(B465,TRAOPE!$A:$U,21,0)),"")</f>
        <v/>
      </c>
      <c r="R465" s="8">
        <f>IFERROR(IFERROR(VLOOKUP(A465,TRAOPE!$A:$W,23,0),VLOOKUP(B465,TRAOPE!$A:$W,23,0)),"")</f>
        <v/>
      </c>
      <c r="S465" s="10">
        <f>IF(AND(P465="TN",R465="TN"),N465+N(O465),IF(G465&amp;""="1",N(K465)*N465,(N465+N(O465))*N(K465)))</f>
        <v/>
      </c>
      <c r="T465" s="10">
        <f>IF(Q465="","",Q465-S465)</f>
        <v/>
      </c>
    </row>
    <row r="466">
      <c r="A466" s="7">
        <f>CONCATENATE(C466,E466,F466,I466)</f>
        <v/>
      </c>
      <c r="B466" s="7">
        <f>CONCATENATE(C466,E466,I466)</f>
        <v/>
      </c>
      <c r="C466" s="8" t="n">
        <v>900007315</v>
      </c>
      <c r="D466" s="7">
        <f>IFERROR(VLOOKUP(C466,TRAOPE!$G:$H,2,0),"")</f>
        <v/>
      </c>
      <c r="E466" s="8" t="inlineStr">
        <is>
          <t>DW68</t>
        </is>
      </c>
      <c r="F466" s="8" t="inlineStr">
        <is>
          <t>D042</t>
        </is>
      </c>
      <c r="G466" s="8">
        <f>IFERROR(VLOOKUP(A466,Flete!$A:$E,5,0),"")</f>
        <v/>
      </c>
      <c r="H466" s="7">
        <f>IFERROR(VLOOKUP(F466,TRAOPE!$AA:$AB,2,0),"")</f>
        <v/>
      </c>
      <c r="I466" s="7" t="n">
        <v>10000200</v>
      </c>
      <c r="J466" s="7">
        <f>IFERROR(VLOOKUP(I466,Materiales!$A:$H,8,0),"")</f>
        <v/>
      </c>
      <c r="K466" s="9">
        <f>IFERROR(VLOOKUP(I466,Materiales!$A:$G,7,0),"")</f>
        <v/>
      </c>
      <c r="L466" s="8" t="inlineStr">
        <is>
          <t>20250801</t>
        </is>
      </c>
      <c r="M466" s="8" t="inlineStr">
        <is>
          <t>99991231</t>
        </is>
      </c>
      <c r="N466" s="10" t="n">
        <v>95.88</v>
      </c>
      <c r="O466" s="10">
        <f>IFERROR(VLOOKUP(A466,Flete!$A:$J,10,0),"")</f>
        <v/>
      </c>
      <c r="P466" s="8" t="inlineStr">
        <is>
          <t>TN</t>
        </is>
      </c>
      <c r="Q466" s="10">
        <f>IFERROR(IFERROR(VLOOKUP(A466,TRAOPE!$A:$U,21,0),VLOOKUP(B466,TRAOPE!$A:$U,21,0)),"")</f>
        <v/>
      </c>
      <c r="R466" s="8">
        <f>IFERROR(IFERROR(VLOOKUP(A466,TRAOPE!$A:$W,23,0),VLOOKUP(B466,TRAOPE!$A:$W,23,0)),"")</f>
        <v/>
      </c>
      <c r="S466" s="10">
        <f>IF(AND(P466="TN",R466="TN"),N466+N(O466),IF(G466&amp;""="1",N(K466)*N466,(N466+N(O466))*N(K466)))</f>
        <v/>
      </c>
      <c r="T466" s="10">
        <f>IF(Q466="","",Q466-S466)</f>
        <v/>
      </c>
    </row>
    <row r="467">
      <c r="A467" s="7">
        <f>CONCATENATE(C467,E467,F467,I467)</f>
        <v/>
      </c>
      <c r="B467" s="7">
        <f>CONCATENATE(C467,E467,I467)</f>
        <v/>
      </c>
      <c r="C467" s="8" t="n">
        <v>900007315</v>
      </c>
      <c r="D467" s="7">
        <f>IFERROR(VLOOKUP(C467,TRAOPE!$G:$H,2,0),"")</f>
        <v/>
      </c>
      <c r="E467" s="8" t="inlineStr">
        <is>
          <t>DW68</t>
        </is>
      </c>
      <c r="F467" s="8" t="inlineStr">
        <is>
          <t>D042</t>
        </is>
      </c>
      <c r="G467" s="8">
        <f>IFERROR(VLOOKUP(A467,Flete!$A:$E,5,0),"")</f>
        <v/>
      </c>
      <c r="H467" s="7">
        <f>IFERROR(VLOOKUP(F467,TRAOPE!$AA:$AB,2,0),"")</f>
        <v/>
      </c>
      <c r="I467" s="7" t="n">
        <v>10018375</v>
      </c>
      <c r="J467" s="7">
        <f>IFERROR(VLOOKUP(I467,Materiales!$A:$H,8,0),"")</f>
        <v/>
      </c>
      <c r="K467" s="9">
        <f>IFERROR(VLOOKUP(I467,Materiales!$A:$G,7,0),"")</f>
        <v/>
      </c>
      <c r="L467" s="8" t="inlineStr">
        <is>
          <t>20220516</t>
        </is>
      </c>
      <c r="M467" s="8" t="inlineStr">
        <is>
          <t>20250730</t>
        </is>
      </c>
      <c r="N467" s="10" t="n">
        <v>45.45</v>
      </c>
      <c r="O467" s="10">
        <f>IFERROR(VLOOKUP(A467,Flete!$A:$J,10,0),"")</f>
        <v/>
      </c>
      <c r="P467" s="8" t="inlineStr">
        <is>
          <t>TN</t>
        </is>
      </c>
      <c r="Q467" s="10">
        <f>IFERROR(IFERROR(VLOOKUP(A467,TRAOPE!$A:$U,21,0),VLOOKUP(B467,TRAOPE!$A:$U,21,0)),"")</f>
        <v/>
      </c>
      <c r="R467" s="8">
        <f>IFERROR(IFERROR(VLOOKUP(A467,TRAOPE!$A:$W,23,0),VLOOKUP(B467,TRAOPE!$A:$W,23,0)),"")</f>
        <v/>
      </c>
      <c r="S467" s="10">
        <f>IF(AND(P467="TN",R467="TN"),N467+N(O467),IF(G467&amp;""="1",N(K467)*N467,(N467+N(O467))*N(K467)))</f>
        <v/>
      </c>
      <c r="T467" s="10">
        <f>IF(Q467="","",Q467-S467)</f>
        <v/>
      </c>
    </row>
    <row r="468">
      <c r="A468" s="7">
        <f>CONCATENATE(C468,E468,F468,I468)</f>
        <v/>
      </c>
      <c r="B468" s="7">
        <f>CONCATENATE(C468,E468,I468)</f>
        <v/>
      </c>
      <c r="C468" s="8" t="n">
        <v>900007315</v>
      </c>
      <c r="D468" s="7">
        <f>IFERROR(VLOOKUP(C468,TRAOPE!$G:$H,2,0),"")</f>
        <v/>
      </c>
      <c r="E468" s="8" t="inlineStr">
        <is>
          <t>DW68</t>
        </is>
      </c>
      <c r="F468" s="8" t="inlineStr">
        <is>
          <t>D209</t>
        </is>
      </c>
      <c r="G468" s="8">
        <f>IFERROR(VLOOKUP(A468,Flete!$A:$E,5,0),"")</f>
        <v/>
      </c>
      <c r="H468" s="7">
        <f>IFERROR(VLOOKUP(F468,TRAOPE!$AA:$AB,2,0),"")</f>
        <v/>
      </c>
      <c r="I468" s="7" t="n">
        <v>10000200</v>
      </c>
      <c r="J468" s="7">
        <f>IFERROR(VLOOKUP(I468,Materiales!$A:$H,8,0),"")</f>
        <v/>
      </c>
      <c r="K468" s="9">
        <f>IFERROR(VLOOKUP(I468,Materiales!$A:$G,7,0),"")</f>
        <v/>
      </c>
      <c r="L468" s="8" t="inlineStr">
        <is>
          <t>20250801</t>
        </is>
      </c>
      <c r="M468" s="8" t="inlineStr">
        <is>
          <t>99991231</t>
        </is>
      </c>
      <c r="N468" s="10" t="n">
        <v>95.88</v>
      </c>
      <c r="O468" s="10">
        <f>IFERROR(VLOOKUP(A468,Flete!$A:$J,10,0),"")</f>
        <v/>
      </c>
      <c r="P468" s="8" t="inlineStr">
        <is>
          <t>TN</t>
        </is>
      </c>
      <c r="Q468" s="10">
        <f>IFERROR(IFERROR(VLOOKUP(A468,TRAOPE!$A:$U,21,0),VLOOKUP(B468,TRAOPE!$A:$U,21,0)),"")</f>
        <v/>
      </c>
      <c r="R468" s="8">
        <f>IFERROR(IFERROR(VLOOKUP(A468,TRAOPE!$A:$W,23,0),VLOOKUP(B468,TRAOPE!$A:$W,23,0)),"")</f>
        <v/>
      </c>
      <c r="S468" s="10">
        <f>IF(AND(P468="TN",R468="TN"),N468+N(O468),IF(G468&amp;""="1",N(K468)*N468,(N468+N(O468))*N(K468)))</f>
        <v/>
      </c>
      <c r="T468" s="10">
        <f>IF(Q468="","",Q468-S468)</f>
        <v/>
      </c>
    </row>
    <row r="469">
      <c r="A469" s="7">
        <f>CONCATENATE(C469,E469,F469,I469)</f>
        <v/>
      </c>
      <c r="B469" s="7">
        <f>CONCATENATE(C469,E469,I469)</f>
        <v/>
      </c>
      <c r="C469" s="8" t="n">
        <v>900007315</v>
      </c>
      <c r="D469" s="7">
        <f>IFERROR(VLOOKUP(C469,TRAOPE!$G:$H,2,0),"")</f>
        <v/>
      </c>
      <c r="E469" s="8" t="inlineStr">
        <is>
          <t>DW68</t>
        </is>
      </c>
      <c r="F469" s="8" t="inlineStr">
        <is>
          <t>D209</t>
        </is>
      </c>
      <c r="G469" s="8">
        <f>IFERROR(VLOOKUP(A469,Flete!$A:$E,5,0),"")</f>
        <v/>
      </c>
      <c r="H469" s="7">
        <f>IFERROR(VLOOKUP(F469,TRAOPE!$AA:$AB,2,0),"")</f>
        <v/>
      </c>
      <c r="I469" s="7" t="n">
        <v>10018375</v>
      </c>
      <c r="J469" s="7">
        <f>IFERROR(VLOOKUP(I469,Materiales!$A:$H,8,0),"")</f>
        <v/>
      </c>
      <c r="K469" s="9">
        <f>IFERROR(VLOOKUP(I469,Materiales!$A:$G,7,0),"")</f>
        <v/>
      </c>
      <c r="L469" s="8" t="inlineStr">
        <is>
          <t>20220516</t>
        </is>
      </c>
      <c r="M469" s="8" t="inlineStr">
        <is>
          <t>20250730</t>
        </is>
      </c>
      <c r="N469" s="10" t="n">
        <v>45.45</v>
      </c>
      <c r="O469" s="10">
        <f>IFERROR(VLOOKUP(A469,Flete!$A:$J,10,0),"")</f>
        <v/>
      </c>
      <c r="P469" s="8" t="inlineStr">
        <is>
          <t>TN</t>
        </is>
      </c>
      <c r="Q469" s="10">
        <f>IFERROR(IFERROR(VLOOKUP(A469,TRAOPE!$A:$U,21,0),VLOOKUP(B469,TRAOPE!$A:$U,21,0)),"")</f>
        <v/>
      </c>
      <c r="R469" s="8">
        <f>IFERROR(IFERROR(VLOOKUP(A469,TRAOPE!$A:$W,23,0),VLOOKUP(B469,TRAOPE!$A:$W,23,0)),"")</f>
        <v/>
      </c>
      <c r="S469" s="10">
        <f>IF(AND(P469="TN",R469="TN"),N469+N(O469),IF(G469&amp;""="1",N(K469)*N469,(N469+N(O469))*N(K469)))</f>
        <v/>
      </c>
      <c r="T469" s="10">
        <f>IF(Q469="","",Q469-S469)</f>
        <v/>
      </c>
    </row>
    <row r="470">
      <c r="A470" s="7">
        <f>CONCATENATE(C470,E470,F470,I470)</f>
        <v/>
      </c>
      <c r="B470" s="7">
        <f>CONCATENATE(C470,E470,I470)</f>
        <v/>
      </c>
      <c r="C470" s="8" t="n">
        <v>900007315</v>
      </c>
      <c r="D470" s="7">
        <f>IFERROR(VLOOKUP(C470,TRAOPE!$G:$H,2,0),"")</f>
        <v/>
      </c>
      <c r="E470" s="8" t="inlineStr">
        <is>
          <t>DW68</t>
        </is>
      </c>
      <c r="F470" s="8" t="inlineStr">
        <is>
          <t>D211</t>
        </is>
      </c>
      <c r="G470" s="8">
        <f>IFERROR(VLOOKUP(A470,Flete!$A:$E,5,0),"")</f>
        <v/>
      </c>
      <c r="H470" s="7">
        <f>IFERROR(VLOOKUP(F470,TRAOPE!$AA:$AB,2,0),"")</f>
        <v/>
      </c>
      <c r="I470" s="7" t="n">
        <v>10000200</v>
      </c>
      <c r="J470" s="7">
        <f>IFERROR(VLOOKUP(I470,Materiales!$A:$H,8,0),"")</f>
        <v/>
      </c>
      <c r="K470" s="9">
        <f>IFERROR(VLOOKUP(I470,Materiales!$A:$G,7,0),"")</f>
        <v/>
      </c>
      <c r="L470" s="8" t="inlineStr">
        <is>
          <t>20250801</t>
        </is>
      </c>
      <c r="M470" s="8" t="inlineStr">
        <is>
          <t>99991231</t>
        </is>
      </c>
      <c r="N470" s="10" t="n">
        <v>95.88</v>
      </c>
      <c r="O470" s="10">
        <f>IFERROR(VLOOKUP(A470,Flete!$A:$J,10,0),"")</f>
        <v/>
      </c>
      <c r="P470" s="8" t="inlineStr">
        <is>
          <t>TN</t>
        </is>
      </c>
      <c r="Q470" s="10">
        <f>IFERROR(IFERROR(VLOOKUP(A470,TRAOPE!$A:$U,21,0),VLOOKUP(B470,TRAOPE!$A:$U,21,0)),"")</f>
        <v/>
      </c>
      <c r="R470" s="8">
        <f>IFERROR(IFERROR(VLOOKUP(A470,TRAOPE!$A:$W,23,0),VLOOKUP(B470,TRAOPE!$A:$W,23,0)),"")</f>
        <v/>
      </c>
      <c r="S470" s="10">
        <f>IF(AND(P470="TN",R470="TN"),N470+N(O470),IF(G470&amp;""="1",N(K470)*N470,(N470+N(O470))*N(K470)))</f>
        <v/>
      </c>
      <c r="T470" s="10">
        <f>IF(Q470="","",Q470-S470)</f>
        <v/>
      </c>
    </row>
    <row r="471">
      <c r="A471" s="7">
        <f>CONCATENATE(C471,E471,F471,I471)</f>
        <v/>
      </c>
      <c r="B471" s="7">
        <f>CONCATENATE(C471,E471,I471)</f>
        <v/>
      </c>
      <c r="C471" s="8" t="n">
        <v>900007315</v>
      </c>
      <c r="D471" s="7">
        <f>IFERROR(VLOOKUP(C471,TRAOPE!$G:$H,2,0),"")</f>
        <v/>
      </c>
      <c r="E471" s="8" t="inlineStr">
        <is>
          <t>DW68</t>
        </is>
      </c>
      <c r="F471" s="8" t="inlineStr">
        <is>
          <t>D211</t>
        </is>
      </c>
      <c r="G471" s="8">
        <f>IFERROR(VLOOKUP(A471,Flete!$A:$E,5,0),"")</f>
        <v/>
      </c>
      <c r="H471" s="7">
        <f>IFERROR(VLOOKUP(F471,TRAOPE!$AA:$AB,2,0),"")</f>
        <v/>
      </c>
      <c r="I471" s="7" t="n">
        <v>10018375</v>
      </c>
      <c r="J471" s="7">
        <f>IFERROR(VLOOKUP(I471,Materiales!$A:$H,8,0),"")</f>
        <v/>
      </c>
      <c r="K471" s="9">
        <f>IFERROR(VLOOKUP(I471,Materiales!$A:$G,7,0),"")</f>
        <v/>
      </c>
      <c r="L471" s="8" t="inlineStr">
        <is>
          <t>20220516</t>
        </is>
      </c>
      <c r="M471" s="8" t="inlineStr">
        <is>
          <t>20250730</t>
        </is>
      </c>
      <c r="N471" s="10" t="n">
        <v>45.45</v>
      </c>
      <c r="O471" s="10">
        <f>IFERROR(VLOOKUP(A471,Flete!$A:$J,10,0),"")</f>
        <v/>
      </c>
      <c r="P471" s="8" t="inlineStr">
        <is>
          <t>TN</t>
        </is>
      </c>
      <c r="Q471" s="10">
        <f>IFERROR(IFERROR(VLOOKUP(A471,TRAOPE!$A:$U,21,0),VLOOKUP(B471,TRAOPE!$A:$U,21,0)),"")</f>
        <v/>
      </c>
      <c r="R471" s="8">
        <f>IFERROR(IFERROR(VLOOKUP(A471,TRAOPE!$A:$W,23,0),VLOOKUP(B471,TRAOPE!$A:$W,23,0)),"")</f>
        <v/>
      </c>
      <c r="S471" s="10">
        <f>IF(AND(P471="TN",R471="TN"),N471+N(O471),IF(G471&amp;""="1",N(K471)*N471,(N471+N(O471))*N(K471)))</f>
        <v/>
      </c>
      <c r="T471" s="10">
        <f>IF(Q471="","",Q471-S471)</f>
        <v/>
      </c>
    </row>
    <row r="472">
      <c r="A472" s="7">
        <f>CONCATENATE(C472,E472,F472,I472)</f>
        <v/>
      </c>
      <c r="B472" s="7">
        <f>CONCATENATE(C472,E472,I472)</f>
        <v/>
      </c>
      <c r="C472" s="8" t="n">
        <v>900007315</v>
      </c>
      <c r="D472" s="7">
        <f>IFERROR(VLOOKUP(C472,TRAOPE!$G:$H,2,0),"")</f>
        <v/>
      </c>
      <c r="E472" s="8" t="inlineStr">
        <is>
          <t>DW68</t>
        </is>
      </c>
      <c r="F472" s="8" t="inlineStr">
        <is>
          <t>D213</t>
        </is>
      </c>
      <c r="G472" s="8">
        <f>IFERROR(VLOOKUP(A472,Flete!$A:$E,5,0),"")</f>
        <v/>
      </c>
      <c r="H472" s="7">
        <f>IFERROR(VLOOKUP(F472,TRAOPE!$AA:$AB,2,0),"")</f>
        <v/>
      </c>
      <c r="I472" s="7" t="n">
        <v>10000200</v>
      </c>
      <c r="J472" s="7">
        <f>IFERROR(VLOOKUP(I472,Materiales!$A:$H,8,0),"")</f>
        <v/>
      </c>
      <c r="K472" s="9">
        <f>IFERROR(VLOOKUP(I472,Materiales!$A:$G,7,0),"")</f>
        <v/>
      </c>
      <c r="L472" s="8" t="inlineStr">
        <is>
          <t>20250801</t>
        </is>
      </c>
      <c r="M472" s="8" t="inlineStr">
        <is>
          <t>99991231</t>
        </is>
      </c>
      <c r="N472" s="10" t="n">
        <v>95.88</v>
      </c>
      <c r="O472" s="10">
        <f>IFERROR(VLOOKUP(A472,Flete!$A:$J,10,0),"")</f>
        <v/>
      </c>
      <c r="P472" s="8" t="inlineStr">
        <is>
          <t>TN</t>
        </is>
      </c>
      <c r="Q472" s="10">
        <f>IFERROR(IFERROR(VLOOKUP(A472,TRAOPE!$A:$U,21,0),VLOOKUP(B472,TRAOPE!$A:$U,21,0)),"")</f>
        <v/>
      </c>
      <c r="R472" s="8">
        <f>IFERROR(IFERROR(VLOOKUP(A472,TRAOPE!$A:$W,23,0),VLOOKUP(B472,TRAOPE!$A:$W,23,0)),"")</f>
        <v/>
      </c>
      <c r="S472" s="10">
        <f>IF(AND(P472="TN",R472="TN"),N472+N(O472),IF(G472&amp;""="1",N(K472)*N472,(N472+N(O472))*N(K472)))</f>
        <v/>
      </c>
      <c r="T472" s="10">
        <f>IF(Q472="","",Q472-S472)</f>
        <v/>
      </c>
    </row>
    <row r="473">
      <c r="A473" s="7">
        <f>CONCATENATE(C473,E473,F473,I473)</f>
        <v/>
      </c>
      <c r="B473" s="7">
        <f>CONCATENATE(C473,E473,I473)</f>
        <v/>
      </c>
      <c r="C473" s="8" t="n">
        <v>900007315</v>
      </c>
      <c r="D473" s="7">
        <f>IFERROR(VLOOKUP(C473,TRAOPE!$G:$H,2,0),"")</f>
        <v/>
      </c>
      <c r="E473" s="8" t="inlineStr">
        <is>
          <t>DW68</t>
        </is>
      </c>
      <c r="F473" s="8" t="inlineStr">
        <is>
          <t>D214</t>
        </is>
      </c>
      <c r="G473" s="8">
        <f>IFERROR(VLOOKUP(A473,Flete!$A:$E,5,0),"")</f>
        <v/>
      </c>
      <c r="H473" s="7">
        <f>IFERROR(VLOOKUP(F473,TRAOPE!$AA:$AB,2,0),"")</f>
        <v/>
      </c>
      <c r="I473" s="7" t="n">
        <v>10000200</v>
      </c>
      <c r="J473" s="7">
        <f>IFERROR(VLOOKUP(I473,Materiales!$A:$H,8,0),"")</f>
        <v/>
      </c>
      <c r="K473" s="9">
        <f>IFERROR(VLOOKUP(I473,Materiales!$A:$G,7,0),"")</f>
        <v/>
      </c>
      <c r="L473" s="8" t="inlineStr">
        <is>
          <t>20250801</t>
        </is>
      </c>
      <c r="M473" s="8" t="inlineStr">
        <is>
          <t>99991231</t>
        </is>
      </c>
      <c r="N473" s="10" t="n">
        <v>95.88</v>
      </c>
      <c r="O473" s="10">
        <f>IFERROR(VLOOKUP(A473,Flete!$A:$J,10,0),"")</f>
        <v/>
      </c>
      <c r="P473" s="8" t="inlineStr">
        <is>
          <t>TN</t>
        </is>
      </c>
      <c r="Q473" s="10">
        <f>IFERROR(IFERROR(VLOOKUP(A473,TRAOPE!$A:$U,21,0),VLOOKUP(B473,TRAOPE!$A:$U,21,0)),"")</f>
        <v/>
      </c>
      <c r="R473" s="8">
        <f>IFERROR(IFERROR(VLOOKUP(A473,TRAOPE!$A:$W,23,0),VLOOKUP(B473,TRAOPE!$A:$W,23,0)),"")</f>
        <v/>
      </c>
      <c r="S473" s="10">
        <f>IF(AND(P473="TN",R473="TN"),N473+N(O473),IF(G473&amp;""="1",N(K473)*N473,(N473+N(O473))*N(K473)))</f>
        <v/>
      </c>
      <c r="T473" s="10">
        <f>IF(Q473="","",Q473-S473)</f>
        <v/>
      </c>
    </row>
    <row r="474">
      <c r="A474" s="7">
        <f>CONCATENATE(C474,E474,F474,I474)</f>
        <v/>
      </c>
      <c r="B474" s="7">
        <f>CONCATENATE(C474,E474,I474)</f>
        <v/>
      </c>
      <c r="C474" s="8" t="n">
        <v>900007315</v>
      </c>
      <c r="D474" s="7">
        <f>IFERROR(VLOOKUP(C474,TRAOPE!$G:$H,2,0),"")</f>
        <v/>
      </c>
      <c r="E474" s="8" t="inlineStr">
        <is>
          <t>DW68</t>
        </is>
      </c>
      <c r="F474" s="8" t="inlineStr">
        <is>
          <t>D214</t>
        </is>
      </c>
      <c r="G474" s="8">
        <f>IFERROR(VLOOKUP(A474,Flete!$A:$E,5,0),"")</f>
        <v/>
      </c>
      <c r="H474" s="7">
        <f>IFERROR(VLOOKUP(F474,TRAOPE!$AA:$AB,2,0),"")</f>
        <v/>
      </c>
      <c r="I474" s="7" t="n">
        <v>10018375</v>
      </c>
      <c r="J474" s="7">
        <f>IFERROR(VLOOKUP(I474,Materiales!$A:$H,8,0),"")</f>
        <v/>
      </c>
      <c r="K474" s="9">
        <f>IFERROR(VLOOKUP(I474,Materiales!$A:$G,7,0),"")</f>
        <v/>
      </c>
      <c r="L474" s="8" t="inlineStr">
        <is>
          <t>20220516</t>
        </is>
      </c>
      <c r="M474" s="8" t="inlineStr">
        <is>
          <t>20250730</t>
        </is>
      </c>
      <c r="N474" s="10" t="n">
        <v>45.45</v>
      </c>
      <c r="O474" s="10">
        <f>IFERROR(VLOOKUP(A474,Flete!$A:$J,10,0),"")</f>
        <v/>
      </c>
      <c r="P474" s="8" t="inlineStr">
        <is>
          <t>TN</t>
        </is>
      </c>
      <c r="Q474" s="10">
        <f>IFERROR(IFERROR(VLOOKUP(A474,TRAOPE!$A:$U,21,0),VLOOKUP(B474,TRAOPE!$A:$U,21,0)),"")</f>
        <v/>
      </c>
      <c r="R474" s="8">
        <f>IFERROR(IFERROR(VLOOKUP(A474,TRAOPE!$A:$W,23,0),VLOOKUP(B474,TRAOPE!$A:$W,23,0)),"")</f>
        <v/>
      </c>
      <c r="S474" s="10">
        <f>IF(AND(P474="TN",R474="TN"),N474+N(O474),IF(G474&amp;""="1",N(K474)*N474,(N474+N(O474))*N(K474)))</f>
        <v/>
      </c>
      <c r="T474" s="10">
        <f>IF(Q474="","",Q474-S474)</f>
        <v/>
      </c>
    </row>
    <row r="475">
      <c r="A475" s="7">
        <f>CONCATENATE(C475,E475,F475,I475)</f>
        <v/>
      </c>
      <c r="B475" s="7">
        <f>CONCATENATE(C475,E475,I475)</f>
        <v/>
      </c>
      <c r="C475" s="8" t="n">
        <v>900007315</v>
      </c>
      <c r="D475" s="7">
        <f>IFERROR(VLOOKUP(C475,TRAOPE!$G:$H,2,0),"")</f>
        <v/>
      </c>
      <c r="E475" s="8" t="inlineStr">
        <is>
          <t>DW68</t>
        </is>
      </c>
      <c r="F475" s="8" t="inlineStr">
        <is>
          <t>D220</t>
        </is>
      </c>
      <c r="G475" s="8">
        <f>IFERROR(VLOOKUP(A475,Flete!$A:$E,5,0),"")</f>
        <v/>
      </c>
      <c r="H475" s="7">
        <f>IFERROR(VLOOKUP(F475,TRAOPE!$AA:$AB,2,0),"")</f>
        <v/>
      </c>
      <c r="I475" s="7" t="n">
        <v>10000200</v>
      </c>
      <c r="J475" s="7">
        <f>IFERROR(VLOOKUP(I475,Materiales!$A:$H,8,0),"")</f>
        <v/>
      </c>
      <c r="K475" s="9">
        <f>IFERROR(VLOOKUP(I475,Materiales!$A:$G,7,0),"")</f>
        <v/>
      </c>
      <c r="L475" s="8" t="inlineStr">
        <is>
          <t>20250801</t>
        </is>
      </c>
      <c r="M475" s="8" t="inlineStr">
        <is>
          <t>99991231</t>
        </is>
      </c>
      <c r="N475" s="10" t="n">
        <v>95.88</v>
      </c>
      <c r="O475" s="10">
        <f>IFERROR(VLOOKUP(A475,Flete!$A:$J,10,0),"")</f>
        <v/>
      </c>
      <c r="P475" s="8" t="inlineStr">
        <is>
          <t>TN</t>
        </is>
      </c>
      <c r="Q475" s="10">
        <f>IFERROR(IFERROR(VLOOKUP(A475,TRAOPE!$A:$U,21,0),VLOOKUP(B475,TRAOPE!$A:$U,21,0)),"")</f>
        <v/>
      </c>
      <c r="R475" s="8">
        <f>IFERROR(IFERROR(VLOOKUP(A475,TRAOPE!$A:$W,23,0),VLOOKUP(B475,TRAOPE!$A:$W,23,0)),"")</f>
        <v/>
      </c>
      <c r="S475" s="10">
        <f>IF(AND(P475="TN",R475="TN"),N475+N(O475),IF(G475&amp;""="1",N(K475)*N475,(N475+N(O475))*N(K475)))</f>
        <v/>
      </c>
      <c r="T475" s="10">
        <f>IF(Q475="","",Q475-S475)</f>
        <v/>
      </c>
    </row>
    <row r="476">
      <c r="A476" s="7">
        <f>CONCATENATE(C476,E476,F476,I476)</f>
        <v/>
      </c>
      <c r="B476" s="7">
        <f>CONCATENATE(C476,E476,I476)</f>
        <v/>
      </c>
      <c r="C476" s="8" t="n">
        <v>900007315</v>
      </c>
      <c r="D476" s="7">
        <f>IFERROR(VLOOKUP(C476,TRAOPE!$G:$H,2,0),"")</f>
        <v/>
      </c>
      <c r="E476" s="8" t="inlineStr">
        <is>
          <t>DW68</t>
        </is>
      </c>
      <c r="F476" s="8" t="inlineStr">
        <is>
          <t>D228</t>
        </is>
      </c>
      <c r="G476" s="8">
        <f>IFERROR(VLOOKUP(A476,Flete!$A:$E,5,0),"")</f>
        <v/>
      </c>
      <c r="H476" s="7">
        <f>IFERROR(VLOOKUP(F476,TRAOPE!$AA:$AB,2,0),"")</f>
        <v/>
      </c>
      <c r="I476" s="7" t="n">
        <v>10000200</v>
      </c>
      <c r="J476" s="7">
        <f>IFERROR(VLOOKUP(I476,Materiales!$A:$H,8,0),"")</f>
        <v/>
      </c>
      <c r="K476" s="9">
        <f>IFERROR(VLOOKUP(I476,Materiales!$A:$G,7,0),"")</f>
        <v/>
      </c>
      <c r="L476" s="8" t="inlineStr">
        <is>
          <t>20250801</t>
        </is>
      </c>
      <c r="M476" s="8" t="inlineStr">
        <is>
          <t>99991231</t>
        </is>
      </c>
      <c r="N476" s="10" t="n">
        <v>95.88</v>
      </c>
      <c r="O476" s="10">
        <f>IFERROR(VLOOKUP(A476,Flete!$A:$J,10,0),"")</f>
        <v/>
      </c>
      <c r="P476" s="8" t="inlineStr">
        <is>
          <t>TN</t>
        </is>
      </c>
      <c r="Q476" s="10">
        <f>IFERROR(IFERROR(VLOOKUP(A476,TRAOPE!$A:$U,21,0),VLOOKUP(B476,TRAOPE!$A:$U,21,0)),"")</f>
        <v/>
      </c>
      <c r="R476" s="8">
        <f>IFERROR(IFERROR(VLOOKUP(A476,TRAOPE!$A:$W,23,0),VLOOKUP(B476,TRAOPE!$A:$W,23,0)),"")</f>
        <v/>
      </c>
      <c r="S476" s="10">
        <f>IF(AND(P476="TN",R476="TN"),N476+N(O476),IF(G476&amp;""="1",N(K476)*N476,(N476+N(O476))*N(K476)))</f>
        <v/>
      </c>
      <c r="T476" s="10">
        <f>IF(Q476="","",Q476-S476)</f>
        <v/>
      </c>
    </row>
    <row r="477">
      <c r="A477" s="7">
        <f>CONCATENATE(C477,E477,F477,I477)</f>
        <v/>
      </c>
      <c r="B477" s="7">
        <f>CONCATENATE(C477,E477,I477)</f>
        <v/>
      </c>
      <c r="C477" s="8" t="n">
        <v>900007315</v>
      </c>
      <c r="D477" s="7">
        <f>IFERROR(VLOOKUP(C477,TRAOPE!$G:$H,2,0),"")</f>
        <v/>
      </c>
      <c r="E477" s="8" t="inlineStr">
        <is>
          <t>DW68</t>
        </is>
      </c>
      <c r="F477" s="8" t="inlineStr">
        <is>
          <t>D228</t>
        </is>
      </c>
      <c r="G477" s="8">
        <f>IFERROR(VLOOKUP(A477,Flete!$A:$E,5,0),"")</f>
        <v/>
      </c>
      <c r="H477" s="7">
        <f>IFERROR(VLOOKUP(F477,TRAOPE!$AA:$AB,2,0),"")</f>
        <v/>
      </c>
      <c r="I477" s="7" t="n">
        <v>10018375</v>
      </c>
      <c r="J477" s="7">
        <f>IFERROR(VLOOKUP(I477,Materiales!$A:$H,8,0),"")</f>
        <v/>
      </c>
      <c r="K477" s="9">
        <f>IFERROR(VLOOKUP(I477,Materiales!$A:$G,7,0),"")</f>
        <v/>
      </c>
      <c r="L477" s="8" t="inlineStr">
        <is>
          <t>20220516</t>
        </is>
      </c>
      <c r="M477" s="8" t="inlineStr">
        <is>
          <t>20250730</t>
        </is>
      </c>
      <c r="N477" s="10" t="n">
        <v>45.45</v>
      </c>
      <c r="O477" s="10">
        <f>IFERROR(VLOOKUP(A477,Flete!$A:$J,10,0),"")</f>
        <v/>
      </c>
      <c r="P477" s="8" t="inlineStr">
        <is>
          <t>TN</t>
        </is>
      </c>
      <c r="Q477" s="10">
        <f>IFERROR(IFERROR(VLOOKUP(A477,TRAOPE!$A:$U,21,0),VLOOKUP(B477,TRAOPE!$A:$U,21,0)),"")</f>
        <v/>
      </c>
      <c r="R477" s="8">
        <f>IFERROR(IFERROR(VLOOKUP(A477,TRAOPE!$A:$W,23,0),VLOOKUP(B477,TRAOPE!$A:$W,23,0)),"")</f>
        <v/>
      </c>
      <c r="S477" s="10">
        <f>IF(AND(P477="TN",R477="TN"),N477+N(O477),IF(G477&amp;""="1",N(K477)*N477,(N477+N(O477))*N(K477)))</f>
        <v/>
      </c>
      <c r="T477" s="10">
        <f>IF(Q477="","",Q477-S477)</f>
        <v/>
      </c>
    </row>
    <row r="478">
      <c r="A478" s="7">
        <f>CONCATENATE(C478,E478,F478,I478)</f>
        <v/>
      </c>
      <c r="B478" s="7">
        <f>CONCATENATE(C478,E478,I478)</f>
        <v/>
      </c>
      <c r="C478" s="8" t="n">
        <v>900007315</v>
      </c>
      <c r="D478" s="7">
        <f>IFERROR(VLOOKUP(C478,TRAOPE!$G:$H,2,0),"")</f>
        <v/>
      </c>
      <c r="E478" s="8" t="inlineStr">
        <is>
          <t>DW68</t>
        </is>
      </c>
      <c r="F478" s="8" t="inlineStr">
        <is>
          <t>D242</t>
        </is>
      </c>
      <c r="G478" s="8">
        <f>IFERROR(VLOOKUP(A478,Flete!$A:$E,5,0),"")</f>
        <v/>
      </c>
      <c r="H478" s="7">
        <f>IFERROR(VLOOKUP(F478,TRAOPE!$AA:$AB,2,0),"")</f>
        <v/>
      </c>
      <c r="I478" s="7" t="n">
        <v>10000200</v>
      </c>
      <c r="J478" s="7">
        <f>IFERROR(VLOOKUP(I478,Materiales!$A:$H,8,0),"")</f>
        <v/>
      </c>
      <c r="K478" s="9">
        <f>IFERROR(VLOOKUP(I478,Materiales!$A:$G,7,0),"")</f>
        <v/>
      </c>
      <c r="L478" s="8" t="inlineStr">
        <is>
          <t>20250801</t>
        </is>
      </c>
      <c r="M478" s="8" t="inlineStr">
        <is>
          <t>99991231</t>
        </is>
      </c>
      <c r="N478" s="10" t="n">
        <v>95.88</v>
      </c>
      <c r="O478" s="10">
        <f>IFERROR(VLOOKUP(A478,Flete!$A:$J,10,0),"")</f>
        <v/>
      </c>
      <c r="P478" s="8" t="inlineStr">
        <is>
          <t>TN</t>
        </is>
      </c>
      <c r="Q478" s="10">
        <f>IFERROR(IFERROR(VLOOKUP(A478,TRAOPE!$A:$U,21,0),VLOOKUP(B478,TRAOPE!$A:$U,21,0)),"")</f>
        <v/>
      </c>
      <c r="R478" s="8">
        <f>IFERROR(IFERROR(VLOOKUP(A478,TRAOPE!$A:$W,23,0),VLOOKUP(B478,TRAOPE!$A:$W,23,0)),"")</f>
        <v/>
      </c>
      <c r="S478" s="10">
        <f>IF(AND(P478="TN",R478="TN"),N478+N(O478),IF(G478&amp;""="1",N(K478)*N478,(N478+N(O478))*N(K478)))</f>
        <v/>
      </c>
      <c r="T478" s="10">
        <f>IF(Q478="","",Q478-S478)</f>
        <v/>
      </c>
    </row>
    <row r="479">
      <c r="A479" s="7">
        <f>CONCATENATE(C479,E479,F479,I479)</f>
        <v/>
      </c>
      <c r="B479" s="7">
        <f>CONCATENATE(C479,E479,I479)</f>
        <v/>
      </c>
      <c r="C479" s="8" t="n">
        <v>900007315</v>
      </c>
      <c r="D479" s="7">
        <f>IFERROR(VLOOKUP(C479,TRAOPE!$G:$H,2,0),"")</f>
        <v/>
      </c>
      <c r="E479" s="8" t="inlineStr">
        <is>
          <t>DW68</t>
        </is>
      </c>
      <c r="F479" s="8" t="inlineStr">
        <is>
          <t>D242</t>
        </is>
      </c>
      <c r="G479" s="8">
        <f>IFERROR(VLOOKUP(A479,Flete!$A:$E,5,0),"")</f>
        <v/>
      </c>
      <c r="H479" s="7">
        <f>IFERROR(VLOOKUP(F479,TRAOPE!$AA:$AB,2,0),"")</f>
        <v/>
      </c>
      <c r="I479" s="7" t="n">
        <v>10018375</v>
      </c>
      <c r="J479" s="7">
        <f>IFERROR(VLOOKUP(I479,Materiales!$A:$H,8,0),"")</f>
        <v/>
      </c>
      <c r="K479" s="9">
        <f>IFERROR(VLOOKUP(I479,Materiales!$A:$G,7,0),"")</f>
        <v/>
      </c>
      <c r="L479" s="8" t="inlineStr">
        <is>
          <t>20220516</t>
        </is>
      </c>
      <c r="M479" s="8" t="inlineStr">
        <is>
          <t>20250730</t>
        </is>
      </c>
      <c r="N479" s="10" t="n">
        <v>45.45</v>
      </c>
      <c r="O479" s="10">
        <f>IFERROR(VLOOKUP(A479,Flete!$A:$J,10,0),"")</f>
        <v/>
      </c>
      <c r="P479" s="8" t="inlineStr">
        <is>
          <t>TN</t>
        </is>
      </c>
      <c r="Q479" s="10">
        <f>IFERROR(IFERROR(VLOOKUP(A479,TRAOPE!$A:$U,21,0),VLOOKUP(B479,TRAOPE!$A:$U,21,0)),"")</f>
        <v/>
      </c>
      <c r="R479" s="8">
        <f>IFERROR(IFERROR(VLOOKUP(A479,TRAOPE!$A:$W,23,0),VLOOKUP(B479,TRAOPE!$A:$W,23,0)),"")</f>
        <v/>
      </c>
      <c r="S479" s="10">
        <f>IF(AND(P479="TN",R479="TN"),N479+N(O479),IF(G479&amp;""="1",N(K479)*N479,(N479+N(O479))*N(K479)))</f>
        <v/>
      </c>
      <c r="T479" s="10">
        <f>IF(Q479="","",Q479-S479)</f>
        <v/>
      </c>
    </row>
    <row r="480">
      <c r="A480" s="7">
        <f>CONCATENATE(C480,E480,F480,I480)</f>
        <v/>
      </c>
      <c r="B480" s="7">
        <f>CONCATENATE(C480,E480,I480)</f>
        <v/>
      </c>
      <c r="C480" s="8" t="n">
        <v>900007315</v>
      </c>
      <c r="D480" s="7">
        <f>IFERROR(VLOOKUP(C480,TRAOPE!$G:$H,2,0),"")</f>
        <v/>
      </c>
      <c r="E480" s="8" t="inlineStr">
        <is>
          <t>DW68</t>
        </is>
      </c>
      <c r="F480" s="8" t="inlineStr">
        <is>
          <t>D247</t>
        </is>
      </c>
      <c r="G480" s="8">
        <f>IFERROR(VLOOKUP(A480,Flete!$A:$E,5,0),"")</f>
        <v/>
      </c>
      <c r="H480" s="7">
        <f>IFERROR(VLOOKUP(F480,TRAOPE!$AA:$AB,2,0),"")</f>
        <v/>
      </c>
      <c r="I480" s="7" t="n">
        <v>10000200</v>
      </c>
      <c r="J480" s="7">
        <f>IFERROR(VLOOKUP(I480,Materiales!$A:$H,8,0),"")</f>
        <v/>
      </c>
      <c r="K480" s="9">
        <f>IFERROR(VLOOKUP(I480,Materiales!$A:$G,7,0),"")</f>
        <v/>
      </c>
      <c r="L480" s="8" t="inlineStr">
        <is>
          <t>20250801</t>
        </is>
      </c>
      <c r="M480" s="8" t="inlineStr">
        <is>
          <t>99991231</t>
        </is>
      </c>
      <c r="N480" s="10" t="n">
        <v>95.88</v>
      </c>
      <c r="O480" s="10">
        <f>IFERROR(VLOOKUP(A480,Flete!$A:$J,10,0),"")</f>
        <v/>
      </c>
      <c r="P480" s="8" t="inlineStr">
        <is>
          <t>TN</t>
        </is>
      </c>
      <c r="Q480" s="10">
        <f>IFERROR(IFERROR(VLOOKUP(A480,TRAOPE!$A:$U,21,0),VLOOKUP(B480,TRAOPE!$A:$U,21,0)),"")</f>
        <v/>
      </c>
      <c r="R480" s="8">
        <f>IFERROR(IFERROR(VLOOKUP(A480,TRAOPE!$A:$W,23,0),VLOOKUP(B480,TRAOPE!$A:$W,23,0)),"")</f>
        <v/>
      </c>
      <c r="S480" s="10">
        <f>IF(AND(P480="TN",R480="TN"),N480+N(O480),IF(G480&amp;""="1",N(K480)*N480,(N480+N(O480))*N(K480)))</f>
        <v/>
      </c>
      <c r="T480" s="10">
        <f>IF(Q480="","",Q480-S480)</f>
        <v/>
      </c>
    </row>
    <row r="481">
      <c r="A481" s="7">
        <f>CONCATENATE(C481,E481,F481,I481)</f>
        <v/>
      </c>
      <c r="B481" s="7">
        <f>CONCATENATE(C481,E481,I481)</f>
        <v/>
      </c>
      <c r="C481" s="8" t="n">
        <v>900007315</v>
      </c>
      <c r="D481" s="7">
        <f>IFERROR(VLOOKUP(C481,TRAOPE!$G:$H,2,0),"")</f>
        <v/>
      </c>
      <c r="E481" s="8" t="inlineStr">
        <is>
          <t>DW68</t>
        </is>
      </c>
      <c r="F481" s="8" t="inlineStr">
        <is>
          <t>D247</t>
        </is>
      </c>
      <c r="G481" s="8">
        <f>IFERROR(VLOOKUP(A481,Flete!$A:$E,5,0),"")</f>
        <v/>
      </c>
      <c r="H481" s="7">
        <f>IFERROR(VLOOKUP(F481,TRAOPE!$AA:$AB,2,0),"")</f>
        <v/>
      </c>
      <c r="I481" s="7" t="n">
        <v>10018375</v>
      </c>
      <c r="J481" s="7">
        <f>IFERROR(VLOOKUP(I481,Materiales!$A:$H,8,0),"")</f>
        <v/>
      </c>
      <c r="K481" s="9">
        <f>IFERROR(VLOOKUP(I481,Materiales!$A:$G,7,0),"")</f>
        <v/>
      </c>
      <c r="L481" s="8" t="inlineStr">
        <is>
          <t>20220516</t>
        </is>
      </c>
      <c r="M481" s="8" t="inlineStr">
        <is>
          <t>20250730</t>
        </is>
      </c>
      <c r="N481" s="10" t="n">
        <v>45.45</v>
      </c>
      <c r="O481" s="10">
        <f>IFERROR(VLOOKUP(A481,Flete!$A:$J,10,0),"")</f>
        <v/>
      </c>
      <c r="P481" s="8" t="inlineStr">
        <is>
          <t>TN</t>
        </is>
      </c>
      <c r="Q481" s="10">
        <f>IFERROR(IFERROR(VLOOKUP(A481,TRAOPE!$A:$U,21,0),VLOOKUP(B481,TRAOPE!$A:$U,21,0)),"")</f>
        <v/>
      </c>
      <c r="R481" s="8">
        <f>IFERROR(IFERROR(VLOOKUP(A481,TRAOPE!$A:$W,23,0),VLOOKUP(B481,TRAOPE!$A:$W,23,0)),"")</f>
        <v/>
      </c>
      <c r="S481" s="10">
        <f>IF(AND(P481="TN",R481="TN"),N481+N(O481),IF(G481&amp;""="1",N(K481)*N481,(N481+N(O481))*N(K481)))</f>
        <v/>
      </c>
      <c r="T481" s="10">
        <f>IF(Q481="","",Q481-S481)</f>
        <v/>
      </c>
    </row>
    <row r="482">
      <c r="A482" s="7">
        <f>CONCATENATE(C482,E482,F482,I482)</f>
        <v/>
      </c>
      <c r="B482" s="7">
        <f>CONCATENATE(C482,E482,I482)</f>
        <v/>
      </c>
      <c r="C482" s="8" t="n">
        <v>900007315</v>
      </c>
      <c r="D482" s="7">
        <f>IFERROR(VLOOKUP(C482,TRAOPE!$G:$H,2,0),"")</f>
        <v/>
      </c>
      <c r="E482" s="8" t="inlineStr">
        <is>
          <t>DW68</t>
        </is>
      </c>
      <c r="F482" s="8" t="inlineStr">
        <is>
          <t>D264</t>
        </is>
      </c>
      <c r="G482" s="8">
        <f>IFERROR(VLOOKUP(A482,Flete!$A:$E,5,0),"")</f>
        <v/>
      </c>
      <c r="H482" s="7">
        <f>IFERROR(VLOOKUP(F482,TRAOPE!$AA:$AB,2,0),"")</f>
        <v/>
      </c>
      <c r="I482" s="7" t="n">
        <v>10000200</v>
      </c>
      <c r="J482" s="7">
        <f>IFERROR(VLOOKUP(I482,Materiales!$A:$H,8,0),"")</f>
        <v/>
      </c>
      <c r="K482" s="9">
        <f>IFERROR(VLOOKUP(I482,Materiales!$A:$G,7,0),"")</f>
        <v/>
      </c>
      <c r="L482" s="8" t="inlineStr">
        <is>
          <t>20250801</t>
        </is>
      </c>
      <c r="M482" s="8" t="inlineStr">
        <is>
          <t>99991231</t>
        </is>
      </c>
      <c r="N482" s="10" t="n">
        <v>95.88</v>
      </c>
      <c r="O482" s="10">
        <f>IFERROR(VLOOKUP(A482,Flete!$A:$J,10,0),"")</f>
        <v/>
      </c>
      <c r="P482" s="8" t="inlineStr">
        <is>
          <t>TN</t>
        </is>
      </c>
      <c r="Q482" s="10">
        <f>IFERROR(IFERROR(VLOOKUP(A482,TRAOPE!$A:$U,21,0),VLOOKUP(B482,TRAOPE!$A:$U,21,0)),"")</f>
        <v/>
      </c>
      <c r="R482" s="8">
        <f>IFERROR(IFERROR(VLOOKUP(A482,TRAOPE!$A:$W,23,0),VLOOKUP(B482,TRAOPE!$A:$W,23,0)),"")</f>
        <v/>
      </c>
      <c r="S482" s="10">
        <f>IF(AND(P482="TN",R482="TN"),N482+N(O482),IF(G482&amp;""="1",N(K482)*N482,(N482+N(O482))*N(K482)))</f>
        <v/>
      </c>
      <c r="T482" s="10">
        <f>IF(Q482="","",Q482-S482)</f>
        <v/>
      </c>
    </row>
    <row r="483">
      <c r="A483" s="7">
        <f>CONCATENATE(C483,E483,F483,I483)</f>
        <v/>
      </c>
      <c r="B483" s="7">
        <f>CONCATENATE(C483,E483,I483)</f>
        <v/>
      </c>
      <c r="C483" s="8" t="n">
        <v>900007315</v>
      </c>
      <c r="D483" s="7">
        <f>IFERROR(VLOOKUP(C483,TRAOPE!$G:$H,2,0),"")</f>
        <v/>
      </c>
      <c r="E483" s="8" t="inlineStr">
        <is>
          <t>DW68</t>
        </is>
      </c>
      <c r="F483" s="8" t="inlineStr">
        <is>
          <t>D264</t>
        </is>
      </c>
      <c r="G483" s="8">
        <f>IFERROR(VLOOKUP(A483,Flete!$A:$E,5,0),"")</f>
        <v/>
      </c>
      <c r="H483" s="7">
        <f>IFERROR(VLOOKUP(F483,TRAOPE!$AA:$AB,2,0),"")</f>
        <v/>
      </c>
      <c r="I483" s="7" t="n">
        <v>10018375</v>
      </c>
      <c r="J483" s="7">
        <f>IFERROR(VLOOKUP(I483,Materiales!$A:$H,8,0),"")</f>
        <v/>
      </c>
      <c r="K483" s="9">
        <f>IFERROR(VLOOKUP(I483,Materiales!$A:$G,7,0),"")</f>
        <v/>
      </c>
      <c r="L483" s="8" t="inlineStr">
        <is>
          <t>20220516</t>
        </is>
      </c>
      <c r="M483" s="8" t="inlineStr">
        <is>
          <t>20250730</t>
        </is>
      </c>
      <c r="N483" s="10" t="n">
        <v>45.45</v>
      </c>
      <c r="O483" s="10">
        <f>IFERROR(VLOOKUP(A483,Flete!$A:$J,10,0),"")</f>
        <v/>
      </c>
      <c r="P483" s="8" t="inlineStr">
        <is>
          <t>TN</t>
        </is>
      </c>
      <c r="Q483" s="10">
        <f>IFERROR(IFERROR(VLOOKUP(A483,TRAOPE!$A:$U,21,0),VLOOKUP(B483,TRAOPE!$A:$U,21,0)),"")</f>
        <v/>
      </c>
      <c r="R483" s="8">
        <f>IFERROR(IFERROR(VLOOKUP(A483,TRAOPE!$A:$W,23,0),VLOOKUP(B483,TRAOPE!$A:$W,23,0)),"")</f>
        <v/>
      </c>
      <c r="S483" s="10">
        <f>IF(AND(P483="TN",R483="TN"),N483+N(O483),IF(G483&amp;""="1",N(K483)*N483,(N483+N(O483))*N(K483)))</f>
        <v/>
      </c>
      <c r="T483" s="10">
        <f>IF(Q483="","",Q483-S483)</f>
        <v/>
      </c>
    </row>
    <row r="484">
      <c r="A484" s="7">
        <f>CONCATENATE(C484,E484,F484,I484)</f>
        <v/>
      </c>
      <c r="B484" s="7">
        <f>CONCATENATE(C484,E484,I484)</f>
        <v/>
      </c>
      <c r="C484" s="8" t="n">
        <v>900007315</v>
      </c>
      <c r="D484" s="7">
        <f>IFERROR(VLOOKUP(C484,TRAOPE!$G:$H,2,0),"")</f>
        <v/>
      </c>
      <c r="E484" s="8" t="inlineStr">
        <is>
          <t>DW68</t>
        </is>
      </c>
      <c r="F484" s="8" t="inlineStr">
        <is>
          <t>D267</t>
        </is>
      </c>
      <c r="G484" s="8">
        <f>IFERROR(VLOOKUP(A484,Flete!$A:$E,5,0),"")</f>
        <v/>
      </c>
      <c r="H484" s="7">
        <f>IFERROR(VLOOKUP(F484,TRAOPE!$AA:$AB,2,0),"")</f>
        <v/>
      </c>
      <c r="I484" s="7" t="n">
        <v>10000200</v>
      </c>
      <c r="J484" s="7">
        <f>IFERROR(VLOOKUP(I484,Materiales!$A:$H,8,0),"")</f>
        <v/>
      </c>
      <c r="K484" s="9">
        <f>IFERROR(VLOOKUP(I484,Materiales!$A:$G,7,0),"")</f>
        <v/>
      </c>
      <c r="L484" s="8" t="inlineStr">
        <is>
          <t>20250801</t>
        </is>
      </c>
      <c r="M484" s="8" t="inlineStr">
        <is>
          <t>99991231</t>
        </is>
      </c>
      <c r="N484" s="10" t="n">
        <v>95.88</v>
      </c>
      <c r="O484" s="10">
        <f>IFERROR(VLOOKUP(A484,Flete!$A:$J,10,0),"")</f>
        <v/>
      </c>
      <c r="P484" s="8" t="inlineStr">
        <is>
          <t>TN</t>
        </is>
      </c>
      <c r="Q484" s="10">
        <f>IFERROR(IFERROR(VLOOKUP(A484,TRAOPE!$A:$U,21,0),VLOOKUP(B484,TRAOPE!$A:$U,21,0)),"")</f>
        <v/>
      </c>
      <c r="R484" s="8">
        <f>IFERROR(IFERROR(VLOOKUP(A484,TRAOPE!$A:$W,23,0),VLOOKUP(B484,TRAOPE!$A:$W,23,0)),"")</f>
        <v/>
      </c>
      <c r="S484" s="10">
        <f>IF(AND(P484="TN",R484="TN"),N484+N(O484),IF(G484&amp;""="1",N(K484)*N484,(N484+N(O484))*N(K484)))</f>
        <v/>
      </c>
      <c r="T484" s="10">
        <f>IF(Q484="","",Q484-S484)</f>
        <v/>
      </c>
    </row>
    <row r="485">
      <c r="A485" s="7">
        <f>CONCATENATE(C485,E485,F485,I485)</f>
        <v/>
      </c>
      <c r="B485" s="7">
        <f>CONCATENATE(C485,E485,I485)</f>
        <v/>
      </c>
      <c r="C485" s="8" t="n">
        <v>900007315</v>
      </c>
      <c r="D485" s="7">
        <f>IFERROR(VLOOKUP(C485,TRAOPE!$G:$H,2,0),"")</f>
        <v/>
      </c>
      <c r="E485" s="8" t="inlineStr">
        <is>
          <t>DW68</t>
        </is>
      </c>
      <c r="F485" s="8" t="inlineStr">
        <is>
          <t>D267</t>
        </is>
      </c>
      <c r="G485" s="8">
        <f>IFERROR(VLOOKUP(A485,Flete!$A:$E,5,0),"")</f>
        <v/>
      </c>
      <c r="H485" s="7">
        <f>IFERROR(VLOOKUP(F485,TRAOPE!$AA:$AB,2,0),"")</f>
        <v/>
      </c>
      <c r="I485" s="7" t="n">
        <v>10018375</v>
      </c>
      <c r="J485" s="7">
        <f>IFERROR(VLOOKUP(I485,Materiales!$A:$H,8,0),"")</f>
        <v/>
      </c>
      <c r="K485" s="9">
        <f>IFERROR(VLOOKUP(I485,Materiales!$A:$G,7,0),"")</f>
        <v/>
      </c>
      <c r="L485" s="8" t="inlineStr">
        <is>
          <t>20220516</t>
        </is>
      </c>
      <c r="M485" s="8" t="inlineStr">
        <is>
          <t>20250730</t>
        </is>
      </c>
      <c r="N485" s="10" t="n">
        <v>45.45</v>
      </c>
      <c r="O485" s="10">
        <f>IFERROR(VLOOKUP(A485,Flete!$A:$J,10,0),"")</f>
        <v/>
      </c>
      <c r="P485" s="8" t="inlineStr">
        <is>
          <t>TN</t>
        </is>
      </c>
      <c r="Q485" s="10">
        <f>IFERROR(IFERROR(VLOOKUP(A485,TRAOPE!$A:$U,21,0),VLOOKUP(B485,TRAOPE!$A:$U,21,0)),"")</f>
        <v/>
      </c>
      <c r="R485" s="8">
        <f>IFERROR(IFERROR(VLOOKUP(A485,TRAOPE!$A:$W,23,0),VLOOKUP(B485,TRAOPE!$A:$W,23,0)),"")</f>
        <v/>
      </c>
      <c r="S485" s="10">
        <f>IF(AND(P485="TN",R485="TN"),N485+N(O485),IF(G485&amp;""="1",N(K485)*N485,(N485+N(O485))*N(K485)))</f>
        <v/>
      </c>
      <c r="T485" s="10">
        <f>IF(Q485="","",Q485-S485)</f>
        <v/>
      </c>
    </row>
    <row r="486">
      <c r="A486" s="7">
        <f>CONCATENATE(C486,E486,F486,I486)</f>
        <v/>
      </c>
      <c r="B486" s="7">
        <f>CONCATENATE(C486,E486,I486)</f>
        <v/>
      </c>
      <c r="C486" s="8" t="n">
        <v>900007515</v>
      </c>
      <c r="D486" s="7">
        <f>IFERROR(VLOOKUP(C486,TRAOPE!$G:$H,2,0),"")</f>
        <v/>
      </c>
      <c r="E486" s="8" t="inlineStr">
        <is>
          <t>DW68</t>
        </is>
      </c>
      <c r="F486" s="8" t="inlineStr">
        <is>
          <t>D268</t>
        </is>
      </c>
      <c r="G486" s="8">
        <f>IFERROR(VLOOKUP(A486,Flete!$A:$E,5,0),"")</f>
        <v/>
      </c>
      <c r="H486" s="7">
        <f>IFERROR(VLOOKUP(F486,TRAOPE!$AA:$AB,2,0),"")</f>
        <v/>
      </c>
      <c r="I486" s="7" t="n">
        <v>10000191</v>
      </c>
      <c r="J486" s="7">
        <f>IFERROR(VLOOKUP(I486,Materiales!$A:$H,8,0),"")</f>
        <v/>
      </c>
      <c r="K486" s="9">
        <f>IFERROR(VLOOKUP(I486,Materiales!$A:$G,7,0),"")</f>
        <v/>
      </c>
      <c r="L486" s="8" t="inlineStr">
        <is>
          <t>20220516</t>
        </is>
      </c>
      <c r="M486" s="8" t="inlineStr">
        <is>
          <t>20251031</t>
        </is>
      </c>
      <c r="N486" s="10" t="n">
        <v>121.18</v>
      </c>
      <c r="O486" s="10">
        <f>IFERROR(VLOOKUP(A486,Flete!$A:$J,10,0),"")</f>
        <v/>
      </c>
      <c r="P486" s="8" t="inlineStr">
        <is>
          <t>TN</t>
        </is>
      </c>
      <c r="Q486" s="10">
        <f>IFERROR(IFERROR(VLOOKUP(A486,TRAOPE!$A:$U,21,0),VLOOKUP(B486,TRAOPE!$A:$U,21,0)),"")</f>
        <v/>
      </c>
      <c r="R486" s="8">
        <f>IFERROR(IFERROR(VLOOKUP(A486,TRAOPE!$A:$W,23,0),VLOOKUP(B486,TRAOPE!$A:$W,23,0)),"")</f>
        <v/>
      </c>
      <c r="S486" s="10">
        <f>IF(AND(P486="TN",R486="TN"),N486+N(O486),IF(G486&amp;""="1",N(K486)*N486,(N486+N(O486))*N(K486)))</f>
        <v/>
      </c>
      <c r="T486" s="10">
        <f>IF(Q486="","",Q486-S486)</f>
        <v/>
      </c>
    </row>
    <row r="487">
      <c r="A487" s="7">
        <f>CONCATENATE(C487,E487,F487,I487)</f>
        <v/>
      </c>
      <c r="B487" s="7">
        <f>CONCATENATE(C487,E487,I487)</f>
        <v/>
      </c>
      <c r="C487" s="8" t="n">
        <v>900007515</v>
      </c>
      <c r="D487" s="7">
        <f>IFERROR(VLOOKUP(C487,TRAOPE!$G:$H,2,0),"")</f>
        <v/>
      </c>
      <c r="E487" s="8" t="inlineStr">
        <is>
          <t>DW68</t>
        </is>
      </c>
      <c r="F487" s="8" t="inlineStr">
        <is>
          <t>D268</t>
        </is>
      </c>
      <c r="G487" s="8">
        <f>IFERROR(VLOOKUP(A487,Flete!$A:$E,5,0),"")</f>
        <v/>
      </c>
      <c r="H487" s="7">
        <f>IFERROR(VLOOKUP(F487,TRAOPE!$AA:$AB,2,0),"")</f>
        <v/>
      </c>
      <c r="I487" s="7" t="n">
        <v>10000384</v>
      </c>
      <c r="J487" s="7">
        <f>IFERROR(VLOOKUP(I487,Materiales!$A:$H,8,0),"")</f>
        <v/>
      </c>
      <c r="K487" s="9">
        <f>IFERROR(VLOOKUP(I487,Materiales!$A:$G,7,0),"")</f>
        <v/>
      </c>
      <c r="L487" s="8" t="inlineStr">
        <is>
          <t>20220516</t>
        </is>
      </c>
      <c r="M487" s="8" t="inlineStr">
        <is>
          <t>20251031</t>
        </is>
      </c>
      <c r="N487" s="10" t="n">
        <v>114.7</v>
      </c>
      <c r="O487" s="10">
        <f>IFERROR(VLOOKUP(A487,Flete!$A:$J,10,0),"")</f>
        <v/>
      </c>
      <c r="P487" s="8" t="inlineStr">
        <is>
          <t>TN</t>
        </is>
      </c>
      <c r="Q487" s="10">
        <f>IFERROR(IFERROR(VLOOKUP(A487,TRAOPE!$A:$U,21,0),VLOOKUP(B487,TRAOPE!$A:$U,21,0)),"")</f>
        <v/>
      </c>
      <c r="R487" s="8">
        <f>IFERROR(IFERROR(VLOOKUP(A487,TRAOPE!$A:$W,23,0),VLOOKUP(B487,TRAOPE!$A:$W,23,0)),"")</f>
        <v/>
      </c>
      <c r="S487" s="10">
        <f>IF(AND(P487="TN",R487="TN"),N487+N(O487),IF(G487&amp;""="1",N(K487)*N487,(N487+N(O487))*N(K487)))</f>
        <v/>
      </c>
      <c r="T487" s="10">
        <f>IF(Q487="","",Q487-S487)</f>
        <v/>
      </c>
    </row>
    <row r="488">
      <c r="A488" s="7">
        <f>CONCATENATE(C488,E488,F488,I488)</f>
        <v/>
      </c>
      <c r="B488" s="7">
        <f>CONCATENATE(C488,E488,I488)</f>
        <v/>
      </c>
      <c r="C488" s="8" t="n">
        <v>900007515</v>
      </c>
      <c r="D488" s="7">
        <f>IFERROR(VLOOKUP(C488,TRAOPE!$G:$H,2,0),"")</f>
        <v/>
      </c>
      <c r="E488" s="8" t="inlineStr">
        <is>
          <t>DW68</t>
        </is>
      </c>
      <c r="F488" s="8" t="inlineStr">
        <is>
          <t>D268</t>
        </is>
      </c>
      <c r="G488" s="8">
        <f>IFERROR(VLOOKUP(A488,Flete!$A:$E,5,0),"")</f>
        <v/>
      </c>
      <c r="H488" s="7">
        <f>IFERROR(VLOOKUP(F488,TRAOPE!$AA:$AB,2,0),"")</f>
        <v/>
      </c>
      <c r="I488" s="7" t="n">
        <v>10000388</v>
      </c>
      <c r="J488" s="7">
        <f>IFERROR(VLOOKUP(I488,Materiales!$A:$H,8,0),"")</f>
        <v/>
      </c>
      <c r="K488" s="9">
        <f>IFERROR(VLOOKUP(I488,Materiales!$A:$G,7,0),"")</f>
        <v/>
      </c>
      <c r="L488" s="8" t="inlineStr">
        <is>
          <t>20220516</t>
        </is>
      </c>
      <c r="M488" s="8" t="inlineStr">
        <is>
          <t>20251031</t>
        </is>
      </c>
      <c r="N488" s="10" t="n">
        <v>106.88</v>
      </c>
      <c r="O488" s="10">
        <f>IFERROR(VLOOKUP(A488,Flete!$A:$J,10,0),"")</f>
        <v/>
      </c>
      <c r="P488" s="8" t="inlineStr">
        <is>
          <t>TN</t>
        </is>
      </c>
      <c r="Q488" s="10">
        <f>IFERROR(IFERROR(VLOOKUP(A488,TRAOPE!$A:$U,21,0),VLOOKUP(B488,TRAOPE!$A:$U,21,0)),"")</f>
        <v/>
      </c>
      <c r="R488" s="8">
        <f>IFERROR(IFERROR(VLOOKUP(A488,TRAOPE!$A:$W,23,0),VLOOKUP(B488,TRAOPE!$A:$W,23,0)),"")</f>
        <v/>
      </c>
      <c r="S488" s="10">
        <f>IF(AND(P488="TN",R488="TN"),N488+N(O488),IF(G488&amp;""="1",N(K488)*N488,(N488+N(O488))*N(K488)))</f>
        <v/>
      </c>
      <c r="T488" s="10">
        <f>IF(Q488="","",Q488-S488)</f>
        <v/>
      </c>
    </row>
    <row r="489">
      <c r="A489" s="7">
        <f>CONCATENATE(C489,E489,F489,I489)</f>
        <v/>
      </c>
      <c r="B489" s="7">
        <f>CONCATENATE(C489,E489,I489)</f>
        <v/>
      </c>
      <c r="C489" s="8" t="n">
        <v>900007515</v>
      </c>
      <c r="D489" s="7">
        <f>IFERROR(VLOOKUP(C489,TRAOPE!$G:$H,2,0),"")</f>
        <v/>
      </c>
      <c r="E489" s="8" t="inlineStr">
        <is>
          <t>DW68</t>
        </is>
      </c>
      <c r="F489" s="8" t="inlineStr">
        <is>
          <t>D268</t>
        </is>
      </c>
      <c r="G489" s="8">
        <f>IFERROR(VLOOKUP(A489,Flete!$A:$E,5,0),"")</f>
        <v/>
      </c>
      <c r="H489" s="7">
        <f>IFERROR(VLOOKUP(F489,TRAOPE!$AA:$AB,2,0),"")</f>
        <v/>
      </c>
      <c r="I489" s="7" t="n">
        <v>10004258</v>
      </c>
      <c r="J489" s="7">
        <f>IFERROR(VLOOKUP(I489,Materiales!$A:$H,8,0),"")</f>
        <v/>
      </c>
      <c r="K489" s="9">
        <f>IFERROR(VLOOKUP(I489,Materiales!$A:$G,7,0),"")</f>
        <v/>
      </c>
      <c r="L489" s="8" t="inlineStr">
        <is>
          <t>20220516</t>
        </is>
      </c>
      <c r="M489" s="8" t="inlineStr">
        <is>
          <t>20251031</t>
        </is>
      </c>
      <c r="N489" s="10" t="n">
        <v>149</v>
      </c>
      <c r="O489" s="10">
        <f>IFERROR(VLOOKUP(A489,Flete!$A:$J,10,0),"")</f>
        <v/>
      </c>
      <c r="P489" s="8" t="inlineStr">
        <is>
          <t>TN</t>
        </is>
      </c>
      <c r="Q489" s="10">
        <f>IFERROR(IFERROR(VLOOKUP(A489,TRAOPE!$A:$U,21,0),VLOOKUP(B489,TRAOPE!$A:$U,21,0)),"")</f>
        <v/>
      </c>
      <c r="R489" s="8">
        <f>IFERROR(IFERROR(VLOOKUP(A489,TRAOPE!$A:$W,23,0),VLOOKUP(B489,TRAOPE!$A:$W,23,0)),"")</f>
        <v/>
      </c>
      <c r="S489" s="10">
        <f>IF(AND(P489="TN",R489="TN"),N489+N(O489),IF(G489&amp;""="1",N(K489)*N489,(N489+N(O489))*N(K489)))</f>
        <v/>
      </c>
      <c r="T489" s="10">
        <f>IF(Q489="","",Q489-S489)</f>
        <v/>
      </c>
    </row>
    <row r="490">
      <c r="A490" s="7">
        <f>CONCATENATE(C490,E490,F490,I490)</f>
        <v/>
      </c>
      <c r="B490" s="7">
        <f>CONCATENATE(C490,E490,I490)</f>
        <v/>
      </c>
      <c r="C490" s="8" t="n">
        <v>900007868</v>
      </c>
      <c r="D490" s="7">
        <f>IFERROR(VLOOKUP(C490,TRAOPE!$G:$H,2,0),"")</f>
        <v/>
      </c>
      <c r="E490" s="8" t="inlineStr">
        <is>
          <t>DW68</t>
        </is>
      </c>
      <c r="F490" s="8" t="inlineStr">
        <is>
          <t>D042</t>
        </is>
      </c>
      <c r="G490" s="8">
        <f>IFERROR(VLOOKUP(A490,Flete!$A:$E,5,0),"")</f>
        <v/>
      </c>
      <c r="H490" s="7">
        <f>IFERROR(VLOOKUP(F490,TRAOPE!$AA:$AB,2,0),"")</f>
        <v/>
      </c>
      <c r="I490" s="7" t="n">
        <v>10000191</v>
      </c>
      <c r="J490" s="7">
        <f>IFERROR(VLOOKUP(I490,Materiales!$A:$H,8,0),"")</f>
        <v/>
      </c>
      <c r="K490" s="9">
        <f>IFERROR(VLOOKUP(I490,Materiales!$A:$G,7,0),"")</f>
        <v/>
      </c>
      <c r="L490" s="8" t="inlineStr">
        <is>
          <t>20250224</t>
        </is>
      </c>
      <c r="M490" s="8" t="inlineStr">
        <is>
          <t>99991231</t>
        </is>
      </c>
      <c r="N490" s="10" t="n">
        <v>178.65</v>
      </c>
      <c r="O490" s="10">
        <f>IFERROR(VLOOKUP(A490,Flete!$A:$J,10,0),"")</f>
        <v/>
      </c>
      <c r="P490" s="8" t="inlineStr">
        <is>
          <t>TN</t>
        </is>
      </c>
      <c r="Q490" s="10">
        <f>IFERROR(IFERROR(VLOOKUP(A490,TRAOPE!$A:$U,21,0),VLOOKUP(B490,TRAOPE!$A:$U,21,0)),"")</f>
        <v/>
      </c>
      <c r="R490" s="8">
        <f>IFERROR(IFERROR(VLOOKUP(A490,TRAOPE!$A:$W,23,0),VLOOKUP(B490,TRAOPE!$A:$W,23,0)),"")</f>
        <v/>
      </c>
      <c r="S490" s="10">
        <f>IF(AND(P490="TN",R490="TN"),N490+N(O490),IF(G490&amp;""="1",N(K490)*N490,(N490+N(O490))*N(K490)))</f>
        <v/>
      </c>
      <c r="T490" s="10">
        <f>IF(Q490="","",Q490-S490)</f>
        <v/>
      </c>
    </row>
    <row r="491">
      <c r="A491" s="7">
        <f>CONCATENATE(C491,E491,F491,I491)</f>
        <v/>
      </c>
      <c r="B491" s="7">
        <f>CONCATENATE(C491,E491,I491)</f>
        <v/>
      </c>
      <c r="C491" s="8" t="n">
        <v>900007868</v>
      </c>
      <c r="D491" s="7">
        <f>IFERROR(VLOOKUP(C491,TRAOPE!$G:$H,2,0),"")</f>
        <v/>
      </c>
      <c r="E491" s="8" t="inlineStr">
        <is>
          <t>DW68</t>
        </is>
      </c>
      <c r="F491" s="8" t="inlineStr">
        <is>
          <t>D042</t>
        </is>
      </c>
      <c r="G491" s="8">
        <f>IFERROR(VLOOKUP(A491,Flete!$A:$E,5,0),"")</f>
        <v/>
      </c>
      <c r="H491" s="7">
        <f>IFERROR(VLOOKUP(F491,TRAOPE!$AA:$AB,2,0),"")</f>
        <v/>
      </c>
      <c r="I491" s="7" t="n">
        <v>10000384</v>
      </c>
      <c r="J491" s="7">
        <f>IFERROR(VLOOKUP(I491,Materiales!$A:$H,8,0),"")</f>
        <v/>
      </c>
      <c r="K491" s="9">
        <f>IFERROR(VLOOKUP(I491,Materiales!$A:$G,7,0),"")</f>
        <v/>
      </c>
      <c r="L491" s="8" t="inlineStr">
        <is>
          <t>20250224</t>
        </is>
      </c>
      <c r="M491" s="8" t="inlineStr">
        <is>
          <t>99991231</t>
        </is>
      </c>
      <c r="N491" s="10" t="n">
        <v>142.24</v>
      </c>
      <c r="O491" s="10">
        <f>IFERROR(VLOOKUP(A491,Flete!$A:$J,10,0),"")</f>
        <v/>
      </c>
      <c r="P491" s="8" t="inlineStr">
        <is>
          <t>TN</t>
        </is>
      </c>
      <c r="Q491" s="10">
        <f>IFERROR(IFERROR(VLOOKUP(A491,TRAOPE!$A:$U,21,0),VLOOKUP(B491,TRAOPE!$A:$U,21,0)),"")</f>
        <v/>
      </c>
      <c r="R491" s="8">
        <f>IFERROR(IFERROR(VLOOKUP(A491,TRAOPE!$A:$W,23,0),VLOOKUP(B491,TRAOPE!$A:$W,23,0)),"")</f>
        <v/>
      </c>
      <c r="S491" s="10">
        <f>IF(AND(P491="TN",R491="TN"),N491+N(O491),IF(G491&amp;""="1",N(K491)*N491,(N491+N(O491))*N(K491)))</f>
        <v/>
      </c>
      <c r="T491" s="10">
        <f>IF(Q491="","",Q491-S491)</f>
        <v/>
      </c>
    </row>
    <row r="492">
      <c r="A492" s="7">
        <f>CONCATENATE(C492,E492,F492,I492)</f>
        <v/>
      </c>
      <c r="B492" s="7">
        <f>CONCATENATE(C492,E492,I492)</f>
        <v/>
      </c>
      <c r="C492" s="8" t="n">
        <v>900007868</v>
      </c>
      <c r="D492" s="7">
        <f>IFERROR(VLOOKUP(C492,TRAOPE!$G:$H,2,0),"")</f>
        <v/>
      </c>
      <c r="E492" s="8" t="inlineStr">
        <is>
          <t>DW68</t>
        </is>
      </c>
      <c r="F492" s="8" t="inlineStr">
        <is>
          <t>D042</t>
        </is>
      </c>
      <c r="G492" s="8">
        <f>IFERROR(VLOOKUP(A492,Flete!$A:$E,5,0),"")</f>
        <v/>
      </c>
      <c r="H492" s="7">
        <f>IFERROR(VLOOKUP(F492,TRAOPE!$AA:$AB,2,0),"")</f>
        <v/>
      </c>
      <c r="I492" s="7" t="n">
        <v>10000388</v>
      </c>
      <c r="J492" s="7">
        <f>IFERROR(VLOOKUP(I492,Materiales!$A:$H,8,0),"")</f>
        <v/>
      </c>
      <c r="K492" s="9">
        <f>IFERROR(VLOOKUP(I492,Materiales!$A:$G,7,0),"")</f>
        <v/>
      </c>
      <c r="L492" s="8" t="inlineStr">
        <is>
          <t>20250224</t>
        </is>
      </c>
      <c r="M492" s="8" t="inlineStr">
        <is>
          <t>99991231</t>
        </is>
      </c>
      <c r="N492" s="10" t="n">
        <v>180.58</v>
      </c>
      <c r="O492" s="10">
        <f>IFERROR(VLOOKUP(A492,Flete!$A:$J,10,0),"")</f>
        <v/>
      </c>
      <c r="P492" s="8" t="inlineStr">
        <is>
          <t>TN</t>
        </is>
      </c>
      <c r="Q492" s="10">
        <f>IFERROR(IFERROR(VLOOKUP(A492,TRAOPE!$A:$U,21,0),VLOOKUP(B492,TRAOPE!$A:$U,21,0)),"")</f>
        <v/>
      </c>
      <c r="R492" s="8">
        <f>IFERROR(IFERROR(VLOOKUP(A492,TRAOPE!$A:$W,23,0),VLOOKUP(B492,TRAOPE!$A:$W,23,0)),"")</f>
        <v/>
      </c>
      <c r="S492" s="10">
        <f>IF(AND(P492="TN",R492="TN"),N492+N(O492),IF(G492&amp;""="1",N(K492)*N492,(N492+N(O492))*N(K492)))</f>
        <v/>
      </c>
      <c r="T492" s="10">
        <f>IF(Q492="","",Q492-S492)</f>
        <v/>
      </c>
    </row>
    <row r="493">
      <c r="A493" s="7">
        <f>CONCATENATE(C493,E493,F493,I493)</f>
        <v/>
      </c>
      <c r="B493" s="7">
        <f>CONCATENATE(C493,E493,I493)</f>
        <v/>
      </c>
      <c r="C493" s="8" t="n">
        <v>900007868</v>
      </c>
      <c r="D493" s="7">
        <f>IFERROR(VLOOKUP(C493,TRAOPE!$G:$H,2,0),"")</f>
        <v/>
      </c>
      <c r="E493" s="8" t="inlineStr">
        <is>
          <t>DW68</t>
        </is>
      </c>
      <c r="F493" s="8" t="inlineStr">
        <is>
          <t>D042</t>
        </is>
      </c>
      <c r="G493" s="8">
        <f>IFERROR(VLOOKUP(A493,Flete!$A:$E,5,0),"")</f>
        <v/>
      </c>
      <c r="H493" s="7">
        <f>IFERROR(VLOOKUP(F493,TRAOPE!$AA:$AB,2,0),"")</f>
        <v/>
      </c>
      <c r="I493" s="7" t="n">
        <v>10004258</v>
      </c>
      <c r="J493" s="7">
        <f>IFERROR(VLOOKUP(I493,Materiales!$A:$H,8,0),"")</f>
        <v/>
      </c>
      <c r="K493" s="9">
        <f>IFERROR(VLOOKUP(I493,Materiales!$A:$G,7,0),"")</f>
        <v/>
      </c>
      <c r="L493" s="8" t="inlineStr">
        <is>
          <t>20250224</t>
        </is>
      </c>
      <c r="M493" s="8" t="inlineStr">
        <is>
          <t>99991231</t>
        </is>
      </c>
      <c r="N493" s="10" t="n">
        <v>209.54</v>
      </c>
      <c r="O493" s="10">
        <f>IFERROR(VLOOKUP(A493,Flete!$A:$J,10,0),"")</f>
        <v/>
      </c>
      <c r="P493" s="8" t="inlineStr">
        <is>
          <t>TN</t>
        </is>
      </c>
      <c r="Q493" s="10">
        <f>IFERROR(IFERROR(VLOOKUP(A493,TRAOPE!$A:$U,21,0),VLOOKUP(B493,TRAOPE!$A:$U,21,0)),"")</f>
        <v/>
      </c>
      <c r="R493" s="8">
        <f>IFERROR(IFERROR(VLOOKUP(A493,TRAOPE!$A:$W,23,0),VLOOKUP(B493,TRAOPE!$A:$W,23,0)),"")</f>
        <v/>
      </c>
      <c r="S493" s="10">
        <f>IF(AND(P493="TN",R493="TN"),N493+N(O493),IF(G493&amp;""="1",N(K493)*N493,(N493+N(O493))*N(K493)))</f>
        <v/>
      </c>
      <c r="T493" s="10">
        <f>IF(Q493="","",Q493-S493)</f>
        <v/>
      </c>
    </row>
    <row r="494">
      <c r="A494" s="7">
        <f>CONCATENATE(C494,E494,F494,I494)</f>
        <v/>
      </c>
      <c r="B494" s="7">
        <f>CONCATENATE(C494,E494,I494)</f>
        <v/>
      </c>
      <c r="C494" s="8" t="n">
        <v>900007868</v>
      </c>
      <c r="D494" s="7">
        <f>IFERROR(VLOOKUP(C494,TRAOPE!$G:$H,2,0),"")</f>
        <v/>
      </c>
      <c r="E494" s="8" t="inlineStr">
        <is>
          <t>DW68</t>
        </is>
      </c>
      <c r="F494" s="8" t="inlineStr">
        <is>
          <t>D209</t>
        </is>
      </c>
      <c r="G494" s="8">
        <f>IFERROR(VLOOKUP(A494,Flete!$A:$E,5,0),"")</f>
        <v/>
      </c>
      <c r="H494" s="7">
        <f>IFERROR(VLOOKUP(F494,TRAOPE!$AA:$AB,2,0),"")</f>
        <v/>
      </c>
      <c r="I494" s="7" t="n">
        <v>10000191</v>
      </c>
      <c r="J494" s="7">
        <f>IFERROR(VLOOKUP(I494,Materiales!$A:$H,8,0),"")</f>
        <v/>
      </c>
      <c r="K494" s="9">
        <f>IFERROR(VLOOKUP(I494,Materiales!$A:$G,7,0),"")</f>
        <v/>
      </c>
      <c r="L494" s="8" t="inlineStr">
        <is>
          <t>20250224</t>
        </is>
      </c>
      <c r="M494" s="8" t="inlineStr">
        <is>
          <t>99991231</t>
        </is>
      </c>
      <c r="N494" s="10" t="n">
        <v>178.65</v>
      </c>
      <c r="O494" s="10">
        <f>IFERROR(VLOOKUP(A494,Flete!$A:$J,10,0),"")</f>
        <v/>
      </c>
      <c r="P494" s="8" t="inlineStr">
        <is>
          <t>TN</t>
        </is>
      </c>
      <c r="Q494" s="10">
        <f>IFERROR(IFERROR(VLOOKUP(A494,TRAOPE!$A:$U,21,0),VLOOKUP(B494,TRAOPE!$A:$U,21,0)),"")</f>
        <v/>
      </c>
      <c r="R494" s="8">
        <f>IFERROR(IFERROR(VLOOKUP(A494,TRAOPE!$A:$W,23,0),VLOOKUP(B494,TRAOPE!$A:$W,23,0)),"")</f>
        <v/>
      </c>
      <c r="S494" s="10">
        <f>IF(AND(P494="TN",R494="TN"),N494+N(O494),IF(G494&amp;""="1",N(K494)*N494,(N494+N(O494))*N(K494)))</f>
        <v/>
      </c>
      <c r="T494" s="10">
        <f>IF(Q494="","",Q494-S494)</f>
        <v/>
      </c>
    </row>
    <row r="495">
      <c r="A495" s="7">
        <f>CONCATENATE(C495,E495,F495,I495)</f>
        <v/>
      </c>
      <c r="B495" s="7">
        <f>CONCATENATE(C495,E495,I495)</f>
        <v/>
      </c>
      <c r="C495" s="8" t="n">
        <v>900007868</v>
      </c>
      <c r="D495" s="7">
        <f>IFERROR(VLOOKUP(C495,TRAOPE!$G:$H,2,0),"")</f>
        <v/>
      </c>
      <c r="E495" s="8" t="inlineStr">
        <is>
          <t>DW68</t>
        </is>
      </c>
      <c r="F495" s="8" t="inlineStr">
        <is>
          <t>D209</t>
        </is>
      </c>
      <c r="G495" s="8">
        <f>IFERROR(VLOOKUP(A495,Flete!$A:$E,5,0),"")</f>
        <v/>
      </c>
      <c r="H495" s="7">
        <f>IFERROR(VLOOKUP(F495,TRAOPE!$AA:$AB,2,0),"")</f>
        <v/>
      </c>
      <c r="I495" s="7" t="n">
        <v>10000384</v>
      </c>
      <c r="J495" s="7">
        <f>IFERROR(VLOOKUP(I495,Materiales!$A:$H,8,0),"")</f>
        <v/>
      </c>
      <c r="K495" s="9">
        <f>IFERROR(VLOOKUP(I495,Materiales!$A:$G,7,0),"")</f>
        <v/>
      </c>
      <c r="L495" s="8" t="inlineStr">
        <is>
          <t>20250224</t>
        </is>
      </c>
      <c r="M495" s="8" t="inlineStr">
        <is>
          <t>99991231</t>
        </is>
      </c>
      <c r="N495" s="10" t="n">
        <v>142.24</v>
      </c>
      <c r="O495" s="10">
        <f>IFERROR(VLOOKUP(A495,Flete!$A:$J,10,0),"")</f>
        <v/>
      </c>
      <c r="P495" s="8" t="inlineStr">
        <is>
          <t>TN</t>
        </is>
      </c>
      <c r="Q495" s="10">
        <f>IFERROR(IFERROR(VLOOKUP(A495,TRAOPE!$A:$U,21,0),VLOOKUP(B495,TRAOPE!$A:$U,21,0)),"")</f>
        <v/>
      </c>
      <c r="R495" s="8">
        <f>IFERROR(IFERROR(VLOOKUP(A495,TRAOPE!$A:$W,23,0),VLOOKUP(B495,TRAOPE!$A:$W,23,0)),"")</f>
        <v/>
      </c>
      <c r="S495" s="10">
        <f>IF(AND(P495="TN",R495="TN"),N495+N(O495),IF(G495&amp;""="1",N(K495)*N495,(N495+N(O495))*N(K495)))</f>
        <v/>
      </c>
      <c r="T495" s="10">
        <f>IF(Q495="","",Q495-S495)</f>
        <v/>
      </c>
    </row>
    <row r="496">
      <c r="A496" s="7">
        <f>CONCATENATE(C496,E496,F496,I496)</f>
        <v/>
      </c>
      <c r="B496" s="7">
        <f>CONCATENATE(C496,E496,I496)</f>
        <v/>
      </c>
      <c r="C496" s="8" t="n">
        <v>900007868</v>
      </c>
      <c r="D496" s="7">
        <f>IFERROR(VLOOKUP(C496,TRAOPE!$G:$H,2,0),"")</f>
        <v/>
      </c>
      <c r="E496" s="8" t="inlineStr">
        <is>
          <t>DW68</t>
        </is>
      </c>
      <c r="F496" s="8" t="inlineStr">
        <is>
          <t>D209</t>
        </is>
      </c>
      <c r="G496" s="8">
        <f>IFERROR(VLOOKUP(A496,Flete!$A:$E,5,0),"")</f>
        <v/>
      </c>
      <c r="H496" s="7">
        <f>IFERROR(VLOOKUP(F496,TRAOPE!$AA:$AB,2,0),"")</f>
        <v/>
      </c>
      <c r="I496" s="7" t="n">
        <v>10000388</v>
      </c>
      <c r="J496" s="7">
        <f>IFERROR(VLOOKUP(I496,Materiales!$A:$H,8,0),"")</f>
        <v/>
      </c>
      <c r="K496" s="9">
        <f>IFERROR(VLOOKUP(I496,Materiales!$A:$G,7,0),"")</f>
        <v/>
      </c>
      <c r="L496" s="8" t="inlineStr">
        <is>
          <t>20250224</t>
        </is>
      </c>
      <c r="M496" s="8" t="inlineStr">
        <is>
          <t>99991231</t>
        </is>
      </c>
      <c r="N496" s="10" t="n">
        <v>180.58</v>
      </c>
      <c r="O496" s="10">
        <f>IFERROR(VLOOKUP(A496,Flete!$A:$J,10,0),"")</f>
        <v/>
      </c>
      <c r="P496" s="8" t="inlineStr">
        <is>
          <t>TN</t>
        </is>
      </c>
      <c r="Q496" s="10">
        <f>IFERROR(IFERROR(VLOOKUP(A496,TRAOPE!$A:$U,21,0),VLOOKUP(B496,TRAOPE!$A:$U,21,0)),"")</f>
        <v/>
      </c>
      <c r="R496" s="8">
        <f>IFERROR(IFERROR(VLOOKUP(A496,TRAOPE!$A:$W,23,0),VLOOKUP(B496,TRAOPE!$A:$W,23,0)),"")</f>
        <v/>
      </c>
      <c r="S496" s="10">
        <f>IF(AND(P496="TN",R496="TN"),N496+N(O496),IF(G496&amp;""="1",N(K496)*N496,(N496+N(O496))*N(K496)))</f>
        <v/>
      </c>
      <c r="T496" s="10">
        <f>IF(Q496="","",Q496-S496)</f>
        <v/>
      </c>
    </row>
    <row r="497">
      <c r="A497" s="7">
        <f>CONCATENATE(C497,E497,F497,I497)</f>
        <v/>
      </c>
      <c r="B497" s="7">
        <f>CONCATENATE(C497,E497,I497)</f>
        <v/>
      </c>
      <c r="C497" s="8" t="n">
        <v>900007868</v>
      </c>
      <c r="D497" s="7">
        <f>IFERROR(VLOOKUP(C497,TRAOPE!$G:$H,2,0),"")</f>
        <v/>
      </c>
      <c r="E497" s="8" t="inlineStr">
        <is>
          <t>DW68</t>
        </is>
      </c>
      <c r="F497" s="8" t="inlineStr">
        <is>
          <t>D209</t>
        </is>
      </c>
      <c r="G497" s="8">
        <f>IFERROR(VLOOKUP(A497,Flete!$A:$E,5,0),"")</f>
        <v/>
      </c>
      <c r="H497" s="7">
        <f>IFERROR(VLOOKUP(F497,TRAOPE!$AA:$AB,2,0),"")</f>
        <v/>
      </c>
      <c r="I497" s="7" t="n">
        <v>10004258</v>
      </c>
      <c r="J497" s="7">
        <f>IFERROR(VLOOKUP(I497,Materiales!$A:$H,8,0),"")</f>
        <v/>
      </c>
      <c r="K497" s="9">
        <f>IFERROR(VLOOKUP(I497,Materiales!$A:$G,7,0),"")</f>
        <v/>
      </c>
      <c r="L497" s="8" t="inlineStr">
        <is>
          <t>20250224</t>
        </is>
      </c>
      <c r="M497" s="8" t="inlineStr">
        <is>
          <t>99991231</t>
        </is>
      </c>
      <c r="N497" s="10" t="n">
        <v>209.54</v>
      </c>
      <c r="O497" s="10">
        <f>IFERROR(VLOOKUP(A497,Flete!$A:$J,10,0),"")</f>
        <v/>
      </c>
      <c r="P497" s="8" t="inlineStr">
        <is>
          <t>TN</t>
        </is>
      </c>
      <c r="Q497" s="10">
        <f>IFERROR(IFERROR(VLOOKUP(A497,TRAOPE!$A:$U,21,0),VLOOKUP(B497,TRAOPE!$A:$U,21,0)),"")</f>
        <v/>
      </c>
      <c r="R497" s="8">
        <f>IFERROR(IFERROR(VLOOKUP(A497,TRAOPE!$A:$W,23,0),VLOOKUP(B497,TRAOPE!$A:$W,23,0)),"")</f>
        <v/>
      </c>
      <c r="S497" s="10">
        <f>IF(AND(P497="TN",R497="TN"),N497+N(O497),IF(G497&amp;""="1",N(K497)*N497,(N497+N(O497))*N(K497)))</f>
        <v/>
      </c>
      <c r="T497" s="10">
        <f>IF(Q497="","",Q497-S497)</f>
        <v/>
      </c>
    </row>
    <row r="498">
      <c r="A498" s="7">
        <f>CONCATENATE(C498,E498,F498,I498)</f>
        <v/>
      </c>
      <c r="B498" s="7">
        <f>CONCATENATE(C498,E498,I498)</f>
        <v/>
      </c>
      <c r="C498" s="8" t="n">
        <v>900007868</v>
      </c>
      <c r="D498" s="7">
        <f>IFERROR(VLOOKUP(C498,TRAOPE!$G:$H,2,0),"")</f>
        <v/>
      </c>
      <c r="E498" s="8" t="inlineStr">
        <is>
          <t>DW68</t>
        </is>
      </c>
      <c r="F498" s="8" t="inlineStr">
        <is>
          <t>D211</t>
        </is>
      </c>
      <c r="G498" s="8">
        <f>IFERROR(VLOOKUP(A498,Flete!$A:$E,5,0),"")</f>
        <v/>
      </c>
      <c r="H498" s="7">
        <f>IFERROR(VLOOKUP(F498,TRAOPE!$AA:$AB,2,0),"")</f>
        <v/>
      </c>
      <c r="I498" s="7" t="n">
        <v>10000191</v>
      </c>
      <c r="J498" s="7">
        <f>IFERROR(VLOOKUP(I498,Materiales!$A:$H,8,0),"")</f>
        <v/>
      </c>
      <c r="K498" s="9">
        <f>IFERROR(VLOOKUP(I498,Materiales!$A:$G,7,0),"")</f>
        <v/>
      </c>
      <c r="L498" s="8" t="inlineStr">
        <is>
          <t>20250224</t>
        </is>
      </c>
      <c r="M498" s="8" t="inlineStr">
        <is>
          <t>99991231</t>
        </is>
      </c>
      <c r="N498" s="10" t="n">
        <v>178.65</v>
      </c>
      <c r="O498" s="10">
        <f>IFERROR(VLOOKUP(A498,Flete!$A:$J,10,0),"")</f>
        <v/>
      </c>
      <c r="P498" s="8" t="inlineStr">
        <is>
          <t>TN</t>
        </is>
      </c>
      <c r="Q498" s="10">
        <f>IFERROR(IFERROR(VLOOKUP(A498,TRAOPE!$A:$U,21,0),VLOOKUP(B498,TRAOPE!$A:$U,21,0)),"")</f>
        <v/>
      </c>
      <c r="R498" s="8">
        <f>IFERROR(IFERROR(VLOOKUP(A498,TRAOPE!$A:$W,23,0),VLOOKUP(B498,TRAOPE!$A:$W,23,0)),"")</f>
        <v/>
      </c>
      <c r="S498" s="10">
        <f>IF(AND(P498="TN",R498="TN"),N498+N(O498),IF(G498&amp;""="1",N(K498)*N498,(N498+N(O498))*N(K498)))</f>
        <v/>
      </c>
      <c r="T498" s="10">
        <f>IF(Q498="","",Q498-S498)</f>
        <v/>
      </c>
    </row>
    <row r="499">
      <c r="A499" s="7">
        <f>CONCATENATE(C499,E499,F499,I499)</f>
        <v/>
      </c>
      <c r="B499" s="7">
        <f>CONCATENATE(C499,E499,I499)</f>
        <v/>
      </c>
      <c r="C499" s="8" t="n">
        <v>900007868</v>
      </c>
      <c r="D499" s="7">
        <f>IFERROR(VLOOKUP(C499,TRAOPE!$G:$H,2,0),"")</f>
        <v/>
      </c>
      <c r="E499" s="8" t="inlineStr">
        <is>
          <t>DW68</t>
        </is>
      </c>
      <c r="F499" s="8" t="inlineStr">
        <is>
          <t>D211</t>
        </is>
      </c>
      <c r="G499" s="8">
        <f>IFERROR(VLOOKUP(A499,Flete!$A:$E,5,0),"")</f>
        <v/>
      </c>
      <c r="H499" s="7">
        <f>IFERROR(VLOOKUP(F499,TRAOPE!$AA:$AB,2,0),"")</f>
        <v/>
      </c>
      <c r="I499" s="7" t="n">
        <v>10000384</v>
      </c>
      <c r="J499" s="7">
        <f>IFERROR(VLOOKUP(I499,Materiales!$A:$H,8,0),"")</f>
        <v/>
      </c>
      <c r="K499" s="9">
        <f>IFERROR(VLOOKUP(I499,Materiales!$A:$G,7,0),"")</f>
        <v/>
      </c>
      <c r="L499" s="8" t="inlineStr">
        <is>
          <t>20250224</t>
        </is>
      </c>
      <c r="M499" s="8" t="inlineStr">
        <is>
          <t>99991231</t>
        </is>
      </c>
      <c r="N499" s="10" t="n">
        <v>142.24</v>
      </c>
      <c r="O499" s="10">
        <f>IFERROR(VLOOKUP(A499,Flete!$A:$J,10,0),"")</f>
        <v/>
      </c>
      <c r="P499" s="8" t="inlineStr">
        <is>
          <t>TN</t>
        </is>
      </c>
      <c r="Q499" s="10">
        <f>IFERROR(IFERROR(VLOOKUP(A499,TRAOPE!$A:$U,21,0),VLOOKUP(B499,TRAOPE!$A:$U,21,0)),"")</f>
        <v/>
      </c>
      <c r="R499" s="8">
        <f>IFERROR(IFERROR(VLOOKUP(A499,TRAOPE!$A:$W,23,0),VLOOKUP(B499,TRAOPE!$A:$W,23,0)),"")</f>
        <v/>
      </c>
      <c r="S499" s="10">
        <f>IF(AND(P499="TN",R499="TN"),N499+N(O499),IF(G499&amp;""="1",N(K499)*N499,(N499+N(O499))*N(K499)))</f>
        <v/>
      </c>
      <c r="T499" s="10">
        <f>IF(Q499="","",Q499-S499)</f>
        <v/>
      </c>
    </row>
    <row r="500">
      <c r="A500" s="7">
        <f>CONCATENATE(C500,E500,F500,I500)</f>
        <v/>
      </c>
      <c r="B500" s="7">
        <f>CONCATENATE(C500,E500,I500)</f>
        <v/>
      </c>
      <c r="C500" s="8" t="n">
        <v>900007868</v>
      </c>
      <c r="D500" s="7">
        <f>IFERROR(VLOOKUP(C500,TRAOPE!$G:$H,2,0),"")</f>
        <v/>
      </c>
      <c r="E500" s="8" t="inlineStr">
        <is>
          <t>DW68</t>
        </is>
      </c>
      <c r="F500" s="8" t="inlineStr">
        <is>
          <t>D211</t>
        </is>
      </c>
      <c r="G500" s="8">
        <f>IFERROR(VLOOKUP(A500,Flete!$A:$E,5,0),"")</f>
        <v/>
      </c>
      <c r="H500" s="7">
        <f>IFERROR(VLOOKUP(F500,TRAOPE!$AA:$AB,2,0),"")</f>
        <v/>
      </c>
      <c r="I500" s="7" t="n">
        <v>10000388</v>
      </c>
      <c r="J500" s="7">
        <f>IFERROR(VLOOKUP(I500,Materiales!$A:$H,8,0),"")</f>
        <v/>
      </c>
      <c r="K500" s="9">
        <f>IFERROR(VLOOKUP(I500,Materiales!$A:$G,7,0),"")</f>
        <v/>
      </c>
      <c r="L500" s="8" t="inlineStr">
        <is>
          <t>20250224</t>
        </is>
      </c>
      <c r="M500" s="8" t="inlineStr">
        <is>
          <t>99991231</t>
        </is>
      </c>
      <c r="N500" s="10" t="n">
        <v>180.58</v>
      </c>
      <c r="O500" s="10">
        <f>IFERROR(VLOOKUP(A500,Flete!$A:$J,10,0),"")</f>
        <v/>
      </c>
      <c r="P500" s="8" t="inlineStr">
        <is>
          <t>TN</t>
        </is>
      </c>
      <c r="Q500" s="10">
        <f>IFERROR(IFERROR(VLOOKUP(A500,TRAOPE!$A:$U,21,0),VLOOKUP(B500,TRAOPE!$A:$U,21,0)),"")</f>
        <v/>
      </c>
      <c r="R500" s="8">
        <f>IFERROR(IFERROR(VLOOKUP(A500,TRAOPE!$A:$W,23,0),VLOOKUP(B500,TRAOPE!$A:$W,23,0)),"")</f>
        <v/>
      </c>
      <c r="S500" s="10">
        <f>IF(AND(P500="TN",R500="TN"),N500+N(O500),IF(G500&amp;""="1",N(K500)*N500,(N500+N(O500))*N(K500)))</f>
        <v/>
      </c>
      <c r="T500" s="10">
        <f>IF(Q500="","",Q500-S500)</f>
        <v/>
      </c>
    </row>
    <row r="501">
      <c r="A501" s="7">
        <f>CONCATENATE(C501,E501,F501,I501)</f>
        <v/>
      </c>
      <c r="B501" s="7">
        <f>CONCATENATE(C501,E501,I501)</f>
        <v/>
      </c>
      <c r="C501" s="8" t="n">
        <v>900007868</v>
      </c>
      <c r="D501" s="7">
        <f>IFERROR(VLOOKUP(C501,TRAOPE!$G:$H,2,0),"")</f>
        <v/>
      </c>
      <c r="E501" s="8" t="inlineStr">
        <is>
          <t>DW68</t>
        </is>
      </c>
      <c r="F501" s="8" t="inlineStr">
        <is>
          <t>D211</t>
        </is>
      </c>
      <c r="G501" s="8">
        <f>IFERROR(VLOOKUP(A501,Flete!$A:$E,5,0),"")</f>
        <v/>
      </c>
      <c r="H501" s="7">
        <f>IFERROR(VLOOKUP(F501,TRAOPE!$AA:$AB,2,0),"")</f>
        <v/>
      </c>
      <c r="I501" s="7" t="n">
        <v>10004258</v>
      </c>
      <c r="J501" s="7">
        <f>IFERROR(VLOOKUP(I501,Materiales!$A:$H,8,0),"")</f>
        <v/>
      </c>
      <c r="K501" s="9">
        <f>IFERROR(VLOOKUP(I501,Materiales!$A:$G,7,0),"")</f>
        <v/>
      </c>
      <c r="L501" s="8" t="inlineStr">
        <is>
          <t>20250224</t>
        </is>
      </c>
      <c r="M501" s="8" t="inlineStr">
        <is>
          <t>99991231</t>
        </is>
      </c>
      <c r="N501" s="10" t="n">
        <v>209.54</v>
      </c>
      <c r="O501" s="10">
        <f>IFERROR(VLOOKUP(A501,Flete!$A:$J,10,0),"")</f>
        <v/>
      </c>
      <c r="P501" s="8" t="inlineStr">
        <is>
          <t>TN</t>
        </is>
      </c>
      <c r="Q501" s="10">
        <f>IFERROR(IFERROR(VLOOKUP(A501,TRAOPE!$A:$U,21,0),VLOOKUP(B501,TRAOPE!$A:$U,21,0)),"")</f>
        <v/>
      </c>
      <c r="R501" s="8">
        <f>IFERROR(IFERROR(VLOOKUP(A501,TRAOPE!$A:$W,23,0),VLOOKUP(B501,TRAOPE!$A:$W,23,0)),"")</f>
        <v/>
      </c>
      <c r="S501" s="10">
        <f>IF(AND(P501="TN",R501="TN"),N501+N(O501),IF(G501&amp;""="1",N(K501)*N501,(N501+N(O501))*N(K501)))</f>
        <v/>
      </c>
      <c r="T501" s="10">
        <f>IF(Q501="","",Q501-S501)</f>
        <v/>
      </c>
    </row>
    <row r="502">
      <c r="A502" s="7">
        <f>CONCATENATE(C502,E502,F502,I502)</f>
        <v/>
      </c>
      <c r="B502" s="7">
        <f>CONCATENATE(C502,E502,I502)</f>
        <v/>
      </c>
      <c r="C502" s="8" t="n">
        <v>900007868</v>
      </c>
      <c r="D502" s="7">
        <f>IFERROR(VLOOKUP(C502,TRAOPE!$G:$H,2,0),"")</f>
        <v/>
      </c>
      <c r="E502" s="8" t="inlineStr">
        <is>
          <t>DW68</t>
        </is>
      </c>
      <c r="F502" s="8" t="inlineStr">
        <is>
          <t>D213</t>
        </is>
      </c>
      <c r="G502" s="8">
        <f>IFERROR(VLOOKUP(A502,Flete!$A:$E,5,0),"")</f>
        <v/>
      </c>
      <c r="H502" s="7">
        <f>IFERROR(VLOOKUP(F502,TRAOPE!$AA:$AB,2,0),"")</f>
        <v/>
      </c>
      <c r="I502" s="7" t="n">
        <v>10000191</v>
      </c>
      <c r="J502" s="7">
        <f>IFERROR(VLOOKUP(I502,Materiales!$A:$H,8,0),"")</f>
        <v/>
      </c>
      <c r="K502" s="9">
        <f>IFERROR(VLOOKUP(I502,Materiales!$A:$G,7,0),"")</f>
        <v/>
      </c>
      <c r="L502" s="8" t="inlineStr">
        <is>
          <t>20221207</t>
        </is>
      </c>
      <c r="M502" s="8" t="inlineStr">
        <is>
          <t>99991231</t>
        </is>
      </c>
      <c r="N502" s="10" t="n">
        <v>156.03</v>
      </c>
      <c r="O502" s="10">
        <f>IFERROR(VLOOKUP(A502,Flete!$A:$J,10,0),"")</f>
        <v/>
      </c>
      <c r="P502" s="8" t="inlineStr">
        <is>
          <t>TN</t>
        </is>
      </c>
      <c r="Q502" s="10">
        <f>IFERROR(IFERROR(VLOOKUP(A502,TRAOPE!$A:$U,21,0),VLOOKUP(B502,TRAOPE!$A:$U,21,0)),"")</f>
        <v/>
      </c>
      <c r="R502" s="8">
        <f>IFERROR(IFERROR(VLOOKUP(A502,TRAOPE!$A:$W,23,0),VLOOKUP(B502,TRAOPE!$A:$W,23,0)),"")</f>
        <v/>
      </c>
      <c r="S502" s="10">
        <f>IF(AND(P502="TN",R502="TN"),N502+N(O502),IF(G502&amp;""="1",N(K502)*N502,(N502+N(O502))*N(K502)))</f>
        <v/>
      </c>
      <c r="T502" s="10">
        <f>IF(Q502="","",Q502-S502)</f>
        <v/>
      </c>
    </row>
    <row r="503">
      <c r="A503" s="7">
        <f>CONCATENATE(C503,E503,F503,I503)</f>
        <v/>
      </c>
      <c r="B503" s="7">
        <f>CONCATENATE(C503,E503,I503)</f>
        <v/>
      </c>
      <c r="C503" s="8" t="n">
        <v>900007868</v>
      </c>
      <c r="D503" s="7">
        <f>IFERROR(VLOOKUP(C503,TRAOPE!$G:$H,2,0),"")</f>
        <v/>
      </c>
      <c r="E503" s="8" t="inlineStr">
        <is>
          <t>DW68</t>
        </is>
      </c>
      <c r="F503" s="8" t="inlineStr">
        <is>
          <t>D213</t>
        </is>
      </c>
      <c r="G503" s="8">
        <f>IFERROR(VLOOKUP(A503,Flete!$A:$E,5,0),"")</f>
        <v/>
      </c>
      <c r="H503" s="7">
        <f>IFERROR(VLOOKUP(F503,TRAOPE!$AA:$AB,2,0),"")</f>
        <v/>
      </c>
      <c r="I503" s="7" t="n">
        <v>10000384</v>
      </c>
      <c r="J503" s="7">
        <f>IFERROR(VLOOKUP(I503,Materiales!$A:$H,8,0),"")</f>
        <v/>
      </c>
      <c r="K503" s="9">
        <f>IFERROR(VLOOKUP(I503,Materiales!$A:$G,7,0),"")</f>
        <v/>
      </c>
      <c r="L503" s="8" t="inlineStr">
        <is>
          <t>20221207</t>
        </is>
      </c>
      <c r="M503" s="8" t="inlineStr">
        <is>
          <t>99991231</t>
        </is>
      </c>
      <c r="N503" s="10" t="n">
        <v>124.22</v>
      </c>
      <c r="O503" s="10">
        <f>IFERROR(VLOOKUP(A503,Flete!$A:$J,10,0),"")</f>
        <v/>
      </c>
      <c r="P503" s="8" t="inlineStr">
        <is>
          <t>TN</t>
        </is>
      </c>
      <c r="Q503" s="10">
        <f>IFERROR(IFERROR(VLOOKUP(A503,TRAOPE!$A:$U,21,0),VLOOKUP(B503,TRAOPE!$A:$U,21,0)),"")</f>
        <v/>
      </c>
      <c r="R503" s="8">
        <f>IFERROR(IFERROR(VLOOKUP(A503,TRAOPE!$A:$W,23,0),VLOOKUP(B503,TRAOPE!$A:$W,23,0)),"")</f>
        <v/>
      </c>
      <c r="S503" s="10">
        <f>IF(AND(P503="TN",R503="TN"),N503+N(O503),IF(G503&amp;""="1",N(K503)*N503,(N503+N(O503))*N(K503)))</f>
        <v/>
      </c>
      <c r="T503" s="10">
        <f>IF(Q503="","",Q503-S503)</f>
        <v/>
      </c>
    </row>
    <row r="504">
      <c r="A504" s="7">
        <f>CONCATENATE(C504,E504,F504,I504)</f>
        <v/>
      </c>
      <c r="B504" s="7">
        <f>CONCATENATE(C504,E504,I504)</f>
        <v/>
      </c>
      <c r="C504" s="8" t="n">
        <v>900007868</v>
      </c>
      <c r="D504" s="7">
        <f>IFERROR(VLOOKUP(C504,TRAOPE!$G:$H,2,0),"")</f>
        <v/>
      </c>
      <c r="E504" s="8" t="inlineStr">
        <is>
          <t>DW68</t>
        </is>
      </c>
      <c r="F504" s="8" t="inlineStr">
        <is>
          <t>D213</t>
        </is>
      </c>
      <c r="G504" s="8">
        <f>IFERROR(VLOOKUP(A504,Flete!$A:$E,5,0),"")</f>
        <v/>
      </c>
      <c r="H504" s="7">
        <f>IFERROR(VLOOKUP(F504,TRAOPE!$AA:$AB,2,0),"")</f>
        <v/>
      </c>
      <c r="I504" s="7" t="n">
        <v>10000388</v>
      </c>
      <c r="J504" s="7">
        <f>IFERROR(VLOOKUP(I504,Materiales!$A:$H,8,0),"")</f>
        <v/>
      </c>
      <c r="K504" s="9">
        <f>IFERROR(VLOOKUP(I504,Materiales!$A:$G,7,0),"")</f>
        <v/>
      </c>
      <c r="L504" s="8" t="inlineStr">
        <is>
          <t>20221207</t>
        </is>
      </c>
      <c r="M504" s="8" t="inlineStr">
        <is>
          <t>99991231</t>
        </is>
      </c>
      <c r="N504" s="10" t="n">
        <v>157.71</v>
      </c>
      <c r="O504" s="10">
        <f>IFERROR(VLOOKUP(A504,Flete!$A:$J,10,0),"")</f>
        <v/>
      </c>
      <c r="P504" s="8" t="inlineStr">
        <is>
          <t>TN</t>
        </is>
      </c>
      <c r="Q504" s="10">
        <f>IFERROR(IFERROR(VLOOKUP(A504,TRAOPE!$A:$U,21,0),VLOOKUP(B504,TRAOPE!$A:$U,21,0)),"")</f>
        <v/>
      </c>
      <c r="R504" s="8">
        <f>IFERROR(IFERROR(VLOOKUP(A504,TRAOPE!$A:$W,23,0),VLOOKUP(B504,TRAOPE!$A:$W,23,0)),"")</f>
        <v/>
      </c>
      <c r="S504" s="10">
        <f>IF(AND(P504="TN",R504="TN"),N504+N(O504),IF(G504&amp;""="1",N(K504)*N504,(N504+N(O504))*N(K504)))</f>
        <v/>
      </c>
      <c r="T504" s="10">
        <f>IF(Q504="","",Q504-S504)</f>
        <v/>
      </c>
    </row>
    <row r="505">
      <c r="A505" s="7">
        <f>CONCATENATE(C505,E505,F505,I505)</f>
        <v/>
      </c>
      <c r="B505" s="7">
        <f>CONCATENATE(C505,E505,I505)</f>
        <v/>
      </c>
      <c r="C505" s="8" t="n">
        <v>900007868</v>
      </c>
      <c r="D505" s="7">
        <f>IFERROR(VLOOKUP(C505,TRAOPE!$G:$H,2,0),"")</f>
        <v/>
      </c>
      <c r="E505" s="8" t="inlineStr">
        <is>
          <t>DW68</t>
        </is>
      </c>
      <c r="F505" s="8" t="inlineStr">
        <is>
          <t>D213</t>
        </is>
      </c>
      <c r="G505" s="8">
        <f>IFERROR(VLOOKUP(A505,Flete!$A:$E,5,0),"")</f>
        <v/>
      </c>
      <c r="H505" s="7">
        <f>IFERROR(VLOOKUP(F505,TRAOPE!$AA:$AB,2,0),"")</f>
        <v/>
      </c>
      <c r="I505" s="7" t="n">
        <v>10004258</v>
      </c>
      <c r="J505" s="7">
        <f>IFERROR(VLOOKUP(I505,Materiales!$A:$H,8,0),"")</f>
        <v/>
      </c>
      <c r="K505" s="9">
        <f>IFERROR(VLOOKUP(I505,Materiales!$A:$G,7,0),"")</f>
        <v/>
      </c>
      <c r="L505" s="8" t="inlineStr">
        <is>
          <t>20221207</t>
        </is>
      </c>
      <c r="M505" s="8" t="inlineStr">
        <is>
          <t>99991231</t>
        </is>
      </c>
      <c r="N505" s="10" t="n">
        <v>183.01</v>
      </c>
      <c r="O505" s="10">
        <f>IFERROR(VLOOKUP(A505,Flete!$A:$J,10,0),"")</f>
        <v/>
      </c>
      <c r="P505" s="8" t="inlineStr">
        <is>
          <t>TN</t>
        </is>
      </c>
      <c r="Q505" s="10">
        <f>IFERROR(IFERROR(VLOOKUP(A505,TRAOPE!$A:$U,21,0),VLOOKUP(B505,TRAOPE!$A:$U,21,0)),"")</f>
        <v/>
      </c>
      <c r="R505" s="8">
        <f>IFERROR(IFERROR(VLOOKUP(A505,TRAOPE!$A:$W,23,0),VLOOKUP(B505,TRAOPE!$A:$W,23,0)),"")</f>
        <v/>
      </c>
      <c r="S505" s="10">
        <f>IF(AND(P505="TN",R505="TN"),N505+N(O505),IF(G505&amp;""="1",N(K505)*N505,(N505+N(O505))*N(K505)))</f>
        <v/>
      </c>
      <c r="T505" s="10">
        <f>IF(Q505="","",Q505-S505)</f>
        <v/>
      </c>
    </row>
    <row r="506">
      <c r="A506" s="7">
        <f>CONCATENATE(C506,E506,F506,I506)</f>
        <v/>
      </c>
      <c r="B506" s="7">
        <f>CONCATENATE(C506,E506,I506)</f>
        <v/>
      </c>
      <c r="C506" s="8" t="n">
        <v>900007868</v>
      </c>
      <c r="D506" s="7">
        <f>IFERROR(VLOOKUP(C506,TRAOPE!$G:$H,2,0),"")</f>
        <v/>
      </c>
      <c r="E506" s="8" t="inlineStr">
        <is>
          <t>DW68</t>
        </is>
      </c>
      <c r="F506" s="8" t="inlineStr">
        <is>
          <t>D220</t>
        </is>
      </c>
      <c r="G506" s="8">
        <f>IFERROR(VLOOKUP(A506,Flete!$A:$E,5,0),"")</f>
        <v/>
      </c>
      <c r="H506" s="7">
        <f>IFERROR(VLOOKUP(F506,TRAOPE!$AA:$AB,2,0),"")</f>
        <v/>
      </c>
      <c r="I506" s="7" t="n">
        <v>10000191</v>
      </c>
      <c r="J506" s="7">
        <f>IFERROR(VLOOKUP(I506,Materiales!$A:$H,8,0),"")</f>
        <v/>
      </c>
      <c r="K506" s="9">
        <f>IFERROR(VLOOKUP(I506,Materiales!$A:$G,7,0),"")</f>
        <v/>
      </c>
      <c r="L506" s="8" t="inlineStr">
        <is>
          <t>20221207</t>
        </is>
      </c>
      <c r="M506" s="8" t="inlineStr">
        <is>
          <t>20241218</t>
        </is>
      </c>
      <c r="N506" s="10" t="n">
        <v>156.03</v>
      </c>
      <c r="O506" s="10">
        <f>IFERROR(VLOOKUP(A506,Flete!$A:$J,10,0),"")</f>
        <v/>
      </c>
      <c r="P506" s="8" t="inlineStr">
        <is>
          <t>TN</t>
        </is>
      </c>
      <c r="Q506" s="10">
        <f>IFERROR(IFERROR(VLOOKUP(A506,TRAOPE!$A:$U,21,0),VLOOKUP(B506,TRAOPE!$A:$U,21,0)),"")</f>
        <v/>
      </c>
      <c r="R506" s="8">
        <f>IFERROR(IFERROR(VLOOKUP(A506,TRAOPE!$A:$W,23,0),VLOOKUP(B506,TRAOPE!$A:$W,23,0)),"")</f>
        <v/>
      </c>
      <c r="S506" s="10">
        <f>IF(AND(P506="TN",R506="TN"),N506+N(O506),IF(G506&amp;""="1",N(K506)*N506,(N506+N(O506))*N(K506)))</f>
        <v/>
      </c>
      <c r="T506" s="10">
        <f>IF(Q506="","",Q506-S506)</f>
        <v/>
      </c>
    </row>
    <row r="507">
      <c r="A507" s="7">
        <f>CONCATENATE(C507,E507,F507,I507)</f>
        <v/>
      </c>
      <c r="B507" s="7">
        <f>CONCATENATE(C507,E507,I507)</f>
        <v/>
      </c>
      <c r="C507" s="8" t="n">
        <v>900007868</v>
      </c>
      <c r="D507" s="7">
        <f>IFERROR(VLOOKUP(C507,TRAOPE!$G:$H,2,0),"")</f>
        <v/>
      </c>
      <c r="E507" s="8" t="inlineStr">
        <is>
          <t>DW68</t>
        </is>
      </c>
      <c r="F507" s="8" t="inlineStr">
        <is>
          <t>D220</t>
        </is>
      </c>
      <c r="G507" s="8">
        <f>IFERROR(VLOOKUP(A507,Flete!$A:$E,5,0),"")</f>
        <v/>
      </c>
      <c r="H507" s="7">
        <f>IFERROR(VLOOKUP(F507,TRAOPE!$AA:$AB,2,0),"")</f>
        <v/>
      </c>
      <c r="I507" s="7" t="n">
        <v>10000384</v>
      </c>
      <c r="J507" s="7">
        <f>IFERROR(VLOOKUP(I507,Materiales!$A:$H,8,0),"")</f>
        <v/>
      </c>
      <c r="K507" s="9">
        <f>IFERROR(VLOOKUP(I507,Materiales!$A:$G,7,0),"")</f>
        <v/>
      </c>
      <c r="L507" s="8" t="inlineStr">
        <is>
          <t>20221207</t>
        </is>
      </c>
      <c r="M507" s="8" t="inlineStr">
        <is>
          <t>20241218</t>
        </is>
      </c>
      <c r="N507" s="10" t="n">
        <v>124.22</v>
      </c>
      <c r="O507" s="10">
        <f>IFERROR(VLOOKUP(A507,Flete!$A:$J,10,0),"")</f>
        <v/>
      </c>
      <c r="P507" s="8" t="inlineStr">
        <is>
          <t>TN</t>
        </is>
      </c>
      <c r="Q507" s="10">
        <f>IFERROR(IFERROR(VLOOKUP(A507,TRAOPE!$A:$U,21,0),VLOOKUP(B507,TRAOPE!$A:$U,21,0)),"")</f>
        <v/>
      </c>
      <c r="R507" s="8">
        <f>IFERROR(IFERROR(VLOOKUP(A507,TRAOPE!$A:$W,23,0),VLOOKUP(B507,TRAOPE!$A:$W,23,0)),"")</f>
        <v/>
      </c>
      <c r="S507" s="10">
        <f>IF(AND(P507="TN",R507="TN"),N507+N(O507),IF(G507&amp;""="1",N(K507)*N507,(N507+N(O507))*N(K507)))</f>
        <v/>
      </c>
      <c r="T507" s="10">
        <f>IF(Q507="","",Q507-S507)</f>
        <v/>
      </c>
    </row>
    <row r="508">
      <c r="A508" s="7">
        <f>CONCATENATE(C508,E508,F508,I508)</f>
        <v/>
      </c>
      <c r="B508" s="7">
        <f>CONCATENATE(C508,E508,I508)</f>
        <v/>
      </c>
      <c r="C508" s="8" t="n">
        <v>900007868</v>
      </c>
      <c r="D508" s="7">
        <f>IFERROR(VLOOKUP(C508,TRAOPE!$G:$H,2,0),"")</f>
        <v/>
      </c>
      <c r="E508" s="8" t="inlineStr">
        <is>
          <t>DW68</t>
        </is>
      </c>
      <c r="F508" s="8" t="inlineStr">
        <is>
          <t>D220</t>
        </is>
      </c>
      <c r="G508" s="8">
        <f>IFERROR(VLOOKUP(A508,Flete!$A:$E,5,0),"")</f>
        <v/>
      </c>
      <c r="H508" s="7">
        <f>IFERROR(VLOOKUP(F508,TRAOPE!$AA:$AB,2,0),"")</f>
        <v/>
      </c>
      <c r="I508" s="7" t="n">
        <v>10000388</v>
      </c>
      <c r="J508" s="7">
        <f>IFERROR(VLOOKUP(I508,Materiales!$A:$H,8,0),"")</f>
        <v/>
      </c>
      <c r="K508" s="9">
        <f>IFERROR(VLOOKUP(I508,Materiales!$A:$G,7,0),"")</f>
        <v/>
      </c>
      <c r="L508" s="8" t="inlineStr">
        <is>
          <t>20221207</t>
        </is>
      </c>
      <c r="M508" s="8" t="inlineStr">
        <is>
          <t>20241218</t>
        </is>
      </c>
      <c r="N508" s="10" t="n">
        <v>157.71</v>
      </c>
      <c r="O508" s="10">
        <f>IFERROR(VLOOKUP(A508,Flete!$A:$J,10,0),"")</f>
        <v/>
      </c>
      <c r="P508" s="8" t="inlineStr">
        <is>
          <t>TN</t>
        </is>
      </c>
      <c r="Q508" s="10">
        <f>IFERROR(IFERROR(VLOOKUP(A508,TRAOPE!$A:$U,21,0),VLOOKUP(B508,TRAOPE!$A:$U,21,0)),"")</f>
        <v/>
      </c>
      <c r="R508" s="8">
        <f>IFERROR(IFERROR(VLOOKUP(A508,TRAOPE!$A:$W,23,0),VLOOKUP(B508,TRAOPE!$A:$W,23,0)),"")</f>
        <v/>
      </c>
      <c r="S508" s="10">
        <f>IF(AND(P508="TN",R508="TN"),N508+N(O508),IF(G508&amp;""="1",N(K508)*N508,(N508+N(O508))*N(K508)))</f>
        <v/>
      </c>
      <c r="T508" s="10">
        <f>IF(Q508="","",Q508-S508)</f>
        <v/>
      </c>
    </row>
    <row r="509">
      <c r="A509" s="7">
        <f>CONCATENATE(C509,E509,F509,I509)</f>
        <v/>
      </c>
      <c r="B509" s="7">
        <f>CONCATENATE(C509,E509,I509)</f>
        <v/>
      </c>
      <c r="C509" s="8" t="n">
        <v>900007868</v>
      </c>
      <c r="D509" s="7">
        <f>IFERROR(VLOOKUP(C509,TRAOPE!$G:$H,2,0),"")</f>
        <v/>
      </c>
      <c r="E509" s="8" t="inlineStr">
        <is>
          <t>DW68</t>
        </is>
      </c>
      <c r="F509" s="8" t="inlineStr">
        <is>
          <t>D220</t>
        </is>
      </c>
      <c r="G509" s="8">
        <f>IFERROR(VLOOKUP(A509,Flete!$A:$E,5,0),"")</f>
        <v/>
      </c>
      <c r="H509" s="7">
        <f>IFERROR(VLOOKUP(F509,TRAOPE!$AA:$AB,2,0),"")</f>
        <v/>
      </c>
      <c r="I509" s="7" t="n">
        <v>10004258</v>
      </c>
      <c r="J509" s="7">
        <f>IFERROR(VLOOKUP(I509,Materiales!$A:$H,8,0),"")</f>
        <v/>
      </c>
      <c r="K509" s="9">
        <f>IFERROR(VLOOKUP(I509,Materiales!$A:$G,7,0),"")</f>
        <v/>
      </c>
      <c r="L509" s="8" t="inlineStr">
        <is>
          <t>20221207</t>
        </is>
      </c>
      <c r="M509" s="8" t="inlineStr">
        <is>
          <t>20241218</t>
        </is>
      </c>
      <c r="N509" s="10" t="n">
        <v>183.01</v>
      </c>
      <c r="O509" s="10">
        <f>IFERROR(VLOOKUP(A509,Flete!$A:$J,10,0),"")</f>
        <v/>
      </c>
      <c r="P509" s="8" t="inlineStr">
        <is>
          <t>TN</t>
        </is>
      </c>
      <c r="Q509" s="10">
        <f>IFERROR(IFERROR(VLOOKUP(A509,TRAOPE!$A:$U,21,0),VLOOKUP(B509,TRAOPE!$A:$U,21,0)),"")</f>
        <v/>
      </c>
      <c r="R509" s="8">
        <f>IFERROR(IFERROR(VLOOKUP(A509,TRAOPE!$A:$W,23,0),VLOOKUP(B509,TRAOPE!$A:$W,23,0)),"")</f>
        <v/>
      </c>
      <c r="S509" s="10">
        <f>IF(AND(P509="TN",R509="TN"),N509+N(O509),IF(G509&amp;""="1",N(K509)*N509,(N509+N(O509))*N(K509)))</f>
        <v/>
      </c>
      <c r="T509" s="10">
        <f>IF(Q509="","",Q509-S509)</f>
        <v/>
      </c>
    </row>
    <row r="510">
      <c r="A510" s="7">
        <f>CONCATENATE(C510,E510,F510,I510)</f>
        <v/>
      </c>
      <c r="B510" s="7">
        <f>CONCATENATE(C510,E510,I510)</f>
        <v/>
      </c>
      <c r="C510" s="8" t="n">
        <v>900007868</v>
      </c>
      <c r="D510" s="7">
        <f>IFERROR(VLOOKUP(C510,TRAOPE!$G:$H,2,0),"")</f>
        <v/>
      </c>
      <c r="E510" s="8" t="inlineStr">
        <is>
          <t>DW68</t>
        </is>
      </c>
      <c r="F510" s="8" t="inlineStr">
        <is>
          <t>D228</t>
        </is>
      </c>
      <c r="G510" s="8">
        <f>IFERROR(VLOOKUP(A510,Flete!$A:$E,5,0),"")</f>
        <v/>
      </c>
      <c r="H510" s="7">
        <f>IFERROR(VLOOKUP(F510,TRAOPE!$AA:$AB,2,0),"")</f>
        <v/>
      </c>
      <c r="I510" s="7" t="n">
        <v>10000191</v>
      </c>
      <c r="J510" s="7">
        <f>IFERROR(VLOOKUP(I510,Materiales!$A:$H,8,0),"")</f>
        <v/>
      </c>
      <c r="K510" s="9">
        <f>IFERROR(VLOOKUP(I510,Materiales!$A:$G,7,0),"")</f>
        <v/>
      </c>
      <c r="L510" s="8" t="inlineStr">
        <is>
          <t>20250224</t>
        </is>
      </c>
      <c r="M510" s="8" t="inlineStr">
        <is>
          <t>99991231</t>
        </is>
      </c>
      <c r="N510" s="10" t="n">
        <v>178.65</v>
      </c>
      <c r="O510" s="10">
        <f>IFERROR(VLOOKUP(A510,Flete!$A:$J,10,0),"")</f>
        <v/>
      </c>
      <c r="P510" s="8" t="inlineStr">
        <is>
          <t>TN</t>
        </is>
      </c>
      <c r="Q510" s="10">
        <f>IFERROR(IFERROR(VLOOKUP(A510,TRAOPE!$A:$U,21,0),VLOOKUP(B510,TRAOPE!$A:$U,21,0)),"")</f>
        <v/>
      </c>
      <c r="R510" s="8">
        <f>IFERROR(IFERROR(VLOOKUP(A510,TRAOPE!$A:$W,23,0),VLOOKUP(B510,TRAOPE!$A:$W,23,0)),"")</f>
        <v/>
      </c>
      <c r="S510" s="10">
        <f>IF(AND(P510="TN",R510="TN"),N510+N(O510),IF(G510&amp;""="1",N(K510)*N510,(N510+N(O510))*N(K510)))</f>
        <v/>
      </c>
      <c r="T510" s="10">
        <f>IF(Q510="","",Q510-S510)</f>
        <v/>
      </c>
    </row>
    <row r="511">
      <c r="A511" s="7">
        <f>CONCATENATE(C511,E511,F511,I511)</f>
        <v/>
      </c>
      <c r="B511" s="7">
        <f>CONCATENATE(C511,E511,I511)</f>
        <v/>
      </c>
      <c r="C511" s="8" t="n">
        <v>900007868</v>
      </c>
      <c r="D511" s="7">
        <f>IFERROR(VLOOKUP(C511,TRAOPE!$G:$H,2,0),"")</f>
        <v/>
      </c>
      <c r="E511" s="8" t="inlineStr">
        <is>
          <t>DW68</t>
        </is>
      </c>
      <c r="F511" s="8" t="inlineStr">
        <is>
          <t>D228</t>
        </is>
      </c>
      <c r="G511" s="8">
        <f>IFERROR(VLOOKUP(A511,Flete!$A:$E,5,0),"")</f>
        <v/>
      </c>
      <c r="H511" s="7">
        <f>IFERROR(VLOOKUP(F511,TRAOPE!$AA:$AB,2,0),"")</f>
        <v/>
      </c>
      <c r="I511" s="7" t="n">
        <v>10000384</v>
      </c>
      <c r="J511" s="7">
        <f>IFERROR(VLOOKUP(I511,Materiales!$A:$H,8,0),"")</f>
        <v/>
      </c>
      <c r="K511" s="9">
        <f>IFERROR(VLOOKUP(I511,Materiales!$A:$G,7,0),"")</f>
        <v/>
      </c>
      <c r="L511" s="8" t="inlineStr">
        <is>
          <t>20250224</t>
        </is>
      </c>
      <c r="M511" s="8" t="inlineStr">
        <is>
          <t>99991231</t>
        </is>
      </c>
      <c r="N511" s="10" t="n">
        <v>142.24</v>
      </c>
      <c r="O511" s="10">
        <f>IFERROR(VLOOKUP(A511,Flete!$A:$J,10,0),"")</f>
        <v/>
      </c>
      <c r="P511" s="8" t="inlineStr">
        <is>
          <t>TN</t>
        </is>
      </c>
      <c r="Q511" s="10">
        <f>IFERROR(IFERROR(VLOOKUP(A511,TRAOPE!$A:$U,21,0),VLOOKUP(B511,TRAOPE!$A:$U,21,0)),"")</f>
        <v/>
      </c>
      <c r="R511" s="8">
        <f>IFERROR(IFERROR(VLOOKUP(A511,TRAOPE!$A:$W,23,0),VLOOKUP(B511,TRAOPE!$A:$W,23,0)),"")</f>
        <v/>
      </c>
      <c r="S511" s="10">
        <f>IF(AND(P511="TN",R511="TN"),N511+N(O511),IF(G511&amp;""="1",N(K511)*N511,(N511+N(O511))*N(K511)))</f>
        <v/>
      </c>
      <c r="T511" s="10">
        <f>IF(Q511="","",Q511-S511)</f>
        <v/>
      </c>
    </row>
    <row r="512">
      <c r="A512" s="7">
        <f>CONCATENATE(C512,E512,F512,I512)</f>
        <v/>
      </c>
      <c r="B512" s="7">
        <f>CONCATENATE(C512,E512,I512)</f>
        <v/>
      </c>
      <c r="C512" s="8" t="n">
        <v>900007868</v>
      </c>
      <c r="D512" s="7">
        <f>IFERROR(VLOOKUP(C512,TRAOPE!$G:$H,2,0),"")</f>
        <v/>
      </c>
      <c r="E512" s="8" t="inlineStr">
        <is>
          <t>DW68</t>
        </is>
      </c>
      <c r="F512" s="8" t="inlineStr">
        <is>
          <t>D228</t>
        </is>
      </c>
      <c r="G512" s="8">
        <f>IFERROR(VLOOKUP(A512,Flete!$A:$E,5,0),"")</f>
        <v/>
      </c>
      <c r="H512" s="7">
        <f>IFERROR(VLOOKUP(F512,TRAOPE!$AA:$AB,2,0),"")</f>
        <v/>
      </c>
      <c r="I512" s="7" t="n">
        <v>10000388</v>
      </c>
      <c r="J512" s="7">
        <f>IFERROR(VLOOKUP(I512,Materiales!$A:$H,8,0),"")</f>
        <v/>
      </c>
      <c r="K512" s="9">
        <f>IFERROR(VLOOKUP(I512,Materiales!$A:$G,7,0),"")</f>
        <v/>
      </c>
      <c r="L512" s="8" t="inlineStr">
        <is>
          <t>20250224</t>
        </is>
      </c>
      <c r="M512" s="8" t="inlineStr">
        <is>
          <t>99991231</t>
        </is>
      </c>
      <c r="N512" s="10" t="n">
        <v>180.58</v>
      </c>
      <c r="O512" s="10">
        <f>IFERROR(VLOOKUP(A512,Flete!$A:$J,10,0),"")</f>
        <v/>
      </c>
      <c r="P512" s="8" t="inlineStr">
        <is>
          <t>TN</t>
        </is>
      </c>
      <c r="Q512" s="10">
        <f>IFERROR(IFERROR(VLOOKUP(A512,TRAOPE!$A:$U,21,0),VLOOKUP(B512,TRAOPE!$A:$U,21,0)),"")</f>
        <v/>
      </c>
      <c r="R512" s="8">
        <f>IFERROR(IFERROR(VLOOKUP(A512,TRAOPE!$A:$W,23,0),VLOOKUP(B512,TRAOPE!$A:$W,23,0)),"")</f>
        <v/>
      </c>
      <c r="S512" s="10">
        <f>IF(AND(P512="TN",R512="TN"),N512+N(O512),IF(G512&amp;""="1",N(K512)*N512,(N512+N(O512))*N(K512)))</f>
        <v/>
      </c>
      <c r="T512" s="10">
        <f>IF(Q512="","",Q512-S512)</f>
        <v/>
      </c>
    </row>
    <row r="513">
      <c r="A513" s="7">
        <f>CONCATENATE(C513,E513,F513,I513)</f>
        <v/>
      </c>
      <c r="B513" s="7">
        <f>CONCATENATE(C513,E513,I513)</f>
        <v/>
      </c>
      <c r="C513" s="8" t="n">
        <v>900007868</v>
      </c>
      <c r="D513" s="7">
        <f>IFERROR(VLOOKUP(C513,TRAOPE!$G:$H,2,0),"")</f>
        <v/>
      </c>
      <c r="E513" s="8" t="inlineStr">
        <is>
          <t>DW68</t>
        </is>
      </c>
      <c r="F513" s="8" t="inlineStr">
        <is>
          <t>D228</t>
        </is>
      </c>
      <c r="G513" s="8">
        <f>IFERROR(VLOOKUP(A513,Flete!$A:$E,5,0),"")</f>
        <v/>
      </c>
      <c r="H513" s="7">
        <f>IFERROR(VLOOKUP(F513,TRAOPE!$AA:$AB,2,0),"")</f>
        <v/>
      </c>
      <c r="I513" s="7" t="n">
        <v>10004258</v>
      </c>
      <c r="J513" s="7">
        <f>IFERROR(VLOOKUP(I513,Materiales!$A:$H,8,0),"")</f>
        <v/>
      </c>
      <c r="K513" s="9">
        <f>IFERROR(VLOOKUP(I513,Materiales!$A:$G,7,0),"")</f>
        <v/>
      </c>
      <c r="L513" s="8" t="inlineStr">
        <is>
          <t>20250224</t>
        </is>
      </c>
      <c r="M513" s="8" t="inlineStr">
        <is>
          <t>99991231</t>
        </is>
      </c>
      <c r="N513" s="10" t="n">
        <v>209.54</v>
      </c>
      <c r="O513" s="10">
        <f>IFERROR(VLOOKUP(A513,Flete!$A:$J,10,0),"")</f>
        <v/>
      </c>
      <c r="P513" s="8" t="inlineStr">
        <is>
          <t>TN</t>
        </is>
      </c>
      <c r="Q513" s="10">
        <f>IFERROR(IFERROR(VLOOKUP(A513,TRAOPE!$A:$U,21,0),VLOOKUP(B513,TRAOPE!$A:$U,21,0)),"")</f>
        <v/>
      </c>
      <c r="R513" s="8">
        <f>IFERROR(IFERROR(VLOOKUP(A513,TRAOPE!$A:$W,23,0),VLOOKUP(B513,TRAOPE!$A:$W,23,0)),"")</f>
        <v/>
      </c>
      <c r="S513" s="10">
        <f>IF(AND(P513="TN",R513="TN"),N513+N(O513),IF(G513&amp;""="1",N(K513)*N513,(N513+N(O513))*N(K513)))</f>
        <v/>
      </c>
      <c r="T513" s="10">
        <f>IF(Q513="","",Q513-S513)</f>
        <v/>
      </c>
    </row>
    <row r="514">
      <c r="A514" s="7">
        <f>CONCATENATE(C514,E514,F514,I514)</f>
        <v/>
      </c>
      <c r="B514" s="7">
        <f>CONCATENATE(C514,E514,I514)</f>
        <v/>
      </c>
      <c r="C514" s="8" t="n">
        <v>900007868</v>
      </c>
      <c r="D514" s="7">
        <f>IFERROR(VLOOKUP(C514,TRAOPE!$G:$H,2,0),"")</f>
        <v/>
      </c>
      <c r="E514" s="8" t="inlineStr">
        <is>
          <t>DW68</t>
        </is>
      </c>
      <c r="F514" s="8" t="inlineStr">
        <is>
          <t>D242</t>
        </is>
      </c>
      <c r="G514" s="8">
        <f>IFERROR(VLOOKUP(A514,Flete!$A:$E,5,0),"")</f>
        <v/>
      </c>
      <c r="H514" s="7">
        <f>IFERROR(VLOOKUP(F514,TRAOPE!$AA:$AB,2,0),"")</f>
        <v/>
      </c>
      <c r="I514" s="7" t="n">
        <v>10000191</v>
      </c>
      <c r="J514" s="7">
        <f>IFERROR(VLOOKUP(I514,Materiales!$A:$H,8,0),"")</f>
        <v/>
      </c>
      <c r="K514" s="9">
        <f>IFERROR(VLOOKUP(I514,Materiales!$A:$G,7,0),"")</f>
        <v/>
      </c>
      <c r="L514" s="8" t="inlineStr">
        <is>
          <t>20250224</t>
        </is>
      </c>
      <c r="M514" s="8" t="inlineStr">
        <is>
          <t>99991231</t>
        </is>
      </c>
      <c r="N514" s="10" t="n">
        <v>178.65</v>
      </c>
      <c r="O514" s="10">
        <f>IFERROR(VLOOKUP(A514,Flete!$A:$J,10,0),"")</f>
        <v/>
      </c>
      <c r="P514" s="8" t="inlineStr">
        <is>
          <t>TN</t>
        </is>
      </c>
      <c r="Q514" s="10">
        <f>IFERROR(IFERROR(VLOOKUP(A514,TRAOPE!$A:$U,21,0),VLOOKUP(B514,TRAOPE!$A:$U,21,0)),"")</f>
        <v/>
      </c>
      <c r="R514" s="8">
        <f>IFERROR(IFERROR(VLOOKUP(A514,TRAOPE!$A:$W,23,0),VLOOKUP(B514,TRAOPE!$A:$W,23,0)),"")</f>
        <v/>
      </c>
      <c r="S514" s="10">
        <f>IF(AND(P514="TN",R514="TN"),N514+N(O514),IF(G514&amp;""="1",N(K514)*N514,(N514+N(O514))*N(K514)))</f>
        <v/>
      </c>
      <c r="T514" s="10">
        <f>IF(Q514="","",Q514-S514)</f>
        <v/>
      </c>
    </row>
    <row r="515">
      <c r="A515" s="7">
        <f>CONCATENATE(C515,E515,F515,I515)</f>
        <v/>
      </c>
      <c r="B515" s="7">
        <f>CONCATENATE(C515,E515,I515)</f>
        <v/>
      </c>
      <c r="C515" s="8" t="n">
        <v>900007868</v>
      </c>
      <c r="D515" s="7">
        <f>IFERROR(VLOOKUP(C515,TRAOPE!$G:$H,2,0),"")</f>
        <v/>
      </c>
      <c r="E515" s="8" t="inlineStr">
        <is>
          <t>DW68</t>
        </is>
      </c>
      <c r="F515" s="8" t="inlineStr">
        <is>
          <t>D242</t>
        </is>
      </c>
      <c r="G515" s="8">
        <f>IFERROR(VLOOKUP(A515,Flete!$A:$E,5,0),"")</f>
        <v/>
      </c>
      <c r="H515" s="7">
        <f>IFERROR(VLOOKUP(F515,TRAOPE!$AA:$AB,2,0),"")</f>
        <v/>
      </c>
      <c r="I515" s="7" t="n">
        <v>10000384</v>
      </c>
      <c r="J515" s="7">
        <f>IFERROR(VLOOKUP(I515,Materiales!$A:$H,8,0),"")</f>
        <v/>
      </c>
      <c r="K515" s="9">
        <f>IFERROR(VLOOKUP(I515,Materiales!$A:$G,7,0),"")</f>
        <v/>
      </c>
      <c r="L515" s="8" t="inlineStr">
        <is>
          <t>20250224</t>
        </is>
      </c>
      <c r="M515" s="8" t="inlineStr">
        <is>
          <t>99991231</t>
        </is>
      </c>
      <c r="N515" s="10" t="n">
        <v>142.24</v>
      </c>
      <c r="O515" s="10">
        <f>IFERROR(VLOOKUP(A515,Flete!$A:$J,10,0),"")</f>
        <v/>
      </c>
      <c r="P515" s="8" t="inlineStr">
        <is>
          <t>TN</t>
        </is>
      </c>
      <c r="Q515" s="10">
        <f>IFERROR(IFERROR(VLOOKUP(A515,TRAOPE!$A:$U,21,0),VLOOKUP(B515,TRAOPE!$A:$U,21,0)),"")</f>
        <v/>
      </c>
      <c r="R515" s="8">
        <f>IFERROR(IFERROR(VLOOKUP(A515,TRAOPE!$A:$W,23,0),VLOOKUP(B515,TRAOPE!$A:$W,23,0)),"")</f>
        <v/>
      </c>
      <c r="S515" s="10">
        <f>IF(AND(P515="TN",R515="TN"),N515+N(O515),IF(G515&amp;""="1",N(K515)*N515,(N515+N(O515))*N(K515)))</f>
        <v/>
      </c>
      <c r="T515" s="10">
        <f>IF(Q515="","",Q515-S515)</f>
        <v/>
      </c>
    </row>
    <row r="516">
      <c r="A516" s="7">
        <f>CONCATENATE(C516,E516,F516,I516)</f>
        <v/>
      </c>
      <c r="B516" s="7">
        <f>CONCATENATE(C516,E516,I516)</f>
        <v/>
      </c>
      <c r="C516" s="8" t="n">
        <v>900007868</v>
      </c>
      <c r="D516" s="7">
        <f>IFERROR(VLOOKUP(C516,TRAOPE!$G:$H,2,0),"")</f>
        <v/>
      </c>
      <c r="E516" s="8" t="inlineStr">
        <is>
          <t>DW68</t>
        </is>
      </c>
      <c r="F516" s="8" t="inlineStr">
        <is>
          <t>D242</t>
        </is>
      </c>
      <c r="G516" s="8">
        <f>IFERROR(VLOOKUP(A516,Flete!$A:$E,5,0),"")</f>
        <v/>
      </c>
      <c r="H516" s="7">
        <f>IFERROR(VLOOKUP(F516,TRAOPE!$AA:$AB,2,0),"")</f>
        <v/>
      </c>
      <c r="I516" s="7" t="n">
        <v>10000388</v>
      </c>
      <c r="J516" s="7">
        <f>IFERROR(VLOOKUP(I516,Materiales!$A:$H,8,0),"")</f>
        <v/>
      </c>
      <c r="K516" s="9">
        <f>IFERROR(VLOOKUP(I516,Materiales!$A:$G,7,0),"")</f>
        <v/>
      </c>
      <c r="L516" s="8" t="inlineStr">
        <is>
          <t>20250224</t>
        </is>
      </c>
      <c r="M516" s="8" t="inlineStr">
        <is>
          <t>99991231</t>
        </is>
      </c>
      <c r="N516" s="10" t="n">
        <v>180.58</v>
      </c>
      <c r="O516" s="10">
        <f>IFERROR(VLOOKUP(A516,Flete!$A:$J,10,0),"")</f>
        <v/>
      </c>
      <c r="P516" s="8" t="inlineStr">
        <is>
          <t>TN</t>
        </is>
      </c>
      <c r="Q516" s="10">
        <f>IFERROR(IFERROR(VLOOKUP(A516,TRAOPE!$A:$U,21,0),VLOOKUP(B516,TRAOPE!$A:$U,21,0)),"")</f>
        <v/>
      </c>
      <c r="R516" s="8">
        <f>IFERROR(IFERROR(VLOOKUP(A516,TRAOPE!$A:$W,23,0),VLOOKUP(B516,TRAOPE!$A:$W,23,0)),"")</f>
        <v/>
      </c>
      <c r="S516" s="10">
        <f>IF(AND(P516="TN",R516="TN"),N516+N(O516),IF(G516&amp;""="1",N(K516)*N516,(N516+N(O516))*N(K516)))</f>
        <v/>
      </c>
      <c r="T516" s="10">
        <f>IF(Q516="","",Q516-S516)</f>
        <v/>
      </c>
    </row>
    <row r="517">
      <c r="A517" s="7">
        <f>CONCATENATE(C517,E517,F517,I517)</f>
        <v/>
      </c>
      <c r="B517" s="7">
        <f>CONCATENATE(C517,E517,I517)</f>
        <v/>
      </c>
      <c r="C517" s="8" t="n">
        <v>900007868</v>
      </c>
      <c r="D517" s="7">
        <f>IFERROR(VLOOKUP(C517,TRAOPE!$G:$H,2,0),"")</f>
        <v/>
      </c>
      <c r="E517" s="8" t="inlineStr">
        <is>
          <t>DW68</t>
        </is>
      </c>
      <c r="F517" s="8" t="inlineStr">
        <is>
          <t>D242</t>
        </is>
      </c>
      <c r="G517" s="8">
        <f>IFERROR(VLOOKUP(A517,Flete!$A:$E,5,0),"")</f>
        <v/>
      </c>
      <c r="H517" s="7">
        <f>IFERROR(VLOOKUP(F517,TRAOPE!$AA:$AB,2,0),"")</f>
        <v/>
      </c>
      <c r="I517" s="7" t="n">
        <v>10004258</v>
      </c>
      <c r="J517" s="7">
        <f>IFERROR(VLOOKUP(I517,Materiales!$A:$H,8,0),"")</f>
        <v/>
      </c>
      <c r="K517" s="9">
        <f>IFERROR(VLOOKUP(I517,Materiales!$A:$G,7,0),"")</f>
        <v/>
      </c>
      <c r="L517" s="8" t="inlineStr">
        <is>
          <t>20250224</t>
        </is>
      </c>
      <c r="M517" s="8" t="inlineStr">
        <is>
          <t>99991231</t>
        </is>
      </c>
      <c r="N517" s="10" t="n">
        <v>209.54</v>
      </c>
      <c r="O517" s="10">
        <f>IFERROR(VLOOKUP(A517,Flete!$A:$J,10,0),"")</f>
        <v/>
      </c>
      <c r="P517" s="8" t="inlineStr">
        <is>
          <t>TN</t>
        </is>
      </c>
      <c r="Q517" s="10">
        <f>IFERROR(IFERROR(VLOOKUP(A517,TRAOPE!$A:$U,21,0),VLOOKUP(B517,TRAOPE!$A:$U,21,0)),"")</f>
        <v/>
      </c>
      <c r="R517" s="8">
        <f>IFERROR(IFERROR(VLOOKUP(A517,TRAOPE!$A:$W,23,0),VLOOKUP(B517,TRAOPE!$A:$W,23,0)),"")</f>
        <v/>
      </c>
      <c r="S517" s="10">
        <f>IF(AND(P517="TN",R517="TN"),N517+N(O517),IF(G517&amp;""="1",N(K517)*N517,(N517+N(O517))*N(K517)))</f>
        <v/>
      </c>
      <c r="T517" s="10">
        <f>IF(Q517="","",Q517-S517)</f>
        <v/>
      </c>
    </row>
    <row r="518">
      <c r="A518" s="7">
        <f>CONCATENATE(C518,E518,F518,I518)</f>
        <v/>
      </c>
      <c r="B518" s="7">
        <f>CONCATENATE(C518,E518,I518)</f>
        <v/>
      </c>
      <c r="C518" s="8" t="n">
        <v>900007868</v>
      </c>
      <c r="D518" s="7">
        <f>IFERROR(VLOOKUP(C518,TRAOPE!$G:$H,2,0),"")</f>
        <v/>
      </c>
      <c r="E518" s="8" t="inlineStr">
        <is>
          <t>DW68</t>
        </is>
      </c>
      <c r="F518" s="8" t="inlineStr">
        <is>
          <t>D247</t>
        </is>
      </c>
      <c r="G518" s="8">
        <f>IFERROR(VLOOKUP(A518,Flete!$A:$E,5,0),"")</f>
        <v/>
      </c>
      <c r="H518" s="7">
        <f>IFERROR(VLOOKUP(F518,TRAOPE!$AA:$AB,2,0),"")</f>
        <v/>
      </c>
      <c r="I518" s="7" t="n">
        <v>10000191</v>
      </c>
      <c r="J518" s="7">
        <f>IFERROR(VLOOKUP(I518,Materiales!$A:$H,8,0),"")</f>
        <v/>
      </c>
      <c r="K518" s="9">
        <f>IFERROR(VLOOKUP(I518,Materiales!$A:$G,7,0),"")</f>
        <v/>
      </c>
      <c r="L518" s="8" t="inlineStr">
        <is>
          <t>20250224</t>
        </is>
      </c>
      <c r="M518" s="8" t="inlineStr">
        <is>
          <t>99991231</t>
        </is>
      </c>
      <c r="N518" s="10" t="n">
        <v>178.65</v>
      </c>
      <c r="O518" s="10">
        <f>IFERROR(VLOOKUP(A518,Flete!$A:$J,10,0),"")</f>
        <v/>
      </c>
      <c r="P518" s="8" t="inlineStr">
        <is>
          <t>TN</t>
        </is>
      </c>
      <c r="Q518" s="10">
        <f>IFERROR(IFERROR(VLOOKUP(A518,TRAOPE!$A:$U,21,0),VLOOKUP(B518,TRAOPE!$A:$U,21,0)),"")</f>
        <v/>
      </c>
      <c r="R518" s="8">
        <f>IFERROR(IFERROR(VLOOKUP(A518,TRAOPE!$A:$W,23,0),VLOOKUP(B518,TRAOPE!$A:$W,23,0)),"")</f>
        <v/>
      </c>
      <c r="S518" s="10">
        <f>IF(AND(P518="TN",R518="TN"),N518+N(O518),IF(G518&amp;""="1",N(K518)*N518,(N518+N(O518))*N(K518)))</f>
        <v/>
      </c>
      <c r="T518" s="10">
        <f>IF(Q518="","",Q518-S518)</f>
        <v/>
      </c>
    </row>
    <row r="519">
      <c r="A519" s="7">
        <f>CONCATENATE(C519,E519,F519,I519)</f>
        <v/>
      </c>
      <c r="B519" s="7">
        <f>CONCATENATE(C519,E519,I519)</f>
        <v/>
      </c>
      <c r="C519" s="8" t="n">
        <v>900007868</v>
      </c>
      <c r="D519" s="7">
        <f>IFERROR(VLOOKUP(C519,TRAOPE!$G:$H,2,0),"")</f>
        <v/>
      </c>
      <c r="E519" s="8" t="inlineStr">
        <is>
          <t>DW68</t>
        </is>
      </c>
      <c r="F519" s="8" t="inlineStr">
        <is>
          <t>D247</t>
        </is>
      </c>
      <c r="G519" s="8">
        <f>IFERROR(VLOOKUP(A519,Flete!$A:$E,5,0),"")</f>
        <v/>
      </c>
      <c r="H519" s="7">
        <f>IFERROR(VLOOKUP(F519,TRAOPE!$AA:$AB,2,0),"")</f>
        <v/>
      </c>
      <c r="I519" s="7" t="n">
        <v>10000384</v>
      </c>
      <c r="J519" s="7">
        <f>IFERROR(VLOOKUP(I519,Materiales!$A:$H,8,0),"")</f>
        <v/>
      </c>
      <c r="K519" s="9">
        <f>IFERROR(VLOOKUP(I519,Materiales!$A:$G,7,0),"")</f>
        <v/>
      </c>
      <c r="L519" s="8" t="inlineStr">
        <is>
          <t>20250224</t>
        </is>
      </c>
      <c r="M519" s="8" t="inlineStr">
        <is>
          <t>99991231</t>
        </is>
      </c>
      <c r="N519" s="10" t="n">
        <v>142.24</v>
      </c>
      <c r="O519" s="10">
        <f>IFERROR(VLOOKUP(A519,Flete!$A:$J,10,0),"")</f>
        <v/>
      </c>
      <c r="P519" s="8" t="inlineStr">
        <is>
          <t>TN</t>
        </is>
      </c>
      <c r="Q519" s="10">
        <f>IFERROR(IFERROR(VLOOKUP(A519,TRAOPE!$A:$U,21,0),VLOOKUP(B519,TRAOPE!$A:$U,21,0)),"")</f>
        <v/>
      </c>
      <c r="R519" s="8">
        <f>IFERROR(IFERROR(VLOOKUP(A519,TRAOPE!$A:$W,23,0),VLOOKUP(B519,TRAOPE!$A:$W,23,0)),"")</f>
        <v/>
      </c>
      <c r="S519" s="10">
        <f>IF(AND(P519="TN",R519="TN"),N519+N(O519),IF(G519&amp;""="1",N(K519)*N519,(N519+N(O519))*N(K519)))</f>
        <v/>
      </c>
      <c r="T519" s="10">
        <f>IF(Q519="","",Q519-S519)</f>
        <v/>
      </c>
    </row>
    <row r="520">
      <c r="A520" s="7">
        <f>CONCATENATE(C520,E520,F520,I520)</f>
        <v/>
      </c>
      <c r="B520" s="7">
        <f>CONCATENATE(C520,E520,I520)</f>
        <v/>
      </c>
      <c r="C520" s="8" t="n">
        <v>900007868</v>
      </c>
      <c r="D520" s="7">
        <f>IFERROR(VLOOKUP(C520,TRAOPE!$G:$H,2,0),"")</f>
        <v/>
      </c>
      <c r="E520" s="8" t="inlineStr">
        <is>
          <t>DW68</t>
        </is>
      </c>
      <c r="F520" s="8" t="inlineStr">
        <is>
          <t>D247</t>
        </is>
      </c>
      <c r="G520" s="8">
        <f>IFERROR(VLOOKUP(A520,Flete!$A:$E,5,0),"")</f>
        <v/>
      </c>
      <c r="H520" s="7">
        <f>IFERROR(VLOOKUP(F520,TRAOPE!$AA:$AB,2,0),"")</f>
        <v/>
      </c>
      <c r="I520" s="7" t="n">
        <v>10000388</v>
      </c>
      <c r="J520" s="7">
        <f>IFERROR(VLOOKUP(I520,Materiales!$A:$H,8,0),"")</f>
        <v/>
      </c>
      <c r="K520" s="9">
        <f>IFERROR(VLOOKUP(I520,Materiales!$A:$G,7,0),"")</f>
        <v/>
      </c>
      <c r="L520" s="8" t="inlineStr">
        <is>
          <t>20250224</t>
        </is>
      </c>
      <c r="M520" s="8" t="inlineStr">
        <is>
          <t>99991231</t>
        </is>
      </c>
      <c r="N520" s="10" t="n">
        <v>180.58</v>
      </c>
      <c r="O520" s="10">
        <f>IFERROR(VLOOKUP(A520,Flete!$A:$J,10,0),"")</f>
        <v/>
      </c>
      <c r="P520" s="8" t="inlineStr">
        <is>
          <t>TN</t>
        </is>
      </c>
      <c r="Q520" s="10">
        <f>IFERROR(IFERROR(VLOOKUP(A520,TRAOPE!$A:$U,21,0),VLOOKUP(B520,TRAOPE!$A:$U,21,0)),"")</f>
        <v/>
      </c>
      <c r="R520" s="8">
        <f>IFERROR(IFERROR(VLOOKUP(A520,TRAOPE!$A:$W,23,0),VLOOKUP(B520,TRAOPE!$A:$W,23,0)),"")</f>
        <v/>
      </c>
      <c r="S520" s="10">
        <f>IF(AND(P520="TN",R520="TN"),N520+N(O520),IF(G520&amp;""="1",N(K520)*N520,(N520+N(O520))*N(K520)))</f>
        <v/>
      </c>
      <c r="T520" s="10">
        <f>IF(Q520="","",Q520-S520)</f>
        <v/>
      </c>
    </row>
    <row r="521">
      <c r="A521" s="7">
        <f>CONCATENATE(C521,E521,F521,I521)</f>
        <v/>
      </c>
      <c r="B521" s="7">
        <f>CONCATENATE(C521,E521,I521)</f>
        <v/>
      </c>
      <c r="C521" s="8" t="n">
        <v>900007868</v>
      </c>
      <c r="D521" s="7">
        <f>IFERROR(VLOOKUP(C521,TRAOPE!$G:$H,2,0),"")</f>
        <v/>
      </c>
      <c r="E521" s="8" t="inlineStr">
        <is>
          <t>DW68</t>
        </is>
      </c>
      <c r="F521" s="8" t="inlineStr">
        <is>
          <t>D247</t>
        </is>
      </c>
      <c r="G521" s="8">
        <f>IFERROR(VLOOKUP(A521,Flete!$A:$E,5,0),"")</f>
        <v/>
      </c>
      <c r="H521" s="7">
        <f>IFERROR(VLOOKUP(F521,TRAOPE!$AA:$AB,2,0),"")</f>
        <v/>
      </c>
      <c r="I521" s="7" t="n">
        <v>10004258</v>
      </c>
      <c r="J521" s="7">
        <f>IFERROR(VLOOKUP(I521,Materiales!$A:$H,8,0),"")</f>
        <v/>
      </c>
      <c r="K521" s="9">
        <f>IFERROR(VLOOKUP(I521,Materiales!$A:$G,7,0),"")</f>
        <v/>
      </c>
      <c r="L521" s="8" t="inlineStr">
        <is>
          <t>20250224</t>
        </is>
      </c>
      <c r="M521" s="8" t="inlineStr">
        <is>
          <t>99991231</t>
        </is>
      </c>
      <c r="N521" s="10" t="n">
        <v>209.54</v>
      </c>
      <c r="O521" s="10">
        <f>IFERROR(VLOOKUP(A521,Flete!$A:$J,10,0),"")</f>
        <v/>
      </c>
      <c r="P521" s="8" t="inlineStr">
        <is>
          <t>TN</t>
        </is>
      </c>
      <c r="Q521" s="10">
        <f>IFERROR(IFERROR(VLOOKUP(A521,TRAOPE!$A:$U,21,0),VLOOKUP(B521,TRAOPE!$A:$U,21,0)),"")</f>
        <v/>
      </c>
      <c r="R521" s="8">
        <f>IFERROR(IFERROR(VLOOKUP(A521,TRAOPE!$A:$W,23,0),VLOOKUP(B521,TRAOPE!$A:$W,23,0)),"")</f>
        <v/>
      </c>
      <c r="S521" s="10">
        <f>IF(AND(P521="TN",R521="TN"),N521+N(O521),IF(G521&amp;""="1",N(K521)*N521,(N521+N(O521))*N(K521)))</f>
        <v/>
      </c>
      <c r="T521" s="10">
        <f>IF(Q521="","",Q521-S521)</f>
        <v/>
      </c>
    </row>
    <row r="522">
      <c r="A522" s="7">
        <f>CONCATENATE(C522,E522,F522,I522)</f>
        <v/>
      </c>
      <c r="B522" s="7">
        <f>CONCATENATE(C522,E522,I522)</f>
        <v/>
      </c>
      <c r="C522" s="8" t="n">
        <v>900007868</v>
      </c>
      <c r="D522" s="7">
        <f>IFERROR(VLOOKUP(C522,TRAOPE!$G:$H,2,0),"")</f>
        <v/>
      </c>
      <c r="E522" s="8" t="inlineStr">
        <is>
          <t>DW68</t>
        </is>
      </c>
      <c r="F522" s="8" t="inlineStr">
        <is>
          <t>D251</t>
        </is>
      </c>
      <c r="G522" s="8">
        <f>IFERROR(VLOOKUP(A522,Flete!$A:$E,5,0),"")</f>
        <v/>
      </c>
      <c r="H522" s="7">
        <f>IFERROR(VLOOKUP(F522,TRAOPE!$AA:$AB,2,0),"")</f>
        <v/>
      </c>
      <c r="I522" s="7" t="n">
        <v>10000191</v>
      </c>
      <c r="J522" s="7">
        <f>IFERROR(VLOOKUP(I522,Materiales!$A:$H,8,0),"")</f>
        <v/>
      </c>
      <c r="K522" s="9">
        <f>IFERROR(VLOOKUP(I522,Materiales!$A:$G,7,0),"")</f>
        <v/>
      </c>
      <c r="L522" s="8" t="inlineStr">
        <is>
          <t>20250224</t>
        </is>
      </c>
      <c r="M522" s="8" t="inlineStr">
        <is>
          <t>99991231</t>
        </is>
      </c>
      <c r="N522" s="10" t="n">
        <v>178.65</v>
      </c>
      <c r="O522" s="10">
        <f>IFERROR(VLOOKUP(A522,Flete!$A:$J,10,0),"")</f>
        <v/>
      </c>
      <c r="P522" s="8" t="inlineStr">
        <is>
          <t>TN</t>
        </is>
      </c>
      <c r="Q522" s="10">
        <f>IFERROR(IFERROR(VLOOKUP(A522,TRAOPE!$A:$U,21,0),VLOOKUP(B522,TRAOPE!$A:$U,21,0)),"")</f>
        <v/>
      </c>
      <c r="R522" s="8">
        <f>IFERROR(IFERROR(VLOOKUP(A522,TRAOPE!$A:$W,23,0),VLOOKUP(B522,TRAOPE!$A:$W,23,0)),"")</f>
        <v/>
      </c>
      <c r="S522" s="10">
        <f>IF(AND(P522="TN",R522="TN"),N522+N(O522),IF(G522&amp;""="1",N(K522)*N522,(N522+N(O522))*N(K522)))</f>
        <v/>
      </c>
      <c r="T522" s="10">
        <f>IF(Q522="","",Q522-S522)</f>
        <v/>
      </c>
    </row>
    <row r="523">
      <c r="A523" s="7">
        <f>CONCATENATE(C523,E523,F523,I523)</f>
        <v/>
      </c>
      <c r="B523" s="7">
        <f>CONCATENATE(C523,E523,I523)</f>
        <v/>
      </c>
      <c r="C523" s="8" t="n">
        <v>900007868</v>
      </c>
      <c r="D523" s="7">
        <f>IFERROR(VLOOKUP(C523,TRAOPE!$G:$H,2,0),"")</f>
        <v/>
      </c>
      <c r="E523" s="8" t="inlineStr">
        <is>
          <t>DW68</t>
        </is>
      </c>
      <c r="F523" s="8" t="inlineStr">
        <is>
          <t>D251</t>
        </is>
      </c>
      <c r="G523" s="8">
        <f>IFERROR(VLOOKUP(A523,Flete!$A:$E,5,0),"")</f>
        <v/>
      </c>
      <c r="H523" s="7">
        <f>IFERROR(VLOOKUP(F523,TRAOPE!$AA:$AB,2,0),"")</f>
        <v/>
      </c>
      <c r="I523" s="7" t="n">
        <v>10000384</v>
      </c>
      <c r="J523" s="7">
        <f>IFERROR(VLOOKUP(I523,Materiales!$A:$H,8,0),"")</f>
        <v/>
      </c>
      <c r="K523" s="9">
        <f>IFERROR(VLOOKUP(I523,Materiales!$A:$G,7,0),"")</f>
        <v/>
      </c>
      <c r="L523" s="8" t="inlineStr">
        <is>
          <t>20250224</t>
        </is>
      </c>
      <c r="M523" s="8" t="inlineStr">
        <is>
          <t>99991231</t>
        </is>
      </c>
      <c r="N523" s="10" t="n">
        <v>142.24</v>
      </c>
      <c r="O523" s="10">
        <f>IFERROR(VLOOKUP(A523,Flete!$A:$J,10,0),"")</f>
        <v/>
      </c>
      <c r="P523" s="8" t="inlineStr">
        <is>
          <t>TN</t>
        </is>
      </c>
      <c r="Q523" s="10">
        <f>IFERROR(IFERROR(VLOOKUP(A523,TRAOPE!$A:$U,21,0),VLOOKUP(B523,TRAOPE!$A:$U,21,0)),"")</f>
        <v/>
      </c>
      <c r="R523" s="8">
        <f>IFERROR(IFERROR(VLOOKUP(A523,TRAOPE!$A:$W,23,0),VLOOKUP(B523,TRAOPE!$A:$W,23,0)),"")</f>
        <v/>
      </c>
      <c r="S523" s="10">
        <f>IF(AND(P523="TN",R523="TN"),N523+N(O523),IF(G523&amp;""="1",N(K523)*N523,(N523+N(O523))*N(K523)))</f>
        <v/>
      </c>
      <c r="T523" s="10">
        <f>IF(Q523="","",Q523-S523)</f>
        <v/>
      </c>
    </row>
    <row r="524">
      <c r="A524" s="7">
        <f>CONCATENATE(C524,E524,F524,I524)</f>
        <v/>
      </c>
      <c r="B524" s="7">
        <f>CONCATENATE(C524,E524,I524)</f>
        <v/>
      </c>
      <c r="C524" s="8" t="n">
        <v>900007868</v>
      </c>
      <c r="D524" s="7">
        <f>IFERROR(VLOOKUP(C524,TRAOPE!$G:$H,2,0),"")</f>
        <v/>
      </c>
      <c r="E524" s="8" t="inlineStr">
        <is>
          <t>DW68</t>
        </is>
      </c>
      <c r="F524" s="8" t="inlineStr">
        <is>
          <t>D251</t>
        </is>
      </c>
      <c r="G524" s="8">
        <f>IFERROR(VLOOKUP(A524,Flete!$A:$E,5,0),"")</f>
        <v/>
      </c>
      <c r="H524" s="7">
        <f>IFERROR(VLOOKUP(F524,TRAOPE!$AA:$AB,2,0),"")</f>
        <v/>
      </c>
      <c r="I524" s="7" t="n">
        <v>10000388</v>
      </c>
      <c r="J524" s="7">
        <f>IFERROR(VLOOKUP(I524,Materiales!$A:$H,8,0),"")</f>
        <v/>
      </c>
      <c r="K524" s="9">
        <f>IFERROR(VLOOKUP(I524,Materiales!$A:$G,7,0),"")</f>
        <v/>
      </c>
      <c r="L524" s="8" t="inlineStr">
        <is>
          <t>20250224</t>
        </is>
      </c>
      <c r="M524" s="8" t="inlineStr">
        <is>
          <t>99991231</t>
        </is>
      </c>
      <c r="N524" s="10" t="n">
        <v>180.58</v>
      </c>
      <c r="O524" s="10">
        <f>IFERROR(VLOOKUP(A524,Flete!$A:$J,10,0),"")</f>
        <v/>
      </c>
      <c r="P524" s="8" t="inlineStr">
        <is>
          <t>TN</t>
        </is>
      </c>
      <c r="Q524" s="10">
        <f>IFERROR(IFERROR(VLOOKUP(A524,TRAOPE!$A:$U,21,0),VLOOKUP(B524,TRAOPE!$A:$U,21,0)),"")</f>
        <v/>
      </c>
      <c r="R524" s="8">
        <f>IFERROR(IFERROR(VLOOKUP(A524,TRAOPE!$A:$W,23,0),VLOOKUP(B524,TRAOPE!$A:$W,23,0)),"")</f>
        <v/>
      </c>
      <c r="S524" s="10">
        <f>IF(AND(P524="TN",R524="TN"),N524+N(O524),IF(G524&amp;""="1",N(K524)*N524,(N524+N(O524))*N(K524)))</f>
        <v/>
      </c>
      <c r="T524" s="10">
        <f>IF(Q524="","",Q524-S524)</f>
        <v/>
      </c>
    </row>
    <row r="525">
      <c r="A525" s="7">
        <f>CONCATENATE(C525,E525,F525,I525)</f>
        <v/>
      </c>
      <c r="B525" s="7">
        <f>CONCATENATE(C525,E525,I525)</f>
        <v/>
      </c>
      <c r="C525" s="8" t="n">
        <v>900007868</v>
      </c>
      <c r="D525" s="7">
        <f>IFERROR(VLOOKUP(C525,TRAOPE!$G:$H,2,0),"")</f>
        <v/>
      </c>
      <c r="E525" s="8" t="inlineStr">
        <is>
          <t>DW68</t>
        </is>
      </c>
      <c r="F525" s="8" t="inlineStr">
        <is>
          <t>D251</t>
        </is>
      </c>
      <c r="G525" s="8">
        <f>IFERROR(VLOOKUP(A525,Flete!$A:$E,5,0),"")</f>
        <v/>
      </c>
      <c r="H525" s="7">
        <f>IFERROR(VLOOKUP(F525,TRAOPE!$AA:$AB,2,0),"")</f>
        <v/>
      </c>
      <c r="I525" s="7" t="n">
        <v>10004258</v>
      </c>
      <c r="J525" s="7">
        <f>IFERROR(VLOOKUP(I525,Materiales!$A:$H,8,0),"")</f>
        <v/>
      </c>
      <c r="K525" s="9">
        <f>IFERROR(VLOOKUP(I525,Materiales!$A:$G,7,0),"")</f>
        <v/>
      </c>
      <c r="L525" s="8" t="inlineStr">
        <is>
          <t>20250224</t>
        </is>
      </c>
      <c r="M525" s="8" t="inlineStr">
        <is>
          <t>99991231</t>
        </is>
      </c>
      <c r="N525" s="10" t="n">
        <v>209.54</v>
      </c>
      <c r="O525" s="10">
        <f>IFERROR(VLOOKUP(A525,Flete!$A:$J,10,0),"")</f>
        <v/>
      </c>
      <c r="P525" s="8" t="inlineStr">
        <is>
          <t>TN</t>
        </is>
      </c>
      <c r="Q525" s="10">
        <f>IFERROR(IFERROR(VLOOKUP(A525,TRAOPE!$A:$U,21,0),VLOOKUP(B525,TRAOPE!$A:$U,21,0)),"")</f>
        <v/>
      </c>
      <c r="R525" s="8">
        <f>IFERROR(IFERROR(VLOOKUP(A525,TRAOPE!$A:$W,23,0),VLOOKUP(B525,TRAOPE!$A:$W,23,0)),"")</f>
        <v/>
      </c>
      <c r="S525" s="10">
        <f>IF(AND(P525="TN",R525="TN"),N525+N(O525),IF(G525&amp;""="1",N(K525)*N525,(N525+N(O525))*N(K525)))</f>
        <v/>
      </c>
      <c r="T525" s="10">
        <f>IF(Q525="","",Q525-S525)</f>
        <v/>
      </c>
    </row>
    <row r="526">
      <c r="A526" s="7">
        <f>CONCATENATE(C526,E526,F526,I526)</f>
        <v/>
      </c>
      <c r="B526" s="7">
        <f>CONCATENATE(C526,E526,I526)</f>
        <v/>
      </c>
      <c r="C526" s="8" t="n">
        <v>900007868</v>
      </c>
      <c r="D526" s="7">
        <f>IFERROR(VLOOKUP(C526,TRAOPE!$G:$H,2,0),"")</f>
        <v/>
      </c>
      <c r="E526" s="8" t="inlineStr">
        <is>
          <t>DW68</t>
        </is>
      </c>
      <c r="F526" s="8" t="inlineStr">
        <is>
          <t>D264</t>
        </is>
      </c>
      <c r="G526" s="8">
        <f>IFERROR(VLOOKUP(A526,Flete!$A:$E,5,0),"")</f>
        <v/>
      </c>
      <c r="H526" s="7">
        <f>IFERROR(VLOOKUP(F526,TRAOPE!$AA:$AB,2,0),"")</f>
        <v/>
      </c>
      <c r="I526" s="7" t="n">
        <v>10000191</v>
      </c>
      <c r="J526" s="7">
        <f>IFERROR(VLOOKUP(I526,Materiales!$A:$H,8,0),"")</f>
        <v/>
      </c>
      <c r="K526" s="9">
        <f>IFERROR(VLOOKUP(I526,Materiales!$A:$G,7,0),"")</f>
        <v/>
      </c>
      <c r="L526" s="8" t="inlineStr">
        <is>
          <t>20250224</t>
        </is>
      </c>
      <c r="M526" s="8" t="inlineStr">
        <is>
          <t>99991231</t>
        </is>
      </c>
      <c r="N526" s="10" t="n">
        <v>178.65</v>
      </c>
      <c r="O526" s="10">
        <f>IFERROR(VLOOKUP(A526,Flete!$A:$J,10,0),"")</f>
        <v/>
      </c>
      <c r="P526" s="8" t="inlineStr">
        <is>
          <t>TN</t>
        </is>
      </c>
      <c r="Q526" s="10">
        <f>IFERROR(IFERROR(VLOOKUP(A526,TRAOPE!$A:$U,21,0),VLOOKUP(B526,TRAOPE!$A:$U,21,0)),"")</f>
        <v/>
      </c>
      <c r="R526" s="8">
        <f>IFERROR(IFERROR(VLOOKUP(A526,TRAOPE!$A:$W,23,0),VLOOKUP(B526,TRAOPE!$A:$W,23,0)),"")</f>
        <v/>
      </c>
      <c r="S526" s="10">
        <f>IF(AND(P526="TN",R526="TN"),N526+N(O526),IF(G526&amp;""="1",N(K526)*N526,(N526+N(O526))*N(K526)))</f>
        <v/>
      </c>
      <c r="T526" s="10">
        <f>IF(Q526="","",Q526-S526)</f>
        <v/>
      </c>
    </row>
    <row r="527">
      <c r="A527" s="7">
        <f>CONCATENATE(C527,E527,F527,I527)</f>
        <v/>
      </c>
      <c r="B527" s="7">
        <f>CONCATENATE(C527,E527,I527)</f>
        <v/>
      </c>
      <c r="C527" s="8" t="n">
        <v>900007868</v>
      </c>
      <c r="D527" s="7">
        <f>IFERROR(VLOOKUP(C527,TRAOPE!$G:$H,2,0),"")</f>
        <v/>
      </c>
      <c r="E527" s="8" t="inlineStr">
        <is>
          <t>DW68</t>
        </is>
      </c>
      <c r="F527" s="8" t="inlineStr">
        <is>
          <t>D264</t>
        </is>
      </c>
      <c r="G527" s="8">
        <f>IFERROR(VLOOKUP(A527,Flete!$A:$E,5,0),"")</f>
        <v/>
      </c>
      <c r="H527" s="7">
        <f>IFERROR(VLOOKUP(F527,TRAOPE!$AA:$AB,2,0),"")</f>
        <v/>
      </c>
      <c r="I527" s="7" t="n">
        <v>10000384</v>
      </c>
      <c r="J527" s="7">
        <f>IFERROR(VLOOKUP(I527,Materiales!$A:$H,8,0),"")</f>
        <v/>
      </c>
      <c r="K527" s="9">
        <f>IFERROR(VLOOKUP(I527,Materiales!$A:$G,7,0),"")</f>
        <v/>
      </c>
      <c r="L527" s="8" t="inlineStr">
        <is>
          <t>20250224</t>
        </is>
      </c>
      <c r="M527" s="8" t="inlineStr">
        <is>
          <t>99991231</t>
        </is>
      </c>
      <c r="N527" s="10" t="n">
        <v>142.24</v>
      </c>
      <c r="O527" s="10">
        <f>IFERROR(VLOOKUP(A527,Flete!$A:$J,10,0),"")</f>
        <v/>
      </c>
      <c r="P527" s="8" t="inlineStr">
        <is>
          <t>TN</t>
        </is>
      </c>
      <c r="Q527" s="10">
        <f>IFERROR(IFERROR(VLOOKUP(A527,TRAOPE!$A:$U,21,0),VLOOKUP(B527,TRAOPE!$A:$U,21,0)),"")</f>
        <v/>
      </c>
      <c r="R527" s="8">
        <f>IFERROR(IFERROR(VLOOKUP(A527,TRAOPE!$A:$W,23,0),VLOOKUP(B527,TRAOPE!$A:$W,23,0)),"")</f>
        <v/>
      </c>
      <c r="S527" s="10">
        <f>IF(AND(P527="TN",R527="TN"),N527+N(O527),IF(G527&amp;""="1",N(K527)*N527,(N527+N(O527))*N(K527)))</f>
        <v/>
      </c>
      <c r="T527" s="10">
        <f>IF(Q527="","",Q527-S527)</f>
        <v/>
      </c>
    </row>
    <row r="528">
      <c r="A528" s="7">
        <f>CONCATENATE(C528,E528,F528,I528)</f>
        <v/>
      </c>
      <c r="B528" s="7">
        <f>CONCATENATE(C528,E528,I528)</f>
        <v/>
      </c>
      <c r="C528" s="8" t="n">
        <v>900007868</v>
      </c>
      <c r="D528" s="7">
        <f>IFERROR(VLOOKUP(C528,TRAOPE!$G:$H,2,0),"")</f>
        <v/>
      </c>
      <c r="E528" s="8" t="inlineStr">
        <is>
          <t>DW68</t>
        </is>
      </c>
      <c r="F528" s="8" t="inlineStr">
        <is>
          <t>D264</t>
        </is>
      </c>
      <c r="G528" s="8">
        <f>IFERROR(VLOOKUP(A528,Flete!$A:$E,5,0),"")</f>
        <v/>
      </c>
      <c r="H528" s="7">
        <f>IFERROR(VLOOKUP(F528,TRAOPE!$AA:$AB,2,0),"")</f>
        <v/>
      </c>
      <c r="I528" s="7" t="n">
        <v>10000388</v>
      </c>
      <c r="J528" s="7">
        <f>IFERROR(VLOOKUP(I528,Materiales!$A:$H,8,0),"")</f>
        <v/>
      </c>
      <c r="K528" s="9">
        <f>IFERROR(VLOOKUP(I528,Materiales!$A:$G,7,0),"")</f>
        <v/>
      </c>
      <c r="L528" s="8" t="inlineStr">
        <is>
          <t>20250224</t>
        </is>
      </c>
      <c r="M528" s="8" t="inlineStr">
        <is>
          <t>99991231</t>
        </is>
      </c>
      <c r="N528" s="10" t="n">
        <v>180.58</v>
      </c>
      <c r="O528" s="10">
        <f>IFERROR(VLOOKUP(A528,Flete!$A:$J,10,0),"")</f>
        <v/>
      </c>
      <c r="P528" s="8" t="inlineStr">
        <is>
          <t>TN</t>
        </is>
      </c>
      <c r="Q528" s="10">
        <f>IFERROR(IFERROR(VLOOKUP(A528,TRAOPE!$A:$U,21,0),VLOOKUP(B528,TRAOPE!$A:$U,21,0)),"")</f>
        <v/>
      </c>
      <c r="R528" s="8">
        <f>IFERROR(IFERROR(VLOOKUP(A528,TRAOPE!$A:$W,23,0),VLOOKUP(B528,TRAOPE!$A:$W,23,0)),"")</f>
        <v/>
      </c>
      <c r="S528" s="10">
        <f>IF(AND(P528="TN",R528="TN"),N528+N(O528),IF(G528&amp;""="1",N(K528)*N528,(N528+N(O528))*N(K528)))</f>
        <v/>
      </c>
      <c r="T528" s="10">
        <f>IF(Q528="","",Q528-S528)</f>
        <v/>
      </c>
    </row>
    <row r="529">
      <c r="A529" s="7">
        <f>CONCATENATE(C529,E529,F529,I529)</f>
        <v/>
      </c>
      <c r="B529" s="7">
        <f>CONCATENATE(C529,E529,I529)</f>
        <v/>
      </c>
      <c r="C529" s="8" t="n">
        <v>900007868</v>
      </c>
      <c r="D529" s="7">
        <f>IFERROR(VLOOKUP(C529,TRAOPE!$G:$H,2,0),"")</f>
        <v/>
      </c>
      <c r="E529" s="8" t="inlineStr">
        <is>
          <t>DW68</t>
        </is>
      </c>
      <c r="F529" s="8" t="inlineStr">
        <is>
          <t>D264</t>
        </is>
      </c>
      <c r="G529" s="8">
        <f>IFERROR(VLOOKUP(A529,Flete!$A:$E,5,0),"")</f>
        <v/>
      </c>
      <c r="H529" s="7">
        <f>IFERROR(VLOOKUP(F529,TRAOPE!$AA:$AB,2,0),"")</f>
        <v/>
      </c>
      <c r="I529" s="7" t="n">
        <v>10004258</v>
      </c>
      <c r="J529" s="7">
        <f>IFERROR(VLOOKUP(I529,Materiales!$A:$H,8,0),"")</f>
        <v/>
      </c>
      <c r="K529" s="9">
        <f>IFERROR(VLOOKUP(I529,Materiales!$A:$G,7,0),"")</f>
        <v/>
      </c>
      <c r="L529" s="8" t="inlineStr">
        <is>
          <t>20250224</t>
        </is>
      </c>
      <c r="M529" s="8" t="inlineStr">
        <is>
          <t>99991231</t>
        </is>
      </c>
      <c r="N529" s="10" t="n">
        <v>209.54</v>
      </c>
      <c r="O529" s="10">
        <f>IFERROR(VLOOKUP(A529,Flete!$A:$J,10,0),"")</f>
        <v/>
      </c>
      <c r="P529" s="8" t="inlineStr">
        <is>
          <t>TN</t>
        </is>
      </c>
      <c r="Q529" s="10">
        <f>IFERROR(IFERROR(VLOOKUP(A529,TRAOPE!$A:$U,21,0),VLOOKUP(B529,TRAOPE!$A:$U,21,0)),"")</f>
        <v/>
      </c>
      <c r="R529" s="8">
        <f>IFERROR(IFERROR(VLOOKUP(A529,TRAOPE!$A:$W,23,0),VLOOKUP(B529,TRAOPE!$A:$W,23,0)),"")</f>
        <v/>
      </c>
      <c r="S529" s="10">
        <f>IF(AND(P529="TN",R529="TN"),N529+N(O529),IF(G529&amp;""="1",N(K529)*N529,(N529+N(O529))*N(K529)))</f>
        <v/>
      </c>
      <c r="T529" s="10">
        <f>IF(Q529="","",Q529-S529)</f>
        <v/>
      </c>
    </row>
    <row r="530">
      <c r="A530" s="7">
        <f>CONCATENATE(C530,E530,F530,I530)</f>
        <v/>
      </c>
      <c r="B530" s="7">
        <f>CONCATENATE(C530,E530,I530)</f>
        <v/>
      </c>
      <c r="C530" s="8" t="n">
        <v>900007868</v>
      </c>
      <c r="D530" s="7">
        <f>IFERROR(VLOOKUP(C530,TRAOPE!$G:$H,2,0),"")</f>
        <v/>
      </c>
      <c r="E530" s="8" t="inlineStr">
        <is>
          <t>DW68</t>
        </is>
      </c>
      <c r="F530" s="8" t="inlineStr">
        <is>
          <t>D267</t>
        </is>
      </c>
      <c r="G530" s="8">
        <f>IFERROR(VLOOKUP(A530,Flete!$A:$E,5,0),"")</f>
        <v/>
      </c>
      <c r="H530" s="7">
        <f>IFERROR(VLOOKUP(F530,TRAOPE!$AA:$AB,2,0),"")</f>
        <v/>
      </c>
      <c r="I530" s="7" t="n">
        <v>10000191</v>
      </c>
      <c r="J530" s="7">
        <f>IFERROR(VLOOKUP(I530,Materiales!$A:$H,8,0),"")</f>
        <v/>
      </c>
      <c r="K530" s="9">
        <f>IFERROR(VLOOKUP(I530,Materiales!$A:$G,7,0),"")</f>
        <v/>
      </c>
      <c r="L530" s="8" t="inlineStr">
        <is>
          <t>20250224</t>
        </is>
      </c>
      <c r="M530" s="8" t="inlineStr">
        <is>
          <t>99991231</t>
        </is>
      </c>
      <c r="N530" s="10" t="n">
        <v>178.65</v>
      </c>
      <c r="O530" s="10">
        <f>IFERROR(VLOOKUP(A530,Flete!$A:$J,10,0),"")</f>
        <v/>
      </c>
      <c r="P530" s="8" t="inlineStr">
        <is>
          <t>TN</t>
        </is>
      </c>
      <c r="Q530" s="10">
        <f>IFERROR(IFERROR(VLOOKUP(A530,TRAOPE!$A:$U,21,0),VLOOKUP(B530,TRAOPE!$A:$U,21,0)),"")</f>
        <v/>
      </c>
      <c r="R530" s="8">
        <f>IFERROR(IFERROR(VLOOKUP(A530,TRAOPE!$A:$W,23,0),VLOOKUP(B530,TRAOPE!$A:$W,23,0)),"")</f>
        <v/>
      </c>
      <c r="S530" s="10">
        <f>IF(AND(P530="TN",R530="TN"),N530+N(O530),IF(G530&amp;""="1",N(K530)*N530,(N530+N(O530))*N(K530)))</f>
        <v/>
      </c>
      <c r="T530" s="10">
        <f>IF(Q530="","",Q530-S530)</f>
        <v/>
      </c>
    </row>
    <row r="531">
      <c r="A531" s="7">
        <f>CONCATENATE(C531,E531,F531,I531)</f>
        <v/>
      </c>
      <c r="B531" s="7">
        <f>CONCATENATE(C531,E531,I531)</f>
        <v/>
      </c>
      <c r="C531" s="8" t="n">
        <v>900007868</v>
      </c>
      <c r="D531" s="7">
        <f>IFERROR(VLOOKUP(C531,TRAOPE!$G:$H,2,0),"")</f>
        <v/>
      </c>
      <c r="E531" s="8" t="inlineStr">
        <is>
          <t>DW68</t>
        </is>
      </c>
      <c r="F531" s="8" t="inlineStr">
        <is>
          <t>D267</t>
        </is>
      </c>
      <c r="G531" s="8">
        <f>IFERROR(VLOOKUP(A531,Flete!$A:$E,5,0),"")</f>
        <v/>
      </c>
      <c r="H531" s="7">
        <f>IFERROR(VLOOKUP(F531,TRAOPE!$AA:$AB,2,0),"")</f>
        <v/>
      </c>
      <c r="I531" s="7" t="n">
        <v>10000384</v>
      </c>
      <c r="J531" s="7">
        <f>IFERROR(VLOOKUP(I531,Materiales!$A:$H,8,0),"")</f>
        <v/>
      </c>
      <c r="K531" s="9">
        <f>IFERROR(VLOOKUP(I531,Materiales!$A:$G,7,0),"")</f>
        <v/>
      </c>
      <c r="L531" s="8" t="inlineStr">
        <is>
          <t>20250224</t>
        </is>
      </c>
      <c r="M531" s="8" t="inlineStr">
        <is>
          <t>99991231</t>
        </is>
      </c>
      <c r="N531" s="10" t="n">
        <v>142.24</v>
      </c>
      <c r="O531" s="10">
        <f>IFERROR(VLOOKUP(A531,Flete!$A:$J,10,0),"")</f>
        <v/>
      </c>
      <c r="P531" s="8" t="inlineStr">
        <is>
          <t>TN</t>
        </is>
      </c>
      <c r="Q531" s="10">
        <f>IFERROR(IFERROR(VLOOKUP(A531,TRAOPE!$A:$U,21,0),VLOOKUP(B531,TRAOPE!$A:$U,21,0)),"")</f>
        <v/>
      </c>
      <c r="R531" s="8">
        <f>IFERROR(IFERROR(VLOOKUP(A531,TRAOPE!$A:$W,23,0),VLOOKUP(B531,TRAOPE!$A:$W,23,0)),"")</f>
        <v/>
      </c>
      <c r="S531" s="10">
        <f>IF(AND(P531="TN",R531="TN"),N531+N(O531),IF(G531&amp;""="1",N(K531)*N531,(N531+N(O531))*N(K531)))</f>
        <v/>
      </c>
      <c r="T531" s="10">
        <f>IF(Q531="","",Q531-S531)</f>
        <v/>
      </c>
    </row>
    <row r="532">
      <c r="A532" s="7">
        <f>CONCATENATE(C532,E532,F532,I532)</f>
        <v/>
      </c>
      <c r="B532" s="7">
        <f>CONCATENATE(C532,E532,I532)</f>
        <v/>
      </c>
      <c r="C532" s="8" t="n">
        <v>900007868</v>
      </c>
      <c r="D532" s="7">
        <f>IFERROR(VLOOKUP(C532,TRAOPE!$G:$H,2,0),"")</f>
        <v/>
      </c>
      <c r="E532" s="8" t="inlineStr">
        <is>
          <t>DW68</t>
        </is>
      </c>
      <c r="F532" s="8" t="inlineStr">
        <is>
          <t>D267</t>
        </is>
      </c>
      <c r="G532" s="8">
        <f>IFERROR(VLOOKUP(A532,Flete!$A:$E,5,0),"")</f>
        <v/>
      </c>
      <c r="H532" s="7">
        <f>IFERROR(VLOOKUP(F532,TRAOPE!$AA:$AB,2,0),"")</f>
        <v/>
      </c>
      <c r="I532" s="7" t="n">
        <v>10000388</v>
      </c>
      <c r="J532" s="7">
        <f>IFERROR(VLOOKUP(I532,Materiales!$A:$H,8,0),"")</f>
        <v/>
      </c>
      <c r="K532" s="9">
        <f>IFERROR(VLOOKUP(I532,Materiales!$A:$G,7,0),"")</f>
        <v/>
      </c>
      <c r="L532" s="8" t="inlineStr">
        <is>
          <t>20250224</t>
        </is>
      </c>
      <c r="M532" s="8" t="inlineStr">
        <is>
          <t>99991231</t>
        </is>
      </c>
      <c r="N532" s="10" t="n">
        <v>180.58</v>
      </c>
      <c r="O532" s="10">
        <f>IFERROR(VLOOKUP(A532,Flete!$A:$J,10,0),"")</f>
        <v/>
      </c>
      <c r="P532" s="8" t="inlineStr">
        <is>
          <t>TN</t>
        </is>
      </c>
      <c r="Q532" s="10">
        <f>IFERROR(IFERROR(VLOOKUP(A532,TRAOPE!$A:$U,21,0),VLOOKUP(B532,TRAOPE!$A:$U,21,0)),"")</f>
        <v/>
      </c>
      <c r="R532" s="8">
        <f>IFERROR(IFERROR(VLOOKUP(A532,TRAOPE!$A:$W,23,0),VLOOKUP(B532,TRAOPE!$A:$W,23,0)),"")</f>
        <v/>
      </c>
      <c r="S532" s="10">
        <f>IF(AND(P532="TN",R532="TN"),N532+N(O532),IF(G532&amp;""="1",N(K532)*N532,(N532+N(O532))*N(K532)))</f>
        <v/>
      </c>
      <c r="T532" s="10">
        <f>IF(Q532="","",Q532-S532)</f>
        <v/>
      </c>
    </row>
    <row r="533">
      <c r="A533" s="7">
        <f>CONCATENATE(C533,E533,F533,I533)</f>
        <v/>
      </c>
      <c r="B533" s="7">
        <f>CONCATENATE(C533,E533,I533)</f>
        <v/>
      </c>
      <c r="C533" s="8" t="n">
        <v>900007868</v>
      </c>
      <c r="D533" s="7">
        <f>IFERROR(VLOOKUP(C533,TRAOPE!$G:$H,2,0),"")</f>
        <v/>
      </c>
      <c r="E533" s="8" t="inlineStr">
        <is>
          <t>DW68</t>
        </is>
      </c>
      <c r="F533" s="8" t="inlineStr">
        <is>
          <t>D267</t>
        </is>
      </c>
      <c r="G533" s="8">
        <f>IFERROR(VLOOKUP(A533,Flete!$A:$E,5,0),"")</f>
        <v/>
      </c>
      <c r="H533" s="7">
        <f>IFERROR(VLOOKUP(F533,TRAOPE!$AA:$AB,2,0),"")</f>
        <v/>
      </c>
      <c r="I533" s="7" t="n">
        <v>10004258</v>
      </c>
      <c r="J533" s="7">
        <f>IFERROR(VLOOKUP(I533,Materiales!$A:$H,8,0),"")</f>
        <v/>
      </c>
      <c r="K533" s="9">
        <f>IFERROR(VLOOKUP(I533,Materiales!$A:$G,7,0),"")</f>
        <v/>
      </c>
      <c r="L533" s="8" t="inlineStr">
        <is>
          <t>20250224</t>
        </is>
      </c>
      <c r="M533" s="8" t="inlineStr">
        <is>
          <t>99991231</t>
        </is>
      </c>
      <c r="N533" s="10" t="n">
        <v>209.54</v>
      </c>
      <c r="O533" s="10">
        <f>IFERROR(VLOOKUP(A533,Flete!$A:$J,10,0),"")</f>
        <v/>
      </c>
      <c r="P533" s="8" t="inlineStr">
        <is>
          <t>TN</t>
        </is>
      </c>
      <c r="Q533" s="10">
        <f>IFERROR(IFERROR(VLOOKUP(A533,TRAOPE!$A:$U,21,0),VLOOKUP(B533,TRAOPE!$A:$U,21,0)),"")</f>
        <v/>
      </c>
      <c r="R533" s="8">
        <f>IFERROR(IFERROR(VLOOKUP(A533,TRAOPE!$A:$W,23,0),VLOOKUP(B533,TRAOPE!$A:$W,23,0)),"")</f>
        <v/>
      </c>
      <c r="S533" s="10">
        <f>IF(AND(P533="TN",R533="TN"),N533+N(O533),IF(G533&amp;""="1",N(K533)*N533,(N533+N(O533))*N(K533)))</f>
        <v/>
      </c>
      <c r="T533" s="10">
        <f>IF(Q533="","",Q533-S533)</f>
        <v/>
      </c>
    </row>
    <row r="534">
      <c r="A534" s="7">
        <f>CONCATENATE(C534,E534,F534,I534)</f>
        <v/>
      </c>
      <c r="B534" s="7">
        <f>CONCATENATE(C534,E534,I534)</f>
        <v/>
      </c>
      <c r="C534" s="8" t="n">
        <v>900008211</v>
      </c>
      <c r="D534" s="7">
        <f>IFERROR(VLOOKUP(C534,TRAOPE!$G:$H,2,0),"")</f>
        <v/>
      </c>
      <c r="E534" s="8" t="inlineStr">
        <is>
          <t>DW68</t>
        </is>
      </c>
      <c r="F534" s="8" t="inlineStr">
        <is>
          <t>D042</t>
        </is>
      </c>
      <c r="G534" s="8">
        <f>IFERROR(VLOOKUP(A534,Flete!$A:$E,5,0),"")</f>
        <v/>
      </c>
      <c r="H534" s="7">
        <f>IFERROR(VLOOKUP(F534,TRAOPE!$AA:$AB,2,0),"")</f>
        <v/>
      </c>
      <c r="I534" s="7" t="n">
        <v>10000384</v>
      </c>
      <c r="J534" s="7">
        <f>IFERROR(VLOOKUP(I534,Materiales!$A:$H,8,0),"")</f>
        <v/>
      </c>
      <c r="K534" s="9">
        <f>IFERROR(VLOOKUP(I534,Materiales!$A:$G,7,0),"")</f>
        <v/>
      </c>
      <c r="L534" s="8" t="inlineStr">
        <is>
          <t>20240201</t>
        </is>
      </c>
      <c r="M534" s="8" t="inlineStr">
        <is>
          <t>20251031</t>
        </is>
      </c>
      <c r="N534" s="10" t="n">
        <v>166.93</v>
      </c>
      <c r="O534" s="10">
        <f>IFERROR(VLOOKUP(A534,Flete!$A:$J,10,0),"")</f>
        <v/>
      </c>
      <c r="P534" s="8" t="inlineStr">
        <is>
          <t>TN</t>
        </is>
      </c>
      <c r="Q534" s="10">
        <f>IFERROR(IFERROR(VLOOKUP(A534,TRAOPE!$A:$U,21,0),VLOOKUP(B534,TRAOPE!$A:$U,21,0)),"")</f>
        <v/>
      </c>
      <c r="R534" s="8">
        <f>IFERROR(IFERROR(VLOOKUP(A534,TRAOPE!$A:$W,23,0),VLOOKUP(B534,TRAOPE!$A:$W,23,0)),"")</f>
        <v/>
      </c>
      <c r="S534" s="10">
        <f>IF(AND(P534="TN",R534="TN"),N534+N(O534),IF(G534&amp;""="1",N(K534)*N534,(N534+N(O534))*N(K534)))</f>
        <v/>
      </c>
      <c r="T534" s="10">
        <f>IF(Q534="","",Q534-S534)</f>
        <v/>
      </c>
    </row>
    <row r="535">
      <c r="A535" s="7">
        <f>CONCATENATE(C535,E535,F535,I535)</f>
        <v/>
      </c>
      <c r="B535" s="7">
        <f>CONCATENATE(C535,E535,I535)</f>
        <v/>
      </c>
      <c r="C535" s="8" t="n">
        <v>900008211</v>
      </c>
      <c r="D535" s="7">
        <f>IFERROR(VLOOKUP(C535,TRAOPE!$G:$H,2,0),"")</f>
        <v/>
      </c>
      <c r="E535" s="8" t="inlineStr">
        <is>
          <t>DW68</t>
        </is>
      </c>
      <c r="F535" s="8" t="inlineStr">
        <is>
          <t>D209</t>
        </is>
      </c>
      <c r="G535" s="8">
        <f>IFERROR(VLOOKUP(A535,Flete!$A:$E,5,0),"")</f>
        <v/>
      </c>
      <c r="H535" s="7">
        <f>IFERROR(VLOOKUP(F535,TRAOPE!$AA:$AB,2,0),"")</f>
        <v/>
      </c>
      <c r="I535" s="7" t="n">
        <v>10000384</v>
      </c>
      <c r="J535" s="7">
        <f>IFERROR(VLOOKUP(I535,Materiales!$A:$H,8,0),"")</f>
        <v/>
      </c>
      <c r="K535" s="9">
        <f>IFERROR(VLOOKUP(I535,Materiales!$A:$G,7,0),"")</f>
        <v/>
      </c>
      <c r="L535" s="8" t="inlineStr">
        <is>
          <t>20240201</t>
        </is>
      </c>
      <c r="M535" s="8" t="inlineStr">
        <is>
          <t>20251031</t>
        </is>
      </c>
      <c r="N535" s="10" t="n">
        <v>166.93</v>
      </c>
      <c r="O535" s="10">
        <f>IFERROR(VLOOKUP(A535,Flete!$A:$J,10,0),"")</f>
        <v/>
      </c>
      <c r="P535" s="8" t="inlineStr">
        <is>
          <t>TN</t>
        </is>
      </c>
      <c r="Q535" s="10">
        <f>IFERROR(IFERROR(VLOOKUP(A535,TRAOPE!$A:$U,21,0),VLOOKUP(B535,TRAOPE!$A:$U,21,0)),"")</f>
        <v/>
      </c>
      <c r="R535" s="8">
        <f>IFERROR(IFERROR(VLOOKUP(A535,TRAOPE!$A:$W,23,0),VLOOKUP(B535,TRAOPE!$A:$W,23,0)),"")</f>
        <v/>
      </c>
      <c r="S535" s="10">
        <f>IF(AND(P535="TN",R535="TN"),N535+N(O535),IF(G535&amp;""="1",N(K535)*N535,(N535+N(O535))*N(K535)))</f>
        <v/>
      </c>
      <c r="T535" s="10">
        <f>IF(Q535="","",Q535-S535)</f>
        <v/>
      </c>
    </row>
    <row r="536">
      <c r="A536" s="7">
        <f>CONCATENATE(C536,E536,F536,I536)</f>
        <v/>
      </c>
      <c r="B536" s="7">
        <f>CONCATENATE(C536,E536,I536)</f>
        <v/>
      </c>
      <c r="C536" s="8" t="n">
        <v>900008211</v>
      </c>
      <c r="D536" s="7">
        <f>IFERROR(VLOOKUP(C536,TRAOPE!$G:$H,2,0),"")</f>
        <v/>
      </c>
      <c r="E536" s="8" t="inlineStr">
        <is>
          <t>DW68</t>
        </is>
      </c>
      <c r="F536" s="8" t="inlineStr">
        <is>
          <t>D211</t>
        </is>
      </c>
      <c r="G536" s="8">
        <f>IFERROR(VLOOKUP(A536,Flete!$A:$E,5,0),"")</f>
        <v/>
      </c>
      <c r="H536" s="7">
        <f>IFERROR(VLOOKUP(F536,TRAOPE!$AA:$AB,2,0),"")</f>
        <v/>
      </c>
      <c r="I536" s="7" t="n">
        <v>10000384</v>
      </c>
      <c r="J536" s="7">
        <f>IFERROR(VLOOKUP(I536,Materiales!$A:$H,8,0),"")</f>
        <v/>
      </c>
      <c r="K536" s="9">
        <f>IFERROR(VLOOKUP(I536,Materiales!$A:$G,7,0),"")</f>
        <v/>
      </c>
      <c r="L536" s="8" t="inlineStr">
        <is>
          <t>20240201</t>
        </is>
      </c>
      <c r="M536" s="8" t="inlineStr">
        <is>
          <t>20251031</t>
        </is>
      </c>
      <c r="N536" s="10" t="n">
        <v>166.93</v>
      </c>
      <c r="O536" s="10">
        <f>IFERROR(VLOOKUP(A536,Flete!$A:$J,10,0),"")</f>
        <v/>
      </c>
      <c r="P536" s="8" t="inlineStr">
        <is>
          <t>TN</t>
        </is>
      </c>
      <c r="Q536" s="10">
        <f>IFERROR(IFERROR(VLOOKUP(A536,TRAOPE!$A:$U,21,0),VLOOKUP(B536,TRAOPE!$A:$U,21,0)),"")</f>
        <v/>
      </c>
      <c r="R536" s="8">
        <f>IFERROR(IFERROR(VLOOKUP(A536,TRAOPE!$A:$W,23,0),VLOOKUP(B536,TRAOPE!$A:$W,23,0)),"")</f>
        <v/>
      </c>
      <c r="S536" s="10">
        <f>IF(AND(P536="TN",R536="TN"),N536+N(O536),IF(G536&amp;""="1",N(K536)*N536,(N536+N(O536))*N(K536)))</f>
        <v/>
      </c>
      <c r="T536" s="10">
        <f>IF(Q536="","",Q536-S536)</f>
        <v/>
      </c>
    </row>
    <row r="537">
      <c r="A537" s="7">
        <f>CONCATENATE(C537,E537,F537,I537)</f>
        <v/>
      </c>
      <c r="B537" s="7">
        <f>CONCATENATE(C537,E537,I537)</f>
        <v/>
      </c>
      <c r="C537" s="8" t="n">
        <v>900008211</v>
      </c>
      <c r="D537" s="7">
        <f>IFERROR(VLOOKUP(C537,TRAOPE!$G:$H,2,0),"")</f>
        <v/>
      </c>
      <c r="E537" s="8" t="inlineStr">
        <is>
          <t>DW68</t>
        </is>
      </c>
      <c r="F537" s="8" t="inlineStr">
        <is>
          <t>D213</t>
        </is>
      </c>
      <c r="G537" s="8">
        <f>IFERROR(VLOOKUP(A537,Flete!$A:$E,5,0),"")</f>
        <v/>
      </c>
      <c r="H537" s="7">
        <f>IFERROR(VLOOKUP(F537,TRAOPE!$AA:$AB,2,0),"")</f>
        <v/>
      </c>
      <c r="I537" s="7" t="n">
        <v>10000384</v>
      </c>
      <c r="J537" s="7">
        <f>IFERROR(VLOOKUP(I537,Materiales!$A:$H,8,0),"")</f>
        <v/>
      </c>
      <c r="K537" s="9">
        <f>IFERROR(VLOOKUP(I537,Materiales!$A:$G,7,0),"")</f>
        <v/>
      </c>
      <c r="L537" s="8" t="inlineStr">
        <is>
          <t>20240201</t>
        </is>
      </c>
      <c r="M537" s="8" t="inlineStr">
        <is>
          <t>20251031</t>
        </is>
      </c>
      <c r="N537" s="10" t="n">
        <v>166.93</v>
      </c>
      <c r="O537" s="10">
        <f>IFERROR(VLOOKUP(A537,Flete!$A:$J,10,0),"")</f>
        <v/>
      </c>
      <c r="P537" s="8" t="inlineStr">
        <is>
          <t>TN</t>
        </is>
      </c>
      <c r="Q537" s="10">
        <f>IFERROR(IFERROR(VLOOKUP(A537,TRAOPE!$A:$U,21,0),VLOOKUP(B537,TRAOPE!$A:$U,21,0)),"")</f>
        <v/>
      </c>
      <c r="R537" s="8">
        <f>IFERROR(IFERROR(VLOOKUP(A537,TRAOPE!$A:$W,23,0),VLOOKUP(B537,TRAOPE!$A:$W,23,0)),"")</f>
        <v/>
      </c>
      <c r="S537" s="10">
        <f>IF(AND(P537="TN",R537="TN"),N537+N(O537),IF(G537&amp;""="1",N(K537)*N537,(N537+N(O537))*N(K537)))</f>
        <v/>
      </c>
      <c r="T537" s="10">
        <f>IF(Q537="","",Q537-S537)</f>
        <v/>
      </c>
    </row>
    <row r="538">
      <c r="A538" s="7">
        <f>CONCATENATE(C538,E538,F538,I538)</f>
        <v/>
      </c>
      <c r="B538" s="7">
        <f>CONCATENATE(C538,E538,I538)</f>
        <v/>
      </c>
      <c r="C538" s="8" t="n">
        <v>900008211</v>
      </c>
      <c r="D538" s="7">
        <f>IFERROR(VLOOKUP(C538,TRAOPE!$G:$H,2,0),"")</f>
        <v/>
      </c>
      <c r="E538" s="8" t="inlineStr">
        <is>
          <t>DW68</t>
        </is>
      </c>
      <c r="F538" s="8" t="inlineStr">
        <is>
          <t>D220</t>
        </is>
      </c>
      <c r="G538" s="8">
        <f>IFERROR(VLOOKUP(A538,Flete!$A:$E,5,0),"")</f>
        <v/>
      </c>
      <c r="H538" s="7">
        <f>IFERROR(VLOOKUP(F538,TRAOPE!$AA:$AB,2,0),"")</f>
        <v/>
      </c>
      <c r="I538" s="7" t="n">
        <v>10000384</v>
      </c>
      <c r="J538" s="7">
        <f>IFERROR(VLOOKUP(I538,Materiales!$A:$H,8,0),"")</f>
        <v/>
      </c>
      <c r="K538" s="9">
        <f>IFERROR(VLOOKUP(I538,Materiales!$A:$G,7,0),"")</f>
        <v/>
      </c>
      <c r="L538" s="8" t="inlineStr">
        <is>
          <t>20240201</t>
        </is>
      </c>
      <c r="M538" s="8" t="inlineStr">
        <is>
          <t>20251031</t>
        </is>
      </c>
      <c r="N538" s="10" t="n">
        <v>166.93</v>
      </c>
      <c r="O538" s="10">
        <f>IFERROR(VLOOKUP(A538,Flete!$A:$J,10,0),"")</f>
        <v/>
      </c>
      <c r="P538" s="8" t="inlineStr">
        <is>
          <t>TN</t>
        </is>
      </c>
      <c r="Q538" s="10">
        <f>IFERROR(IFERROR(VLOOKUP(A538,TRAOPE!$A:$U,21,0),VLOOKUP(B538,TRAOPE!$A:$U,21,0)),"")</f>
        <v/>
      </c>
      <c r="R538" s="8">
        <f>IFERROR(IFERROR(VLOOKUP(A538,TRAOPE!$A:$W,23,0),VLOOKUP(B538,TRAOPE!$A:$W,23,0)),"")</f>
        <v/>
      </c>
      <c r="S538" s="10">
        <f>IF(AND(P538="TN",R538="TN"),N538+N(O538),IF(G538&amp;""="1",N(K538)*N538,(N538+N(O538))*N(K538)))</f>
        <v/>
      </c>
      <c r="T538" s="10">
        <f>IF(Q538="","",Q538-S538)</f>
        <v/>
      </c>
    </row>
    <row r="539">
      <c r="A539" s="7">
        <f>CONCATENATE(C539,E539,F539,I539)</f>
        <v/>
      </c>
      <c r="B539" s="7">
        <f>CONCATENATE(C539,E539,I539)</f>
        <v/>
      </c>
      <c r="C539" s="8" t="n">
        <v>900008211</v>
      </c>
      <c r="D539" s="7">
        <f>IFERROR(VLOOKUP(C539,TRAOPE!$G:$H,2,0),"")</f>
        <v/>
      </c>
      <c r="E539" s="8" t="inlineStr">
        <is>
          <t>DW68</t>
        </is>
      </c>
      <c r="F539" s="8" t="inlineStr">
        <is>
          <t>D228</t>
        </is>
      </c>
      <c r="G539" s="8">
        <f>IFERROR(VLOOKUP(A539,Flete!$A:$E,5,0),"")</f>
        <v/>
      </c>
      <c r="H539" s="7">
        <f>IFERROR(VLOOKUP(F539,TRAOPE!$AA:$AB,2,0),"")</f>
        <v/>
      </c>
      <c r="I539" s="7" t="n">
        <v>10000384</v>
      </c>
      <c r="J539" s="7">
        <f>IFERROR(VLOOKUP(I539,Materiales!$A:$H,8,0),"")</f>
        <v/>
      </c>
      <c r="K539" s="9">
        <f>IFERROR(VLOOKUP(I539,Materiales!$A:$G,7,0),"")</f>
        <v/>
      </c>
      <c r="L539" s="8" t="inlineStr">
        <is>
          <t>20240201</t>
        </is>
      </c>
      <c r="M539" s="8" t="inlineStr">
        <is>
          <t>20251031</t>
        </is>
      </c>
      <c r="N539" s="10" t="n">
        <v>166.93</v>
      </c>
      <c r="O539" s="10">
        <f>IFERROR(VLOOKUP(A539,Flete!$A:$J,10,0),"")</f>
        <v/>
      </c>
      <c r="P539" s="8" t="inlineStr">
        <is>
          <t>TN</t>
        </is>
      </c>
      <c r="Q539" s="10">
        <f>IFERROR(IFERROR(VLOOKUP(A539,TRAOPE!$A:$U,21,0),VLOOKUP(B539,TRAOPE!$A:$U,21,0)),"")</f>
        <v/>
      </c>
      <c r="R539" s="8">
        <f>IFERROR(IFERROR(VLOOKUP(A539,TRAOPE!$A:$W,23,0),VLOOKUP(B539,TRAOPE!$A:$W,23,0)),"")</f>
        <v/>
      </c>
      <c r="S539" s="10">
        <f>IF(AND(P539="TN",R539="TN"),N539+N(O539),IF(G539&amp;""="1",N(K539)*N539,(N539+N(O539))*N(K539)))</f>
        <v/>
      </c>
      <c r="T539" s="10">
        <f>IF(Q539="","",Q539-S539)</f>
        <v/>
      </c>
    </row>
    <row r="540">
      <c r="A540" s="7">
        <f>CONCATENATE(C540,E540,F540,I540)</f>
        <v/>
      </c>
      <c r="B540" s="7">
        <f>CONCATENATE(C540,E540,I540)</f>
        <v/>
      </c>
      <c r="C540" s="8" t="n">
        <v>900008211</v>
      </c>
      <c r="D540" s="7">
        <f>IFERROR(VLOOKUP(C540,TRAOPE!$G:$H,2,0),"")</f>
        <v/>
      </c>
      <c r="E540" s="8" t="inlineStr">
        <is>
          <t>DW68</t>
        </is>
      </c>
      <c r="F540" s="8" t="inlineStr">
        <is>
          <t>D242</t>
        </is>
      </c>
      <c r="G540" s="8">
        <f>IFERROR(VLOOKUP(A540,Flete!$A:$E,5,0),"")</f>
        <v/>
      </c>
      <c r="H540" s="7">
        <f>IFERROR(VLOOKUP(F540,TRAOPE!$AA:$AB,2,0),"")</f>
        <v/>
      </c>
      <c r="I540" s="7" t="n">
        <v>10000384</v>
      </c>
      <c r="J540" s="7">
        <f>IFERROR(VLOOKUP(I540,Materiales!$A:$H,8,0),"")</f>
        <v/>
      </c>
      <c r="K540" s="9">
        <f>IFERROR(VLOOKUP(I540,Materiales!$A:$G,7,0),"")</f>
        <v/>
      </c>
      <c r="L540" s="8" t="inlineStr">
        <is>
          <t>20240201</t>
        </is>
      </c>
      <c r="M540" s="8" t="inlineStr">
        <is>
          <t>20251031</t>
        </is>
      </c>
      <c r="N540" s="10" t="n">
        <v>166.93</v>
      </c>
      <c r="O540" s="10">
        <f>IFERROR(VLOOKUP(A540,Flete!$A:$J,10,0),"")</f>
        <v/>
      </c>
      <c r="P540" s="8" t="inlineStr">
        <is>
          <t>TN</t>
        </is>
      </c>
      <c r="Q540" s="10">
        <f>IFERROR(IFERROR(VLOOKUP(A540,TRAOPE!$A:$U,21,0),VLOOKUP(B540,TRAOPE!$A:$U,21,0)),"")</f>
        <v/>
      </c>
      <c r="R540" s="8">
        <f>IFERROR(IFERROR(VLOOKUP(A540,TRAOPE!$A:$W,23,0),VLOOKUP(B540,TRAOPE!$A:$W,23,0)),"")</f>
        <v/>
      </c>
      <c r="S540" s="10">
        <f>IF(AND(P540="TN",R540="TN"),N540+N(O540),IF(G540&amp;""="1",N(K540)*N540,(N540+N(O540))*N(K540)))</f>
        <v/>
      </c>
      <c r="T540" s="10">
        <f>IF(Q540="","",Q540-S540)</f>
        <v/>
      </c>
    </row>
    <row r="541">
      <c r="A541" s="7">
        <f>CONCATENATE(C541,E541,F541,I541)</f>
        <v/>
      </c>
      <c r="B541" s="7">
        <f>CONCATENATE(C541,E541,I541)</f>
        <v/>
      </c>
      <c r="C541" s="8" t="n">
        <v>900008211</v>
      </c>
      <c r="D541" s="7">
        <f>IFERROR(VLOOKUP(C541,TRAOPE!$G:$H,2,0),"")</f>
        <v/>
      </c>
      <c r="E541" s="8" t="inlineStr">
        <is>
          <t>DW68</t>
        </is>
      </c>
      <c r="F541" s="8" t="inlineStr">
        <is>
          <t>D247</t>
        </is>
      </c>
      <c r="G541" s="8">
        <f>IFERROR(VLOOKUP(A541,Flete!$A:$E,5,0),"")</f>
        <v/>
      </c>
      <c r="H541" s="7">
        <f>IFERROR(VLOOKUP(F541,TRAOPE!$AA:$AB,2,0),"")</f>
        <v/>
      </c>
      <c r="I541" s="7" t="n">
        <v>10000384</v>
      </c>
      <c r="J541" s="7">
        <f>IFERROR(VLOOKUP(I541,Materiales!$A:$H,8,0),"")</f>
        <v/>
      </c>
      <c r="K541" s="9">
        <f>IFERROR(VLOOKUP(I541,Materiales!$A:$G,7,0),"")</f>
        <v/>
      </c>
      <c r="L541" s="8" t="inlineStr">
        <is>
          <t>20240201</t>
        </is>
      </c>
      <c r="M541" s="8" t="inlineStr">
        <is>
          <t>20251031</t>
        </is>
      </c>
      <c r="N541" s="10" t="n">
        <v>166.93</v>
      </c>
      <c r="O541" s="10">
        <f>IFERROR(VLOOKUP(A541,Flete!$A:$J,10,0),"")</f>
        <v/>
      </c>
      <c r="P541" s="8" t="inlineStr">
        <is>
          <t>TN</t>
        </is>
      </c>
      <c r="Q541" s="10">
        <f>IFERROR(IFERROR(VLOOKUP(A541,TRAOPE!$A:$U,21,0),VLOOKUP(B541,TRAOPE!$A:$U,21,0)),"")</f>
        <v/>
      </c>
      <c r="R541" s="8">
        <f>IFERROR(IFERROR(VLOOKUP(A541,TRAOPE!$A:$W,23,0),VLOOKUP(B541,TRAOPE!$A:$W,23,0)),"")</f>
        <v/>
      </c>
      <c r="S541" s="10">
        <f>IF(AND(P541="TN",R541="TN"),N541+N(O541),IF(G541&amp;""="1",N(K541)*N541,(N541+N(O541))*N(K541)))</f>
        <v/>
      </c>
      <c r="T541" s="10">
        <f>IF(Q541="","",Q541-S541)</f>
        <v/>
      </c>
    </row>
    <row r="542">
      <c r="A542" s="7">
        <f>CONCATENATE(C542,E542,F542,I542)</f>
        <v/>
      </c>
      <c r="B542" s="7">
        <f>CONCATENATE(C542,E542,I542)</f>
        <v/>
      </c>
      <c r="C542" s="8" t="n">
        <v>900008211</v>
      </c>
      <c r="D542" s="7">
        <f>IFERROR(VLOOKUP(C542,TRAOPE!$G:$H,2,0),"")</f>
        <v/>
      </c>
      <c r="E542" s="8" t="inlineStr">
        <is>
          <t>DW68</t>
        </is>
      </c>
      <c r="F542" s="8" t="inlineStr">
        <is>
          <t>D251</t>
        </is>
      </c>
      <c r="G542" s="8">
        <f>IFERROR(VLOOKUP(A542,Flete!$A:$E,5,0),"")</f>
        <v/>
      </c>
      <c r="H542" s="7">
        <f>IFERROR(VLOOKUP(F542,TRAOPE!$AA:$AB,2,0),"")</f>
        <v/>
      </c>
      <c r="I542" s="7" t="n">
        <v>10000384</v>
      </c>
      <c r="J542" s="7">
        <f>IFERROR(VLOOKUP(I542,Materiales!$A:$H,8,0),"")</f>
        <v/>
      </c>
      <c r="K542" s="9">
        <f>IFERROR(VLOOKUP(I542,Materiales!$A:$G,7,0),"")</f>
        <v/>
      </c>
      <c r="L542" s="8" t="inlineStr">
        <is>
          <t>20240201</t>
        </is>
      </c>
      <c r="M542" s="8" t="inlineStr">
        <is>
          <t>20251031</t>
        </is>
      </c>
      <c r="N542" s="10" t="n">
        <v>166.93</v>
      </c>
      <c r="O542" s="10">
        <f>IFERROR(VLOOKUP(A542,Flete!$A:$J,10,0),"")</f>
        <v/>
      </c>
      <c r="P542" s="8" t="inlineStr">
        <is>
          <t>TN</t>
        </is>
      </c>
      <c r="Q542" s="10">
        <f>IFERROR(IFERROR(VLOOKUP(A542,TRAOPE!$A:$U,21,0),VLOOKUP(B542,TRAOPE!$A:$U,21,0)),"")</f>
        <v/>
      </c>
      <c r="R542" s="8">
        <f>IFERROR(IFERROR(VLOOKUP(A542,TRAOPE!$A:$W,23,0),VLOOKUP(B542,TRAOPE!$A:$W,23,0)),"")</f>
        <v/>
      </c>
      <c r="S542" s="10">
        <f>IF(AND(P542="TN",R542="TN"),N542+N(O542),IF(G542&amp;""="1",N(K542)*N542,(N542+N(O542))*N(K542)))</f>
        <v/>
      </c>
      <c r="T542" s="10">
        <f>IF(Q542="","",Q542-S542)</f>
        <v/>
      </c>
    </row>
    <row r="543">
      <c r="A543" s="7">
        <f>CONCATENATE(C543,E543,F543,I543)</f>
        <v/>
      </c>
      <c r="B543" s="7">
        <f>CONCATENATE(C543,E543,I543)</f>
        <v/>
      </c>
      <c r="C543" s="8" t="n">
        <v>900008211</v>
      </c>
      <c r="D543" s="7">
        <f>IFERROR(VLOOKUP(C543,TRAOPE!$G:$H,2,0),"")</f>
        <v/>
      </c>
      <c r="E543" s="8" t="inlineStr">
        <is>
          <t>DW68</t>
        </is>
      </c>
      <c r="F543" s="8" t="inlineStr">
        <is>
          <t>D264</t>
        </is>
      </c>
      <c r="G543" s="8">
        <f>IFERROR(VLOOKUP(A543,Flete!$A:$E,5,0),"")</f>
        <v/>
      </c>
      <c r="H543" s="7">
        <f>IFERROR(VLOOKUP(F543,TRAOPE!$AA:$AB,2,0),"")</f>
        <v/>
      </c>
      <c r="I543" s="7" t="n">
        <v>10000384</v>
      </c>
      <c r="J543" s="7">
        <f>IFERROR(VLOOKUP(I543,Materiales!$A:$H,8,0),"")</f>
        <v/>
      </c>
      <c r="K543" s="9">
        <f>IFERROR(VLOOKUP(I543,Materiales!$A:$G,7,0),"")</f>
        <v/>
      </c>
      <c r="L543" s="8" t="inlineStr">
        <is>
          <t>20240201</t>
        </is>
      </c>
      <c r="M543" s="8" t="inlineStr">
        <is>
          <t>20251031</t>
        </is>
      </c>
      <c r="N543" s="10" t="n">
        <v>166.93</v>
      </c>
      <c r="O543" s="10">
        <f>IFERROR(VLOOKUP(A543,Flete!$A:$J,10,0),"")</f>
        <v/>
      </c>
      <c r="P543" s="8" t="inlineStr">
        <is>
          <t>TN</t>
        </is>
      </c>
      <c r="Q543" s="10">
        <f>IFERROR(IFERROR(VLOOKUP(A543,TRAOPE!$A:$U,21,0),VLOOKUP(B543,TRAOPE!$A:$U,21,0)),"")</f>
        <v/>
      </c>
      <c r="R543" s="8">
        <f>IFERROR(IFERROR(VLOOKUP(A543,TRAOPE!$A:$W,23,0),VLOOKUP(B543,TRAOPE!$A:$W,23,0)),"")</f>
        <v/>
      </c>
      <c r="S543" s="10">
        <f>IF(AND(P543="TN",R543="TN"),N543+N(O543),IF(G543&amp;""="1",N(K543)*N543,(N543+N(O543))*N(K543)))</f>
        <v/>
      </c>
      <c r="T543" s="10">
        <f>IF(Q543="","",Q543-S543)</f>
        <v/>
      </c>
    </row>
    <row r="544">
      <c r="A544" s="7">
        <f>CONCATENATE(C544,E544,F544,I544)</f>
        <v/>
      </c>
      <c r="B544" s="7">
        <f>CONCATENATE(C544,E544,I544)</f>
        <v/>
      </c>
      <c r="C544" s="8" t="n">
        <v>900008211</v>
      </c>
      <c r="D544" s="7">
        <f>IFERROR(VLOOKUP(C544,TRAOPE!$G:$H,2,0),"")</f>
        <v/>
      </c>
      <c r="E544" s="8" t="inlineStr">
        <is>
          <t>DW68</t>
        </is>
      </c>
      <c r="F544" s="8" t="inlineStr">
        <is>
          <t>D267</t>
        </is>
      </c>
      <c r="G544" s="8">
        <f>IFERROR(VLOOKUP(A544,Flete!$A:$E,5,0),"")</f>
        <v/>
      </c>
      <c r="H544" s="7">
        <f>IFERROR(VLOOKUP(F544,TRAOPE!$AA:$AB,2,0),"")</f>
        <v/>
      </c>
      <c r="I544" s="7" t="n">
        <v>10000384</v>
      </c>
      <c r="J544" s="7">
        <f>IFERROR(VLOOKUP(I544,Materiales!$A:$H,8,0),"")</f>
        <v/>
      </c>
      <c r="K544" s="9">
        <f>IFERROR(VLOOKUP(I544,Materiales!$A:$G,7,0),"")</f>
        <v/>
      </c>
      <c r="L544" s="8" t="inlineStr">
        <is>
          <t>20240201</t>
        </is>
      </c>
      <c r="M544" s="8" t="inlineStr">
        <is>
          <t>20251031</t>
        </is>
      </c>
      <c r="N544" s="10" t="n">
        <v>166.93</v>
      </c>
      <c r="O544" s="10">
        <f>IFERROR(VLOOKUP(A544,Flete!$A:$J,10,0),"")</f>
        <v/>
      </c>
      <c r="P544" s="8" t="inlineStr">
        <is>
          <t>TN</t>
        </is>
      </c>
      <c r="Q544" s="10">
        <f>IFERROR(IFERROR(VLOOKUP(A544,TRAOPE!$A:$U,21,0),VLOOKUP(B544,TRAOPE!$A:$U,21,0)),"")</f>
        <v/>
      </c>
      <c r="R544" s="8">
        <f>IFERROR(IFERROR(VLOOKUP(A544,TRAOPE!$A:$W,23,0),VLOOKUP(B544,TRAOPE!$A:$W,23,0)),"")</f>
        <v/>
      </c>
      <c r="S544" s="10">
        <f>IF(AND(P544="TN",R544="TN"),N544+N(O544),IF(G544&amp;""="1",N(K544)*N544,(N544+N(O544))*N(K544)))</f>
        <v/>
      </c>
      <c r="T544" s="10">
        <f>IF(Q544="","",Q544-S544)</f>
        <v/>
      </c>
    </row>
    <row r="545">
      <c r="A545" s="7">
        <f>CONCATENATE(C545,E545,F545,I545)</f>
        <v/>
      </c>
      <c r="B545" s="7">
        <f>CONCATENATE(C545,E545,I545)</f>
        <v/>
      </c>
      <c r="C545" s="8" t="n">
        <v>900008250</v>
      </c>
      <c r="D545" s="7">
        <f>IFERROR(VLOOKUP(C545,TRAOPE!$G:$H,2,0),"")</f>
        <v/>
      </c>
      <c r="E545" s="8" t="inlineStr">
        <is>
          <t>DW68</t>
        </is>
      </c>
      <c r="F545" s="8" t="inlineStr">
        <is>
          <t>D042</t>
        </is>
      </c>
      <c r="G545" s="8">
        <f>IFERROR(VLOOKUP(A545,Flete!$A:$E,5,0),"")</f>
        <v/>
      </c>
      <c r="H545" s="7">
        <f>IFERROR(VLOOKUP(F545,TRAOPE!$AA:$AB,2,0),"")</f>
        <v/>
      </c>
      <c r="I545" s="7" t="n">
        <v>10000191</v>
      </c>
      <c r="J545" s="7">
        <f>IFERROR(VLOOKUP(I545,Materiales!$A:$H,8,0),"")</f>
        <v/>
      </c>
      <c r="K545" s="9">
        <f>IFERROR(VLOOKUP(I545,Materiales!$A:$G,7,0),"")</f>
        <v/>
      </c>
      <c r="L545" s="8" t="inlineStr">
        <is>
          <t>20230704</t>
        </is>
      </c>
      <c r="M545" s="8" t="inlineStr">
        <is>
          <t>20260215</t>
        </is>
      </c>
      <c r="N545" s="10" t="n">
        <v>212.77</v>
      </c>
      <c r="O545" s="10">
        <f>IFERROR(VLOOKUP(A545,Flete!$A:$J,10,0),"")</f>
        <v/>
      </c>
      <c r="P545" s="8" t="inlineStr">
        <is>
          <t>TN</t>
        </is>
      </c>
      <c r="Q545" s="10">
        <f>IFERROR(IFERROR(VLOOKUP(A545,TRAOPE!$A:$U,21,0),VLOOKUP(B545,TRAOPE!$A:$U,21,0)),"")</f>
        <v/>
      </c>
      <c r="R545" s="8">
        <f>IFERROR(IFERROR(VLOOKUP(A545,TRAOPE!$A:$W,23,0),VLOOKUP(B545,TRAOPE!$A:$W,23,0)),"")</f>
        <v/>
      </c>
      <c r="S545" s="10">
        <f>IF(AND(P545="TN",R545="TN"),N545+N(O545),IF(G545&amp;""="1",N(K545)*N545,(N545+N(O545))*N(K545)))</f>
        <v/>
      </c>
      <c r="T545" s="10">
        <f>IF(Q545="","",Q545-S545)</f>
        <v/>
      </c>
    </row>
    <row r="546">
      <c r="A546" s="7">
        <f>CONCATENATE(C546,E546,F546,I546)</f>
        <v/>
      </c>
      <c r="B546" s="7">
        <f>CONCATENATE(C546,E546,I546)</f>
        <v/>
      </c>
      <c r="C546" s="8" t="n">
        <v>900008250</v>
      </c>
      <c r="D546" s="7">
        <f>IFERROR(VLOOKUP(C546,TRAOPE!$G:$H,2,0),"")</f>
        <v/>
      </c>
      <c r="E546" s="8" t="inlineStr">
        <is>
          <t>DW68</t>
        </is>
      </c>
      <c r="F546" s="8" t="inlineStr">
        <is>
          <t>D042</t>
        </is>
      </c>
      <c r="G546" s="8">
        <f>IFERROR(VLOOKUP(A546,Flete!$A:$E,5,0),"")</f>
        <v/>
      </c>
      <c r="H546" s="7">
        <f>IFERROR(VLOOKUP(F546,TRAOPE!$AA:$AB,2,0),"")</f>
        <v/>
      </c>
      <c r="I546" s="7" t="n">
        <v>10000388</v>
      </c>
      <c r="J546" s="7">
        <f>IFERROR(VLOOKUP(I546,Materiales!$A:$H,8,0),"")</f>
        <v/>
      </c>
      <c r="K546" s="9">
        <f>IFERROR(VLOOKUP(I546,Materiales!$A:$G,7,0),"")</f>
        <v/>
      </c>
      <c r="L546" s="8" t="inlineStr">
        <is>
          <t>20230704</t>
        </is>
      </c>
      <c r="M546" s="8" t="inlineStr">
        <is>
          <t>20260215</t>
        </is>
      </c>
      <c r="N546" s="10" t="n">
        <v>197.13</v>
      </c>
      <c r="O546" s="10">
        <f>IFERROR(VLOOKUP(A546,Flete!$A:$J,10,0),"")</f>
        <v/>
      </c>
      <c r="P546" s="8" t="inlineStr">
        <is>
          <t>TN</t>
        </is>
      </c>
      <c r="Q546" s="10">
        <f>IFERROR(IFERROR(VLOOKUP(A546,TRAOPE!$A:$U,21,0),VLOOKUP(B546,TRAOPE!$A:$U,21,0)),"")</f>
        <v/>
      </c>
      <c r="R546" s="8">
        <f>IFERROR(IFERROR(VLOOKUP(A546,TRAOPE!$A:$W,23,0),VLOOKUP(B546,TRAOPE!$A:$W,23,0)),"")</f>
        <v/>
      </c>
      <c r="S546" s="10">
        <f>IF(AND(P546="TN",R546="TN"),N546+N(O546),IF(G546&amp;""="1",N(K546)*N546,(N546+N(O546))*N(K546)))</f>
        <v/>
      </c>
      <c r="T546" s="10">
        <f>IF(Q546="","",Q546-S546)</f>
        <v/>
      </c>
    </row>
    <row r="547">
      <c r="A547" s="7">
        <f>CONCATENATE(C547,E547,F547,I547)</f>
        <v/>
      </c>
      <c r="B547" s="7">
        <f>CONCATENATE(C547,E547,I547)</f>
        <v/>
      </c>
      <c r="C547" s="8" t="n">
        <v>900008250</v>
      </c>
      <c r="D547" s="7">
        <f>IFERROR(VLOOKUP(C547,TRAOPE!$G:$H,2,0),"")</f>
        <v/>
      </c>
      <c r="E547" s="8" t="inlineStr">
        <is>
          <t>DW68</t>
        </is>
      </c>
      <c r="F547" s="8" t="inlineStr">
        <is>
          <t>D042</t>
        </is>
      </c>
      <c r="G547" s="8">
        <f>IFERROR(VLOOKUP(A547,Flete!$A:$E,5,0),"")</f>
        <v/>
      </c>
      <c r="H547" s="7">
        <f>IFERROR(VLOOKUP(F547,TRAOPE!$AA:$AB,2,0),"")</f>
        <v/>
      </c>
      <c r="I547" s="7" t="n">
        <v>10004258</v>
      </c>
      <c r="J547" s="7">
        <f>IFERROR(VLOOKUP(I547,Materiales!$A:$H,8,0),"")</f>
        <v/>
      </c>
      <c r="K547" s="9">
        <f>IFERROR(VLOOKUP(I547,Materiales!$A:$G,7,0),"")</f>
        <v/>
      </c>
      <c r="L547" s="8" t="inlineStr">
        <is>
          <t>20230704</t>
        </is>
      </c>
      <c r="M547" s="8" t="inlineStr">
        <is>
          <t>20260215</t>
        </is>
      </c>
      <c r="N547" s="10" t="n">
        <v>401.96</v>
      </c>
      <c r="O547" s="10">
        <f>IFERROR(VLOOKUP(A547,Flete!$A:$J,10,0),"")</f>
        <v/>
      </c>
      <c r="P547" s="8" t="inlineStr">
        <is>
          <t>TN</t>
        </is>
      </c>
      <c r="Q547" s="10">
        <f>IFERROR(IFERROR(VLOOKUP(A547,TRAOPE!$A:$U,21,0),VLOOKUP(B547,TRAOPE!$A:$U,21,0)),"")</f>
        <v/>
      </c>
      <c r="R547" s="8">
        <f>IFERROR(IFERROR(VLOOKUP(A547,TRAOPE!$A:$W,23,0),VLOOKUP(B547,TRAOPE!$A:$W,23,0)),"")</f>
        <v/>
      </c>
      <c r="S547" s="10">
        <f>IF(AND(P547="TN",R547="TN"),N547+N(O547),IF(G547&amp;""="1",N(K547)*N547,(N547+N(O547))*N(K547)))</f>
        <v/>
      </c>
      <c r="T547" s="10">
        <f>IF(Q547="","",Q547-S547)</f>
        <v/>
      </c>
    </row>
    <row r="548">
      <c r="A548" s="7">
        <f>CONCATENATE(C548,E548,F548,I548)</f>
        <v/>
      </c>
      <c r="B548" s="7">
        <f>CONCATENATE(C548,E548,I548)</f>
        <v/>
      </c>
      <c r="C548" s="8" t="n">
        <v>900008250</v>
      </c>
      <c r="D548" s="7">
        <f>IFERROR(VLOOKUP(C548,TRAOPE!$G:$H,2,0),"")</f>
        <v/>
      </c>
      <c r="E548" s="8" t="inlineStr">
        <is>
          <t>DW68</t>
        </is>
      </c>
      <c r="F548" s="8" t="inlineStr">
        <is>
          <t>D042</t>
        </is>
      </c>
      <c r="G548" s="8">
        <f>IFERROR(VLOOKUP(A548,Flete!$A:$E,5,0),"")</f>
        <v/>
      </c>
      <c r="H548" s="7">
        <f>IFERROR(VLOOKUP(F548,TRAOPE!$AA:$AB,2,0),"")</f>
        <v/>
      </c>
      <c r="I548" s="7" t="n">
        <v>10148454</v>
      </c>
      <c r="J548" s="7">
        <f>IFERROR(VLOOKUP(I548,Materiales!$A:$H,8,0),"")</f>
        <v/>
      </c>
      <c r="K548" s="9">
        <f>IFERROR(VLOOKUP(I548,Materiales!$A:$G,7,0),"")</f>
        <v/>
      </c>
      <c r="L548" s="8" t="inlineStr">
        <is>
          <t>20230704</t>
        </is>
      </c>
      <c r="M548" s="8" t="inlineStr">
        <is>
          <t>20260215</t>
        </is>
      </c>
      <c r="N548" s="10" t="n">
        <v>208.33</v>
      </c>
      <c r="O548" s="10">
        <f>IFERROR(VLOOKUP(A548,Flete!$A:$J,10,0),"")</f>
        <v/>
      </c>
      <c r="P548" s="8" t="inlineStr">
        <is>
          <t>TN</t>
        </is>
      </c>
      <c r="Q548" s="10">
        <f>IFERROR(IFERROR(VLOOKUP(A548,TRAOPE!$A:$U,21,0),VLOOKUP(B548,TRAOPE!$A:$U,21,0)),"")</f>
        <v/>
      </c>
      <c r="R548" s="8">
        <f>IFERROR(IFERROR(VLOOKUP(A548,TRAOPE!$A:$W,23,0),VLOOKUP(B548,TRAOPE!$A:$W,23,0)),"")</f>
        <v/>
      </c>
      <c r="S548" s="10">
        <f>IF(AND(P548="TN",R548="TN"),N548+N(O548),IF(G548&amp;""="1",N(K548)*N548,(N548+N(O548))*N(K548)))</f>
        <v/>
      </c>
      <c r="T548" s="10">
        <f>IF(Q548="","",Q548-S548)</f>
        <v/>
      </c>
    </row>
    <row r="549">
      <c r="A549" s="7">
        <f>CONCATENATE(C549,E549,F549,I549)</f>
        <v/>
      </c>
      <c r="B549" s="7">
        <f>CONCATENATE(C549,E549,I549)</f>
        <v/>
      </c>
      <c r="C549" s="8" t="n">
        <v>900008250</v>
      </c>
      <c r="D549" s="7">
        <f>IFERROR(VLOOKUP(C549,TRAOPE!$G:$H,2,0),"")</f>
        <v/>
      </c>
      <c r="E549" s="8" t="inlineStr">
        <is>
          <t>DW68</t>
        </is>
      </c>
      <c r="F549" s="8" t="inlineStr">
        <is>
          <t>D209</t>
        </is>
      </c>
      <c r="G549" s="8">
        <f>IFERROR(VLOOKUP(A549,Flete!$A:$E,5,0),"")</f>
        <v/>
      </c>
      <c r="H549" s="7">
        <f>IFERROR(VLOOKUP(F549,TRAOPE!$AA:$AB,2,0),"")</f>
        <v/>
      </c>
      <c r="I549" s="7" t="n">
        <v>10000191</v>
      </c>
      <c r="J549" s="7">
        <f>IFERROR(VLOOKUP(I549,Materiales!$A:$H,8,0),"")</f>
        <v/>
      </c>
      <c r="K549" s="9">
        <f>IFERROR(VLOOKUP(I549,Materiales!$A:$G,7,0),"")</f>
        <v/>
      </c>
      <c r="L549" s="8" t="inlineStr">
        <is>
          <t>20230704</t>
        </is>
      </c>
      <c r="M549" s="8" t="inlineStr">
        <is>
          <t>20260215</t>
        </is>
      </c>
      <c r="N549" s="10" t="n">
        <v>212.77</v>
      </c>
      <c r="O549" s="10">
        <f>IFERROR(VLOOKUP(A549,Flete!$A:$J,10,0),"")</f>
        <v/>
      </c>
      <c r="P549" s="8" t="inlineStr">
        <is>
          <t>TN</t>
        </is>
      </c>
      <c r="Q549" s="10">
        <f>IFERROR(IFERROR(VLOOKUP(A549,TRAOPE!$A:$U,21,0),VLOOKUP(B549,TRAOPE!$A:$U,21,0)),"")</f>
        <v/>
      </c>
      <c r="R549" s="8">
        <f>IFERROR(IFERROR(VLOOKUP(A549,TRAOPE!$A:$W,23,0),VLOOKUP(B549,TRAOPE!$A:$W,23,0)),"")</f>
        <v/>
      </c>
      <c r="S549" s="10">
        <f>IF(AND(P549="TN",R549="TN"),N549+N(O549),IF(G549&amp;""="1",N(K549)*N549,(N549+N(O549))*N(K549)))</f>
        <v/>
      </c>
      <c r="T549" s="10">
        <f>IF(Q549="","",Q549-S549)</f>
        <v/>
      </c>
    </row>
    <row r="550">
      <c r="A550" s="7">
        <f>CONCATENATE(C550,E550,F550,I550)</f>
        <v/>
      </c>
      <c r="B550" s="7">
        <f>CONCATENATE(C550,E550,I550)</f>
        <v/>
      </c>
      <c r="C550" s="8" t="n">
        <v>900008250</v>
      </c>
      <c r="D550" s="7">
        <f>IFERROR(VLOOKUP(C550,TRAOPE!$G:$H,2,0),"")</f>
        <v/>
      </c>
      <c r="E550" s="8" t="inlineStr">
        <is>
          <t>DW68</t>
        </is>
      </c>
      <c r="F550" s="8" t="inlineStr">
        <is>
          <t>D209</t>
        </is>
      </c>
      <c r="G550" s="8">
        <f>IFERROR(VLOOKUP(A550,Flete!$A:$E,5,0),"")</f>
        <v/>
      </c>
      <c r="H550" s="7">
        <f>IFERROR(VLOOKUP(F550,TRAOPE!$AA:$AB,2,0),"")</f>
        <v/>
      </c>
      <c r="I550" s="7" t="n">
        <v>10000388</v>
      </c>
      <c r="J550" s="7">
        <f>IFERROR(VLOOKUP(I550,Materiales!$A:$H,8,0),"")</f>
        <v/>
      </c>
      <c r="K550" s="9">
        <f>IFERROR(VLOOKUP(I550,Materiales!$A:$G,7,0),"")</f>
        <v/>
      </c>
      <c r="L550" s="8" t="inlineStr">
        <is>
          <t>20230704</t>
        </is>
      </c>
      <c r="M550" s="8" t="inlineStr">
        <is>
          <t>20260215</t>
        </is>
      </c>
      <c r="N550" s="10" t="n">
        <v>197.13</v>
      </c>
      <c r="O550" s="10">
        <f>IFERROR(VLOOKUP(A550,Flete!$A:$J,10,0),"")</f>
        <v/>
      </c>
      <c r="P550" s="8" t="inlineStr">
        <is>
          <t>TN</t>
        </is>
      </c>
      <c r="Q550" s="10">
        <f>IFERROR(IFERROR(VLOOKUP(A550,TRAOPE!$A:$U,21,0),VLOOKUP(B550,TRAOPE!$A:$U,21,0)),"")</f>
        <v/>
      </c>
      <c r="R550" s="8">
        <f>IFERROR(IFERROR(VLOOKUP(A550,TRAOPE!$A:$W,23,0),VLOOKUP(B550,TRAOPE!$A:$W,23,0)),"")</f>
        <v/>
      </c>
      <c r="S550" s="10">
        <f>IF(AND(P550="TN",R550="TN"),N550+N(O550),IF(G550&amp;""="1",N(K550)*N550,(N550+N(O550))*N(K550)))</f>
        <v/>
      </c>
      <c r="T550" s="10">
        <f>IF(Q550="","",Q550-S550)</f>
        <v/>
      </c>
    </row>
    <row r="551">
      <c r="A551" s="7">
        <f>CONCATENATE(C551,E551,F551,I551)</f>
        <v/>
      </c>
      <c r="B551" s="7">
        <f>CONCATENATE(C551,E551,I551)</f>
        <v/>
      </c>
      <c r="C551" s="8" t="n">
        <v>900008250</v>
      </c>
      <c r="D551" s="7">
        <f>IFERROR(VLOOKUP(C551,TRAOPE!$G:$H,2,0),"")</f>
        <v/>
      </c>
      <c r="E551" s="8" t="inlineStr">
        <is>
          <t>DW68</t>
        </is>
      </c>
      <c r="F551" s="8" t="inlineStr">
        <is>
          <t>D209</t>
        </is>
      </c>
      <c r="G551" s="8">
        <f>IFERROR(VLOOKUP(A551,Flete!$A:$E,5,0),"")</f>
        <v/>
      </c>
      <c r="H551" s="7">
        <f>IFERROR(VLOOKUP(F551,TRAOPE!$AA:$AB,2,0),"")</f>
        <v/>
      </c>
      <c r="I551" s="7" t="n">
        <v>10004258</v>
      </c>
      <c r="J551" s="7">
        <f>IFERROR(VLOOKUP(I551,Materiales!$A:$H,8,0),"")</f>
        <v/>
      </c>
      <c r="K551" s="9">
        <f>IFERROR(VLOOKUP(I551,Materiales!$A:$G,7,0),"")</f>
        <v/>
      </c>
      <c r="L551" s="8" t="inlineStr">
        <is>
          <t>20230704</t>
        </is>
      </c>
      <c r="M551" s="8" t="inlineStr">
        <is>
          <t>20260215</t>
        </is>
      </c>
      <c r="N551" s="10" t="n">
        <v>401.96</v>
      </c>
      <c r="O551" s="10">
        <f>IFERROR(VLOOKUP(A551,Flete!$A:$J,10,0),"")</f>
        <v/>
      </c>
      <c r="P551" s="8" t="inlineStr">
        <is>
          <t>TN</t>
        </is>
      </c>
      <c r="Q551" s="10">
        <f>IFERROR(IFERROR(VLOOKUP(A551,TRAOPE!$A:$U,21,0),VLOOKUP(B551,TRAOPE!$A:$U,21,0)),"")</f>
        <v/>
      </c>
      <c r="R551" s="8">
        <f>IFERROR(IFERROR(VLOOKUP(A551,TRAOPE!$A:$W,23,0),VLOOKUP(B551,TRAOPE!$A:$W,23,0)),"")</f>
        <v/>
      </c>
      <c r="S551" s="10">
        <f>IF(AND(P551="TN",R551="TN"),N551+N(O551),IF(G551&amp;""="1",N(K551)*N551,(N551+N(O551))*N(K551)))</f>
        <v/>
      </c>
      <c r="T551" s="10">
        <f>IF(Q551="","",Q551-S551)</f>
        <v/>
      </c>
    </row>
    <row r="552">
      <c r="A552" s="7">
        <f>CONCATENATE(C552,E552,F552,I552)</f>
        <v/>
      </c>
      <c r="B552" s="7">
        <f>CONCATENATE(C552,E552,I552)</f>
        <v/>
      </c>
      <c r="C552" s="8" t="n">
        <v>900008250</v>
      </c>
      <c r="D552" s="7">
        <f>IFERROR(VLOOKUP(C552,TRAOPE!$G:$H,2,0),"")</f>
        <v/>
      </c>
      <c r="E552" s="8" t="inlineStr">
        <is>
          <t>DW68</t>
        </is>
      </c>
      <c r="F552" s="8" t="inlineStr">
        <is>
          <t>D209</t>
        </is>
      </c>
      <c r="G552" s="8">
        <f>IFERROR(VLOOKUP(A552,Flete!$A:$E,5,0),"")</f>
        <v/>
      </c>
      <c r="H552" s="7">
        <f>IFERROR(VLOOKUP(F552,TRAOPE!$AA:$AB,2,0),"")</f>
        <v/>
      </c>
      <c r="I552" s="7" t="n">
        <v>10148454</v>
      </c>
      <c r="J552" s="7">
        <f>IFERROR(VLOOKUP(I552,Materiales!$A:$H,8,0),"")</f>
        <v/>
      </c>
      <c r="K552" s="9">
        <f>IFERROR(VLOOKUP(I552,Materiales!$A:$G,7,0),"")</f>
        <v/>
      </c>
      <c r="L552" s="8" t="inlineStr">
        <is>
          <t>20230704</t>
        </is>
      </c>
      <c r="M552" s="8" t="inlineStr">
        <is>
          <t>20260215</t>
        </is>
      </c>
      <c r="N552" s="10" t="n">
        <v>208.33</v>
      </c>
      <c r="O552" s="10">
        <f>IFERROR(VLOOKUP(A552,Flete!$A:$J,10,0),"")</f>
        <v/>
      </c>
      <c r="P552" s="8" t="inlineStr">
        <is>
          <t>TN</t>
        </is>
      </c>
      <c r="Q552" s="10">
        <f>IFERROR(IFERROR(VLOOKUP(A552,TRAOPE!$A:$U,21,0),VLOOKUP(B552,TRAOPE!$A:$U,21,0)),"")</f>
        <v/>
      </c>
      <c r="R552" s="8">
        <f>IFERROR(IFERROR(VLOOKUP(A552,TRAOPE!$A:$W,23,0),VLOOKUP(B552,TRAOPE!$A:$W,23,0)),"")</f>
        <v/>
      </c>
      <c r="S552" s="10">
        <f>IF(AND(P552="TN",R552="TN"),N552+N(O552),IF(G552&amp;""="1",N(K552)*N552,(N552+N(O552))*N(K552)))</f>
        <v/>
      </c>
      <c r="T552" s="10">
        <f>IF(Q552="","",Q552-S552)</f>
        <v/>
      </c>
    </row>
    <row r="553">
      <c r="A553" s="7">
        <f>CONCATENATE(C553,E553,F553,I553)</f>
        <v/>
      </c>
      <c r="B553" s="7">
        <f>CONCATENATE(C553,E553,I553)</f>
        <v/>
      </c>
      <c r="C553" s="8" t="n">
        <v>900008250</v>
      </c>
      <c r="D553" s="7">
        <f>IFERROR(VLOOKUP(C553,TRAOPE!$G:$H,2,0),"")</f>
        <v/>
      </c>
      <c r="E553" s="8" t="inlineStr">
        <is>
          <t>DW68</t>
        </is>
      </c>
      <c r="F553" s="8" t="inlineStr">
        <is>
          <t>D211</t>
        </is>
      </c>
      <c r="G553" s="8">
        <f>IFERROR(VLOOKUP(A553,Flete!$A:$E,5,0),"")</f>
        <v/>
      </c>
      <c r="H553" s="7">
        <f>IFERROR(VLOOKUP(F553,TRAOPE!$AA:$AB,2,0),"")</f>
        <v/>
      </c>
      <c r="I553" s="7" t="n">
        <v>10000191</v>
      </c>
      <c r="J553" s="7">
        <f>IFERROR(VLOOKUP(I553,Materiales!$A:$H,8,0),"")</f>
        <v/>
      </c>
      <c r="K553" s="9">
        <f>IFERROR(VLOOKUP(I553,Materiales!$A:$G,7,0),"")</f>
        <v/>
      </c>
      <c r="L553" s="8" t="inlineStr">
        <is>
          <t>20230704</t>
        </is>
      </c>
      <c r="M553" s="8" t="inlineStr">
        <is>
          <t>20260215</t>
        </is>
      </c>
      <c r="N553" s="10" t="n">
        <v>212.77</v>
      </c>
      <c r="O553" s="10">
        <f>IFERROR(VLOOKUP(A553,Flete!$A:$J,10,0),"")</f>
        <v/>
      </c>
      <c r="P553" s="8" t="inlineStr">
        <is>
          <t>TN</t>
        </is>
      </c>
      <c r="Q553" s="10">
        <f>IFERROR(IFERROR(VLOOKUP(A553,TRAOPE!$A:$U,21,0),VLOOKUP(B553,TRAOPE!$A:$U,21,0)),"")</f>
        <v/>
      </c>
      <c r="R553" s="8">
        <f>IFERROR(IFERROR(VLOOKUP(A553,TRAOPE!$A:$W,23,0),VLOOKUP(B553,TRAOPE!$A:$W,23,0)),"")</f>
        <v/>
      </c>
      <c r="S553" s="10">
        <f>IF(AND(P553="TN",R553="TN"),N553+N(O553),IF(G553&amp;""="1",N(K553)*N553,(N553+N(O553))*N(K553)))</f>
        <v/>
      </c>
      <c r="T553" s="10">
        <f>IF(Q553="","",Q553-S553)</f>
        <v/>
      </c>
    </row>
    <row r="554">
      <c r="A554" s="7">
        <f>CONCATENATE(C554,E554,F554,I554)</f>
        <v/>
      </c>
      <c r="B554" s="7">
        <f>CONCATENATE(C554,E554,I554)</f>
        <v/>
      </c>
      <c r="C554" s="8" t="n">
        <v>900008250</v>
      </c>
      <c r="D554" s="7">
        <f>IFERROR(VLOOKUP(C554,TRAOPE!$G:$H,2,0),"")</f>
        <v/>
      </c>
      <c r="E554" s="8" t="inlineStr">
        <is>
          <t>DW68</t>
        </is>
      </c>
      <c r="F554" s="8" t="inlineStr">
        <is>
          <t>D211</t>
        </is>
      </c>
      <c r="G554" s="8">
        <f>IFERROR(VLOOKUP(A554,Flete!$A:$E,5,0),"")</f>
        <v/>
      </c>
      <c r="H554" s="7">
        <f>IFERROR(VLOOKUP(F554,TRAOPE!$AA:$AB,2,0),"")</f>
        <v/>
      </c>
      <c r="I554" s="7" t="n">
        <v>10000388</v>
      </c>
      <c r="J554" s="7">
        <f>IFERROR(VLOOKUP(I554,Materiales!$A:$H,8,0),"")</f>
        <v/>
      </c>
      <c r="K554" s="9">
        <f>IFERROR(VLOOKUP(I554,Materiales!$A:$G,7,0),"")</f>
        <v/>
      </c>
      <c r="L554" s="8" t="inlineStr">
        <is>
          <t>20230704</t>
        </is>
      </c>
      <c r="M554" s="8" t="inlineStr">
        <is>
          <t>20260215</t>
        </is>
      </c>
      <c r="N554" s="10" t="n">
        <v>197.13</v>
      </c>
      <c r="O554" s="10">
        <f>IFERROR(VLOOKUP(A554,Flete!$A:$J,10,0),"")</f>
        <v/>
      </c>
      <c r="P554" s="8" t="inlineStr">
        <is>
          <t>TN</t>
        </is>
      </c>
      <c r="Q554" s="10">
        <f>IFERROR(IFERROR(VLOOKUP(A554,TRAOPE!$A:$U,21,0),VLOOKUP(B554,TRAOPE!$A:$U,21,0)),"")</f>
        <v/>
      </c>
      <c r="R554" s="8">
        <f>IFERROR(IFERROR(VLOOKUP(A554,TRAOPE!$A:$W,23,0),VLOOKUP(B554,TRAOPE!$A:$W,23,0)),"")</f>
        <v/>
      </c>
      <c r="S554" s="10">
        <f>IF(AND(P554="TN",R554="TN"),N554+N(O554),IF(G554&amp;""="1",N(K554)*N554,(N554+N(O554))*N(K554)))</f>
        <v/>
      </c>
      <c r="T554" s="10">
        <f>IF(Q554="","",Q554-S554)</f>
        <v/>
      </c>
    </row>
    <row r="555">
      <c r="A555" s="7">
        <f>CONCATENATE(C555,E555,F555,I555)</f>
        <v/>
      </c>
      <c r="B555" s="7">
        <f>CONCATENATE(C555,E555,I555)</f>
        <v/>
      </c>
      <c r="C555" s="8" t="n">
        <v>900008250</v>
      </c>
      <c r="D555" s="7">
        <f>IFERROR(VLOOKUP(C555,TRAOPE!$G:$H,2,0),"")</f>
        <v/>
      </c>
      <c r="E555" s="8" t="inlineStr">
        <is>
          <t>DW68</t>
        </is>
      </c>
      <c r="F555" s="8" t="inlineStr">
        <is>
          <t>D211</t>
        </is>
      </c>
      <c r="G555" s="8">
        <f>IFERROR(VLOOKUP(A555,Flete!$A:$E,5,0),"")</f>
        <v/>
      </c>
      <c r="H555" s="7">
        <f>IFERROR(VLOOKUP(F555,TRAOPE!$AA:$AB,2,0),"")</f>
        <v/>
      </c>
      <c r="I555" s="7" t="n">
        <v>10004258</v>
      </c>
      <c r="J555" s="7">
        <f>IFERROR(VLOOKUP(I555,Materiales!$A:$H,8,0),"")</f>
        <v/>
      </c>
      <c r="K555" s="9">
        <f>IFERROR(VLOOKUP(I555,Materiales!$A:$G,7,0),"")</f>
        <v/>
      </c>
      <c r="L555" s="8" t="inlineStr">
        <is>
          <t>20230704</t>
        </is>
      </c>
      <c r="M555" s="8" t="inlineStr">
        <is>
          <t>20260215</t>
        </is>
      </c>
      <c r="N555" s="10" t="n">
        <v>401.96</v>
      </c>
      <c r="O555" s="10">
        <f>IFERROR(VLOOKUP(A555,Flete!$A:$J,10,0),"")</f>
        <v/>
      </c>
      <c r="P555" s="8" t="inlineStr">
        <is>
          <t>TN</t>
        </is>
      </c>
      <c r="Q555" s="10">
        <f>IFERROR(IFERROR(VLOOKUP(A555,TRAOPE!$A:$U,21,0),VLOOKUP(B555,TRAOPE!$A:$U,21,0)),"")</f>
        <v/>
      </c>
      <c r="R555" s="8">
        <f>IFERROR(IFERROR(VLOOKUP(A555,TRAOPE!$A:$W,23,0),VLOOKUP(B555,TRAOPE!$A:$W,23,0)),"")</f>
        <v/>
      </c>
      <c r="S555" s="10">
        <f>IF(AND(P555="TN",R555="TN"),N555+N(O555),IF(G555&amp;""="1",N(K555)*N555,(N555+N(O555))*N(K555)))</f>
        <v/>
      </c>
      <c r="T555" s="10">
        <f>IF(Q555="","",Q555-S555)</f>
        <v/>
      </c>
    </row>
    <row r="556">
      <c r="A556" s="7">
        <f>CONCATENATE(C556,E556,F556,I556)</f>
        <v/>
      </c>
      <c r="B556" s="7">
        <f>CONCATENATE(C556,E556,I556)</f>
        <v/>
      </c>
      <c r="C556" s="8" t="n">
        <v>900008250</v>
      </c>
      <c r="D556" s="7">
        <f>IFERROR(VLOOKUP(C556,TRAOPE!$G:$H,2,0),"")</f>
        <v/>
      </c>
      <c r="E556" s="8" t="inlineStr">
        <is>
          <t>DW68</t>
        </is>
      </c>
      <c r="F556" s="8" t="inlineStr">
        <is>
          <t>D211</t>
        </is>
      </c>
      <c r="G556" s="8">
        <f>IFERROR(VLOOKUP(A556,Flete!$A:$E,5,0),"")</f>
        <v/>
      </c>
      <c r="H556" s="7">
        <f>IFERROR(VLOOKUP(F556,TRAOPE!$AA:$AB,2,0),"")</f>
        <v/>
      </c>
      <c r="I556" s="7" t="n">
        <v>10148454</v>
      </c>
      <c r="J556" s="7">
        <f>IFERROR(VLOOKUP(I556,Materiales!$A:$H,8,0),"")</f>
        <v/>
      </c>
      <c r="K556" s="9">
        <f>IFERROR(VLOOKUP(I556,Materiales!$A:$G,7,0),"")</f>
        <v/>
      </c>
      <c r="L556" s="8" t="inlineStr">
        <is>
          <t>20230704</t>
        </is>
      </c>
      <c r="M556" s="8" t="inlineStr">
        <is>
          <t>20260215</t>
        </is>
      </c>
      <c r="N556" s="10" t="n">
        <v>208.33</v>
      </c>
      <c r="O556" s="10">
        <f>IFERROR(VLOOKUP(A556,Flete!$A:$J,10,0),"")</f>
        <v/>
      </c>
      <c r="P556" s="8" t="inlineStr">
        <is>
          <t>TN</t>
        </is>
      </c>
      <c r="Q556" s="10">
        <f>IFERROR(IFERROR(VLOOKUP(A556,TRAOPE!$A:$U,21,0),VLOOKUP(B556,TRAOPE!$A:$U,21,0)),"")</f>
        <v/>
      </c>
      <c r="R556" s="8">
        <f>IFERROR(IFERROR(VLOOKUP(A556,TRAOPE!$A:$W,23,0),VLOOKUP(B556,TRAOPE!$A:$W,23,0)),"")</f>
        <v/>
      </c>
      <c r="S556" s="10">
        <f>IF(AND(P556="TN",R556="TN"),N556+N(O556),IF(G556&amp;""="1",N(K556)*N556,(N556+N(O556))*N(K556)))</f>
        <v/>
      </c>
      <c r="T556" s="10">
        <f>IF(Q556="","",Q556-S556)</f>
        <v/>
      </c>
    </row>
    <row r="557">
      <c r="A557" s="7">
        <f>CONCATENATE(C557,E557,F557,I557)</f>
        <v/>
      </c>
      <c r="B557" s="7">
        <f>CONCATENATE(C557,E557,I557)</f>
        <v/>
      </c>
      <c r="C557" s="8" t="n">
        <v>900008250</v>
      </c>
      <c r="D557" s="7">
        <f>IFERROR(VLOOKUP(C557,TRAOPE!$G:$H,2,0),"")</f>
        <v/>
      </c>
      <c r="E557" s="8" t="inlineStr">
        <is>
          <t>DW68</t>
        </is>
      </c>
      <c r="F557" s="8" t="inlineStr">
        <is>
          <t>D228</t>
        </is>
      </c>
      <c r="G557" s="8">
        <f>IFERROR(VLOOKUP(A557,Flete!$A:$E,5,0),"")</f>
        <v/>
      </c>
      <c r="H557" s="7">
        <f>IFERROR(VLOOKUP(F557,TRAOPE!$AA:$AB,2,0),"")</f>
        <v/>
      </c>
      <c r="I557" s="7" t="n">
        <v>10000191</v>
      </c>
      <c r="J557" s="7">
        <f>IFERROR(VLOOKUP(I557,Materiales!$A:$H,8,0),"")</f>
        <v/>
      </c>
      <c r="K557" s="9">
        <f>IFERROR(VLOOKUP(I557,Materiales!$A:$G,7,0),"")</f>
        <v/>
      </c>
      <c r="L557" s="8" t="inlineStr">
        <is>
          <t>20230704</t>
        </is>
      </c>
      <c r="M557" s="8" t="inlineStr">
        <is>
          <t>20260215</t>
        </is>
      </c>
      <c r="N557" s="10" t="n">
        <v>212.77</v>
      </c>
      <c r="O557" s="10">
        <f>IFERROR(VLOOKUP(A557,Flete!$A:$J,10,0),"")</f>
        <v/>
      </c>
      <c r="P557" s="8" t="inlineStr">
        <is>
          <t>TN</t>
        </is>
      </c>
      <c r="Q557" s="10">
        <f>IFERROR(IFERROR(VLOOKUP(A557,TRAOPE!$A:$U,21,0),VLOOKUP(B557,TRAOPE!$A:$U,21,0)),"")</f>
        <v/>
      </c>
      <c r="R557" s="8">
        <f>IFERROR(IFERROR(VLOOKUP(A557,TRAOPE!$A:$W,23,0),VLOOKUP(B557,TRAOPE!$A:$W,23,0)),"")</f>
        <v/>
      </c>
      <c r="S557" s="10">
        <f>IF(AND(P557="TN",R557="TN"),N557+N(O557),IF(G557&amp;""="1",N(K557)*N557,(N557+N(O557))*N(K557)))</f>
        <v/>
      </c>
      <c r="T557" s="10">
        <f>IF(Q557="","",Q557-S557)</f>
        <v/>
      </c>
    </row>
    <row r="558">
      <c r="A558" s="7">
        <f>CONCATENATE(C558,E558,F558,I558)</f>
        <v/>
      </c>
      <c r="B558" s="7">
        <f>CONCATENATE(C558,E558,I558)</f>
        <v/>
      </c>
      <c r="C558" s="8" t="n">
        <v>900008250</v>
      </c>
      <c r="D558" s="7">
        <f>IFERROR(VLOOKUP(C558,TRAOPE!$G:$H,2,0),"")</f>
        <v/>
      </c>
      <c r="E558" s="8" t="inlineStr">
        <is>
          <t>DW68</t>
        </is>
      </c>
      <c r="F558" s="8" t="inlineStr">
        <is>
          <t>D228</t>
        </is>
      </c>
      <c r="G558" s="8">
        <f>IFERROR(VLOOKUP(A558,Flete!$A:$E,5,0),"")</f>
        <v/>
      </c>
      <c r="H558" s="7">
        <f>IFERROR(VLOOKUP(F558,TRAOPE!$AA:$AB,2,0),"")</f>
        <v/>
      </c>
      <c r="I558" s="7" t="n">
        <v>10000388</v>
      </c>
      <c r="J558" s="7">
        <f>IFERROR(VLOOKUP(I558,Materiales!$A:$H,8,0),"")</f>
        <v/>
      </c>
      <c r="K558" s="9">
        <f>IFERROR(VLOOKUP(I558,Materiales!$A:$G,7,0),"")</f>
        <v/>
      </c>
      <c r="L558" s="8" t="inlineStr">
        <is>
          <t>20230704</t>
        </is>
      </c>
      <c r="M558" s="8" t="inlineStr">
        <is>
          <t>20260215</t>
        </is>
      </c>
      <c r="N558" s="10" t="n">
        <v>197.13</v>
      </c>
      <c r="O558" s="10">
        <f>IFERROR(VLOOKUP(A558,Flete!$A:$J,10,0),"")</f>
        <v/>
      </c>
      <c r="P558" s="8" t="inlineStr">
        <is>
          <t>TN</t>
        </is>
      </c>
      <c r="Q558" s="10">
        <f>IFERROR(IFERROR(VLOOKUP(A558,TRAOPE!$A:$U,21,0),VLOOKUP(B558,TRAOPE!$A:$U,21,0)),"")</f>
        <v/>
      </c>
      <c r="R558" s="8">
        <f>IFERROR(IFERROR(VLOOKUP(A558,TRAOPE!$A:$W,23,0),VLOOKUP(B558,TRAOPE!$A:$W,23,0)),"")</f>
        <v/>
      </c>
      <c r="S558" s="10">
        <f>IF(AND(P558="TN",R558="TN"),N558+N(O558),IF(G558&amp;""="1",N(K558)*N558,(N558+N(O558))*N(K558)))</f>
        <v/>
      </c>
      <c r="T558" s="10">
        <f>IF(Q558="","",Q558-S558)</f>
        <v/>
      </c>
    </row>
    <row r="559">
      <c r="A559" s="7">
        <f>CONCATENATE(C559,E559,F559,I559)</f>
        <v/>
      </c>
      <c r="B559" s="7">
        <f>CONCATENATE(C559,E559,I559)</f>
        <v/>
      </c>
      <c r="C559" s="8" t="n">
        <v>900008250</v>
      </c>
      <c r="D559" s="7">
        <f>IFERROR(VLOOKUP(C559,TRAOPE!$G:$H,2,0),"")</f>
        <v/>
      </c>
      <c r="E559" s="8" t="inlineStr">
        <is>
          <t>DW68</t>
        </is>
      </c>
      <c r="F559" s="8" t="inlineStr">
        <is>
          <t>D228</t>
        </is>
      </c>
      <c r="G559" s="8">
        <f>IFERROR(VLOOKUP(A559,Flete!$A:$E,5,0),"")</f>
        <v/>
      </c>
      <c r="H559" s="7">
        <f>IFERROR(VLOOKUP(F559,TRAOPE!$AA:$AB,2,0),"")</f>
        <v/>
      </c>
      <c r="I559" s="7" t="n">
        <v>10004258</v>
      </c>
      <c r="J559" s="7">
        <f>IFERROR(VLOOKUP(I559,Materiales!$A:$H,8,0),"")</f>
        <v/>
      </c>
      <c r="K559" s="9">
        <f>IFERROR(VLOOKUP(I559,Materiales!$A:$G,7,0),"")</f>
        <v/>
      </c>
      <c r="L559" s="8" t="inlineStr">
        <is>
          <t>20230704</t>
        </is>
      </c>
      <c r="M559" s="8" t="inlineStr">
        <is>
          <t>20260215</t>
        </is>
      </c>
      <c r="N559" s="10" t="n">
        <v>401.96</v>
      </c>
      <c r="O559" s="10">
        <f>IFERROR(VLOOKUP(A559,Flete!$A:$J,10,0),"")</f>
        <v/>
      </c>
      <c r="P559" s="8" t="inlineStr">
        <is>
          <t>TN</t>
        </is>
      </c>
      <c r="Q559" s="10">
        <f>IFERROR(IFERROR(VLOOKUP(A559,TRAOPE!$A:$U,21,0),VLOOKUP(B559,TRAOPE!$A:$U,21,0)),"")</f>
        <v/>
      </c>
      <c r="R559" s="8">
        <f>IFERROR(IFERROR(VLOOKUP(A559,TRAOPE!$A:$W,23,0),VLOOKUP(B559,TRAOPE!$A:$W,23,0)),"")</f>
        <v/>
      </c>
      <c r="S559" s="10">
        <f>IF(AND(P559="TN",R559="TN"),N559+N(O559),IF(G559&amp;""="1",N(K559)*N559,(N559+N(O559))*N(K559)))</f>
        <v/>
      </c>
      <c r="T559" s="10">
        <f>IF(Q559="","",Q559-S559)</f>
        <v/>
      </c>
    </row>
    <row r="560">
      <c r="A560" s="7">
        <f>CONCATENATE(C560,E560,F560,I560)</f>
        <v/>
      </c>
      <c r="B560" s="7">
        <f>CONCATENATE(C560,E560,I560)</f>
        <v/>
      </c>
      <c r="C560" s="8" t="n">
        <v>900008250</v>
      </c>
      <c r="D560" s="7">
        <f>IFERROR(VLOOKUP(C560,TRAOPE!$G:$H,2,0),"")</f>
        <v/>
      </c>
      <c r="E560" s="8" t="inlineStr">
        <is>
          <t>DW68</t>
        </is>
      </c>
      <c r="F560" s="8" t="inlineStr">
        <is>
          <t>D228</t>
        </is>
      </c>
      <c r="G560" s="8">
        <f>IFERROR(VLOOKUP(A560,Flete!$A:$E,5,0),"")</f>
        <v/>
      </c>
      <c r="H560" s="7">
        <f>IFERROR(VLOOKUP(F560,TRAOPE!$AA:$AB,2,0),"")</f>
        <v/>
      </c>
      <c r="I560" s="7" t="n">
        <v>10148454</v>
      </c>
      <c r="J560" s="7">
        <f>IFERROR(VLOOKUP(I560,Materiales!$A:$H,8,0),"")</f>
        <v/>
      </c>
      <c r="K560" s="9">
        <f>IFERROR(VLOOKUP(I560,Materiales!$A:$G,7,0),"")</f>
        <v/>
      </c>
      <c r="L560" s="8" t="inlineStr">
        <is>
          <t>20230704</t>
        </is>
      </c>
      <c r="M560" s="8" t="inlineStr">
        <is>
          <t>20260215</t>
        </is>
      </c>
      <c r="N560" s="10" t="n">
        <v>208.33</v>
      </c>
      <c r="O560" s="10">
        <f>IFERROR(VLOOKUP(A560,Flete!$A:$J,10,0),"")</f>
        <v/>
      </c>
      <c r="P560" s="8" t="inlineStr">
        <is>
          <t>TN</t>
        </is>
      </c>
      <c r="Q560" s="10">
        <f>IFERROR(IFERROR(VLOOKUP(A560,TRAOPE!$A:$U,21,0),VLOOKUP(B560,TRAOPE!$A:$U,21,0)),"")</f>
        <v/>
      </c>
      <c r="R560" s="8">
        <f>IFERROR(IFERROR(VLOOKUP(A560,TRAOPE!$A:$W,23,0),VLOOKUP(B560,TRAOPE!$A:$W,23,0)),"")</f>
        <v/>
      </c>
      <c r="S560" s="10">
        <f>IF(AND(P560="TN",R560="TN"),N560+N(O560),IF(G560&amp;""="1",N(K560)*N560,(N560+N(O560))*N(K560)))</f>
        <v/>
      </c>
      <c r="T560" s="10">
        <f>IF(Q560="","",Q560-S560)</f>
        <v/>
      </c>
    </row>
    <row r="561">
      <c r="A561" s="7">
        <f>CONCATENATE(C561,E561,F561,I561)</f>
        <v/>
      </c>
      <c r="B561" s="7">
        <f>CONCATENATE(C561,E561,I561)</f>
        <v/>
      </c>
      <c r="C561" s="8" t="n">
        <v>900008250</v>
      </c>
      <c r="D561" s="7">
        <f>IFERROR(VLOOKUP(C561,TRAOPE!$G:$H,2,0),"")</f>
        <v/>
      </c>
      <c r="E561" s="8" t="inlineStr">
        <is>
          <t>DW68</t>
        </is>
      </c>
      <c r="F561" s="8" t="inlineStr">
        <is>
          <t>D242</t>
        </is>
      </c>
      <c r="G561" s="8">
        <f>IFERROR(VLOOKUP(A561,Flete!$A:$E,5,0),"")</f>
        <v/>
      </c>
      <c r="H561" s="7">
        <f>IFERROR(VLOOKUP(F561,TRAOPE!$AA:$AB,2,0),"")</f>
        <v/>
      </c>
      <c r="I561" s="7" t="n">
        <v>10000191</v>
      </c>
      <c r="J561" s="7">
        <f>IFERROR(VLOOKUP(I561,Materiales!$A:$H,8,0),"")</f>
        <v/>
      </c>
      <c r="K561" s="9">
        <f>IFERROR(VLOOKUP(I561,Materiales!$A:$G,7,0),"")</f>
        <v/>
      </c>
      <c r="L561" s="8" t="inlineStr">
        <is>
          <t>20230704</t>
        </is>
      </c>
      <c r="M561" s="8" t="inlineStr">
        <is>
          <t>20260215</t>
        </is>
      </c>
      <c r="N561" s="10" t="n">
        <v>212.77</v>
      </c>
      <c r="O561" s="10">
        <f>IFERROR(VLOOKUP(A561,Flete!$A:$J,10,0),"")</f>
        <v/>
      </c>
      <c r="P561" s="8" t="inlineStr">
        <is>
          <t>TN</t>
        </is>
      </c>
      <c r="Q561" s="10">
        <f>IFERROR(IFERROR(VLOOKUP(A561,TRAOPE!$A:$U,21,0),VLOOKUP(B561,TRAOPE!$A:$U,21,0)),"")</f>
        <v/>
      </c>
      <c r="R561" s="8">
        <f>IFERROR(IFERROR(VLOOKUP(A561,TRAOPE!$A:$W,23,0),VLOOKUP(B561,TRAOPE!$A:$W,23,0)),"")</f>
        <v/>
      </c>
      <c r="S561" s="10">
        <f>IF(AND(P561="TN",R561="TN"),N561+N(O561),IF(G561&amp;""="1",N(K561)*N561,(N561+N(O561))*N(K561)))</f>
        <v/>
      </c>
      <c r="T561" s="10">
        <f>IF(Q561="","",Q561-S561)</f>
        <v/>
      </c>
    </row>
    <row r="562">
      <c r="A562" s="7">
        <f>CONCATENATE(C562,E562,F562,I562)</f>
        <v/>
      </c>
      <c r="B562" s="7">
        <f>CONCATENATE(C562,E562,I562)</f>
        <v/>
      </c>
      <c r="C562" s="8" t="n">
        <v>900008250</v>
      </c>
      <c r="D562" s="7">
        <f>IFERROR(VLOOKUP(C562,TRAOPE!$G:$H,2,0),"")</f>
        <v/>
      </c>
      <c r="E562" s="8" t="inlineStr">
        <is>
          <t>DW68</t>
        </is>
      </c>
      <c r="F562" s="8" t="inlineStr">
        <is>
          <t>D242</t>
        </is>
      </c>
      <c r="G562" s="8">
        <f>IFERROR(VLOOKUP(A562,Flete!$A:$E,5,0),"")</f>
        <v/>
      </c>
      <c r="H562" s="7">
        <f>IFERROR(VLOOKUP(F562,TRAOPE!$AA:$AB,2,0),"")</f>
        <v/>
      </c>
      <c r="I562" s="7" t="n">
        <v>10000388</v>
      </c>
      <c r="J562" s="7">
        <f>IFERROR(VLOOKUP(I562,Materiales!$A:$H,8,0),"")</f>
        <v/>
      </c>
      <c r="K562" s="9">
        <f>IFERROR(VLOOKUP(I562,Materiales!$A:$G,7,0),"")</f>
        <v/>
      </c>
      <c r="L562" s="8" t="inlineStr">
        <is>
          <t>20230704</t>
        </is>
      </c>
      <c r="M562" s="8" t="inlineStr">
        <is>
          <t>20260215</t>
        </is>
      </c>
      <c r="N562" s="10" t="n">
        <v>197.13</v>
      </c>
      <c r="O562" s="10">
        <f>IFERROR(VLOOKUP(A562,Flete!$A:$J,10,0),"")</f>
        <v/>
      </c>
      <c r="P562" s="8" t="inlineStr">
        <is>
          <t>TN</t>
        </is>
      </c>
      <c r="Q562" s="10">
        <f>IFERROR(IFERROR(VLOOKUP(A562,TRAOPE!$A:$U,21,0),VLOOKUP(B562,TRAOPE!$A:$U,21,0)),"")</f>
        <v/>
      </c>
      <c r="R562" s="8">
        <f>IFERROR(IFERROR(VLOOKUP(A562,TRAOPE!$A:$W,23,0),VLOOKUP(B562,TRAOPE!$A:$W,23,0)),"")</f>
        <v/>
      </c>
      <c r="S562" s="10">
        <f>IF(AND(P562="TN",R562="TN"),N562+N(O562),IF(G562&amp;""="1",N(K562)*N562,(N562+N(O562))*N(K562)))</f>
        <v/>
      </c>
      <c r="T562" s="10">
        <f>IF(Q562="","",Q562-S562)</f>
        <v/>
      </c>
    </row>
    <row r="563">
      <c r="A563" s="7">
        <f>CONCATENATE(C563,E563,F563,I563)</f>
        <v/>
      </c>
      <c r="B563" s="7">
        <f>CONCATENATE(C563,E563,I563)</f>
        <v/>
      </c>
      <c r="C563" s="8" t="n">
        <v>900008250</v>
      </c>
      <c r="D563" s="7">
        <f>IFERROR(VLOOKUP(C563,TRAOPE!$G:$H,2,0),"")</f>
        <v/>
      </c>
      <c r="E563" s="8" t="inlineStr">
        <is>
          <t>DW68</t>
        </is>
      </c>
      <c r="F563" s="8" t="inlineStr">
        <is>
          <t>D242</t>
        </is>
      </c>
      <c r="G563" s="8">
        <f>IFERROR(VLOOKUP(A563,Flete!$A:$E,5,0),"")</f>
        <v/>
      </c>
      <c r="H563" s="7">
        <f>IFERROR(VLOOKUP(F563,TRAOPE!$AA:$AB,2,0),"")</f>
        <v/>
      </c>
      <c r="I563" s="7" t="n">
        <v>10004258</v>
      </c>
      <c r="J563" s="7">
        <f>IFERROR(VLOOKUP(I563,Materiales!$A:$H,8,0),"")</f>
        <v/>
      </c>
      <c r="K563" s="9">
        <f>IFERROR(VLOOKUP(I563,Materiales!$A:$G,7,0),"")</f>
        <v/>
      </c>
      <c r="L563" s="8" t="inlineStr">
        <is>
          <t>20230704</t>
        </is>
      </c>
      <c r="M563" s="8" t="inlineStr">
        <is>
          <t>20260215</t>
        </is>
      </c>
      <c r="N563" s="10" t="n">
        <v>401.96</v>
      </c>
      <c r="O563" s="10">
        <f>IFERROR(VLOOKUP(A563,Flete!$A:$J,10,0),"")</f>
        <v/>
      </c>
      <c r="P563" s="8" t="inlineStr">
        <is>
          <t>TN</t>
        </is>
      </c>
      <c r="Q563" s="10">
        <f>IFERROR(IFERROR(VLOOKUP(A563,TRAOPE!$A:$U,21,0),VLOOKUP(B563,TRAOPE!$A:$U,21,0)),"")</f>
        <v/>
      </c>
      <c r="R563" s="8">
        <f>IFERROR(IFERROR(VLOOKUP(A563,TRAOPE!$A:$W,23,0),VLOOKUP(B563,TRAOPE!$A:$W,23,0)),"")</f>
        <v/>
      </c>
      <c r="S563" s="10">
        <f>IF(AND(P563="TN",R563="TN"),N563+N(O563),IF(G563&amp;""="1",N(K563)*N563,(N563+N(O563))*N(K563)))</f>
        <v/>
      </c>
      <c r="T563" s="10">
        <f>IF(Q563="","",Q563-S563)</f>
        <v/>
      </c>
    </row>
    <row r="564">
      <c r="A564" s="7">
        <f>CONCATENATE(C564,E564,F564,I564)</f>
        <v/>
      </c>
      <c r="B564" s="7">
        <f>CONCATENATE(C564,E564,I564)</f>
        <v/>
      </c>
      <c r="C564" s="8" t="n">
        <v>900008250</v>
      </c>
      <c r="D564" s="7">
        <f>IFERROR(VLOOKUP(C564,TRAOPE!$G:$H,2,0),"")</f>
        <v/>
      </c>
      <c r="E564" s="8" t="inlineStr">
        <is>
          <t>DW68</t>
        </is>
      </c>
      <c r="F564" s="8" t="inlineStr">
        <is>
          <t>D242</t>
        </is>
      </c>
      <c r="G564" s="8">
        <f>IFERROR(VLOOKUP(A564,Flete!$A:$E,5,0),"")</f>
        <v/>
      </c>
      <c r="H564" s="7">
        <f>IFERROR(VLOOKUP(F564,TRAOPE!$AA:$AB,2,0),"")</f>
        <v/>
      </c>
      <c r="I564" s="7" t="n">
        <v>10148454</v>
      </c>
      <c r="J564" s="7">
        <f>IFERROR(VLOOKUP(I564,Materiales!$A:$H,8,0),"")</f>
        <v/>
      </c>
      <c r="K564" s="9">
        <f>IFERROR(VLOOKUP(I564,Materiales!$A:$G,7,0),"")</f>
        <v/>
      </c>
      <c r="L564" s="8" t="inlineStr">
        <is>
          <t>20230704</t>
        </is>
      </c>
      <c r="M564" s="8" t="inlineStr">
        <is>
          <t>20260215</t>
        </is>
      </c>
      <c r="N564" s="10" t="n">
        <v>208.33</v>
      </c>
      <c r="O564" s="10">
        <f>IFERROR(VLOOKUP(A564,Flete!$A:$J,10,0),"")</f>
        <v/>
      </c>
      <c r="P564" s="8" t="inlineStr">
        <is>
          <t>TN</t>
        </is>
      </c>
      <c r="Q564" s="10">
        <f>IFERROR(IFERROR(VLOOKUP(A564,TRAOPE!$A:$U,21,0),VLOOKUP(B564,TRAOPE!$A:$U,21,0)),"")</f>
        <v/>
      </c>
      <c r="R564" s="8">
        <f>IFERROR(IFERROR(VLOOKUP(A564,TRAOPE!$A:$W,23,0),VLOOKUP(B564,TRAOPE!$A:$W,23,0)),"")</f>
        <v/>
      </c>
      <c r="S564" s="10">
        <f>IF(AND(P564="TN",R564="TN"),N564+N(O564),IF(G564&amp;""="1",N(K564)*N564,(N564+N(O564))*N(K564)))</f>
        <v/>
      </c>
      <c r="T564" s="10">
        <f>IF(Q564="","",Q564-S564)</f>
        <v/>
      </c>
    </row>
    <row r="565">
      <c r="A565" s="7">
        <f>CONCATENATE(C565,E565,F565,I565)</f>
        <v/>
      </c>
      <c r="B565" s="7">
        <f>CONCATENATE(C565,E565,I565)</f>
        <v/>
      </c>
      <c r="C565" s="8" t="n">
        <v>900008250</v>
      </c>
      <c r="D565" s="7">
        <f>IFERROR(VLOOKUP(C565,TRAOPE!$G:$H,2,0),"")</f>
        <v/>
      </c>
      <c r="E565" s="8" t="inlineStr">
        <is>
          <t>DW68</t>
        </is>
      </c>
      <c r="F565" s="8" t="inlineStr">
        <is>
          <t>D247</t>
        </is>
      </c>
      <c r="G565" s="8">
        <f>IFERROR(VLOOKUP(A565,Flete!$A:$E,5,0),"")</f>
        <v/>
      </c>
      <c r="H565" s="7">
        <f>IFERROR(VLOOKUP(F565,TRAOPE!$AA:$AB,2,0),"")</f>
        <v/>
      </c>
      <c r="I565" s="7" t="n">
        <v>10000191</v>
      </c>
      <c r="J565" s="7">
        <f>IFERROR(VLOOKUP(I565,Materiales!$A:$H,8,0),"")</f>
        <v/>
      </c>
      <c r="K565" s="9">
        <f>IFERROR(VLOOKUP(I565,Materiales!$A:$G,7,0),"")</f>
        <v/>
      </c>
      <c r="L565" s="8" t="inlineStr">
        <is>
          <t>20230704</t>
        </is>
      </c>
      <c r="M565" s="8" t="inlineStr">
        <is>
          <t>20260215</t>
        </is>
      </c>
      <c r="N565" s="10" t="n">
        <v>212.77</v>
      </c>
      <c r="O565" s="10">
        <f>IFERROR(VLOOKUP(A565,Flete!$A:$J,10,0),"")</f>
        <v/>
      </c>
      <c r="P565" s="8" t="inlineStr">
        <is>
          <t>TN</t>
        </is>
      </c>
      <c r="Q565" s="10">
        <f>IFERROR(IFERROR(VLOOKUP(A565,TRAOPE!$A:$U,21,0),VLOOKUP(B565,TRAOPE!$A:$U,21,0)),"")</f>
        <v/>
      </c>
      <c r="R565" s="8">
        <f>IFERROR(IFERROR(VLOOKUP(A565,TRAOPE!$A:$W,23,0),VLOOKUP(B565,TRAOPE!$A:$W,23,0)),"")</f>
        <v/>
      </c>
      <c r="S565" s="10">
        <f>IF(AND(P565="TN",R565="TN"),N565+N(O565),IF(G565&amp;""="1",N(K565)*N565,(N565+N(O565))*N(K565)))</f>
        <v/>
      </c>
      <c r="T565" s="10">
        <f>IF(Q565="","",Q565-S565)</f>
        <v/>
      </c>
    </row>
    <row r="566">
      <c r="A566" s="7">
        <f>CONCATENATE(C566,E566,F566,I566)</f>
        <v/>
      </c>
      <c r="B566" s="7">
        <f>CONCATENATE(C566,E566,I566)</f>
        <v/>
      </c>
      <c r="C566" s="8" t="n">
        <v>900008250</v>
      </c>
      <c r="D566" s="7">
        <f>IFERROR(VLOOKUP(C566,TRAOPE!$G:$H,2,0),"")</f>
        <v/>
      </c>
      <c r="E566" s="8" t="inlineStr">
        <is>
          <t>DW68</t>
        </is>
      </c>
      <c r="F566" s="8" t="inlineStr">
        <is>
          <t>D247</t>
        </is>
      </c>
      <c r="G566" s="8">
        <f>IFERROR(VLOOKUP(A566,Flete!$A:$E,5,0),"")</f>
        <v/>
      </c>
      <c r="H566" s="7">
        <f>IFERROR(VLOOKUP(F566,TRAOPE!$AA:$AB,2,0),"")</f>
        <v/>
      </c>
      <c r="I566" s="7" t="n">
        <v>10000388</v>
      </c>
      <c r="J566" s="7">
        <f>IFERROR(VLOOKUP(I566,Materiales!$A:$H,8,0),"")</f>
        <v/>
      </c>
      <c r="K566" s="9">
        <f>IFERROR(VLOOKUP(I566,Materiales!$A:$G,7,0),"")</f>
        <v/>
      </c>
      <c r="L566" s="8" t="inlineStr">
        <is>
          <t>20230704</t>
        </is>
      </c>
      <c r="M566" s="8" t="inlineStr">
        <is>
          <t>20260215</t>
        </is>
      </c>
      <c r="N566" s="10" t="n">
        <v>197.13</v>
      </c>
      <c r="O566" s="10">
        <f>IFERROR(VLOOKUP(A566,Flete!$A:$J,10,0),"")</f>
        <v/>
      </c>
      <c r="P566" s="8" t="inlineStr">
        <is>
          <t>TN</t>
        </is>
      </c>
      <c r="Q566" s="10">
        <f>IFERROR(IFERROR(VLOOKUP(A566,TRAOPE!$A:$U,21,0),VLOOKUP(B566,TRAOPE!$A:$U,21,0)),"")</f>
        <v/>
      </c>
      <c r="R566" s="8">
        <f>IFERROR(IFERROR(VLOOKUP(A566,TRAOPE!$A:$W,23,0),VLOOKUP(B566,TRAOPE!$A:$W,23,0)),"")</f>
        <v/>
      </c>
      <c r="S566" s="10">
        <f>IF(AND(P566="TN",R566="TN"),N566+N(O566),IF(G566&amp;""="1",N(K566)*N566,(N566+N(O566))*N(K566)))</f>
        <v/>
      </c>
      <c r="T566" s="10">
        <f>IF(Q566="","",Q566-S566)</f>
        <v/>
      </c>
    </row>
    <row r="567">
      <c r="A567" s="7">
        <f>CONCATENATE(C567,E567,F567,I567)</f>
        <v/>
      </c>
      <c r="B567" s="7">
        <f>CONCATENATE(C567,E567,I567)</f>
        <v/>
      </c>
      <c r="C567" s="8" t="n">
        <v>900008250</v>
      </c>
      <c r="D567" s="7">
        <f>IFERROR(VLOOKUP(C567,TRAOPE!$G:$H,2,0),"")</f>
        <v/>
      </c>
      <c r="E567" s="8" t="inlineStr">
        <is>
          <t>DW68</t>
        </is>
      </c>
      <c r="F567" s="8" t="inlineStr">
        <is>
          <t>D247</t>
        </is>
      </c>
      <c r="G567" s="8">
        <f>IFERROR(VLOOKUP(A567,Flete!$A:$E,5,0),"")</f>
        <v/>
      </c>
      <c r="H567" s="7">
        <f>IFERROR(VLOOKUP(F567,TRAOPE!$AA:$AB,2,0),"")</f>
        <v/>
      </c>
      <c r="I567" s="7" t="n">
        <v>10004258</v>
      </c>
      <c r="J567" s="7">
        <f>IFERROR(VLOOKUP(I567,Materiales!$A:$H,8,0),"")</f>
        <v/>
      </c>
      <c r="K567" s="9">
        <f>IFERROR(VLOOKUP(I567,Materiales!$A:$G,7,0),"")</f>
        <v/>
      </c>
      <c r="L567" s="8" t="inlineStr">
        <is>
          <t>20230704</t>
        </is>
      </c>
      <c r="M567" s="8" t="inlineStr">
        <is>
          <t>20260215</t>
        </is>
      </c>
      <c r="N567" s="10" t="n">
        <v>401.96</v>
      </c>
      <c r="O567" s="10">
        <f>IFERROR(VLOOKUP(A567,Flete!$A:$J,10,0),"")</f>
        <v/>
      </c>
      <c r="P567" s="8" t="inlineStr">
        <is>
          <t>TN</t>
        </is>
      </c>
      <c r="Q567" s="10">
        <f>IFERROR(IFERROR(VLOOKUP(A567,TRAOPE!$A:$U,21,0),VLOOKUP(B567,TRAOPE!$A:$U,21,0)),"")</f>
        <v/>
      </c>
      <c r="R567" s="8">
        <f>IFERROR(IFERROR(VLOOKUP(A567,TRAOPE!$A:$W,23,0),VLOOKUP(B567,TRAOPE!$A:$W,23,0)),"")</f>
        <v/>
      </c>
      <c r="S567" s="10">
        <f>IF(AND(P567="TN",R567="TN"),N567+N(O567),IF(G567&amp;""="1",N(K567)*N567,(N567+N(O567))*N(K567)))</f>
        <v/>
      </c>
      <c r="T567" s="10">
        <f>IF(Q567="","",Q567-S567)</f>
        <v/>
      </c>
    </row>
    <row r="568">
      <c r="A568" s="7">
        <f>CONCATENATE(C568,E568,F568,I568)</f>
        <v/>
      </c>
      <c r="B568" s="7">
        <f>CONCATENATE(C568,E568,I568)</f>
        <v/>
      </c>
      <c r="C568" s="8" t="n">
        <v>900008250</v>
      </c>
      <c r="D568" s="7">
        <f>IFERROR(VLOOKUP(C568,TRAOPE!$G:$H,2,0),"")</f>
        <v/>
      </c>
      <c r="E568" s="8" t="inlineStr">
        <is>
          <t>DW68</t>
        </is>
      </c>
      <c r="F568" s="8" t="inlineStr">
        <is>
          <t>D247</t>
        </is>
      </c>
      <c r="G568" s="8">
        <f>IFERROR(VLOOKUP(A568,Flete!$A:$E,5,0),"")</f>
        <v/>
      </c>
      <c r="H568" s="7">
        <f>IFERROR(VLOOKUP(F568,TRAOPE!$AA:$AB,2,0),"")</f>
        <v/>
      </c>
      <c r="I568" s="7" t="n">
        <v>10148454</v>
      </c>
      <c r="J568" s="7">
        <f>IFERROR(VLOOKUP(I568,Materiales!$A:$H,8,0),"")</f>
        <v/>
      </c>
      <c r="K568" s="9">
        <f>IFERROR(VLOOKUP(I568,Materiales!$A:$G,7,0),"")</f>
        <v/>
      </c>
      <c r="L568" s="8" t="inlineStr">
        <is>
          <t>20230704</t>
        </is>
      </c>
      <c r="M568" s="8" t="inlineStr">
        <is>
          <t>20260215</t>
        </is>
      </c>
      <c r="N568" s="10" t="n">
        <v>208.33</v>
      </c>
      <c r="O568" s="10">
        <f>IFERROR(VLOOKUP(A568,Flete!$A:$J,10,0),"")</f>
        <v/>
      </c>
      <c r="P568" s="8" t="inlineStr">
        <is>
          <t>TN</t>
        </is>
      </c>
      <c r="Q568" s="10">
        <f>IFERROR(IFERROR(VLOOKUP(A568,TRAOPE!$A:$U,21,0),VLOOKUP(B568,TRAOPE!$A:$U,21,0)),"")</f>
        <v/>
      </c>
      <c r="R568" s="8">
        <f>IFERROR(IFERROR(VLOOKUP(A568,TRAOPE!$A:$W,23,0),VLOOKUP(B568,TRAOPE!$A:$W,23,0)),"")</f>
        <v/>
      </c>
      <c r="S568" s="10">
        <f>IF(AND(P568="TN",R568="TN"),N568+N(O568),IF(G568&amp;""="1",N(K568)*N568,(N568+N(O568))*N(K568)))</f>
        <v/>
      </c>
      <c r="T568" s="10">
        <f>IF(Q568="","",Q568-S568)</f>
        <v/>
      </c>
    </row>
    <row r="569">
      <c r="A569" s="7">
        <f>CONCATENATE(C569,E569,F569,I569)</f>
        <v/>
      </c>
      <c r="B569" s="7">
        <f>CONCATENATE(C569,E569,I569)</f>
        <v/>
      </c>
      <c r="C569" s="8" t="n">
        <v>900008250</v>
      </c>
      <c r="D569" s="7">
        <f>IFERROR(VLOOKUP(C569,TRAOPE!$G:$H,2,0),"")</f>
        <v/>
      </c>
      <c r="E569" s="8" t="inlineStr">
        <is>
          <t>DW68</t>
        </is>
      </c>
      <c r="F569" s="8" t="inlineStr">
        <is>
          <t>D251</t>
        </is>
      </c>
      <c r="G569" s="8">
        <f>IFERROR(VLOOKUP(A569,Flete!$A:$E,5,0),"")</f>
        <v/>
      </c>
      <c r="H569" s="7">
        <f>IFERROR(VLOOKUP(F569,TRAOPE!$AA:$AB,2,0),"")</f>
        <v/>
      </c>
      <c r="I569" s="7" t="n">
        <v>10000191</v>
      </c>
      <c r="J569" s="7">
        <f>IFERROR(VLOOKUP(I569,Materiales!$A:$H,8,0),"")</f>
        <v/>
      </c>
      <c r="K569" s="9">
        <f>IFERROR(VLOOKUP(I569,Materiales!$A:$G,7,0),"")</f>
        <v/>
      </c>
      <c r="L569" s="8" t="inlineStr">
        <is>
          <t>20230704</t>
        </is>
      </c>
      <c r="M569" s="8" t="inlineStr">
        <is>
          <t>20260215</t>
        </is>
      </c>
      <c r="N569" s="10" t="n">
        <v>212.77</v>
      </c>
      <c r="O569" s="10">
        <f>IFERROR(VLOOKUP(A569,Flete!$A:$J,10,0),"")</f>
        <v/>
      </c>
      <c r="P569" s="8" t="inlineStr">
        <is>
          <t>TN</t>
        </is>
      </c>
      <c r="Q569" s="10">
        <f>IFERROR(IFERROR(VLOOKUP(A569,TRAOPE!$A:$U,21,0),VLOOKUP(B569,TRAOPE!$A:$U,21,0)),"")</f>
        <v/>
      </c>
      <c r="R569" s="8">
        <f>IFERROR(IFERROR(VLOOKUP(A569,TRAOPE!$A:$W,23,0),VLOOKUP(B569,TRAOPE!$A:$W,23,0)),"")</f>
        <v/>
      </c>
      <c r="S569" s="10">
        <f>IF(AND(P569="TN",R569="TN"),N569+N(O569),IF(G569&amp;""="1",N(K569)*N569,(N569+N(O569))*N(K569)))</f>
        <v/>
      </c>
      <c r="T569" s="10">
        <f>IF(Q569="","",Q569-S569)</f>
        <v/>
      </c>
    </row>
    <row r="570">
      <c r="A570" s="7">
        <f>CONCATENATE(C570,E570,F570,I570)</f>
        <v/>
      </c>
      <c r="B570" s="7">
        <f>CONCATENATE(C570,E570,I570)</f>
        <v/>
      </c>
      <c r="C570" s="8" t="n">
        <v>900008250</v>
      </c>
      <c r="D570" s="7">
        <f>IFERROR(VLOOKUP(C570,TRAOPE!$G:$H,2,0),"")</f>
        <v/>
      </c>
      <c r="E570" s="8" t="inlineStr">
        <is>
          <t>DW68</t>
        </is>
      </c>
      <c r="F570" s="8" t="inlineStr">
        <is>
          <t>D251</t>
        </is>
      </c>
      <c r="G570" s="8">
        <f>IFERROR(VLOOKUP(A570,Flete!$A:$E,5,0),"")</f>
        <v/>
      </c>
      <c r="H570" s="7">
        <f>IFERROR(VLOOKUP(F570,TRAOPE!$AA:$AB,2,0),"")</f>
        <v/>
      </c>
      <c r="I570" s="7" t="n">
        <v>10000388</v>
      </c>
      <c r="J570" s="7">
        <f>IFERROR(VLOOKUP(I570,Materiales!$A:$H,8,0),"")</f>
        <v/>
      </c>
      <c r="K570" s="9">
        <f>IFERROR(VLOOKUP(I570,Materiales!$A:$G,7,0),"")</f>
        <v/>
      </c>
      <c r="L570" s="8" t="inlineStr">
        <is>
          <t>20230704</t>
        </is>
      </c>
      <c r="M570" s="8" t="inlineStr">
        <is>
          <t>20260215</t>
        </is>
      </c>
      <c r="N570" s="10" t="n">
        <v>197.13</v>
      </c>
      <c r="O570" s="10">
        <f>IFERROR(VLOOKUP(A570,Flete!$A:$J,10,0),"")</f>
        <v/>
      </c>
      <c r="P570" s="8" t="inlineStr">
        <is>
          <t>TN</t>
        </is>
      </c>
      <c r="Q570" s="10">
        <f>IFERROR(IFERROR(VLOOKUP(A570,TRAOPE!$A:$U,21,0),VLOOKUP(B570,TRAOPE!$A:$U,21,0)),"")</f>
        <v/>
      </c>
      <c r="R570" s="8">
        <f>IFERROR(IFERROR(VLOOKUP(A570,TRAOPE!$A:$W,23,0),VLOOKUP(B570,TRAOPE!$A:$W,23,0)),"")</f>
        <v/>
      </c>
      <c r="S570" s="10">
        <f>IF(AND(P570="TN",R570="TN"),N570+N(O570),IF(G570&amp;""="1",N(K570)*N570,(N570+N(O570))*N(K570)))</f>
        <v/>
      </c>
      <c r="T570" s="10">
        <f>IF(Q570="","",Q570-S570)</f>
        <v/>
      </c>
    </row>
    <row r="571">
      <c r="A571" s="7">
        <f>CONCATENATE(C571,E571,F571,I571)</f>
        <v/>
      </c>
      <c r="B571" s="7">
        <f>CONCATENATE(C571,E571,I571)</f>
        <v/>
      </c>
      <c r="C571" s="8" t="n">
        <v>900008250</v>
      </c>
      <c r="D571" s="7">
        <f>IFERROR(VLOOKUP(C571,TRAOPE!$G:$H,2,0),"")</f>
        <v/>
      </c>
      <c r="E571" s="8" t="inlineStr">
        <is>
          <t>DW68</t>
        </is>
      </c>
      <c r="F571" s="8" t="inlineStr">
        <is>
          <t>D251</t>
        </is>
      </c>
      <c r="G571" s="8">
        <f>IFERROR(VLOOKUP(A571,Flete!$A:$E,5,0),"")</f>
        <v/>
      </c>
      <c r="H571" s="7">
        <f>IFERROR(VLOOKUP(F571,TRAOPE!$AA:$AB,2,0),"")</f>
        <v/>
      </c>
      <c r="I571" s="7" t="n">
        <v>10004258</v>
      </c>
      <c r="J571" s="7">
        <f>IFERROR(VLOOKUP(I571,Materiales!$A:$H,8,0),"")</f>
        <v/>
      </c>
      <c r="K571" s="9">
        <f>IFERROR(VLOOKUP(I571,Materiales!$A:$G,7,0),"")</f>
        <v/>
      </c>
      <c r="L571" s="8" t="inlineStr">
        <is>
          <t>20230704</t>
        </is>
      </c>
      <c r="M571" s="8" t="inlineStr">
        <is>
          <t>20260215</t>
        </is>
      </c>
      <c r="N571" s="10" t="n">
        <v>401.96</v>
      </c>
      <c r="O571" s="10">
        <f>IFERROR(VLOOKUP(A571,Flete!$A:$J,10,0),"")</f>
        <v/>
      </c>
      <c r="P571" s="8" t="inlineStr">
        <is>
          <t>TN</t>
        </is>
      </c>
      <c r="Q571" s="10">
        <f>IFERROR(IFERROR(VLOOKUP(A571,TRAOPE!$A:$U,21,0),VLOOKUP(B571,TRAOPE!$A:$U,21,0)),"")</f>
        <v/>
      </c>
      <c r="R571" s="8">
        <f>IFERROR(IFERROR(VLOOKUP(A571,TRAOPE!$A:$W,23,0),VLOOKUP(B571,TRAOPE!$A:$W,23,0)),"")</f>
        <v/>
      </c>
      <c r="S571" s="10">
        <f>IF(AND(P571="TN",R571="TN"),N571+N(O571),IF(G571&amp;""="1",N(K571)*N571,(N571+N(O571))*N(K571)))</f>
        <v/>
      </c>
      <c r="T571" s="10">
        <f>IF(Q571="","",Q571-S571)</f>
        <v/>
      </c>
    </row>
    <row r="572">
      <c r="A572" s="7">
        <f>CONCATENATE(C572,E572,F572,I572)</f>
        <v/>
      </c>
      <c r="B572" s="7">
        <f>CONCATENATE(C572,E572,I572)</f>
        <v/>
      </c>
      <c r="C572" s="8" t="n">
        <v>900008250</v>
      </c>
      <c r="D572" s="7">
        <f>IFERROR(VLOOKUP(C572,TRAOPE!$G:$H,2,0),"")</f>
        <v/>
      </c>
      <c r="E572" s="8" t="inlineStr">
        <is>
          <t>DW68</t>
        </is>
      </c>
      <c r="F572" s="8" t="inlineStr">
        <is>
          <t>D251</t>
        </is>
      </c>
      <c r="G572" s="8">
        <f>IFERROR(VLOOKUP(A572,Flete!$A:$E,5,0),"")</f>
        <v/>
      </c>
      <c r="H572" s="7">
        <f>IFERROR(VLOOKUP(F572,TRAOPE!$AA:$AB,2,0),"")</f>
        <v/>
      </c>
      <c r="I572" s="7" t="n">
        <v>10148454</v>
      </c>
      <c r="J572" s="7">
        <f>IFERROR(VLOOKUP(I572,Materiales!$A:$H,8,0),"")</f>
        <v/>
      </c>
      <c r="K572" s="9">
        <f>IFERROR(VLOOKUP(I572,Materiales!$A:$G,7,0),"")</f>
        <v/>
      </c>
      <c r="L572" s="8" t="inlineStr">
        <is>
          <t>20230704</t>
        </is>
      </c>
      <c r="M572" s="8" t="inlineStr">
        <is>
          <t>20260215</t>
        </is>
      </c>
      <c r="N572" s="10" t="n">
        <v>208.33</v>
      </c>
      <c r="O572" s="10">
        <f>IFERROR(VLOOKUP(A572,Flete!$A:$J,10,0),"")</f>
        <v/>
      </c>
      <c r="P572" s="8" t="inlineStr">
        <is>
          <t>TN</t>
        </is>
      </c>
      <c r="Q572" s="10">
        <f>IFERROR(IFERROR(VLOOKUP(A572,TRAOPE!$A:$U,21,0),VLOOKUP(B572,TRAOPE!$A:$U,21,0)),"")</f>
        <v/>
      </c>
      <c r="R572" s="8">
        <f>IFERROR(IFERROR(VLOOKUP(A572,TRAOPE!$A:$W,23,0),VLOOKUP(B572,TRAOPE!$A:$W,23,0)),"")</f>
        <v/>
      </c>
      <c r="S572" s="10">
        <f>IF(AND(P572="TN",R572="TN"),N572+N(O572),IF(G572&amp;""="1",N(K572)*N572,(N572+N(O572))*N(K572)))</f>
        <v/>
      </c>
      <c r="T572" s="10">
        <f>IF(Q572="","",Q572-S572)</f>
        <v/>
      </c>
    </row>
    <row r="573">
      <c r="A573" s="7">
        <f>CONCATENATE(C573,E573,F573,I573)</f>
        <v/>
      </c>
      <c r="B573" s="7">
        <f>CONCATENATE(C573,E573,I573)</f>
        <v/>
      </c>
      <c r="C573" s="8" t="n">
        <v>900008250</v>
      </c>
      <c r="D573" s="7">
        <f>IFERROR(VLOOKUP(C573,TRAOPE!$G:$H,2,0),"")</f>
        <v/>
      </c>
      <c r="E573" s="8" t="inlineStr">
        <is>
          <t>DW68</t>
        </is>
      </c>
      <c r="F573" s="8" t="inlineStr">
        <is>
          <t>D264</t>
        </is>
      </c>
      <c r="G573" s="8">
        <f>IFERROR(VLOOKUP(A573,Flete!$A:$E,5,0),"")</f>
        <v/>
      </c>
      <c r="H573" s="7">
        <f>IFERROR(VLOOKUP(F573,TRAOPE!$AA:$AB,2,0),"")</f>
        <v/>
      </c>
      <c r="I573" s="7" t="n">
        <v>10000191</v>
      </c>
      <c r="J573" s="7">
        <f>IFERROR(VLOOKUP(I573,Materiales!$A:$H,8,0),"")</f>
        <v/>
      </c>
      <c r="K573" s="9">
        <f>IFERROR(VLOOKUP(I573,Materiales!$A:$G,7,0),"")</f>
        <v/>
      </c>
      <c r="L573" s="8" t="inlineStr">
        <is>
          <t>20230704</t>
        </is>
      </c>
      <c r="M573" s="8" t="inlineStr">
        <is>
          <t>20260215</t>
        </is>
      </c>
      <c r="N573" s="10" t="n">
        <v>212.77</v>
      </c>
      <c r="O573" s="10">
        <f>IFERROR(VLOOKUP(A573,Flete!$A:$J,10,0),"")</f>
        <v/>
      </c>
      <c r="P573" s="8" t="inlineStr">
        <is>
          <t>TN</t>
        </is>
      </c>
      <c r="Q573" s="10">
        <f>IFERROR(IFERROR(VLOOKUP(A573,TRAOPE!$A:$U,21,0),VLOOKUP(B573,TRAOPE!$A:$U,21,0)),"")</f>
        <v/>
      </c>
      <c r="R573" s="8">
        <f>IFERROR(IFERROR(VLOOKUP(A573,TRAOPE!$A:$W,23,0),VLOOKUP(B573,TRAOPE!$A:$W,23,0)),"")</f>
        <v/>
      </c>
      <c r="S573" s="10">
        <f>IF(AND(P573="TN",R573="TN"),N573+N(O573),IF(G573&amp;""="1",N(K573)*N573,(N573+N(O573))*N(K573)))</f>
        <v/>
      </c>
      <c r="T573" s="10">
        <f>IF(Q573="","",Q573-S573)</f>
        <v/>
      </c>
    </row>
    <row r="574">
      <c r="A574" s="7">
        <f>CONCATENATE(C574,E574,F574,I574)</f>
        <v/>
      </c>
      <c r="B574" s="7">
        <f>CONCATENATE(C574,E574,I574)</f>
        <v/>
      </c>
      <c r="C574" s="8" t="n">
        <v>900008250</v>
      </c>
      <c r="D574" s="7">
        <f>IFERROR(VLOOKUP(C574,TRAOPE!$G:$H,2,0),"")</f>
        <v/>
      </c>
      <c r="E574" s="8" t="inlineStr">
        <is>
          <t>DW68</t>
        </is>
      </c>
      <c r="F574" s="8" t="inlineStr">
        <is>
          <t>D264</t>
        </is>
      </c>
      <c r="G574" s="8">
        <f>IFERROR(VLOOKUP(A574,Flete!$A:$E,5,0),"")</f>
        <v/>
      </c>
      <c r="H574" s="7">
        <f>IFERROR(VLOOKUP(F574,TRAOPE!$AA:$AB,2,0),"")</f>
        <v/>
      </c>
      <c r="I574" s="7" t="n">
        <v>10000388</v>
      </c>
      <c r="J574" s="7">
        <f>IFERROR(VLOOKUP(I574,Materiales!$A:$H,8,0),"")</f>
        <v/>
      </c>
      <c r="K574" s="9">
        <f>IFERROR(VLOOKUP(I574,Materiales!$A:$G,7,0),"")</f>
        <v/>
      </c>
      <c r="L574" s="8" t="inlineStr">
        <is>
          <t>20230704</t>
        </is>
      </c>
      <c r="M574" s="8" t="inlineStr">
        <is>
          <t>20260215</t>
        </is>
      </c>
      <c r="N574" s="10" t="n">
        <v>197.13</v>
      </c>
      <c r="O574" s="10">
        <f>IFERROR(VLOOKUP(A574,Flete!$A:$J,10,0),"")</f>
        <v/>
      </c>
      <c r="P574" s="8" t="inlineStr">
        <is>
          <t>TN</t>
        </is>
      </c>
      <c r="Q574" s="10">
        <f>IFERROR(IFERROR(VLOOKUP(A574,TRAOPE!$A:$U,21,0),VLOOKUP(B574,TRAOPE!$A:$U,21,0)),"")</f>
        <v/>
      </c>
      <c r="R574" s="8">
        <f>IFERROR(IFERROR(VLOOKUP(A574,TRAOPE!$A:$W,23,0),VLOOKUP(B574,TRAOPE!$A:$W,23,0)),"")</f>
        <v/>
      </c>
      <c r="S574" s="10">
        <f>IF(AND(P574="TN",R574="TN"),N574+N(O574),IF(G574&amp;""="1",N(K574)*N574,(N574+N(O574))*N(K574)))</f>
        <v/>
      </c>
      <c r="T574" s="10">
        <f>IF(Q574="","",Q574-S574)</f>
        <v/>
      </c>
    </row>
    <row r="575">
      <c r="A575" s="7">
        <f>CONCATENATE(C575,E575,F575,I575)</f>
        <v/>
      </c>
      <c r="B575" s="7">
        <f>CONCATENATE(C575,E575,I575)</f>
        <v/>
      </c>
      <c r="C575" s="8" t="n">
        <v>900008250</v>
      </c>
      <c r="D575" s="7">
        <f>IFERROR(VLOOKUP(C575,TRAOPE!$G:$H,2,0),"")</f>
        <v/>
      </c>
      <c r="E575" s="8" t="inlineStr">
        <is>
          <t>DW68</t>
        </is>
      </c>
      <c r="F575" s="8" t="inlineStr">
        <is>
          <t>D264</t>
        </is>
      </c>
      <c r="G575" s="8">
        <f>IFERROR(VLOOKUP(A575,Flete!$A:$E,5,0),"")</f>
        <v/>
      </c>
      <c r="H575" s="7">
        <f>IFERROR(VLOOKUP(F575,TRAOPE!$AA:$AB,2,0),"")</f>
        <v/>
      </c>
      <c r="I575" s="7" t="n">
        <v>10004258</v>
      </c>
      <c r="J575" s="7">
        <f>IFERROR(VLOOKUP(I575,Materiales!$A:$H,8,0),"")</f>
        <v/>
      </c>
      <c r="K575" s="9">
        <f>IFERROR(VLOOKUP(I575,Materiales!$A:$G,7,0),"")</f>
        <v/>
      </c>
      <c r="L575" s="8" t="inlineStr">
        <is>
          <t>20230704</t>
        </is>
      </c>
      <c r="M575" s="8" t="inlineStr">
        <is>
          <t>20260215</t>
        </is>
      </c>
      <c r="N575" s="10" t="n">
        <v>401.96</v>
      </c>
      <c r="O575" s="10">
        <f>IFERROR(VLOOKUP(A575,Flete!$A:$J,10,0),"")</f>
        <v/>
      </c>
      <c r="P575" s="8" t="inlineStr">
        <is>
          <t>TN</t>
        </is>
      </c>
      <c r="Q575" s="10">
        <f>IFERROR(IFERROR(VLOOKUP(A575,TRAOPE!$A:$U,21,0),VLOOKUP(B575,TRAOPE!$A:$U,21,0)),"")</f>
        <v/>
      </c>
      <c r="R575" s="8">
        <f>IFERROR(IFERROR(VLOOKUP(A575,TRAOPE!$A:$W,23,0),VLOOKUP(B575,TRAOPE!$A:$W,23,0)),"")</f>
        <v/>
      </c>
      <c r="S575" s="10">
        <f>IF(AND(P575="TN",R575="TN"),N575+N(O575),IF(G575&amp;""="1",N(K575)*N575,(N575+N(O575))*N(K575)))</f>
        <v/>
      </c>
      <c r="T575" s="10">
        <f>IF(Q575="","",Q575-S575)</f>
        <v/>
      </c>
    </row>
    <row r="576">
      <c r="A576" s="7">
        <f>CONCATENATE(C576,E576,F576,I576)</f>
        <v/>
      </c>
      <c r="B576" s="7">
        <f>CONCATENATE(C576,E576,I576)</f>
        <v/>
      </c>
      <c r="C576" s="8" t="n">
        <v>900008250</v>
      </c>
      <c r="D576" s="7">
        <f>IFERROR(VLOOKUP(C576,TRAOPE!$G:$H,2,0),"")</f>
        <v/>
      </c>
      <c r="E576" s="8" t="inlineStr">
        <is>
          <t>DW68</t>
        </is>
      </c>
      <c r="F576" s="8" t="inlineStr">
        <is>
          <t>D264</t>
        </is>
      </c>
      <c r="G576" s="8">
        <f>IFERROR(VLOOKUP(A576,Flete!$A:$E,5,0),"")</f>
        <v/>
      </c>
      <c r="H576" s="7">
        <f>IFERROR(VLOOKUP(F576,TRAOPE!$AA:$AB,2,0),"")</f>
        <v/>
      </c>
      <c r="I576" s="7" t="n">
        <v>10148454</v>
      </c>
      <c r="J576" s="7">
        <f>IFERROR(VLOOKUP(I576,Materiales!$A:$H,8,0),"")</f>
        <v/>
      </c>
      <c r="K576" s="9">
        <f>IFERROR(VLOOKUP(I576,Materiales!$A:$G,7,0),"")</f>
        <v/>
      </c>
      <c r="L576" s="8" t="inlineStr">
        <is>
          <t>20230704</t>
        </is>
      </c>
      <c r="M576" s="8" t="inlineStr">
        <is>
          <t>20260215</t>
        </is>
      </c>
      <c r="N576" s="10" t="n">
        <v>208.33</v>
      </c>
      <c r="O576" s="10">
        <f>IFERROR(VLOOKUP(A576,Flete!$A:$J,10,0),"")</f>
        <v/>
      </c>
      <c r="P576" s="8" t="inlineStr">
        <is>
          <t>TN</t>
        </is>
      </c>
      <c r="Q576" s="10">
        <f>IFERROR(IFERROR(VLOOKUP(A576,TRAOPE!$A:$U,21,0),VLOOKUP(B576,TRAOPE!$A:$U,21,0)),"")</f>
        <v/>
      </c>
      <c r="R576" s="8">
        <f>IFERROR(IFERROR(VLOOKUP(A576,TRAOPE!$A:$W,23,0),VLOOKUP(B576,TRAOPE!$A:$W,23,0)),"")</f>
        <v/>
      </c>
      <c r="S576" s="10">
        <f>IF(AND(P576="TN",R576="TN"),N576+N(O576),IF(G576&amp;""="1",N(K576)*N576,(N576+N(O576))*N(K576)))</f>
        <v/>
      </c>
      <c r="T576" s="10">
        <f>IF(Q576="","",Q576-S576)</f>
        <v/>
      </c>
    </row>
    <row r="577">
      <c r="A577" s="7">
        <f>CONCATENATE(C577,E577,F577,I577)</f>
        <v/>
      </c>
      <c r="B577" s="7">
        <f>CONCATENATE(C577,E577,I577)</f>
        <v/>
      </c>
      <c r="C577" s="8" t="n">
        <v>900008250</v>
      </c>
      <c r="D577" s="7">
        <f>IFERROR(VLOOKUP(C577,TRAOPE!$G:$H,2,0),"")</f>
        <v/>
      </c>
      <c r="E577" s="8" t="inlineStr">
        <is>
          <t>DW68</t>
        </is>
      </c>
      <c r="F577" s="8" t="inlineStr">
        <is>
          <t>D267</t>
        </is>
      </c>
      <c r="G577" s="8">
        <f>IFERROR(VLOOKUP(A577,Flete!$A:$E,5,0),"")</f>
        <v/>
      </c>
      <c r="H577" s="7">
        <f>IFERROR(VLOOKUP(F577,TRAOPE!$AA:$AB,2,0),"")</f>
        <v/>
      </c>
      <c r="I577" s="7" t="n">
        <v>10000191</v>
      </c>
      <c r="J577" s="7">
        <f>IFERROR(VLOOKUP(I577,Materiales!$A:$H,8,0),"")</f>
        <v/>
      </c>
      <c r="K577" s="9">
        <f>IFERROR(VLOOKUP(I577,Materiales!$A:$G,7,0),"")</f>
        <v/>
      </c>
      <c r="L577" s="8" t="inlineStr">
        <is>
          <t>20230704</t>
        </is>
      </c>
      <c r="M577" s="8" t="inlineStr">
        <is>
          <t>20260215</t>
        </is>
      </c>
      <c r="N577" s="10" t="n">
        <v>212.77</v>
      </c>
      <c r="O577" s="10">
        <f>IFERROR(VLOOKUP(A577,Flete!$A:$J,10,0),"")</f>
        <v/>
      </c>
      <c r="P577" s="8" t="inlineStr">
        <is>
          <t>TN</t>
        </is>
      </c>
      <c r="Q577" s="10">
        <f>IFERROR(IFERROR(VLOOKUP(A577,TRAOPE!$A:$U,21,0),VLOOKUP(B577,TRAOPE!$A:$U,21,0)),"")</f>
        <v/>
      </c>
      <c r="R577" s="8">
        <f>IFERROR(IFERROR(VLOOKUP(A577,TRAOPE!$A:$W,23,0),VLOOKUP(B577,TRAOPE!$A:$W,23,0)),"")</f>
        <v/>
      </c>
      <c r="S577" s="10">
        <f>IF(AND(P577="TN",R577="TN"),N577+N(O577),IF(G577&amp;""="1",N(K577)*N577,(N577+N(O577))*N(K577)))</f>
        <v/>
      </c>
      <c r="T577" s="10">
        <f>IF(Q577="","",Q577-S577)</f>
        <v/>
      </c>
    </row>
    <row r="578">
      <c r="A578" s="7">
        <f>CONCATENATE(C578,E578,F578,I578)</f>
        <v/>
      </c>
      <c r="B578" s="7">
        <f>CONCATENATE(C578,E578,I578)</f>
        <v/>
      </c>
      <c r="C578" s="8" t="n">
        <v>900008250</v>
      </c>
      <c r="D578" s="7">
        <f>IFERROR(VLOOKUP(C578,TRAOPE!$G:$H,2,0),"")</f>
        <v/>
      </c>
      <c r="E578" s="8" t="inlineStr">
        <is>
          <t>DW68</t>
        </is>
      </c>
      <c r="F578" s="8" t="inlineStr">
        <is>
          <t>D267</t>
        </is>
      </c>
      <c r="G578" s="8">
        <f>IFERROR(VLOOKUP(A578,Flete!$A:$E,5,0),"")</f>
        <v/>
      </c>
      <c r="H578" s="7">
        <f>IFERROR(VLOOKUP(F578,TRAOPE!$AA:$AB,2,0),"")</f>
        <v/>
      </c>
      <c r="I578" s="7" t="n">
        <v>10000388</v>
      </c>
      <c r="J578" s="7">
        <f>IFERROR(VLOOKUP(I578,Materiales!$A:$H,8,0),"")</f>
        <v/>
      </c>
      <c r="K578" s="9">
        <f>IFERROR(VLOOKUP(I578,Materiales!$A:$G,7,0),"")</f>
        <v/>
      </c>
      <c r="L578" s="8" t="inlineStr">
        <is>
          <t>20230704</t>
        </is>
      </c>
      <c r="M578" s="8" t="inlineStr">
        <is>
          <t>20260215</t>
        </is>
      </c>
      <c r="N578" s="10" t="n">
        <v>197.13</v>
      </c>
      <c r="O578" s="10">
        <f>IFERROR(VLOOKUP(A578,Flete!$A:$J,10,0),"")</f>
        <v/>
      </c>
      <c r="P578" s="8" t="inlineStr">
        <is>
          <t>TN</t>
        </is>
      </c>
      <c r="Q578" s="10">
        <f>IFERROR(IFERROR(VLOOKUP(A578,TRAOPE!$A:$U,21,0),VLOOKUP(B578,TRAOPE!$A:$U,21,0)),"")</f>
        <v/>
      </c>
      <c r="R578" s="8">
        <f>IFERROR(IFERROR(VLOOKUP(A578,TRAOPE!$A:$W,23,0),VLOOKUP(B578,TRAOPE!$A:$W,23,0)),"")</f>
        <v/>
      </c>
      <c r="S578" s="10">
        <f>IF(AND(P578="TN",R578="TN"),N578+N(O578),IF(G578&amp;""="1",N(K578)*N578,(N578+N(O578))*N(K578)))</f>
        <v/>
      </c>
      <c r="T578" s="10">
        <f>IF(Q578="","",Q578-S578)</f>
        <v/>
      </c>
    </row>
    <row r="579">
      <c r="A579" s="7">
        <f>CONCATENATE(C579,E579,F579,I579)</f>
        <v/>
      </c>
      <c r="B579" s="7">
        <f>CONCATENATE(C579,E579,I579)</f>
        <v/>
      </c>
      <c r="C579" s="8" t="n">
        <v>900008250</v>
      </c>
      <c r="D579" s="7">
        <f>IFERROR(VLOOKUP(C579,TRAOPE!$G:$H,2,0),"")</f>
        <v/>
      </c>
      <c r="E579" s="8" t="inlineStr">
        <is>
          <t>DW68</t>
        </is>
      </c>
      <c r="F579" s="8" t="inlineStr">
        <is>
          <t>D267</t>
        </is>
      </c>
      <c r="G579" s="8">
        <f>IFERROR(VLOOKUP(A579,Flete!$A:$E,5,0),"")</f>
        <v/>
      </c>
      <c r="H579" s="7">
        <f>IFERROR(VLOOKUP(F579,TRAOPE!$AA:$AB,2,0),"")</f>
        <v/>
      </c>
      <c r="I579" s="7" t="n">
        <v>10004258</v>
      </c>
      <c r="J579" s="7">
        <f>IFERROR(VLOOKUP(I579,Materiales!$A:$H,8,0),"")</f>
        <v/>
      </c>
      <c r="K579" s="9">
        <f>IFERROR(VLOOKUP(I579,Materiales!$A:$G,7,0),"")</f>
        <v/>
      </c>
      <c r="L579" s="8" t="inlineStr">
        <is>
          <t>20230704</t>
        </is>
      </c>
      <c r="M579" s="8" t="inlineStr">
        <is>
          <t>20260215</t>
        </is>
      </c>
      <c r="N579" s="10" t="n">
        <v>401.96</v>
      </c>
      <c r="O579" s="10">
        <f>IFERROR(VLOOKUP(A579,Flete!$A:$J,10,0),"")</f>
        <v/>
      </c>
      <c r="P579" s="8" t="inlineStr">
        <is>
          <t>TN</t>
        </is>
      </c>
      <c r="Q579" s="10">
        <f>IFERROR(IFERROR(VLOOKUP(A579,TRAOPE!$A:$U,21,0),VLOOKUP(B579,TRAOPE!$A:$U,21,0)),"")</f>
        <v/>
      </c>
      <c r="R579" s="8">
        <f>IFERROR(IFERROR(VLOOKUP(A579,TRAOPE!$A:$W,23,0),VLOOKUP(B579,TRAOPE!$A:$W,23,0)),"")</f>
        <v/>
      </c>
      <c r="S579" s="10">
        <f>IF(AND(P579="TN",R579="TN"),N579+N(O579),IF(G579&amp;""="1",N(K579)*N579,(N579+N(O579))*N(K579)))</f>
        <v/>
      </c>
      <c r="T579" s="10">
        <f>IF(Q579="","",Q579-S579)</f>
        <v/>
      </c>
    </row>
    <row r="580">
      <c r="A580" s="7">
        <f>CONCATENATE(C580,E580,F580,I580)</f>
        <v/>
      </c>
      <c r="B580" s="7">
        <f>CONCATENATE(C580,E580,I580)</f>
        <v/>
      </c>
      <c r="C580" s="8" t="n">
        <v>900008250</v>
      </c>
      <c r="D580" s="7">
        <f>IFERROR(VLOOKUP(C580,TRAOPE!$G:$H,2,0),"")</f>
        <v/>
      </c>
      <c r="E580" s="8" t="inlineStr">
        <is>
          <t>DW68</t>
        </is>
      </c>
      <c r="F580" s="8" t="inlineStr">
        <is>
          <t>D267</t>
        </is>
      </c>
      <c r="G580" s="8">
        <f>IFERROR(VLOOKUP(A580,Flete!$A:$E,5,0),"")</f>
        <v/>
      </c>
      <c r="H580" s="7">
        <f>IFERROR(VLOOKUP(F580,TRAOPE!$AA:$AB,2,0),"")</f>
        <v/>
      </c>
      <c r="I580" s="7" t="n">
        <v>10148454</v>
      </c>
      <c r="J580" s="7">
        <f>IFERROR(VLOOKUP(I580,Materiales!$A:$H,8,0),"")</f>
        <v/>
      </c>
      <c r="K580" s="9">
        <f>IFERROR(VLOOKUP(I580,Materiales!$A:$G,7,0),"")</f>
        <v/>
      </c>
      <c r="L580" s="8" t="inlineStr">
        <is>
          <t>20230704</t>
        </is>
      </c>
      <c r="M580" s="8" t="inlineStr">
        <is>
          <t>20260215</t>
        </is>
      </c>
      <c r="N580" s="10" t="n">
        <v>208.33</v>
      </c>
      <c r="O580" s="10">
        <f>IFERROR(VLOOKUP(A580,Flete!$A:$J,10,0),"")</f>
        <v/>
      </c>
      <c r="P580" s="8" t="inlineStr">
        <is>
          <t>TN</t>
        </is>
      </c>
      <c r="Q580" s="10">
        <f>IFERROR(IFERROR(VLOOKUP(A580,TRAOPE!$A:$U,21,0),VLOOKUP(B580,TRAOPE!$A:$U,21,0)),"")</f>
        <v/>
      </c>
      <c r="R580" s="8">
        <f>IFERROR(IFERROR(VLOOKUP(A580,TRAOPE!$A:$W,23,0),VLOOKUP(B580,TRAOPE!$A:$W,23,0)),"")</f>
        <v/>
      </c>
      <c r="S580" s="10">
        <f>IF(AND(P580="TN",R580="TN"),N580+N(O580),IF(G580&amp;""="1",N(K580)*N580,(N580+N(O580))*N(K580)))</f>
        <v/>
      </c>
      <c r="T580" s="10">
        <f>IF(Q580="","",Q580-S580)</f>
        <v/>
      </c>
    </row>
    <row r="581">
      <c r="A581" s="7">
        <f>CONCATENATE(C581,E581,F581,I581)</f>
        <v/>
      </c>
      <c r="B581" s="7">
        <f>CONCATENATE(C581,E581,I581)</f>
        <v/>
      </c>
      <c r="C581" s="8" t="n">
        <v>900008251</v>
      </c>
      <c r="D581" s="7">
        <f>IFERROR(VLOOKUP(C581,TRAOPE!$G:$H,2,0),"")</f>
        <v/>
      </c>
      <c r="E581" s="8" t="inlineStr">
        <is>
          <t>DW68</t>
        </is>
      </c>
      <c r="F581" s="8" t="inlineStr">
        <is>
          <t>D042</t>
        </is>
      </c>
      <c r="G581" s="8">
        <f>IFERROR(VLOOKUP(A581,Flete!$A:$E,5,0),"")</f>
        <v/>
      </c>
      <c r="H581" s="7">
        <f>IFERROR(VLOOKUP(F581,TRAOPE!$AA:$AB,2,0),"")</f>
        <v/>
      </c>
      <c r="I581" s="7" t="n">
        <v>10000191</v>
      </c>
      <c r="J581" s="7">
        <f>IFERROR(VLOOKUP(I581,Materiales!$A:$H,8,0),"")</f>
        <v/>
      </c>
      <c r="K581" s="9">
        <f>IFERROR(VLOOKUP(I581,Materiales!$A:$G,7,0),"")</f>
        <v/>
      </c>
      <c r="L581" s="8" t="inlineStr">
        <is>
          <t>20240601</t>
        </is>
      </c>
      <c r="M581" s="8" t="inlineStr">
        <is>
          <t>99991231</t>
        </is>
      </c>
      <c r="N581" s="10" t="n">
        <v>191.49</v>
      </c>
      <c r="O581" s="10">
        <f>IFERROR(VLOOKUP(A581,Flete!$A:$J,10,0),"")</f>
        <v/>
      </c>
      <c r="P581" s="8" t="inlineStr">
        <is>
          <t>TN</t>
        </is>
      </c>
      <c r="Q581" s="10">
        <f>IFERROR(IFERROR(VLOOKUP(A581,TRAOPE!$A:$U,21,0),VLOOKUP(B581,TRAOPE!$A:$U,21,0)),"")</f>
        <v/>
      </c>
      <c r="R581" s="8">
        <f>IFERROR(IFERROR(VLOOKUP(A581,TRAOPE!$A:$W,23,0),VLOOKUP(B581,TRAOPE!$A:$W,23,0)),"")</f>
        <v/>
      </c>
      <c r="S581" s="10">
        <f>IF(AND(P581="TN",R581="TN"),N581+N(O581),IF(G581&amp;""="1",N(K581)*N581,(N581+N(O581))*N(K581)))</f>
        <v/>
      </c>
      <c r="T581" s="10">
        <f>IF(Q581="","",Q581-S581)</f>
        <v/>
      </c>
    </row>
    <row r="582">
      <c r="A582" s="7">
        <f>CONCATENATE(C582,E582,F582,I582)</f>
        <v/>
      </c>
      <c r="B582" s="7">
        <f>CONCATENATE(C582,E582,I582)</f>
        <v/>
      </c>
      <c r="C582" s="8" t="n">
        <v>900008251</v>
      </c>
      <c r="D582" s="7">
        <f>IFERROR(VLOOKUP(C582,TRAOPE!$G:$H,2,0),"")</f>
        <v/>
      </c>
      <c r="E582" s="8" t="inlineStr">
        <is>
          <t>DW68</t>
        </is>
      </c>
      <c r="F582" s="8" t="inlineStr">
        <is>
          <t>D042</t>
        </is>
      </c>
      <c r="G582" s="8">
        <f>IFERROR(VLOOKUP(A582,Flete!$A:$E,5,0),"")</f>
        <v/>
      </c>
      <c r="H582" s="7">
        <f>IFERROR(VLOOKUP(F582,TRAOPE!$AA:$AB,2,0),"")</f>
        <v/>
      </c>
      <c r="I582" s="7" t="n">
        <v>10000384</v>
      </c>
      <c r="J582" s="7">
        <f>IFERROR(VLOOKUP(I582,Materiales!$A:$H,8,0),"")</f>
        <v/>
      </c>
      <c r="K582" s="9">
        <f>IFERROR(VLOOKUP(I582,Materiales!$A:$G,7,0),"")</f>
        <v/>
      </c>
      <c r="L582" s="8" t="inlineStr">
        <is>
          <t>20240601</t>
        </is>
      </c>
      <c r="M582" s="8" t="inlineStr">
        <is>
          <t>99991231</t>
        </is>
      </c>
      <c r="N582" s="10" t="n">
        <v>221.37</v>
      </c>
      <c r="O582" s="10">
        <f>IFERROR(VLOOKUP(A582,Flete!$A:$J,10,0),"")</f>
        <v/>
      </c>
      <c r="P582" s="8" t="inlineStr">
        <is>
          <t>TN</t>
        </is>
      </c>
      <c r="Q582" s="10">
        <f>IFERROR(IFERROR(VLOOKUP(A582,TRAOPE!$A:$U,21,0),VLOOKUP(B582,TRAOPE!$A:$U,21,0)),"")</f>
        <v/>
      </c>
      <c r="R582" s="8">
        <f>IFERROR(IFERROR(VLOOKUP(A582,TRAOPE!$A:$W,23,0),VLOOKUP(B582,TRAOPE!$A:$W,23,0)),"")</f>
        <v/>
      </c>
      <c r="S582" s="10">
        <f>IF(AND(P582="TN",R582="TN"),N582+N(O582),IF(G582&amp;""="1",N(K582)*N582,(N582+N(O582))*N(K582)))</f>
        <v/>
      </c>
      <c r="T582" s="10">
        <f>IF(Q582="","",Q582-S582)</f>
        <v/>
      </c>
    </row>
    <row r="583">
      <c r="A583" s="7">
        <f>CONCATENATE(C583,E583,F583,I583)</f>
        <v/>
      </c>
      <c r="B583" s="7">
        <f>CONCATENATE(C583,E583,I583)</f>
        <v/>
      </c>
      <c r="C583" s="8" t="n">
        <v>900008251</v>
      </c>
      <c r="D583" s="7">
        <f>IFERROR(VLOOKUP(C583,TRAOPE!$G:$H,2,0),"")</f>
        <v/>
      </c>
      <c r="E583" s="8" t="inlineStr">
        <is>
          <t>DW68</t>
        </is>
      </c>
      <c r="F583" s="8" t="inlineStr">
        <is>
          <t>D042</t>
        </is>
      </c>
      <c r="G583" s="8">
        <f>IFERROR(VLOOKUP(A583,Flete!$A:$E,5,0),"")</f>
        <v/>
      </c>
      <c r="H583" s="7">
        <f>IFERROR(VLOOKUP(F583,TRAOPE!$AA:$AB,2,0),"")</f>
        <v/>
      </c>
      <c r="I583" s="7" t="n">
        <v>10000388</v>
      </c>
      <c r="J583" s="7">
        <f>IFERROR(VLOOKUP(I583,Materiales!$A:$H,8,0),"")</f>
        <v/>
      </c>
      <c r="K583" s="9">
        <f>IFERROR(VLOOKUP(I583,Materiales!$A:$G,7,0),"")</f>
        <v/>
      </c>
      <c r="L583" s="8" t="inlineStr">
        <is>
          <t>20240601</t>
        </is>
      </c>
      <c r="M583" s="8" t="inlineStr">
        <is>
          <t>99991231</t>
        </is>
      </c>
      <c r="N583" s="10" t="n">
        <v>181.94</v>
      </c>
      <c r="O583" s="10">
        <f>IFERROR(VLOOKUP(A583,Flete!$A:$J,10,0),"")</f>
        <v/>
      </c>
      <c r="P583" s="8" t="inlineStr">
        <is>
          <t>TN</t>
        </is>
      </c>
      <c r="Q583" s="10">
        <f>IFERROR(IFERROR(VLOOKUP(A583,TRAOPE!$A:$U,21,0),VLOOKUP(B583,TRAOPE!$A:$U,21,0)),"")</f>
        <v/>
      </c>
      <c r="R583" s="8">
        <f>IFERROR(IFERROR(VLOOKUP(A583,TRAOPE!$A:$W,23,0),VLOOKUP(B583,TRAOPE!$A:$W,23,0)),"")</f>
        <v/>
      </c>
      <c r="S583" s="10">
        <f>IF(AND(P583="TN",R583="TN"),N583+N(O583),IF(G583&amp;""="1",N(K583)*N583,(N583+N(O583))*N(K583)))</f>
        <v/>
      </c>
      <c r="T583" s="10">
        <f>IF(Q583="","",Q583-S583)</f>
        <v/>
      </c>
    </row>
    <row r="584">
      <c r="A584" s="7">
        <f>CONCATENATE(C584,E584,F584,I584)</f>
        <v/>
      </c>
      <c r="B584" s="7">
        <f>CONCATENATE(C584,E584,I584)</f>
        <v/>
      </c>
      <c r="C584" s="8" t="n">
        <v>900008251</v>
      </c>
      <c r="D584" s="7">
        <f>IFERROR(VLOOKUP(C584,TRAOPE!$G:$H,2,0),"")</f>
        <v/>
      </c>
      <c r="E584" s="8" t="inlineStr">
        <is>
          <t>DW68</t>
        </is>
      </c>
      <c r="F584" s="8" t="inlineStr">
        <is>
          <t>D042</t>
        </is>
      </c>
      <c r="G584" s="8">
        <f>IFERROR(VLOOKUP(A584,Flete!$A:$E,5,0),"")</f>
        <v/>
      </c>
      <c r="H584" s="7">
        <f>IFERROR(VLOOKUP(F584,TRAOPE!$AA:$AB,2,0),"")</f>
        <v/>
      </c>
      <c r="I584" s="7" t="n">
        <v>10000726</v>
      </c>
      <c r="J584" s="7">
        <f>IFERROR(VLOOKUP(I584,Materiales!$A:$H,8,0),"")</f>
        <v/>
      </c>
      <c r="K584" s="9">
        <f>IFERROR(VLOOKUP(I584,Materiales!$A:$G,7,0),"")</f>
        <v/>
      </c>
      <c r="L584" s="8" t="inlineStr">
        <is>
          <t>20231005</t>
        </is>
      </c>
      <c r="M584" s="8" t="inlineStr">
        <is>
          <t>99991231</t>
        </is>
      </c>
      <c r="N584" s="10" t="n">
        <v>375.09</v>
      </c>
      <c r="O584" s="10">
        <f>IFERROR(VLOOKUP(A584,Flete!$A:$J,10,0),"")</f>
        <v/>
      </c>
      <c r="P584" s="8" t="inlineStr">
        <is>
          <t>TN</t>
        </is>
      </c>
      <c r="Q584" s="10">
        <f>IFERROR(IFERROR(VLOOKUP(A584,TRAOPE!$A:$U,21,0),VLOOKUP(B584,TRAOPE!$A:$U,21,0)),"")</f>
        <v/>
      </c>
      <c r="R584" s="8">
        <f>IFERROR(IFERROR(VLOOKUP(A584,TRAOPE!$A:$W,23,0),VLOOKUP(B584,TRAOPE!$A:$W,23,0)),"")</f>
        <v/>
      </c>
      <c r="S584" s="10">
        <f>IF(AND(P584="TN",R584="TN"),N584+N(O584),IF(G584&amp;""="1",N(K584)*N584,(N584+N(O584))*N(K584)))</f>
        <v/>
      </c>
      <c r="T584" s="10">
        <f>IF(Q584="","",Q584-S584)</f>
        <v/>
      </c>
    </row>
    <row r="585">
      <c r="A585" s="7">
        <f>CONCATENATE(C585,E585,F585,I585)</f>
        <v/>
      </c>
      <c r="B585" s="7">
        <f>CONCATENATE(C585,E585,I585)</f>
        <v/>
      </c>
      <c r="C585" s="8" t="n">
        <v>900008251</v>
      </c>
      <c r="D585" s="7">
        <f>IFERROR(VLOOKUP(C585,TRAOPE!$G:$H,2,0),"")</f>
        <v/>
      </c>
      <c r="E585" s="8" t="inlineStr">
        <is>
          <t>DW68</t>
        </is>
      </c>
      <c r="F585" s="8" t="inlineStr">
        <is>
          <t>D042</t>
        </is>
      </c>
      <c r="G585" s="8">
        <f>IFERROR(VLOOKUP(A585,Flete!$A:$E,5,0),"")</f>
        <v/>
      </c>
      <c r="H585" s="7">
        <f>IFERROR(VLOOKUP(F585,TRAOPE!$AA:$AB,2,0),"")</f>
        <v/>
      </c>
      <c r="I585" s="7" t="n">
        <v>10004258</v>
      </c>
      <c r="J585" s="7">
        <f>IFERROR(VLOOKUP(I585,Materiales!$A:$H,8,0),"")</f>
        <v/>
      </c>
      <c r="K585" s="9">
        <f>IFERROR(VLOOKUP(I585,Materiales!$A:$G,7,0),"")</f>
        <v/>
      </c>
      <c r="L585" s="8" t="inlineStr">
        <is>
          <t>20240601</t>
        </is>
      </c>
      <c r="M585" s="8" t="inlineStr">
        <is>
          <t>99991231</t>
        </is>
      </c>
      <c r="N585" s="10" t="n">
        <v>338.83</v>
      </c>
      <c r="O585" s="10">
        <f>IFERROR(VLOOKUP(A585,Flete!$A:$J,10,0),"")</f>
        <v/>
      </c>
      <c r="P585" s="8" t="inlineStr">
        <is>
          <t>TN</t>
        </is>
      </c>
      <c r="Q585" s="10">
        <f>IFERROR(IFERROR(VLOOKUP(A585,TRAOPE!$A:$U,21,0),VLOOKUP(B585,TRAOPE!$A:$U,21,0)),"")</f>
        <v/>
      </c>
      <c r="R585" s="8">
        <f>IFERROR(IFERROR(VLOOKUP(A585,TRAOPE!$A:$W,23,0),VLOOKUP(B585,TRAOPE!$A:$W,23,0)),"")</f>
        <v/>
      </c>
      <c r="S585" s="10">
        <f>IF(AND(P585="TN",R585="TN"),N585+N(O585),IF(G585&amp;""="1",N(K585)*N585,(N585+N(O585))*N(K585)))</f>
        <v/>
      </c>
      <c r="T585" s="10">
        <f>IF(Q585="","",Q585-S585)</f>
        <v/>
      </c>
    </row>
    <row r="586">
      <c r="A586" s="7">
        <f>CONCATENATE(C586,E586,F586,I586)</f>
        <v/>
      </c>
      <c r="B586" s="7">
        <f>CONCATENATE(C586,E586,I586)</f>
        <v/>
      </c>
      <c r="C586" s="8" t="n">
        <v>900008251</v>
      </c>
      <c r="D586" s="7">
        <f>IFERROR(VLOOKUP(C586,TRAOPE!$G:$H,2,0),"")</f>
        <v/>
      </c>
      <c r="E586" s="8" t="inlineStr">
        <is>
          <t>DW68</t>
        </is>
      </c>
      <c r="F586" s="8" t="inlineStr">
        <is>
          <t>D209</t>
        </is>
      </c>
      <c r="G586" s="8">
        <f>IFERROR(VLOOKUP(A586,Flete!$A:$E,5,0),"")</f>
        <v/>
      </c>
      <c r="H586" s="7">
        <f>IFERROR(VLOOKUP(F586,TRAOPE!$AA:$AB,2,0),"")</f>
        <v/>
      </c>
      <c r="I586" s="7" t="n">
        <v>10000191</v>
      </c>
      <c r="J586" s="7">
        <f>IFERROR(VLOOKUP(I586,Materiales!$A:$H,8,0),"")</f>
        <v/>
      </c>
      <c r="K586" s="9">
        <f>IFERROR(VLOOKUP(I586,Materiales!$A:$G,7,0),"")</f>
        <v/>
      </c>
      <c r="L586" s="8" t="inlineStr">
        <is>
          <t>20240601</t>
        </is>
      </c>
      <c r="M586" s="8" t="inlineStr">
        <is>
          <t>99991231</t>
        </is>
      </c>
      <c r="N586" s="10" t="n">
        <v>191.49</v>
      </c>
      <c r="O586" s="10">
        <f>IFERROR(VLOOKUP(A586,Flete!$A:$J,10,0),"")</f>
        <v/>
      </c>
      <c r="P586" s="8" t="inlineStr">
        <is>
          <t>TN</t>
        </is>
      </c>
      <c r="Q586" s="10">
        <f>IFERROR(IFERROR(VLOOKUP(A586,TRAOPE!$A:$U,21,0),VLOOKUP(B586,TRAOPE!$A:$U,21,0)),"")</f>
        <v/>
      </c>
      <c r="R586" s="8">
        <f>IFERROR(IFERROR(VLOOKUP(A586,TRAOPE!$A:$W,23,0),VLOOKUP(B586,TRAOPE!$A:$W,23,0)),"")</f>
        <v/>
      </c>
      <c r="S586" s="10">
        <f>IF(AND(P586="TN",R586="TN"),N586+N(O586),IF(G586&amp;""="1",N(K586)*N586,(N586+N(O586))*N(K586)))</f>
        <v/>
      </c>
      <c r="T586" s="10">
        <f>IF(Q586="","",Q586-S586)</f>
        <v/>
      </c>
    </row>
    <row r="587">
      <c r="A587" s="7">
        <f>CONCATENATE(C587,E587,F587,I587)</f>
        <v/>
      </c>
      <c r="B587" s="7">
        <f>CONCATENATE(C587,E587,I587)</f>
        <v/>
      </c>
      <c r="C587" s="8" t="n">
        <v>900008251</v>
      </c>
      <c r="D587" s="7">
        <f>IFERROR(VLOOKUP(C587,TRAOPE!$G:$H,2,0),"")</f>
        <v/>
      </c>
      <c r="E587" s="8" t="inlineStr">
        <is>
          <t>DW68</t>
        </is>
      </c>
      <c r="F587" s="8" t="inlineStr">
        <is>
          <t>D209</t>
        </is>
      </c>
      <c r="G587" s="8">
        <f>IFERROR(VLOOKUP(A587,Flete!$A:$E,5,0),"")</f>
        <v/>
      </c>
      <c r="H587" s="7">
        <f>IFERROR(VLOOKUP(F587,TRAOPE!$AA:$AB,2,0),"")</f>
        <v/>
      </c>
      <c r="I587" s="7" t="n">
        <v>10000384</v>
      </c>
      <c r="J587" s="7">
        <f>IFERROR(VLOOKUP(I587,Materiales!$A:$H,8,0),"")</f>
        <v/>
      </c>
      <c r="K587" s="9">
        <f>IFERROR(VLOOKUP(I587,Materiales!$A:$G,7,0),"")</f>
        <v/>
      </c>
      <c r="L587" s="8" t="inlineStr">
        <is>
          <t>20240601</t>
        </is>
      </c>
      <c r="M587" s="8" t="inlineStr">
        <is>
          <t>99991231</t>
        </is>
      </c>
      <c r="N587" s="10" t="n">
        <v>221.37</v>
      </c>
      <c r="O587" s="10">
        <f>IFERROR(VLOOKUP(A587,Flete!$A:$J,10,0),"")</f>
        <v/>
      </c>
      <c r="P587" s="8" t="inlineStr">
        <is>
          <t>TN</t>
        </is>
      </c>
      <c r="Q587" s="10">
        <f>IFERROR(IFERROR(VLOOKUP(A587,TRAOPE!$A:$U,21,0),VLOOKUP(B587,TRAOPE!$A:$U,21,0)),"")</f>
        <v/>
      </c>
      <c r="R587" s="8">
        <f>IFERROR(IFERROR(VLOOKUP(A587,TRAOPE!$A:$W,23,0),VLOOKUP(B587,TRAOPE!$A:$W,23,0)),"")</f>
        <v/>
      </c>
      <c r="S587" s="10">
        <f>IF(AND(P587="TN",R587="TN"),N587+N(O587),IF(G587&amp;""="1",N(K587)*N587,(N587+N(O587))*N(K587)))</f>
        <v/>
      </c>
      <c r="T587" s="10">
        <f>IF(Q587="","",Q587-S587)</f>
        <v/>
      </c>
    </row>
    <row r="588">
      <c r="A588" s="7">
        <f>CONCATENATE(C588,E588,F588,I588)</f>
        <v/>
      </c>
      <c r="B588" s="7">
        <f>CONCATENATE(C588,E588,I588)</f>
        <v/>
      </c>
      <c r="C588" s="8" t="n">
        <v>900008251</v>
      </c>
      <c r="D588" s="7">
        <f>IFERROR(VLOOKUP(C588,TRAOPE!$G:$H,2,0),"")</f>
        <v/>
      </c>
      <c r="E588" s="8" t="inlineStr">
        <is>
          <t>DW68</t>
        </is>
      </c>
      <c r="F588" s="8" t="inlineStr">
        <is>
          <t>D209</t>
        </is>
      </c>
      <c r="G588" s="8">
        <f>IFERROR(VLOOKUP(A588,Flete!$A:$E,5,0),"")</f>
        <v/>
      </c>
      <c r="H588" s="7">
        <f>IFERROR(VLOOKUP(F588,TRAOPE!$AA:$AB,2,0),"")</f>
        <v/>
      </c>
      <c r="I588" s="7" t="n">
        <v>10000388</v>
      </c>
      <c r="J588" s="7">
        <f>IFERROR(VLOOKUP(I588,Materiales!$A:$H,8,0),"")</f>
        <v/>
      </c>
      <c r="K588" s="9">
        <f>IFERROR(VLOOKUP(I588,Materiales!$A:$G,7,0),"")</f>
        <v/>
      </c>
      <c r="L588" s="8" t="inlineStr">
        <is>
          <t>20240601</t>
        </is>
      </c>
      <c r="M588" s="8" t="inlineStr">
        <is>
          <t>99991231</t>
        </is>
      </c>
      <c r="N588" s="10" t="n">
        <v>181.94</v>
      </c>
      <c r="O588" s="10">
        <f>IFERROR(VLOOKUP(A588,Flete!$A:$J,10,0),"")</f>
        <v/>
      </c>
      <c r="P588" s="8" t="inlineStr">
        <is>
          <t>TN</t>
        </is>
      </c>
      <c r="Q588" s="10">
        <f>IFERROR(IFERROR(VLOOKUP(A588,TRAOPE!$A:$U,21,0),VLOOKUP(B588,TRAOPE!$A:$U,21,0)),"")</f>
        <v/>
      </c>
      <c r="R588" s="8">
        <f>IFERROR(IFERROR(VLOOKUP(A588,TRAOPE!$A:$W,23,0),VLOOKUP(B588,TRAOPE!$A:$W,23,0)),"")</f>
        <v/>
      </c>
      <c r="S588" s="10">
        <f>IF(AND(P588="TN",R588="TN"),N588+N(O588),IF(G588&amp;""="1",N(K588)*N588,(N588+N(O588))*N(K588)))</f>
        <v/>
      </c>
      <c r="T588" s="10">
        <f>IF(Q588="","",Q588-S588)</f>
        <v/>
      </c>
    </row>
    <row r="589">
      <c r="A589" s="7">
        <f>CONCATENATE(C589,E589,F589,I589)</f>
        <v/>
      </c>
      <c r="B589" s="7">
        <f>CONCATENATE(C589,E589,I589)</f>
        <v/>
      </c>
      <c r="C589" s="8" t="n">
        <v>900008251</v>
      </c>
      <c r="D589" s="7">
        <f>IFERROR(VLOOKUP(C589,TRAOPE!$G:$H,2,0),"")</f>
        <v/>
      </c>
      <c r="E589" s="8" t="inlineStr">
        <is>
          <t>DW68</t>
        </is>
      </c>
      <c r="F589" s="8" t="inlineStr">
        <is>
          <t>D209</t>
        </is>
      </c>
      <c r="G589" s="8">
        <f>IFERROR(VLOOKUP(A589,Flete!$A:$E,5,0),"")</f>
        <v/>
      </c>
      <c r="H589" s="7">
        <f>IFERROR(VLOOKUP(F589,TRAOPE!$AA:$AB,2,0),"")</f>
        <v/>
      </c>
      <c r="I589" s="7" t="n">
        <v>10004258</v>
      </c>
      <c r="J589" s="7">
        <f>IFERROR(VLOOKUP(I589,Materiales!$A:$H,8,0),"")</f>
        <v/>
      </c>
      <c r="K589" s="9">
        <f>IFERROR(VLOOKUP(I589,Materiales!$A:$G,7,0),"")</f>
        <v/>
      </c>
      <c r="L589" s="8" t="inlineStr">
        <is>
          <t>20240601</t>
        </is>
      </c>
      <c r="M589" s="8" t="inlineStr">
        <is>
          <t>99991231</t>
        </is>
      </c>
      <c r="N589" s="10" t="n">
        <v>338.83</v>
      </c>
      <c r="O589" s="10">
        <f>IFERROR(VLOOKUP(A589,Flete!$A:$J,10,0),"")</f>
        <v/>
      </c>
      <c r="P589" s="8" t="inlineStr">
        <is>
          <t>TN</t>
        </is>
      </c>
      <c r="Q589" s="10">
        <f>IFERROR(IFERROR(VLOOKUP(A589,TRAOPE!$A:$U,21,0),VLOOKUP(B589,TRAOPE!$A:$U,21,0)),"")</f>
        <v/>
      </c>
      <c r="R589" s="8">
        <f>IFERROR(IFERROR(VLOOKUP(A589,TRAOPE!$A:$W,23,0),VLOOKUP(B589,TRAOPE!$A:$W,23,0)),"")</f>
        <v/>
      </c>
      <c r="S589" s="10">
        <f>IF(AND(P589="TN",R589="TN"),N589+N(O589),IF(G589&amp;""="1",N(K589)*N589,(N589+N(O589))*N(K589)))</f>
        <v/>
      </c>
      <c r="T589" s="10">
        <f>IF(Q589="","",Q589-S589)</f>
        <v/>
      </c>
    </row>
    <row r="590">
      <c r="A590" s="7">
        <f>CONCATENATE(C590,E590,F590,I590)</f>
        <v/>
      </c>
      <c r="B590" s="7">
        <f>CONCATENATE(C590,E590,I590)</f>
        <v/>
      </c>
      <c r="C590" s="8" t="n">
        <v>900008251</v>
      </c>
      <c r="D590" s="7">
        <f>IFERROR(VLOOKUP(C590,TRAOPE!$G:$H,2,0),"")</f>
        <v/>
      </c>
      <c r="E590" s="8" t="inlineStr">
        <is>
          <t>DW68</t>
        </is>
      </c>
      <c r="F590" s="8" t="inlineStr">
        <is>
          <t>D211</t>
        </is>
      </c>
      <c r="G590" s="8">
        <f>IFERROR(VLOOKUP(A590,Flete!$A:$E,5,0),"")</f>
        <v/>
      </c>
      <c r="H590" s="7">
        <f>IFERROR(VLOOKUP(F590,TRAOPE!$AA:$AB,2,0),"")</f>
        <v/>
      </c>
      <c r="I590" s="7" t="n">
        <v>10000191</v>
      </c>
      <c r="J590" s="7">
        <f>IFERROR(VLOOKUP(I590,Materiales!$A:$H,8,0),"")</f>
        <v/>
      </c>
      <c r="K590" s="9">
        <f>IFERROR(VLOOKUP(I590,Materiales!$A:$G,7,0),"")</f>
        <v/>
      </c>
      <c r="L590" s="8" t="inlineStr">
        <is>
          <t>20240601</t>
        </is>
      </c>
      <c r="M590" s="8" t="inlineStr">
        <is>
          <t>99991231</t>
        </is>
      </c>
      <c r="N590" s="10" t="n">
        <v>191.49</v>
      </c>
      <c r="O590" s="10">
        <f>IFERROR(VLOOKUP(A590,Flete!$A:$J,10,0),"")</f>
        <v/>
      </c>
      <c r="P590" s="8" t="inlineStr">
        <is>
          <t>TN</t>
        </is>
      </c>
      <c r="Q590" s="10">
        <f>IFERROR(IFERROR(VLOOKUP(A590,TRAOPE!$A:$U,21,0),VLOOKUP(B590,TRAOPE!$A:$U,21,0)),"")</f>
        <v/>
      </c>
      <c r="R590" s="8">
        <f>IFERROR(IFERROR(VLOOKUP(A590,TRAOPE!$A:$W,23,0),VLOOKUP(B590,TRAOPE!$A:$W,23,0)),"")</f>
        <v/>
      </c>
      <c r="S590" s="10">
        <f>IF(AND(P590="TN",R590="TN"),N590+N(O590),IF(G590&amp;""="1",N(K590)*N590,(N590+N(O590))*N(K590)))</f>
        <v/>
      </c>
      <c r="T590" s="10">
        <f>IF(Q590="","",Q590-S590)</f>
        <v/>
      </c>
    </row>
    <row r="591">
      <c r="A591" s="7">
        <f>CONCATENATE(C591,E591,F591,I591)</f>
        <v/>
      </c>
      <c r="B591" s="7">
        <f>CONCATENATE(C591,E591,I591)</f>
        <v/>
      </c>
      <c r="C591" s="8" t="n">
        <v>900008251</v>
      </c>
      <c r="D591" s="7">
        <f>IFERROR(VLOOKUP(C591,TRAOPE!$G:$H,2,0),"")</f>
        <v/>
      </c>
      <c r="E591" s="8" t="inlineStr">
        <is>
          <t>DW68</t>
        </is>
      </c>
      <c r="F591" s="8" t="inlineStr">
        <is>
          <t>D211</t>
        </is>
      </c>
      <c r="G591" s="8">
        <f>IFERROR(VLOOKUP(A591,Flete!$A:$E,5,0),"")</f>
        <v/>
      </c>
      <c r="H591" s="7">
        <f>IFERROR(VLOOKUP(F591,TRAOPE!$AA:$AB,2,0),"")</f>
        <v/>
      </c>
      <c r="I591" s="7" t="n">
        <v>10000384</v>
      </c>
      <c r="J591" s="7">
        <f>IFERROR(VLOOKUP(I591,Materiales!$A:$H,8,0),"")</f>
        <v/>
      </c>
      <c r="K591" s="9">
        <f>IFERROR(VLOOKUP(I591,Materiales!$A:$G,7,0),"")</f>
        <v/>
      </c>
      <c r="L591" s="8" t="inlineStr">
        <is>
          <t>20240601</t>
        </is>
      </c>
      <c r="M591" s="8" t="inlineStr">
        <is>
          <t>99991231</t>
        </is>
      </c>
      <c r="N591" s="10" t="n">
        <v>221.37</v>
      </c>
      <c r="O591" s="10">
        <f>IFERROR(VLOOKUP(A591,Flete!$A:$J,10,0),"")</f>
        <v/>
      </c>
      <c r="P591" s="8" t="inlineStr">
        <is>
          <t>TN</t>
        </is>
      </c>
      <c r="Q591" s="10">
        <f>IFERROR(IFERROR(VLOOKUP(A591,TRAOPE!$A:$U,21,0),VLOOKUP(B591,TRAOPE!$A:$U,21,0)),"")</f>
        <v/>
      </c>
      <c r="R591" s="8">
        <f>IFERROR(IFERROR(VLOOKUP(A591,TRAOPE!$A:$W,23,0),VLOOKUP(B591,TRAOPE!$A:$W,23,0)),"")</f>
        <v/>
      </c>
      <c r="S591" s="10">
        <f>IF(AND(P591="TN",R591="TN"),N591+N(O591),IF(G591&amp;""="1",N(K591)*N591,(N591+N(O591))*N(K591)))</f>
        <v/>
      </c>
      <c r="T591" s="10">
        <f>IF(Q591="","",Q591-S591)</f>
        <v/>
      </c>
    </row>
    <row r="592">
      <c r="A592" s="7">
        <f>CONCATENATE(C592,E592,F592,I592)</f>
        <v/>
      </c>
      <c r="B592" s="7">
        <f>CONCATENATE(C592,E592,I592)</f>
        <v/>
      </c>
      <c r="C592" s="8" t="n">
        <v>900008251</v>
      </c>
      <c r="D592" s="7">
        <f>IFERROR(VLOOKUP(C592,TRAOPE!$G:$H,2,0),"")</f>
        <v/>
      </c>
      <c r="E592" s="8" t="inlineStr">
        <is>
          <t>DW68</t>
        </is>
      </c>
      <c r="F592" s="8" t="inlineStr">
        <is>
          <t>D211</t>
        </is>
      </c>
      <c r="G592" s="8">
        <f>IFERROR(VLOOKUP(A592,Flete!$A:$E,5,0),"")</f>
        <v/>
      </c>
      <c r="H592" s="7">
        <f>IFERROR(VLOOKUP(F592,TRAOPE!$AA:$AB,2,0),"")</f>
        <v/>
      </c>
      <c r="I592" s="7" t="n">
        <v>10000388</v>
      </c>
      <c r="J592" s="7">
        <f>IFERROR(VLOOKUP(I592,Materiales!$A:$H,8,0),"")</f>
        <v/>
      </c>
      <c r="K592" s="9">
        <f>IFERROR(VLOOKUP(I592,Materiales!$A:$G,7,0),"")</f>
        <v/>
      </c>
      <c r="L592" s="8" t="inlineStr">
        <is>
          <t>20240601</t>
        </is>
      </c>
      <c r="M592" s="8" t="inlineStr">
        <is>
          <t>99991231</t>
        </is>
      </c>
      <c r="N592" s="10" t="n">
        <v>181.94</v>
      </c>
      <c r="O592" s="10">
        <f>IFERROR(VLOOKUP(A592,Flete!$A:$J,10,0),"")</f>
        <v/>
      </c>
      <c r="P592" s="8" t="inlineStr">
        <is>
          <t>TN</t>
        </is>
      </c>
      <c r="Q592" s="10">
        <f>IFERROR(IFERROR(VLOOKUP(A592,TRAOPE!$A:$U,21,0),VLOOKUP(B592,TRAOPE!$A:$U,21,0)),"")</f>
        <v/>
      </c>
      <c r="R592" s="8">
        <f>IFERROR(IFERROR(VLOOKUP(A592,TRAOPE!$A:$W,23,0),VLOOKUP(B592,TRAOPE!$A:$W,23,0)),"")</f>
        <v/>
      </c>
      <c r="S592" s="10">
        <f>IF(AND(P592="TN",R592="TN"),N592+N(O592),IF(G592&amp;""="1",N(K592)*N592,(N592+N(O592))*N(K592)))</f>
        <v/>
      </c>
      <c r="T592" s="10">
        <f>IF(Q592="","",Q592-S592)</f>
        <v/>
      </c>
    </row>
    <row r="593">
      <c r="A593" s="7">
        <f>CONCATENATE(C593,E593,F593,I593)</f>
        <v/>
      </c>
      <c r="B593" s="7">
        <f>CONCATENATE(C593,E593,I593)</f>
        <v/>
      </c>
      <c r="C593" s="8" t="n">
        <v>900008251</v>
      </c>
      <c r="D593" s="7">
        <f>IFERROR(VLOOKUP(C593,TRAOPE!$G:$H,2,0),"")</f>
        <v/>
      </c>
      <c r="E593" s="8" t="inlineStr">
        <is>
          <t>DW68</t>
        </is>
      </c>
      <c r="F593" s="8" t="inlineStr">
        <is>
          <t>D211</t>
        </is>
      </c>
      <c r="G593" s="8">
        <f>IFERROR(VLOOKUP(A593,Flete!$A:$E,5,0),"")</f>
        <v/>
      </c>
      <c r="H593" s="7">
        <f>IFERROR(VLOOKUP(F593,TRAOPE!$AA:$AB,2,0),"")</f>
        <v/>
      </c>
      <c r="I593" s="7" t="n">
        <v>10004258</v>
      </c>
      <c r="J593" s="7">
        <f>IFERROR(VLOOKUP(I593,Materiales!$A:$H,8,0),"")</f>
        <v/>
      </c>
      <c r="K593" s="9">
        <f>IFERROR(VLOOKUP(I593,Materiales!$A:$G,7,0),"")</f>
        <v/>
      </c>
      <c r="L593" s="8" t="inlineStr">
        <is>
          <t>20240601</t>
        </is>
      </c>
      <c r="M593" s="8" t="inlineStr">
        <is>
          <t>99991231</t>
        </is>
      </c>
      <c r="N593" s="10" t="n">
        <v>338.83</v>
      </c>
      <c r="O593" s="10">
        <f>IFERROR(VLOOKUP(A593,Flete!$A:$J,10,0),"")</f>
        <v/>
      </c>
      <c r="P593" s="8" t="inlineStr">
        <is>
          <t>TN</t>
        </is>
      </c>
      <c r="Q593" s="10">
        <f>IFERROR(IFERROR(VLOOKUP(A593,TRAOPE!$A:$U,21,0),VLOOKUP(B593,TRAOPE!$A:$U,21,0)),"")</f>
        <v/>
      </c>
      <c r="R593" s="8">
        <f>IFERROR(IFERROR(VLOOKUP(A593,TRAOPE!$A:$W,23,0),VLOOKUP(B593,TRAOPE!$A:$W,23,0)),"")</f>
        <v/>
      </c>
      <c r="S593" s="10">
        <f>IF(AND(P593="TN",R593="TN"),N593+N(O593),IF(G593&amp;""="1",N(K593)*N593,(N593+N(O593))*N(K593)))</f>
        <v/>
      </c>
      <c r="T593" s="10">
        <f>IF(Q593="","",Q593-S593)</f>
        <v/>
      </c>
    </row>
    <row r="594">
      <c r="A594" s="7">
        <f>CONCATENATE(C594,E594,F594,I594)</f>
        <v/>
      </c>
      <c r="B594" s="7">
        <f>CONCATENATE(C594,E594,I594)</f>
        <v/>
      </c>
      <c r="C594" s="8" t="n">
        <v>900008251</v>
      </c>
      <c r="D594" s="7">
        <f>IFERROR(VLOOKUP(C594,TRAOPE!$G:$H,2,0),"")</f>
        <v/>
      </c>
      <c r="E594" s="8" t="inlineStr">
        <is>
          <t>DW68</t>
        </is>
      </c>
      <c r="F594" s="8" t="inlineStr">
        <is>
          <t>D228</t>
        </is>
      </c>
      <c r="G594" s="8">
        <f>IFERROR(VLOOKUP(A594,Flete!$A:$E,5,0),"")</f>
        <v/>
      </c>
      <c r="H594" s="7">
        <f>IFERROR(VLOOKUP(F594,TRAOPE!$AA:$AB,2,0),"")</f>
        <v/>
      </c>
      <c r="I594" s="7" t="n">
        <v>10000191</v>
      </c>
      <c r="J594" s="7">
        <f>IFERROR(VLOOKUP(I594,Materiales!$A:$H,8,0),"")</f>
        <v/>
      </c>
      <c r="K594" s="9">
        <f>IFERROR(VLOOKUP(I594,Materiales!$A:$G,7,0),"")</f>
        <v/>
      </c>
      <c r="L594" s="8" t="inlineStr">
        <is>
          <t>20240601</t>
        </is>
      </c>
      <c r="M594" s="8" t="inlineStr">
        <is>
          <t>99991231</t>
        </is>
      </c>
      <c r="N594" s="10" t="n">
        <v>191.49</v>
      </c>
      <c r="O594" s="10">
        <f>IFERROR(VLOOKUP(A594,Flete!$A:$J,10,0),"")</f>
        <v/>
      </c>
      <c r="P594" s="8" t="inlineStr">
        <is>
          <t>TN</t>
        </is>
      </c>
      <c r="Q594" s="10">
        <f>IFERROR(IFERROR(VLOOKUP(A594,TRAOPE!$A:$U,21,0),VLOOKUP(B594,TRAOPE!$A:$U,21,0)),"")</f>
        <v/>
      </c>
      <c r="R594" s="8">
        <f>IFERROR(IFERROR(VLOOKUP(A594,TRAOPE!$A:$W,23,0),VLOOKUP(B594,TRAOPE!$A:$W,23,0)),"")</f>
        <v/>
      </c>
      <c r="S594" s="10">
        <f>IF(AND(P594="TN",R594="TN"),N594+N(O594),IF(G594&amp;""="1",N(K594)*N594,(N594+N(O594))*N(K594)))</f>
        <v/>
      </c>
      <c r="T594" s="10">
        <f>IF(Q594="","",Q594-S594)</f>
        <v/>
      </c>
    </row>
    <row r="595">
      <c r="A595" s="7">
        <f>CONCATENATE(C595,E595,F595,I595)</f>
        <v/>
      </c>
      <c r="B595" s="7">
        <f>CONCATENATE(C595,E595,I595)</f>
        <v/>
      </c>
      <c r="C595" s="8" t="n">
        <v>900008251</v>
      </c>
      <c r="D595" s="7">
        <f>IFERROR(VLOOKUP(C595,TRAOPE!$G:$H,2,0),"")</f>
        <v/>
      </c>
      <c r="E595" s="8" t="inlineStr">
        <is>
          <t>DW68</t>
        </is>
      </c>
      <c r="F595" s="8" t="inlineStr">
        <is>
          <t>D228</t>
        </is>
      </c>
      <c r="G595" s="8">
        <f>IFERROR(VLOOKUP(A595,Flete!$A:$E,5,0),"")</f>
        <v/>
      </c>
      <c r="H595" s="7">
        <f>IFERROR(VLOOKUP(F595,TRAOPE!$AA:$AB,2,0),"")</f>
        <v/>
      </c>
      <c r="I595" s="7" t="n">
        <v>10000384</v>
      </c>
      <c r="J595" s="7">
        <f>IFERROR(VLOOKUP(I595,Materiales!$A:$H,8,0),"")</f>
        <v/>
      </c>
      <c r="K595" s="9">
        <f>IFERROR(VLOOKUP(I595,Materiales!$A:$G,7,0),"")</f>
        <v/>
      </c>
      <c r="L595" s="8" t="inlineStr">
        <is>
          <t>20240601</t>
        </is>
      </c>
      <c r="M595" s="8" t="inlineStr">
        <is>
          <t>99991231</t>
        </is>
      </c>
      <c r="N595" s="10" t="n">
        <v>221.37</v>
      </c>
      <c r="O595" s="10">
        <f>IFERROR(VLOOKUP(A595,Flete!$A:$J,10,0),"")</f>
        <v/>
      </c>
      <c r="P595" s="8" t="inlineStr">
        <is>
          <t>TN</t>
        </is>
      </c>
      <c r="Q595" s="10">
        <f>IFERROR(IFERROR(VLOOKUP(A595,TRAOPE!$A:$U,21,0),VLOOKUP(B595,TRAOPE!$A:$U,21,0)),"")</f>
        <v/>
      </c>
      <c r="R595" s="8">
        <f>IFERROR(IFERROR(VLOOKUP(A595,TRAOPE!$A:$W,23,0),VLOOKUP(B595,TRAOPE!$A:$W,23,0)),"")</f>
        <v/>
      </c>
      <c r="S595" s="10">
        <f>IF(AND(P595="TN",R595="TN"),N595+N(O595),IF(G595&amp;""="1",N(K595)*N595,(N595+N(O595))*N(K595)))</f>
        <v/>
      </c>
      <c r="T595" s="10">
        <f>IF(Q595="","",Q595-S595)</f>
        <v/>
      </c>
    </row>
    <row r="596">
      <c r="A596" s="7">
        <f>CONCATENATE(C596,E596,F596,I596)</f>
        <v/>
      </c>
      <c r="B596" s="7">
        <f>CONCATENATE(C596,E596,I596)</f>
        <v/>
      </c>
      <c r="C596" s="8" t="n">
        <v>900008251</v>
      </c>
      <c r="D596" s="7">
        <f>IFERROR(VLOOKUP(C596,TRAOPE!$G:$H,2,0),"")</f>
        <v/>
      </c>
      <c r="E596" s="8" t="inlineStr">
        <is>
          <t>DW68</t>
        </is>
      </c>
      <c r="F596" s="8" t="inlineStr">
        <is>
          <t>D228</t>
        </is>
      </c>
      <c r="G596" s="8">
        <f>IFERROR(VLOOKUP(A596,Flete!$A:$E,5,0),"")</f>
        <v/>
      </c>
      <c r="H596" s="7">
        <f>IFERROR(VLOOKUP(F596,TRAOPE!$AA:$AB,2,0),"")</f>
        <v/>
      </c>
      <c r="I596" s="7" t="n">
        <v>10000388</v>
      </c>
      <c r="J596" s="7">
        <f>IFERROR(VLOOKUP(I596,Materiales!$A:$H,8,0),"")</f>
        <v/>
      </c>
      <c r="K596" s="9">
        <f>IFERROR(VLOOKUP(I596,Materiales!$A:$G,7,0),"")</f>
        <v/>
      </c>
      <c r="L596" s="8" t="inlineStr">
        <is>
          <t>20240601</t>
        </is>
      </c>
      <c r="M596" s="8" t="inlineStr">
        <is>
          <t>99991231</t>
        </is>
      </c>
      <c r="N596" s="10" t="n">
        <v>181.94</v>
      </c>
      <c r="O596" s="10">
        <f>IFERROR(VLOOKUP(A596,Flete!$A:$J,10,0),"")</f>
        <v/>
      </c>
      <c r="P596" s="8" t="inlineStr">
        <is>
          <t>TN</t>
        </is>
      </c>
      <c r="Q596" s="10">
        <f>IFERROR(IFERROR(VLOOKUP(A596,TRAOPE!$A:$U,21,0),VLOOKUP(B596,TRAOPE!$A:$U,21,0)),"")</f>
        <v/>
      </c>
      <c r="R596" s="8">
        <f>IFERROR(IFERROR(VLOOKUP(A596,TRAOPE!$A:$W,23,0),VLOOKUP(B596,TRAOPE!$A:$W,23,0)),"")</f>
        <v/>
      </c>
      <c r="S596" s="10">
        <f>IF(AND(P596="TN",R596="TN"),N596+N(O596),IF(G596&amp;""="1",N(K596)*N596,(N596+N(O596))*N(K596)))</f>
        <v/>
      </c>
      <c r="T596" s="10">
        <f>IF(Q596="","",Q596-S596)</f>
        <v/>
      </c>
    </row>
    <row r="597">
      <c r="A597" s="7">
        <f>CONCATENATE(C597,E597,F597,I597)</f>
        <v/>
      </c>
      <c r="B597" s="7">
        <f>CONCATENATE(C597,E597,I597)</f>
        <v/>
      </c>
      <c r="C597" s="8" t="n">
        <v>900008251</v>
      </c>
      <c r="D597" s="7">
        <f>IFERROR(VLOOKUP(C597,TRAOPE!$G:$H,2,0),"")</f>
        <v/>
      </c>
      <c r="E597" s="8" t="inlineStr">
        <is>
          <t>DW68</t>
        </is>
      </c>
      <c r="F597" s="8" t="inlineStr">
        <is>
          <t>D228</t>
        </is>
      </c>
      <c r="G597" s="8">
        <f>IFERROR(VLOOKUP(A597,Flete!$A:$E,5,0),"")</f>
        <v/>
      </c>
      <c r="H597" s="7">
        <f>IFERROR(VLOOKUP(F597,TRAOPE!$AA:$AB,2,0),"")</f>
        <v/>
      </c>
      <c r="I597" s="7" t="n">
        <v>10004258</v>
      </c>
      <c r="J597" s="7">
        <f>IFERROR(VLOOKUP(I597,Materiales!$A:$H,8,0),"")</f>
        <v/>
      </c>
      <c r="K597" s="9">
        <f>IFERROR(VLOOKUP(I597,Materiales!$A:$G,7,0),"")</f>
        <v/>
      </c>
      <c r="L597" s="8" t="inlineStr">
        <is>
          <t>20240601</t>
        </is>
      </c>
      <c r="M597" s="8" t="inlineStr">
        <is>
          <t>99991231</t>
        </is>
      </c>
      <c r="N597" s="10" t="n">
        <v>338.83</v>
      </c>
      <c r="O597" s="10">
        <f>IFERROR(VLOOKUP(A597,Flete!$A:$J,10,0),"")</f>
        <v/>
      </c>
      <c r="P597" s="8" t="inlineStr">
        <is>
          <t>TN</t>
        </is>
      </c>
      <c r="Q597" s="10">
        <f>IFERROR(IFERROR(VLOOKUP(A597,TRAOPE!$A:$U,21,0),VLOOKUP(B597,TRAOPE!$A:$U,21,0)),"")</f>
        <v/>
      </c>
      <c r="R597" s="8">
        <f>IFERROR(IFERROR(VLOOKUP(A597,TRAOPE!$A:$W,23,0),VLOOKUP(B597,TRAOPE!$A:$W,23,0)),"")</f>
        <v/>
      </c>
      <c r="S597" s="10">
        <f>IF(AND(P597="TN",R597="TN"),N597+N(O597),IF(G597&amp;""="1",N(K597)*N597,(N597+N(O597))*N(K597)))</f>
        <v/>
      </c>
      <c r="T597" s="10">
        <f>IF(Q597="","",Q597-S597)</f>
        <v/>
      </c>
    </row>
    <row r="598">
      <c r="A598" s="7">
        <f>CONCATENATE(C598,E598,F598,I598)</f>
        <v/>
      </c>
      <c r="B598" s="7">
        <f>CONCATENATE(C598,E598,I598)</f>
        <v/>
      </c>
      <c r="C598" s="8" t="n">
        <v>900008251</v>
      </c>
      <c r="D598" s="7">
        <f>IFERROR(VLOOKUP(C598,TRAOPE!$G:$H,2,0),"")</f>
        <v/>
      </c>
      <c r="E598" s="8" t="inlineStr">
        <is>
          <t>DW68</t>
        </is>
      </c>
      <c r="F598" s="8" t="inlineStr">
        <is>
          <t>D242</t>
        </is>
      </c>
      <c r="G598" s="8">
        <f>IFERROR(VLOOKUP(A598,Flete!$A:$E,5,0),"")</f>
        <v/>
      </c>
      <c r="H598" s="7">
        <f>IFERROR(VLOOKUP(F598,TRAOPE!$AA:$AB,2,0),"")</f>
        <v/>
      </c>
      <c r="I598" s="7" t="n">
        <v>10000191</v>
      </c>
      <c r="J598" s="7">
        <f>IFERROR(VLOOKUP(I598,Materiales!$A:$H,8,0),"")</f>
        <v/>
      </c>
      <c r="K598" s="9">
        <f>IFERROR(VLOOKUP(I598,Materiales!$A:$G,7,0),"")</f>
        <v/>
      </c>
      <c r="L598" s="8" t="inlineStr">
        <is>
          <t>20240601</t>
        </is>
      </c>
      <c r="M598" s="8" t="inlineStr">
        <is>
          <t>99991231</t>
        </is>
      </c>
      <c r="N598" s="10" t="n">
        <v>191.49</v>
      </c>
      <c r="O598" s="10">
        <f>IFERROR(VLOOKUP(A598,Flete!$A:$J,10,0),"")</f>
        <v/>
      </c>
      <c r="P598" s="8" t="inlineStr">
        <is>
          <t>TN</t>
        </is>
      </c>
      <c r="Q598" s="10">
        <f>IFERROR(IFERROR(VLOOKUP(A598,TRAOPE!$A:$U,21,0),VLOOKUP(B598,TRAOPE!$A:$U,21,0)),"")</f>
        <v/>
      </c>
      <c r="R598" s="8">
        <f>IFERROR(IFERROR(VLOOKUP(A598,TRAOPE!$A:$W,23,0),VLOOKUP(B598,TRAOPE!$A:$W,23,0)),"")</f>
        <v/>
      </c>
      <c r="S598" s="10">
        <f>IF(AND(P598="TN",R598="TN"),N598+N(O598),IF(G598&amp;""="1",N(K598)*N598,(N598+N(O598))*N(K598)))</f>
        <v/>
      </c>
      <c r="T598" s="10">
        <f>IF(Q598="","",Q598-S598)</f>
        <v/>
      </c>
    </row>
    <row r="599">
      <c r="A599" s="7">
        <f>CONCATENATE(C599,E599,F599,I599)</f>
        <v/>
      </c>
      <c r="B599" s="7">
        <f>CONCATENATE(C599,E599,I599)</f>
        <v/>
      </c>
      <c r="C599" s="8" t="n">
        <v>900008251</v>
      </c>
      <c r="D599" s="7">
        <f>IFERROR(VLOOKUP(C599,TRAOPE!$G:$H,2,0),"")</f>
        <v/>
      </c>
      <c r="E599" s="8" t="inlineStr">
        <is>
          <t>DW68</t>
        </is>
      </c>
      <c r="F599" s="8" t="inlineStr">
        <is>
          <t>D242</t>
        </is>
      </c>
      <c r="G599" s="8">
        <f>IFERROR(VLOOKUP(A599,Flete!$A:$E,5,0),"")</f>
        <v/>
      </c>
      <c r="H599" s="7">
        <f>IFERROR(VLOOKUP(F599,TRAOPE!$AA:$AB,2,0),"")</f>
        <v/>
      </c>
      <c r="I599" s="7" t="n">
        <v>10000384</v>
      </c>
      <c r="J599" s="7">
        <f>IFERROR(VLOOKUP(I599,Materiales!$A:$H,8,0),"")</f>
        <v/>
      </c>
      <c r="K599" s="9">
        <f>IFERROR(VLOOKUP(I599,Materiales!$A:$G,7,0),"")</f>
        <v/>
      </c>
      <c r="L599" s="8" t="inlineStr">
        <is>
          <t>20240601</t>
        </is>
      </c>
      <c r="M599" s="8" t="inlineStr">
        <is>
          <t>99991231</t>
        </is>
      </c>
      <c r="N599" s="10" t="n">
        <v>221.37</v>
      </c>
      <c r="O599" s="10">
        <f>IFERROR(VLOOKUP(A599,Flete!$A:$J,10,0),"")</f>
        <v/>
      </c>
      <c r="P599" s="8" t="inlineStr">
        <is>
          <t>TN</t>
        </is>
      </c>
      <c r="Q599" s="10">
        <f>IFERROR(IFERROR(VLOOKUP(A599,TRAOPE!$A:$U,21,0),VLOOKUP(B599,TRAOPE!$A:$U,21,0)),"")</f>
        <v/>
      </c>
      <c r="R599" s="8">
        <f>IFERROR(IFERROR(VLOOKUP(A599,TRAOPE!$A:$W,23,0),VLOOKUP(B599,TRAOPE!$A:$W,23,0)),"")</f>
        <v/>
      </c>
      <c r="S599" s="10">
        <f>IF(AND(P599="TN",R599="TN"),N599+N(O599),IF(G599&amp;""="1",N(K599)*N599,(N599+N(O599))*N(K599)))</f>
        <v/>
      </c>
      <c r="T599" s="10">
        <f>IF(Q599="","",Q599-S599)</f>
        <v/>
      </c>
    </row>
    <row r="600">
      <c r="A600" s="7">
        <f>CONCATENATE(C600,E600,F600,I600)</f>
        <v/>
      </c>
      <c r="B600" s="7">
        <f>CONCATENATE(C600,E600,I600)</f>
        <v/>
      </c>
      <c r="C600" s="8" t="n">
        <v>900008251</v>
      </c>
      <c r="D600" s="7">
        <f>IFERROR(VLOOKUP(C600,TRAOPE!$G:$H,2,0),"")</f>
        <v/>
      </c>
      <c r="E600" s="8" t="inlineStr">
        <is>
          <t>DW68</t>
        </is>
      </c>
      <c r="F600" s="8" t="inlineStr">
        <is>
          <t>D242</t>
        </is>
      </c>
      <c r="G600" s="8">
        <f>IFERROR(VLOOKUP(A600,Flete!$A:$E,5,0),"")</f>
        <v/>
      </c>
      <c r="H600" s="7">
        <f>IFERROR(VLOOKUP(F600,TRAOPE!$AA:$AB,2,0),"")</f>
        <v/>
      </c>
      <c r="I600" s="7" t="n">
        <v>10000388</v>
      </c>
      <c r="J600" s="7">
        <f>IFERROR(VLOOKUP(I600,Materiales!$A:$H,8,0),"")</f>
        <v/>
      </c>
      <c r="K600" s="9">
        <f>IFERROR(VLOOKUP(I600,Materiales!$A:$G,7,0),"")</f>
        <v/>
      </c>
      <c r="L600" s="8" t="inlineStr">
        <is>
          <t>20240601</t>
        </is>
      </c>
      <c r="M600" s="8" t="inlineStr">
        <is>
          <t>99991231</t>
        </is>
      </c>
      <c r="N600" s="10" t="n">
        <v>181.94</v>
      </c>
      <c r="O600" s="10">
        <f>IFERROR(VLOOKUP(A600,Flete!$A:$J,10,0),"")</f>
        <v/>
      </c>
      <c r="P600" s="8" t="inlineStr">
        <is>
          <t>TN</t>
        </is>
      </c>
      <c r="Q600" s="10">
        <f>IFERROR(IFERROR(VLOOKUP(A600,TRAOPE!$A:$U,21,0),VLOOKUP(B600,TRAOPE!$A:$U,21,0)),"")</f>
        <v/>
      </c>
      <c r="R600" s="8">
        <f>IFERROR(IFERROR(VLOOKUP(A600,TRAOPE!$A:$W,23,0),VLOOKUP(B600,TRAOPE!$A:$W,23,0)),"")</f>
        <v/>
      </c>
      <c r="S600" s="10">
        <f>IF(AND(P600="TN",R600="TN"),N600+N(O600),IF(G600&amp;""="1",N(K600)*N600,(N600+N(O600))*N(K600)))</f>
        <v/>
      </c>
      <c r="T600" s="10">
        <f>IF(Q600="","",Q600-S600)</f>
        <v/>
      </c>
    </row>
    <row r="601">
      <c r="A601" s="7">
        <f>CONCATENATE(C601,E601,F601,I601)</f>
        <v/>
      </c>
      <c r="B601" s="7">
        <f>CONCATENATE(C601,E601,I601)</f>
        <v/>
      </c>
      <c r="C601" s="8" t="n">
        <v>900008251</v>
      </c>
      <c r="D601" s="7">
        <f>IFERROR(VLOOKUP(C601,TRAOPE!$G:$H,2,0),"")</f>
        <v/>
      </c>
      <c r="E601" s="8" t="inlineStr">
        <is>
          <t>DW68</t>
        </is>
      </c>
      <c r="F601" s="8" t="inlineStr">
        <is>
          <t>D242</t>
        </is>
      </c>
      <c r="G601" s="8">
        <f>IFERROR(VLOOKUP(A601,Flete!$A:$E,5,0),"")</f>
        <v/>
      </c>
      <c r="H601" s="7">
        <f>IFERROR(VLOOKUP(F601,TRAOPE!$AA:$AB,2,0),"")</f>
        <v/>
      </c>
      <c r="I601" s="7" t="n">
        <v>10000726</v>
      </c>
      <c r="J601" s="7">
        <f>IFERROR(VLOOKUP(I601,Materiales!$A:$H,8,0),"")</f>
        <v/>
      </c>
      <c r="K601" s="9">
        <f>IFERROR(VLOOKUP(I601,Materiales!$A:$G,7,0),"")</f>
        <v/>
      </c>
      <c r="L601" s="8" t="inlineStr">
        <is>
          <t>20230926</t>
        </is>
      </c>
      <c r="M601" s="8" t="inlineStr">
        <is>
          <t>99991231</t>
        </is>
      </c>
      <c r="N601" s="10" t="n">
        <v>375.09</v>
      </c>
      <c r="O601" s="10">
        <f>IFERROR(VLOOKUP(A601,Flete!$A:$J,10,0),"")</f>
        <v/>
      </c>
      <c r="P601" s="8" t="inlineStr">
        <is>
          <t>TN</t>
        </is>
      </c>
      <c r="Q601" s="10">
        <f>IFERROR(IFERROR(VLOOKUP(A601,TRAOPE!$A:$U,21,0),VLOOKUP(B601,TRAOPE!$A:$U,21,0)),"")</f>
        <v/>
      </c>
      <c r="R601" s="8">
        <f>IFERROR(IFERROR(VLOOKUP(A601,TRAOPE!$A:$W,23,0),VLOOKUP(B601,TRAOPE!$A:$W,23,0)),"")</f>
        <v/>
      </c>
      <c r="S601" s="10">
        <f>IF(AND(P601="TN",R601="TN"),N601+N(O601),IF(G601&amp;""="1",N(K601)*N601,(N601+N(O601))*N(K601)))</f>
        <v/>
      </c>
      <c r="T601" s="10">
        <f>IF(Q601="","",Q601-S601)</f>
        <v/>
      </c>
    </row>
    <row r="602">
      <c r="A602" s="7">
        <f>CONCATENATE(C602,E602,F602,I602)</f>
        <v/>
      </c>
      <c r="B602" s="7">
        <f>CONCATENATE(C602,E602,I602)</f>
        <v/>
      </c>
      <c r="C602" s="8" t="n">
        <v>900008251</v>
      </c>
      <c r="D602" s="7">
        <f>IFERROR(VLOOKUP(C602,TRAOPE!$G:$H,2,0),"")</f>
        <v/>
      </c>
      <c r="E602" s="8" t="inlineStr">
        <is>
          <t>DW68</t>
        </is>
      </c>
      <c r="F602" s="8" t="inlineStr">
        <is>
          <t>D242</t>
        </is>
      </c>
      <c r="G602" s="8">
        <f>IFERROR(VLOOKUP(A602,Flete!$A:$E,5,0),"")</f>
        <v/>
      </c>
      <c r="H602" s="7">
        <f>IFERROR(VLOOKUP(F602,TRAOPE!$AA:$AB,2,0),"")</f>
        <v/>
      </c>
      <c r="I602" s="7" t="n">
        <v>10004258</v>
      </c>
      <c r="J602" s="7">
        <f>IFERROR(VLOOKUP(I602,Materiales!$A:$H,8,0),"")</f>
        <v/>
      </c>
      <c r="K602" s="9">
        <f>IFERROR(VLOOKUP(I602,Materiales!$A:$G,7,0),"")</f>
        <v/>
      </c>
      <c r="L602" s="8" t="inlineStr">
        <is>
          <t>20240601</t>
        </is>
      </c>
      <c r="M602" s="8" t="inlineStr">
        <is>
          <t>99991231</t>
        </is>
      </c>
      <c r="N602" s="10" t="n">
        <v>338.83</v>
      </c>
      <c r="O602" s="10">
        <f>IFERROR(VLOOKUP(A602,Flete!$A:$J,10,0),"")</f>
        <v/>
      </c>
      <c r="P602" s="8" t="inlineStr">
        <is>
          <t>TN</t>
        </is>
      </c>
      <c r="Q602" s="10">
        <f>IFERROR(IFERROR(VLOOKUP(A602,TRAOPE!$A:$U,21,0),VLOOKUP(B602,TRAOPE!$A:$U,21,0)),"")</f>
        <v/>
      </c>
      <c r="R602" s="8">
        <f>IFERROR(IFERROR(VLOOKUP(A602,TRAOPE!$A:$W,23,0),VLOOKUP(B602,TRAOPE!$A:$W,23,0)),"")</f>
        <v/>
      </c>
      <c r="S602" s="10">
        <f>IF(AND(P602="TN",R602="TN"),N602+N(O602),IF(G602&amp;""="1",N(K602)*N602,(N602+N(O602))*N(K602)))</f>
        <v/>
      </c>
      <c r="T602" s="10">
        <f>IF(Q602="","",Q602-S602)</f>
        <v/>
      </c>
    </row>
    <row r="603">
      <c r="A603" s="7">
        <f>CONCATENATE(C603,E603,F603,I603)</f>
        <v/>
      </c>
      <c r="B603" s="7">
        <f>CONCATENATE(C603,E603,I603)</f>
        <v/>
      </c>
      <c r="C603" s="8" t="n">
        <v>900008251</v>
      </c>
      <c r="D603" s="7">
        <f>IFERROR(VLOOKUP(C603,TRAOPE!$G:$H,2,0),"")</f>
        <v/>
      </c>
      <c r="E603" s="8" t="inlineStr">
        <is>
          <t>DW68</t>
        </is>
      </c>
      <c r="F603" s="8" t="inlineStr">
        <is>
          <t>D247</t>
        </is>
      </c>
      <c r="G603" s="8">
        <f>IFERROR(VLOOKUP(A603,Flete!$A:$E,5,0),"")</f>
        <v/>
      </c>
      <c r="H603" s="7">
        <f>IFERROR(VLOOKUP(F603,TRAOPE!$AA:$AB,2,0),"")</f>
        <v/>
      </c>
      <c r="I603" s="7" t="n">
        <v>10000191</v>
      </c>
      <c r="J603" s="7">
        <f>IFERROR(VLOOKUP(I603,Materiales!$A:$H,8,0),"")</f>
        <v/>
      </c>
      <c r="K603" s="9">
        <f>IFERROR(VLOOKUP(I603,Materiales!$A:$G,7,0),"")</f>
        <v/>
      </c>
      <c r="L603" s="8" t="inlineStr">
        <is>
          <t>20240601</t>
        </is>
      </c>
      <c r="M603" s="8" t="inlineStr">
        <is>
          <t>99991231</t>
        </is>
      </c>
      <c r="N603" s="10" t="n">
        <v>191.49</v>
      </c>
      <c r="O603" s="10">
        <f>IFERROR(VLOOKUP(A603,Flete!$A:$J,10,0),"")</f>
        <v/>
      </c>
      <c r="P603" s="8" t="inlineStr">
        <is>
          <t>TN</t>
        </is>
      </c>
      <c r="Q603" s="10">
        <f>IFERROR(IFERROR(VLOOKUP(A603,TRAOPE!$A:$U,21,0),VLOOKUP(B603,TRAOPE!$A:$U,21,0)),"")</f>
        <v/>
      </c>
      <c r="R603" s="8">
        <f>IFERROR(IFERROR(VLOOKUP(A603,TRAOPE!$A:$W,23,0),VLOOKUP(B603,TRAOPE!$A:$W,23,0)),"")</f>
        <v/>
      </c>
      <c r="S603" s="10">
        <f>IF(AND(P603="TN",R603="TN"),N603+N(O603),IF(G603&amp;""="1",N(K603)*N603,(N603+N(O603))*N(K603)))</f>
        <v/>
      </c>
      <c r="T603" s="10">
        <f>IF(Q603="","",Q603-S603)</f>
        <v/>
      </c>
    </row>
    <row r="604">
      <c r="A604" s="7">
        <f>CONCATENATE(C604,E604,F604,I604)</f>
        <v/>
      </c>
      <c r="B604" s="7">
        <f>CONCATENATE(C604,E604,I604)</f>
        <v/>
      </c>
      <c r="C604" s="8" t="n">
        <v>900008251</v>
      </c>
      <c r="D604" s="7">
        <f>IFERROR(VLOOKUP(C604,TRAOPE!$G:$H,2,0),"")</f>
        <v/>
      </c>
      <c r="E604" s="8" t="inlineStr">
        <is>
          <t>DW68</t>
        </is>
      </c>
      <c r="F604" s="8" t="inlineStr">
        <is>
          <t>D247</t>
        </is>
      </c>
      <c r="G604" s="8">
        <f>IFERROR(VLOOKUP(A604,Flete!$A:$E,5,0),"")</f>
        <v/>
      </c>
      <c r="H604" s="7">
        <f>IFERROR(VLOOKUP(F604,TRAOPE!$AA:$AB,2,0),"")</f>
        <v/>
      </c>
      <c r="I604" s="7" t="n">
        <v>10000384</v>
      </c>
      <c r="J604" s="7">
        <f>IFERROR(VLOOKUP(I604,Materiales!$A:$H,8,0),"")</f>
        <v/>
      </c>
      <c r="K604" s="9">
        <f>IFERROR(VLOOKUP(I604,Materiales!$A:$G,7,0),"")</f>
        <v/>
      </c>
      <c r="L604" s="8" t="inlineStr">
        <is>
          <t>20240601</t>
        </is>
      </c>
      <c r="M604" s="8" t="inlineStr">
        <is>
          <t>99991231</t>
        </is>
      </c>
      <c r="N604" s="10" t="n">
        <v>221.37</v>
      </c>
      <c r="O604" s="10">
        <f>IFERROR(VLOOKUP(A604,Flete!$A:$J,10,0),"")</f>
        <v/>
      </c>
      <c r="P604" s="8" t="inlineStr">
        <is>
          <t>TN</t>
        </is>
      </c>
      <c r="Q604" s="10">
        <f>IFERROR(IFERROR(VLOOKUP(A604,TRAOPE!$A:$U,21,0),VLOOKUP(B604,TRAOPE!$A:$U,21,0)),"")</f>
        <v/>
      </c>
      <c r="R604" s="8">
        <f>IFERROR(IFERROR(VLOOKUP(A604,TRAOPE!$A:$W,23,0),VLOOKUP(B604,TRAOPE!$A:$W,23,0)),"")</f>
        <v/>
      </c>
      <c r="S604" s="10">
        <f>IF(AND(P604="TN",R604="TN"),N604+N(O604),IF(G604&amp;""="1",N(K604)*N604,(N604+N(O604))*N(K604)))</f>
        <v/>
      </c>
      <c r="T604" s="10">
        <f>IF(Q604="","",Q604-S604)</f>
        <v/>
      </c>
    </row>
    <row r="605">
      <c r="A605" s="7">
        <f>CONCATENATE(C605,E605,F605,I605)</f>
        <v/>
      </c>
      <c r="B605" s="7">
        <f>CONCATENATE(C605,E605,I605)</f>
        <v/>
      </c>
      <c r="C605" s="8" t="n">
        <v>900008251</v>
      </c>
      <c r="D605" s="7">
        <f>IFERROR(VLOOKUP(C605,TRAOPE!$G:$H,2,0),"")</f>
        <v/>
      </c>
      <c r="E605" s="8" t="inlineStr">
        <is>
          <t>DW68</t>
        </is>
      </c>
      <c r="F605" s="8" t="inlineStr">
        <is>
          <t>D247</t>
        </is>
      </c>
      <c r="G605" s="8">
        <f>IFERROR(VLOOKUP(A605,Flete!$A:$E,5,0),"")</f>
        <v/>
      </c>
      <c r="H605" s="7">
        <f>IFERROR(VLOOKUP(F605,TRAOPE!$AA:$AB,2,0),"")</f>
        <v/>
      </c>
      <c r="I605" s="7" t="n">
        <v>10000388</v>
      </c>
      <c r="J605" s="7">
        <f>IFERROR(VLOOKUP(I605,Materiales!$A:$H,8,0),"")</f>
        <v/>
      </c>
      <c r="K605" s="9">
        <f>IFERROR(VLOOKUP(I605,Materiales!$A:$G,7,0),"")</f>
        <v/>
      </c>
      <c r="L605" s="8" t="inlineStr">
        <is>
          <t>20240601</t>
        </is>
      </c>
      <c r="M605" s="8" t="inlineStr">
        <is>
          <t>99991231</t>
        </is>
      </c>
      <c r="N605" s="10" t="n">
        <v>181.94</v>
      </c>
      <c r="O605" s="10">
        <f>IFERROR(VLOOKUP(A605,Flete!$A:$J,10,0),"")</f>
        <v/>
      </c>
      <c r="P605" s="8" t="inlineStr">
        <is>
          <t>TN</t>
        </is>
      </c>
      <c r="Q605" s="10">
        <f>IFERROR(IFERROR(VLOOKUP(A605,TRAOPE!$A:$U,21,0),VLOOKUP(B605,TRAOPE!$A:$U,21,0)),"")</f>
        <v/>
      </c>
      <c r="R605" s="8">
        <f>IFERROR(IFERROR(VLOOKUP(A605,TRAOPE!$A:$W,23,0),VLOOKUP(B605,TRAOPE!$A:$W,23,0)),"")</f>
        <v/>
      </c>
      <c r="S605" s="10">
        <f>IF(AND(P605="TN",R605="TN"),N605+N(O605),IF(G605&amp;""="1",N(K605)*N605,(N605+N(O605))*N(K605)))</f>
        <v/>
      </c>
      <c r="T605" s="10">
        <f>IF(Q605="","",Q605-S605)</f>
        <v/>
      </c>
    </row>
    <row r="606">
      <c r="A606" s="7">
        <f>CONCATENATE(C606,E606,F606,I606)</f>
        <v/>
      </c>
      <c r="B606" s="7">
        <f>CONCATENATE(C606,E606,I606)</f>
        <v/>
      </c>
      <c r="C606" s="8" t="n">
        <v>900008251</v>
      </c>
      <c r="D606" s="7">
        <f>IFERROR(VLOOKUP(C606,TRAOPE!$G:$H,2,0),"")</f>
        <v/>
      </c>
      <c r="E606" s="8" t="inlineStr">
        <is>
          <t>DW68</t>
        </is>
      </c>
      <c r="F606" s="8" t="inlineStr">
        <is>
          <t>D247</t>
        </is>
      </c>
      <c r="G606" s="8">
        <f>IFERROR(VLOOKUP(A606,Flete!$A:$E,5,0),"")</f>
        <v/>
      </c>
      <c r="H606" s="7">
        <f>IFERROR(VLOOKUP(F606,TRAOPE!$AA:$AB,2,0),"")</f>
        <v/>
      </c>
      <c r="I606" s="7" t="n">
        <v>10004258</v>
      </c>
      <c r="J606" s="7">
        <f>IFERROR(VLOOKUP(I606,Materiales!$A:$H,8,0),"")</f>
        <v/>
      </c>
      <c r="K606" s="9">
        <f>IFERROR(VLOOKUP(I606,Materiales!$A:$G,7,0),"")</f>
        <v/>
      </c>
      <c r="L606" s="8" t="inlineStr">
        <is>
          <t>20240601</t>
        </is>
      </c>
      <c r="M606" s="8" t="inlineStr">
        <is>
          <t>99991231</t>
        </is>
      </c>
      <c r="N606" s="10" t="n">
        <v>338.83</v>
      </c>
      <c r="O606" s="10">
        <f>IFERROR(VLOOKUP(A606,Flete!$A:$J,10,0),"")</f>
        <v/>
      </c>
      <c r="P606" s="8" t="inlineStr">
        <is>
          <t>TN</t>
        </is>
      </c>
      <c r="Q606" s="10">
        <f>IFERROR(IFERROR(VLOOKUP(A606,TRAOPE!$A:$U,21,0),VLOOKUP(B606,TRAOPE!$A:$U,21,0)),"")</f>
        <v/>
      </c>
      <c r="R606" s="8">
        <f>IFERROR(IFERROR(VLOOKUP(A606,TRAOPE!$A:$W,23,0),VLOOKUP(B606,TRAOPE!$A:$W,23,0)),"")</f>
        <v/>
      </c>
      <c r="S606" s="10">
        <f>IF(AND(P606="TN",R606="TN"),N606+N(O606),IF(G606&amp;""="1",N(K606)*N606,(N606+N(O606))*N(K606)))</f>
        <v/>
      </c>
      <c r="T606" s="10">
        <f>IF(Q606="","",Q606-S606)</f>
        <v/>
      </c>
    </row>
    <row r="607">
      <c r="A607" s="7">
        <f>CONCATENATE(C607,E607,F607,I607)</f>
        <v/>
      </c>
      <c r="B607" s="7">
        <f>CONCATENATE(C607,E607,I607)</f>
        <v/>
      </c>
      <c r="C607" s="8" t="n">
        <v>900008251</v>
      </c>
      <c r="D607" s="7">
        <f>IFERROR(VLOOKUP(C607,TRAOPE!$G:$H,2,0),"")</f>
        <v/>
      </c>
      <c r="E607" s="8" t="inlineStr">
        <is>
          <t>DW68</t>
        </is>
      </c>
      <c r="F607" s="8" t="inlineStr">
        <is>
          <t>D251</t>
        </is>
      </c>
      <c r="G607" s="8">
        <f>IFERROR(VLOOKUP(A607,Flete!$A:$E,5,0),"")</f>
        <v/>
      </c>
      <c r="H607" s="7">
        <f>IFERROR(VLOOKUP(F607,TRAOPE!$AA:$AB,2,0),"")</f>
        <v/>
      </c>
      <c r="I607" s="7" t="n">
        <v>10000191</v>
      </c>
      <c r="J607" s="7">
        <f>IFERROR(VLOOKUP(I607,Materiales!$A:$H,8,0),"")</f>
        <v/>
      </c>
      <c r="K607" s="9">
        <f>IFERROR(VLOOKUP(I607,Materiales!$A:$G,7,0),"")</f>
        <v/>
      </c>
      <c r="L607" s="8" t="inlineStr">
        <is>
          <t>20240601</t>
        </is>
      </c>
      <c r="M607" s="8" t="inlineStr">
        <is>
          <t>99991231</t>
        </is>
      </c>
      <c r="N607" s="10" t="n">
        <v>191.49</v>
      </c>
      <c r="O607" s="10">
        <f>IFERROR(VLOOKUP(A607,Flete!$A:$J,10,0),"")</f>
        <v/>
      </c>
      <c r="P607" s="8" t="inlineStr">
        <is>
          <t>TN</t>
        </is>
      </c>
      <c r="Q607" s="10">
        <f>IFERROR(IFERROR(VLOOKUP(A607,TRAOPE!$A:$U,21,0),VLOOKUP(B607,TRAOPE!$A:$U,21,0)),"")</f>
        <v/>
      </c>
      <c r="R607" s="8">
        <f>IFERROR(IFERROR(VLOOKUP(A607,TRAOPE!$A:$W,23,0),VLOOKUP(B607,TRAOPE!$A:$W,23,0)),"")</f>
        <v/>
      </c>
      <c r="S607" s="10">
        <f>IF(AND(P607="TN",R607="TN"),N607+N(O607),IF(G607&amp;""="1",N(K607)*N607,(N607+N(O607))*N(K607)))</f>
        <v/>
      </c>
      <c r="T607" s="10">
        <f>IF(Q607="","",Q607-S607)</f>
        <v/>
      </c>
    </row>
    <row r="608">
      <c r="A608" s="7">
        <f>CONCATENATE(C608,E608,F608,I608)</f>
        <v/>
      </c>
      <c r="B608" s="7">
        <f>CONCATENATE(C608,E608,I608)</f>
        <v/>
      </c>
      <c r="C608" s="8" t="n">
        <v>900008251</v>
      </c>
      <c r="D608" s="7">
        <f>IFERROR(VLOOKUP(C608,TRAOPE!$G:$H,2,0),"")</f>
        <v/>
      </c>
      <c r="E608" s="8" t="inlineStr">
        <is>
          <t>DW68</t>
        </is>
      </c>
      <c r="F608" s="8" t="inlineStr">
        <is>
          <t>D251</t>
        </is>
      </c>
      <c r="G608" s="8">
        <f>IFERROR(VLOOKUP(A608,Flete!$A:$E,5,0),"")</f>
        <v/>
      </c>
      <c r="H608" s="7">
        <f>IFERROR(VLOOKUP(F608,TRAOPE!$AA:$AB,2,0),"")</f>
        <v/>
      </c>
      <c r="I608" s="7" t="n">
        <v>10000384</v>
      </c>
      <c r="J608" s="7">
        <f>IFERROR(VLOOKUP(I608,Materiales!$A:$H,8,0),"")</f>
        <v/>
      </c>
      <c r="K608" s="9">
        <f>IFERROR(VLOOKUP(I608,Materiales!$A:$G,7,0),"")</f>
        <v/>
      </c>
      <c r="L608" s="8" t="inlineStr">
        <is>
          <t>20240601</t>
        </is>
      </c>
      <c r="M608" s="8" t="inlineStr">
        <is>
          <t>99991231</t>
        </is>
      </c>
      <c r="N608" s="10" t="n">
        <v>221.37</v>
      </c>
      <c r="O608" s="10">
        <f>IFERROR(VLOOKUP(A608,Flete!$A:$J,10,0),"")</f>
        <v/>
      </c>
      <c r="P608" s="8" t="inlineStr">
        <is>
          <t>TN</t>
        </is>
      </c>
      <c r="Q608" s="10">
        <f>IFERROR(IFERROR(VLOOKUP(A608,TRAOPE!$A:$U,21,0),VLOOKUP(B608,TRAOPE!$A:$U,21,0)),"")</f>
        <v/>
      </c>
      <c r="R608" s="8">
        <f>IFERROR(IFERROR(VLOOKUP(A608,TRAOPE!$A:$W,23,0),VLOOKUP(B608,TRAOPE!$A:$W,23,0)),"")</f>
        <v/>
      </c>
      <c r="S608" s="10">
        <f>IF(AND(P608="TN",R608="TN"),N608+N(O608),IF(G608&amp;""="1",N(K608)*N608,(N608+N(O608))*N(K608)))</f>
        <v/>
      </c>
      <c r="T608" s="10">
        <f>IF(Q608="","",Q608-S608)</f>
        <v/>
      </c>
    </row>
    <row r="609">
      <c r="A609" s="7">
        <f>CONCATENATE(C609,E609,F609,I609)</f>
        <v/>
      </c>
      <c r="B609" s="7">
        <f>CONCATENATE(C609,E609,I609)</f>
        <v/>
      </c>
      <c r="C609" s="8" t="n">
        <v>900008251</v>
      </c>
      <c r="D609" s="7">
        <f>IFERROR(VLOOKUP(C609,TRAOPE!$G:$H,2,0),"")</f>
        <v/>
      </c>
      <c r="E609" s="8" t="inlineStr">
        <is>
          <t>DW68</t>
        </is>
      </c>
      <c r="F609" s="8" t="inlineStr">
        <is>
          <t>D251</t>
        </is>
      </c>
      <c r="G609" s="8">
        <f>IFERROR(VLOOKUP(A609,Flete!$A:$E,5,0),"")</f>
        <v/>
      </c>
      <c r="H609" s="7">
        <f>IFERROR(VLOOKUP(F609,TRAOPE!$AA:$AB,2,0),"")</f>
        <v/>
      </c>
      <c r="I609" s="7" t="n">
        <v>10000388</v>
      </c>
      <c r="J609" s="7">
        <f>IFERROR(VLOOKUP(I609,Materiales!$A:$H,8,0),"")</f>
        <v/>
      </c>
      <c r="K609" s="9">
        <f>IFERROR(VLOOKUP(I609,Materiales!$A:$G,7,0),"")</f>
        <v/>
      </c>
      <c r="L609" s="8" t="inlineStr">
        <is>
          <t>20240601</t>
        </is>
      </c>
      <c r="M609" s="8" t="inlineStr">
        <is>
          <t>99991231</t>
        </is>
      </c>
      <c r="N609" s="10" t="n">
        <v>181.94</v>
      </c>
      <c r="O609" s="10">
        <f>IFERROR(VLOOKUP(A609,Flete!$A:$J,10,0),"")</f>
        <v/>
      </c>
      <c r="P609" s="8" t="inlineStr">
        <is>
          <t>TN</t>
        </is>
      </c>
      <c r="Q609" s="10">
        <f>IFERROR(IFERROR(VLOOKUP(A609,TRAOPE!$A:$U,21,0),VLOOKUP(B609,TRAOPE!$A:$U,21,0)),"")</f>
        <v/>
      </c>
      <c r="R609" s="8">
        <f>IFERROR(IFERROR(VLOOKUP(A609,TRAOPE!$A:$W,23,0),VLOOKUP(B609,TRAOPE!$A:$W,23,0)),"")</f>
        <v/>
      </c>
      <c r="S609" s="10">
        <f>IF(AND(P609="TN",R609="TN"),N609+N(O609),IF(G609&amp;""="1",N(K609)*N609,(N609+N(O609))*N(K609)))</f>
        <v/>
      </c>
      <c r="T609" s="10">
        <f>IF(Q609="","",Q609-S609)</f>
        <v/>
      </c>
    </row>
    <row r="610">
      <c r="A610" s="7">
        <f>CONCATENATE(C610,E610,F610,I610)</f>
        <v/>
      </c>
      <c r="B610" s="7">
        <f>CONCATENATE(C610,E610,I610)</f>
        <v/>
      </c>
      <c r="C610" s="8" t="n">
        <v>900008251</v>
      </c>
      <c r="D610" s="7">
        <f>IFERROR(VLOOKUP(C610,TRAOPE!$G:$H,2,0),"")</f>
        <v/>
      </c>
      <c r="E610" s="8" t="inlineStr">
        <is>
          <t>DW68</t>
        </is>
      </c>
      <c r="F610" s="8" t="inlineStr">
        <is>
          <t>D251</t>
        </is>
      </c>
      <c r="G610" s="8">
        <f>IFERROR(VLOOKUP(A610,Flete!$A:$E,5,0),"")</f>
        <v/>
      </c>
      <c r="H610" s="7">
        <f>IFERROR(VLOOKUP(F610,TRAOPE!$AA:$AB,2,0),"")</f>
        <v/>
      </c>
      <c r="I610" s="7" t="n">
        <v>10004258</v>
      </c>
      <c r="J610" s="7">
        <f>IFERROR(VLOOKUP(I610,Materiales!$A:$H,8,0),"")</f>
        <v/>
      </c>
      <c r="K610" s="9">
        <f>IFERROR(VLOOKUP(I610,Materiales!$A:$G,7,0),"")</f>
        <v/>
      </c>
      <c r="L610" s="8" t="inlineStr">
        <is>
          <t>20240601</t>
        </is>
      </c>
      <c r="M610" s="8" t="inlineStr">
        <is>
          <t>99991231</t>
        </is>
      </c>
      <c r="N610" s="10" t="n">
        <v>338.83</v>
      </c>
      <c r="O610" s="10">
        <f>IFERROR(VLOOKUP(A610,Flete!$A:$J,10,0),"")</f>
        <v/>
      </c>
      <c r="P610" s="8" t="inlineStr">
        <is>
          <t>TN</t>
        </is>
      </c>
      <c r="Q610" s="10">
        <f>IFERROR(IFERROR(VLOOKUP(A610,TRAOPE!$A:$U,21,0),VLOOKUP(B610,TRAOPE!$A:$U,21,0)),"")</f>
        <v/>
      </c>
      <c r="R610" s="8">
        <f>IFERROR(IFERROR(VLOOKUP(A610,TRAOPE!$A:$W,23,0),VLOOKUP(B610,TRAOPE!$A:$W,23,0)),"")</f>
        <v/>
      </c>
      <c r="S610" s="10">
        <f>IF(AND(P610="TN",R610="TN"),N610+N(O610),IF(G610&amp;""="1",N(K610)*N610,(N610+N(O610))*N(K610)))</f>
        <v/>
      </c>
      <c r="T610" s="10">
        <f>IF(Q610="","",Q610-S610)</f>
        <v/>
      </c>
    </row>
    <row r="611">
      <c r="A611" s="7">
        <f>CONCATENATE(C611,E611,F611,I611)</f>
        <v/>
      </c>
      <c r="B611" s="7">
        <f>CONCATENATE(C611,E611,I611)</f>
        <v/>
      </c>
      <c r="C611" s="8" t="n">
        <v>900008251</v>
      </c>
      <c r="D611" s="7">
        <f>IFERROR(VLOOKUP(C611,TRAOPE!$G:$H,2,0),"")</f>
        <v/>
      </c>
      <c r="E611" s="8" t="inlineStr">
        <is>
          <t>DW68</t>
        </is>
      </c>
      <c r="F611" s="8" t="inlineStr">
        <is>
          <t>D264</t>
        </is>
      </c>
      <c r="G611" s="8">
        <f>IFERROR(VLOOKUP(A611,Flete!$A:$E,5,0),"")</f>
        <v/>
      </c>
      <c r="H611" s="7">
        <f>IFERROR(VLOOKUP(F611,TRAOPE!$AA:$AB,2,0),"")</f>
        <v/>
      </c>
      <c r="I611" s="7" t="n">
        <v>10000191</v>
      </c>
      <c r="J611" s="7">
        <f>IFERROR(VLOOKUP(I611,Materiales!$A:$H,8,0),"")</f>
        <v/>
      </c>
      <c r="K611" s="9">
        <f>IFERROR(VLOOKUP(I611,Materiales!$A:$G,7,0),"")</f>
        <v/>
      </c>
      <c r="L611" s="8" t="inlineStr">
        <is>
          <t>20240601</t>
        </is>
      </c>
      <c r="M611" s="8" t="inlineStr">
        <is>
          <t>99991231</t>
        </is>
      </c>
      <c r="N611" s="10" t="n">
        <v>191.49</v>
      </c>
      <c r="O611" s="10">
        <f>IFERROR(VLOOKUP(A611,Flete!$A:$J,10,0),"")</f>
        <v/>
      </c>
      <c r="P611" s="8" t="inlineStr">
        <is>
          <t>TN</t>
        </is>
      </c>
      <c r="Q611" s="10">
        <f>IFERROR(IFERROR(VLOOKUP(A611,TRAOPE!$A:$U,21,0),VLOOKUP(B611,TRAOPE!$A:$U,21,0)),"")</f>
        <v/>
      </c>
      <c r="R611" s="8">
        <f>IFERROR(IFERROR(VLOOKUP(A611,TRAOPE!$A:$W,23,0),VLOOKUP(B611,TRAOPE!$A:$W,23,0)),"")</f>
        <v/>
      </c>
      <c r="S611" s="10">
        <f>IF(AND(P611="TN",R611="TN"),N611+N(O611),IF(G611&amp;""="1",N(K611)*N611,(N611+N(O611))*N(K611)))</f>
        <v/>
      </c>
      <c r="T611" s="10">
        <f>IF(Q611="","",Q611-S611)</f>
        <v/>
      </c>
    </row>
    <row r="612">
      <c r="A612" s="7">
        <f>CONCATENATE(C612,E612,F612,I612)</f>
        <v/>
      </c>
      <c r="B612" s="7">
        <f>CONCATENATE(C612,E612,I612)</f>
        <v/>
      </c>
      <c r="C612" s="8" t="n">
        <v>900008251</v>
      </c>
      <c r="D612" s="7">
        <f>IFERROR(VLOOKUP(C612,TRAOPE!$G:$H,2,0),"")</f>
        <v/>
      </c>
      <c r="E612" s="8" t="inlineStr">
        <is>
          <t>DW68</t>
        </is>
      </c>
      <c r="F612" s="8" t="inlineStr">
        <is>
          <t>D264</t>
        </is>
      </c>
      <c r="G612" s="8">
        <f>IFERROR(VLOOKUP(A612,Flete!$A:$E,5,0),"")</f>
        <v/>
      </c>
      <c r="H612" s="7">
        <f>IFERROR(VLOOKUP(F612,TRAOPE!$AA:$AB,2,0),"")</f>
        <v/>
      </c>
      <c r="I612" s="7" t="n">
        <v>10000384</v>
      </c>
      <c r="J612" s="7">
        <f>IFERROR(VLOOKUP(I612,Materiales!$A:$H,8,0),"")</f>
        <v/>
      </c>
      <c r="K612" s="9">
        <f>IFERROR(VLOOKUP(I612,Materiales!$A:$G,7,0),"")</f>
        <v/>
      </c>
      <c r="L612" s="8" t="inlineStr">
        <is>
          <t>20240601</t>
        </is>
      </c>
      <c r="M612" s="8" t="inlineStr">
        <is>
          <t>99991231</t>
        </is>
      </c>
      <c r="N612" s="10" t="n">
        <v>221.37</v>
      </c>
      <c r="O612" s="10">
        <f>IFERROR(VLOOKUP(A612,Flete!$A:$J,10,0),"")</f>
        <v/>
      </c>
      <c r="P612" s="8" t="inlineStr">
        <is>
          <t>TN</t>
        </is>
      </c>
      <c r="Q612" s="10">
        <f>IFERROR(IFERROR(VLOOKUP(A612,TRAOPE!$A:$U,21,0),VLOOKUP(B612,TRAOPE!$A:$U,21,0)),"")</f>
        <v/>
      </c>
      <c r="R612" s="8">
        <f>IFERROR(IFERROR(VLOOKUP(A612,TRAOPE!$A:$W,23,0),VLOOKUP(B612,TRAOPE!$A:$W,23,0)),"")</f>
        <v/>
      </c>
      <c r="S612" s="10">
        <f>IF(AND(P612="TN",R612="TN"),N612+N(O612),IF(G612&amp;""="1",N(K612)*N612,(N612+N(O612))*N(K612)))</f>
        <v/>
      </c>
      <c r="T612" s="10">
        <f>IF(Q612="","",Q612-S612)</f>
        <v/>
      </c>
    </row>
    <row r="613">
      <c r="A613" s="7">
        <f>CONCATENATE(C613,E613,F613,I613)</f>
        <v/>
      </c>
      <c r="B613" s="7">
        <f>CONCATENATE(C613,E613,I613)</f>
        <v/>
      </c>
      <c r="C613" s="8" t="n">
        <v>900008251</v>
      </c>
      <c r="D613" s="7">
        <f>IFERROR(VLOOKUP(C613,TRAOPE!$G:$H,2,0),"")</f>
        <v/>
      </c>
      <c r="E613" s="8" t="inlineStr">
        <is>
          <t>DW68</t>
        </is>
      </c>
      <c r="F613" s="8" t="inlineStr">
        <is>
          <t>D264</t>
        </is>
      </c>
      <c r="G613" s="8">
        <f>IFERROR(VLOOKUP(A613,Flete!$A:$E,5,0),"")</f>
        <v/>
      </c>
      <c r="H613" s="7">
        <f>IFERROR(VLOOKUP(F613,TRAOPE!$AA:$AB,2,0),"")</f>
        <v/>
      </c>
      <c r="I613" s="7" t="n">
        <v>10000388</v>
      </c>
      <c r="J613" s="7">
        <f>IFERROR(VLOOKUP(I613,Materiales!$A:$H,8,0),"")</f>
        <v/>
      </c>
      <c r="K613" s="9">
        <f>IFERROR(VLOOKUP(I613,Materiales!$A:$G,7,0),"")</f>
        <v/>
      </c>
      <c r="L613" s="8" t="inlineStr">
        <is>
          <t>20240601</t>
        </is>
      </c>
      <c r="M613" s="8" t="inlineStr">
        <is>
          <t>99991231</t>
        </is>
      </c>
      <c r="N613" s="10" t="n">
        <v>181.94</v>
      </c>
      <c r="O613" s="10">
        <f>IFERROR(VLOOKUP(A613,Flete!$A:$J,10,0),"")</f>
        <v/>
      </c>
      <c r="P613" s="8" t="inlineStr">
        <is>
          <t>TN</t>
        </is>
      </c>
      <c r="Q613" s="10">
        <f>IFERROR(IFERROR(VLOOKUP(A613,TRAOPE!$A:$U,21,0),VLOOKUP(B613,TRAOPE!$A:$U,21,0)),"")</f>
        <v/>
      </c>
      <c r="R613" s="8">
        <f>IFERROR(IFERROR(VLOOKUP(A613,TRAOPE!$A:$W,23,0),VLOOKUP(B613,TRAOPE!$A:$W,23,0)),"")</f>
        <v/>
      </c>
      <c r="S613" s="10">
        <f>IF(AND(P613="TN",R613="TN"),N613+N(O613),IF(G613&amp;""="1",N(K613)*N613,(N613+N(O613))*N(K613)))</f>
        <v/>
      </c>
      <c r="T613" s="10">
        <f>IF(Q613="","",Q613-S613)</f>
        <v/>
      </c>
    </row>
    <row r="614">
      <c r="A614" s="7">
        <f>CONCATENATE(C614,E614,F614,I614)</f>
        <v/>
      </c>
      <c r="B614" s="7">
        <f>CONCATENATE(C614,E614,I614)</f>
        <v/>
      </c>
      <c r="C614" s="8" t="n">
        <v>900008251</v>
      </c>
      <c r="D614" s="7">
        <f>IFERROR(VLOOKUP(C614,TRAOPE!$G:$H,2,0),"")</f>
        <v/>
      </c>
      <c r="E614" s="8" t="inlineStr">
        <is>
          <t>DW68</t>
        </is>
      </c>
      <c r="F614" s="8" t="inlineStr">
        <is>
          <t>D264</t>
        </is>
      </c>
      <c r="G614" s="8">
        <f>IFERROR(VLOOKUP(A614,Flete!$A:$E,5,0),"")</f>
        <v/>
      </c>
      <c r="H614" s="7">
        <f>IFERROR(VLOOKUP(F614,TRAOPE!$AA:$AB,2,0),"")</f>
        <v/>
      </c>
      <c r="I614" s="7" t="n">
        <v>10004258</v>
      </c>
      <c r="J614" s="7">
        <f>IFERROR(VLOOKUP(I614,Materiales!$A:$H,8,0),"")</f>
        <v/>
      </c>
      <c r="K614" s="9">
        <f>IFERROR(VLOOKUP(I614,Materiales!$A:$G,7,0),"")</f>
        <v/>
      </c>
      <c r="L614" s="8" t="inlineStr">
        <is>
          <t>20240601</t>
        </is>
      </c>
      <c r="M614" s="8" t="inlineStr">
        <is>
          <t>99991231</t>
        </is>
      </c>
      <c r="N614" s="10" t="n">
        <v>338.83</v>
      </c>
      <c r="O614" s="10">
        <f>IFERROR(VLOOKUP(A614,Flete!$A:$J,10,0),"")</f>
        <v/>
      </c>
      <c r="P614" s="8" t="inlineStr">
        <is>
          <t>TN</t>
        </is>
      </c>
      <c r="Q614" s="10">
        <f>IFERROR(IFERROR(VLOOKUP(A614,TRAOPE!$A:$U,21,0),VLOOKUP(B614,TRAOPE!$A:$U,21,0)),"")</f>
        <v/>
      </c>
      <c r="R614" s="8">
        <f>IFERROR(IFERROR(VLOOKUP(A614,TRAOPE!$A:$W,23,0),VLOOKUP(B614,TRAOPE!$A:$W,23,0)),"")</f>
        <v/>
      </c>
      <c r="S614" s="10">
        <f>IF(AND(P614="TN",R614="TN"),N614+N(O614),IF(G614&amp;""="1",N(K614)*N614,(N614+N(O614))*N(K614)))</f>
        <v/>
      </c>
      <c r="T614" s="10">
        <f>IF(Q614="","",Q614-S614)</f>
        <v/>
      </c>
    </row>
    <row r="615">
      <c r="A615" s="7">
        <f>CONCATENATE(C615,E615,F615,I615)</f>
        <v/>
      </c>
      <c r="B615" s="7">
        <f>CONCATENATE(C615,E615,I615)</f>
        <v/>
      </c>
      <c r="C615" s="8" t="n">
        <v>900008251</v>
      </c>
      <c r="D615" s="7">
        <f>IFERROR(VLOOKUP(C615,TRAOPE!$G:$H,2,0),"")</f>
        <v/>
      </c>
      <c r="E615" s="8" t="inlineStr">
        <is>
          <t>DW68</t>
        </is>
      </c>
      <c r="F615" s="8" t="inlineStr">
        <is>
          <t>D267</t>
        </is>
      </c>
      <c r="G615" s="8">
        <f>IFERROR(VLOOKUP(A615,Flete!$A:$E,5,0),"")</f>
        <v/>
      </c>
      <c r="H615" s="7">
        <f>IFERROR(VLOOKUP(F615,TRAOPE!$AA:$AB,2,0),"")</f>
        <v/>
      </c>
      <c r="I615" s="7" t="n">
        <v>10000191</v>
      </c>
      <c r="J615" s="7">
        <f>IFERROR(VLOOKUP(I615,Materiales!$A:$H,8,0),"")</f>
        <v/>
      </c>
      <c r="K615" s="9">
        <f>IFERROR(VLOOKUP(I615,Materiales!$A:$G,7,0),"")</f>
        <v/>
      </c>
      <c r="L615" s="8" t="inlineStr">
        <is>
          <t>20240601</t>
        </is>
      </c>
      <c r="M615" s="8" t="inlineStr">
        <is>
          <t>99991231</t>
        </is>
      </c>
      <c r="N615" s="10" t="n">
        <v>191.49</v>
      </c>
      <c r="O615" s="10">
        <f>IFERROR(VLOOKUP(A615,Flete!$A:$J,10,0),"")</f>
        <v/>
      </c>
      <c r="P615" s="8" t="inlineStr">
        <is>
          <t>TN</t>
        </is>
      </c>
      <c r="Q615" s="10">
        <f>IFERROR(IFERROR(VLOOKUP(A615,TRAOPE!$A:$U,21,0),VLOOKUP(B615,TRAOPE!$A:$U,21,0)),"")</f>
        <v/>
      </c>
      <c r="R615" s="8">
        <f>IFERROR(IFERROR(VLOOKUP(A615,TRAOPE!$A:$W,23,0),VLOOKUP(B615,TRAOPE!$A:$W,23,0)),"")</f>
        <v/>
      </c>
      <c r="S615" s="10">
        <f>IF(AND(P615="TN",R615="TN"),N615+N(O615),IF(G615&amp;""="1",N(K615)*N615,(N615+N(O615))*N(K615)))</f>
        <v/>
      </c>
      <c r="T615" s="10">
        <f>IF(Q615="","",Q615-S615)</f>
        <v/>
      </c>
    </row>
    <row r="616">
      <c r="A616" s="7">
        <f>CONCATENATE(C616,E616,F616,I616)</f>
        <v/>
      </c>
      <c r="B616" s="7">
        <f>CONCATENATE(C616,E616,I616)</f>
        <v/>
      </c>
      <c r="C616" s="8" t="n">
        <v>900008251</v>
      </c>
      <c r="D616" s="7">
        <f>IFERROR(VLOOKUP(C616,TRAOPE!$G:$H,2,0),"")</f>
        <v/>
      </c>
      <c r="E616" s="8" t="inlineStr">
        <is>
          <t>DW68</t>
        </is>
      </c>
      <c r="F616" s="8" t="inlineStr">
        <is>
          <t>D267</t>
        </is>
      </c>
      <c r="G616" s="8">
        <f>IFERROR(VLOOKUP(A616,Flete!$A:$E,5,0),"")</f>
        <v/>
      </c>
      <c r="H616" s="7">
        <f>IFERROR(VLOOKUP(F616,TRAOPE!$AA:$AB,2,0),"")</f>
        <v/>
      </c>
      <c r="I616" s="7" t="n">
        <v>10000384</v>
      </c>
      <c r="J616" s="7">
        <f>IFERROR(VLOOKUP(I616,Materiales!$A:$H,8,0),"")</f>
        <v/>
      </c>
      <c r="K616" s="9">
        <f>IFERROR(VLOOKUP(I616,Materiales!$A:$G,7,0),"")</f>
        <v/>
      </c>
      <c r="L616" s="8" t="inlineStr">
        <is>
          <t>20240601</t>
        </is>
      </c>
      <c r="M616" s="8" t="inlineStr">
        <is>
          <t>99991231</t>
        </is>
      </c>
      <c r="N616" s="10" t="n">
        <v>221.37</v>
      </c>
      <c r="O616" s="10">
        <f>IFERROR(VLOOKUP(A616,Flete!$A:$J,10,0),"")</f>
        <v/>
      </c>
      <c r="P616" s="8" t="inlineStr">
        <is>
          <t>TN</t>
        </is>
      </c>
      <c r="Q616" s="10">
        <f>IFERROR(IFERROR(VLOOKUP(A616,TRAOPE!$A:$U,21,0),VLOOKUP(B616,TRAOPE!$A:$U,21,0)),"")</f>
        <v/>
      </c>
      <c r="R616" s="8">
        <f>IFERROR(IFERROR(VLOOKUP(A616,TRAOPE!$A:$W,23,0),VLOOKUP(B616,TRAOPE!$A:$W,23,0)),"")</f>
        <v/>
      </c>
      <c r="S616" s="10">
        <f>IF(AND(P616="TN",R616="TN"),N616+N(O616),IF(G616&amp;""="1",N(K616)*N616,(N616+N(O616))*N(K616)))</f>
        <v/>
      </c>
      <c r="T616" s="10">
        <f>IF(Q616="","",Q616-S616)</f>
        <v/>
      </c>
    </row>
    <row r="617">
      <c r="A617" s="7">
        <f>CONCATENATE(C617,E617,F617,I617)</f>
        <v/>
      </c>
      <c r="B617" s="7">
        <f>CONCATENATE(C617,E617,I617)</f>
        <v/>
      </c>
      <c r="C617" s="8" t="n">
        <v>900008251</v>
      </c>
      <c r="D617" s="7">
        <f>IFERROR(VLOOKUP(C617,TRAOPE!$G:$H,2,0),"")</f>
        <v/>
      </c>
      <c r="E617" s="8" t="inlineStr">
        <is>
          <t>DW68</t>
        </is>
      </c>
      <c r="F617" s="8" t="inlineStr">
        <is>
          <t>D267</t>
        </is>
      </c>
      <c r="G617" s="8">
        <f>IFERROR(VLOOKUP(A617,Flete!$A:$E,5,0),"")</f>
        <v/>
      </c>
      <c r="H617" s="7">
        <f>IFERROR(VLOOKUP(F617,TRAOPE!$AA:$AB,2,0),"")</f>
        <v/>
      </c>
      <c r="I617" s="7" t="n">
        <v>10000388</v>
      </c>
      <c r="J617" s="7">
        <f>IFERROR(VLOOKUP(I617,Materiales!$A:$H,8,0),"")</f>
        <v/>
      </c>
      <c r="K617" s="9">
        <f>IFERROR(VLOOKUP(I617,Materiales!$A:$G,7,0),"")</f>
        <v/>
      </c>
      <c r="L617" s="8" t="inlineStr">
        <is>
          <t>20240601</t>
        </is>
      </c>
      <c r="M617" s="8" t="inlineStr">
        <is>
          <t>99991231</t>
        </is>
      </c>
      <c r="N617" s="10" t="n">
        <v>181.94</v>
      </c>
      <c r="O617" s="10">
        <f>IFERROR(VLOOKUP(A617,Flete!$A:$J,10,0),"")</f>
        <v/>
      </c>
      <c r="P617" s="8" t="inlineStr">
        <is>
          <t>TN</t>
        </is>
      </c>
      <c r="Q617" s="10">
        <f>IFERROR(IFERROR(VLOOKUP(A617,TRAOPE!$A:$U,21,0),VLOOKUP(B617,TRAOPE!$A:$U,21,0)),"")</f>
        <v/>
      </c>
      <c r="R617" s="8">
        <f>IFERROR(IFERROR(VLOOKUP(A617,TRAOPE!$A:$W,23,0),VLOOKUP(B617,TRAOPE!$A:$W,23,0)),"")</f>
        <v/>
      </c>
      <c r="S617" s="10">
        <f>IF(AND(P617="TN",R617="TN"),N617+N(O617),IF(G617&amp;""="1",N(K617)*N617,(N617+N(O617))*N(K617)))</f>
        <v/>
      </c>
      <c r="T617" s="10">
        <f>IF(Q617="","",Q617-S617)</f>
        <v/>
      </c>
    </row>
    <row r="618">
      <c r="A618" s="7">
        <f>CONCATENATE(C618,E618,F618,I618)</f>
        <v/>
      </c>
      <c r="B618" s="7">
        <f>CONCATENATE(C618,E618,I618)</f>
        <v/>
      </c>
      <c r="C618" s="8" t="n">
        <v>900008251</v>
      </c>
      <c r="D618" s="7">
        <f>IFERROR(VLOOKUP(C618,TRAOPE!$G:$H,2,0),"")</f>
        <v/>
      </c>
      <c r="E618" s="8" t="inlineStr">
        <is>
          <t>DW68</t>
        </is>
      </c>
      <c r="F618" s="8" t="inlineStr">
        <is>
          <t>D267</t>
        </is>
      </c>
      <c r="G618" s="8">
        <f>IFERROR(VLOOKUP(A618,Flete!$A:$E,5,0),"")</f>
        <v/>
      </c>
      <c r="H618" s="7">
        <f>IFERROR(VLOOKUP(F618,TRAOPE!$AA:$AB,2,0),"")</f>
        <v/>
      </c>
      <c r="I618" s="7" t="n">
        <v>10004258</v>
      </c>
      <c r="J618" s="7">
        <f>IFERROR(VLOOKUP(I618,Materiales!$A:$H,8,0),"")</f>
        <v/>
      </c>
      <c r="K618" s="9">
        <f>IFERROR(VLOOKUP(I618,Materiales!$A:$G,7,0),"")</f>
        <v/>
      </c>
      <c r="L618" s="8" t="inlineStr">
        <is>
          <t>20240601</t>
        </is>
      </c>
      <c r="M618" s="8" t="inlineStr">
        <is>
          <t>99991231</t>
        </is>
      </c>
      <c r="N618" s="10" t="n">
        <v>338.83</v>
      </c>
      <c r="O618" s="10">
        <f>IFERROR(VLOOKUP(A618,Flete!$A:$J,10,0),"")</f>
        <v/>
      </c>
      <c r="P618" s="8" t="inlineStr">
        <is>
          <t>TN</t>
        </is>
      </c>
      <c r="Q618" s="10">
        <f>IFERROR(IFERROR(VLOOKUP(A618,TRAOPE!$A:$U,21,0),VLOOKUP(B618,TRAOPE!$A:$U,21,0)),"")</f>
        <v/>
      </c>
      <c r="R618" s="8">
        <f>IFERROR(IFERROR(VLOOKUP(A618,TRAOPE!$A:$W,23,0),VLOOKUP(B618,TRAOPE!$A:$W,23,0)),"")</f>
        <v/>
      </c>
      <c r="S618" s="10">
        <f>IF(AND(P618="TN",R618="TN"),N618+N(O618),IF(G618&amp;""="1",N(K618)*N618,(N618+N(O618))*N(K618)))</f>
        <v/>
      </c>
      <c r="T618" s="10">
        <f>IF(Q618="","",Q618-S618)</f>
        <v/>
      </c>
    </row>
    <row r="619">
      <c r="A619" s="7">
        <f>CONCATENATE(C619,E619,F619,I619)</f>
        <v/>
      </c>
      <c r="B619" s="7">
        <f>CONCATENATE(C619,E619,I619)</f>
        <v/>
      </c>
      <c r="C619" s="8" t="n">
        <v>900008251</v>
      </c>
      <c r="D619" s="7">
        <f>IFERROR(VLOOKUP(C619,TRAOPE!$G:$H,2,0),"")</f>
        <v/>
      </c>
      <c r="E619" s="8" t="inlineStr">
        <is>
          <t>DW68</t>
        </is>
      </c>
      <c r="F619" s="8" t="inlineStr">
        <is>
          <t>DD58</t>
        </is>
      </c>
      <c r="G619" s="8">
        <f>IFERROR(VLOOKUP(A619,Flete!$A:$E,5,0),"")</f>
        <v/>
      </c>
      <c r="H619" s="7">
        <f>IFERROR(VLOOKUP(F619,TRAOPE!$AA:$AB,2,0),"")</f>
        <v/>
      </c>
      <c r="I619" s="7" t="n">
        <v>10000726</v>
      </c>
      <c r="J619" s="7">
        <f>IFERROR(VLOOKUP(I619,Materiales!$A:$H,8,0),"")</f>
        <v/>
      </c>
      <c r="K619" s="9">
        <f>IFERROR(VLOOKUP(I619,Materiales!$A:$G,7,0),"")</f>
        <v/>
      </c>
      <c r="L619" s="8" t="inlineStr">
        <is>
          <t>20230927</t>
        </is>
      </c>
      <c r="M619" s="8" t="inlineStr">
        <is>
          <t>20260215</t>
        </is>
      </c>
      <c r="N619" s="10" t="n">
        <v>375.09</v>
      </c>
      <c r="O619" s="10">
        <f>IFERROR(VLOOKUP(A619,Flete!$A:$J,10,0),"")</f>
        <v/>
      </c>
      <c r="P619" s="8" t="inlineStr">
        <is>
          <t>TN</t>
        </is>
      </c>
      <c r="Q619" s="10">
        <f>IFERROR(IFERROR(VLOOKUP(A619,TRAOPE!$A:$U,21,0),VLOOKUP(B619,TRAOPE!$A:$U,21,0)),"")</f>
        <v/>
      </c>
      <c r="R619" s="8">
        <f>IFERROR(IFERROR(VLOOKUP(A619,TRAOPE!$A:$W,23,0),VLOOKUP(B619,TRAOPE!$A:$W,23,0)),"")</f>
        <v/>
      </c>
      <c r="S619" s="10">
        <f>IF(AND(P619="TN",R619="TN"),N619+N(O619),IF(G619&amp;""="1",N(K619)*N619,(N619+N(O619))*N(K619)))</f>
        <v/>
      </c>
      <c r="T619" s="10">
        <f>IF(Q619="","",Q619-S619)</f>
        <v/>
      </c>
    </row>
    <row r="620">
      <c r="A620" s="7">
        <f>CONCATENATE(C620,E620,F620,I620)</f>
        <v/>
      </c>
      <c r="B620" s="7">
        <f>CONCATENATE(C620,E620,I620)</f>
        <v/>
      </c>
      <c r="C620" s="8" t="n">
        <v>900008826</v>
      </c>
      <c r="D620" s="7">
        <f>IFERROR(VLOOKUP(C620,TRAOPE!$G:$H,2,0),"")</f>
        <v/>
      </c>
      <c r="E620" s="8" t="inlineStr">
        <is>
          <t>DW68</t>
        </is>
      </c>
      <c r="F620" s="8" t="inlineStr">
        <is>
          <t>D220</t>
        </is>
      </c>
      <c r="G620" s="8">
        <f>IFERROR(VLOOKUP(A620,Flete!$A:$E,5,0),"")</f>
        <v/>
      </c>
      <c r="H620" s="7">
        <f>IFERROR(VLOOKUP(F620,TRAOPE!$AA:$AB,2,0),"")</f>
        <v/>
      </c>
      <c r="I620" s="7" t="n">
        <v>10000191</v>
      </c>
      <c r="J620" s="7">
        <f>IFERROR(VLOOKUP(I620,Materiales!$A:$H,8,0),"")</f>
        <v/>
      </c>
      <c r="K620" s="9">
        <f>IFERROR(VLOOKUP(I620,Materiales!$A:$G,7,0),"")</f>
        <v/>
      </c>
      <c r="L620" s="8" t="inlineStr">
        <is>
          <t>20260115</t>
        </is>
      </c>
      <c r="M620" s="8" t="inlineStr">
        <is>
          <t>99991231</t>
        </is>
      </c>
      <c r="N620" s="10" t="n">
        <v>210.64</v>
      </c>
      <c r="O620" s="10">
        <f>IFERROR(VLOOKUP(A620,Flete!$A:$J,10,0),"")</f>
        <v/>
      </c>
      <c r="P620" s="8" t="inlineStr">
        <is>
          <t>TN</t>
        </is>
      </c>
      <c r="Q620" s="10">
        <f>IFERROR(IFERROR(VLOOKUP(A620,TRAOPE!$A:$U,21,0),VLOOKUP(B620,TRAOPE!$A:$U,21,0)),"")</f>
        <v/>
      </c>
      <c r="R620" s="8">
        <f>IFERROR(IFERROR(VLOOKUP(A620,TRAOPE!$A:$W,23,0),VLOOKUP(B620,TRAOPE!$A:$W,23,0)),"")</f>
        <v/>
      </c>
      <c r="S620" s="10">
        <f>IF(AND(P620="TN",R620="TN"),N620+N(O620),IF(G620&amp;""="1",N(K620)*N620,(N620+N(O620))*N(K620)))</f>
        <v/>
      </c>
      <c r="T620" s="10">
        <f>IF(Q620="","",Q620-S620)</f>
        <v/>
      </c>
    </row>
    <row r="621">
      <c r="A621" s="7">
        <f>CONCATENATE(C621,E621,F621,I621)</f>
        <v/>
      </c>
      <c r="B621" s="7">
        <f>CONCATENATE(C621,E621,I621)</f>
        <v/>
      </c>
      <c r="C621" s="8" t="n">
        <v>900008826</v>
      </c>
      <c r="D621" s="7">
        <f>IFERROR(VLOOKUP(C621,TRAOPE!$G:$H,2,0),"")</f>
        <v/>
      </c>
      <c r="E621" s="8" t="inlineStr">
        <is>
          <t>DW68</t>
        </is>
      </c>
      <c r="F621" s="8" t="inlineStr">
        <is>
          <t>D220</t>
        </is>
      </c>
      <c r="G621" s="8">
        <f>IFERROR(VLOOKUP(A621,Flete!$A:$E,5,0),"")</f>
        <v/>
      </c>
      <c r="H621" s="7">
        <f>IFERROR(VLOOKUP(F621,TRAOPE!$AA:$AB,2,0),"")</f>
        <v/>
      </c>
      <c r="I621" s="7" t="n">
        <v>10000388</v>
      </c>
      <c r="J621" s="7">
        <f>IFERROR(VLOOKUP(I621,Materiales!$A:$H,8,0),"")</f>
        <v/>
      </c>
      <c r="K621" s="9">
        <f>IFERROR(VLOOKUP(I621,Materiales!$A:$G,7,0),"")</f>
        <v/>
      </c>
      <c r="L621" s="8" t="inlineStr">
        <is>
          <t>20260115</t>
        </is>
      </c>
      <c r="M621" s="8" t="inlineStr">
        <is>
          <t>99991231</t>
        </is>
      </c>
      <c r="N621" s="10" t="n">
        <v>212.91</v>
      </c>
      <c r="O621" s="10">
        <f>IFERROR(VLOOKUP(A621,Flete!$A:$J,10,0),"")</f>
        <v/>
      </c>
      <c r="P621" s="8" t="inlineStr">
        <is>
          <t>TN</t>
        </is>
      </c>
      <c r="Q621" s="10">
        <f>IFERROR(IFERROR(VLOOKUP(A621,TRAOPE!$A:$U,21,0),VLOOKUP(B621,TRAOPE!$A:$U,21,0)),"")</f>
        <v/>
      </c>
      <c r="R621" s="8">
        <f>IFERROR(IFERROR(VLOOKUP(A621,TRAOPE!$A:$W,23,0),VLOOKUP(B621,TRAOPE!$A:$W,23,0)),"")</f>
        <v/>
      </c>
      <c r="S621" s="10">
        <f>IF(AND(P621="TN",R621="TN"),N621+N(O621),IF(G621&amp;""="1",N(K621)*N621,(N621+N(O621))*N(K621)))</f>
        <v/>
      </c>
      <c r="T621" s="10">
        <f>IF(Q621="","",Q621-S621)</f>
        <v/>
      </c>
    </row>
    <row r="622">
      <c r="A622" s="7">
        <f>CONCATENATE(C622,E622,F622,I622)</f>
        <v/>
      </c>
      <c r="B622" s="7">
        <f>CONCATENATE(C622,E622,I622)</f>
        <v/>
      </c>
      <c r="C622" s="8" t="n">
        <v>900008842</v>
      </c>
      <c r="D622" s="7">
        <f>IFERROR(VLOOKUP(C622,TRAOPE!$G:$H,2,0),"")</f>
        <v/>
      </c>
      <c r="E622" s="8" t="inlineStr">
        <is>
          <t>DW68</t>
        </is>
      </c>
      <c r="F622" s="8" t="inlineStr">
        <is>
          <t>D042</t>
        </is>
      </c>
      <c r="G622" s="8">
        <f>IFERROR(VLOOKUP(A622,Flete!$A:$E,5,0),"")</f>
        <v/>
      </c>
      <c r="H622" s="7">
        <f>IFERROR(VLOOKUP(F622,TRAOPE!$AA:$AB,2,0),"")</f>
        <v/>
      </c>
      <c r="I622" s="7" t="n">
        <v>10000191</v>
      </c>
      <c r="J622" s="7">
        <f>IFERROR(VLOOKUP(I622,Materiales!$A:$H,8,0),"")</f>
        <v/>
      </c>
      <c r="K622" s="9">
        <f>IFERROR(VLOOKUP(I622,Materiales!$A:$G,7,0),"")</f>
        <v/>
      </c>
      <c r="L622" s="8" t="inlineStr">
        <is>
          <t>20240624</t>
        </is>
      </c>
      <c r="M622" s="8" t="inlineStr">
        <is>
          <t>20251031</t>
        </is>
      </c>
      <c r="N622" s="10" t="n">
        <v>158</v>
      </c>
      <c r="O622" s="10">
        <f>IFERROR(VLOOKUP(A622,Flete!$A:$J,10,0),"")</f>
        <v/>
      </c>
      <c r="P622" s="8" t="inlineStr">
        <is>
          <t>TN</t>
        </is>
      </c>
      <c r="Q622" s="10">
        <f>IFERROR(IFERROR(VLOOKUP(A622,TRAOPE!$A:$U,21,0),VLOOKUP(B622,TRAOPE!$A:$U,21,0)),"")</f>
        <v/>
      </c>
      <c r="R622" s="8">
        <f>IFERROR(IFERROR(VLOOKUP(A622,TRAOPE!$A:$W,23,0),VLOOKUP(B622,TRAOPE!$A:$W,23,0)),"")</f>
        <v/>
      </c>
      <c r="S622" s="10">
        <f>IF(AND(P622="TN",R622="TN"),N622+N(O622),IF(G622&amp;""="1",N(K622)*N622,(N622+N(O622))*N(K622)))</f>
        <v/>
      </c>
      <c r="T622" s="10">
        <f>IF(Q622="","",Q622-S622)</f>
        <v/>
      </c>
    </row>
    <row r="623">
      <c r="A623" s="7">
        <f>CONCATENATE(C623,E623,F623,I623)</f>
        <v/>
      </c>
      <c r="B623" s="7">
        <f>CONCATENATE(C623,E623,I623)</f>
        <v/>
      </c>
      <c r="C623" s="8" t="n">
        <v>900008842</v>
      </c>
      <c r="D623" s="7">
        <f>IFERROR(VLOOKUP(C623,TRAOPE!$G:$H,2,0),"")</f>
        <v/>
      </c>
      <c r="E623" s="8" t="inlineStr">
        <is>
          <t>DW68</t>
        </is>
      </c>
      <c r="F623" s="8" t="inlineStr">
        <is>
          <t>D042</t>
        </is>
      </c>
      <c r="G623" s="8">
        <f>IFERROR(VLOOKUP(A623,Flete!$A:$E,5,0),"")</f>
        <v/>
      </c>
      <c r="H623" s="7">
        <f>IFERROR(VLOOKUP(F623,TRAOPE!$AA:$AB,2,0),"")</f>
        <v/>
      </c>
      <c r="I623" s="7" t="n">
        <v>10000384</v>
      </c>
      <c r="J623" s="7">
        <f>IFERROR(VLOOKUP(I623,Materiales!$A:$H,8,0),"")</f>
        <v/>
      </c>
      <c r="K623" s="9">
        <f>IFERROR(VLOOKUP(I623,Materiales!$A:$G,7,0),"")</f>
        <v/>
      </c>
      <c r="L623" s="8" t="inlineStr">
        <is>
          <t>20240624</t>
        </is>
      </c>
      <c r="M623" s="8" t="inlineStr">
        <is>
          <t>20251031</t>
        </is>
      </c>
      <c r="N623" s="10" t="n">
        <v>180</v>
      </c>
      <c r="O623" s="10">
        <f>IFERROR(VLOOKUP(A623,Flete!$A:$J,10,0),"")</f>
        <v/>
      </c>
      <c r="P623" s="8" t="inlineStr">
        <is>
          <t>TN</t>
        </is>
      </c>
      <c r="Q623" s="10">
        <f>IFERROR(IFERROR(VLOOKUP(A623,TRAOPE!$A:$U,21,0),VLOOKUP(B623,TRAOPE!$A:$U,21,0)),"")</f>
        <v/>
      </c>
      <c r="R623" s="8">
        <f>IFERROR(IFERROR(VLOOKUP(A623,TRAOPE!$A:$W,23,0),VLOOKUP(B623,TRAOPE!$A:$W,23,0)),"")</f>
        <v/>
      </c>
      <c r="S623" s="10">
        <f>IF(AND(P623="TN",R623="TN"),N623+N(O623),IF(G623&amp;""="1",N(K623)*N623,(N623+N(O623))*N(K623)))</f>
        <v/>
      </c>
      <c r="T623" s="10">
        <f>IF(Q623="","",Q623-S623)</f>
        <v/>
      </c>
    </row>
    <row r="624">
      <c r="A624" s="7">
        <f>CONCATENATE(C624,E624,F624,I624)</f>
        <v/>
      </c>
      <c r="B624" s="7">
        <f>CONCATENATE(C624,E624,I624)</f>
        <v/>
      </c>
      <c r="C624" s="8" t="n">
        <v>900008842</v>
      </c>
      <c r="D624" s="7">
        <f>IFERROR(VLOOKUP(C624,TRAOPE!$G:$H,2,0),"")</f>
        <v/>
      </c>
      <c r="E624" s="8" t="inlineStr">
        <is>
          <t>DW68</t>
        </is>
      </c>
      <c r="F624" s="8" t="inlineStr">
        <is>
          <t>D042</t>
        </is>
      </c>
      <c r="G624" s="8">
        <f>IFERROR(VLOOKUP(A624,Flete!$A:$E,5,0),"")</f>
        <v/>
      </c>
      <c r="H624" s="7">
        <f>IFERROR(VLOOKUP(F624,TRAOPE!$AA:$AB,2,0),"")</f>
        <v/>
      </c>
      <c r="I624" s="7" t="n">
        <v>10000388</v>
      </c>
      <c r="J624" s="7">
        <f>IFERROR(VLOOKUP(I624,Materiales!$A:$H,8,0),"")</f>
        <v/>
      </c>
      <c r="K624" s="9">
        <f>IFERROR(VLOOKUP(I624,Materiales!$A:$G,7,0),"")</f>
        <v/>
      </c>
      <c r="L624" s="8" t="inlineStr">
        <is>
          <t>20240624</t>
        </is>
      </c>
      <c r="M624" s="8" t="inlineStr">
        <is>
          <t>20251031</t>
        </is>
      </c>
      <c r="N624" s="10" t="n">
        <v>158</v>
      </c>
      <c r="O624" s="10">
        <f>IFERROR(VLOOKUP(A624,Flete!$A:$J,10,0),"")</f>
        <v/>
      </c>
      <c r="P624" s="8" t="inlineStr">
        <is>
          <t>TN</t>
        </is>
      </c>
      <c r="Q624" s="10">
        <f>IFERROR(IFERROR(VLOOKUP(A624,TRAOPE!$A:$U,21,0),VLOOKUP(B624,TRAOPE!$A:$U,21,0)),"")</f>
        <v/>
      </c>
      <c r="R624" s="8">
        <f>IFERROR(IFERROR(VLOOKUP(A624,TRAOPE!$A:$W,23,0),VLOOKUP(B624,TRAOPE!$A:$W,23,0)),"")</f>
        <v/>
      </c>
      <c r="S624" s="10">
        <f>IF(AND(P624="TN",R624="TN"),N624+N(O624),IF(G624&amp;""="1",N(K624)*N624,(N624+N(O624))*N(K624)))</f>
        <v/>
      </c>
      <c r="T624" s="10">
        <f>IF(Q624="","",Q624-S624)</f>
        <v/>
      </c>
    </row>
    <row r="625">
      <c r="A625" s="7">
        <f>CONCATENATE(C625,E625,F625,I625)</f>
        <v/>
      </c>
      <c r="B625" s="7">
        <f>CONCATENATE(C625,E625,I625)</f>
        <v/>
      </c>
      <c r="C625" s="8" t="n">
        <v>900008842</v>
      </c>
      <c r="D625" s="7">
        <f>IFERROR(VLOOKUP(C625,TRAOPE!$G:$H,2,0),"")</f>
        <v/>
      </c>
      <c r="E625" s="8" t="inlineStr">
        <is>
          <t>DW68</t>
        </is>
      </c>
      <c r="F625" s="8" t="inlineStr">
        <is>
          <t>D042</t>
        </is>
      </c>
      <c r="G625" s="8">
        <f>IFERROR(VLOOKUP(A625,Flete!$A:$E,5,0),"")</f>
        <v/>
      </c>
      <c r="H625" s="7">
        <f>IFERROR(VLOOKUP(F625,TRAOPE!$AA:$AB,2,0),"")</f>
        <v/>
      </c>
      <c r="I625" s="7" t="n">
        <v>10004258</v>
      </c>
      <c r="J625" s="7">
        <f>IFERROR(VLOOKUP(I625,Materiales!$A:$H,8,0),"")</f>
        <v/>
      </c>
      <c r="K625" s="9">
        <f>IFERROR(VLOOKUP(I625,Materiales!$A:$G,7,0),"")</f>
        <v/>
      </c>
      <c r="L625" s="8" t="inlineStr">
        <is>
          <t>20240624</t>
        </is>
      </c>
      <c r="M625" s="8" t="inlineStr">
        <is>
          <t>20251031</t>
        </is>
      </c>
      <c r="N625" s="10" t="n">
        <v>257</v>
      </c>
      <c r="O625" s="10">
        <f>IFERROR(VLOOKUP(A625,Flete!$A:$J,10,0),"")</f>
        <v/>
      </c>
      <c r="P625" s="8" t="inlineStr">
        <is>
          <t>TN</t>
        </is>
      </c>
      <c r="Q625" s="10">
        <f>IFERROR(IFERROR(VLOOKUP(A625,TRAOPE!$A:$U,21,0),VLOOKUP(B625,TRAOPE!$A:$U,21,0)),"")</f>
        <v/>
      </c>
      <c r="R625" s="8">
        <f>IFERROR(IFERROR(VLOOKUP(A625,TRAOPE!$A:$W,23,0),VLOOKUP(B625,TRAOPE!$A:$W,23,0)),"")</f>
        <v/>
      </c>
      <c r="S625" s="10">
        <f>IF(AND(P625="TN",R625="TN"),N625+N(O625),IF(G625&amp;""="1",N(K625)*N625,(N625+N(O625))*N(K625)))</f>
        <v/>
      </c>
      <c r="T625" s="10">
        <f>IF(Q625="","",Q625-S625)</f>
        <v/>
      </c>
    </row>
    <row r="626">
      <c r="A626" s="7">
        <f>CONCATENATE(C626,E626,F626,I626)</f>
        <v/>
      </c>
      <c r="B626" s="7">
        <f>CONCATENATE(C626,E626,I626)</f>
        <v/>
      </c>
      <c r="C626" s="8" t="n">
        <v>900008842</v>
      </c>
      <c r="D626" s="7">
        <f>IFERROR(VLOOKUP(C626,TRAOPE!$G:$H,2,0),"")</f>
        <v/>
      </c>
      <c r="E626" s="8" t="inlineStr">
        <is>
          <t>DW68</t>
        </is>
      </c>
      <c r="F626" s="8" t="inlineStr">
        <is>
          <t>D209</t>
        </is>
      </c>
      <c r="G626" s="8">
        <f>IFERROR(VLOOKUP(A626,Flete!$A:$E,5,0),"")</f>
        <v/>
      </c>
      <c r="H626" s="7">
        <f>IFERROR(VLOOKUP(F626,TRAOPE!$AA:$AB,2,0),"")</f>
        <v/>
      </c>
      <c r="I626" s="7" t="n">
        <v>10000191</v>
      </c>
      <c r="J626" s="7">
        <f>IFERROR(VLOOKUP(I626,Materiales!$A:$H,8,0),"")</f>
        <v/>
      </c>
      <c r="K626" s="9">
        <f>IFERROR(VLOOKUP(I626,Materiales!$A:$G,7,0),"")</f>
        <v/>
      </c>
      <c r="L626" s="8" t="inlineStr">
        <is>
          <t>20240624</t>
        </is>
      </c>
      <c r="M626" s="8" t="inlineStr">
        <is>
          <t>20251031</t>
        </is>
      </c>
      <c r="N626" s="10" t="n">
        <v>158</v>
      </c>
      <c r="O626" s="10">
        <f>IFERROR(VLOOKUP(A626,Flete!$A:$J,10,0),"")</f>
        <v/>
      </c>
      <c r="P626" s="8" t="inlineStr">
        <is>
          <t>TN</t>
        </is>
      </c>
      <c r="Q626" s="10">
        <f>IFERROR(IFERROR(VLOOKUP(A626,TRAOPE!$A:$U,21,0),VLOOKUP(B626,TRAOPE!$A:$U,21,0)),"")</f>
        <v/>
      </c>
      <c r="R626" s="8">
        <f>IFERROR(IFERROR(VLOOKUP(A626,TRAOPE!$A:$W,23,0),VLOOKUP(B626,TRAOPE!$A:$W,23,0)),"")</f>
        <v/>
      </c>
      <c r="S626" s="10">
        <f>IF(AND(P626="TN",R626="TN"),N626+N(O626),IF(G626&amp;""="1",N(K626)*N626,(N626+N(O626))*N(K626)))</f>
        <v/>
      </c>
      <c r="T626" s="10">
        <f>IF(Q626="","",Q626-S626)</f>
        <v/>
      </c>
    </row>
    <row r="627">
      <c r="A627" s="7">
        <f>CONCATENATE(C627,E627,F627,I627)</f>
        <v/>
      </c>
      <c r="B627" s="7">
        <f>CONCATENATE(C627,E627,I627)</f>
        <v/>
      </c>
      <c r="C627" s="8" t="n">
        <v>900008842</v>
      </c>
      <c r="D627" s="7">
        <f>IFERROR(VLOOKUP(C627,TRAOPE!$G:$H,2,0),"")</f>
        <v/>
      </c>
      <c r="E627" s="8" t="inlineStr">
        <is>
          <t>DW68</t>
        </is>
      </c>
      <c r="F627" s="8" t="inlineStr">
        <is>
          <t>D209</t>
        </is>
      </c>
      <c r="G627" s="8">
        <f>IFERROR(VLOOKUP(A627,Flete!$A:$E,5,0),"")</f>
        <v/>
      </c>
      <c r="H627" s="7">
        <f>IFERROR(VLOOKUP(F627,TRAOPE!$AA:$AB,2,0),"")</f>
        <v/>
      </c>
      <c r="I627" s="7" t="n">
        <v>10000384</v>
      </c>
      <c r="J627" s="7">
        <f>IFERROR(VLOOKUP(I627,Materiales!$A:$H,8,0),"")</f>
        <v/>
      </c>
      <c r="K627" s="9">
        <f>IFERROR(VLOOKUP(I627,Materiales!$A:$G,7,0),"")</f>
        <v/>
      </c>
      <c r="L627" s="8" t="inlineStr">
        <is>
          <t>20240624</t>
        </is>
      </c>
      <c r="M627" s="8" t="inlineStr">
        <is>
          <t>20251031</t>
        </is>
      </c>
      <c r="N627" s="10" t="n">
        <v>180</v>
      </c>
      <c r="O627" s="10">
        <f>IFERROR(VLOOKUP(A627,Flete!$A:$J,10,0),"")</f>
        <v/>
      </c>
      <c r="P627" s="8" t="inlineStr">
        <is>
          <t>TN</t>
        </is>
      </c>
      <c r="Q627" s="10">
        <f>IFERROR(IFERROR(VLOOKUP(A627,TRAOPE!$A:$U,21,0),VLOOKUP(B627,TRAOPE!$A:$U,21,0)),"")</f>
        <v/>
      </c>
      <c r="R627" s="8">
        <f>IFERROR(IFERROR(VLOOKUP(A627,TRAOPE!$A:$W,23,0),VLOOKUP(B627,TRAOPE!$A:$W,23,0)),"")</f>
        <v/>
      </c>
      <c r="S627" s="10">
        <f>IF(AND(P627="TN",R627="TN"),N627+N(O627),IF(G627&amp;""="1",N(K627)*N627,(N627+N(O627))*N(K627)))</f>
        <v/>
      </c>
      <c r="T627" s="10">
        <f>IF(Q627="","",Q627-S627)</f>
        <v/>
      </c>
    </row>
    <row r="628">
      <c r="A628" s="7">
        <f>CONCATENATE(C628,E628,F628,I628)</f>
        <v/>
      </c>
      <c r="B628" s="7">
        <f>CONCATENATE(C628,E628,I628)</f>
        <v/>
      </c>
      <c r="C628" s="8" t="n">
        <v>900008842</v>
      </c>
      <c r="D628" s="7">
        <f>IFERROR(VLOOKUP(C628,TRAOPE!$G:$H,2,0),"")</f>
        <v/>
      </c>
      <c r="E628" s="8" t="inlineStr">
        <is>
          <t>DW68</t>
        </is>
      </c>
      <c r="F628" s="8" t="inlineStr">
        <is>
          <t>D209</t>
        </is>
      </c>
      <c r="G628" s="8">
        <f>IFERROR(VLOOKUP(A628,Flete!$A:$E,5,0),"")</f>
        <v/>
      </c>
      <c r="H628" s="7">
        <f>IFERROR(VLOOKUP(F628,TRAOPE!$AA:$AB,2,0),"")</f>
        <v/>
      </c>
      <c r="I628" s="7" t="n">
        <v>10000388</v>
      </c>
      <c r="J628" s="7">
        <f>IFERROR(VLOOKUP(I628,Materiales!$A:$H,8,0),"")</f>
        <v/>
      </c>
      <c r="K628" s="9">
        <f>IFERROR(VLOOKUP(I628,Materiales!$A:$G,7,0),"")</f>
        <v/>
      </c>
      <c r="L628" s="8" t="inlineStr">
        <is>
          <t>20240624</t>
        </is>
      </c>
      <c r="M628" s="8" t="inlineStr">
        <is>
          <t>20251031</t>
        </is>
      </c>
      <c r="N628" s="10" t="n">
        <v>158</v>
      </c>
      <c r="O628" s="10">
        <f>IFERROR(VLOOKUP(A628,Flete!$A:$J,10,0),"")</f>
        <v/>
      </c>
      <c r="P628" s="8" t="inlineStr">
        <is>
          <t>TN</t>
        </is>
      </c>
      <c r="Q628" s="10">
        <f>IFERROR(IFERROR(VLOOKUP(A628,TRAOPE!$A:$U,21,0),VLOOKUP(B628,TRAOPE!$A:$U,21,0)),"")</f>
        <v/>
      </c>
      <c r="R628" s="8">
        <f>IFERROR(IFERROR(VLOOKUP(A628,TRAOPE!$A:$W,23,0),VLOOKUP(B628,TRAOPE!$A:$W,23,0)),"")</f>
        <v/>
      </c>
      <c r="S628" s="10">
        <f>IF(AND(P628="TN",R628="TN"),N628+N(O628),IF(G628&amp;""="1",N(K628)*N628,(N628+N(O628))*N(K628)))</f>
        <v/>
      </c>
      <c r="T628" s="10">
        <f>IF(Q628="","",Q628-S628)</f>
        <v/>
      </c>
    </row>
    <row r="629">
      <c r="A629" s="7">
        <f>CONCATENATE(C629,E629,F629,I629)</f>
        <v/>
      </c>
      <c r="B629" s="7">
        <f>CONCATENATE(C629,E629,I629)</f>
        <v/>
      </c>
      <c r="C629" s="8" t="n">
        <v>900008842</v>
      </c>
      <c r="D629" s="7">
        <f>IFERROR(VLOOKUP(C629,TRAOPE!$G:$H,2,0),"")</f>
        <v/>
      </c>
      <c r="E629" s="8" t="inlineStr">
        <is>
          <t>DW68</t>
        </is>
      </c>
      <c r="F629" s="8" t="inlineStr">
        <is>
          <t>D209</t>
        </is>
      </c>
      <c r="G629" s="8">
        <f>IFERROR(VLOOKUP(A629,Flete!$A:$E,5,0),"")</f>
        <v/>
      </c>
      <c r="H629" s="7">
        <f>IFERROR(VLOOKUP(F629,TRAOPE!$AA:$AB,2,0),"")</f>
        <v/>
      </c>
      <c r="I629" s="7" t="n">
        <v>10004258</v>
      </c>
      <c r="J629" s="7">
        <f>IFERROR(VLOOKUP(I629,Materiales!$A:$H,8,0),"")</f>
        <v/>
      </c>
      <c r="K629" s="9">
        <f>IFERROR(VLOOKUP(I629,Materiales!$A:$G,7,0),"")</f>
        <v/>
      </c>
      <c r="L629" s="8" t="inlineStr">
        <is>
          <t>20240624</t>
        </is>
      </c>
      <c r="M629" s="8" t="inlineStr">
        <is>
          <t>20251031</t>
        </is>
      </c>
      <c r="N629" s="10" t="n">
        <v>257</v>
      </c>
      <c r="O629" s="10">
        <f>IFERROR(VLOOKUP(A629,Flete!$A:$J,10,0),"")</f>
        <v/>
      </c>
      <c r="P629" s="8" t="inlineStr">
        <is>
          <t>TN</t>
        </is>
      </c>
      <c r="Q629" s="10">
        <f>IFERROR(IFERROR(VLOOKUP(A629,TRAOPE!$A:$U,21,0),VLOOKUP(B629,TRAOPE!$A:$U,21,0)),"")</f>
        <v/>
      </c>
      <c r="R629" s="8">
        <f>IFERROR(IFERROR(VLOOKUP(A629,TRAOPE!$A:$W,23,0),VLOOKUP(B629,TRAOPE!$A:$W,23,0)),"")</f>
        <v/>
      </c>
      <c r="S629" s="10">
        <f>IF(AND(P629="TN",R629="TN"),N629+N(O629),IF(G629&amp;""="1",N(K629)*N629,(N629+N(O629))*N(K629)))</f>
        <v/>
      </c>
      <c r="T629" s="10">
        <f>IF(Q629="","",Q629-S629)</f>
        <v/>
      </c>
    </row>
    <row r="630">
      <c r="A630" s="7">
        <f>CONCATENATE(C630,E630,F630,I630)</f>
        <v/>
      </c>
      <c r="B630" s="7">
        <f>CONCATENATE(C630,E630,I630)</f>
        <v/>
      </c>
      <c r="C630" s="8" t="n">
        <v>900008842</v>
      </c>
      <c r="D630" s="7">
        <f>IFERROR(VLOOKUP(C630,TRAOPE!$G:$H,2,0),"")</f>
        <v/>
      </c>
      <c r="E630" s="8" t="inlineStr">
        <is>
          <t>DW68</t>
        </is>
      </c>
      <c r="F630" s="8" t="inlineStr">
        <is>
          <t>D211</t>
        </is>
      </c>
      <c r="G630" s="8">
        <f>IFERROR(VLOOKUP(A630,Flete!$A:$E,5,0),"")</f>
        <v/>
      </c>
      <c r="H630" s="7">
        <f>IFERROR(VLOOKUP(F630,TRAOPE!$AA:$AB,2,0),"")</f>
        <v/>
      </c>
      <c r="I630" s="7" t="n">
        <v>10000191</v>
      </c>
      <c r="J630" s="7">
        <f>IFERROR(VLOOKUP(I630,Materiales!$A:$H,8,0),"")</f>
        <v/>
      </c>
      <c r="K630" s="9">
        <f>IFERROR(VLOOKUP(I630,Materiales!$A:$G,7,0),"")</f>
        <v/>
      </c>
      <c r="L630" s="8" t="inlineStr">
        <is>
          <t>20240624</t>
        </is>
      </c>
      <c r="M630" s="8" t="inlineStr">
        <is>
          <t>20251031</t>
        </is>
      </c>
      <c r="N630" s="10" t="n">
        <v>158</v>
      </c>
      <c r="O630" s="10">
        <f>IFERROR(VLOOKUP(A630,Flete!$A:$J,10,0),"")</f>
        <v/>
      </c>
      <c r="P630" s="8" t="inlineStr">
        <is>
          <t>TN</t>
        </is>
      </c>
      <c r="Q630" s="10">
        <f>IFERROR(IFERROR(VLOOKUP(A630,TRAOPE!$A:$U,21,0),VLOOKUP(B630,TRAOPE!$A:$U,21,0)),"")</f>
        <v/>
      </c>
      <c r="R630" s="8">
        <f>IFERROR(IFERROR(VLOOKUP(A630,TRAOPE!$A:$W,23,0),VLOOKUP(B630,TRAOPE!$A:$W,23,0)),"")</f>
        <v/>
      </c>
      <c r="S630" s="10">
        <f>IF(AND(P630="TN",R630="TN"),N630+N(O630),IF(G630&amp;""="1",N(K630)*N630,(N630+N(O630))*N(K630)))</f>
        <v/>
      </c>
      <c r="T630" s="10">
        <f>IF(Q630="","",Q630-S630)</f>
        <v/>
      </c>
    </row>
    <row r="631">
      <c r="A631" s="7">
        <f>CONCATENATE(C631,E631,F631,I631)</f>
        <v/>
      </c>
      <c r="B631" s="7">
        <f>CONCATENATE(C631,E631,I631)</f>
        <v/>
      </c>
      <c r="C631" s="8" t="n">
        <v>900008842</v>
      </c>
      <c r="D631" s="7">
        <f>IFERROR(VLOOKUP(C631,TRAOPE!$G:$H,2,0),"")</f>
        <v/>
      </c>
      <c r="E631" s="8" t="inlineStr">
        <is>
          <t>DW68</t>
        </is>
      </c>
      <c r="F631" s="8" t="inlineStr">
        <is>
          <t>D211</t>
        </is>
      </c>
      <c r="G631" s="8">
        <f>IFERROR(VLOOKUP(A631,Flete!$A:$E,5,0),"")</f>
        <v/>
      </c>
      <c r="H631" s="7">
        <f>IFERROR(VLOOKUP(F631,TRAOPE!$AA:$AB,2,0),"")</f>
        <v/>
      </c>
      <c r="I631" s="7" t="n">
        <v>10000384</v>
      </c>
      <c r="J631" s="7">
        <f>IFERROR(VLOOKUP(I631,Materiales!$A:$H,8,0),"")</f>
        <v/>
      </c>
      <c r="K631" s="9">
        <f>IFERROR(VLOOKUP(I631,Materiales!$A:$G,7,0),"")</f>
        <v/>
      </c>
      <c r="L631" s="8" t="inlineStr">
        <is>
          <t>20240624</t>
        </is>
      </c>
      <c r="M631" s="8" t="inlineStr">
        <is>
          <t>20251031</t>
        </is>
      </c>
      <c r="N631" s="10" t="n">
        <v>180</v>
      </c>
      <c r="O631" s="10">
        <f>IFERROR(VLOOKUP(A631,Flete!$A:$J,10,0),"")</f>
        <v/>
      </c>
      <c r="P631" s="8" t="inlineStr">
        <is>
          <t>TN</t>
        </is>
      </c>
      <c r="Q631" s="10">
        <f>IFERROR(IFERROR(VLOOKUP(A631,TRAOPE!$A:$U,21,0),VLOOKUP(B631,TRAOPE!$A:$U,21,0)),"")</f>
        <v/>
      </c>
      <c r="R631" s="8">
        <f>IFERROR(IFERROR(VLOOKUP(A631,TRAOPE!$A:$W,23,0),VLOOKUP(B631,TRAOPE!$A:$W,23,0)),"")</f>
        <v/>
      </c>
      <c r="S631" s="10">
        <f>IF(AND(P631="TN",R631="TN"),N631+N(O631),IF(G631&amp;""="1",N(K631)*N631,(N631+N(O631))*N(K631)))</f>
        <v/>
      </c>
      <c r="T631" s="10">
        <f>IF(Q631="","",Q631-S631)</f>
        <v/>
      </c>
    </row>
    <row r="632">
      <c r="A632" s="7">
        <f>CONCATENATE(C632,E632,F632,I632)</f>
        <v/>
      </c>
      <c r="B632" s="7">
        <f>CONCATENATE(C632,E632,I632)</f>
        <v/>
      </c>
      <c r="C632" s="8" t="n">
        <v>900008842</v>
      </c>
      <c r="D632" s="7">
        <f>IFERROR(VLOOKUP(C632,TRAOPE!$G:$H,2,0),"")</f>
        <v/>
      </c>
      <c r="E632" s="8" t="inlineStr">
        <is>
          <t>DW68</t>
        </is>
      </c>
      <c r="F632" s="8" t="inlineStr">
        <is>
          <t>D211</t>
        </is>
      </c>
      <c r="G632" s="8">
        <f>IFERROR(VLOOKUP(A632,Flete!$A:$E,5,0),"")</f>
        <v/>
      </c>
      <c r="H632" s="7">
        <f>IFERROR(VLOOKUP(F632,TRAOPE!$AA:$AB,2,0),"")</f>
        <v/>
      </c>
      <c r="I632" s="7" t="n">
        <v>10000388</v>
      </c>
      <c r="J632" s="7">
        <f>IFERROR(VLOOKUP(I632,Materiales!$A:$H,8,0),"")</f>
        <v/>
      </c>
      <c r="K632" s="9">
        <f>IFERROR(VLOOKUP(I632,Materiales!$A:$G,7,0),"")</f>
        <v/>
      </c>
      <c r="L632" s="8" t="inlineStr">
        <is>
          <t>20240624</t>
        </is>
      </c>
      <c r="M632" s="8" t="inlineStr">
        <is>
          <t>20251031</t>
        </is>
      </c>
      <c r="N632" s="10" t="n">
        <v>158</v>
      </c>
      <c r="O632" s="10">
        <f>IFERROR(VLOOKUP(A632,Flete!$A:$J,10,0),"")</f>
        <v/>
      </c>
      <c r="P632" s="8" t="inlineStr">
        <is>
          <t>TN</t>
        </is>
      </c>
      <c r="Q632" s="10">
        <f>IFERROR(IFERROR(VLOOKUP(A632,TRAOPE!$A:$U,21,0),VLOOKUP(B632,TRAOPE!$A:$U,21,0)),"")</f>
        <v/>
      </c>
      <c r="R632" s="8">
        <f>IFERROR(IFERROR(VLOOKUP(A632,TRAOPE!$A:$W,23,0),VLOOKUP(B632,TRAOPE!$A:$W,23,0)),"")</f>
        <v/>
      </c>
      <c r="S632" s="10">
        <f>IF(AND(P632="TN",R632="TN"),N632+N(O632),IF(G632&amp;""="1",N(K632)*N632,(N632+N(O632))*N(K632)))</f>
        <v/>
      </c>
      <c r="T632" s="10">
        <f>IF(Q632="","",Q632-S632)</f>
        <v/>
      </c>
    </row>
    <row r="633">
      <c r="A633" s="7">
        <f>CONCATENATE(C633,E633,F633,I633)</f>
        <v/>
      </c>
      <c r="B633" s="7">
        <f>CONCATENATE(C633,E633,I633)</f>
        <v/>
      </c>
      <c r="C633" s="8" t="n">
        <v>900008842</v>
      </c>
      <c r="D633" s="7">
        <f>IFERROR(VLOOKUP(C633,TRAOPE!$G:$H,2,0),"")</f>
        <v/>
      </c>
      <c r="E633" s="8" t="inlineStr">
        <is>
          <t>DW68</t>
        </is>
      </c>
      <c r="F633" s="8" t="inlineStr">
        <is>
          <t>D211</t>
        </is>
      </c>
      <c r="G633" s="8">
        <f>IFERROR(VLOOKUP(A633,Flete!$A:$E,5,0),"")</f>
        <v/>
      </c>
      <c r="H633" s="7">
        <f>IFERROR(VLOOKUP(F633,TRAOPE!$AA:$AB,2,0),"")</f>
        <v/>
      </c>
      <c r="I633" s="7" t="n">
        <v>10004258</v>
      </c>
      <c r="J633" s="7">
        <f>IFERROR(VLOOKUP(I633,Materiales!$A:$H,8,0),"")</f>
        <v/>
      </c>
      <c r="K633" s="9">
        <f>IFERROR(VLOOKUP(I633,Materiales!$A:$G,7,0),"")</f>
        <v/>
      </c>
      <c r="L633" s="8" t="inlineStr">
        <is>
          <t>20240624</t>
        </is>
      </c>
      <c r="M633" s="8" t="inlineStr">
        <is>
          <t>20251031</t>
        </is>
      </c>
      <c r="N633" s="10" t="n">
        <v>257</v>
      </c>
      <c r="O633" s="10">
        <f>IFERROR(VLOOKUP(A633,Flete!$A:$J,10,0),"")</f>
        <v/>
      </c>
      <c r="P633" s="8" t="inlineStr">
        <is>
          <t>TN</t>
        </is>
      </c>
      <c r="Q633" s="10">
        <f>IFERROR(IFERROR(VLOOKUP(A633,TRAOPE!$A:$U,21,0),VLOOKUP(B633,TRAOPE!$A:$U,21,0)),"")</f>
        <v/>
      </c>
      <c r="R633" s="8">
        <f>IFERROR(IFERROR(VLOOKUP(A633,TRAOPE!$A:$W,23,0),VLOOKUP(B633,TRAOPE!$A:$W,23,0)),"")</f>
        <v/>
      </c>
      <c r="S633" s="10">
        <f>IF(AND(P633="TN",R633="TN"),N633+N(O633),IF(G633&amp;""="1",N(K633)*N633,(N633+N(O633))*N(K633)))</f>
        <v/>
      </c>
      <c r="T633" s="10">
        <f>IF(Q633="","",Q633-S633)</f>
        <v/>
      </c>
    </row>
    <row r="634">
      <c r="A634" s="7">
        <f>CONCATENATE(C634,E634,F634,I634)</f>
        <v/>
      </c>
      <c r="B634" s="7">
        <f>CONCATENATE(C634,E634,I634)</f>
        <v/>
      </c>
      <c r="C634" s="8" t="n">
        <v>900008842</v>
      </c>
      <c r="D634" s="7">
        <f>IFERROR(VLOOKUP(C634,TRAOPE!$G:$H,2,0),"")</f>
        <v/>
      </c>
      <c r="E634" s="8" t="inlineStr">
        <is>
          <t>DW68</t>
        </is>
      </c>
      <c r="F634" s="8" t="inlineStr">
        <is>
          <t>D213</t>
        </is>
      </c>
      <c r="G634" s="8">
        <f>IFERROR(VLOOKUP(A634,Flete!$A:$E,5,0),"")</f>
        <v/>
      </c>
      <c r="H634" s="7">
        <f>IFERROR(VLOOKUP(F634,TRAOPE!$AA:$AB,2,0),"")</f>
        <v/>
      </c>
      <c r="I634" s="7" t="n">
        <v>10000191</v>
      </c>
      <c r="J634" s="7">
        <f>IFERROR(VLOOKUP(I634,Materiales!$A:$H,8,0),"")</f>
        <v/>
      </c>
      <c r="K634" s="9">
        <f>IFERROR(VLOOKUP(I634,Materiales!$A:$G,7,0),"")</f>
        <v/>
      </c>
      <c r="L634" s="8" t="inlineStr">
        <is>
          <t>20240624</t>
        </is>
      </c>
      <c r="M634" s="8" t="inlineStr">
        <is>
          <t>20251031</t>
        </is>
      </c>
      <c r="N634" s="10" t="n">
        <v>158</v>
      </c>
      <c r="O634" s="10">
        <f>IFERROR(VLOOKUP(A634,Flete!$A:$J,10,0),"")</f>
        <v/>
      </c>
      <c r="P634" s="8" t="inlineStr">
        <is>
          <t>TN</t>
        </is>
      </c>
      <c r="Q634" s="10">
        <f>IFERROR(IFERROR(VLOOKUP(A634,TRAOPE!$A:$U,21,0),VLOOKUP(B634,TRAOPE!$A:$U,21,0)),"")</f>
        <v/>
      </c>
      <c r="R634" s="8">
        <f>IFERROR(IFERROR(VLOOKUP(A634,TRAOPE!$A:$W,23,0),VLOOKUP(B634,TRAOPE!$A:$W,23,0)),"")</f>
        <v/>
      </c>
      <c r="S634" s="10">
        <f>IF(AND(P634="TN",R634="TN"),N634+N(O634),IF(G634&amp;""="1",N(K634)*N634,(N634+N(O634))*N(K634)))</f>
        <v/>
      </c>
      <c r="T634" s="10">
        <f>IF(Q634="","",Q634-S634)</f>
        <v/>
      </c>
    </row>
    <row r="635">
      <c r="A635" s="7">
        <f>CONCATENATE(C635,E635,F635,I635)</f>
        <v/>
      </c>
      <c r="B635" s="7">
        <f>CONCATENATE(C635,E635,I635)</f>
        <v/>
      </c>
      <c r="C635" s="8" t="n">
        <v>900008842</v>
      </c>
      <c r="D635" s="7">
        <f>IFERROR(VLOOKUP(C635,TRAOPE!$G:$H,2,0),"")</f>
        <v/>
      </c>
      <c r="E635" s="8" t="inlineStr">
        <is>
          <t>DW68</t>
        </is>
      </c>
      <c r="F635" s="8" t="inlineStr">
        <is>
          <t>D213</t>
        </is>
      </c>
      <c r="G635" s="8">
        <f>IFERROR(VLOOKUP(A635,Flete!$A:$E,5,0),"")</f>
        <v/>
      </c>
      <c r="H635" s="7">
        <f>IFERROR(VLOOKUP(F635,TRAOPE!$AA:$AB,2,0),"")</f>
        <v/>
      </c>
      <c r="I635" s="7" t="n">
        <v>10000384</v>
      </c>
      <c r="J635" s="7">
        <f>IFERROR(VLOOKUP(I635,Materiales!$A:$H,8,0),"")</f>
        <v/>
      </c>
      <c r="K635" s="9">
        <f>IFERROR(VLOOKUP(I635,Materiales!$A:$G,7,0),"")</f>
        <v/>
      </c>
      <c r="L635" s="8" t="inlineStr">
        <is>
          <t>20240624</t>
        </is>
      </c>
      <c r="M635" s="8" t="inlineStr">
        <is>
          <t>20251031</t>
        </is>
      </c>
      <c r="N635" s="10" t="n">
        <v>180</v>
      </c>
      <c r="O635" s="10">
        <f>IFERROR(VLOOKUP(A635,Flete!$A:$J,10,0),"")</f>
        <v/>
      </c>
      <c r="P635" s="8" t="inlineStr">
        <is>
          <t>TN</t>
        </is>
      </c>
      <c r="Q635" s="10">
        <f>IFERROR(IFERROR(VLOOKUP(A635,TRAOPE!$A:$U,21,0),VLOOKUP(B635,TRAOPE!$A:$U,21,0)),"")</f>
        <v/>
      </c>
      <c r="R635" s="8">
        <f>IFERROR(IFERROR(VLOOKUP(A635,TRAOPE!$A:$W,23,0),VLOOKUP(B635,TRAOPE!$A:$W,23,0)),"")</f>
        <v/>
      </c>
      <c r="S635" s="10">
        <f>IF(AND(P635="TN",R635="TN"),N635+N(O635),IF(G635&amp;""="1",N(K635)*N635,(N635+N(O635))*N(K635)))</f>
        <v/>
      </c>
      <c r="T635" s="10">
        <f>IF(Q635="","",Q635-S635)</f>
        <v/>
      </c>
    </row>
    <row r="636">
      <c r="A636" s="7">
        <f>CONCATENATE(C636,E636,F636,I636)</f>
        <v/>
      </c>
      <c r="B636" s="7">
        <f>CONCATENATE(C636,E636,I636)</f>
        <v/>
      </c>
      <c r="C636" s="8" t="n">
        <v>900008842</v>
      </c>
      <c r="D636" s="7">
        <f>IFERROR(VLOOKUP(C636,TRAOPE!$G:$H,2,0),"")</f>
        <v/>
      </c>
      <c r="E636" s="8" t="inlineStr">
        <is>
          <t>DW68</t>
        </is>
      </c>
      <c r="F636" s="8" t="inlineStr">
        <is>
          <t>D213</t>
        </is>
      </c>
      <c r="G636" s="8">
        <f>IFERROR(VLOOKUP(A636,Flete!$A:$E,5,0),"")</f>
        <v/>
      </c>
      <c r="H636" s="7">
        <f>IFERROR(VLOOKUP(F636,TRAOPE!$AA:$AB,2,0),"")</f>
        <v/>
      </c>
      <c r="I636" s="7" t="n">
        <v>10000388</v>
      </c>
      <c r="J636" s="7">
        <f>IFERROR(VLOOKUP(I636,Materiales!$A:$H,8,0),"")</f>
        <v/>
      </c>
      <c r="K636" s="9">
        <f>IFERROR(VLOOKUP(I636,Materiales!$A:$G,7,0),"")</f>
        <v/>
      </c>
      <c r="L636" s="8" t="inlineStr">
        <is>
          <t>20240624</t>
        </is>
      </c>
      <c r="M636" s="8" t="inlineStr">
        <is>
          <t>20251031</t>
        </is>
      </c>
      <c r="N636" s="10" t="n">
        <v>158</v>
      </c>
      <c r="O636" s="10">
        <f>IFERROR(VLOOKUP(A636,Flete!$A:$J,10,0),"")</f>
        <v/>
      </c>
      <c r="P636" s="8" t="inlineStr">
        <is>
          <t>TN</t>
        </is>
      </c>
      <c r="Q636" s="10">
        <f>IFERROR(IFERROR(VLOOKUP(A636,TRAOPE!$A:$U,21,0),VLOOKUP(B636,TRAOPE!$A:$U,21,0)),"")</f>
        <v/>
      </c>
      <c r="R636" s="8">
        <f>IFERROR(IFERROR(VLOOKUP(A636,TRAOPE!$A:$W,23,0),VLOOKUP(B636,TRAOPE!$A:$W,23,0)),"")</f>
        <v/>
      </c>
      <c r="S636" s="10">
        <f>IF(AND(P636="TN",R636="TN"),N636+N(O636),IF(G636&amp;""="1",N(K636)*N636,(N636+N(O636))*N(K636)))</f>
        <v/>
      </c>
      <c r="T636" s="10">
        <f>IF(Q636="","",Q636-S636)</f>
        <v/>
      </c>
    </row>
    <row r="637">
      <c r="A637" s="7">
        <f>CONCATENATE(C637,E637,F637,I637)</f>
        <v/>
      </c>
      <c r="B637" s="7">
        <f>CONCATENATE(C637,E637,I637)</f>
        <v/>
      </c>
      <c r="C637" s="8" t="n">
        <v>900008842</v>
      </c>
      <c r="D637" s="7">
        <f>IFERROR(VLOOKUP(C637,TRAOPE!$G:$H,2,0),"")</f>
        <v/>
      </c>
      <c r="E637" s="8" t="inlineStr">
        <is>
          <t>DW68</t>
        </is>
      </c>
      <c r="F637" s="8" t="inlineStr">
        <is>
          <t>D213</t>
        </is>
      </c>
      <c r="G637" s="8">
        <f>IFERROR(VLOOKUP(A637,Flete!$A:$E,5,0),"")</f>
        <v/>
      </c>
      <c r="H637" s="7">
        <f>IFERROR(VLOOKUP(F637,TRAOPE!$AA:$AB,2,0),"")</f>
        <v/>
      </c>
      <c r="I637" s="7" t="n">
        <v>10004258</v>
      </c>
      <c r="J637" s="7">
        <f>IFERROR(VLOOKUP(I637,Materiales!$A:$H,8,0),"")</f>
        <v/>
      </c>
      <c r="K637" s="9">
        <f>IFERROR(VLOOKUP(I637,Materiales!$A:$G,7,0),"")</f>
        <v/>
      </c>
      <c r="L637" s="8" t="inlineStr">
        <is>
          <t>20240624</t>
        </is>
      </c>
      <c r="M637" s="8" t="inlineStr">
        <is>
          <t>20251031</t>
        </is>
      </c>
      <c r="N637" s="10" t="n">
        <v>257</v>
      </c>
      <c r="O637" s="10">
        <f>IFERROR(VLOOKUP(A637,Flete!$A:$J,10,0),"")</f>
        <v/>
      </c>
      <c r="P637" s="8" t="inlineStr">
        <is>
          <t>TN</t>
        </is>
      </c>
      <c r="Q637" s="10">
        <f>IFERROR(IFERROR(VLOOKUP(A637,TRAOPE!$A:$U,21,0),VLOOKUP(B637,TRAOPE!$A:$U,21,0)),"")</f>
        <v/>
      </c>
      <c r="R637" s="8">
        <f>IFERROR(IFERROR(VLOOKUP(A637,TRAOPE!$A:$W,23,0),VLOOKUP(B637,TRAOPE!$A:$W,23,0)),"")</f>
        <v/>
      </c>
      <c r="S637" s="10">
        <f>IF(AND(P637="TN",R637="TN"),N637+N(O637),IF(G637&amp;""="1",N(K637)*N637,(N637+N(O637))*N(K637)))</f>
        <v/>
      </c>
      <c r="T637" s="10">
        <f>IF(Q637="","",Q637-S637)</f>
        <v/>
      </c>
    </row>
    <row r="638">
      <c r="A638" s="7">
        <f>CONCATENATE(C638,E638,F638,I638)</f>
        <v/>
      </c>
      <c r="B638" s="7">
        <f>CONCATENATE(C638,E638,I638)</f>
        <v/>
      </c>
      <c r="C638" s="8" t="n">
        <v>900008842</v>
      </c>
      <c r="D638" s="7">
        <f>IFERROR(VLOOKUP(C638,TRAOPE!$G:$H,2,0),"")</f>
        <v/>
      </c>
      <c r="E638" s="8" t="inlineStr">
        <is>
          <t>DW68</t>
        </is>
      </c>
      <c r="F638" s="8" t="inlineStr">
        <is>
          <t>D220</t>
        </is>
      </c>
      <c r="G638" s="8">
        <f>IFERROR(VLOOKUP(A638,Flete!$A:$E,5,0),"")</f>
        <v/>
      </c>
      <c r="H638" s="7">
        <f>IFERROR(VLOOKUP(F638,TRAOPE!$AA:$AB,2,0),"")</f>
        <v/>
      </c>
      <c r="I638" s="7" t="n">
        <v>10000191</v>
      </c>
      <c r="J638" s="7">
        <f>IFERROR(VLOOKUP(I638,Materiales!$A:$H,8,0),"")</f>
        <v/>
      </c>
      <c r="K638" s="9">
        <f>IFERROR(VLOOKUP(I638,Materiales!$A:$G,7,0),"")</f>
        <v/>
      </c>
      <c r="L638" s="8" t="inlineStr">
        <is>
          <t>20240624</t>
        </is>
      </c>
      <c r="M638" s="8" t="inlineStr">
        <is>
          <t>20251031</t>
        </is>
      </c>
      <c r="N638" s="10" t="n">
        <v>158</v>
      </c>
      <c r="O638" s="10">
        <f>IFERROR(VLOOKUP(A638,Flete!$A:$J,10,0),"")</f>
        <v/>
      </c>
      <c r="P638" s="8" t="inlineStr">
        <is>
          <t>TN</t>
        </is>
      </c>
      <c r="Q638" s="10">
        <f>IFERROR(IFERROR(VLOOKUP(A638,TRAOPE!$A:$U,21,0),VLOOKUP(B638,TRAOPE!$A:$U,21,0)),"")</f>
        <v/>
      </c>
      <c r="R638" s="8">
        <f>IFERROR(IFERROR(VLOOKUP(A638,TRAOPE!$A:$W,23,0),VLOOKUP(B638,TRAOPE!$A:$W,23,0)),"")</f>
        <v/>
      </c>
      <c r="S638" s="10">
        <f>IF(AND(P638="TN",R638="TN"),N638+N(O638),IF(G638&amp;""="1",N(K638)*N638,(N638+N(O638))*N(K638)))</f>
        <v/>
      </c>
      <c r="T638" s="10">
        <f>IF(Q638="","",Q638-S638)</f>
        <v/>
      </c>
    </row>
    <row r="639">
      <c r="A639" s="7">
        <f>CONCATENATE(C639,E639,F639,I639)</f>
        <v/>
      </c>
      <c r="B639" s="7">
        <f>CONCATENATE(C639,E639,I639)</f>
        <v/>
      </c>
      <c r="C639" s="8" t="n">
        <v>900008842</v>
      </c>
      <c r="D639" s="7">
        <f>IFERROR(VLOOKUP(C639,TRAOPE!$G:$H,2,0),"")</f>
        <v/>
      </c>
      <c r="E639" s="8" t="inlineStr">
        <is>
          <t>DW68</t>
        </is>
      </c>
      <c r="F639" s="8" t="inlineStr">
        <is>
          <t>D220</t>
        </is>
      </c>
      <c r="G639" s="8">
        <f>IFERROR(VLOOKUP(A639,Flete!$A:$E,5,0),"")</f>
        <v/>
      </c>
      <c r="H639" s="7">
        <f>IFERROR(VLOOKUP(F639,TRAOPE!$AA:$AB,2,0),"")</f>
        <v/>
      </c>
      <c r="I639" s="7" t="n">
        <v>10000384</v>
      </c>
      <c r="J639" s="7">
        <f>IFERROR(VLOOKUP(I639,Materiales!$A:$H,8,0),"")</f>
        <v/>
      </c>
      <c r="K639" s="9">
        <f>IFERROR(VLOOKUP(I639,Materiales!$A:$G,7,0),"")</f>
        <v/>
      </c>
      <c r="L639" s="8" t="inlineStr">
        <is>
          <t>20240624</t>
        </is>
      </c>
      <c r="M639" s="8" t="inlineStr">
        <is>
          <t>20251031</t>
        </is>
      </c>
      <c r="N639" s="10" t="n">
        <v>180</v>
      </c>
      <c r="O639" s="10">
        <f>IFERROR(VLOOKUP(A639,Flete!$A:$J,10,0),"")</f>
        <v/>
      </c>
      <c r="P639" s="8" t="inlineStr">
        <is>
          <t>TN</t>
        </is>
      </c>
      <c r="Q639" s="10">
        <f>IFERROR(IFERROR(VLOOKUP(A639,TRAOPE!$A:$U,21,0),VLOOKUP(B639,TRAOPE!$A:$U,21,0)),"")</f>
        <v/>
      </c>
      <c r="R639" s="8">
        <f>IFERROR(IFERROR(VLOOKUP(A639,TRAOPE!$A:$W,23,0),VLOOKUP(B639,TRAOPE!$A:$W,23,0)),"")</f>
        <v/>
      </c>
      <c r="S639" s="10">
        <f>IF(AND(P639="TN",R639="TN"),N639+N(O639),IF(G639&amp;""="1",N(K639)*N639,(N639+N(O639))*N(K639)))</f>
        <v/>
      </c>
      <c r="T639" s="10">
        <f>IF(Q639="","",Q639-S639)</f>
        <v/>
      </c>
    </row>
    <row r="640">
      <c r="A640" s="7">
        <f>CONCATENATE(C640,E640,F640,I640)</f>
        <v/>
      </c>
      <c r="B640" s="7">
        <f>CONCATENATE(C640,E640,I640)</f>
        <v/>
      </c>
      <c r="C640" s="8" t="n">
        <v>900008842</v>
      </c>
      <c r="D640" s="7">
        <f>IFERROR(VLOOKUP(C640,TRAOPE!$G:$H,2,0),"")</f>
        <v/>
      </c>
      <c r="E640" s="8" t="inlineStr">
        <is>
          <t>DW68</t>
        </is>
      </c>
      <c r="F640" s="8" t="inlineStr">
        <is>
          <t>D220</t>
        </is>
      </c>
      <c r="G640" s="8">
        <f>IFERROR(VLOOKUP(A640,Flete!$A:$E,5,0),"")</f>
        <v/>
      </c>
      <c r="H640" s="7">
        <f>IFERROR(VLOOKUP(F640,TRAOPE!$AA:$AB,2,0),"")</f>
        <v/>
      </c>
      <c r="I640" s="7" t="n">
        <v>10000388</v>
      </c>
      <c r="J640" s="7">
        <f>IFERROR(VLOOKUP(I640,Materiales!$A:$H,8,0),"")</f>
        <v/>
      </c>
      <c r="K640" s="9">
        <f>IFERROR(VLOOKUP(I640,Materiales!$A:$G,7,0),"")</f>
        <v/>
      </c>
      <c r="L640" s="8" t="inlineStr">
        <is>
          <t>20240624</t>
        </is>
      </c>
      <c r="M640" s="8" t="inlineStr">
        <is>
          <t>20251031</t>
        </is>
      </c>
      <c r="N640" s="10" t="n">
        <v>158</v>
      </c>
      <c r="O640" s="10">
        <f>IFERROR(VLOOKUP(A640,Flete!$A:$J,10,0),"")</f>
        <v/>
      </c>
      <c r="P640" s="8" t="inlineStr">
        <is>
          <t>TN</t>
        </is>
      </c>
      <c r="Q640" s="10">
        <f>IFERROR(IFERROR(VLOOKUP(A640,TRAOPE!$A:$U,21,0),VLOOKUP(B640,TRAOPE!$A:$U,21,0)),"")</f>
        <v/>
      </c>
      <c r="R640" s="8">
        <f>IFERROR(IFERROR(VLOOKUP(A640,TRAOPE!$A:$W,23,0),VLOOKUP(B640,TRAOPE!$A:$W,23,0)),"")</f>
        <v/>
      </c>
      <c r="S640" s="10">
        <f>IF(AND(P640="TN",R640="TN"),N640+N(O640),IF(G640&amp;""="1",N(K640)*N640,(N640+N(O640))*N(K640)))</f>
        <v/>
      </c>
      <c r="T640" s="10">
        <f>IF(Q640="","",Q640-S640)</f>
        <v/>
      </c>
    </row>
    <row r="641">
      <c r="A641" s="7">
        <f>CONCATENATE(C641,E641,F641,I641)</f>
        <v/>
      </c>
      <c r="B641" s="7">
        <f>CONCATENATE(C641,E641,I641)</f>
        <v/>
      </c>
      <c r="C641" s="8" t="n">
        <v>900008842</v>
      </c>
      <c r="D641" s="7">
        <f>IFERROR(VLOOKUP(C641,TRAOPE!$G:$H,2,0),"")</f>
        <v/>
      </c>
      <c r="E641" s="8" t="inlineStr">
        <is>
          <t>DW68</t>
        </is>
      </c>
      <c r="F641" s="8" t="inlineStr">
        <is>
          <t>D220</t>
        </is>
      </c>
      <c r="G641" s="8">
        <f>IFERROR(VLOOKUP(A641,Flete!$A:$E,5,0),"")</f>
        <v/>
      </c>
      <c r="H641" s="7">
        <f>IFERROR(VLOOKUP(F641,TRAOPE!$AA:$AB,2,0),"")</f>
        <v/>
      </c>
      <c r="I641" s="7" t="n">
        <v>10004258</v>
      </c>
      <c r="J641" s="7">
        <f>IFERROR(VLOOKUP(I641,Materiales!$A:$H,8,0),"")</f>
        <v/>
      </c>
      <c r="K641" s="9">
        <f>IFERROR(VLOOKUP(I641,Materiales!$A:$G,7,0),"")</f>
        <v/>
      </c>
      <c r="L641" s="8" t="inlineStr">
        <is>
          <t>20240624</t>
        </is>
      </c>
      <c r="M641" s="8" t="inlineStr">
        <is>
          <t>20251031</t>
        </is>
      </c>
      <c r="N641" s="10" t="n">
        <v>257</v>
      </c>
      <c r="O641" s="10">
        <f>IFERROR(VLOOKUP(A641,Flete!$A:$J,10,0),"")</f>
        <v/>
      </c>
      <c r="P641" s="8" t="inlineStr">
        <is>
          <t>TN</t>
        </is>
      </c>
      <c r="Q641" s="10">
        <f>IFERROR(IFERROR(VLOOKUP(A641,TRAOPE!$A:$U,21,0),VLOOKUP(B641,TRAOPE!$A:$U,21,0)),"")</f>
        <v/>
      </c>
      <c r="R641" s="8">
        <f>IFERROR(IFERROR(VLOOKUP(A641,TRAOPE!$A:$W,23,0),VLOOKUP(B641,TRAOPE!$A:$W,23,0)),"")</f>
        <v/>
      </c>
      <c r="S641" s="10">
        <f>IF(AND(P641="TN",R641="TN"),N641+N(O641),IF(G641&amp;""="1",N(K641)*N641,(N641+N(O641))*N(K641)))</f>
        <v/>
      </c>
      <c r="T641" s="10">
        <f>IF(Q641="","",Q641-S641)</f>
        <v/>
      </c>
    </row>
    <row r="642">
      <c r="A642" s="7">
        <f>CONCATENATE(C642,E642,F642,I642)</f>
        <v/>
      </c>
      <c r="B642" s="7">
        <f>CONCATENATE(C642,E642,I642)</f>
        <v/>
      </c>
      <c r="C642" s="8" t="n">
        <v>900008842</v>
      </c>
      <c r="D642" s="7">
        <f>IFERROR(VLOOKUP(C642,TRAOPE!$G:$H,2,0),"")</f>
        <v/>
      </c>
      <c r="E642" s="8" t="inlineStr">
        <is>
          <t>DW68</t>
        </is>
      </c>
      <c r="F642" s="8" t="inlineStr">
        <is>
          <t>D228</t>
        </is>
      </c>
      <c r="G642" s="8">
        <f>IFERROR(VLOOKUP(A642,Flete!$A:$E,5,0),"")</f>
        <v/>
      </c>
      <c r="H642" s="7">
        <f>IFERROR(VLOOKUP(F642,TRAOPE!$AA:$AB,2,0),"")</f>
        <v/>
      </c>
      <c r="I642" s="7" t="n">
        <v>10000191</v>
      </c>
      <c r="J642" s="7">
        <f>IFERROR(VLOOKUP(I642,Materiales!$A:$H,8,0),"")</f>
        <v/>
      </c>
      <c r="K642" s="9">
        <f>IFERROR(VLOOKUP(I642,Materiales!$A:$G,7,0),"")</f>
        <v/>
      </c>
      <c r="L642" s="8" t="inlineStr">
        <is>
          <t>20240624</t>
        </is>
      </c>
      <c r="M642" s="8" t="inlineStr">
        <is>
          <t>20251031</t>
        </is>
      </c>
      <c r="N642" s="10" t="n">
        <v>158</v>
      </c>
      <c r="O642" s="10">
        <f>IFERROR(VLOOKUP(A642,Flete!$A:$J,10,0),"")</f>
        <v/>
      </c>
      <c r="P642" s="8" t="inlineStr">
        <is>
          <t>TN</t>
        </is>
      </c>
      <c r="Q642" s="10">
        <f>IFERROR(IFERROR(VLOOKUP(A642,TRAOPE!$A:$U,21,0),VLOOKUP(B642,TRAOPE!$A:$U,21,0)),"")</f>
        <v/>
      </c>
      <c r="R642" s="8">
        <f>IFERROR(IFERROR(VLOOKUP(A642,TRAOPE!$A:$W,23,0),VLOOKUP(B642,TRAOPE!$A:$W,23,0)),"")</f>
        <v/>
      </c>
      <c r="S642" s="10">
        <f>IF(AND(P642="TN",R642="TN"),N642+N(O642),IF(G642&amp;""="1",N(K642)*N642,(N642+N(O642))*N(K642)))</f>
        <v/>
      </c>
      <c r="T642" s="10">
        <f>IF(Q642="","",Q642-S642)</f>
        <v/>
      </c>
    </row>
    <row r="643">
      <c r="A643" s="7">
        <f>CONCATENATE(C643,E643,F643,I643)</f>
        <v/>
      </c>
      <c r="B643" s="7">
        <f>CONCATENATE(C643,E643,I643)</f>
        <v/>
      </c>
      <c r="C643" s="8" t="n">
        <v>900008842</v>
      </c>
      <c r="D643" s="7">
        <f>IFERROR(VLOOKUP(C643,TRAOPE!$G:$H,2,0),"")</f>
        <v/>
      </c>
      <c r="E643" s="8" t="inlineStr">
        <is>
          <t>DW68</t>
        </is>
      </c>
      <c r="F643" s="8" t="inlineStr">
        <is>
          <t>D228</t>
        </is>
      </c>
      <c r="G643" s="8">
        <f>IFERROR(VLOOKUP(A643,Flete!$A:$E,5,0),"")</f>
        <v/>
      </c>
      <c r="H643" s="7">
        <f>IFERROR(VLOOKUP(F643,TRAOPE!$AA:$AB,2,0),"")</f>
        <v/>
      </c>
      <c r="I643" s="7" t="n">
        <v>10000384</v>
      </c>
      <c r="J643" s="7">
        <f>IFERROR(VLOOKUP(I643,Materiales!$A:$H,8,0),"")</f>
        <v/>
      </c>
      <c r="K643" s="9">
        <f>IFERROR(VLOOKUP(I643,Materiales!$A:$G,7,0),"")</f>
        <v/>
      </c>
      <c r="L643" s="8" t="inlineStr">
        <is>
          <t>20240624</t>
        </is>
      </c>
      <c r="M643" s="8" t="inlineStr">
        <is>
          <t>20251031</t>
        </is>
      </c>
      <c r="N643" s="10" t="n">
        <v>180</v>
      </c>
      <c r="O643" s="10">
        <f>IFERROR(VLOOKUP(A643,Flete!$A:$J,10,0),"")</f>
        <v/>
      </c>
      <c r="P643" s="8" t="inlineStr">
        <is>
          <t>TN</t>
        </is>
      </c>
      <c r="Q643" s="10">
        <f>IFERROR(IFERROR(VLOOKUP(A643,TRAOPE!$A:$U,21,0),VLOOKUP(B643,TRAOPE!$A:$U,21,0)),"")</f>
        <v/>
      </c>
      <c r="R643" s="8">
        <f>IFERROR(IFERROR(VLOOKUP(A643,TRAOPE!$A:$W,23,0),VLOOKUP(B643,TRAOPE!$A:$W,23,0)),"")</f>
        <v/>
      </c>
      <c r="S643" s="10">
        <f>IF(AND(P643="TN",R643="TN"),N643+N(O643),IF(G643&amp;""="1",N(K643)*N643,(N643+N(O643))*N(K643)))</f>
        <v/>
      </c>
      <c r="T643" s="10">
        <f>IF(Q643="","",Q643-S643)</f>
        <v/>
      </c>
    </row>
    <row r="644">
      <c r="A644" s="7">
        <f>CONCATENATE(C644,E644,F644,I644)</f>
        <v/>
      </c>
      <c r="B644" s="7">
        <f>CONCATENATE(C644,E644,I644)</f>
        <v/>
      </c>
      <c r="C644" s="8" t="n">
        <v>900008842</v>
      </c>
      <c r="D644" s="7">
        <f>IFERROR(VLOOKUP(C644,TRAOPE!$G:$H,2,0),"")</f>
        <v/>
      </c>
      <c r="E644" s="8" t="inlineStr">
        <is>
          <t>DW68</t>
        </is>
      </c>
      <c r="F644" s="8" t="inlineStr">
        <is>
          <t>D228</t>
        </is>
      </c>
      <c r="G644" s="8">
        <f>IFERROR(VLOOKUP(A644,Flete!$A:$E,5,0),"")</f>
        <v/>
      </c>
      <c r="H644" s="7">
        <f>IFERROR(VLOOKUP(F644,TRAOPE!$AA:$AB,2,0),"")</f>
        <v/>
      </c>
      <c r="I644" s="7" t="n">
        <v>10000388</v>
      </c>
      <c r="J644" s="7">
        <f>IFERROR(VLOOKUP(I644,Materiales!$A:$H,8,0),"")</f>
        <v/>
      </c>
      <c r="K644" s="9">
        <f>IFERROR(VLOOKUP(I644,Materiales!$A:$G,7,0),"")</f>
        <v/>
      </c>
      <c r="L644" s="8" t="inlineStr">
        <is>
          <t>20240624</t>
        </is>
      </c>
      <c r="M644" s="8" t="inlineStr">
        <is>
          <t>20251031</t>
        </is>
      </c>
      <c r="N644" s="10" t="n">
        <v>158</v>
      </c>
      <c r="O644" s="10">
        <f>IFERROR(VLOOKUP(A644,Flete!$A:$J,10,0),"")</f>
        <v/>
      </c>
      <c r="P644" s="8" t="inlineStr">
        <is>
          <t>TN</t>
        </is>
      </c>
      <c r="Q644" s="10">
        <f>IFERROR(IFERROR(VLOOKUP(A644,TRAOPE!$A:$U,21,0),VLOOKUP(B644,TRAOPE!$A:$U,21,0)),"")</f>
        <v/>
      </c>
      <c r="R644" s="8">
        <f>IFERROR(IFERROR(VLOOKUP(A644,TRAOPE!$A:$W,23,0),VLOOKUP(B644,TRAOPE!$A:$W,23,0)),"")</f>
        <v/>
      </c>
      <c r="S644" s="10">
        <f>IF(AND(P644="TN",R644="TN"),N644+N(O644),IF(G644&amp;""="1",N(K644)*N644,(N644+N(O644))*N(K644)))</f>
        <v/>
      </c>
      <c r="T644" s="10">
        <f>IF(Q644="","",Q644-S644)</f>
        <v/>
      </c>
    </row>
    <row r="645">
      <c r="A645" s="7">
        <f>CONCATENATE(C645,E645,F645,I645)</f>
        <v/>
      </c>
      <c r="B645" s="7">
        <f>CONCATENATE(C645,E645,I645)</f>
        <v/>
      </c>
      <c r="C645" s="8" t="n">
        <v>900008842</v>
      </c>
      <c r="D645" s="7">
        <f>IFERROR(VLOOKUP(C645,TRAOPE!$G:$H,2,0),"")</f>
        <v/>
      </c>
      <c r="E645" s="8" t="inlineStr">
        <is>
          <t>DW68</t>
        </is>
      </c>
      <c r="F645" s="8" t="inlineStr">
        <is>
          <t>D228</t>
        </is>
      </c>
      <c r="G645" s="8">
        <f>IFERROR(VLOOKUP(A645,Flete!$A:$E,5,0),"")</f>
        <v/>
      </c>
      <c r="H645" s="7">
        <f>IFERROR(VLOOKUP(F645,TRAOPE!$AA:$AB,2,0),"")</f>
        <v/>
      </c>
      <c r="I645" s="7" t="n">
        <v>10004258</v>
      </c>
      <c r="J645" s="7">
        <f>IFERROR(VLOOKUP(I645,Materiales!$A:$H,8,0),"")</f>
        <v/>
      </c>
      <c r="K645" s="9">
        <f>IFERROR(VLOOKUP(I645,Materiales!$A:$G,7,0),"")</f>
        <v/>
      </c>
      <c r="L645" s="8" t="inlineStr">
        <is>
          <t>20240624</t>
        </is>
      </c>
      <c r="M645" s="8" t="inlineStr">
        <is>
          <t>20251031</t>
        </is>
      </c>
      <c r="N645" s="10" t="n">
        <v>257</v>
      </c>
      <c r="O645" s="10">
        <f>IFERROR(VLOOKUP(A645,Flete!$A:$J,10,0),"")</f>
        <v/>
      </c>
      <c r="P645" s="8" t="inlineStr">
        <is>
          <t>TN</t>
        </is>
      </c>
      <c r="Q645" s="10">
        <f>IFERROR(IFERROR(VLOOKUP(A645,TRAOPE!$A:$U,21,0),VLOOKUP(B645,TRAOPE!$A:$U,21,0)),"")</f>
        <v/>
      </c>
      <c r="R645" s="8">
        <f>IFERROR(IFERROR(VLOOKUP(A645,TRAOPE!$A:$W,23,0),VLOOKUP(B645,TRAOPE!$A:$W,23,0)),"")</f>
        <v/>
      </c>
      <c r="S645" s="10">
        <f>IF(AND(P645="TN",R645="TN"),N645+N(O645),IF(G645&amp;""="1",N(K645)*N645,(N645+N(O645))*N(K645)))</f>
        <v/>
      </c>
      <c r="T645" s="10">
        <f>IF(Q645="","",Q645-S645)</f>
        <v/>
      </c>
    </row>
    <row r="646">
      <c r="A646" s="7">
        <f>CONCATENATE(C646,E646,F646,I646)</f>
        <v/>
      </c>
      <c r="B646" s="7">
        <f>CONCATENATE(C646,E646,I646)</f>
        <v/>
      </c>
      <c r="C646" s="8" t="n">
        <v>900008842</v>
      </c>
      <c r="D646" s="7">
        <f>IFERROR(VLOOKUP(C646,TRAOPE!$G:$H,2,0),"")</f>
        <v/>
      </c>
      <c r="E646" s="8" t="inlineStr">
        <is>
          <t>DW68</t>
        </is>
      </c>
      <c r="F646" s="8" t="inlineStr">
        <is>
          <t>D242</t>
        </is>
      </c>
      <c r="G646" s="8">
        <f>IFERROR(VLOOKUP(A646,Flete!$A:$E,5,0),"")</f>
        <v/>
      </c>
      <c r="H646" s="7">
        <f>IFERROR(VLOOKUP(F646,TRAOPE!$AA:$AB,2,0),"")</f>
        <v/>
      </c>
      <c r="I646" s="7" t="n">
        <v>10000191</v>
      </c>
      <c r="J646" s="7">
        <f>IFERROR(VLOOKUP(I646,Materiales!$A:$H,8,0),"")</f>
        <v/>
      </c>
      <c r="K646" s="9">
        <f>IFERROR(VLOOKUP(I646,Materiales!$A:$G,7,0),"")</f>
        <v/>
      </c>
      <c r="L646" s="8" t="inlineStr">
        <is>
          <t>20240624</t>
        </is>
      </c>
      <c r="M646" s="8" t="inlineStr">
        <is>
          <t>20251031</t>
        </is>
      </c>
      <c r="N646" s="10" t="n">
        <v>158</v>
      </c>
      <c r="O646" s="10">
        <f>IFERROR(VLOOKUP(A646,Flete!$A:$J,10,0),"")</f>
        <v/>
      </c>
      <c r="P646" s="8" t="inlineStr">
        <is>
          <t>TN</t>
        </is>
      </c>
      <c r="Q646" s="10">
        <f>IFERROR(IFERROR(VLOOKUP(A646,TRAOPE!$A:$U,21,0),VLOOKUP(B646,TRAOPE!$A:$U,21,0)),"")</f>
        <v/>
      </c>
      <c r="R646" s="8">
        <f>IFERROR(IFERROR(VLOOKUP(A646,TRAOPE!$A:$W,23,0),VLOOKUP(B646,TRAOPE!$A:$W,23,0)),"")</f>
        <v/>
      </c>
      <c r="S646" s="10">
        <f>IF(AND(P646="TN",R646="TN"),N646+N(O646),IF(G646&amp;""="1",N(K646)*N646,(N646+N(O646))*N(K646)))</f>
        <v/>
      </c>
      <c r="T646" s="10">
        <f>IF(Q646="","",Q646-S646)</f>
        <v/>
      </c>
    </row>
    <row r="647">
      <c r="A647" s="7">
        <f>CONCATENATE(C647,E647,F647,I647)</f>
        <v/>
      </c>
      <c r="B647" s="7">
        <f>CONCATENATE(C647,E647,I647)</f>
        <v/>
      </c>
      <c r="C647" s="8" t="n">
        <v>900008842</v>
      </c>
      <c r="D647" s="7">
        <f>IFERROR(VLOOKUP(C647,TRAOPE!$G:$H,2,0),"")</f>
        <v/>
      </c>
      <c r="E647" s="8" t="inlineStr">
        <is>
          <t>DW68</t>
        </is>
      </c>
      <c r="F647" s="8" t="inlineStr">
        <is>
          <t>D242</t>
        </is>
      </c>
      <c r="G647" s="8">
        <f>IFERROR(VLOOKUP(A647,Flete!$A:$E,5,0),"")</f>
        <v/>
      </c>
      <c r="H647" s="7">
        <f>IFERROR(VLOOKUP(F647,TRAOPE!$AA:$AB,2,0),"")</f>
        <v/>
      </c>
      <c r="I647" s="7" t="n">
        <v>10000384</v>
      </c>
      <c r="J647" s="7">
        <f>IFERROR(VLOOKUP(I647,Materiales!$A:$H,8,0),"")</f>
        <v/>
      </c>
      <c r="K647" s="9">
        <f>IFERROR(VLOOKUP(I647,Materiales!$A:$G,7,0),"")</f>
        <v/>
      </c>
      <c r="L647" s="8" t="inlineStr">
        <is>
          <t>20240624</t>
        </is>
      </c>
      <c r="M647" s="8" t="inlineStr">
        <is>
          <t>20251031</t>
        </is>
      </c>
      <c r="N647" s="10" t="n">
        <v>180</v>
      </c>
      <c r="O647" s="10">
        <f>IFERROR(VLOOKUP(A647,Flete!$A:$J,10,0),"")</f>
        <v/>
      </c>
      <c r="P647" s="8" t="inlineStr">
        <is>
          <t>TN</t>
        </is>
      </c>
      <c r="Q647" s="10">
        <f>IFERROR(IFERROR(VLOOKUP(A647,TRAOPE!$A:$U,21,0),VLOOKUP(B647,TRAOPE!$A:$U,21,0)),"")</f>
        <v/>
      </c>
      <c r="R647" s="8">
        <f>IFERROR(IFERROR(VLOOKUP(A647,TRAOPE!$A:$W,23,0),VLOOKUP(B647,TRAOPE!$A:$W,23,0)),"")</f>
        <v/>
      </c>
      <c r="S647" s="10">
        <f>IF(AND(P647="TN",R647="TN"),N647+N(O647),IF(G647&amp;""="1",N(K647)*N647,(N647+N(O647))*N(K647)))</f>
        <v/>
      </c>
      <c r="T647" s="10">
        <f>IF(Q647="","",Q647-S647)</f>
        <v/>
      </c>
    </row>
    <row r="648">
      <c r="A648" s="7">
        <f>CONCATENATE(C648,E648,F648,I648)</f>
        <v/>
      </c>
      <c r="B648" s="7">
        <f>CONCATENATE(C648,E648,I648)</f>
        <v/>
      </c>
      <c r="C648" s="8" t="n">
        <v>900008842</v>
      </c>
      <c r="D648" s="7">
        <f>IFERROR(VLOOKUP(C648,TRAOPE!$G:$H,2,0),"")</f>
        <v/>
      </c>
      <c r="E648" s="8" t="inlineStr">
        <is>
          <t>DW68</t>
        </is>
      </c>
      <c r="F648" s="8" t="inlineStr">
        <is>
          <t>D242</t>
        </is>
      </c>
      <c r="G648" s="8">
        <f>IFERROR(VLOOKUP(A648,Flete!$A:$E,5,0),"")</f>
        <v/>
      </c>
      <c r="H648" s="7">
        <f>IFERROR(VLOOKUP(F648,TRAOPE!$AA:$AB,2,0),"")</f>
        <v/>
      </c>
      <c r="I648" s="7" t="n">
        <v>10000388</v>
      </c>
      <c r="J648" s="7">
        <f>IFERROR(VLOOKUP(I648,Materiales!$A:$H,8,0),"")</f>
        <v/>
      </c>
      <c r="K648" s="9">
        <f>IFERROR(VLOOKUP(I648,Materiales!$A:$G,7,0),"")</f>
        <v/>
      </c>
      <c r="L648" s="8" t="inlineStr">
        <is>
          <t>20240624</t>
        </is>
      </c>
      <c r="M648" s="8" t="inlineStr">
        <is>
          <t>20251031</t>
        </is>
      </c>
      <c r="N648" s="10" t="n">
        <v>158</v>
      </c>
      <c r="O648" s="10">
        <f>IFERROR(VLOOKUP(A648,Flete!$A:$J,10,0),"")</f>
        <v/>
      </c>
      <c r="P648" s="8" t="inlineStr">
        <is>
          <t>TN</t>
        </is>
      </c>
      <c r="Q648" s="10">
        <f>IFERROR(IFERROR(VLOOKUP(A648,TRAOPE!$A:$U,21,0),VLOOKUP(B648,TRAOPE!$A:$U,21,0)),"")</f>
        <v/>
      </c>
      <c r="R648" s="8">
        <f>IFERROR(IFERROR(VLOOKUP(A648,TRAOPE!$A:$W,23,0),VLOOKUP(B648,TRAOPE!$A:$W,23,0)),"")</f>
        <v/>
      </c>
      <c r="S648" s="10">
        <f>IF(AND(P648="TN",R648="TN"),N648+N(O648),IF(G648&amp;""="1",N(K648)*N648,(N648+N(O648))*N(K648)))</f>
        <v/>
      </c>
      <c r="T648" s="10">
        <f>IF(Q648="","",Q648-S648)</f>
        <v/>
      </c>
    </row>
    <row r="649">
      <c r="A649" s="7">
        <f>CONCATENATE(C649,E649,F649,I649)</f>
        <v/>
      </c>
      <c r="B649" s="7">
        <f>CONCATENATE(C649,E649,I649)</f>
        <v/>
      </c>
      <c r="C649" s="8" t="n">
        <v>900008842</v>
      </c>
      <c r="D649" s="7">
        <f>IFERROR(VLOOKUP(C649,TRAOPE!$G:$H,2,0),"")</f>
        <v/>
      </c>
      <c r="E649" s="8" t="inlineStr">
        <is>
          <t>DW68</t>
        </is>
      </c>
      <c r="F649" s="8" t="inlineStr">
        <is>
          <t>D242</t>
        </is>
      </c>
      <c r="G649" s="8">
        <f>IFERROR(VLOOKUP(A649,Flete!$A:$E,5,0),"")</f>
        <v/>
      </c>
      <c r="H649" s="7">
        <f>IFERROR(VLOOKUP(F649,TRAOPE!$AA:$AB,2,0),"")</f>
        <v/>
      </c>
      <c r="I649" s="7" t="n">
        <v>10004258</v>
      </c>
      <c r="J649" s="7">
        <f>IFERROR(VLOOKUP(I649,Materiales!$A:$H,8,0),"")</f>
        <v/>
      </c>
      <c r="K649" s="9">
        <f>IFERROR(VLOOKUP(I649,Materiales!$A:$G,7,0),"")</f>
        <v/>
      </c>
      <c r="L649" s="8" t="inlineStr">
        <is>
          <t>20240624</t>
        </is>
      </c>
      <c r="M649" s="8" t="inlineStr">
        <is>
          <t>20251031</t>
        </is>
      </c>
      <c r="N649" s="10" t="n">
        <v>257</v>
      </c>
      <c r="O649" s="10">
        <f>IFERROR(VLOOKUP(A649,Flete!$A:$J,10,0),"")</f>
        <v/>
      </c>
      <c r="P649" s="8" t="inlineStr">
        <is>
          <t>TN</t>
        </is>
      </c>
      <c r="Q649" s="10">
        <f>IFERROR(IFERROR(VLOOKUP(A649,TRAOPE!$A:$U,21,0),VLOOKUP(B649,TRAOPE!$A:$U,21,0)),"")</f>
        <v/>
      </c>
      <c r="R649" s="8">
        <f>IFERROR(IFERROR(VLOOKUP(A649,TRAOPE!$A:$W,23,0),VLOOKUP(B649,TRAOPE!$A:$W,23,0)),"")</f>
        <v/>
      </c>
      <c r="S649" s="10">
        <f>IF(AND(P649="TN",R649="TN"),N649+N(O649),IF(G649&amp;""="1",N(K649)*N649,(N649+N(O649))*N(K649)))</f>
        <v/>
      </c>
      <c r="T649" s="10">
        <f>IF(Q649="","",Q649-S649)</f>
        <v/>
      </c>
    </row>
    <row r="650">
      <c r="A650" s="7">
        <f>CONCATENATE(C650,E650,F650,I650)</f>
        <v/>
      </c>
      <c r="B650" s="7">
        <f>CONCATENATE(C650,E650,I650)</f>
        <v/>
      </c>
      <c r="C650" s="8" t="n">
        <v>900008842</v>
      </c>
      <c r="D650" s="7">
        <f>IFERROR(VLOOKUP(C650,TRAOPE!$G:$H,2,0),"")</f>
        <v/>
      </c>
      <c r="E650" s="8" t="inlineStr">
        <is>
          <t>DW68</t>
        </is>
      </c>
      <c r="F650" s="8" t="inlineStr">
        <is>
          <t>D247</t>
        </is>
      </c>
      <c r="G650" s="8">
        <f>IFERROR(VLOOKUP(A650,Flete!$A:$E,5,0),"")</f>
        <v/>
      </c>
      <c r="H650" s="7">
        <f>IFERROR(VLOOKUP(F650,TRAOPE!$AA:$AB,2,0),"")</f>
        <v/>
      </c>
      <c r="I650" s="7" t="n">
        <v>10000191</v>
      </c>
      <c r="J650" s="7">
        <f>IFERROR(VLOOKUP(I650,Materiales!$A:$H,8,0),"")</f>
        <v/>
      </c>
      <c r="K650" s="9">
        <f>IFERROR(VLOOKUP(I650,Materiales!$A:$G,7,0),"")</f>
        <v/>
      </c>
      <c r="L650" s="8" t="inlineStr">
        <is>
          <t>20240624</t>
        </is>
      </c>
      <c r="M650" s="8" t="inlineStr">
        <is>
          <t>20251031</t>
        </is>
      </c>
      <c r="N650" s="10" t="n">
        <v>158</v>
      </c>
      <c r="O650" s="10">
        <f>IFERROR(VLOOKUP(A650,Flete!$A:$J,10,0),"")</f>
        <v/>
      </c>
      <c r="P650" s="8" t="inlineStr">
        <is>
          <t>TN</t>
        </is>
      </c>
      <c r="Q650" s="10">
        <f>IFERROR(IFERROR(VLOOKUP(A650,TRAOPE!$A:$U,21,0),VLOOKUP(B650,TRAOPE!$A:$U,21,0)),"")</f>
        <v/>
      </c>
      <c r="R650" s="8">
        <f>IFERROR(IFERROR(VLOOKUP(A650,TRAOPE!$A:$W,23,0),VLOOKUP(B650,TRAOPE!$A:$W,23,0)),"")</f>
        <v/>
      </c>
      <c r="S650" s="10">
        <f>IF(AND(P650="TN",R650="TN"),N650+N(O650),IF(G650&amp;""="1",N(K650)*N650,(N650+N(O650))*N(K650)))</f>
        <v/>
      </c>
      <c r="T650" s="10">
        <f>IF(Q650="","",Q650-S650)</f>
        <v/>
      </c>
    </row>
    <row r="651">
      <c r="A651" s="7">
        <f>CONCATENATE(C651,E651,F651,I651)</f>
        <v/>
      </c>
      <c r="B651" s="7">
        <f>CONCATENATE(C651,E651,I651)</f>
        <v/>
      </c>
      <c r="C651" s="8" t="n">
        <v>900008842</v>
      </c>
      <c r="D651" s="7">
        <f>IFERROR(VLOOKUP(C651,TRAOPE!$G:$H,2,0),"")</f>
        <v/>
      </c>
      <c r="E651" s="8" t="inlineStr">
        <is>
          <t>DW68</t>
        </is>
      </c>
      <c r="F651" s="8" t="inlineStr">
        <is>
          <t>D247</t>
        </is>
      </c>
      <c r="G651" s="8">
        <f>IFERROR(VLOOKUP(A651,Flete!$A:$E,5,0),"")</f>
        <v/>
      </c>
      <c r="H651" s="7">
        <f>IFERROR(VLOOKUP(F651,TRAOPE!$AA:$AB,2,0),"")</f>
        <v/>
      </c>
      <c r="I651" s="7" t="n">
        <v>10000384</v>
      </c>
      <c r="J651" s="7">
        <f>IFERROR(VLOOKUP(I651,Materiales!$A:$H,8,0),"")</f>
        <v/>
      </c>
      <c r="K651" s="9">
        <f>IFERROR(VLOOKUP(I651,Materiales!$A:$G,7,0),"")</f>
        <v/>
      </c>
      <c r="L651" s="8" t="inlineStr">
        <is>
          <t>20240624</t>
        </is>
      </c>
      <c r="M651" s="8" t="inlineStr">
        <is>
          <t>20251031</t>
        </is>
      </c>
      <c r="N651" s="10" t="n">
        <v>180</v>
      </c>
      <c r="O651" s="10">
        <f>IFERROR(VLOOKUP(A651,Flete!$A:$J,10,0),"")</f>
        <v/>
      </c>
      <c r="P651" s="8" t="inlineStr">
        <is>
          <t>TN</t>
        </is>
      </c>
      <c r="Q651" s="10">
        <f>IFERROR(IFERROR(VLOOKUP(A651,TRAOPE!$A:$U,21,0),VLOOKUP(B651,TRAOPE!$A:$U,21,0)),"")</f>
        <v/>
      </c>
      <c r="R651" s="8">
        <f>IFERROR(IFERROR(VLOOKUP(A651,TRAOPE!$A:$W,23,0),VLOOKUP(B651,TRAOPE!$A:$W,23,0)),"")</f>
        <v/>
      </c>
      <c r="S651" s="10">
        <f>IF(AND(P651="TN",R651="TN"),N651+N(O651),IF(G651&amp;""="1",N(K651)*N651,(N651+N(O651))*N(K651)))</f>
        <v/>
      </c>
      <c r="T651" s="10">
        <f>IF(Q651="","",Q651-S651)</f>
        <v/>
      </c>
    </row>
    <row r="652">
      <c r="A652" s="7">
        <f>CONCATENATE(C652,E652,F652,I652)</f>
        <v/>
      </c>
      <c r="B652" s="7">
        <f>CONCATENATE(C652,E652,I652)</f>
        <v/>
      </c>
      <c r="C652" s="8" t="n">
        <v>900008842</v>
      </c>
      <c r="D652" s="7">
        <f>IFERROR(VLOOKUP(C652,TRAOPE!$G:$H,2,0),"")</f>
        <v/>
      </c>
      <c r="E652" s="8" t="inlineStr">
        <is>
          <t>DW68</t>
        </is>
      </c>
      <c r="F652" s="8" t="inlineStr">
        <is>
          <t>D247</t>
        </is>
      </c>
      <c r="G652" s="8">
        <f>IFERROR(VLOOKUP(A652,Flete!$A:$E,5,0),"")</f>
        <v/>
      </c>
      <c r="H652" s="7">
        <f>IFERROR(VLOOKUP(F652,TRAOPE!$AA:$AB,2,0),"")</f>
        <v/>
      </c>
      <c r="I652" s="7" t="n">
        <v>10000388</v>
      </c>
      <c r="J652" s="7">
        <f>IFERROR(VLOOKUP(I652,Materiales!$A:$H,8,0),"")</f>
        <v/>
      </c>
      <c r="K652" s="9">
        <f>IFERROR(VLOOKUP(I652,Materiales!$A:$G,7,0),"")</f>
        <v/>
      </c>
      <c r="L652" s="8" t="inlineStr">
        <is>
          <t>20240624</t>
        </is>
      </c>
      <c r="M652" s="8" t="inlineStr">
        <is>
          <t>20251031</t>
        </is>
      </c>
      <c r="N652" s="10" t="n">
        <v>158</v>
      </c>
      <c r="O652" s="10">
        <f>IFERROR(VLOOKUP(A652,Flete!$A:$J,10,0),"")</f>
        <v/>
      </c>
      <c r="P652" s="8" t="inlineStr">
        <is>
          <t>TN</t>
        </is>
      </c>
      <c r="Q652" s="10">
        <f>IFERROR(IFERROR(VLOOKUP(A652,TRAOPE!$A:$U,21,0),VLOOKUP(B652,TRAOPE!$A:$U,21,0)),"")</f>
        <v/>
      </c>
      <c r="R652" s="8">
        <f>IFERROR(IFERROR(VLOOKUP(A652,TRAOPE!$A:$W,23,0),VLOOKUP(B652,TRAOPE!$A:$W,23,0)),"")</f>
        <v/>
      </c>
      <c r="S652" s="10">
        <f>IF(AND(P652="TN",R652="TN"),N652+N(O652),IF(G652&amp;""="1",N(K652)*N652,(N652+N(O652))*N(K652)))</f>
        <v/>
      </c>
      <c r="T652" s="10">
        <f>IF(Q652="","",Q652-S652)</f>
        <v/>
      </c>
    </row>
    <row r="653">
      <c r="A653" s="7">
        <f>CONCATENATE(C653,E653,F653,I653)</f>
        <v/>
      </c>
      <c r="B653" s="7">
        <f>CONCATENATE(C653,E653,I653)</f>
        <v/>
      </c>
      <c r="C653" s="8" t="n">
        <v>900008842</v>
      </c>
      <c r="D653" s="7">
        <f>IFERROR(VLOOKUP(C653,TRAOPE!$G:$H,2,0),"")</f>
        <v/>
      </c>
      <c r="E653" s="8" t="inlineStr">
        <is>
          <t>DW68</t>
        </is>
      </c>
      <c r="F653" s="8" t="inlineStr">
        <is>
          <t>D247</t>
        </is>
      </c>
      <c r="G653" s="8">
        <f>IFERROR(VLOOKUP(A653,Flete!$A:$E,5,0),"")</f>
        <v/>
      </c>
      <c r="H653" s="7">
        <f>IFERROR(VLOOKUP(F653,TRAOPE!$AA:$AB,2,0),"")</f>
        <v/>
      </c>
      <c r="I653" s="7" t="n">
        <v>10004258</v>
      </c>
      <c r="J653" s="7">
        <f>IFERROR(VLOOKUP(I653,Materiales!$A:$H,8,0),"")</f>
        <v/>
      </c>
      <c r="K653" s="9">
        <f>IFERROR(VLOOKUP(I653,Materiales!$A:$G,7,0),"")</f>
        <v/>
      </c>
      <c r="L653" s="8" t="inlineStr">
        <is>
          <t>20240624</t>
        </is>
      </c>
      <c r="M653" s="8" t="inlineStr">
        <is>
          <t>20251031</t>
        </is>
      </c>
      <c r="N653" s="10" t="n">
        <v>257</v>
      </c>
      <c r="O653" s="10">
        <f>IFERROR(VLOOKUP(A653,Flete!$A:$J,10,0),"")</f>
        <v/>
      </c>
      <c r="P653" s="8" t="inlineStr">
        <is>
          <t>TN</t>
        </is>
      </c>
      <c r="Q653" s="10">
        <f>IFERROR(IFERROR(VLOOKUP(A653,TRAOPE!$A:$U,21,0),VLOOKUP(B653,TRAOPE!$A:$U,21,0)),"")</f>
        <v/>
      </c>
      <c r="R653" s="8">
        <f>IFERROR(IFERROR(VLOOKUP(A653,TRAOPE!$A:$W,23,0),VLOOKUP(B653,TRAOPE!$A:$W,23,0)),"")</f>
        <v/>
      </c>
      <c r="S653" s="10">
        <f>IF(AND(P653="TN",R653="TN"),N653+N(O653),IF(G653&amp;""="1",N(K653)*N653,(N653+N(O653))*N(K653)))</f>
        <v/>
      </c>
      <c r="T653" s="10">
        <f>IF(Q653="","",Q653-S653)</f>
        <v/>
      </c>
    </row>
    <row r="654">
      <c r="A654" s="7">
        <f>CONCATENATE(C654,E654,F654,I654)</f>
        <v/>
      </c>
      <c r="B654" s="7">
        <f>CONCATENATE(C654,E654,I654)</f>
        <v/>
      </c>
      <c r="C654" s="8" t="n">
        <v>900008842</v>
      </c>
      <c r="D654" s="7">
        <f>IFERROR(VLOOKUP(C654,TRAOPE!$G:$H,2,0),"")</f>
        <v/>
      </c>
      <c r="E654" s="8" t="inlineStr">
        <is>
          <t>DW68</t>
        </is>
      </c>
      <c r="F654" s="8" t="inlineStr">
        <is>
          <t>D251</t>
        </is>
      </c>
      <c r="G654" s="8">
        <f>IFERROR(VLOOKUP(A654,Flete!$A:$E,5,0),"")</f>
        <v/>
      </c>
      <c r="H654" s="7">
        <f>IFERROR(VLOOKUP(F654,TRAOPE!$AA:$AB,2,0),"")</f>
        <v/>
      </c>
      <c r="I654" s="7" t="n">
        <v>10000191</v>
      </c>
      <c r="J654" s="7">
        <f>IFERROR(VLOOKUP(I654,Materiales!$A:$H,8,0),"")</f>
        <v/>
      </c>
      <c r="K654" s="9">
        <f>IFERROR(VLOOKUP(I654,Materiales!$A:$G,7,0),"")</f>
        <v/>
      </c>
      <c r="L654" s="8" t="inlineStr">
        <is>
          <t>20240624</t>
        </is>
      </c>
      <c r="M654" s="8" t="inlineStr">
        <is>
          <t>20251031</t>
        </is>
      </c>
      <c r="N654" s="10" t="n">
        <v>158</v>
      </c>
      <c r="O654" s="10">
        <f>IFERROR(VLOOKUP(A654,Flete!$A:$J,10,0),"")</f>
        <v/>
      </c>
      <c r="P654" s="8" t="inlineStr">
        <is>
          <t>TN</t>
        </is>
      </c>
      <c r="Q654" s="10">
        <f>IFERROR(IFERROR(VLOOKUP(A654,TRAOPE!$A:$U,21,0),VLOOKUP(B654,TRAOPE!$A:$U,21,0)),"")</f>
        <v/>
      </c>
      <c r="R654" s="8">
        <f>IFERROR(IFERROR(VLOOKUP(A654,TRAOPE!$A:$W,23,0),VLOOKUP(B654,TRAOPE!$A:$W,23,0)),"")</f>
        <v/>
      </c>
      <c r="S654" s="10">
        <f>IF(AND(P654="TN",R654="TN"),N654+N(O654),IF(G654&amp;""="1",N(K654)*N654,(N654+N(O654))*N(K654)))</f>
        <v/>
      </c>
      <c r="T654" s="10">
        <f>IF(Q654="","",Q654-S654)</f>
        <v/>
      </c>
    </row>
    <row r="655">
      <c r="A655" s="7">
        <f>CONCATENATE(C655,E655,F655,I655)</f>
        <v/>
      </c>
      <c r="B655" s="7">
        <f>CONCATENATE(C655,E655,I655)</f>
        <v/>
      </c>
      <c r="C655" s="8" t="n">
        <v>900008842</v>
      </c>
      <c r="D655" s="7">
        <f>IFERROR(VLOOKUP(C655,TRAOPE!$G:$H,2,0),"")</f>
        <v/>
      </c>
      <c r="E655" s="8" t="inlineStr">
        <is>
          <t>DW68</t>
        </is>
      </c>
      <c r="F655" s="8" t="inlineStr">
        <is>
          <t>D251</t>
        </is>
      </c>
      <c r="G655" s="8">
        <f>IFERROR(VLOOKUP(A655,Flete!$A:$E,5,0),"")</f>
        <v/>
      </c>
      <c r="H655" s="7">
        <f>IFERROR(VLOOKUP(F655,TRAOPE!$AA:$AB,2,0),"")</f>
        <v/>
      </c>
      <c r="I655" s="7" t="n">
        <v>10000384</v>
      </c>
      <c r="J655" s="7">
        <f>IFERROR(VLOOKUP(I655,Materiales!$A:$H,8,0),"")</f>
        <v/>
      </c>
      <c r="K655" s="9">
        <f>IFERROR(VLOOKUP(I655,Materiales!$A:$G,7,0),"")</f>
        <v/>
      </c>
      <c r="L655" s="8" t="inlineStr">
        <is>
          <t>20240624</t>
        </is>
      </c>
      <c r="M655" s="8" t="inlineStr">
        <is>
          <t>20251031</t>
        </is>
      </c>
      <c r="N655" s="10" t="n">
        <v>180</v>
      </c>
      <c r="O655" s="10">
        <f>IFERROR(VLOOKUP(A655,Flete!$A:$J,10,0),"")</f>
        <v/>
      </c>
      <c r="P655" s="8" t="inlineStr">
        <is>
          <t>TN</t>
        </is>
      </c>
      <c r="Q655" s="10">
        <f>IFERROR(IFERROR(VLOOKUP(A655,TRAOPE!$A:$U,21,0),VLOOKUP(B655,TRAOPE!$A:$U,21,0)),"")</f>
        <v/>
      </c>
      <c r="R655" s="8">
        <f>IFERROR(IFERROR(VLOOKUP(A655,TRAOPE!$A:$W,23,0),VLOOKUP(B655,TRAOPE!$A:$W,23,0)),"")</f>
        <v/>
      </c>
      <c r="S655" s="10">
        <f>IF(AND(P655="TN",R655="TN"),N655+N(O655),IF(G655&amp;""="1",N(K655)*N655,(N655+N(O655))*N(K655)))</f>
        <v/>
      </c>
      <c r="T655" s="10">
        <f>IF(Q655="","",Q655-S655)</f>
        <v/>
      </c>
    </row>
    <row r="656">
      <c r="A656" s="7">
        <f>CONCATENATE(C656,E656,F656,I656)</f>
        <v/>
      </c>
      <c r="B656" s="7">
        <f>CONCATENATE(C656,E656,I656)</f>
        <v/>
      </c>
      <c r="C656" s="8" t="n">
        <v>900008842</v>
      </c>
      <c r="D656" s="7">
        <f>IFERROR(VLOOKUP(C656,TRAOPE!$G:$H,2,0),"")</f>
        <v/>
      </c>
      <c r="E656" s="8" t="inlineStr">
        <is>
          <t>DW68</t>
        </is>
      </c>
      <c r="F656" s="8" t="inlineStr">
        <is>
          <t>D251</t>
        </is>
      </c>
      <c r="G656" s="8">
        <f>IFERROR(VLOOKUP(A656,Flete!$A:$E,5,0),"")</f>
        <v/>
      </c>
      <c r="H656" s="7">
        <f>IFERROR(VLOOKUP(F656,TRAOPE!$AA:$AB,2,0),"")</f>
        <v/>
      </c>
      <c r="I656" s="7" t="n">
        <v>10000388</v>
      </c>
      <c r="J656" s="7">
        <f>IFERROR(VLOOKUP(I656,Materiales!$A:$H,8,0),"")</f>
        <v/>
      </c>
      <c r="K656" s="9">
        <f>IFERROR(VLOOKUP(I656,Materiales!$A:$G,7,0),"")</f>
        <v/>
      </c>
      <c r="L656" s="8" t="inlineStr">
        <is>
          <t>20240624</t>
        </is>
      </c>
      <c r="M656" s="8" t="inlineStr">
        <is>
          <t>20251031</t>
        </is>
      </c>
      <c r="N656" s="10" t="n">
        <v>158</v>
      </c>
      <c r="O656" s="10">
        <f>IFERROR(VLOOKUP(A656,Flete!$A:$J,10,0),"")</f>
        <v/>
      </c>
      <c r="P656" s="8" t="inlineStr">
        <is>
          <t>TN</t>
        </is>
      </c>
      <c r="Q656" s="10">
        <f>IFERROR(IFERROR(VLOOKUP(A656,TRAOPE!$A:$U,21,0),VLOOKUP(B656,TRAOPE!$A:$U,21,0)),"")</f>
        <v/>
      </c>
      <c r="R656" s="8">
        <f>IFERROR(IFERROR(VLOOKUP(A656,TRAOPE!$A:$W,23,0),VLOOKUP(B656,TRAOPE!$A:$W,23,0)),"")</f>
        <v/>
      </c>
      <c r="S656" s="10">
        <f>IF(AND(P656="TN",R656="TN"),N656+N(O656),IF(G656&amp;""="1",N(K656)*N656,(N656+N(O656))*N(K656)))</f>
        <v/>
      </c>
      <c r="T656" s="10">
        <f>IF(Q656="","",Q656-S656)</f>
        <v/>
      </c>
    </row>
    <row r="657">
      <c r="A657" s="7">
        <f>CONCATENATE(C657,E657,F657,I657)</f>
        <v/>
      </c>
      <c r="B657" s="7">
        <f>CONCATENATE(C657,E657,I657)</f>
        <v/>
      </c>
      <c r="C657" s="8" t="n">
        <v>900008842</v>
      </c>
      <c r="D657" s="7">
        <f>IFERROR(VLOOKUP(C657,TRAOPE!$G:$H,2,0),"")</f>
        <v/>
      </c>
      <c r="E657" s="8" t="inlineStr">
        <is>
          <t>DW68</t>
        </is>
      </c>
      <c r="F657" s="8" t="inlineStr">
        <is>
          <t>D251</t>
        </is>
      </c>
      <c r="G657" s="8">
        <f>IFERROR(VLOOKUP(A657,Flete!$A:$E,5,0),"")</f>
        <v/>
      </c>
      <c r="H657" s="7">
        <f>IFERROR(VLOOKUP(F657,TRAOPE!$AA:$AB,2,0),"")</f>
        <v/>
      </c>
      <c r="I657" s="7" t="n">
        <v>10004258</v>
      </c>
      <c r="J657" s="7">
        <f>IFERROR(VLOOKUP(I657,Materiales!$A:$H,8,0),"")</f>
        <v/>
      </c>
      <c r="K657" s="9">
        <f>IFERROR(VLOOKUP(I657,Materiales!$A:$G,7,0),"")</f>
        <v/>
      </c>
      <c r="L657" s="8" t="inlineStr">
        <is>
          <t>20240624</t>
        </is>
      </c>
      <c r="M657" s="8" t="inlineStr">
        <is>
          <t>20251031</t>
        </is>
      </c>
      <c r="N657" s="10" t="n">
        <v>257</v>
      </c>
      <c r="O657" s="10">
        <f>IFERROR(VLOOKUP(A657,Flete!$A:$J,10,0),"")</f>
        <v/>
      </c>
      <c r="P657" s="8" t="inlineStr">
        <is>
          <t>TN</t>
        </is>
      </c>
      <c r="Q657" s="10">
        <f>IFERROR(IFERROR(VLOOKUP(A657,TRAOPE!$A:$U,21,0),VLOOKUP(B657,TRAOPE!$A:$U,21,0)),"")</f>
        <v/>
      </c>
      <c r="R657" s="8">
        <f>IFERROR(IFERROR(VLOOKUP(A657,TRAOPE!$A:$W,23,0),VLOOKUP(B657,TRAOPE!$A:$W,23,0)),"")</f>
        <v/>
      </c>
      <c r="S657" s="10">
        <f>IF(AND(P657="TN",R657="TN"),N657+N(O657),IF(G657&amp;""="1",N(K657)*N657,(N657+N(O657))*N(K657)))</f>
        <v/>
      </c>
      <c r="T657" s="10">
        <f>IF(Q657="","",Q657-S657)</f>
        <v/>
      </c>
    </row>
    <row r="658">
      <c r="A658" s="7">
        <f>CONCATENATE(C658,E658,F658,I658)</f>
        <v/>
      </c>
      <c r="B658" s="7">
        <f>CONCATENATE(C658,E658,I658)</f>
        <v/>
      </c>
      <c r="C658" s="8" t="n">
        <v>900008842</v>
      </c>
      <c r="D658" s="7">
        <f>IFERROR(VLOOKUP(C658,TRAOPE!$G:$H,2,0),"")</f>
        <v/>
      </c>
      <c r="E658" s="8" t="inlineStr">
        <is>
          <t>DW68</t>
        </is>
      </c>
      <c r="F658" s="8" t="inlineStr">
        <is>
          <t>D264</t>
        </is>
      </c>
      <c r="G658" s="8">
        <f>IFERROR(VLOOKUP(A658,Flete!$A:$E,5,0),"")</f>
        <v/>
      </c>
      <c r="H658" s="7">
        <f>IFERROR(VLOOKUP(F658,TRAOPE!$AA:$AB,2,0),"")</f>
        <v/>
      </c>
      <c r="I658" s="7" t="n">
        <v>10000191</v>
      </c>
      <c r="J658" s="7">
        <f>IFERROR(VLOOKUP(I658,Materiales!$A:$H,8,0),"")</f>
        <v/>
      </c>
      <c r="K658" s="9">
        <f>IFERROR(VLOOKUP(I658,Materiales!$A:$G,7,0),"")</f>
        <v/>
      </c>
      <c r="L658" s="8" t="inlineStr">
        <is>
          <t>20240624</t>
        </is>
      </c>
      <c r="M658" s="8" t="inlineStr">
        <is>
          <t>20251031</t>
        </is>
      </c>
      <c r="N658" s="10" t="n">
        <v>158</v>
      </c>
      <c r="O658" s="10">
        <f>IFERROR(VLOOKUP(A658,Flete!$A:$J,10,0),"")</f>
        <v/>
      </c>
      <c r="P658" s="8" t="inlineStr">
        <is>
          <t>TN</t>
        </is>
      </c>
      <c r="Q658" s="10">
        <f>IFERROR(IFERROR(VLOOKUP(A658,TRAOPE!$A:$U,21,0),VLOOKUP(B658,TRAOPE!$A:$U,21,0)),"")</f>
        <v/>
      </c>
      <c r="R658" s="8">
        <f>IFERROR(IFERROR(VLOOKUP(A658,TRAOPE!$A:$W,23,0),VLOOKUP(B658,TRAOPE!$A:$W,23,0)),"")</f>
        <v/>
      </c>
      <c r="S658" s="10">
        <f>IF(AND(P658="TN",R658="TN"),N658+N(O658),IF(G658&amp;""="1",N(K658)*N658,(N658+N(O658))*N(K658)))</f>
        <v/>
      </c>
      <c r="T658" s="10">
        <f>IF(Q658="","",Q658-S658)</f>
        <v/>
      </c>
    </row>
    <row r="659">
      <c r="A659" s="7">
        <f>CONCATENATE(C659,E659,F659,I659)</f>
        <v/>
      </c>
      <c r="B659" s="7">
        <f>CONCATENATE(C659,E659,I659)</f>
        <v/>
      </c>
      <c r="C659" s="8" t="n">
        <v>900008842</v>
      </c>
      <c r="D659" s="7">
        <f>IFERROR(VLOOKUP(C659,TRAOPE!$G:$H,2,0),"")</f>
        <v/>
      </c>
      <c r="E659" s="8" t="inlineStr">
        <is>
          <t>DW68</t>
        </is>
      </c>
      <c r="F659" s="8" t="inlineStr">
        <is>
          <t>D264</t>
        </is>
      </c>
      <c r="G659" s="8">
        <f>IFERROR(VLOOKUP(A659,Flete!$A:$E,5,0),"")</f>
        <v/>
      </c>
      <c r="H659" s="7">
        <f>IFERROR(VLOOKUP(F659,TRAOPE!$AA:$AB,2,0),"")</f>
        <v/>
      </c>
      <c r="I659" s="7" t="n">
        <v>10000384</v>
      </c>
      <c r="J659" s="7">
        <f>IFERROR(VLOOKUP(I659,Materiales!$A:$H,8,0),"")</f>
        <v/>
      </c>
      <c r="K659" s="9">
        <f>IFERROR(VLOOKUP(I659,Materiales!$A:$G,7,0),"")</f>
        <v/>
      </c>
      <c r="L659" s="8" t="inlineStr">
        <is>
          <t>20240624</t>
        </is>
      </c>
      <c r="M659" s="8" t="inlineStr">
        <is>
          <t>20251031</t>
        </is>
      </c>
      <c r="N659" s="10" t="n">
        <v>180</v>
      </c>
      <c r="O659" s="10">
        <f>IFERROR(VLOOKUP(A659,Flete!$A:$J,10,0),"")</f>
        <v/>
      </c>
      <c r="P659" s="8" t="inlineStr">
        <is>
          <t>TN</t>
        </is>
      </c>
      <c r="Q659" s="10">
        <f>IFERROR(IFERROR(VLOOKUP(A659,TRAOPE!$A:$U,21,0),VLOOKUP(B659,TRAOPE!$A:$U,21,0)),"")</f>
        <v/>
      </c>
      <c r="R659" s="8">
        <f>IFERROR(IFERROR(VLOOKUP(A659,TRAOPE!$A:$W,23,0),VLOOKUP(B659,TRAOPE!$A:$W,23,0)),"")</f>
        <v/>
      </c>
      <c r="S659" s="10">
        <f>IF(AND(P659="TN",R659="TN"),N659+N(O659),IF(G659&amp;""="1",N(K659)*N659,(N659+N(O659))*N(K659)))</f>
        <v/>
      </c>
      <c r="T659" s="10">
        <f>IF(Q659="","",Q659-S659)</f>
        <v/>
      </c>
    </row>
    <row r="660">
      <c r="A660" s="7">
        <f>CONCATENATE(C660,E660,F660,I660)</f>
        <v/>
      </c>
      <c r="B660" s="7">
        <f>CONCATENATE(C660,E660,I660)</f>
        <v/>
      </c>
      <c r="C660" s="8" t="n">
        <v>900008842</v>
      </c>
      <c r="D660" s="7">
        <f>IFERROR(VLOOKUP(C660,TRAOPE!$G:$H,2,0),"")</f>
        <v/>
      </c>
      <c r="E660" s="8" t="inlineStr">
        <is>
          <t>DW68</t>
        </is>
      </c>
      <c r="F660" s="8" t="inlineStr">
        <is>
          <t>D264</t>
        </is>
      </c>
      <c r="G660" s="8">
        <f>IFERROR(VLOOKUP(A660,Flete!$A:$E,5,0),"")</f>
        <v/>
      </c>
      <c r="H660" s="7">
        <f>IFERROR(VLOOKUP(F660,TRAOPE!$AA:$AB,2,0),"")</f>
        <v/>
      </c>
      <c r="I660" s="7" t="n">
        <v>10000388</v>
      </c>
      <c r="J660" s="7">
        <f>IFERROR(VLOOKUP(I660,Materiales!$A:$H,8,0),"")</f>
        <v/>
      </c>
      <c r="K660" s="9">
        <f>IFERROR(VLOOKUP(I660,Materiales!$A:$G,7,0),"")</f>
        <v/>
      </c>
      <c r="L660" s="8" t="inlineStr">
        <is>
          <t>20240624</t>
        </is>
      </c>
      <c r="M660" s="8" t="inlineStr">
        <is>
          <t>20251031</t>
        </is>
      </c>
      <c r="N660" s="10" t="n">
        <v>158</v>
      </c>
      <c r="O660" s="10">
        <f>IFERROR(VLOOKUP(A660,Flete!$A:$J,10,0),"")</f>
        <v/>
      </c>
      <c r="P660" s="8" t="inlineStr">
        <is>
          <t>TN</t>
        </is>
      </c>
      <c r="Q660" s="10">
        <f>IFERROR(IFERROR(VLOOKUP(A660,TRAOPE!$A:$U,21,0),VLOOKUP(B660,TRAOPE!$A:$U,21,0)),"")</f>
        <v/>
      </c>
      <c r="R660" s="8">
        <f>IFERROR(IFERROR(VLOOKUP(A660,TRAOPE!$A:$W,23,0),VLOOKUP(B660,TRAOPE!$A:$W,23,0)),"")</f>
        <v/>
      </c>
      <c r="S660" s="10">
        <f>IF(AND(P660="TN",R660="TN"),N660+N(O660),IF(G660&amp;""="1",N(K660)*N660,(N660+N(O660))*N(K660)))</f>
        <v/>
      </c>
      <c r="T660" s="10">
        <f>IF(Q660="","",Q660-S660)</f>
        <v/>
      </c>
    </row>
    <row r="661">
      <c r="A661" s="7">
        <f>CONCATENATE(C661,E661,F661,I661)</f>
        <v/>
      </c>
      <c r="B661" s="7">
        <f>CONCATENATE(C661,E661,I661)</f>
        <v/>
      </c>
      <c r="C661" s="8" t="n">
        <v>900008842</v>
      </c>
      <c r="D661" s="7">
        <f>IFERROR(VLOOKUP(C661,TRAOPE!$G:$H,2,0),"")</f>
        <v/>
      </c>
      <c r="E661" s="8" t="inlineStr">
        <is>
          <t>DW68</t>
        </is>
      </c>
      <c r="F661" s="8" t="inlineStr">
        <is>
          <t>D264</t>
        </is>
      </c>
      <c r="G661" s="8">
        <f>IFERROR(VLOOKUP(A661,Flete!$A:$E,5,0),"")</f>
        <v/>
      </c>
      <c r="H661" s="7">
        <f>IFERROR(VLOOKUP(F661,TRAOPE!$AA:$AB,2,0),"")</f>
        <v/>
      </c>
      <c r="I661" s="7" t="n">
        <v>10004258</v>
      </c>
      <c r="J661" s="7">
        <f>IFERROR(VLOOKUP(I661,Materiales!$A:$H,8,0),"")</f>
        <v/>
      </c>
      <c r="K661" s="9">
        <f>IFERROR(VLOOKUP(I661,Materiales!$A:$G,7,0),"")</f>
        <v/>
      </c>
      <c r="L661" s="8" t="inlineStr">
        <is>
          <t>20240624</t>
        </is>
      </c>
      <c r="M661" s="8" t="inlineStr">
        <is>
          <t>20251031</t>
        </is>
      </c>
      <c r="N661" s="10" t="n">
        <v>257</v>
      </c>
      <c r="O661" s="10">
        <f>IFERROR(VLOOKUP(A661,Flete!$A:$J,10,0),"")</f>
        <v/>
      </c>
      <c r="P661" s="8" t="inlineStr">
        <is>
          <t>TN</t>
        </is>
      </c>
      <c r="Q661" s="10">
        <f>IFERROR(IFERROR(VLOOKUP(A661,TRAOPE!$A:$U,21,0),VLOOKUP(B661,TRAOPE!$A:$U,21,0)),"")</f>
        <v/>
      </c>
      <c r="R661" s="8">
        <f>IFERROR(IFERROR(VLOOKUP(A661,TRAOPE!$A:$W,23,0),VLOOKUP(B661,TRAOPE!$A:$W,23,0)),"")</f>
        <v/>
      </c>
      <c r="S661" s="10">
        <f>IF(AND(P661="TN",R661="TN"),N661+N(O661),IF(G661&amp;""="1",N(K661)*N661,(N661+N(O661))*N(K661)))</f>
        <v/>
      </c>
      <c r="T661" s="10">
        <f>IF(Q661="","",Q661-S661)</f>
        <v/>
      </c>
    </row>
    <row r="662">
      <c r="A662" s="7">
        <f>CONCATENATE(C662,E662,F662,I662)</f>
        <v/>
      </c>
      <c r="B662" s="7">
        <f>CONCATENATE(C662,E662,I662)</f>
        <v/>
      </c>
      <c r="C662" s="8" t="n">
        <v>900008842</v>
      </c>
      <c r="D662" s="7">
        <f>IFERROR(VLOOKUP(C662,TRAOPE!$G:$H,2,0),"")</f>
        <v/>
      </c>
      <c r="E662" s="8" t="inlineStr">
        <is>
          <t>DW68</t>
        </is>
      </c>
      <c r="F662" s="8" t="inlineStr">
        <is>
          <t>D267</t>
        </is>
      </c>
      <c r="G662" s="8">
        <f>IFERROR(VLOOKUP(A662,Flete!$A:$E,5,0),"")</f>
        <v/>
      </c>
      <c r="H662" s="7">
        <f>IFERROR(VLOOKUP(F662,TRAOPE!$AA:$AB,2,0),"")</f>
        <v/>
      </c>
      <c r="I662" s="7" t="n">
        <v>10000191</v>
      </c>
      <c r="J662" s="7">
        <f>IFERROR(VLOOKUP(I662,Materiales!$A:$H,8,0),"")</f>
        <v/>
      </c>
      <c r="K662" s="9">
        <f>IFERROR(VLOOKUP(I662,Materiales!$A:$G,7,0),"")</f>
        <v/>
      </c>
      <c r="L662" s="8" t="inlineStr">
        <is>
          <t>20240624</t>
        </is>
      </c>
      <c r="M662" s="8" t="inlineStr">
        <is>
          <t>20251031</t>
        </is>
      </c>
      <c r="N662" s="10" t="n">
        <v>158</v>
      </c>
      <c r="O662" s="10">
        <f>IFERROR(VLOOKUP(A662,Flete!$A:$J,10,0),"")</f>
        <v/>
      </c>
      <c r="P662" s="8" t="inlineStr">
        <is>
          <t>TN</t>
        </is>
      </c>
      <c r="Q662" s="10">
        <f>IFERROR(IFERROR(VLOOKUP(A662,TRAOPE!$A:$U,21,0),VLOOKUP(B662,TRAOPE!$A:$U,21,0)),"")</f>
        <v/>
      </c>
      <c r="R662" s="8">
        <f>IFERROR(IFERROR(VLOOKUP(A662,TRAOPE!$A:$W,23,0),VLOOKUP(B662,TRAOPE!$A:$W,23,0)),"")</f>
        <v/>
      </c>
      <c r="S662" s="10">
        <f>IF(AND(P662="TN",R662="TN"),N662+N(O662),IF(G662&amp;""="1",N(K662)*N662,(N662+N(O662))*N(K662)))</f>
        <v/>
      </c>
      <c r="T662" s="10">
        <f>IF(Q662="","",Q662-S662)</f>
        <v/>
      </c>
    </row>
    <row r="663">
      <c r="A663" s="7">
        <f>CONCATENATE(C663,E663,F663,I663)</f>
        <v/>
      </c>
      <c r="B663" s="7">
        <f>CONCATENATE(C663,E663,I663)</f>
        <v/>
      </c>
      <c r="C663" s="8" t="n">
        <v>900008842</v>
      </c>
      <c r="D663" s="7">
        <f>IFERROR(VLOOKUP(C663,TRAOPE!$G:$H,2,0),"")</f>
        <v/>
      </c>
      <c r="E663" s="8" t="inlineStr">
        <is>
          <t>DW68</t>
        </is>
      </c>
      <c r="F663" s="8" t="inlineStr">
        <is>
          <t>D267</t>
        </is>
      </c>
      <c r="G663" s="8">
        <f>IFERROR(VLOOKUP(A663,Flete!$A:$E,5,0),"")</f>
        <v/>
      </c>
      <c r="H663" s="7">
        <f>IFERROR(VLOOKUP(F663,TRAOPE!$AA:$AB,2,0),"")</f>
        <v/>
      </c>
      <c r="I663" s="7" t="n">
        <v>10000384</v>
      </c>
      <c r="J663" s="7">
        <f>IFERROR(VLOOKUP(I663,Materiales!$A:$H,8,0),"")</f>
        <v/>
      </c>
      <c r="K663" s="9">
        <f>IFERROR(VLOOKUP(I663,Materiales!$A:$G,7,0),"")</f>
        <v/>
      </c>
      <c r="L663" s="8" t="inlineStr">
        <is>
          <t>20240624</t>
        </is>
      </c>
      <c r="M663" s="8" t="inlineStr">
        <is>
          <t>20251031</t>
        </is>
      </c>
      <c r="N663" s="10" t="n">
        <v>180</v>
      </c>
      <c r="O663" s="10">
        <f>IFERROR(VLOOKUP(A663,Flete!$A:$J,10,0),"")</f>
        <v/>
      </c>
      <c r="P663" s="8" t="inlineStr">
        <is>
          <t>TN</t>
        </is>
      </c>
      <c r="Q663" s="10">
        <f>IFERROR(IFERROR(VLOOKUP(A663,TRAOPE!$A:$U,21,0),VLOOKUP(B663,TRAOPE!$A:$U,21,0)),"")</f>
        <v/>
      </c>
      <c r="R663" s="8">
        <f>IFERROR(IFERROR(VLOOKUP(A663,TRAOPE!$A:$W,23,0),VLOOKUP(B663,TRAOPE!$A:$W,23,0)),"")</f>
        <v/>
      </c>
      <c r="S663" s="10">
        <f>IF(AND(P663="TN",R663="TN"),N663+N(O663),IF(G663&amp;""="1",N(K663)*N663,(N663+N(O663))*N(K663)))</f>
        <v/>
      </c>
      <c r="T663" s="10">
        <f>IF(Q663="","",Q663-S663)</f>
        <v/>
      </c>
    </row>
    <row r="664">
      <c r="A664" s="7">
        <f>CONCATENATE(C664,E664,F664,I664)</f>
        <v/>
      </c>
      <c r="B664" s="7">
        <f>CONCATENATE(C664,E664,I664)</f>
        <v/>
      </c>
      <c r="C664" s="8" t="n">
        <v>900008842</v>
      </c>
      <c r="D664" s="7">
        <f>IFERROR(VLOOKUP(C664,TRAOPE!$G:$H,2,0),"")</f>
        <v/>
      </c>
      <c r="E664" s="8" t="inlineStr">
        <is>
          <t>DW68</t>
        </is>
      </c>
      <c r="F664" s="8" t="inlineStr">
        <is>
          <t>D267</t>
        </is>
      </c>
      <c r="G664" s="8">
        <f>IFERROR(VLOOKUP(A664,Flete!$A:$E,5,0),"")</f>
        <v/>
      </c>
      <c r="H664" s="7">
        <f>IFERROR(VLOOKUP(F664,TRAOPE!$AA:$AB,2,0),"")</f>
        <v/>
      </c>
      <c r="I664" s="7" t="n">
        <v>10000388</v>
      </c>
      <c r="J664" s="7">
        <f>IFERROR(VLOOKUP(I664,Materiales!$A:$H,8,0),"")</f>
        <v/>
      </c>
      <c r="K664" s="9">
        <f>IFERROR(VLOOKUP(I664,Materiales!$A:$G,7,0),"")</f>
        <v/>
      </c>
      <c r="L664" s="8" t="inlineStr">
        <is>
          <t>20240624</t>
        </is>
      </c>
      <c r="M664" s="8" t="inlineStr">
        <is>
          <t>20251031</t>
        </is>
      </c>
      <c r="N664" s="10" t="n">
        <v>158</v>
      </c>
      <c r="O664" s="10">
        <f>IFERROR(VLOOKUP(A664,Flete!$A:$J,10,0),"")</f>
        <v/>
      </c>
      <c r="P664" s="8" t="inlineStr">
        <is>
          <t>TN</t>
        </is>
      </c>
      <c r="Q664" s="10">
        <f>IFERROR(IFERROR(VLOOKUP(A664,TRAOPE!$A:$U,21,0),VLOOKUP(B664,TRAOPE!$A:$U,21,0)),"")</f>
        <v/>
      </c>
      <c r="R664" s="8">
        <f>IFERROR(IFERROR(VLOOKUP(A664,TRAOPE!$A:$W,23,0),VLOOKUP(B664,TRAOPE!$A:$W,23,0)),"")</f>
        <v/>
      </c>
      <c r="S664" s="10">
        <f>IF(AND(P664="TN",R664="TN"),N664+N(O664),IF(G664&amp;""="1",N(K664)*N664,(N664+N(O664))*N(K664)))</f>
        <v/>
      </c>
      <c r="T664" s="10">
        <f>IF(Q664="","",Q664-S664)</f>
        <v/>
      </c>
    </row>
    <row r="665">
      <c r="A665" s="7">
        <f>CONCATENATE(C665,E665,F665,I665)</f>
        <v/>
      </c>
      <c r="B665" s="7">
        <f>CONCATENATE(C665,E665,I665)</f>
        <v/>
      </c>
      <c r="C665" s="8" t="n">
        <v>900008842</v>
      </c>
      <c r="D665" s="7">
        <f>IFERROR(VLOOKUP(C665,TRAOPE!$G:$H,2,0),"")</f>
        <v/>
      </c>
      <c r="E665" s="8" t="inlineStr">
        <is>
          <t>DW68</t>
        </is>
      </c>
      <c r="F665" s="8" t="inlineStr">
        <is>
          <t>D267</t>
        </is>
      </c>
      <c r="G665" s="8">
        <f>IFERROR(VLOOKUP(A665,Flete!$A:$E,5,0),"")</f>
        <v/>
      </c>
      <c r="H665" s="7">
        <f>IFERROR(VLOOKUP(F665,TRAOPE!$AA:$AB,2,0),"")</f>
        <v/>
      </c>
      <c r="I665" s="7" t="n">
        <v>10004258</v>
      </c>
      <c r="J665" s="7">
        <f>IFERROR(VLOOKUP(I665,Materiales!$A:$H,8,0),"")</f>
        <v/>
      </c>
      <c r="K665" s="9">
        <f>IFERROR(VLOOKUP(I665,Materiales!$A:$G,7,0),"")</f>
        <v/>
      </c>
      <c r="L665" s="8" t="inlineStr">
        <is>
          <t>20240624</t>
        </is>
      </c>
      <c r="M665" s="8" t="inlineStr">
        <is>
          <t>20251031</t>
        </is>
      </c>
      <c r="N665" s="10" t="n">
        <v>257</v>
      </c>
      <c r="O665" s="10">
        <f>IFERROR(VLOOKUP(A665,Flete!$A:$J,10,0),"")</f>
        <v/>
      </c>
      <c r="P665" s="8" t="inlineStr">
        <is>
          <t>TN</t>
        </is>
      </c>
      <c r="Q665" s="10">
        <f>IFERROR(IFERROR(VLOOKUP(A665,TRAOPE!$A:$U,21,0),VLOOKUP(B665,TRAOPE!$A:$U,21,0)),"")</f>
        <v/>
      </c>
      <c r="R665" s="8">
        <f>IFERROR(IFERROR(VLOOKUP(A665,TRAOPE!$A:$W,23,0),VLOOKUP(B665,TRAOPE!$A:$W,23,0)),"")</f>
        <v/>
      </c>
      <c r="S665" s="10">
        <f>IF(AND(P665="TN",R665="TN"),N665+N(O665),IF(G665&amp;""="1",N(K665)*N665,(N665+N(O665))*N(K665)))</f>
        <v/>
      </c>
      <c r="T665" s="10">
        <f>IF(Q665="","",Q665-S665)</f>
        <v/>
      </c>
    </row>
    <row r="666">
      <c r="A666" s="7">
        <f>CONCATENATE(C666,E666,F666,I666)</f>
        <v/>
      </c>
      <c r="B666" s="7">
        <f>CONCATENATE(C666,E666,I666)</f>
        <v/>
      </c>
      <c r="C666" s="8" t="n">
        <v>900009220</v>
      </c>
      <c r="D666" s="7">
        <f>IFERROR(VLOOKUP(C666,TRAOPE!$G:$H,2,0),"")</f>
        <v/>
      </c>
      <c r="E666" s="8" t="inlineStr">
        <is>
          <t>DW68</t>
        </is>
      </c>
      <c r="F666" s="8" t="inlineStr">
        <is>
          <t>D042</t>
        </is>
      </c>
      <c r="G666" s="8">
        <f>IFERROR(VLOOKUP(A666,Flete!$A:$E,5,0),"")</f>
        <v/>
      </c>
      <c r="H666" s="7">
        <f>IFERROR(VLOOKUP(F666,TRAOPE!$AA:$AB,2,0),"")</f>
        <v/>
      </c>
      <c r="I666" s="7" t="n">
        <v>10000437</v>
      </c>
      <c r="J666" s="7">
        <f>IFERROR(VLOOKUP(I666,Materiales!$A:$H,8,0),"")</f>
        <v/>
      </c>
      <c r="K666" s="9">
        <f>IFERROR(VLOOKUP(I666,Materiales!$A:$G,7,0),"")</f>
        <v/>
      </c>
      <c r="L666" s="8" t="inlineStr">
        <is>
          <t>20250507</t>
        </is>
      </c>
      <c r="M666" s="8" t="inlineStr">
        <is>
          <t>20260215</t>
        </is>
      </c>
      <c r="N666" s="10" t="n">
        <v>196.01</v>
      </c>
      <c r="O666" s="10">
        <f>IFERROR(VLOOKUP(A666,Flete!$A:$J,10,0),"")</f>
        <v/>
      </c>
      <c r="P666" s="8" t="inlineStr">
        <is>
          <t>TN</t>
        </is>
      </c>
      <c r="Q666" s="10">
        <f>IFERROR(IFERROR(VLOOKUP(A666,TRAOPE!$A:$U,21,0),VLOOKUP(B666,TRAOPE!$A:$U,21,0)),"")</f>
        <v/>
      </c>
      <c r="R666" s="8">
        <f>IFERROR(IFERROR(VLOOKUP(A666,TRAOPE!$A:$W,23,0),VLOOKUP(B666,TRAOPE!$A:$W,23,0)),"")</f>
        <v/>
      </c>
      <c r="S666" s="10">
        <f>IF(AND(P666="TN",R666="TN"),N666+N(O666),IF(G666&amp;""="1",N(K666)*N666,(N666+N(O666))*N(K666)))</f>
        <v/>
      </c>
      <c r="T666" s="10">
        <f>IF(Q666="","",Q666-S666)</f>
        <v/>
      </c>
    </row>
    <row r="667">
      <c r="A667" s="7">
        <f>CONCATENATE(C667,E667,F667,I667)</f>
        <v/>
      </c>
      <c r="B667" s="7">
        <f>CONCATENATE(C667,E667,I667)</f>
        <v/>
      </c>
      <c r="C667" s="8" t="n">
        <v>900009220</v>
      </c>
      <c r="D667" s="7">
        <f>IFERROR(VLOOKUP(C667,TRAOPE!$G:$H,2,0),"")</f>
        <v/>
      </c>
      <c r="E667" s="8" t="inlineStr">
        <is>
          <t>DW68</t>
        </is>
      </c>
      <c r="F667" s="8" t="inlineStr">
        <is>
          <t>D209</t>
        </is>
      </c>
      <c r="G667" s="8">
        <f>IFERROR(VLOOKUP(A667,Flete!$A:$E,5,0),"")</f>
        <v/>
      </c>
      <c r="H667" s="7">
        <f>IFERROR(VLOOKUP(F667,TRAOPE!$AA:$AB,2,0),"")</f>
        <v/>
      </c>
      <c r="I667" s="7" t="n">
        <v>10000437</v>
      </c>
      <c r="J667" s="7">
        <f>IFERROR(VLOOKUP(I667,Materiales!$A:$H,8,0),"")</f>
        <v/>
      </c>
      <c r="K667" s="9">
        <f>IFERROR(VLOOKUP(I667,Materiales!$A:$G,7,0),"")</f>
        <v/>
      </c>
      <c r="L667" s="8" t="inlineStr">
        <is>
          <t>20250507</t>
        </is>
      </c>
      <c r="M667" s="8" t="inlineStr">
        <is>
          <t>20260215</t>
        </is>
      </c>
      <c r="N667" s="10" t="n">
        <v>196.01</v>
      </c>
      <c r="O667" s="10">
        <f>IFERROR(VLOOKUP(A667,Flete!$A:$J,10,0),"")</f>
        <v/>
      </c>
      <c r="P667" s="8" t="inlineStr">
        <is>
          <t>TN</t>
        </is>
      </c>
      <c r="Q667" s="10">
        <f>IFERROR(IFERROR(VLOOKUP(A667,TRAOPE!$A:$U,21,0),VLOOKUP(B667,TRAOPE!$A:$U,21,0)),"")</f>
        <v/>
      </c>
      <c r="R667" s="8">
        <f>IFERROR(IFERROR(VLOOKUP(A667,TRAOPE!$A:$W,23,0),VLOOKUP(B667,TRAOPE!$A:$W,23,0)),"")</f>
        <v/>
      </c>
      <c r="S667" s="10">
        <f>IF(AND(P667="TN",R667="TN"),N667+N(O667),IF(G667&amp;""="1",N(K667)*N667,(N667+N(O667))*N(K667)))</f>
        <v/>
      </c>
      <c r="T667" s="10">
        <f>IF(Q667="","",Q667-S667)</f>
        <v/>
      </c>
    </row>
    <row r="668">
      <c r="A668" s="7">
        <f>CONCATENATE(C668,E668,F668,I668)</f>
        <v/>
      </c>
      <c r="B668" s="7">
        <f>CONCATENATE(C668,E668,I668)</f>
        <v/>
      </c>
      <c r="C668" s="8" t="n">
        <v>900009220</v>
      </c>
      <c r="D668" s="7">
        <f>IFERROR(VLOOKUP(C668,TRAOPE!$G:$H,2,0),"")</f>
        <v/>
      </c>
      <c r="E668" s="8" t="inlineStr">
        <is>
          <t>DW68</t>
        </is>
      </c>
      <c r="F668" s="8" t="inlineStr">
        <is>
          <t>D211</t>
        </is>
      </c>
      <c r="G668" s="8">
        <f>IFERROR(VLOOKUP(A668,Flete!$A:$E,5,0),"")</f>
        <v/>
      </c>
      <c r="H668" s="7">
        <f>IFERROR(VLOOKUP(F668,TRAOPE!$AA:$AB,2,0),"")</f>
        <v/>
      </c>
      <c r="I668" s="7" t="n">
        <v>10000437</v>
      </c>
      <c r="J668" s="7">
        <f>IFERROR(VLOOKUP(I668,Materiales!$A:$H,8,0),"")</f>
        <v/>
      </c>
      <c r="K668" s="9">
        <f>IFERROR(VLOOKUP(I668,Materiales!$A:$G,7,0),"")</f>
        <v/>
      </c>
      <c r="L668" s="8" t="inlineStr">
        <is>
          <t>20250507</t>
        </is>
      </c>
      <c r="M668" s="8" t="inlineStr">
        <is>
          <t>20260215</t>
        </is>
      </c>
      <c r="N668" s="10" t="n">
        <v>196.01</v>
      </c>
      <c r="O668" s="10">
        <f>IFERROR(VLOOKUP(A668,Flete!$A:$J,10,0),"")</f>
        <v/>
      </c>
      <c r="P668" s="8" t="inlineStr">
        <is>
          <t>TN</t>
        </is>
      </c>
      <c r="Q668" s="10">
        <f>IFERROR(IFERROR(VLOOKUP(A668,TRAOPE!$A:$U,21,0),VLOOKUP(B668,TRAOPE!$A:$U,21,0)),"")</f>
        <v/>
      </c>
      <c r="R668" s="8">
        <f>IFERROR(IFERROR(VLOOKUP(A668,TRAOPE!$A:$W,23,0),VLOOKUP(B668,TRAOPE!$A:$W,23,0)),"")</f>
        <v/>
      </c>
      <c r="S668" s="10">
        <f>IF(AND(P668="TN",R668="TN"),N668+N(O668),IF(G668&amp;""="1",N(K668)*N668,(N668+N(O668))*N(K668)))</f>
        <v/>
      </c>
      <c r="T668" s="10">
        <f>IF(Q668="","",Q668-S668)</f>
        <v/>
      </c>
    </row>
    <row r="669">
      <c r="A669" s="7">
        <f>CONCATENATE(C669,E669,F669,I669)</f>
        <v/>
      </c>
      <c r="B669" s="7">
        <f>CONCATENATE(C669,E669,I669)</f>
        <v/>
      </c>
      <c r="C669" s="8" t="n">
        <v>900009220</v>
      </c>
      <c r="D669" s="7">
        <f>IFERROR(VLOOKUP(C669,TRAOPE!$G:$H,2,0),"")</f>
        <v/>
      </c>
      <c r="E669" s="8" t="inlineStr">
        <is>
          <t>DW68</t>
        </is>
      </c>
      <c r="F669" s="8" t="inlineStr">
        <is>
          <t>D228</t>
        </is>
      </c>
      <c r="G669" s="8">
        <f>IFERROR(VLOOKUP(A669,Flete!$A:$E,5,0),"")</f>
        <v/>
      </c>
      <c r="H669" s="7">
        <f>IFERROR(VLOOKUP(F669,TRAOPE!$AA:$AB,2,0),"")</f>
        <v/>
      </c>
      <c r="I669" s="7" t="n">
        <v>10000437</v>
      </c>
      <c r="J669" s="7">
        <f>IFERROR(VLOOKUP(I669,Materiales!$A:$H,8,0),"")</f>
        <v/>
      </c>
      <c r="K669" s="9">
        <f>IFERROR(VLOOKUP(I669,Materiales!$A:$G,7,0),"")</f>
        <v/>
      </c>
      <c r="L669" s="8" t="inlineStr">
        <is>
          <t>20250507</t>
        </is>
      </c>
      <c r="M669" s="8" t="inlineStr">
        <is>
          <t>20260215</t>
        </is>
      </c>
      <c r="N669" s="10" t="n">
        <v>196.01</v>
      </c>
      <c r="O669" s="10">
        <f>IFERROR(VLOOKUP(A669,Flete!$A:$J,10,0),"")</f>
        <v/>
      </c>
      <c r="P669" s="8" t="inlineStr">
        <is>
          <t>TN</t>
        </is>
      </c>
      <c r="Q669" s="10">
        <f>IFERROR(IFERROR(VLOOKUP(A669,TRAOPE!$A:$U,21,0),VLOOKUP(B669,TRAOPE!$A:$U,21,0)),"")</f>
        <v/>
      </c>
      <c r="R669" s="8">
        <f>IFERROR(IFERROR(VLOOKUP(A669,TRAOPE!$A:$W,23,0),VLOOKUP(B669,TRAOPE!$A:$W,23,0)),"")</f>
        <v/>
      </c>
      <c r="S669" s="10">
        <f>IF(AND(P669="TN",R669="TN"),N669+N(O669),IF(G669&amp;""="1",N(K669)*N669,(N669+N(O669))*N(K669)))</f>
        <v/>
      </c>
      <c r="T669" s="10">
        <f>IF(Q669="","",Q669-S669)</f>
        <v/>
      </c>
    </row>
    <row r="670">
      <c r="A670" s="7">
        <f>CONCATENATE(C670,E670,F670,I670)</f>
        <v/>
      </c>
      <c r="B670" s="7">
        <f>CONCATENATE(C670,E670,I670)</f>
        <v/>
      </c>
      <c r="C670" s="8" t="n">
        <v>900009220</v>
      </c>
      <c r="D670" s="7">
        <f>IFERROR(VLOOKUP(C670,TRAOPE!$G:$H,2,0),"")</f>
        <v/>
      </c>
      <c r="E670" s="8" t="inlineStr">
        <is>
          <t>DW68</t>
        </is>
      </c>
      <c r="F670" s="8" t="inlineStr">
        <is>
          <t>D242</t>
        </is>
      </c>
      <c r="G670" s="8">
        <f>IFERROR(VLOOKUP(A670,Flete!$A:$E,5,0),"")</f>
        <v/>
      </c>
      <c r="H670" s="7">
        <f>IFERROR(VLOOKUP(F670,TRAOPE!$AA:$AB,2,0),"")</f>
        <v/>
      </c>
      <c r="I670" s="7" t="n">
        <v>10000437</v>
      </c>
      <c r="J670" s="7">
        <f>IFERROR(VLOOKUP(I670,Materiales!$A:$H,8,0),"")</f>
        <v/>
      </c>
      <c r="K670" s="9">
        <f>IFERROR(VLOOKUP(I670,Materiales!$A:$G,7,0),"")</f>
        <v/>
      </c>
      <c r="L670" s="8" t="inlineStr">
        <is>
          <t>20250507</t>
        </is>
      </c>
      <c r="M670" s="8" t="inlineStr">
        <is>
          <t>20260215</t>
        </is>
      </c>
      <c r="N670" s="10" t="n">
        <v>196.01</v>
      </c>
      <c r="O670" s="10">
        <f>IFERROR(VLOOKUP(A670,Flete!$A:$J,10,0),"")</f>
        <v/>
      </c>
      <c r="P670" s="8" t="inlineStr">
        <is>
          <t>TN</t>
        </is>
      </c>
      <c r="Q670" s="10">
        <f>IFERROR(IFERROR(VLOOKUP(A670,TRAOPE!$A:$U,21,0),VLOOKUP(B670,TRAOPE!$A:$U,21,0)),"")</f>
        <v/>
      </c>
      <c r="R670" s="8">
        <f>IFERROR(IFERROR(VLOOKUP(A670,TRAOPE!$A:$W,23,0),VLOOKUP(B670,TRAOPE!$A:$W,23,0)),"")</f>
        <v/>
      </c>
      <c r="S670" s="10">
        <f>IF(AND(P670="TN",R670="TN"),N670+N(O670),IF(G670&amp;""="1",N(K670)*N670,(N670+N(O670))*N(K670)))</f>
        <v/>
      </c>
      <c r="T670" s="10">
        <f>IF(Q670="","",Q670-S670)</f>
        <v/>
      </c>
    </row>
    <row r="671">
      <c r="A671" s="7">
        <f>CONCATENATE(C671,E671,F671,I671)</f>
        <v/>
      </c>
      <c r="B671" s="7">
        <f>CONCATENATE(C671,E671,I671)</f>
        <v/>
      </c>
      <c r="C671" s="8" t="n">
        <v>900009220</v>
      </c>
      <c r="D671" s="7">
        <f>IFERROR(VLOOKUP(C671,TRAOPE!$G:$H,2,0),"")</f>
        <v/>
      </c>
      <c r="E671" s="8" t="inlineStr">
        <is>
          <t>DW68</t>
        </is>
      </c>
      <c r="F671" s="8" t="inlineStr">
        <is>
          <t>D247</t>
        </is>
      </c>
      <c r="G671" s="8">
        <f>IFERROR(VLOOKUP(A671,Flete!$A:$E,5,0),"")</f>
        <v/>
      </c>
      <c r="H671" s="7">
        <f>IFERROR(VLOOKUP(F671,TRAOPE!$AA:$AB,2,0),"")</f>
        <v/>
      </c>
      <c r="I671" s="7" t="n">
        <v>10000437</v>
      </c>
      <c r="J671" s="7">
        <f>IFERROR(VLOOKUP(I671,Materiales!$A:$H,8,0),"")</f>
        <v/>
      </c>
      <c r="K671" s="9">
        <f>IFERROR(VLOOKUP(I671,Materiales!$A:$G,7,0),"")</f>
        <v/>
      </c>
      <c r="L671" s="8" t="inlineStr">
        <is>
          <t>20250507</t>
        </is>
      </c>
      <c r="M671" s="8" t="inlineStr">
        <is>
          <t>20260506</t>
        </is>
      </c>
      <c r="N671" s="10" t="n">
        <v>196.01</v>
      </c>
      <c r="O671" s="10">
        <f>IFERROR(VLOOKUP(A671,Flete!$A:$J,10,0),"")</f>
        <v/>
      </c>
      <c r="P671" s="8" t="inlineStr">
        <is>
          <t>TN</t>
        </is>
      </c>
      <c r="Q671" s="10">
        <f>IFERROR(IFERROR(VLOOKUP(A671,TRAOPE!$A:$U,21,0),VLOOKUP(B671,TRAOPE!$A:$U,21,0)),"")</f>
        <v/>
      </c>
      <c r="R671" s="8">
        <f>IFERROR(IFERROR(VLOOKUP(A671,TRAOPE!$A:$W,23,0),VLOOKUP(B671,TRAOPE!$A:$W,23,0)),"")</f>
        <v/>
      </c>
      <c r="S671" s="10">
        <f>IF(AND(P671="TN",R671="TN"),N671+N(O671),IF(G671&amp;""="1",N(K671)*N671,(N671+N(O671))*N(K671)))</f>
        <v/>
      </c>
      <c r="T671" s="10">
        <f>IF(Q671="","",Q671-S671)</f>
        <v/>
      </c>
    </row>
    <row r="672">
      <c r="A672" s="7">
        <f>CONCATENATE(C672,E672,F672,I672)</f>
        <v/>
      </c>
      <c r="B672" s="7">
        <f>CONCATENATE(C672,E672,I672)</f>
        <v/>
      </c>
      <c r="C672" s="8" t="n">
        <v>900009220</v>
      </c>
      <c r="D672" s="7">
        <f>IFERROR(VLOOKUP(C672,TRAOPE!$G:$H,2,0),"")</f>
        <v/>
      </c>
      <c r="E672" s="8" t="inlineStr">
        <is>
          <t>DW68</t>
        </is>
      </c>
      <c r="F672" s="8" t="inlineStr">
        <is>
          <t>D251</t>
        </is>
      </c>
      <c r="G672" s="8">
        <f>IFERROR(VLOOKUP(A672,Flete!$A:$E,5,0),"")</f>
        <v/>
      </c>
      <c r="H672" s="7">
        <f>IFERROR(VLOOKUP(F672,TRAOPE!$AA:$AB,2,0),"")</f>
        <v/>
      </c>
      <c r="I672" s="7" t="n">
        <v>10000437</v>
      </c>
      <c r="J672" s="7">
        <f>IFERROR(VLOOKUP(I672,Materiales!$A:$H,8,0),"")</f>
        <v/>
      </c>
      <c r="K672" s="9">
        <f>IFERROR(VLOOKUP(I672,Materiales!$A:$G,7,0),"")</f>
        <v/>
      </c>
      <c r="L672" s="8" t="inlineStr">
        <is>
          <t>20250507</t>
        </is>
      </c>
      <c r="M672" s="8" t="inlineStr">
        <is>
          <t>20260215</t>
        </is>
      </c>
      <c r="N672" s="10" t="n">
        <v>196.01</v>
      </c>
      <c r="O672" s="10">
        <f>IFERROR(VLOOKUP(A672,Flete!$A:$J,10,0),"")</f>
        <v/>
      </c>
      <c r="P672" s="8" t="inlineStr">
        <is>
          <t>TN</t>
        </is>
      </c>
      <c r="Q672" s="10">
        <f>IFERROR(IFERROR(VLOOKUP(A672,TRAOPE!$A:$U,21,0),VLOOKUP(B672,TRAOPE!$A:$U,21,0)),"")</f>
        <v/>
      </c>
      <c r="R672" s="8">
        <f>IFERROR(IFERROR(VLOOKUP(A672,TRAOPE!$A:$W,23,0),VLOOKUP(B672,TRAOPE!$A:$W,23,0)),"")</f>
        <v/>
      </c>
      <c r="S672" s="10">
        <f>IF(AND(P672="TN",R672="TN"),N672+N(O672),IF(G672&amp;""="1",N(K672)*N672,(N672+N(O672))*N(K672)))</f>
        <v/>
      </c>
      <c r="T672" s="10">
        <f>IF(Q672="","",Q672-S672)</f>
        <v/>
      </c>
    </row>
    <row r="673">
      <c r="A673" s="7">
        <f>CONCATENATE(C673,E673,F673,I673)</f>
        <v/>
      </c>
      <c r="B673" s="7">
        <f>CONCATENATE(C673,E673,I673)</f>
        <v/>
      </c>
      <c r="C673" s="8" t="n">
        <v>900009220</v>
      </c>
      <c r="D673" s="7">
        <f>IFERROR(VLOOKUP(C673,TRAOPE!$G:$H,2,0),"")</f>
        <v/>
      </c>
      <c r="E673" s="8" t="inlineStr">
        <is>
          <t>DW68</t>
        </is>
      </c>
      <c r="F673" s="8" t="inlineStr">
        <is>
          <t>D264</t>
        </is>
      </c>
      <c r="G673" s="8">
        <f>IFERROR(VLOOKUP(A673,Flete!$A:$E,5,0),"")</f>
        <v/>
      </c>
      <c r="H673" s="7">
        <f>IFERROR(VLOOKUP(F673,TRAOPE!$AA:$AB,2,0),"")</f>
        <v/>
      </c>
      <c r="I673" s="7" t="n">
        <v>10000437</v>
      </c>
      <c r="J673" s="7">
        <f>IFERROR(VLOOKUP(I673,Materiales!$A:$H,8,0),"")</f>
        <v/>
      </c>
      <c r="K673" s="9">
        <f>IFERROR(VLOOKUP(I673,Materiales!$A:$G,7,0),"")</f>
        <v/>
      </c>
      <c r="L673" s="8" t="inlineStr">
        <is>
          <t>20250507</t>
        </is>
      </c>
      <c r="M673" s="8" t="inlineStr">
        <is>
          <t>20260215</t>
        </is>
      </c>
      <c r="N673" s="10" t="n">
        <v>196.01</v>
      </c>
      <c r="O673" s="10">
        <f>IFERROR(VLOOKUP(A673,Flete!$A:$J,10,0),"")</f>
        <v/>
      </c>
      <c r="P673" s="8" t="inlineStr">
        <is>
          <t>TN</t>
        </is>
      </c>
      <c r="Q673" s="10">
        <f>IFERROR(IFERROR(VLOOKUP(A673,TRAOPE!$A:$U,21,0),VLOOKUP(B673,TRAOPE!$A:$U,21,0)),"")</f>
        <v/>
      </c>
      <c r="R673" s="8">
        <f>IFERROR(IFERROR(VLOOKUP(A673,TRAOPE!$A:$W,23,0),VLOOKUP(B673,TRAOPE!$A:$W,23,0)),"")</f>
        <v/>
      </c>
      <c r="S673" s="10">
        <f>IF(AND(P673="TN",R673="TN"),N673+N(O673),IF(G673&amp;""="1",N(K673)*N673,(N673+N(O673))*N(K673)))</f>
        <v/>
      </c>
      <c r="T673" s="10">
        <f>IF(Q673="","",Q673-S673)</f>
        <v/>
      </c>
    </row>
    <row r="674">
      <c r="A674" s="7">
        <f>CONCATENATE(C674,E674,F674,I674)</f>
        <v/>
      </c>
      <c r="B674" s="7">
        <f>CONCATENATE(C674,E674,I674)</f>
        <v/>
      </c>
      <c r="C674" s="8" t="n">
        <v>900009220</v>
      </c>
      <c r="D674" s="7">
        <f>IFERROR(VLOOKUP(C674,TRAOPE!$G:$H,2,0),"")</f>
        <v/>
      </c>
      <c r="E674" s="8" t="inlineStr">
        <is>
          <t>DW68</t>
        </is>
      </c>
      <c r="F674" s="8" t="inlineStr">
        <is>
          <t>D267</t>
        </is>
      </c>
      <c r="G674" s="8">
        <f>IFERROR(VLOOKUP(A674,Flete!$A:$E,5,0),"")</f>
        <v/>
      </c>
      <c r="H674" s="7">
        <f>IFERROR(VLOOKUP(F674,TRAOPE!$AA:$AB,2,0),"")</f>
        <v/>
      </c>
      <c r="I674" s="7" t="n">
        <v>10000437</v>
      </c>
      <c r="J674" s="7">
        <f>IFERROR(VLOOKUP(I674,Materiales!$A:$H,8,0),"")</f>
        <v/>
      </c>
      <c r="K674" s="9">
        <f>IFERROR(VLOOKUP(I674,Materiales!$A:$G,7,0),"")</f>
        <v/>
      </c>
      <c r="L674" s="8" t="inlineStr">
        <is>
          <t>20250507</t>
        </is>
      </c>
      <c r="M674" s="8" t="inlineStr">
        <is>
          <t>20260215</t>
        </is>
      </c>
      <c r="N674" s="10" t="n">
        <v>196.01</v>
      </c>
      <c r="O674" s="10">
        <f>IFERROR(VLOOKUP(A674,Flete!$A:$J,10,0),"")</f>
        <v/>
      </c>
      <c r="P674" s="8" t="inlineStr">
        <is>
          <t>TN</t>
        </is>
      </c>
      <c r="Q674" s="10">
        <f>IFERROR(IFERROR(VLOOKUP(A674,TRAOPE!$A:$U,21,0),VLOOKUP(B674,TRAOPE!$A:$U,21,0)),"")</f>
        <v/>
      </c>
      <c r="R674" s="8">
        <f>IFERROR(IFERROR(VLOOKUP(A674,TRAOPE!$A:$W,23,0),VLOOKUP(B674,TRAOPE!$A:$W,23,0)),"")</f>
        <v/>
      </c>
      <c r="S674" s="10">
        <f>IF(AND(P674="TN",R674="TN"),N674+N(O674),IF(G674&amp;""="1",N(K674)*N674,(N674+N(O674))*N(K674)))</f>
        <v/>
      </c>
      <c r="T674" s="10">
        <f>IF(Q674="","",Q674-S674)</f>
        <v/>
      </c>
    </row>
    <row r="675">
      <c r="A675" s="7">
        <f>CONCATENATE(C675,E675,F675,I675)</f>
        <v/>
      </c>
      <c r="B675" s="7">
        <f>CONCATENATE(C675,E675,I675)</f>
        <v/>
      </c>
      <c r="C675" s="8" t="n">
        <v>900009233</v>
      </c>
      <c r="D675" s="7">
        <f>IFERROR(VLOOKUP(C675,TRAOPE!$G:$H,2,0),"")</f>
        <v/>
      </c>
      <c r="E675" s="8" t="inlineStr">
        <is>
          <t>DW68</t>
        </is>
      </c>
      <c r="F675" s="8" t="inlineStr">
        <is>
          <t>D042</t>
        </is>
      </c>
      <c r="G675" s="8">
        <f>IFERROR(VLOOKUP(A675,Flete!$A:$E,5,0),"")</f>
        <v/>
      </c>
      <c r="H675" s="7">
        <f>IFERROR(VLOOKUP(F675,TRAOPE!$AA:$AB,2,0),"")</f>
        <v/>
      </c>
      <c r="I675" s="7" t="n">
        <v>10270911</v>
      </c>
      <c r="J675" s="7">
        <f>IFERROR(VLOOKUP(I675,Materiales!$A:$H,8,0),"")</f>
        <v/>
      </c>
      <c r="K675" s="9">
        <f>IFERROR(VLOOKUP(I675,Materiales!$A:$G,7,0),"")</f>
        <v/>
      </c>
      <c r="L675" s="8" t="inlineStr">
        <is>
          <t>20260701</t>
        </is>
      </c>
      <c r="M675" s="8" t="inlineStr">
        <is>
          <t>99991231</t>
        </is>
      </c>
      <c r="N675" s="10" t="n">
        <v>191.18</v>
      </c>
      <c r="O675" s="10">
        <f>IFERROR(VLOOKUP(A675,Flete!$A:$J,10,0),"")</f>
        <v/>
      </c>
      <c r="P675" s="8" t="inlineStr">
        <is>
          <t>TN</t>
        </is>
      </c>
      <c r="Q675" s="10">
        <f>IFERROR(IFERROR(VLOOKUP(A675,TRAOPE!$A:$U,21,0),VLOOKUP(B675,TRAOPE!$A:$U,21,0)),"")</f>
        <v/>
      </c>
      <c r="R675" s="8">
        <f>IFERROR(IFERROR(VLOOKUP(A675,TRAOPE!$A:$W,23,0),VLOOKUP(B675,TRAOPE!$A:$W,23,0)),"")</f>
        <v/>
      </c>
      <c r="S675" s="10">
        <f>IF(AND(P675="TN",R675="TN"),N675+N(O675),IF(G675&amp;""="1",N(K675)*N675,(N675+N(O675))*N(K675)))</f>
        <v/>
      </c>
      <c r="T675" s="10">
        <f>IF(Q675="","",Q675-S675)</f>
        <v/>
      </c>
    </row>
    <row r="676">
      <c r="A676" s="7">
        <f>CONCATENATE(C676,E676,F676,I676)</f>
        <v/>
      </c>
      <c r="B676" s="7">
        <f>CONCATENATE(C676,E676,I676)</f>
        <v/>
      </c>
      <c r="C676" s="8" t="n">
        <v>900009233</v>
      </c>
      <c r="D676" s="7">
        <f>IFERROR(VLOOKUP(C676,TRAOPE!$G:$H,2,0),"")</f>
        <v/>
      </c>
      <c r="E676" s="8" t="inlineStr">
        <is>
          <t>DW68</t>
        </is>
      </c>
      <c r="F676" s="8" t="inlineStr">
        <is>
          <t>D209</t>
        </is>
      </c>
      <c r="G676" s="8">
        <f>IFERROR(VLOOKUP(A676,Flete!$A:$E,5,0),"")</f>
        <v/>
      </c>
      <c r="H676" s="7">
        <f>IFERROR(VLOOKUP(F676,TRAOPE!$AA:$AB,2,0),"")</f>
        <v/>
      </c>
      <c r="I676" s="7" t="n">
        <v>10270911</v>
      </c>
      <c r="J676" s="7">
        <f>IFERROR(VLOOKUP(I676,Materiales!$A:$H,8,0),"")</f>
        <v/>
      </c>
      <c r="K676" s="9">
        <f>IFERROR(VLOOKUP(I676,Materiales!$A:$G,7,0),"")</f>
        <v/>
      </c>
      <c r="L676" s="8" t="inlineStr">
        <is>
          <t>20260701</t>
        </is>
      </c>
      <c r="M676" s="8" t="inlineStr">
        <is>
          <t>99991231</t>
        </is>
      </c>
      <c r="N676" s="10" t="n">
        <v>191.18</v>
      </c>
      <c r="O676" s="10">
        <f>IFERROR(VLOOKUP(A676,Flete!$A:$J,10,0),"")</f>
        <v/>
      </c>
      <c r="P676" s="8" t="inlineStr">
        <is>
          <t>TN</t>
        </is>
      </c>
      <c r="Q676" s="10">
        <f>IFERROR(IFERROR(VLOOKUP(A676,TRAOPE!$A:$U,21,0),VLOOKUP(B676,TRAOPE!$A:$U,21,0)),"")</f>
        <v/>
      </c>
      <c r="R676" s="8">
        <f>IFERROR(IFERROR(VLOOKUP(A676,TRAOPE!$A:$W,23,0),VLOOKUP(B676,TRAOPE!$A:$W,23,0)),"")</f>
        <v/>
      </c>
      <c r="S676" s="10">
        <f>IF(AND(P676="TN",R676="TN"),N676+N(O676),IF(G676&amp;""="1",N(K676)*N676,(N676+N(O676))*N(K676)))</f>
        <v/>
      </c>
      <c r="T676" s="10">
        <f>IF(Q676="","",Q676-S676)</f>
        <v/>
      </c>
    </row>
    <row r="677">
      <c r="A677" s="7">
        <f>CONCATENATE(C677,E677,F677,I677)</f>
        <v/>
      </c>
      <c r="B677" s="7">
        <f>CONCATENATE(C677,E677,I677)</f>
        <v/>
      </c>
      <c r="C677" s="8" t="n">
        <v>900009233</v>
      </c>
      <c r="D677" s="7">
        <f>IFERROR(VLOOKUP(C677,TRAOPE!$G:$H,2,0),"")</f>
        <v/>
      </c>
      <c r="E677" s="8" t="inlineStr">
        <is>
          <t>DW68</t>
        </is>
      </c>
      <c r="F677" s="8" t="inlineStr">
        <is>
          <t>D211</t>
        </is>
      </c>
      <c r="G677" s="8">
        <f>IFERROR(VLOOKUP(A677,Flete!$A:$E,5,0),"")</f>
        <v/>
      </c>
      <c r="H677" s="7">
        <f>IFERROR(VLOOKUP(F677,TRAOPE!$AA:$AB,2,0),"")</f>
        <v/>
      </c>
      <c r="I677" s="7" t="n">
        <v>10270911</v>
      </c>
      <c r="J677" s="7">
        <f>IFERROR(VLOOKUP(I677,Materiales!$A:$H,8,0),"")</f>
        <v/>
      </c>
      <c r="K677" s="9">
        <f>IFERROR(VLOOKUP(I677,Materiales!$A:$G,7,0),"")</f>
        <v/>
      </c>
      <c r="L677" s="8" t="inlineStr">
        <is>
          <t>20260701</t>
        </is>
      </c>
      <c r="M677" s="8" t="inlineStr">
        <is>
          <t>99991231</t>
        </is>
      </c>
      <c r="N677" s="10" t="n">
        <v>191.18</v>
      </c>
      <c r="O677" s="10">
        <f>IFERROR(VLOOKUP(A677,Flete!$A:$J,10,0),"")</f>
        <v/>
      </c>
      <c r="P677" s="8" t="inlineStr">
        <is>
          <t>TN</t>
        </is>
      </c>
      <c r="Q677" s="10">
        <f>IFERROR(IFERROR(VLOOKUP(A677,TRAOPE!$A:$U,21,0),VLOOKUP(B677,TRAOPE!$A:$U,21,0)),"")</f>
        <v/>
      </c>
      <c r="R677" s="8">
        <f>IFERROR(IFERROR(VLOOKUP(A677,TRAOPE!$A:$W,23,0),VLOOKUP(B677,TRAOPE!$A:$W,23,0)),"")</f>
        <v/>
      </c>
      <c r="S677" s="10">
        <f>IF(AND(P677="TN",R677="TN"),N677+N(O677),IF(G677&amp;""="1",N(K677)*N677,(N677+N(O677))*N(K677)))</f>
        <v/>
      </c>
      <c r="T677" s="10">
        <f>IF(Q677="","",Q677-S677)</f>
        <v/>
      </c>
    </row>
    <row r="678">
      <c r="A678" s="7">
        <f>CONCATENATE(C678,E678,F678,I678)</f>
        <v/>
      </c>
      <c r="B678" s="7">
        <f>CONCATENATE(C678,E678,I678)</f>
        <v/>
      </c>
      <c r="C678" s="8" t="n">
        <v>900009233</v>
      </c>
      <c r="D678" s="7">
        <f>IFERROR(VLOOKUP(C678,TRAOPE!$G:$H,2,0),"")</f>
        <v/>
      </c>
      <c r="E678" s="8" t="inlineStr">
        <is>
          <t>DW68</t>
        </is>
      </c>
      <c r="F678" s="8" t="inlineStr">
        <is>
          <t>D228</t>
        </is>
      </c>
      <c r="G678" s="8">
        <f>IFERROR(VLOOKUP(A678,Flete!$A:$E,5,0),"")</f>
        <v/>
      </c>
      <c r="H678" s="7">
        <f>IFERROR(VLOOKUP(F678,TRAOPE!$AA:$AB,2,0),"")</f>
        <v/>
      </c>
      <c r="I678" s="7" t="n">
        <v>10270911</v>
      </c>
      <c r="J678" s="7">
        <f>IFERROR(VLOOKUP(I678,Materiales!$A:$H,8,0),"")</f>
        <v/>
      </c>
      <c r="K678" s="9">
        <f>IFERROR(VLOOKUP(I678,Materiales!$A:$G,7,0),"")</f>
        <v/>
      </c>
      <c r="L678" s="8" t="inlineStr">
        <is>
          <t>20260701</t>
        </is>
      </c>
      <c r="M678" s="8" t="inlineStr">
        <is>
          <t>99991231</t>
        </is>
      </c>
      <c r="N678" s="10" t="n">
        <v>191.18</v>
      </c>
      <c r="O678" s="10">
        <f>IFERROR(VLOOKUP(A678,Flete!$A:$J,10,0),"")</f>
        <v/>
      </c>
      <c r="P678" s="8" t="inlineStr">
        <is>
          <t>TN</t>
        </is>
      </c>
      <c r="Q678" s="10">
        <f>IFERROR(IFERROR(VLOOKUP(A678,TRAOPE!$A:$U,21,0),VLOOKUP(B678,TRAOPE!$A:$U,21,0)),"")</f>
        <v/>
      </c>
      <c r="R678" s="8">
        <f>IFERROR(IFERROR(VLOOKUP(A678,TRAOPE!$A:$W,23,0),VLOOKUP(B678,TRAOPE!$A:$W,23,0)),"")</f>
        <v/>
      </c>
      <c r="S678" s="10">
        <f>IF(AND(P678="TN",R678="TN"),N678+N(O678),IF(G678&amp;""="1",N(K678)*N678,(N678+N(O678))*N(K678)))</f>
        <v/>
      </c>
      <c r="T678" s="10">
        <f>IF(Q678="","",Q678-S678)</f>
        <v/>
      </c>
    </row>
    <row r="679">
      <c r="A679" s="7">
        <f>CONCATENATE(C679,E679,F679,I679)</f>
        <v/>
      </c>
      <c r="B679" s="7">
        <f>CONCATENATE(C679,E679,I679)</f>
        <v/>
      </c>
      <c r="C679" s="8" t="n">
        <v>900009233</v>
      </c>
      <c r="D679" s="7">
        <f>IFERROR(VLOOKUP(C679,TRAOPE!$G:$H,2,0),"")</f>
        <v/>
      </c>
      <c r="E679" s="8" t="inlineStr">
        <is>
          <t>DW68</t>
        </is>
      </c>
      <c r="F679" s="8" t="inlineStr">
        <is>
          <t>D242</t>
        </is>
      </c>
      <c r="G679" s="8">
        <f>IFERROR(VLOOKUP(A679,Flete!$A:$E,5,0),"")</f>
        <v/>
      </c>
      <c r="H679" s="7">
        <f>IFERROR(VLOOKUP(F679,TRAOPE!$AA:$AB,2,0),"")</f>
        <v/>
      </c>
      <c r="I679" s="7" t="n">
        <v>10270911</v>
      </c>
      <c r="J679" s="7">
        <f>IFERROR(VLOOKUP(I679,Materiales!$A:$H,8,0),"")</f>
        <v/>
      </c>
      <c r="K679" s="9">
        <f>IFERROR(VLOOKUP(I679,Materiales!$A:$G,7,0),"")</f>
        <v/>
      </c>
      <c r="L679" s="8" t="inlineStr">
        <is>
          <t>20260701</t>
        </is>
      </c>
      <c r="M679" s="8" t="inlineStr">
        <is>
          <t>99991231</t>
        </is>
      </c>
      <c r="N679" s="10" t="n">
        <v>191.18</v>
      </c>
      <c r="O679" s="10">
        <f>IFERROR(VLOOKUP(A679,Flete!$A:$J,10,0),"")</f>
        <v/>
      </c>
      <c r="P679" s="8" t="inlineStr">
        <is>
          <t>TN</t>
        </is>
      </c>
      <c r="Q679" s="10">
        <f>IFERROR(IFERROR(VLOOKUP(A679,TRAOPE!$A:$U,21,0),VLOOKUP(B679,TRAOPE!$A:$U,21,0)),"")</f>
        <v/>
      </c>
      <c r="R679" s="8">
        <f>IFERROR(IFERROR(VLOOKUP(A679,TRAOPE!$A:$W,23,0),VLOOKUP(B679,TRAOPE!$A:$W,23,0)),"")</f>
        <v/>
      </c>
      <c r="S679" s="10">
        <f>IF(AND(P679="TN",R679="TN"),N679+N(O679),IF(G679&amp;""="1",N(K679)*N679,(N679+N(O679))*N(K679)))</f>
        <v/>
      </c>
      <c r="T679" s="10">
        <f>IF(Q679="","",Q679-S679)</f>
        <v/>
      </c>
    </row>
    <row r="680">
      <c r="A680" s="7">
        <f>CONCATENATE(C680,E680,F680,I680)</f>
        <v/>
      </c>
      <c r="B680" s="7">
        <f>CONCATENATE(C680,E680,I680)</f>
        <v/>
      </c>
      <c r="C680" s="8" t="n">
        <v>900009233</v>
      </c>
      <c r="D680" s="7">
        <f>IFERROR(VLOOKUP(C680,TRAOPE!$G:$H,2,0),"")</f>
        <v/>
      </c>
      <c r="E680" s="8" t="inlineStr">
        <is>
          <t>DW68</t>
        </is>
      </c>
      <c r="F680" s="8" t="inlineStr">
        <is>
          <t>D247</t>
        </is>
      </c>
      <c r="G680" s="8">
        <f>IFERROR(VLOOKUP(A680,Flete!$A:$E,5,0),"")</f>
        <v/>
      </c>
      <c r="H680" s="7">
        <f>IFERROR(VLOOKUP(F680,TRAOPE!$AA:$AB,2,0),"")</f>
        <v/>
      </c>
      <c r="I680" s="7" t="n">
        <v>10270911</v>
      </c>
      <c r="J680" s="7">
        <f>IFERROR(VLOOKUP(I680,Materiales!$A:$H,8,0),"")</f>
        <v/>
      </c>
      <c r="K680" s="9">
        <f>IFERROR(VLOOKUP(I680,Materiales!$A:$G,7,0),"")</f>
        <v/>
      </c>
      <c r="L680" s="8" t="inlineStr">
        <is>
          <t>20260701</t>
        </is>
      </c>
      <c r="M680" s="8" t="inlineStr">
        <is>
          <t>99991231</t>
        </is>
      </c>
      <c r="N680" s="10" t="n">
        <v>191.18</v>
      </c>
      <c r="O680" s="10">
        <f>IFERROR(VLOOKUP(A680,Flete!$A:$J,10,0),"")</f>
        <v/>
      </c>
      <c r="P680" s="8" t="inlineStr">
        <is>
          <t>TN</t>
        </is>
      </c>
      <c r="Q680" s="10">
        <f>IFERROR(IFERROR(VLOOKUP(A680,TRAOPE!$A:$U,21,0),VLOOKUP(B680,TRAOPE!$A:$U,21,0)),"")</f>
        <v/>
      </c>
      <c r="R680" s="8">
        <f>IFERROR(IFERROR(VLOOKUP(A680,TRAOPE!$A:$W,23,0),VLOOKUP(B680,TRAOPE!$A:$W,23,0)),"")</f>
        <v/>
      </c>
      <c r="S680" s="10">
        <f>IF(AND(P680="TN",R680="TN"),N680+N(O680),IF(G680&amp;""="1",N(K680)*N680,(N680+N(O680))*N(K680)))</f>
        <v/>
      </c>
      <c r="T680" s="10">
        <f>IF(Q680="","",Q680-S680)</f>
        <v/>
      </c>
    </row>
    <row r="681">
      <c r="A681" s="7">
        <f>CONCATENATE(C681,E681,F681,I681)</f>
        <v/>
      </c>
      <c r="B681" s="7">
        <f>CONCATENATE(C681,E681,I681)</f>
        <v/>
      </c>
      <c r="C681" s="8" t="n">
        <v>900009233</v>
      </c>
      <c r="D681" s="7">
        <f>IFERROR(VLOOKUP(C681,TRAOPE!$G:$H,2,0),"")</f>
        <v/>
      </c>
      <c r="E681" s="8" t="inlineStr">
        <is>
          <t>DW68</t>
        </is>
      </c>
      <c r="F681" s="8" t="inlineStr">
        <is>
          <t>D251</t>
        </is>
      </c>
      <c r="G681" s="8">
        <f>IFERROR(VLOOKUP(A681,Flete!$A:$E,5,0),"")</f>
        <v/>
      </c>
      <c r="H681" s="7">
        <f>IFERROR(VLOOKUP(F681,TRAOPE!$AA:$AB,2,0),"")</f>
        <v/>
      </c>
      <c r="I681" s="7" t="n">
        <v>10270911</v>
      </c>
      <c r="J681" s="7">
        <f>IFERROR(VLOOKUP(I681,Materiales!$A:$H,8,0),"")</f>
        <v/>
      </c>
      <c r="K681" s="9">
        <f>IFERROR(VLOOKUP(I681,Materiales!$A:$G,7,0),"")</f>
        <v/>
      </c>
      <c r="L681" s="8" t="inlineStr">
        <is>
          <t>20260701</t>
        </is>
      </c>
      <c r="M681" s="8" t="inlineStr">
        <is>
          <t>99991231</t>
        </is>
      </c>
      <c r="N681" s="10" t="n">
        <v>191.18</v>
      </c>
      <c r="O681" s="10">
        <f>IFERROR(VLOOKUP(A681,Flete!$A:$J,10,0),"")</f>
        <v/>
      </c>
      <c r="P681" s="8" t="inlineStr">
        <is>
          <t>TN</t>
        </is>
      </c>
      <c r="Q681" s="10">
        <f>IFERROR(IFERROR(VLOOKUP(A681,TRAOPE!$A:$U,21,0),VLOOKUP(B681,TRAOPE!$A:$U,21,0)),"")</f>
        <v/>
      </c>
      <c r="R681" s="8">
        <f>IFERROR(IFERROR(VLOOKUP(A681,TRAOPE!$A:$W,23,0),VLOOKUP(B681,TRAOPE!$A:$W,23,0)),"")</f>
        <v/>
      </c>
      <c r="S681" s="10">
        <f>IF(AND(P681="TN",R681="TN"),N681+N(O681),IF(G681&amp;""="1",N(K681)*N681,(N681+N(O681))*N(K681)))</f>
        <v/>
      </c>
      <c r="T681" s="10">
        <f>IF(Q681="","",Q681-S681)</f>
        <v/>
      </c>
    </row>
    <row r="682">
      <c r="A682" s="7">
        <f>CONCATENATE(C682,E682,F682,I682)</f>
        <v/>
      </c>
      <c r="B682" s="7">
        <f>CONCATENATE(C682,E682,I682)</f>
        <v/>
      </c>
      <c r="C682" s="8" t="n">
        <v>900009233</v>
      </c>
      <c r="D682" s="7">
        <f>IFERROR(VLOOKUP(C682,TRAOPE!$G:$H,2,0),"")</f>
        <v/>
      </c>
      <c r="E682" s="8" t="inlineStr">
        <is>
          <t>DW68</t>
        </is>
      </c>
      <c r="F682" s="8" t="inlineStr">
        <is>
          <t>D264</t>
        </is>
      </c>
      <c r="G682" s="8">
        <f>IFERROR(VLOOKUP(A682,Flete!$A:$E,5,0),"")</f>
        <v/>
      </c>
      <c r="H682" s="7">
        <f>IFERROR(VLOOKUP(F682,TRAOPE!$AA:$AB,2,0),"")</f>
        <v/>
      </c>
      <c r="I682" s="7" t="n">
        <v>10270911</v>
      </c>
      <c r="J682" s="7">
        <f>IFERROR(VLOOKUP(I682,Materiales!$A:$H,8,0),"")</f>
        <v/>
      </c>
      <c r="K682" s="9">
        <f>IFERROR(VLOOKUP(I682,Materiales!$A:$G,7,0),"")</f>
        <v/>
      </c>
      <c r="L682" s="8" t="inlineStr">
        <is>
          <t>20260701</t>
        </is>
      </c>
      <c r="M682" s="8" t="inlineStr">
        <is>
          <t>99991231</t>
        </is>
      </c>
      <c r="N682" s="10" t="n">
        <v>191.18</v>
      </c>
      <c r="O682" s="10">
        <f>IFERROR(VLOOKUP(A682,Flete!$A:$J,10,0),"")</f>
        <v/>
      </c>
      <c r="P682" s="8" t="inlineStr">
        <is>
          <t>TN</t>
        </is>
      </c>
      <c r="Q682" s="10">
        <f>IFERROR(IFERROR(VLOOKUP(A682,TRAOPE!$A:$U,21,0),VLOOKUP(B682,TRAOPE!$A:$U,21,0)),"")</f>
        <v/>
      </c>
      <c r="R682" s="8">
        <f>IFERROR(IFERROR(VLOOKUP(A682,TRAOPE!$A:$W,23,0),VLOOKUP(B682,TRAOPE!$A:$W,23,0)),"")</f>
        <v/>
      </c>
      <c r="S682" s="10">
        <f>IF(AND(P682="TN",R682="TN"),N682+N(O682),IF(G682&amp;""="1",N(K682)*N682,(N682+N(O682))*N(K682)))</f>
        <v/>
      </c>
      <c r="T682" s="10">
        <f>IF(Q682="","",Q682-S682)</f>
        <v/>
      </c>
    </row>
    <row r="683">
      <c r="A683" s="7">
        <f>CONCATENATE(C683,E683,F683,I683)</f>
        <v/>
      </c>
      <c r="B683" s="7">
        <f>CONCATENATE(C683,E683,I683)</f>
        <v/>
      </c>
      <c r="C683" s="8" t="n">
        <v>900009233</v>
      </c>
      <c r="D683" s="7">
        <f>IFERROR(VLOOKUP(C683,TRAOPE!$G:$H,2,0),"")</f>
        <v/>
      </c>
      <c r="E683" s="8" t="inlineStr">
        <is>
          <t>DW68</t>
        </is>
      </c>
      <c r="F683" s="8" t="inlineStr">
        <is>
          <t>D267</t>
        </is>
      </c>
      <c r="G683" s="8">
        <f>IFERROR(VLOOKUP(A683,Flete!$A:$E,5,0),"")</f>
        <v/>
      </c>
      <c r="H683" s="7">
        <f>IFERROR(VLOOKUP(F683,TRAOPE!$AA:$AB,2,0),"")</f>
        <v/>
      </c>
      <c r="I683" s="7" t="n">
        <v>10270911</v>
      </c>
      <c r="J683" s="7">
        <f>IFERROR(VLOOKUP(I683,Materiales!$A:$H,8,0),"")</f>
        <v/>
      </c>
      <c r="K683" s="9">
        <f>IFERROR(VLOOKUP(I683,Materiales!$A:$G,7,0),"")</f>
        <v/>
      </c>
      <c r="L683" s="8" t="inlineStr">
        <is>
          <t>20260701</t>
        </is>
      </c>
      <c r="M683" s="8" t="inlineStr">
        <is>
          <t>99991231</t>
        </is>
      </c>
      <c r="N683" s="10" t="n">
        <v>191.18</v>
      </c>
      <c r="O683" s="10">
        <f>IFERROR(VLOOKUP(A683,Flete!$A:$J,10,0),"")</f>
        <v/>
      </c>
      <c r="P683" s="8" t="inlineStr">
        <is>
          <t>TN</t>
        </is>
      </c>
      <c r="Q683" s="10">
        <f>IFERROR(IFERROR(VLOOKUP(A683,TRAOPE!$A:$U,21,0),VLOOKUP(B683,TRAOPE!$A:$U,21,0)),"")</f>
        <v/>
      </c>
      <c r="R683" s="8">
        <f>IFERROR(IFERROR(VLOOKUP(A683,TRAOPE!$A:$W,23,0),VLOOKUP(B683,TRAOPE!$A:$W,23,0)),"")</f>
        <v/>
      </c>
      <c r="S683" s="10">
        <f>IF(AND(P683="TN",R683="TN"),N683+N(O683),IF(G683&amp;""="1",N(K683)*N683,(N683+N(O683))*N(K683)))</f>
        <v/>
      </c>
      <c r="T683" s="10">
        <f>IF(Q683="","",Q683-S683)</f>
        <v/>
      </c>
    </row>
    <row r="684">
      <c r="A684" s="7">
        <f>CONCATENATE(C684,E684,F684,I684)</f>
        <v/>
      </c>
      <c r="B684" s="7">
        <f>CONCATENATE(C684,E684,I684)</f>
        <v/>
      </c>
      <c r="C684" s="8" t="n">
        <v>900009234</v>
      </c>
      <c r="D684" s="7">
        <f>IFERROR(VLOOKUP(C684,TRAOPE!$G:$H,2,0),"")</f>
        <v/>
      </c>
      <c r="E684" s="8" t="inlineStr">
        <is>
          <t>DW68</t>
        </is>
      </c>
      <c r="F684" s="8" t="inlineStr">
        <is>
          <t>ENEB</t>
        </is>
      </c>
      <c r="G684" s="8">
        <f>IFERROR(VLOOKUP(A684,Flete!$A:$E,5,0),"")</f>
        <v/>
      </c>
      <c r="H684" s="7">
        <f>IFERROR(VLOOKUP(F684,TRAOPE!$AA:$AB,2,0),"")</f>
        <v/>
      </c>
      <c r="I684" s="7" t="n">
        <v>10209065</v>
      </c>
      <c r="J684" s="7">
        <f>IFERROR(VLOOKUP(I684,Materiales!$A:$H,8,0),"")</f>
        <v/>
      </c>
      <c r="K684" s="9">
        <f>IFERROR(VLOOKUP(I684,Materiales!$A:$G,7,0),"")</f>
        <v/>
      </c>
      <c r="L684" s="8" t="inlineStr">
        <is>
          <t>20251124</t>
        </is>
      </c>
      <c r="M684" s="8" t="inlineStr">
        <is>
          <t>99991231</t>
        </is>
      </c>
      <c r="N684" s="10" t="n">
        <v>117.22</v>
      </c>
      <c r="O684" s="10">
        <f>IFERROR(VLOOKUP(A684,Flete!$A:$J,10,0),"")</f>
        <v/>
      </c>
      <c r="P684" s="8" t="inlineStr">
        <is>
          <t>TN</t>
        </is>
      </c>
      <c r="Q684" s="10">
        <f>IFERROR(IFERROR(VLOOKUP(A684,TRAOPE!$A:$U,21,0),VLOOKUP(B684,TRAOPE!$A:$U,21,0)),"")</f>
        <v/>
      </c>
      <c r="R684" s="8">
        <f>IFERROR(IFERROR(VLOOKUP(A684,TRAOPE!$A:$W,23,0),VLOOKUP(B684,TRAOPE!$A:$W,23,0)),"")</f>
        <v/>
      </c>
      <c r="S684" s="10">
        <f>IF(AND(P684="TN",R684="TN"),N684+N(O684),IF(G684&amp;""="1",N(K684)*N684,(N684+N(O684))*N(K684)))</f>
        <v/>
      </c>
      <c r="T684" s="10">
        <f>IF(Q684="","",Q684-S684)</f>
        <v/>
      </c>
    </row>
    <row r="685">
      <c r="A685" s="7">
        <f>CONCATENATE(C685,E685,F685,I685)</f>
        <v/>
      </c>
      <c r="B685" s="7">
        <f>CONCATENATE(C685,E685,I685)</f>
        <v/>
      </c>
      <c r="C685" s="8" t="n">
        <v>900009234</v>
      </c>
      <c r="D685" s="7">
        <f>IFERROR(VLOOKUP(C685,TRAOPE!$G:$H,2,0),"")</f>
        <v/>
      </c>
      <c r="E685" s="8" t="inlineStr">
        <is>
          <t>DW68</t>
        </is>
      </c>
      <c r="F685" s="8" t="inlineStr">
        <is>
          <t>ENL1</t>
        </is>
      </c>
      <c r="G685" s="8">
        <f>IFERROR(VLOOKUP(A685,Flete!$A:$E,5,0),"")</f>
        <v/>
      </c>
      <c r="H685" s="7">
        <f>IFERROR(VLOOKUP(F685,TRAOPE!$AA:$AB,2,0),"")</f>
        <v/>
      </c>
      <c r="I685" s="7" t="n">
        <v>10209065</v>
      </c>
      <c r="J685" s="7">
        <f>IFERROR(VLOOKUP(I685,Materiales!$A:$H,8,0),"")</f>
        <v/>
      </c>
      <c r="K685" s="9">
        <f>IFERROR(VLOOKUP(I685,Materiales!$A:$G,7,0),"")</f>
        <v/>
      </c>
      <c r="L685" s="8" t="inlineStr">
        <is>
          <t>20251124</t>
        </is>
      </c>
      <c r="M685" s="8" t="inlineStr">
        <is>
          <t>99991231</t>
        </is>
      </c>
      <c r="N685" s="10" t="n">
        <v>117.22</v>
      </c>
      <c r="O685" s="10">
        <f>IFERROR(VLOOKUP(A685,Flete!$A:$J,10,0),"")</f>
        <v/>
      </c>
      <c r="P685" s="8" t="inlineStr">
        <is>
          <t>TN</t>
        </is>
      </c>
      <c r="Q685" s="10">
        <f>IFERROR(IFERROR(VLOOKUP(A685,TRAOPE!$A:$U,21,0),VLOOKUP(B685,TRAOPE!$A:$U,21,0)),"")</f>
        <v/>
      </c>
      <c r="R685" s="8">
        <f>IFERROR(IFERROR(VLOOKUP(A685,TRAOPE!$A:$W,23,0),VLOOKUP(B685,TRAOPE!$A:$W,23,0)),"")</f>
        <v/>
      </c>
      <c r="S685" s="10">
        <f>IF(AND(P685="TN",R685="TN"),N685+N(O685),IF(G685&amp;""="1",N(K685)*N685,(N685+N(O685))*N(K685)))</f>
        <v/>
      </c>
      <c r="T685" s="10">
        <f>IF(Q685="","",Q685-S685)</f>
        <v/>
      </c>
    </row>
    <row r="686">
      <c r="A686" s="7">
        <f>CONCATENATE(C686,E686,F686,I686)</f>
        <v/>
      </c>
      <c r="B686" s="7">
        <f>CONCATENATE(C686,E686,I686)</f>
        <v/>
      </c>
      <c r="C686" s="8" t="n">
        <v>900009234</v>
      </c>
      <c r="D686" s="7">
        <f>IFERROR(VLOOKUP(C686,TRAOPE!$G:$H,2,0),"")</f>
        <v/>
      </c>
      <c r="E686" s="8" t="inlineStr">
        <is>
          <t>DW68</t>
        </is>
      </c>
      <c r="F686" s="8" t="inlineStr">
        <is>
          <t>ENV9</t>
        </is>
      </c>
      <c r="G686" s="8">
        <f>IFERROR(VLOOKUP(A686,Flete!$A:$E,5,0),"")</f>
        <v/>
      </c>
      <c r="H686" s="7">
        <f>IFERROR(VLOOKUP(F686,TRAOPE!$AA:$AB,2,0),"")</f>
        <v/>
      </c>
      <c r="I686" s="7" t="n">
        <v>10209065</v>
      </c>
      <c r="J686" s="7">
        <f>IFERROR(VLOOKUP(I686,Materiales!$A:$H,8,0),"")</f>
        <v/>
      </c>
      <c r="K686" s="9">
        <f>IFERROR(VLOOKUP(I686,Materiales!$A:$G,7,0),"")</f>
        <v/>
      </c>
      <c r="L686" s="8" t="inlineStr">
        <is>
          <t>20251124</t>
        </is>
      </c>
      <c r="M686" s="8" t="inlineStr">
        <is>
          <t>99991231</t>
        </is>
      </c>
      <c r="N686" s="10" t="n">
        <v>117.22</v>
      </c>
      <c r="O686" s="10">
        <f>IFERROR(VLOOKUP(A686,Flete!$A:$J,10,0),"")</f>
        <v/>
      </c>
      <c r="P686" s="8" t="inlineStr">
        <is>
          <t>TN</t>
        </is>
      </c>
      <c r="Q686" s="10">
        <f>IFERROR(IFERROR(VLOOKUP(A686,TRAOPE!$A:$U,21,0),VLOOKUP(B686,TRAOPE!$A:$U,21,0)),"")</f>
        <v/>
      </c>
      <c r="R686" s="8">
        <f>IFERROR(IFERROR(VLOOKUP(A686,TRAOPE!$A:$W,23,0),VLOOKUP(B686,TRAOPE!$A:$W,23,0)),"")</f>
        <v/>
      </c>
      <c r="S686" s="10">
        <f>IF(AND(P686="TN",R686="TN"),N686+N(O686),IF(G686&amp;""="1",N(K686)*N686,(N686+N(O686))*N(K686)))</f>
        <v/>
      </c>
      <c r="T686" s="10">
        <f>IF(Q686="","",Q686-S686)</f>
        <v/>
      </c>
    </row>
    <row r="687">
      <c r="A687" s="7">
        <f>CONCATENATE(C687,E687,F687,I687)</f>
        <v/>
      </c>
      <c r="B687" s="7">
        <f>CONCATENATE(C687,E687,I687)</f>
        <v/>
      </c>
      <c r="C687" s="8" t="n">
        <v>900009301</v>
      </c>
      <c r="D687" s="7">
        <f>IFERROR(VLOOKUP(C687,TRAOPE!$G:$H,2,0),"")</f>
        <v/>
      </c>
      <c r="E687" s="8" t="inlineStr">
        <is>
          <t>DW68</t>
        </is>
      </c>
      <c r="F687" s="8" t="inlineStr">
        <is>
          <t>D577</t>
        </is>
      </c>
      <c r="G687" s="8">
        <f>IFERROR(VLOOKUP(A687,Flete!$A:$E,5,0),"")</f>
        <v/>
      </c>
      <c r="H687" s="7">
        <f>IFERROR(VLOOKUP(F687,TRAOPE!$AA:$AB,2,0),"")</f>
        <v/>
      </c>
      <c r="I687" s="7" t="n">
        <v>10000439</v>
      </c>
      <c r="J687" s="7">
        <f>IFERROR(VLOOKUP(I687,Materiales!$A:$H,8,0),"")</f>
        <v/>
      </c>
      <c r="K687" s="9">
        <f>IFERROR(VLOOKUP(I687,Materiales!$A:$G,7,0),"")</f>
        <v/>
      </c>
      <c r="L687" s="8" t="inlineStr">
        <is>
          <t>20260509</t>
        </is>
      </c>
      <c r="M687" s="8" t="inlineStr">
        <is>
          <t>99991231</t>
        </is>
      </c>
      <c r="N687" s="10" t="n">
        <v>254</v>
      </c>
      <c r="O687" s="10">
        <f>IFERROR(VLOOKUP(A687,Flete!$A:$J,10,0),"")</f>
        <v/>
      </c>
      <c r="P687" s="8" t="inlineStr">
        <is>
          <t>TN</t>
        </is>
      </c>
      <c r="Q687" s="10">
        <f>IFERROR(IFERROR(VLOOKUP(A687,TRAOPE!$A:$U,21,0),VLOOKUP(B687,TRAOPE!$A:$U,21,0)),"")</f>
        <v/>
      </c>
      <c r="R687" s="8">
        <f>IFERROR(IFERROR(VLOOKUP(A687,TRAOPE!$A:$W,23,0),VLOOKUP(B687,TRAOPE!$A:$W,23,0)),"")</f>
        <v/>
      </c>
      <c r="S687" s="10">
        <f>IF(AND(P687="TN",R687="TN"),N687+N(O687),IF(G687&amp;""="1",N(K687)*N687,(N687+N(O687))*N(K687)))</f>
        <v/>
      </c>
      <c r="T687" s="10">
        <f>IF(Q687="","",Q687-S687)</f>
        <v/>
      </c>
    </row>
    <row r="688">
      <c r="A688" s="7">
        <f>CONCATENATE(C688,E688,F688,I688)</f>
        <v/>
      </c>
      <c r="B688" s="7">
        <f>CONCATENATE(C688,E688,I688)</f>
        <v/>
      </c>
      <c r="C688" s="8" t="n">
        <v>900009301</v>
      </c>
      <c r="D688" s="7">
        <f>IFERROR(VLOOKUP(C688,TRAOPE!$G:$H,2,0),"")</f>
        <v/>
      </c>
      <c r="E688" s="8" t="inlineStr">
        <is>
          <t>DW68</t>
        </is>
      </c>
      <c r="F688" s="8" t="inlineStr">
        <is>
          <t>D577</t>
        </is>
      </c>
      <c r="G688" s="8">
        <f>IFERROR(VLOOKUP(A688,Flete!$A:$E,5,0),"")</f>
        <v/>
      </c>
      <c r="H688" s="7">
        <f>IFERROR(VLOOKUP(F688,TRAOPE!$AA:$AB,2,0),"")</f>
        <v/>
      </c>
      <c r="I688" s="7" t="n">
        <v>10209065</v>
      </c>
      <c r="J688" s="7">
        <f>IFERROR(VLOOKUP(I688,Materiales!$A:$H,8,0),"")</f>
        <v/>
      </c>
      <c r="K688" s="9">
        <f>IFERROR(VLOOKUP(I688,Materiales!$A:$G,7,0),"")</f>
        <v/>
      </c>
      <c r="L688" s="8" t="inlineStr">
        <is>
          <t>20260509</t>
        </is>
      </c>
      <c r="M688" s="8" t="inlineStr">
        <is>
          <t>99991231</t>
        </is>
      </c>
      <c r="N688" s="10" t="n">
        <v>107.12</v>
      </c>
      <c r="O688" s="10">
        <f>IFERROR(VLOOKUP(A688,Flete!$A:$J,10,0),"")</f>
        <v/>
      </c>
      <c r="P688" s="8" t="inlineStr">
        <is>
          <t>TN</t>
        </is>
      </c>
      <c r="Q688" s="10">
        <f>IFERROR(IFERROR(VLOOKUP(A688,TRAOPE!$A:$U,21,0),VLOOKUP(B688,TRAOPE!$A:$U,21,0)),"")</f>
        <v/>
      </c>
      <c r="R688" s="8">
        <f>IFERROR(IFERROR(VLOOKUP(A688,TRAOPE!$A:$W,23,0),VLOOKUP(B688,TRAOPE!$A:$W,23,0)),"")</f>
        <v/>
      </c>
      <c r="S688" s="10">
        <f>IF(AND(P688="TN",R688="TN"),N688+N(O688),IF(G688&amp;""="1",N(K688)*N688,(N688+N(O688))*N(K688)))</f>
        <v/>
      </c>
      <c r="T688" s="10">
        <f>IF(Q688="","",Q688-S688)</f>
        <v/>
      </c>
    </row>
    <row r="689">
      <c r="A689" s="7">
        <f>CONCATENATE(C689,E689,F689,I689)</f>
        <v/>
      </c>
      <c r="B689" s="7">
        <f>CONCATENATE(C689,E689,I689)</f>
        <v/>
      </c>
      <c r="C689" s="8" t="n">
        <v>900009301</v>
      </c>
      <c r="D689" s="7">
        <f>IFERROR(VLOOKUP(C689,TRAOPE!$G:$H,2,0),"")</f>
        <v/>
      </c>
      <c r="E689" s="8" t="inlineStr">
        <is>
          <t>DW68</t>
        </is>
      </c>
      <c r="F689" s="8" t="inlineStr">
        <is>
          <t>D577</t>
        </is>
      </c>
      <c r="G689" s="8">
        <f>IFERROR(VLOOKUP(A689,Flete!$A:$E,5,0),"")</f>
        <v/>
      </c>
      <c r="H689" s="7">
        <f>IFERROR(VLOOKUP(F689,TRAOPE!$AA:$AB,2,0),"")</f>
        <v/>
      </c>
      <c r="I689" s="7" t="n">
        <v>10270898</v>
      </c>
      <c r="J689" s="7">
        <f>IFERROR(VLOOKUP(I689,Materiales!$A:$H,8,0),"")</f>
        <v/>
      </c>
      <c r="K689" s="9">
        <f>IFERROR(VLOOKUP(I689,Materiales!$A:$G,7,0),"")</f>
        <v/>
      </c>
      <c r="L689" s="8" t="inlineStr">
        <is>
          <t>20260509</t>
        </is>
      </c>
      <c r="M689" s="8" t="inlineStr">
        <is>
          <t>99991231</t>
        </is>
      </c>
      <c r="N689" s="10" t="n">
        <v>184.44</v>
      </c>
      <c r="O689" s="10">
        <f>IFERROR(VLOOKUP(A689,Flete!$A:$J,10,0),"")</f>
        <v/>
      </c>
      <c r="P689" s="8" t="inlineStr">
        <is>
          <t>TN</t>
        </is>
      </c>
      <c r="Q689" s="10">
        <f>IFERROR(IFERROR(VLOOKUP(A689,TRAOPE!$A:$U,21,0),VLOOKUP(B689,TRAOPE!$A:$U,21,0)),"")</f>
        <v/>
      </c>
      <c r="R689" s="8">
        <f>IFERROR(IFERROR(VLOOKUP(A689,TRAOPE!$A:$W,23,0),VLOOKUP(B689,TRAOPE!$A:$W,23,0)),"")</f>
        <v/>
      </c>
      <c r="S689" s="10">
        <f>IF(AND(P689="TN",R689="TN"),N689+N(O689),IF(G689&amp;""="1",N(K689)*N689,(N689+N(O689))*N(K689)))</f>
        <v/>
      </c>
      <c r="T689" s="10">
        <f>IF(Q689="","",Q689-S689)</f>
        <v/>
      </c>
    </row>
    <row r="690">
      <c r="A690" s="7">
        <f>CONCATENATE(C690,E690,F690,I690)</f>
        <v/>
      </c>
      <c r="B690" s="7">
        <f>CONCATENATE(C690,E690,I690)</f>
        <v/>
      </c>
      <c r="C690" s="8" t="n">
        <v>900009301</v>
      </c>
      <c r="D690" s="7">
        <f>IFERROR(VLOOKUP(C690,TRAOPE!$G:$H,2,0),"")</f>
        <v/>
      </c>
      <c r="E690" s="8" t="inlineStr">
        <is>
          <t>DW68</t>
        </is>
      </c>
      <c r="F690" s="8" t="inlineStr">
        <is>
          <t>D577</t>
        </is>
      </c>
      <c r="G690" s="8">
        <f>IFERROR(VLOOKUP(A690,Flete!$A:$E,5,0),"")</f>
        <v/>
      </c>
      <c r="H690" s="7">
        <f>IFERROR(VLOOKUP(F690,TRAOPE!$AA:$AB,2,0),"")</f>
        <v/>
      </c>
      <c r="I690" s="7" t="n">
        <v>10270911</v>
      </c>
      <c r="J690" s="7">
        <f>IFERROR(VLOOKUP(I690,Materiales!$A:$H,8,0),"")</f>
        <v/>
      </c>
      <c r="K690" s="9">
        <f>IFERROR(VLOOKUP(I690,Materiales!$A:$G,7,0),"")</f>
        <v/>
      </c>
      <c r="L690" s="8" t="inlineStr">
        <is>
          <t>20260509</t>
        </is>
      </c>
      <c r="M690" s="8" t="inlineStr">
        <is>
          <t>99991231</t>
        </is>
      </c>
      <c r="N690" s="10" t="n">
        <v>214</v>
      </c>
      <c r="O690" s="10">
        <f>IFERROR(VLOOKUP(A690,Flete!$A:$J,10,0),"")</f>
        <v/>
      </c>
      <c r="P690" s="8" t="inlineStr">
        <is>
          <t>TN</t>
        </is>
      </c>
      <c r="Q690" s="10">
        <f>IFERROR(IFERROR(VLOOKUP(A690,TRAOPE!$A:$U,21,0),VLOOKUP(B690,TRAOPE!$A:$U,21,0)),"")</f>
        <v/>
      </c>
      <c r="R690" s="8">
        <f>IFERROR(IFERROR(VLOOKUP(A690,TRAOPE!$A:$W,23,0),VLOOKUP(B690,TRAOPE!$A:$W,23,0)),"")</f>
        <v/>
      </c>
      <c r="S690" s="10">
        <f>IF(AND(P690="TN",R690="TN"),N690+N(O690),IF(G690&amp;""="1",N(K690)*N690,(N690+N(O690))*N(K690)))</f>
        <v/>
      </c>
      <c r="T690" s="10">
        <f>IF(Q690="","",Q690-S690)</f>
        <v/>
      </c>
    </row>
    <row r="691">
      <c r="A691" s="7">
        <f>CONCATENATE(C691,E691,F691,I691)</f>
        <v/>
      </c>
      <c r="B691" s="7">
        <f>CONCATENATE(C691,E691,I691)</f>
        <v/>
      </c>
      <c r="C691" s="8" t="n">
        <v>900009301</v>
      </c>
      <c r="D691" s="7">
        <f>IFERROR(VLOOKUP(C691,TRAOPE!$G:$H,2,0),"")</f>
        <v/>
      </c>
      <c r="E691" s="8" t="inlineStr">
        <is>
          <t>DW68</t>
        </is>
      </c>
      <c r="F691" s="8" t="inlineStr">
        <is>
          <t>D577</t>
        </is>
      </c>
      <c r="G691" s="8">
        <f>IFERROR(VLOOKUP(A691,Flete!$A:$E,5,0),"")</f>
        <v/>
      </c>
      <c r="H691" s="7">
        <f>IFERROR(VLOOKUP(F691,TRAOPE!$AA:$AB,2,0),"")</f>
        <v/>
      </c>
      <c r="I691" s="7" t="n">
        <v>10270912</v>
      </c>
      <c r="J691" s="7">
        <f>IFERROR(VLOOKUP(I691,Materiales!$A:$H,8,0),"")</f>
        <v/>
      </c>
      <c r="K691" s="9">
        <f>IFERROR(VLOOKUP(I691,Materiales!$A:$G,7,0),"")</f>
        <v/>
      </c>
      <c r="L691" s="8" t="inlineStr">
        <is>
          <t>20260509</t>
        </is>
      </c>
      <c r="M691" s="8" t="inlineStr">
        <is>
          <t>99991231</t>
        </is>
      </c>
      <c r="N691" s="10" t="n">
        <v>245</v>
      </c>
      <c r="O691" s="10">
        <f>IFERROR(VLOOKUP(A691,Flete!$A:$J,10,0),"")</f>
        <v/>
      </c>
      <c r="P691" s="8" t="inlineStr">
        <is>
          <t>TN</t>
        </is>
      </c>
      <c r="Q691" s="10">
        <f>IFERROR(IFERROR(VLOOKUP(A691,TRAOPE!$A:$U,21,0),VLOOKUP(B691,TRAOPE!$A:$U,21,0)),"")</f>
        <v/>
      </c>
      <c r="R691" s="8">
        <f>IFERROR(IFERROR(VLOOKUP(A691,TRAOPE!$A:$W,23,0),VLOOKUP(B691,TRAOPE!$A:$W,23,0)),"")</f>
        <v/>
      </c>
      <c r="S691" s="10">
        <f>IF(AND(P691="TN",R691="TN"),N691+N(O691),IF(G691&amp;""="1",N(K691)*N691,(N691+N(O691))*N(K691)))</f>
        <v/>
      </c>
      <c r="T691" s="10">
        <f>IF(Q691="","",Q691-S691)</f>
        <v/>
      </c>
    </row>
    <row r="692">
      <c r="A692" s="7">
        <f>CONCATENATE(C692,E692,F692,I692)</f>
        <v/>
      </c>
      <c r="B692" s="7">
        <f>CONCATENATE(C692,E692,I692)</f>
        <v/>
      </c>
      <c r="C692" s="8" t="n">
        <v>900009301</v>
      </c>
      <c r="D692" s="7">
        <f>IFERROR(VLOOKUP(C692,TRAOPE!$G:$H,2,0),"")</f>
        <v/>
      </c>
      <c r="E692" s="8" t="inlineStr">
        <is>
          <t>DW68</t>
        </is>
      </c>
      <c r="F692" s="8" t="inlineStr">
        <is>
          <t>D577</t>
        </is>
      </c>
      <c r="G692" s="8">
        <f>IFERROR(VLOOKUP(A692,Flete!$A:$E,5,0),"")</f>
        <v/>
      </c>
      <c r="H692" s="7">
        <f>IFERROR(VLOOKUP(F692,TRAOPE!$AA:$AB,2,0),"")</f>
        <v/>
      </c>
      <c r="I692" s="7" t="n">
        <v>10270913</v>
      </c>
      <c r="J692" s="7">
        <f>IFERROR(VLOOKUP(I692,Materiales!$A:$H,8,0),"")</f>
        <v/>
      </c>
      <c r="K692" s="9">
        <f>IFERROR(VLOOKUP(I692,Materiales!$A:$G,7,0),"")</f>
        <v/>
      </c>
      <c r="L692" s="8" t="inlineStr">
        <is>
          <t>20260509</t>
        </is>
      </c>
      <c r="M692" s="8" t="inlineStr">
        <is>
          <t>99991231</t>
        </is>
      </c>
      <c r="N692" s="10" t="n">
        <v>231.12</v>
      </c>
      <c r="O692" s="10">
        <f>IFERROR(VLOOKUP(A692,Flete!$A:$J,10,0),"")</f>
        <v/>
      </c>
      <c r="P692" s="8" t="inlineStr">
        <is>
          <t>TN</t>
        </is>
      </c>
      <c r="Q692" s="10">
        <f>IFERROR(IFERROR(VLOOKUP(A692,TRAOPE!$A:$U,21,0),VLOOKUP(B692,TRAOPE!$A:$U,21,0)),"")</f>
        <v/>
      </c>
      <c r="R692" s="8">
        <f>IFERROR(IFERROR(VLOOKUP(A692,TRAOPE!$A:$W,23,0),VLOOKUP(B692,TRAOPE!$A:$W,23,0)),"")</f>
        <v/>
      </c>
      <c r="S692" s="10">
        <f>IF(AND(P692="TN",R692="TN"),N692+N(O692),IF(G692&amp;""="1",N(K692)*N692,(N692+N(O692))*N(K692)))</f>
        <v/>
      </c>
      <c r="T692" s="10">
        <f>IF(Q692="","",Q692-S692)</f>
        <v/>
      </c>
    </row>
    <row r="693">
      <c r="A693" s="7">
        <f>CONCATENATE(C693,E693,F693,I693)</f>
        <v/>
      </c>
      <c r="B693" s="7">
        <f>CONCATENATE(C693,E693,I693)</f>
        <v/>
      </c>
      <c r="C693" s="8" t="n">
        <v>900009301</v>
      </c>
      <c r="D693" s="7">
        <f>IFERROR(VLOOKUP(C693,TRAOPE!$G:$H,2,0),"")</f>
        <v/>
      </c>
      <c r="E693" s="8" t="inlineStr">
        <is>
          <t>DW68</t>
        </is>
      </c>
      <c r="F693" s="8" t="inlineStr">
        <is>
          <t>ENEB</t>
        </is>
      </c>
      <c r="G693" s="8">
        <f>IFERROR(VLOOKUP(A693,Flete!$A:$E,5,0),"")</f>
        <v/>
      </c>
      <c r="H693" s="7">
        <f>IFERROR(VLOOKUP(F693,TRAOPE!$AA:$AB,2,0),"")</f>
        <v/>
      </c>
      <c r="I693" s="7" t="n">
        <v>10209065</v>
      </c>
      <c r="J693" s="7">
        <f>IFERROR(VLOOKUP(I693,Materiales!$A:$H,8,0),"")</f>
        <v/>
      </c>
      <c r="K693" s="9">
        <f>IFERROR(VLOOKUP(I693,Materiales!$A:$G,7,0),"")</f>
        <v/>
      </c>
      <c r="L693" s="8" t="inlineStr">
        <is>
          <t>20260509</t>
        </is>
      </c>
      <c r="M693" s="8" t="inlineStr">
        <is>
          <t>99991231</t>
        </is>
      </c>
      <c r="N693" s="10" t="n">
        <v>107.12</v>
      </c>
      <c r="O693" s="10">
        <f>IFERROR(VLOOKUP(A693,Flete!$A:$J,10,0),"")</f>
        <v/>
      </c>
      <c r="P693" s="8" t="inlineStr">
        <is>
          <t>TN</t>
        </is>
      </c>
      <c r="Q693" s="10">
        <f>IFERROR(IFERROR(VLOOKUP(A693,TRAOPE!$A:$U,21,0),VLOOKUP(B693,TRAOPE!$A:$U,21,0)),"")</f>
        <v/>
      </c>
      <c r="R693" s="8">
        <f>IFERROR(IFERROR(VLOOKUP(A693,TRAOPE!$A:$W,23,0),VLOOKUP(B693,TRAOPE!$A:$W,23,0)),"")</f>
        <v/>
      </c>
      <c r="S693" s="10">
        <f>IF(AND(P693="TN",R693="TN"),N693+N(O693),IF(G693&amp;""="1",N(K693)*N693,(N693+N(O693))*N(K693)))</f>
        <v/>
      </c>
      <c r="T693" s="10">
        <f>IF(Q693="","",Q693-S693)</f>
        <v/>
      </c>
    </row>
    <row r="694">
      <c r="A694" s="7">
        <f>CONCATENATE(C694,E694,F694,I694)</f>
        <v/>
      </c>
      <c r="B694" s="7">
        <f>CONCATENATE(C694,E694,I694)</f>
        <v/>
      </c>
      <c r="C694" s="8" t="n">
        <v>900009301</v>
      </c>
      <c r="D694" s="7">
        <f>IFERROR(VLOOKUP(C694,TRAOPE!$G:$H,2,0),"")</f>
        <v/>
      </c>
      <c r="E694" s="8" t="inlineStr">
        <is>
          <t>DW68</t>
        </is>
      </c>
      <c r="F694" s="8" t="inlineStr">
        <is>
          <t>ENL1</t>
        </is>
      </c>
      <c r="G694" s="8">
        <f>IFERROR(VLOOKUP(A694,Flete!$A:$E,5,0),"")</f>
        <v/>
      </c>
      <c r="H694" s="7">
        <f>IFERROR(VLOOKUP(F694,TRAOPE!$AA:$AB,2,0),"")</f>
        <v/>
      </c>
      <c r="I694" s="7" t="n">
        <v>10000439</v>
      </c>
      <c r="J694" s="7">
        <f>IFERROR(VLOOKUP(I694,Materiales!$A:$H,8,0),"")</f>
        <v/>
      </c>
      <c r="K694" s="9">
        <f>IFERROR(VLOOKUP(I694,Materiales!$A:$G,7,0),"")</f>
        <v/>
      </c>
      <c r="L694" s="8" t="inlineStr">
        <is>
          <t>20250915</t>
        </is>
      </c>
      <c r="M694" s="8" t="inlineStr">
        <is>
          <t>20260215</t>
        </is>
      </c>
      <c r="N694" s="10" t="n">
        <v>238</v>
      </c>
      <c r="O694" s="10">
        <f>IFERROR(VLOOKUP(A694,Flete!$A:$J,10,0),"")</f>
        <v/>
      </c>
      <c r="P694" s="8" t="inlineStr">
        <is>
          <t>TN</t>
        </is>
      </c>
      <c r="Q694" s="10">
        <f>IFERROR(IFERROR(VLOOKUP(A694,TRAOPE!$A:$U,21,0),VLOOKUP(B694,TRAOPE!$A:$U,21,0)),"")</f>
        <v/>
      </c>
      <c r="R694" s="8">
        <f>IFERROR(IFERROR(VLOOKUP(A694,TRAOPE!$A:$W,23,0),VLOOKUP(B694,TRAOPE!$A:$W,23,0)),"")</f>
        <v/>
      </c>
      <c r="S694" s="10">
        <f>IF(AND(P694="TN",R694="TN"),N694+N(O694),IF(G694&amp;""="1",N(K694)*N694,(N694+N(O694))*N(K694)))</f>
        <v/>
      </c>
      <c r="T694" s="10">
        <f>IF(Q694="","",Q694-S694)</f>
        <v/>
      </c>
    </row>
    <row r="695">
      <c r="A695" s="7">
        <f>CONCATENATE(C695,E695,F695,I695)</f>
        <v/>
      </c>
      <c r="B695" s="7">
        <f>CONCATENATE(C695,E695,I695)</f>
        <v/>
      </c>
      <c r="C695" s="8" t="n">
        <v>900009301</v>
      </c>
      <c r="D695" s="7">
        <f>IFERROR(VLOOKUP(C695,TRAOPE!$G:$H,2,0),"")</f>
        <v/>
      </c>
      <c r="E695" s="8" t="inlineStr">
        <is>
          <t>DW68</t>
        </is>
      </c>
      <c r="F695" s="8" t="inlineStr">
        <is>
          <t>ENL1</t>
        </is>
      </c>
      <c r="G695" s="8">
        <f>IFERROR(VLOOKUP(A695,Flete!$A:$E,5,0),"")</f>
        <v/>
      </c>
      <c r="H695" s="7">
        <f>IFERROR(VLOOKUP(F695,TRAOPE!$AA:$AB,2,0),"")</f>
        <v/>
      </c>
      <c r="I695" s="7" t="n">
        <v>10209065</v>
      </c>
      <c r="J695" s="7">
        <f>IFERROR(VLOOKUP(I695,Materiales!$A:$H,8,0),"")</f>
        <v/>
      </c>
      <c r="K695" s="9">
        <f>IFERROR(VLOOKUP(I695,Materiales!$A:$G,7,0),"")</f>
        <v/>
      </c>
      <c r="L695" s="8" t="inlineStr">
        <is>
          <t>20251104</t>
        </is>
      </c>
      <c r="M695" s="8" t="inlineStr">
        <is>
          <t>20260215</t>
        </is>
      </c>
      <c r="N695" s="10" t="n">
        <v>105</v>
      </c>
      <c r="O695" s="10">
        <f>IFERROR(VLOOKUP(A695,Flete!$A:$J,10,0),"")</f>
        <v/>
      </c>
      <c r="P695" s="8" t="inlineStr">
        <is>
          <t>TN</t>
        </is>
      </c>
      <c r="Q695" s="10">
        <f>IFERROR(IFERROR(VLOOKUP(A695,TRAOPE!$A:$U,21,0),VLOOKUP(B695,TRAOPE!$A:$U,21,0)),"")</f>
        <v/>
      </c>
      <c r="R695" s="8">
        <f>IFERROR(IFERROR(VLOOKUP(A695,TRAOPE!$A:$W,23,0),VLOOKUP(B695,TRAOPE!$A:$W,23,0)),"")</f>
        <v/>
      </c>
      <c r="S695" s="10">
        <f>IF(AND(P695="TN",R695="TN"),N695+N(O695),IF(G695&amp;""="1",N(K695)*N695,(N695+N(O695))*N(K695)))</f>
        <v/>
      </c>
      <c r="T695" s="10">
        <f>IF(Q695="","",Q695-S695)</f>
        <v/>
      </c>
    </row>
    <row r="696">
      <c r="A696" s="7">
        <f>CONCATENATE(C696,E696,F696,I696)</f>
        <v/>
      </c>
      <c r="B696" s="7">
        <f>CONCATENATE(C696,E696,I696)</f>
        <v/>
      </c>
      <c r="C696" s="8" t="n">
        <v>900009301</v>
      </c>
      <c r="D696" s="7">
        <f>IFERROR(VLOOKUP(C696,TRAOPE!$G:$H,2,0),"")</f>
        <v/>
      </c>
      <c r="E696" s="8" t="inlineStr">
        <is>
          <t>DW68</t>
        </is>
      </c>
      <c r="F696" s="8" t="inlineStr">
        <is>
          <t>ENL1</t>
        </is>
      </c>
      <c r="G696" s="8">
        <f>IFERROR(VLOOKUP(A696,Flete!$A:$E,5,0),"")</f>
        <v/>
      </c>
      <c r="H696" s="7">
        <f>IFERROR(VLOOKUP(F696,TRAOPE!$AA:$AB,2,0),"")</f>
        <v/>
      </c>
      <c r="I696" s="7" t="n">
        <v>10270898</v>
      </c>
      <c r="J696" s="7">
        <f>IFERROR(VLOOKUP(I696,Materiales!$A:$H,8,0),"")</f>
        <v/>
      </c>
      <c r="K696" s="9">
        <f>IFERROR(VLOOKUP(I696,Materiales!$A:$G,7,0),"")</f>
        <v/>
      </c>
      <c r="L696" s="8" t="inlineStr">
        <is>
          <t>20250915</t>
        </is>
      </c>
      <c r="M696" s="8" t="inlineStr">
        <is>
          <t>20260215</t>
        </is>
      </c>
      <c r="N696" s="10" t="n">
        <v>174</v>
      </c>
      <c r="O696" s="10">
        <f>IFERROR(VLOOKUP(A696,Flete!$A:$J,10,0),"")</f>
        <v/>
      </c>
      <c r="P696" s="8" t="inlineStr">
        <is>
          <t>TN</t>
        </is>
      </c>
      <c r="Q696" s="10">
        <f>IFERROR(IFERROR(VLOOKUP(A696,TRAOPE!$A:$U,21,0),VLOOKUP(B696,TRAOPE!$A:$U,21,0)),"")</f>
        <v/>
      </c>
      <c r="R696" s="8">
        <f>IFERROR(IFERROR(VLOOKUP(A696,TRAOPE!$A:$W,23,0),VLOOKUP(B696,TRAOPE!$A:$W,23,0)),"")</f>
        <v/>
      </c>
      <c r="S696" s="10">
        <f>IF(AND(P696="TN",R696="TN"),N696+N(O696),IF(G696&amp;""="1",N(K696)*N696,(N696+N(O696))*N(K696)))</f>
        <v/>
      </c>
      <c r="T696" s="10">
        <f>IF(Q696="","",Q696-S696)</f>
        <v/>
      </c>
    </row>
    <row r="697">
      <c r="A697" s="7">
        <f>CONCATENATE(C697,E697,F697,I697)</f>
        <v/>
      </c>
      <c r="B697" s="7">
        <f>CONCATENATE(C697,E697,I697)</f>
        <v/>
      </c>
      <c r="C697" s="8" t="n">
        <v>900009301</v>
      </c>
      <c r="D697" s="7">
        <f>IFERROR(VLOOKUP(C697,TRAOPE!$G:$H,2,0),"")</f>
        <v/>
      </c>
      <c r="E697" s="8" t="inlineStr">
        <is>
          <t>DW68</t>
        </is>
      </c>
      <c r="F697" s="8" t="inlineStr">
        <is>
          <t>ENL1</t>
        </is>
      </c>
      <c r="G697" s="8">
        <f>IFERROR(VLOOKUP(A697,Flete!$A:$E,5,0),"")</f>
        <v/>
      </c>
      <c r="H697" s="7">
        <f>IFERROR(VLOOKUP(F697,TRAOPE!$AA:$AB,2,0),"")</f>
        <v/>
      </c>
      <c r="I697" s="7" t="n">
        <v>10270911</v>
      </c>
      <c r="J697" s="7">
        <f>IFERROR(VLOOKUP(I697,Materiales!$A:$H,8,0),"")</f>
        <v/>
      </c>
      <c r="K697" s="9">
        <f>IFERROR(VLOOKUP(I697,Materiales!$A:$G,7,0),"")</f>
        <v/>
      </c>
      <c r="L697" s="8" t="inlineStr">
        <is>
          <t>20251022</t>
        </is>
      </c>
      <c r="M697" s="8" t="inlineStr">
        <is>
          <t>20260215</t>
        </is>
      </c>
      <c r="N697" s="10" t="n">
        <v>216.58</v>
      </c>
      <c r="O697" s="10">
        <f>IFERROR(VLOOKUP(A697,Flete!$A:$J,10,0),"")</f>
        <v/>
      </c>
      <c r="P697" s="8" t="inlineStr">
        <is>
          <t>TN</t>
        </is>
      </c>
      <c r="Q697" s="10">
        <f>IFERROR(IFERROR(VLOOKUP(A697,TRAOPE!$A:$U,21,0),VLOOKUP(B697,TRAOPE!$A:$U,21,0)),"")</f>
        <v/>
      </c>
      <c r="R697" s="8">
        <f>IFERROR(IFERROR(VLOOKUP(A697,TRAOPE!$A:$W,23,0),VLOOKUP(B697,TRAOPE!$A:$W,23,0)),"")</f>
        <v/>
      </c>
      <c r="S697" s="10">
        <f>IF(AND(P697="TN",R697="TN"),N697+N(O697),IF(G697&amp;""="1",N(K697)*N697,(N697+N(O697))*N(K697)))</f>
        <v/>
      </c>
      <c r="T697" s="10">
        <f>IF(Q697="","",Q697-S697)</f>
        <v/>
      </c>
    </row>
    <row r="698">
      <c r="A698" s="7">
        <f>CONCATENATE(C698,E698,F698,I698)</f>
        <v/>
      </c>
      <c r="B698" s="7">
        <f>CONCATENATE(C698,E698,I698)</f>
        <v/>
      </c>
      <c r="C698" s="8" t="n">
        <v>900009301</v>
      </c>
      <c r="D698" s="7">
        <f>IFERROR(VLOOKUP(C698,TRAOPE!$G:$H,2,0),"")</f>
        <v/>
      </c>
      <c r="E698" s="8" t="inlineStr">
        <is>
          <t>DW68</t>
        </is>
      </c>
      <c r="F698" s="8" t="inlineStr">
        <is>
          <t>ENL1</t>
        </is>
      </c>
      <c r="G698" s="8">
        <f>IFERROR(VLOOKUP(A698,Flete!$A:$E,5,0),"")</f>
        <v/>
      </c>
      <c r="H698" s="7">
        <f>IFERROR(VLOOKUP(F698,TRAOPE!$AA:$AB,2,0),"")</f>
        <v/>
      </c>
      <c r="I698" s="7" t="n">
        <v>10270912</v>
      </c>
      <c r="J698" s="7">
        <f>IFERROR(VLOOKUP(I698,Materiales!$A:$H,8,0),"")</f>
        <v/>
      </c>
      <c r="K698" s="9">
        <f>IFERROR(VLOOKUP(I698,Materiales!$A:$G,7,0),"")</f>
        <v/>
      </c>
      <c r="L698" s="8" t="inlineStr">
        <is>
          <t>20260406</t>
        </is>
      </c>
      <c r="M698" s="8" t="inlineStr">
        <is>
          <t>20260430</t>
        </is>
      </c>
      <c r="N698" s="10" t="n">
        <v>216.58</v>
      </c>
      <c r="O698" s="10">
        <f>IFERROR(VLOOKUP(A698,Flete!$A:$J,10,0),"")</f>
        <v/>
      </c>
      <c r="P698" s="8" t="inlineStr">
        <is>
          <t>TN</t>
        </is>
      </c>
      <c r="Q698" s="10">
        <f>IFERROR(IFERROR(VLOOKUP(A698,TRAOPE!$A:$U,21,0),VLOOKUP(B698,TRAOPE!$A:$U,21,0)),"")</f>
        <v/>
      </c>
      <c r="R698" s="8">
        <f>IFERROR(IFERROR(VLOOKUP(A698,TRAOPE!$A:$W,23,0),VLOOKUP(B698,TRAOPE!$A:$W,23,0)),"")</f>
        <v/>
      </c>
      <c r="S698" s="10">
        <f>IF(AND(P698="TN",R698="TN"),N698+N(O698),IF(G698&amp;""="1",N(K698)*N698,(N698+N(O698))*N(K698)))</f>
        <v/>
      </c>
      <c r="T698" s="10">
        <f>IF(Q698="","",Q698-S698)</f>
        <v/>
      </c>
    </row>
    <row r="699">
      <c r="A699" s="7">
        <f>CONCATENATE(C699,E699,F699,I699)</f>
        <v/>
      </c>
      <c r="B699" s="7">
        <f>CONCATENATE(C699,E699,I699)</f>
        <v/>
      </c>
      <c r="C699" s="8" t="n">
        <v>900009301</v>
      </c>
      <c r="D699" s="7">
        <f>IFERROR(VLOOKUP(C699,TRAOPE!$G:$H,2,0),"")</f>
        <v/>
      </c>
      <c r="E699" s="8" t="inlineStr">
        <is>
          <t>DW68</t>
        </is>
      </c>
      <c r="F699" s="8" t="inlineStr">
        <is>
          <t>ENL1</t>
        </is>
      </c>
      <c r="G699" s="8">
        <f>IFERROR(VLOOKUP(A699,Flete!$A:$E,5,0),"")</f>
        <v/>
      </c>
      <c r="H699" s="7">
        <f>IFERROR(VLOOKUP(F699,TRAOPE!$AA:$AB,2,0),"")</f>
        <v/>
      </c>
      <c r="I699" s="7" t="n">
        <v>10270913</v>
      </c>
      <c r="J699" s="7">
        <f>IFERROR(VLOOKUP(I699,Materiales!$A:$H,8,0),"")</f>
        <v/>
      </c>
      <c r="K699" s="9">
        <f>IFERROR(VLOOKUP(I699,Materiales!$A:$G,7,0),"")</f>
        <v/>
      </c>
      <c r="L699" s="8" t="inlineStr">
        <is>
          <t>20250915</t>
        </is>
      </c>
      <c r="M699" s="8" t="inlineStr">
        <is>
          <t>20260215</t>
        </is>
      </c>
      <c r="N699" s="10" t="n">
        <v>214</v>
      </c>
      <c r="O699" s="10">
        <f>IFERROR(VLOOKUP(A699,Flete!$A:$J,10,0),"")</f>
        <v/>
      </c>
      <c r="P699" s="8" t="inlineStr">
        <is>
          <t>TN</t>
        </is>
      </c>
      <c r="Q699" s="10">
        <f>IFERROR(IFERROR(VLOOKUP(A699,TRAOPE!$A:$U,21,0),VLOOKUP(B699,TRAOPE!$A:$U,21,0)),"")</f>
        <v/>
      </c>
      <c r="R699" s="8">
        <f>IFERROR(IFERROR(VLOOKUP(A699,TRAOPE!$A:$W,23,0),VLOOKUP(B699,TRAOPE!$A:$W,23,0)),"")</f>
        <v/>
      </c>
      <c r="S699" s="10">
        <f>IF(AND(P699="TN",R699="TN"),N699+N(O699),IF(G699&amp;""="1",N(K699)*N699,(N699+N(O699))*N(K699)))</f>
        <v/>
      </c>
      <c r="T699" s="10">
        <f>IF(Q699="","",Q699-S699)</f>
        <v/>
      </c>
    </row>
    <row r="700">
      <c r="A700" s="7">
        <f>CONCATENATE(C700,E700,F700,I700)</f>
        <v/>
      </c>
      <c r="B700" s="7">
        <f>CONCATENATE(C700,E700,I700)</f>
        <v/>
      </c>
      <c r="C700" s="8" t="n">
        <v>900009301</v>
      </c>
      <c r="D700" s="7">
        <f>IFERROR(VLOOKUP(C700,TRAOPE!$G:$H,2,0),"")</f>
        <v/>
      </c>
      <c r="E700" s="8" t="inlineStr">
        <is>
          <t>DW68</t>
        </is>
      </c>
      <c r="F700" s="8" t="inlineStr">
        <is>
          <t>ENV8</t>
        </is>
      </c>
      <c r="G700" s="8">
        <f>IFERROR(VLOOKUP(A700,Flete!$A:$E,5,0),"")</f>
        <v/>
      </c>
      <c r="H700" s="7">
        <f>IFERROR(VLOOKUP(F700,TRAOPE!$AA:$AB,2,0),"")</f>
        <v/>
      </c>
      <c r="I700" s="7" t="n">
        <v>10209065</v>
      </c>
      <c r="J700" s="7">
        <f>IFERROR(VLOOKUP(I700,Materiales!$A:$H,8,0),"")</f>
        <v/>
      </c>
      <c r="K700" s="9">
        <f>IFERROR(VLOOKUP(I700,Materiales!$A:$G,7,0),"")</f>
        <v/>
      </c>
      <c r="L700" s="8" t="inlineStr">
        <is>
          <t>20260509</t>
        </is>
      </c>
      <c r="M700" s="8" t="inlineStr">
        <is>
          <t>99991231</t>
        </is>
      </c>
      <c r="N700" s="10" t="n">
        <v>107.12</v>
      </c>
      <c r="O700" s="10">
        <f>IFERROR(VLOOKUP(A700,Flete!$A:$J,10,0),"")</f>
        <v/>
      </c>
      <c r="P700" s="8" t="inlineStr">
        <is>
          <t>TN</t>
        </is>
      </c>
      <c r="Q700" s="10">
        <f>IFERROR(IFERROR(VLOOKUP(A700,TRAOPE!$A:$U,21,0),VLOOKUP(B700,TRAOPE!$A:$U,21,0)),"")</f>
        <v/>
      </c>
      <c r="R700" s="8">
        <f>IFERROR(IFERROR(VLOOKUP(A700,TRAOPE!$A:$W,23,0),VLOOKUP(B700,TRAOPE!$A:$W,23,0)),"")</f>
        <v/>
      </c>
      <c r="S700" s="10">
        <f>IF(AND(P700="TN",R700="TN"),N700+N(O700),IF(G700&amp;""="1",N(K700)*N700,(N700+N(O700))*N(K700)))</f>
        <v/>
      </c>
      <c r="T700" s="10">
        <f>IF(Q700="","",Q700-S700)</f>
        <v/>
      </c>
    </row>
    <row r="701">
      <c r="A701" s="7">
        <f>CONCATENATE(C701,E701,F701,I701)</f>
        <v/>
      </c>
      <c r="B701" s="7">
        <f>CONCATENATE(C701,E701,I701)</f>
        <v/>
      </c>
      <c r="C701" s="8" t="n">
        <v>900009301</v>
      </c>
      <c r="D701" s="7">
        <f>IFERROR(VLOOKUP(C701,TRAOPE!$G:$H,2,0),"")</f>
        <v/>
      </c>
      <c r="E701" s="8" t="inlineStr">
        <is>
          <t>DW68</t>
        </is>
      </c>
      <c r="F701" s="8" t="inlineStr">
        <is>
          <t>ENV9</t>
        </is>
      </c>
      <c r="G701" s="8">
        <f>IFERROR(VLOOKUP(A701,Flete!$A:$E,5,0),"")</f>
        <v/>
      </c>
      <c r="H701" s="7">
        <f>IFERROR(VLOOKUP(F701,TRAOPE!$AA:$AB,2,0),"")</f>
        <v/>
      </c>
      <c r="I701" s="7" t="n">
        <v>10000439</v>
      </c>
      <c r="J701" s="7">
        <f>IFERROR(VLOOKUP(I701,Materiales!$A:$H,8,0),"")</f>
        <v/>
      </c>
      <c r="K701" s="9">
        <f>IFERROR(VLOOKUP(I701,Materiales!$A:$G,7,0),"")</f>
        <v/>
      </c>
      <c r="L701" s="8" t="inlineStr">
        <is>
          <t>20250917</t>
        </is>
      </c>
      <c r="M701" s="8" t="inlineStr">
        <is>
          <t>20260215</t>
        </is>
      </c>
      <c r="N701" s="10" t="n">
        <v>238</v>
      </c>
      <c r="O701" s="10">
        <f>IFERROR(VLOOKUP(A701,Flete!$A:$J,10,0),"")</f>
        <v/>
      </c>
      <c r="P701" s="8" t="inlineStr">
        <is>
          <t>TN</t>
        </is>
      </c>
      <c r="Q701" s="10">
        <f>IFERROR(IFERROR(VLOOKUP(A701,TRAOPE!$A:$U,21,0),VLOOKUP(B701,TRAOPE!$A:$U,21,0)),"")</f>
        <v/>
      </c>
      <c r="R701" s="8">
        <f>IFERROR(IFERROR(VLOOKUP(A701,TRAOPE!$A:$W,23,0),VLOOKUP(B701,TRAOPE!$A:$W,23,0)),"")</f>
        <v/>
      </c>
      <c r="S701" s="10">
        <f>IF(AND(P701="TN",R701="TN"),N701+N(O701),IF(G701&amp;""="1",N(K701)*N701,(N701+N(O701))*N(K701)))</f>
        <v/>
      </c>
      <c r="T701" s="10">
        <f>IF(Q701="","",Q701-S701)</f>
        <v/>
      </c>
    </row>
    <row r="702">
      <c r="A702" s="7">
        <f>CONCATENATE(C702,E702,F702,I702)</f>
        <v/>
      </c>
      <c r="B702" s="7">
        <f>CONCATENATE(C702,E702,I702)</f>
        <v/>
      </c>
      <c r="C702" s="8" t="n">
        <v>900009301</v>
      </c>
      <c r="D702" s="7">
        <f>IFERROR(VLOOKUP(C702,TRAOPE!$G:$H,2,0),"")</f>
        <v/>
      </c>
      <c r="E702" s="8" t="inlineStr">
        <is>
          <t>DW68</t>
        </is>
      </c>
      <c r="F702" s="8" t="inlineStr">
        <is>
          <t>ENV9</t>
        </is>
      </c>
      <c r="G702" s="8">
        <f>IFERROR(VLOOKUP(A702,Flete!$A:$E,5,0),"")</f>
        <v/>
      </c>
      <c r="H702" s="7">
        <f>IFERROR(VLOOKUP(F702,TRAOPE!$AA:$AB,2,0),"")</f>
        <v/>
      </c>
      <c r="I702" s="7" t="n">
        <v>10209065</v>
      </c>
      <c r="J702" s="7">
        <f>IFERROR(VLOOKUP(I702,Materiales!$A:$H,8,0),"")</f>
        <v/>
      </c>
      <c r="K702" s="9">
        <f>IFERROR(VLOOKUP(I702,Materiales!$A:$G,7,0),"")</f>
        <v/>
      </c>
      <c r="L702" s="8" t="inlineStr">
        <is>
          <t>20260509</t>
        </is>
      </c>
      <c r="M702" s="8" t="inlineStr">
        <is>
          <t>99991231</t>
        </is>
      </c>
      <c r="N702" s="10" t="n">
        <v>107.12</v>
      </c>
      <c r="O702" s="10">
        <f>IFERROR(VLOOKUP(A702,Flete!$A:$J,10,0),"")</f>
        <v/>
      </c>
      <c r="P702" s="8" t="inlineStr">
        <is>
          <t>TN</t>
        </is>
      </c>
      <c r="Q702" s="10">
        <f>IFERROR(IFERROR(VLOOKUP(A702,TRAOPE!$A:$U,21,0),VLOOKUP(B702,TRAOPE!$A:$U,21,0)),"")</f>
        <v/>
      </c>
      <c r="R702" s="8">
        <f>IFERROR(IFERROR(VLOOKUP(A702,TRAOPE!$A:$W,23,0),VLOOKUP(B702,TRAOPE!$A:$W,23,0)),"")</f>
        <v/>
      </c>
      <c r="S702" s="10">
        <f>IF(AND(P702="TN",R702="TN"),N702+N(O702),IF(G702&amp;""="1",N(K702)*N702,(N702+N(O702))*N(K702)))</f>
        <v/>
      </c>
      <c r="T702" s="10">
        <f>IF(Q702="","",Q702-S702)</f>
        <v/>
      </c>
    </row>
    <row r="703">
      <c r="A703" s="7">
        <f>CONCATENATE(C703,E703,F703,I703)</f>
        <v/>
      </c>
      <c r="B703" s="7">
        <f>CONCATENATE(C703,E703,I703)</f>
        <v/>
      </c>
      <c r="C703" s="8" t="n">
        <v>900009301</v>
      </c>
      <c r="D703" s="7">
        <f>IFERROR(VLOOKUP(C703,TRAOPE!$G:$H,2,0),"")</f>
        <v/>
      </c>
      <c r="E703" s="8" t="inlineStr">
        <is>
          <t>DW68</t>
        </is>
      </c>
      <c r="F703" s="8" t="inlineStr">
        <is>
          <t>ENV9</t>
        </is>
      </c>
      <c r="G703" s="8">
        <f>IFERROR(VLOOKUP(A703,Flete!$A:$E,5,0),"")</f>
        <v/>
      </c>
      <c r="H703" s="7">
        <f>IFERROR(VLOOKUP(F703,TRAOPE!$AA:$AB,2,0),"")</f>
        <v/>
      </c>
      <c r="I703" s="7" t="n">
        <v>10270898</v>
      </c>
      <c r="J703" s="7">
        <f>IFERROR(VLOOKUP(I703,Materiales!$A:$H,8,0),"")</f>
        <v/>
      </c>
      <c r="K703" s="9">
        <f>IFERROR(VLOOKUP(I703,Materiales!$A:$G,7,0),"")</f>
        <v/>
      </c>
      <c r="L703" s="8" t="inlineStr">
        <is>
          <t>20260509</t>
        </is>
      </c>
      <c r="M703" s="8" t="inlineStr">
        <is>
          <t>99991231</t>
        </is>
      </c>
      <c r="N703" s="10" t="n">
        <v>184.44</v>
      </c>
      <c r="O703" s="10">
        <f>IFERROR(VLOOKUP(A703,Flete!$A:$J,10,0),"")</f>
        <v/>
      </c>
      <c r="P703" s="8" t="inlineStr">
        <is>
          <t>TN</t>
        </is>
      </c>
      <c r="Q703" s="10">
        <f>IFERROR(IFERROR(VLOOKUP(A703,TRAOPE!$A:$U,21,0),VLOOKUP(B703,TRAOPE!$A:$U,21,0)),"")</f>
        <v/>
      </c>
      <c r="R703" s="8">
        <f>IFERROR(IFERROR(VLOOKUP(A703,TRAOPE!$A:$W,23,0),VLOOKUP(B703,TRAOPE!$A:$W,23,0)),"")</f>
        <v/>
      </c>
      <c r="S703" s="10">
        <f>IF(AND(P703="TN",R703="TN"),N703+N(O703),IF(G703&amp;""="1",N(K703)*N703,(N703+N(O703))*N(K703)))</f>
        <v/>
      </c>
      <c r="T703" s="10">
        <f>IF(Q703="","",Q703-S703)</f>
        <v/>
      </c>
    </row>
    <row r="704">
      <c r="A704" s="7">
        <f>CONCATENATE(C704,E704,F704,I704)</f>
        <v/>
      </c>
      <c r="B704" s="7">
        <f>CONCATENATE(C704,E704,I704)</f>
        <v/>
      </c>
      <c r="C704" s="8" t="n">
        <v>900009301</v>
      </c>
      <c r="D704" s="7">
        <f>IFERROR(VLOOKUP(C704,TRAOPE!$G:$H,2,0),"")</f>
        <v/>
      </c>
      <c r="E704" s="8" t="inlineStr">
        <is>
          <t>DW68</t>
        </is>
      </c>
      <c r="F704" s="8" t="inlineStr">
        <is>
          <t>ENV9</t>
        </is>
      </c>
      <c r="G704" s="8">
        <f>IFERROR(VLOOKUP(A704,Flete!$A:$E,5,0),"")</f>
        <v/>
      </c>
      <c r="H704" s="7">
        <f>IFERROR(VLOOKUP(F704,TRAOPE!$AA:$AB,2,0),"")</f>
        <v/>
      </c>
      <c r="I704" s="7" t="n">
        <v>10270911</v>
      </c>
      <c r="J704" s="7">
        <f>IFERROR(VLOOKUP(I704,Materiales!$A:$H,8,0),"")</f>
        <v/>
      </c>
      <c r="K704" s="9">
        <f>IFERROR(VLOOKUP(I704,Materiales!$A:$G,7,0),"")</f>
        <v/>
      </c>
      <c r="L704" s="8" t="inlineStr">
        <is>
          <t>20260509</t>
        </is>
      </c>
      <c r="M704" s="8" t="inlineStr">
        <is>
          <t>99991231</t>
        </is>
      </c>
      <c r="N704" s="10" t="n">
        <v>214</v>
      </c>
      <c r="O704" s="10">
        <f>IFERROR(VLOOKUP(A704,Flete!$A:$J,10,0),"")</f>
        <v/>
      </c>
      <c r="P704" s="8" t="inlineStr">
        <is>
          <t>TN</t>
        </is>
      </c>
      <c r="Q704" s="10">
        <f>IFERROR(IFERROR(VLOOKUP(A704,TRAOPE!$A:$U,21,0),VLOOKUP(B704,TRAOPE!$A:$U,21,0)),"")</f>
        <v/>
      </c>
      <c r="R704" s="8">
        <f>IFERROR(IFERROR(VLOOKUP(A704,TRAOPE!$A:$W,23,0),VLOOKUP(B704,TRAOPE!$A:$W,23,0)),"")</f>
        <v/>
      </c>
      <c r="S704" s="10">
        <f>IF(AND(P704="TN",R704="TN"),N704+N(O704),IF(G704&amp;""="1",N(K704)*N704,(N704+N(O704))*N(K704)))</f>
        <v/>
      </c>
      <c r="T704" s="10">
        <f>IF(Q704="","",Q704-S704)</f>
        <v/>
      </c>
    </row>
    <row r="705">
      <c r="A705" s="7">
        <f>CONCATENATE(C705,E705,F705,I705)</f>
        <v/>
      </c>
      <c r="B705" s="7">
        <f>CONCATENATE(C705,E705,I705)</f>
        <v/>
      </c>
      <c r="C705" s="8" t="n">
        <v>900009301</v>
      </c>
      <c r="D705" s="7">
        <f>IFERROR(VLOOKUP(C705,TRAOPE!$G:$H,2,0),"")</f>
        <v/>
      </c>
      <c r="E705" s="8" t="inlineStr">
        <is>
          <t>DW68</t>
        </is>
      </c>
      <c r="F705" s="8" t="inlineStr">
        <is>
          <t>ENV9</t>
        </is>
      </c>
      <c r="G705" s="8">
        <f>IFERROR(VLOOKUP(A705,Flete!$A:$E,5,0),"")</f>
        <v/>
      </c>
      <c r="H705" s="7">
        <f>IFERROR(VLOOKUP(F705,TRAOPE!$AA:$AB,2,0),"")</f>
        <v/>
      </c>
      <c r="I705" s="7" t="n">
        <v>10270912</v>
      </c>
      <c r="J705" s="7">
        <f>IFERROR(VLOOKUP(I705,Materiales!$A:$H,8,0),"")</f>
        <v/>
      </c>
      <c r="K705" s="9">
        <f>IFERROR(VLOOKUP(I705,Materiales!$A:$G,7,0),"")</f>
        <v/>
      </c>
      <c r="L705" s="8" t="inlineStr">
        <is>
          <t>20260509</t>
        </is>
      </c>
      <c r="M705" s="8" t="inlineStr">
        <is>
          <t>99991231</t>
        </is>
      </c>
      <c r="N705" s="10" t="n">
        <v>245</v>
      </c>
      <c r="O705" s="10">
        <f>IFERROR(VLOOKUP(A705,Flete!$A:$J,10,0),"")</f>
        <v/>
      </c>
      <c r="P705" s="8" t="inlineStr">
        <is>
          <t>TN</t>
        </is>
      </c>
      <c r="Q705" s="10">
        <f>IFERROR(IFERROR(VLOOKUP(A705,TRAOPE!$A:$U,21,0),VLOOKUP(B705,TRAOPE!$A:$U,21,0)),"")</f>
        <v/>
      </c>
      <c r="R705" s="8">
        <f>IFERROR(IFERROR(VLOOKUP(A705,TRAOPE!$A:$W,23,0),VLOOKUP(B705,TRAOPE!$A:$W,23,0)),"")</f>
        <v/>
      </c>
      <c r="S705" s="10">
        <f>IF(AND(P705="TN",R705="TN"),N705+N(O705),IF(G705&amp;""="1",N(K705)*N705,(N705+N(O705))*N(K705)))</f>
        <v/>
      </c>
      <c r="T705" s="10">
        <f>IF(Q705="","",Q705-S705)</f>
        <v/>
      </c>
    </row>
    <row r="706">
      <c r="A706" s="7">
        <f>CONCATENATE(C706,E706,F706,I706)</f>
        <v/>
      </c>
      <c r="B706" s="7">
        <f>CONCATENATE(C706,E706,I706)</f>
        <v/>
      </c>
      <c r="C706" s="8" t="n">
        <v>900009301</v>
      </c>
      <c r="D706" s="7">
        <f>IFERROR(VLOOKUP(C706,TRAOPE!$G:$H,2,0),"")</f>
        <v/>
      </c>
      <c r="E706" s="8" t="inlineStr">
        <is>
          <t>DW68</t>
        </is>
      </c>
      <c r="F706" s="8" t="inlineStr">
        <is>
          <t>ENV9</t>
        </is>
      </c>
      <c r="G706" s="8">
        <f>IFERROR(VLOOKUP(A706,Flete!$A:$E,5,0),"")</f>
        <v/>
      </c>
      <c r="H706" s="7">
        <f>IFERROR(VLOOKUP(F706,TRAOPE!$AA:$AB,2,0),"")</f>
        <v/>
      </c>
      <c r="I706" s="7" t="n">
        <v>10270913</v>
      </c>
      <c r="J706" s="7">
        <f>IFERROR(VLOOKUP(I706,Materiales!$A:$H,8,0),"")</f>
        <v/>
      </c>
      <c r="K706" s="9">
        <f>IFERROR(VLOOKUP(I706,Materiales!$A:$G,7,0),"")</f>
        <v/>
      </c>
      <c r="L706" s="8" t="inlineStr">
        <is>
          <t>20260509</t>
        </is>
      </c>
      <c r="M706" s="8" t="inlineStr">
        <is>
          <t>99991231</t>
        </is>
      </c>
      <c r="N706" s="10" t="n">
        <v>231.12</v>
      </c>
      <c r="O706" s="10">
        <f>IFERROR(VLOOKUP(A706,Flete!$A:$J,10,0),"")</f>
        <v/>
      </c>
      <c r="P706" s="8" t="inlineStr">
        <is>
          <t>TN</t>
        </is>
      </c>
      <c r="Q706" s="10">
        <f>IFERROR(IFERROR(VLOOKUP(A706,TRAOPE!$A:$U,21,0),VLOOKUP(B706,TRAOPE!$A:$U,21,0)),"")</f>
        <v/>
      </c>
      <c r="R706" s="8">
        <f>IFERROR(IFERROR(VLOOKUP(A706,TRAOPE!$A:$W,23,0),VLOOKUP(B706,TRAOPE!$A:$W,23,0)),"")</f>
        <v/>
      </c>
      <c r="S706" s="10">
        <f>IF(AND(P706="TN",R706="TN"),N706+N(O706),IF(G706&amp;""="1",N(K706)*N706,(N706+N(O706))*N(K706)))</f>
        <v/>
      </c>
      <c r="T706" s="10">
        <f>IF(Q706="","",Q706-S706)</f>
        <v/>
      </c>
    </row>
    <row r="707">
      <c r="A707" s="7">
        <f>CONCATENATE(C707,E707,F707,I707)</f>
        <v/>
      </c>
      <c r="B707" s="7">
        <f>CONCATENATE(C707,E707,I707)</f>
        <v/>
      </c>
      <c r="C707" s="8" t="n">
        <v>900009395</v>
      </c>
      <c r="D707" s="7">
        <f>IFERROR(VLOOKUP(C707,TRAOPE!$G:$H,2,0),"")</f>
        <v/>
      </c>
      <c r="E707" s="8" t="inlineStr">
        <is>
          <t>DW68</t>
        </is>
      </c>
      <c r="F707" s="8" t="inlineStr">
        <is>
          <t>ENEB</t>
        </is>
      </c>
      <c r="G707" s="8">
        <f>IFERROR(VLOOKUP(A707,Flete!$A:$E,5,0),"")</f>
        <v/>
      </c>
      <c r="H707" s="7">
        <f>IFERROR(VLOOKUP(F707,TRAOPE!$AA:$AB,2,0),"")</f>
        <v/>
      </c>
      <c r="I707" s="7" t="n">
        <v>10209065</v>
      </c>
      <c r="J707" s="7">
        <f>IFERROR(VLOOKUP(I707,Materiales!$A:$H,8,0),"")</f>
        <v/>
      </c>
      <c r="K707" s="9">
        <f>IFERROR(VLOOKUP(I707,Materiales!$A:$G,7,0),"")</f>
        <v/>
      </c>
      <c r="L707" s="8" t="inlineStr">
        <is>
          <t>20251121</t>
        </is>
      </c>
      <c r="M707" s="8" t="inlineStr">
        <is>
          <t>99991231</t>
        </is>
      </c>
      <c r="N707" s="10" t="n">
        <v>153.85</v>
      </c>
      <c r="O707" s="10">
        <f>IFERROR(VLOOKUP(A707,Flete!$A:$J,10,0),"")</f>
        <v/>
      </c>
      <c r="P707" s="8" t="inlineStr">
        <is>
          <t>TN</t>
        </is>
      </c>
      <c r="Q707" s="10">
        <f>IFERROR(IFERROR(VLOOKUP(A707,TRAOPE!$A:$U,21,0),VLOOKUP(B707,TRAOPE!$A:$U,21,0)),"")</f>
        <v/>
      </c>
      <c r="R707" s="8">
        <f>IFERROR(IFERROR(VLOOKUP(A707,TRAOPE!$A:$W,23,0),VLOOKUP(B707,TRAOPE!$A:$W,23,0)),"")</f>
        <v/>
      </c>
      <c r="S707" s="10">
        <f>IF(AND(P707="TN",R707="TN"),N707+N(O707),IF(G707&amp;""="1",N(K707)*N707,(N707+N(O707))*N(K707)))</f>
        <v/>
      </c>
      <c r="T707" s="10">
        <f>IF(Q707="","",Q707-S707)</f>
        <v/>
      </c>
    </row>
    <row r="708">
      <c r="A708" s="7">
        <f>CONCATENATE(C708,E708,F708,I708)</f>
        <v/>
      </c>
      <c r="B708" s="7">
        <f>CONCATENATE(C708,E708,I708)</f>
        <v/>
      </c>
      <c r="C708" s="8" t="n">
        <v>900009395</v>
      </c>
      <c r="D708" s="7">
        <f>IFERROR(VLOOKUP(C708,TRAOPE!$G:$H,2,0),"")</f>
        <v/>
      </c>
      <c r="E708" s="8" t="inlineStr">
        <is>
          <t>DW68</t>
        </is>
      </c>
      <c r="F708" s="8" t="inlineStr">
        <is>
          <t>ENL1</t>
        </is>
      </c>
      <c r="G708" s="8">
        <f>IFERROR(VLOOKUP(A708,Flete!$A:$E,5,0),"")</f>
        <v/>
      </c>
      <c r="H708" s="7">
        <f>IFERROR(VLOOKUP(F708,TRAOPE!$AA:$AB,2,0),"")</f>
        <v/>
      </c>
      <c r="I708" s="7" t="n">
        <v>10209065</v>
      </c>
      <c r="J708" s="7">
        <f>IFERROR(VLOOKUP(I708,Materiales!$A:$H,8,0),"")</f>
        <v/>
      </c>
      <c r="K708" s="9">
        <f>IFERROR(VLOOKUP(I708,Materiales!$A:$G,7,0),"")</f>
        <v/>
      </c>
      <c r="L708" s="8" t="inlineStr">
        <is>
          <t>20251121</t>
        </is>
      </c>
      <c r="M708" s="8" t="inlineStr">
        <is>
          <t>99991231</t>
        </is>
      </c>
      <c r="N708" s="10" t="n">
        <v>153.85</v>
      </c>
      <c r="O708" s="10">
        <f>IFERROR(VLOOKUP(A708,Flete!$A:$J,10,0),"")</f>
        <v/>
      </c>
      <c r="P708" s="8" t="inlineStr">
        <is>
          <t>TN</t>
        </is>
      </c>
      <c r="Q708" s="10">
        <f>IFERROR(IFERROR(VLOOKUP(A708,TRAOPE!$A:$U,21,0),VLOOKUP(B708,TRAOPE!$A:$U,21,0)),"")</f>
        <v/>
      </c>
      <c r="R708" s="8">
        <f>IFERROR(IFERROR(VLOOKUP(A708,TRAOPE!$A:$W,23,0),VLOOKUP(B708,TRAOPE!$A:$W,23,0)),"")</f>
        <v/>
      </c>
      <c r="S708" s="10">
        <f>IF(AND(P708="TN",R708="TN"),N708+N(O708),IF(G708&amp;""="1",N(K708)*N708,(N708+N(O708))*N(K708)))</f>
        <v/>
      </c>
      <c r="T708" s="10">
        <f>IF(Q708="","",Q708-S708)</f>
        <v/>
      </c>
    </row>
    <row r="709">
      <c r="A709" s="7">
        <f>CONCATENATE(C709,E709,F709,I709)</f>
        <v/>
      </c>
      <c r="B709" s="7">
        <f>CONCATENATE(C709,E709,I709)</f>
        <v/>
      </c>
      <c r="C709" s="8" t="n">
        <v>900009395</v>
      </c>
      <c r="D709" s="7">
        <f>IFERROR(VLOOKUP(C709,TRAOPE!$G:$H,2,0),"")</f>
        <v/>
      </c>
      <c r="E709" s="8" t="inlineStr">
        <is>
          <t>DW68</t>
        </is>
      </c>
      <c r="F709" s="8" t="inlineStr">
        <is>
          <t>ENL1</t>
        </is>
      </c>
      <c r="G709" s="8">
        <f>IFERROR(VLOOKUP(A709,Flete!$A:$E,5,0),"")</f>
        <v/>
      </c>
      <c r="H709" s="7">
        <f>IFERROR(VLOOKUP(F709,TRAOPE!$AA:$AB,2,0),"")</f>
        <v/>
      </c>
      <c r="I709" s="7" t="n">
        <v>10270898</v>
      </c>
      <c r="J709" s="7">
        <f>IFERROR(VLOOKUP(I709,Materiales!$A:$H,8,0),"")</f>
        <v/>
      </c>
      <c r="K709" s="9">
        <f>IFERROR(VLOOKUP(I709,Materiales!$A:$G,7,0),"")</f>
        <v/>
      </c>
      <c r="L709" s="8" t="inlineStr">
        <is>
          <t>20251113</t>
        </is>
      </c>
      <c r="M709" s="8" t="inlineStr">
        <is>
          <t>99991231</t>
        </is>
      </c>
      <c r="N709" s="10" t="n">
        <v>186.98</v>
      </c>
      <c r="O709" s="10">
        <f>IFERROR(VLOOKUP(A709,Flete!$A:$J,10,0),"")</f>
        <v/>
      </c>
      <c r="P709" s="8" t="inlineStr">
        <is>
          <t>TN</t>
        </is>
      </c>
      <c r="Q709" s="10">
        <f>IFERROR(IFERROR(VLOOKUP(A709,TRAOPE!$A:$U,21,0),VLOOKUP(B709,TRAOPE!$A:$U,21,0)),"")</f>
        <v/>
      </c>
      <c r="R709" s="8">
        <f>IFERROR(IFERROR(VLOOKUP(A709,TRAOPE!$A:$W,23,0),VLOOKUP(B709,TRAOPE!$A:$W,23,0)),"")</f>
        <v/>
      </c>
      <c r="S709" s="10">
        <f>IF(AND(P709="TN",R709="TN"),N709+N(O709),IF(G709&amp;""="1",N(K709)*N709,(N709+N(O709))*N(K709)))</f>
        <v/>
      </c>
      <c r="T709" s="10">
        <f>IF(Q709="","",Q709-S709)</f>
        <v/>
      </c>
    </row>
    <row r="710">
      <c r="A710" s="7">
        <f>CONCATENATE(C710,E710,F710,I710)</f>
        <v/>
      </c>
      <c r="B710" s="7">
        <f>CONCATENATE(C710,E710,I710)</f>
        <v/>
      </c>
      <c r="C710" s="8" t="n">
        <v>900009395</v>
      </c>
      <c r="D710" s="7">
        <f>IFERROR(VLOOKUP(C710,TRAOPE!$G:$H,2,0),"")</f>
        <v/>
      </c>
      <c r="E710" s="8" t="inlineStr">
        <is>
          <t>DW68</t>
        </is>
      </c>
      <c r="F710" s="8" t="inlineStr">
        <is>
          <t>ENV9</t>
        </is>
      </c>
      <c r="G710" s="8">
        <f>IFERROR(VLOOKUP(A710,Flete!$A:$E,5,0),"")</f>
        <v/>
      </c>
      <c r="H710" s="7">
        <f>IFERROR(VLOOKUP(F710,TRAOPE!$AA:$AB,2,0),"")</f>
        <v/>
      </c>
      <c r="I710" s="7" t="n">
        <v>10209065</v>
      </c>
      <c r="J710" s="7">
        <f>IFERROR(VLOOKUP(I710,Materiales!$A:$H,8,0),"")</f>
        <v/>
      </c>
      <c r="K710" s="9">
        <f>IFERROR(VLOOKUP(I710,Materiales!$A:$G,7,0),"")</f>
        <v/>
      </c>
      <c r="L710" s="8" t="inlineStr">
        <is>
          <t>20251121</t>
        </is>
      </c>
      <c r="M710" s="8" t="inlineStr">
        <is>
          <t>99991231</t>
        </is>
      </c>
      <c r="N710" s="10" t="n">
        <v>153.85</v>
      </c>
      <c r="O710" s="10">
        <f>IFERROR(VLOOKUP(A710,Flete!$A:$J,10,0),"")</f>
        <v/>
      </c>
      <c r="P710" s="8" t="inlineStr">
        <is>
          <t>TN</t>
        </is>
      </c>
      <c r="Q710" s="10">
        <f>IFERROR(IFERROR(VLOOKUP(A710,TRAOPE!$A:$U,21,0),VLOOKUP(B710,TRAOPE!$A:$U,21,0)),"")</f>
        <v/>
      </c>
      <c r="R710" s="8">
        <f>IFERROR(IFERROR(VLOOKUP(A710,TRAOPE!$A:$W,23,0),VLOOKUP(B710,TRAOPE!$A:$W,23,0)),"")</f>
        <v/>
      </c>
      <c r="S710" s="10">
        <f>IF(AND(P710="TN",R710="TN"),N710+N(O710),IF(G710&amp;""="1",N(K710)*N710,(N710+N(O710))*N(K710)))</f>
        <v/>
      </c>
      <c r="T710" s="10">
        <f>IF(Q710="","",Q710-S710)</f>
        <v/>
      </c>
    </row>
    <row r="711">
      <c r="A711" s="7">
        <f>CONCATENATE(C711,E711,F711,I711)</f>
        <v/>
      </c>
      <c r="B711" s="7">
        <f>CONCATENATE(C711,E711,I711)</f>
        <v/>
      </c>
      <c r="C711" s="8" t="n">
        <v>900009395</v>
      </c>
      <c r="D711" s="7">
        <f>IFERROR(VLOOKUP(C711,TRAOPE!$G:$H,2,0),"")</f>
        <v/>
      </c>
      <c r="E711" s="8" t="inlineStr">
        <is>
          <t>DW68</t>
        </is>
      </c>
      <c r="F711" s="8" t="inlineStr">
        <is>
          <t>ENV9</t>
        </is>
      </c>
      <c r="G711" s="8">
        <f>IFERROR(VLOOKUP(A711,Flete!$A:$E,5,0),"")</f>
        <v/>
      </c>
      <c r="H711" s="7">
        <f>IFERROR(VLOOKUP(F711,TRAOPE!$AA:$AB,2,0),"")</f>
        <v/>
      </c>
      <c r="I711" s="7" t="n">
        <v>10270898</v>
      </c>
      <c r="J711" s="7">
        <f>IFERROR(VLOOKUP(I711,Materiales!$A:$H,8,0),"")</f>
        <v/>
      </c>
      <c r="K711" s="9">
        <f>IFERROR(VLOOKUP(I711,Materiales!$A:$G,7,0),"")</f>
        <v/>
      </c>
      <c r="L711" s="8" t="inlineStr">
        <is>
          <t>20251110</t>
        </is>
      </c>
      <c r="M711" s="8" t="inlineStr">
        <is>
          <t>99991231</t>
        </is>
      </c>
      <c r="N711" s="10" t="n">
        <v>186.98</v>
      </c>
      <c r="O711" s="10">
        <f>IFERROR(VLOOKUP(A711,Flete!$A:$J,10,0),"")</f>
        <v/>
      </c>
      <c r="P711" s="8" t="inlineStr">
        <is>
          <t>TN</t>
        </is>
      </c>
      <c r="Q711" s="10">
        <f>IFERROR(IFERROR(VLOOKUP(A711,TRAOPE!$A:$U,21,0),VLOOKUP(B711,TRAOPE!$A:$U,21,0)),"")</f>
        <v/>
      </c>
      <c r="R711" s="8">
        <f>IFERROR(IFERROR(VLOOKUP(A711,TRAOPE!$A:$W,23,0),VLOOKUP(B711,TRAOPE!$A:$W,23,0)),"")</f>
        <v/>
      </c>
      <c r="S711" s="10">
        <f>IF(AND(P711="TN",R711="TN"),N711+N(O711),IF(G711&amp;""="1",N(K711)*N711,(N711+N(O711))*N(K711)))</f>
        <v/>
      </c>
      <c r="T711" s="10">
        <f>IF(Q711="","",Q711-S711)</f>
        <v/>
      </c>
    </row>
    <row r="712">
      <c r="A712" s="7">
        <f>CONCATENATE(C712,E712,F712,I712)</f>
        <v/>
      </c>
      <c r="B712" s="7">
        <f>CONCATENATE(C712,E712,I712)</f>
        <v/>
      </c>
      <c r="C712" s="8" t="n">
        <v>900009396</v>
      </c>
      <c r="D712" s="7">
        <f>IFERROR(VLOOKUP(C712,TRAOPE!$G:$H,2,0),"")</f>
        <v/>
      </c>
      <c r="E712" s="8" t="inlineStr">
        <is>
          <t>DW68</t>
        </is>
      </c>
      <c r="F712" s="8" t="inlineStr">
        <is>
          <t>D577</t>
        </is>
      </c>
      <c r="G712" s="8">
        <f>IFERROR(VLOOKUP(A712,Flete!$A:$E,5,0),"")</f>
        <v/>
      </c>
      <c r="H712" s="7">
        <f>IFERROR(VLOOKUP(F712,TRAOPE!$AA:$AB,2,0),"")</f>
        <v/>
      </c>
      <c r="I712" s="7" t="n">
        <v>10209065</v>
      </c>
      <c r="J712" s="7">
        <f>IFERROR(VLOOKUP(I712,Materiales!$A:$H,8,0),"")</f>
        <v/>
      </c>
      <c r="K712" s="9">
        <f>IFERROR(VLOOKUP(I712,Materiales!$A:$G,7,0),"")</f>
        <v/>
      </c>
      <c r="L712" s="8" t="inlineStr">
        <is>
          <t>20260401</t>
        </is>
      </c>
      <c r="M712" s="8" t="inlineStr">
        <is>
          <t>99991231</t>
        </is>
      </c>
      <c r="N712" s="10" t="n">
        <v>153.85</v>
      </c>
      <c r="O712" s="10">
        <f>IFERROR(VLOOKUP(A712,Flete!$A:$J,10,0),"")</f>
        <v/>
      </c>
      <c r="P712" s="8" t="inlineStr">
        <is>
          <t>TN</t>
        </is>
      </c>
      <c r="Q712" s="10">
        <f>IFERROR(IFERROR(VLOOKUP(A712,TRAOPE!$A:$U,21,0),VLOOKUP(B712,TRAOPE!$A:$U,21,0)),"")</f>
        <v/>
      </c>
      <c r="R712" s="8">
        <f>IFERROR(IFERROR(VLOOKUP(A712,TRAOPE!$A:$W,23,0),VLOOKUP(B712,TRAOPE!$A:$W,23,0)),"")</f>
        <v/>
      </c>
      <c r="S712" s="10">
        <f>IF(AND(P712="TN",R712="TN"),N712+N(O712),IF(G712&amp;""="1",N(K712)*N712,(N712+N(O712))*N(K712)))</f>
        <v/>
      </c>
      <c r="T712" s="10">
        <f>IF(Q712="","",Q712-S712)</f>
        <v/>
      </c>
    </row>
    <row r="713">
      <c r="A713" s="7">
        <f>CONCATENATE(C713,E713,F713,I713)</f>
        <v/>
      </c>
      <c r="B713" s="7">
        <f>CONCATENATE(C713,E713,I713)</f>
        <v/>
      </c>
      <c r="C713" s="8" t="n">
        <v>900009396</v>
      </c>
      <c r="D713" s="7">
        <f>IFERROR(VLOOKUP(C713,TRAOPE!$G:$H,2,0),"")</f>
        <v/>
      </c>
      <c r="E713" s="8" t="inlineStr">
        <is>
          <t>DW68</t>
        </is>
      </c>
      <c r="F713" s="8" t="inlineStr">
        <is>
          <t>D577</t>
        </is>
      </c>
      <c r="G713" s="8">
        <f>IFERROR(VLOOKUP(A713,Flete!$A:$E,5,0),"")</f>
        <v/>
      </c>
      <c r="H713" s="7">
        <f>IFERROR(VLOOKUP(F713,TRAOPE!$AA:$AB,2,0),"")</f>
        <v/>
      </c>
      <c r="I713" s="7" t="n">
        <v>10270898</v>
      </c>
      <c r="J713" s="7">
        <f>IFERROR(VLOOKUP(I713,Materiales!$A:$H,8,0),"")</f>
        <v/>
      </c>
      <c r="K713" s="9">
        <f>IFERROR(VLOOKUP(I713,Materiales!$A:$G,7,0),"")</f>
        <v/>
      </c>
      <c r="L713" s="8" t="inlineStr">
        <is>
          <t>20260401</t>
        </is>
      </c>
      <c r="M713" s="8" t="inlineStr">
        <is>
          <t>99991231</t>
        </is>
      </c>
      <c r="N713" s="10" t="n">
        <v>186.98</v>
      </c>
      <c r="O713" s="10">
        <f>IFERROR(VLOOKUP(A713,Flete!$A:$J,10,0),"")</f>
        <v/>
      </c>
      <c r="P713" s="8" t="inlineStr">
        <is>
          <t>TN</t>
        </is>
      </c>
      <c r="Q713" s="10">
        <f>IFERROR(IFERROR(VLOOKUP(A713,TRAOPE!$A:$U,21,0),VLOOKUP(B713,TRAOPE!$A:$U,21,0)),"")</f>
        <v/>
      </c>
      <c r="R713" s="8">
        <f>IFERROR(IFERROR(VLOOKUP(A713,TRAOPE!$A:$W,23,0),VLOOKUP(B713,TRAOPE!$A:$W,23,0)),"")</f>
        <v/>
      </c>
      <c r="S713" s="10">
        <f>IF(AND(P713="TN",R713="TN"),N713+N(O713),IF(G713&amp;""="1",N(K713)*N713,(N713+N(O713))*N(K713)))</f>
        <v/>
      </c>
      <c r="T713" s="10">
        <f>IF(Q713="","",Q713-S713)</f>
        <v/>
      </c>
    </row>
    <row r="714">
      <c r="A714" s="7">
        <f>CONCATENATE(C714,E714,F714,I714)</f>
        <v/>
      </c>
      <c r="B714" s="7">
        <f>CONCATENATE(C714,E714,I714)</f>
        <v/>
      </c>
      <c r="C714" s="8" t="n">
        <v>900009396</v>
      </c>
      <c r="D714" s="7">
        <f>IFERROR(VLOOKUP(C714,TRAOPE!$G:$H,2,0),"")</f>
        <v/>
      </c>
      <c r="E714" s="8" t="inlineStr">
        <is>
          <t>DW68</t>
        </is>
      </c>
      <c r="F714" s="8" t="inlineStr">
        <is>
          <t>ENEB</t>
        </is>
      </c>
      <c r="G714" s="8">
        <f>IFERROR(VLOOKUP(A714,Flete!$A:$E,5,0),"")</f>
        <v/>
      </c>
      <c r="H714" s="7">
        <f>IFERROR(VLOOKUP(F714,TRAOPE!$AA:$AB,2,0),"")</f>
        <v/>
      </c>
      <c r="I714" s="7" t="n">
        <v>10209065</v>
      </c>
      <c r="J714" s="7">
        <f>IFERROR(VLOOKUP(I714,Materiales!$A:$H,8,0),"")</f>
        <v/>
      </c>
      <c r="K714" s="9">
        <f>IFERROR(VLOOKUP(I714,Materiales!$A:$G,7,0),"")</f>
        <v/>
      </c>
      <c r="L714" s="8" t="inlineStr">
        <is>
          <t>20260126</t>
        </is>
      </c>
      <c r="M714" s="8" t="inlineStr">
        <is>
          <t>99991231</t>
        </is>
      </c>
      <c r="N714" s="10" t="n">
        <v>153.85</v>
      </c>
      <c r="O714" s="10">
        <f>IFERROR(VLOOKUP(A714,Flete!$A:$J,10,0),"")</f>
        <v/>
      </c>
      <c r="P714" s="8" t="inlineStr">
        <is>
          <t>TN</t>
        </is>
      </c>
      <c r="Q714" s="10">
        <f>IFERROR(IFERROR(VLOOKUP(A714,TRAOPE!$A:$U,21,0),VLOOKUP(B714,TRAOPE!$A:$U,21,0)),"")</f>
        <v/>
      </c>
      <c r="R714" s="8">
        <f>IFERROR(IFERROR(VLOOKUP(A714,TRAOPE!$A:$W,23,0),VLOOKUP(B714,TRAOPE!$A:$W,23,0)),"")</f>
        <v/>
      </c>
      <c r="S714" s="10">
        <f>IF(AND(P714="TN",R714="TN"),N714+N(O714),IF(G714&amp;""="1",N(K714)*N714,(N714+N(O714))*N(K714)))</f>
        <v/>
      </c>
      <c r="T714" s="10">
        <f>IF(Q714="","",Q714-S714)</f>
        <v/>
      </c>
    </row>
    <row r="715">
      <c r="A715" s="7">
        <f>CONCATENATE(C715,E715,F715,I715)</f>
        <v/>
      </c>
      <c r="B715" s="7">
        <f>CONCATENATE(C715,E715,I715)</f>
        <v/>
      </c>
      <c r="C715" s="8" t="n">
        <v>900009396</v>
      </c>
      <c r="D715" s="7">
        <f>IFERROR(VLOOKUP(C715,TRAOPE!$G:$H,2,0),"")</f>
        <v/>
      </c>
      <c r="E715" s="8" t="inlineStr">
        <is>
          <t>DW68</t>
        </is>
      </c>
      <c r="F715" s="8" t="inlineStr">
        <is>
          <t>ENL1</t>
        </is>
      </c>
      <c r="G715" s="8">
        <f>IFERROR(VLOOKUP(A715,Flete!$A:$E,5,0),"")</f>
        <v/>
      </c>
      <c r="H715" s="7">
        <f>IFERROR(VLOOKUP(F715,TRAOPE!$AA:$AB,2,0),"")</f>
        <v/>
      </c>
      <c r="I715" s="7" t="n">
        <v>10209065</v>
      </c>
      <c r="J715" s="7">
        <f>IFERROR(VLOOKUP(I715,Materiales!$A:$H,8,0),"")</f>
        <v/>
      </c>
      <c r="K715" s="9">
        <f>IFERROR(VLOOKUP(I715,Materiales!$A:$G,7,0),"")</f>
        <v/>
      </c>
      <c r="L715" s="8" t="inlineStr">
        <is>
          <t>20260126</t>
        </is>
      </c>
      <c r="M715" s="8" t="inlineStr">
        <is>
          <t>99991231</t>
        </is>
      </c>
      <c r="N715" s="10" t="n">
        <v>153.85</v>
      </c>
      <c r="O715" s="10">
        <f>IFERROR(VLOOKUP(A715,Flete!$A:$J,10,0),"")</f>
        <v/>
      </c>
      <c r="P715" s="8" t="inlineStr">
        <is>
          <t>TN</t>
        </is>
      </c>
      <c r="Q715" s="10">
        <f>IFERROR(IFERROR(VLOOKUP(A715,TRAOPE!$A:$U,21,0),VLOOKUP(B715,TRAOPE!$A:$U,21,0)),"")</f>
        <v/>
      </c>
      <c r="R715" s="8">
        <f>IFERROR(IFERROR(VLOOKUP(A715,TRAOPE!$A:$W,23,0),VLOOKUP(B715,TRAOPE!$A:$W,23,0)),"")</f>
        <v/>
      </c>
      <c r="S715" s="10">
        <f>IF(AND(P715="TN",R715="TN"),N715+N(O715),IF(G715&amp;""="1",N(K715)*N715,(N715+N(O715))*N(K715)))</f>
        <v/>
      </c>
      <c r="T715" s="10">
        <f>IF(Q715="","",Q715-S715)</f>
        <v/>
      </c>
    </row>
    <row r="716">
      <c r="A716" s="7">
        <f>CONCATENATE(C716,E716,F716,I716)</f>
        <v/>
      </c>
      <c r="B716" s="7">
        <f>CONCATENATE(C716,E716,I716)</f>
        <v/>
      </c>
      <c r="C716" s="8" t="n">
        <v>900009396</v>
      </c>
      <c r="D716" s="7">
        <f>IFERROR(VLOOKUP(C716,TRAOPE!$G:$H,2,0),"")</f>
        <v/>
      </c>
      <c r="E716" s="8" t="inlineStr">
        <is>
          <t>DW68</t>
        </is>
      </c>
      <c r="F716" s="8" t="inlineStr">
        <is>
          <t>ENL1</t>
        </is>
      </c>
      <c r="G716" s="8">
        <f>IFERROR(VLOOKUP(A716,Flete!$A:$E,5,0),"")</f>
        <v/>
      </c>
      <c r="H716" s="7">
        <f>IFERROR(VLOOKUP(F716,TRAOPE!$AA:$AB,2,0),"")</f>
        <v/>
      </c>
      <c r="I716" s="7" t="n">
        <v>10270898</v>
      </c>
      <c r="J716" s="7">
        <f>IFERROR(VLOOKUP(I716,Materiales!$A:$H,8,0),"")</f>
        <v/>
      </c>
      <c r="K716" s="9">
        <f>IFERROR(VLOOKUP(I716,Materiales!$A:$G,7,0),"")</f>
        <v/>
      </c>
      <c r="L716" s="8" t="inlineStr">
        <is>
          <t>20260126</t>
        </is>
      </c>
      <c r="M716" s="8" t="inlineStr">
        <is>
          <t>99991231</t>
        </is>
      </c>
      <c r="N716" s="10" t="n">
        <v>186.98</v>
      </c>
      <c r="O716" s="10">
        <f>IFERROR(VLOOKUP(A716,Flete!$A:$J,10,0),"")</f>
        <v/>
      </c>
      <c r="P716" s="8" t="inlineStr">
        <is>
          <t>TN</t>
        </is>
      </c>
      <c r="Q716" s="10">
        <f>IFERROR(IFERROR(VLOOKUP(A716,TRAOPE!$A:$U,21,0),VLOOKUP(B716,TRAOPE!$A:$U,21,0)),"")</f>
        <v/>
      </c>
      <c r="R716" s="8">
        <f>IFERROR(IFERROR(VLOOKUP(A716,TRAOPE!$A:$W,23,0),VLOOKUP(B716,TRAOPE!$A:$W,23,0)),"")</f>
        <v/>
      </c>
      <c r="S716" s="10">
        <f>IF(AND(P716="TN",R716="TN"),N716+N(O716),IF(G716&amp;""="1",N(K716)*N716,(N716+N(O716))*N(K716)))</f>
        <v/>
      </c>
      <c r="T716" s="10">
        <f>IF(Q716="","",Q716-S716)</f>
        <v/>
      </c>
    </row>
    <row r="717">
      <c r="A717" s="7">
        <f>CONCATENATE(C717,E717,F717,I717)</f>
        <v/>
      </c>
      <c r="B717" s="7">
        <f>CONCATENATE(C717,E717,I717)</f>
        <v/>
      </c>
      <c r="C717" s="8" t="n">
        <v>900009396</v>
      </c>
      <c r="D717" s="7">
        <f>IFERROR(VLOOKUP(C717,TRAOPE!$G:$H,2,0),"")</f>
        <v/>
      </c>
      <c r="E717" s="8" t="inlineStr">
        <is>
          <t>DW68</t>
        </is>
      </c>
      <c r="F717" s="8" t="inlineStr">
        <is>
          <t>ENV8</t>
        </is>
      </c>
      <c r="G717" s="8">
        <f>IFERROR(VLOOKUP(A717,Flete!$A:$E,5,0),"")</f>
        <v/>
      </c>
      <c r="H717" s="7">
        <f>IFERROR(VLOOKUP(F717,TRAOPE!$AA:$AB,2,0),"")</f>
        <v/>
      </c>
      <c r="I717" s="7" t="n">
        <v>10209065</v>
      </c>
      <c r="J717" s="7">
        <f>IFERROR(VLOOKUP(I717,Materiales!$A:$H,8,0),"")</f>
        <v/>
      </c>
      <c r="K717" s="9">
        <f>IFERROR(VLOOKUP(I717,Materiales!$A:$G,7,0),"")</f>
        <v/>
      </c>
      <c r="L717" s="8" t="inlineStr">
        <is>
          <t>20260401</t>
        </is>
      </c>
      <c r="M717" s="8" t="inlineStr">
        <is>
          <t>99991231</t>
        </is>
      </c>
      <c r="N717" s="10" t="n">
        <v>153.85</v>
      </c>
      <c r="O717" s="10">
        <f>IFERROR(VLOOKUP(A717,Flete!$A:$J,10,0),"")</f>
        <v/>
      </c>
      <c r="P717" s="8" t="inlineStr">
        <is>
          <t>TN</t>
        </is>
      </c>
      <c r="Q717" s="10">
        <f>IFERROR(IFERROR(VLOOKUP(A717,TRAOPE!$A:$U,21,0),VLOOKUP(B717,TRAOPE!$A:$U,21,0)),"")</f>
        <v/>
      </c>
      <c r="R717" s="8">
        <f>IFERROR(IFERROR(VLOOKUP(A717,TRAOPE!$A:$W,23,0),VLOOKUP(B717,TRAOPE!$A:$W,23,0)),"")</f>
        <v/>
      </c>
      <c r="S717" s="10">
        <f>IF(AND(P717="TN",R717="TN"),N717+N(O717),IF(G717&amp;""="1",N(K717)*N717,(N717+N(O717))*N(K717)))</f>
        <v/>
      </c>
      <c r="T717" s="10">
        <f>IF(Q717="","",Q717-S717)</f>
        <v/>
      </c>
    </row>
    <row r="718">
      <c r="A718" s="7">
        <f>CONCATENATE(C718,E718,F718,I718)</f>
        <v/>
      </c>
      <c r="B718" s="7">
        <f>CONCATENATE(C718,E718,I718)</f>
        <v/>
      </c>
      <c r="C718" s="8" t="n">
        <v>900009396</v>
      </c>
      <c r="D718" s="7">
        <f>IFERROR(VLOOKUP(C718,TRAOPE!$G:$H,2,0),"")</f>
        <v/>
      </c>
      <c r="E718" s="8" t="inlineStr">
        <is>
          <t>DW68</t>
        </is>
      </c>
      <c r="F718" s="8" t="inlineStr">
        <is>
          <t>ENV9</t>
        </is>
      </c>
      <c r="G718" s="8">
        <f>IFERROR(VLOOKUP(A718,Flete!$A:$E,5,0),"")</f>
        <v/>
      </c>
      <c r="H718" s="7">
        <f>IFERROR(VLOOKUP(F718,TRAOPE!$AA:$AB,2,0),"")</f>
        <v/>
      </c>
      <c r="I718" s="7" t="n">
        <v>10209065</v>
      </c>
      <c r="J718" s="7">
        <f>IFERROR(VLOOKUP(I718,Materiales!$A:$H,8,0),"")</f>
        <v/>
      </c>
      <c r="K718" s="9">
        <f>IFERROR(VLOOKUP(I718,Materiales!$A:$G,7,0),"")</f>
        <v/>
      </c>
      <c r="L718" s="8" t="inlineStr">
        <is>
          <t>20260126</t>
        </is>
      </c>
      <c r="M718" s="8" t="inlineStr">
        <is>
          <t>99991231</t>
        </is>
      </c>
      <c r="N718" s="10" t="n">
        <v>153.85</v>
      </c>
      <c r="O718" s="10">
        <f>IFERROR(VLOOKUP(A718,Flete!$A:$J,10,0),"")</f>
        <v/>
      </c>
      <c r="P718" s="8" t="inlineStr">
        <is>
          <t>TN</t>
        </is>
      </c>
      <c r="Q718" s="10">
        <f>IFERROR(IFERROR(VLOOKUP(A718,TRAOPE!$A:$U,21,0),VLOOKUP(B718,TRAOPE!$A:$U,21,0)),"")</f>
        <v/>
      </c>
      <c r="R718" s="8">
        <f>IFERROR(IFERROR(VLOOKUP(A718,TRAOPE!$A:$W,23,0),VLOOKUP(B718,TRAOPE!$A:$W,23,0)),"")</f>
        <v/>
      </c>
      <c r="S718" s="10">
        <f>IF(AND(P718="TN",R718="TN"),N718+N(O718),IF(G718&amp;""="1",N(K718)*N718,(N718+N(O718))*N(K718)))</f>
        <v/>
      </c>
      <c r="T718" s="10">
        <f>IF(Q718="","",Q718-S718)</f>
        <v/>
      </c>
    </row>
    <row r="719">
      <c r="A719" s="7">
        <f>CONCATENATE(C719,E719,F719,I719)</f>
        <v/>
      </c>
      <c r="B719" s="7">
        <f>CONCATENATE(C719,E719,I719)</f>
        <v/>
      </c>
      <c r="C719" s="8" t="n">
        <v>900009396</v>
      </c>
      <c r="D719" s="7">
        <f>IFERROR(VLOOKUP(C719,TRAOPE!$G:$H,2,0),"")</f>
        <v/>
      </c>
      <c r="E719" s="8" t="inlineStr">
        <is>
          <t>DW68</t>
        </is>
      </c>
      <c r="F719" s="8" t="inlineStr">
        <is>
          <t>ENV9</t>
        </is>
      </c>
      <c r="G719" s="8">
        <f>IFERROR(VLOOKUP(A719,Flete!$A:$E,5,0),"")</f>
        <v/>
      </c>
      <c r="H719" s="7">
        <f>IFERROR(VLOOKUP(F719,TRAOPE!$AA:$AB,2,0),"")</f>
        <v/>
      </c>
      <c r="I719" s="7" t="n">
        <v>10270898</v>
      </c>
      <c r="J719" s="7">
        <f>IFERROR(VLOOKUP(I719,Materiales!$A:$H,8,0),"")</f>
        <v/>
      </c>
      <c r="K719" s="9">
        <f>IFERROR(VLOOKUP(I719,Materiales!$A:$G,7,0),"")</f>
        <v/>
      </c>
      <c r="L719" s="8" t="inlineStr">
        <is>
          <t>20260126</t>
        </is>
      </c>
      <c r="M719" s="8" t="inlineStr">
        <is>
          <t>99991231</t>
        </is>
      </c>
      <c r="N719" s="10" t="n">
        <v>186.98</v>
      </c>
      <c r="O719" s="10">
        <f>IFERROR(VLOOKUP(A719,Flete!$A:$J,10,0),"")</f>
        <v/>
      </c>
      <c r="P719" s="8" t="inlineStr">
        <is>
          <t>TN</t>
        </is>
      </c>
      <c r="Q719" s="10">
        <f>IFERROR(IFERROR(VLOOKUP(A719,TRAOPE!$A:$U,21,0),VLOOKUP(B719,TRAOPE!$A:$U,21,0)),"")</f>
        <v/>
      </c>
      <c r="R719" s="8">
        <f>IFERROR(IFERROR(VLOOKUP(A719,TRAOPE!$A:$W,23,0),VLOOKUP(B719,TRAOPE!$A:$W,23,0)),"")</f>
        <v/>
      </c>
      <c r="S719" s="10">
        <f>IF(AND(P719="TN",R719="TN"),N719+N(O719),IF(G719&amp;""="1",N(K719)*N719,(N719+N(O719))*N(K719)))</f>
        <v/>
      </c>
      <c r="T719" s="10">
        <f>IF(Q719="","",Q719-S719)</f>
        <v/>
      </c>
    </row>
    <row r="720">
      <c r="A720" s="7">
        <f>CONCATENATE(C720,E720,F720,I720)</f>
        <v/>
      </c>
      <c r="B720" s="7">
        <f>CONCATENATE(C720,E720,I720)</f>
        <v/>
      </c>
      <c r="C720" s="8" t="n">
        <v>900009399</v>
      </c>
      <c r="D720" s="7">
        <f>IFERROR(VLOOKUP(C720,TRAOPE!$G:$H,2,0),"")</f>
        <v/>
      </c>
      <c r="E720" s="8" t="inlineStr">
        <is>
          <t>DW68</t>
        </is>
      </c>
      <c r="F720" s="8" t="inlineStr">
        <is>
          <t>D042</t>
        </is>
      </c>
      <c r="G720" s="8">
        <f>IFERROR(VLOOKUP(A720,Flete!$A:$E,5,0),"")</f>
        <v/>
      </c>
      <c r="H720" s="7">
        <f>IFERROR(VLOOKUP(F720,TRAOPE!$AA:$AB,2,0),"")</f>
        <v/>
      </c>
      <c r="I720" s="7" t="n">
        <v>10000191</v>
      </c>
      <c r="J720" s="7">
        <f>IFERROR(VLOOKUP(I720,Materiales!$A:$H,8,0),"")</f>
        <v/>
      </c>
      <c r="K720" s="9">
        <f>IFERROR(VLOOKUP(I720,Materiales!$A:$G,7,0),"")</f>
        <v/>
      </c>
      <c r="L720" s="8" t="inlineStr">
        <is>
          <t>20260410</t>
        </is>
      </c>
      <c r="M720" s="8" t="inlineStr">
        <is>
          <t>99991231</t>
        </is>
      </c>
      <c r="N720" s="10" t="n">
        <v>223.4</v>
      </c>
      <c r="O720" s="10">
        <f>IFERROR(VLOOKUP(A720,Flete!$A:$J,10,0),"")</f>
        <v/>
      </c>
      <c r="P720" s="8" t="inlineStr">
        <is>
          <t>TN</t>
        </is>
      </c>
      <c r="Q720" s="10">
        <f>IFERROR(IFERROR(VLOOKUP(A720,TRAOPE!$A:$U,21,0),VLOOKUP(B720,TRAOPE!$A:$U,21,0)),"")</f>
        <v/>
      </c>
      <c r="R720" s="8">
        <f>IFERROR(IFERROR(VLOOKUP(A720,TRAOPE!$A:$W,23,0),VLOOKUP(B720,TRAOPE!$A:$W,23,0)),"")</f>
        <v/>
      </c>
      <c r="S720" s="10">
        <f>IF(AND(P720="TN",R720="TN"),N720+N(O720),IF(G720&amp;""="1",N(K720)*N720,(N720+N(O720))*N(K720)))</f>
        <v/>
      </c>
      <c r="T720" s="10">
        <f>IF(Q720="","",Q720-S720)</f>
        <v/>
      </c>
    </row>
    <row r="721">
      <c r="A721" s="7">
        <f>CONCATENATE(C721,E721,F721,I721)</f>
        <v/>
      </c>
      <c r="B721" s="7">
        <f>CONCATENATE(C721,E721,I721)</f>
        <v/>
      </c>
      <c r="C721" s="8" t="n">
        <v>900009399</v>
      </c>
      <c r="D721" s="7">
        <f>IFERROR(VLOOKUP(C721,TRAOPE!$G:$H,2,0),"")</f>
        <v/>
      </c>
      <c r="E721" s="8" t="inlineStr">
        <is>
          <t>DW68</t>
        </is>
      </c>
      <c r="F721" s="8" t="inlineStr">
        <is>
          <t>D042</t>
        </is>
      </c>
      <c r="G721" s="8">
        <f>IFERROR(VLOOKUP(A721,Flete!$A:$E,5,0),"")</f>
        <v/>
      </c>
      <c r="H721" s="7">
        <f>IFERROR(VLOOKUP(F721,TRAOPE!$AA:$AB,2,0),"")</f>
        <v/>
      </c>
      <c r="I721" s="7" t="n">
        <v>10003240</v>
      </c>
      <c r="J721" s="7">
        <f>IFERROR(VLOOKUP(I721,Materiales!$A:$H,8,0),"")</f>
        <v/>
      </c>
      <c r="K721" s="9">
        <f>IFERROR(VLOOKUP(I721,Materiales!$A:$G,7,0),"")</f>
        <v/>
      </c>
      <c r="L721" s="8" t="inlineStr">
        <is>
          <t>20260706</t>
        </is>
      </c>
      <c r="M721" s="8" t="inlineStr">
        <is>
          <t>99991231</t>
        </is>
      </c>
      <c r="N721" s="10" t="n">
        <v>224.04</v>
      </c>
      <c r="O721" s="10">
        <f>IFERROR(VLOOKUP(A721,Flete!$A:$J,10,0),"")</f>
        <v/>
      </c>
      <c r="P721" s="8" t="inlineStr">
        <is>
          <t>TN</t>
        </is>
      </c>
      <c r="Q721" s="10">
        <f>IFERROR(IFERROR(VLOOKUP(A721,TRAOPE!$A:$U,21,0),VLOOKUP(B721,TRAOPE!$A:$U,21,0)),"")</f>
        <v/>
      </c>
      <c r="R721" s="8">
        <f>IFERROR(IFERROR(VLOOKUP(A721,TRAOPE!$A:$W,23,0),VLOOKUP(B721,TRAOPE!$A:$W,23,0)),"")</f>
        <v/>
      </c>
      <c r="S721" s="10">
        <f>IF(AND(P721="TN",R721="TN"),N721+N(O721),IF(G721&amp;""="1",N(K721)*N721,(N721+N(O721))*N(K721)))</f>
        <v/>
      </c>
      <c r="T721" s="10">
        <f>IF(Q721="","",Q721-S721)</f>
        <v/>
      </c>
    </row>
    <row r="722">
      <c r="A722" s="7">
        <f>CONCATENATE(C722,E722,F722,I722)</f>
        <v/>
      </c>
      <c r="B722" s="7">
        <f>CONCATENATE(C722,E722,I722)</f>
        <v/>
      </c>
      <c r="C722" s="8" t="n">
        <v>900009399</v>
      </c>
      <c r="D722" s="7">
        <f>IFERROR(VLOOKUP(C722,TRAOPE!$G:$H,2,0),"")</f>
        <v/>
      </c>
      <c r="E722" s="8" t="inlineStr">
        <is>
          <t>DW68</t>
        </is>
      </c>
      <c r="F722" s="8" t="inlineStr">
        <is>
          <t>D209</t>
        </is>
      </c>
      <c r="G722" s="8">
        <f>IFERROR(VLOOKUP(A722,Flete!$A:$E,5,0),"")</f>
        <v/>
      </c>
      <c r="H722" s="7">
        <f>IFERROR(VLOOKUP(F722,TRAOPE!$AA:$AB,2,0),"")</f>
        <v/>
      </c>
      <c r="I722" s="7" t="n">
        <v>10000191</v>
      </c>
      <c r="J722" s="7">
        <f>IFERROR(VLOOKUP(I722,Materiales!$A:$H,8,0),"")</f>
        <v/>
      </c>
      <c r="K722" s="9">
        <f>IFERROR(VLOOKUP(I722,Materiales!$A:$G,7,0),"")</f>
        <v/>
      </c>
      <c r="L722" s="8" t="inlineStr">
        <is>
          <t>20260410</t>
        </is>
      </c>
      <c r="M722" s="8" t="inlineStr">
        <is>
          <t>99991231</t>
        </is>
      </c>
      <c r="N722" s="10" t="n">
        <v>223.4</v>
      </c>
      <c r="O722" s="10">
        <f>IFERROR(VLOOKUP(A722,Flete!$A:$J,10,0),"")</f>
        <v/>
      </c>
      <c r="P722" s="8" t="inlineStr">
        <is>
          <t>TN</t>
        </is>
      </c>
      <c r="Q722" s="10">
        <f>IFERROR(IFERROR(VLOOKUP(A722,TRAOPE!$A:$U,21,0),VLOOKUP(B722,TRAOPE!$A:$U,21,0)),"")</f>
        <v/>
      </c>
      <c r="R722" s="8">
        <f>IFERROR(IFERROR(VLOOKUP(A722,TRAOPE!$A:$W,23,0),VLOOKUP(B722,TRAOPE!$A:$W,23,0)),"")</f>
        <v/>
      </c>
      <c r="S722" s="10">
        <f>IF(AND(P722="TN",R722="TN"),N722+N(O722),IF(G722&amp;""="1",N(K722)*N722,(N722+N(O722))*N(K722)))</f>
        <v/>
      </c>
      <c r="T722" s="10">
        <f>IF(Q722="","",Q722-S722)</f>
        <v/>
      </c>
    </row>
    <row r="723">
      <c r="A723" s="7">
        <f>CONCATENATE(C723,E723,F723,I723)</f>
        <v/>
      </c>
      <c r="B723" s="7">
        <f>CONCATENATE(C723,E723,I723)</f>
        <v/>
      </c>
      <c r="C723" s="8" t="n">
        <v>900009399</v>
      </c>
      <c r="D723" s="7">
        <f>IFERROR(VLOOKUP(C723,TRAOPE!$G:$H,2,0),"")</f>
        <v/>
      </c>
      <c r="E723" s="8" t="inlineStr">
        <is>
          <t>DW68</t>
        </is>
      </c>
      <c r="F723" s="8" t="inlineStr">
        <is>
          <t>D209</t>
        </is>
      </c>
      <c r="G723" s="8">
        <f>IFERROR(VLOOKUP(A723,Flete!$A:$E,5,0),"")</f>
        <v/>
      </c>
      <c r="H723" s="7">
        <f>IFERROR(VLOOKUP(F723,TRAOPE!$AA:$AB,2,0),"")</f>
        <v/>
      </c>
      <c r="I723" s="7" t="n">
        <v>10003240</v>
      </c>
      <c r="J723" s="7">
        <f>IFERROR(VLOOKUP(I723,Materiales!$A:$H,8,0),"")</f>
        <v/>
      </c>
      <c r="K723" s="9">
        <f>IFERROR(VLOOKUP(I723,Materiales!$A:$G,7,0),"")</f>
        <v/>
      </c>
      <c r="L723" s="8" t="inlineStr">
        <is>
          <t>20260706</t>
        </is>
      </c>
      <c r="M723" s="8" t="inlineStr">
        <is>
          <t>99991231</t>
        </is>
      </c>
      <c r="N723" s="10" t="n">
        <v>224.04</v>
      </c>
      <c r="O723" s="10">
        <f>IFERROR(VLOOKUP(A723,Flete!$A:$J,10,0),"")</f>
        <v/>
      </c>
      <c r="P723" s="8" t="inlineStr">
        <is>
          <t>TN</t>
        </is>
      </c>
      <c r="Q723" s="10">
        <f>IFERROR(IFERROR(VLOOKUP(A723,TRAOPE!$A:$U,21,0),VLOOKUP(B723,TRAOPE!$A:$U,21,0)),"")</f>
        <v/>
      </c>
      <c r="R723" s="8">
        <f>IFERROR(IFERROR(VLOOKUP(A723,TRAOPE!$A:$W,23,0),VLOOKUP(B723,TRAOPE!$A:$W,23,0)),"")</f>
        <v/>
      </c>
      <c r="S723" s="10">
        <f>IF(AND(P723="TN",R723="TN"),N723+N(O723),IF(G723&amp;""="1",N(K723)*N723,(N723+N(O723))*N(K723)))</f>
        <v/>
      </c>
      <c r="T723" s="10">
        <f>IF(Q723="","",Q723-S723)</f>
        <v/>
      </c>
    </row>
    <row r="724">
      <c r="A724" s="7">
        <f>CONCATENATE(C724,E724,F724,I724)</f>
        <v/>
      </c>
      <c r="B724" s="7">
        <f>CONCATENATE(C724,E724,I724)</f>
        <v/>
      </c>
      <c r="C724" s="8" t="n">
        <v>900009399</v>
      </c>
      <c r="D724" s="7">
        <f>IFERROR(VLOOKUP(C724,TRAOPE!$G:$H,2,0),"")</f>
        <v/>
      </c>
      <c r="E724" s="8" t="inlineStr">
        <is>
          <t>DW68</t>
        </is>
      </c>
      <c r="F724" s="8" t="inlineStr">
        <is>
          <t>D211</t>
        </is>
      </c>
      <c r="G724" s="8">
        <f>IFERROR(VLOOKUP(A724,Flete!$A:$E,5,0),"")</f>
        <v/>
      </c>
      <c r="H724" s="7">
        <f>IFERROR(VLOOKUP(F724,TRAOPE!$AA:$AB,2,0),"")</f>
        <v/>
      </c>
      <c r="I724" s="7" t="n">
        <v>10000191</v>
      </c>
      <c r="J724" s="7">
        <f>IFERROR(VLOOKUP(I724,Materiales!$A:$H,8,0),"")</f>
        <v/>
      </c>
      <c r="K724" s="9">
        <f>IFERROR(VLOOKUP(I724,Materiales!$A:$G,7,0),"")</f>
        <v/>
      </c>
      <c r="L724" s="8" t="inlineStr">
        <is>
          <t>20260410</t>
        </is>
      </c>
      <c r="M724" s="8" t="inlineStr">
        <is>
          <t>99991231</t>
        </is>
      </c>
      <c r="N724" s="10" t="n">
        <v>223.4</v>
      </c>
      <c r="O724" s="10">
        <f>IFERROR(VLOOKUP(A724,Flete!$A:$J,10,0),"")</f>
        <v/>
      </c>
      <c r="P724" s="8" t="inlineStr">
        <is>
          <t>TN</t>
        </is>
      </c>
      <c r="Q724" s="10">
        <f>IFERROR(IFERROR(VLOOKUP(A724,TRAOPE!$A:$U,21,0),VLOOKUP(B724,TRAOPE!$A:$U,21,0)),"")</f>
        <v/>
      </c>
      <c r="R724" s="8">
        <f>IFERROR(IFERROR(VLOOKUP(A724,TRAOPE!$A:$W,23,0),VLOOKUP(B724,TRAOPE!$A:$W,23,0)),"")</f>
        <v/>
      </c>
      <c r="S724" s="10">
        <f>IF(AND(P724="TN",R724="TN"),N724+N(O724),IF(G724&amp;""="1",N(K724)*N724,(N724+N(O724))*N(K724)))</f>
        <v/>
      </c>
      <c r="T724" s="10">
        <f>IF(Q724="","",Q724-S724)</f>
        <v/>
      </c>
    </row>
    <row r="725">
      <c r="A725" s="7">
        <f>CONCATENATE(C725,E725,F725,I725)</f>
        <v/>
      </c>
      <c r="B725" s="7">
        <f>CONCATENATE(C725,E725,I725)</f>
        <v/>
      </c>
      <c r="C725" s="8" t="n">
        <v>900009399</v>
      </c>
      <c r="D725" s="7">
        <f>IFERROR(VLOOKUP(C725,TRAOPE!$G:$H,2,0),"")</f>
        <v/>
      </c>
      <c r="E725" s="8" t="inlineStr">
        <is>
          <t>DW68</t>
        </is>
      </c>
      <c r="F725" s="8" t="inlineStr">
        <is>
          <t>D211</t>
        </is>
      </c>
      <c r="G725" s="8">
        <f>IFERROR(VLOOKUP(A725,Flete!$A:$E,5,0),"")</f>
        <v/>
      </c>
      <c r="H725" s="7">
        <f>IFERROR(VLOOKUP(F725,TRAOPE!$AA:$AB,2,0),"")</f>
        <v/>
      </c>
      <c r="I725" s="7" t="n">
        <v>10003240</v>
      </c>
      <c r="J725" s="7">
        <f>IFERROR(VLOOKUP(I725,Materiales!$A:$H,8,0),"")</f>
        <v/>
      </c>
      <c r="K725" s="9">
        <f>IFERROR(VLOOKUP(I725,Materiales!$A:$G,7,0),"")</f>
        <v/>
      </c>
      <c r="L725" s="8" t="inlineStr">
        <is>
          <t>20260706</t>
        </is>
      </c>
      <c r="M725" s="8" t="inlineStr">
        <is>
          <t>99991231</t>
        </is>
      </c>
      <c r="N725" s="10" t="n">
        <v>224.04</v>
      </c>
      <c r="O725" s="10">
        <f>IFERROR(VLOOKUP(A725,Flete!$A:$J,10,0),"")</f>
        <v/>
      </c>
      <c r="P725" s="8" t="inlineStr">
        <is>
          <t>TN</t>
        </is>
      </c>
      <c r="Q725" s="10">
        <f>IFERROR(IFERROR(VLOOKUP(A725,TRAOPE!$A:$U,21,0),VLOOKUP(B725,TRAOPE!$A:$U,21,0)),"")</f>
        <v/>
      </c>
      <c r="R725" s="8">
        <f>IFERROR(IFERROR(VLOOKUP(A725,TRAOPE!$A:$W,23,0),VLOOKUP(B725,TRAOPE!$A:$W,23,0)),"")</f>
        <v/>
      </c>
      <c r="S725" s="10">
        <f>IF(AND(P725="TN",R725="TN"),N725+N(O725),IF(G725&amp;""="1",N(K725)*N725,(N725+N(O725))*N(K725)))</f>
        <v/>
      </c>
      <c r="T725" s="10">
        <f>IF(Q725="","",Q725-S725)</f>
        <v/>
      </c>
    </row>
    <row r="726">
      <c r="A726" s="7">
        <f>CONCATENATE(C726,E726,F726,I726)</f>
        <v/>
      </c>
      <c r="B726" s="7">
        <f>CONCATENATE(C726,E726,I726)</f>
        <v/>
      </c>
      <c r="C726" s="8" t="n">
        <v>900009399</v>
      </c>
      <c r="D726" s="7">
        <f>IFERROR(VLOOKUP(C726,TRAOPE!$G:$H,2,0),"")</f>
        <v/>
      </c>
      <c r="E726" s="8" t="inlineStr">
        <is>
          <t>DW68</t>
        </is>
      </c>
      <c r="F726" s="8" t="inlineStr">
        <is>
          <t>D228</t>
        </is>
      </c>
      <c r="G726" s="8">
        <f>IFERROR(VLOOKUP(A726,Flete!$A:$E,5,0),"")</f>
        <v/>
      </c>
      <c r="H726" s="7">
        <f>IFERROR(VLOOKUP(F726,TRAOPE!$AA:$AB,2,0),"")</f>
        <v/>
      </c>
      <c r="I726" s="7" t="n">
        <v>10000191</v>
      </c>
      <c r="J726" s="7">
        <f>IFERROR(VLOOKUP(I726,Materiales!$A:$H,8,0),"")</f>
        <v/>
      </c>
      <c r="K726" s="9">
        <f>IFERROR(VLOOKUP(I726,Materiales!$A:$G,7,0),"")</f>
        <v/>
      </c>
      <c r="L726" s="8" t="inlineStr">
        <is>
          <t>20260410</t>
        </is>
      </c>
      <c r="M726" s="8" t="inlineStr">
        <is>
          <t>99991231</t>
        </is>
      </c>
      <c r="N726" s="10" t="n">
        <v>223.4</v>
      </c>
      <c r="O726" s="10">
        <f>IFERROR(VLOOKUP(A726,Flete!$A:$J,10,0),"")</f>
        <v/>
      </c>
      <c r="P726" s="8" t="inlineStr">
        <is>
          <t>TN</t>
        </is>
      </c>
      <c r="Q726" s="10">
        <f>IFERROR(IFERROR(VLOOKUP(A726,TRAOPE!$A:$U,21,0),VLOOKUP(B726,TRAOPE!$A:$U,21,0)),"")</f>
        <v/>
      </c>
      <c r="R726" s="8">
        <f>IFERROR(IFERROR(VLOOKUP(A726,TRAOPE!$A:$W,23,0),VLOOKUP(B726,TRAOPE!$A:$W,23,0)),"")</f>
        <v/>
      </c>
      <c r="S726" s="10">
        <f>IF(AND(P726="TN",R726="TN"),N726+N(O726),IF(G726&amp;""="1",N(K726)*N726,(N726+N(O726))*N(K726)))</f>
        <v/>
      </c>
      <c r="T726" s="10">
        <f>IF(Q726="","",Q726-S726)</f>
        <v/>
      </c>
    </row>
    <row r="727">
      <c r="A727" s="7">
        <f>CONCATENATE(C727,E727,F727,I727)</f>
        <v/>
      </c>
      <c r="B727" s="7">
        <f>CONCATENATE(C727,E727,I727)</f>
        <v/>
      </c>
      <c r="C727" s="8" t="n">
        <v>900009399</v>
      </c>
      <c r="D727" s="7">
        <f>IFERROR(VLOOKUP(C727,TRAOPE!$G:$H,2,0),"")</f>
        <v/>
      </c>
      <c r="E727" s="8" t="inlineStr">
        <is>
          <t>DW68</t>
        </is>
      </c>
      <c r="F727" s="8" t="inlineStr">
        <is>
          <t>D228</t>
        </is>
      </c>
      <c r="G727" s="8">
        <f>IFERROR(VLOOKUP(A727,Flete!$A:$E,5,0),"")</f>
        <v/>
      </c>
      <c r="H727" s="7">
        <f>IFERROR(VLOOKUP(F727,TRAOPE!$AA:$AB,2,0),"")</f>
        <v/>
      </c>
      <c r="I727" s="7" t="n">
        <v>10003240</v>
      </c>
      <c r="J727" s="7">
        <f>IFERROR(VLOOKUP(I727,Materiales!$A:$H,8,0),"")</f>
        <v/>
      </c>
      <c r="K727" s="9">
        <f>IFERROR(VLOOKUP(I727,Materiales!$A:$G,7,0),"")</f>
        <v/>
      </c>
      <c r="L727" s="8" t="inlineStr">
        <is>
          <t>20260706</t>
        </is>
      </c>
      <c r="M727" s="8" t="inlineStr">
        <is>
          <t>99991231</t>
        </is>
      </c>
      <c r="N727" s="10" t="n">
        <v>224.04</v>
      </c>
      <c r="O727" s="10">
        <f>IFERROR(VLOOKUP(A727,Flete!$A:$J,10,0),"")</f>
        <v/>
      </c>
      <c r="P727" s="8" t="inlineStr">
        <is>
          <t>TN</t>
        </is>
      </c>
      <c r="Q727" s="10">
        <f>IFERROR(IFERROR(VLOOKUP(A727,TRAOPE!$A:$U,21,0),VLOOKUP(B727,TRAOPE!$A:$U,21,0)),"")</f>
        <v/>
      </c>
      <c r="R727" s="8">
        <f>IFERROR(IFERROR(VLOOKUP(A727,TRAOPE!$A:$W,23,0),VLOOKUP(B727,TRAOPE!$A:$W,23,0)),"")</f>
        <v/>
      </c>
      <c r="S727" s="10">
        <f>IF(AND(P727="TN",R727="TN"),N727+N(O727),IF(G727&amp;""="1",N(K727)*N727,(N727+N(O727))*N(K727)))</f>
        <v/>
      </c>
      <c r="T727" s="10">
        <f>IF(Q727="","",Q727-S727)</f>
        <v/>
      </c>
    </row>
    <row r="728">
      <c r="A728" s="7">
        <f>CONCATENATE(C728,E728,F728,I728)</f>
        <v/>
      </c>
      <c r="B728" s="7">
        <f>CONCATENATE(C728,E728,I728)</f>
        <v/>
      </c>
      <c r="C728" s="8" t="n">
        <v>900009399</v>
      </c>
      <c r="D728" s="7">
        <f>IFERROR(VLOOKUP(C728,TRAOPE!$G:$H,2,0),"")</f>
        <v/>
      </c>
      <c r="E728" s="8" t="inlineStr">
        <is>
          <t>DW68</t>
        </is>
      </c>
      <c r="F728" s="8" t="inlineStr">
        <is>
          <t>D242</t>
        </is>
      </c>
      <c r="G728" s="8">
        <f>IFERROR(VLOOKUP(A728,Flete!$A:$E,5,0),"")</f>
        <v/>
      </c>
      <c r="H728" s="7">
        <f>IFERROR(VLOOKUP(F728,TRAOPE!$AA:$AB,2,0),"")</f>
        <v/>
      </c>
      <c r="I728" s="7" t="n">
        <v>10000191</v>
      </c>
      <c r="J728" s="7">
        <f>IFERROR(VLOOKUP(I728,Materiales!$A:$H,8,0),"")</f>
        <v/>
      </c>
      <c r="K728" s="9">
        <f>IFERROR(VLOOKUP(I728,Materiales!$A:$G,7,0),"")</f>
        <v/>
      </c>
      <c r="L728" s="8" t="inlineStr">
        <is>
          <t>20260410</t>
        </is>
      </c>
      <c r="M728" s="8" t="inlineStr">
        <is>
          <t>99991231</t>
        </is>
      </c>
      <c r="N728" s="10" t="n">
        <v>223.4</v>
      </c>
      <c r="O728" s="10">
        <f>IFERROR(VLOOKUP(A728,Flete!$A:$J,10,0),"")</f>
        <v/>
      </c>
      <c r="P728" s="8" t="inlineStr">
        <is>
          <t>TN</t>
        </is>
      </c>
      <c r="Q728" s="10">
        <f>IFERROR(IFERROR(VLOOKUP(A728,TRAOPE!$A:$U,21,0),VLOOKUP(B728,TRAOPE!$A:$U,21,0)),"")</f>
        <v/>
      </c>
      <c r="R728" s="8">
        <f>IFERROR(IFERROR(VLOOKUP(A728,TRAOPE!$A:$W,23,0),VLOOKUP(B728,TRAOPE!$A:$W,23,0)),"")</f>
        <v/>
      </c>
      <c r="S728" s="10">
        <f>IF(AND(P728="TN",R728="TN"),N728+N(O728),IF(G728&amp;""="1",N(K728)*N728,(N728+N(O728))*N(K728)))</f>
        <v/>
      </c>
      <c r="T728" s="10">
        <f>IF(Q728="","",Q728-S728)</f>
        <v/>
      </c>
    </row>
    <row r="729">
      <c r="A729" s="7">
        <f>CONCATENATE(C729,E729,F729,I729)</f>
        <v/>
      </c>
      <c r="B729" s="7">
        <f>CONCATENATE(C729,E729,I729)</f>
        <v/>
      </c>
      <c r="C729" s="8" t="n">
        <v>900009399</v>
      </c>
      <c r="D729" s="7">
        <f>IFERROR(VLOOKUP(C729,TRAOPE!$G:$H,2,0),"")</f>
        <v/>
      </c>
      <c r="E729" s="8" t="inlineStr">
        <is>
          <t>DW68</t>
        </is>
      </c>
      <c r="F729" s="8" t="inlineStr">
        <is>
          <t>D242</t>
        </is>
      </c>
      <c r="G729" s="8">
        <f>IFERROR(VLOOKUP(A729,Flete!$A:$E,5,0),"")</f>
        <v/>
      </c>
      <c r="H729" s="7">
        <f>IFERROR(VLOOKUP(F729,TRAOPE!$AA:$AB,2,0),"")</f>
        <v/>
      </c>
      <c r="I729" s="7" t="n">
        <v>10003240</v>
      </c>
      <c r="J729" s="7">
        <f>IFERROR(VLOOKUP(I729,Materiales!$A:$H,8,0),"")</f>
        <v/>
      </c>
      <c r="K729" s="9">
        <f>IFERROR(VLOOKUP(I729,Materiales!$A:$G,7,0),"")</f>
        <v/>
      </c>
      <c r="L729" s="8" t="inlineStr">
        <is>
          <t>20260706</t>
        </is>
      </c>
      <c r="M729" s="8" t="inlineStr">
        <is>
          <t>99991231</t>
        </is>
      </c>
      <c r="N729" s="10" t="n">
        <v>224.04</v>
      </c>
      <c r="O729" s="10">
        <f>IFERROR(VLOOKUP(A729,Flete!$A:$J,10,0),"")</f>
        <v/>
      </c>
      <c r="P729" s="8" t="inlineStr">
        <is>
          <t>TN</t>
        </is>
      </c>
      <c r="Q729" s="10">
        <f>IFERROR(IFERROR(VLOOKUP(A729,TRAOPE!$A:$U,21,0),VLOOKUP(B729,TRAOPE!$A:$U,21,0)),"")</f>
        <v/>
      </c>
      <c r="R729" s="8">
        <f>IFERROR(IFERROR(VLOOKUP(A729,TRAOPE!$A:$W,23,0),VLOOKUP(B729,TRAOPE!$A:$W,23,0)),"")</f>
        <v/>
      </c>
      <c r="S729" s="10">
        <f>IF(AND(P729="TN",R729="TN"),N729+N(O729),IF(G729&amp;""="1",N(K729)*N729,(N729+N(O729))*N(K729)))</f>
        <v/>
      </c>
      <c r="T729" s="10">
        <f>IF(Q729="","",Q729-S729)</f>
        <v/>
      </c>
    </row>
    <row r="730">
      <c r="A730" s="7">
        <f>CONCATENATE(C730,E730,F730,I730)</f>
        <v/>
      </c>
      <c r="B730" s="7">
        <f>CONCATENATE(C730,E730,I730)</f>
        <v/>
      </c>
      <c r="C730" s="8" t="n">
        <v>900009399</v>
      </c>
      <c r="D730" s="7">
        <f>IFERROR(VLOOKUP(C730,TRAOPE!$G:$H,2,0),"")</f>
        <v/>
      </c>
      <c r="E730" s="8" t="inlineStr">
        <is>
          <t>DW68</t>
        </is>
      </c>
      <c r="F730" s="8" t="inlineStr">
        <is>
          <t>D247</t>
        </is>
      </c>
      <c r="G730" s="8">
        <f>IFERROR(VLOOKUP(A730,Flete!$A:$E,5,0),"")</f>
        <v/>
      </c>
      <c r="H730" s="7">
        <f>IFERROR(VLOOKUP(F730,TRAOPE!$AA:$AB,2,0),"")</f>
        <v/>
      </c>
      <c r="I730" s="7" t="n">
        <v>10000191</v>
      </c>
      <c r="J730" s="7">
        <f>IFERROR(VLOOKUP(I730,Materiales!$A:$H,8,0),"")</f>
        <v/>
      </c>
      <c r="K730" s="9">
        <f>IFERROR(VLOOKUP(I730,Materiales!$A:$G,7,0),"")</f>
        <v/>
      </c>
      <c r="L730" s="8" t="inlineStr">
        <is>
          <t>20260410</t>
        </is>
      </c>
      <c r="M730" s="8" t="inlineStr">
        <is>
          <t>99991231</t>
        </is>
      </c>
      <c r="N730" s="10" t="n">
        <v>223.4</v>
      </c>
      <c r="O730" s="10">
        <f>IFERROR(VLOOKUP(A730,Flete!$A:$J,10,0),"")</f>
        <v/>
      </c>
      <c r="P730" s="8" t="inlineStr">
        <is>
          <t>TN</t>
        </is>
      </c>
      <c r="Q730" s="10">
        <f>IFERROR(IFERROR(VLOOKUP(A730,TRAOPE!$A:$U,21,0),VLOOKUP(B730,TRAOPE!$A:$U,21,0)),"")</f>
        <v/>
      </c>
      <c r="R730" s="8">
        <f>IFERROR(IFERROR(VLOOKUP(A730,TRAOPE!$A:$W,23,0),VLOOKUP(B730,TRAOPE!$A:$W,23,0)),"")</f>
        <v/>
      </c>
      <c r="S730" s="10">
        <f>IF(AND(P730="TN",R730="TN"),N730+N(O730),IF(G730&amp;""="1",N(K730)*N730,(N730+N(O730))*N(K730)))</f>
        <v/>
      </c>
      <c r="T730" s="10">
        <f>IF(Q730="","",Q730-S730)</f>
        <v/>
      </c>
    </row>
    <row r="731">
      <c r="A731" s="7">
        <f>CONCATENATE(C731,E731,F731,I731)</f>
        <v/>
      </c>
      <c r="B731" s="7">
        <f>CONCATENATE(C731,E731,I731)</f>
        <v/>
      </c>
      <c r="C731" s="8" t="n">
        <v>900009399</v>
      </c>
      <c r="D731" s="7">
        <f>IFERROR(VLOOKUP(C731,TRAOPE!$G:$H,2,0),"")</f>
        <v/>
      </c>
      <c r="E731" s="8" t="inlineStr">
        <is>
          <t>DW68</t>
        </is>
      </c>
      <c r="F731" s="8" t="inlineStr">
        <is>
          <t>D247</t>
        </is>
      </c>
      <c r="G731" s="8">
        <f>IFERROR(VLOOKUP(A731,Flete!$A:$E,5,0),"")</f>
        <v/>
      </c>
      <c r="H731" s="7">
        <f>IFERROR(VLOOKUP(F731,TRAOPE!$AA:$AB,2,0),"")</f>
        <v/>
      </c>
      <c r="I731" s="7" t="n">
        <v>10003240</v>
      </c>
      <c r="J731" s="7">
        <f>IFERROR(VLOOKUP(I731,Materiales!$A:$H,8,0),"")</f>
        <v/>
      </c>
      <c r="K731" s="9">
        <f>IFERROR(VLOOKUP(I731,Materiales!$A:$G,7,0),"")</f>
        <v/>
      </c>
      <c r="L731" s="8" t="inlineStr">
        <is>
          <t>20260706</t>
        </is>
      </c>
      <c r="M731" s="8" t="inlineStr">
        <is>
          <t>99991231</t>
        </is>
      </c>
      <c r="N731" s="10" t="n">
        <v>224.04</v>
      </c>
      <c r="O731" s="10">
        <f>IFERROR(VLOOKUP(A731,Flete!$A:$J,10,0),"")</f>
        <v/>
      </c>
      <c r="P731" s="8" t="inlineStr">
        <is>
          <t>TN</t>
        </is>
      </c>
      <c r="Q731" s="10">
        <f>IFERROR(IFERROR(VLOOKUP(A731,TRAOPE!$A:$U,21,0),VLOOKUP(B731,TRAOPE!$A:$U,21,0)),"")</f>
        <v/>
      </c>
      <c r="R731" s="8">
        <f>IFERROR(IFERROR(VLOOKUP(A731,TRAOPE!$A:$W,23,0),VLOOKUP(B731,TRAOPE!$A:$W,23,0)),"")</f>
        <v/>
      </c>
      <c r="S731" s="10">
        <f>IF(AND(P731="TN",R731="TN"),N731+N(O731),IF(G731&amp;""="1",N(K731)*N731,(N731+N(O731))*N(K731)))</f>
        <v/>
      </c>
      <c r="T731" s="10">
        <f>IF(Q731="","",Q731-S731)</f>
        <v/>
      </c>
    </row>
    <row r="732">
      <c r="A732" s="7">
        <f>CONCATENATE(C732,E732,F732,I732)</f>
        <v/>
      </c>
      <c r="B732" s="7">
        <f>CONCATENATE(C732,E732,I732)</f>
        <v/>
      </c>
      <c r="C732" s="8" t="n">
        <v>900009399</v>
      </c>
      <c r="D732" s="7">
        <f>IFERROR(VLOOKUP(C732,TRAOPE!$G:$H,2,0),"")</f>
        <v/>
      </c>
      <c r="E732" s="8" t="inlineStr">
        <is>
          <t>DW68</t>
        </is>
      </c>
      <c r="F732" s="8" t="inlineStr">
        <is>
          <t>D251</t>
        </is>
      </c>
      <c r="G732" s="8">
        <f>IFERROR(VLOOKUP(A732,Flete!$A:$E,5,0),"")</f>
        <v/>
      </c>
      <c r="H732" s="7">
        <f>IFERROR(VLOOKUP(F732,TRAOPE!$AA:$AB,2,0),"")</f>
        <v/>
      </c>
      <c r="I732" s="7" t="n">
        <v>10000191</v>
      </c>
      <c r="J732" s="7">
        <f>IFERROR(VLOOKUP(I732,Materiales!$A:$H,8,0),"")</f>
        <v/>
      </c>
      <c r="K732" s="9">
        <f>IFERROR(VLOOKUP(I732,Materiales!$A:$G,7,0),"")</f>
        <v/>
      </c>
      <c r="L732" s="8" t="inlineStr">
        <is>
          <t>20260410</t>
        </is>
      </c>
      <c r="M732" s="8" t="inlineStr">
        <is>
          <t>99991231</t>
        </is>
      </c>
      <c r="N732" s="10" t="n">
        <v>223.4</v>
      </c>
      <c r="O732" s="10">
        <f>IFERROR(VLOOKUP(A732,Flete!$A:$J,10,0),"")</f>
        <v/>
      </c>
      <c r="P732" s="8" t="inlineStr">
        <is>
          <t>TN</t>
        </is>
      </c>
      <c r="Q732" s="10">
        <f>IFERROR(IFERROR(VLOOKUP(A732,TRAOPE!$A:$U,21,0),VLOOKUP(B732,TRAOPE!$A:$U,21,0)),"")</f>
        <v/>
      </c>
      <c r="R732" s="8">
        <f>IFERROR(IFERROR(VLOOKUP(A732,TRAOPE!$A:$W,23,0),VLOOKUP(B732,TRAOPE!$A:$W,23,0)),"")</f>
        <v/>
      </c>
      <c r="S732" s="10">
        <f>IF(AND(P732="TN",R732="TN"),N732+N(O732),IF(G732&amp;""="1",N(K732)*N732,(N732+N(O732))*N(K732)))</f>
        <v/>
      </c>
      <c r="T732" s="10">
        <f>IF(Q732="","",Q732-S732)</f>
        <v/>
      </c>
    </row>
    <row r="733">
      <c r="A733" s="7">
        <f>CONCATENATE(C733,E733,F733,I733)</f>
        <v/>
      </c>
      <c r="B733" s="7">
        <f>CONCATENATE(C733,E733,I733)</f>
        <v/>
      </c>
      <c r="C733" s="8" t="n">
        <v>900009399</v>
      </c>
      <c r="D733" s="7">
        <f>IFERROR(VLOOKUP(C733,TRAOPE!$G:$H,2,0),"")</f>
        <v/>
      </c>
      <c r="E733" s="8" t="inlineStr">
        <is>
          <t>DW68</t>
        </is>
      </c>
      <c r="F733" s="8" t="inlineStr">
        <is>
          <t>D251</t>
        </is>
      </c>
      <c r="G733" s="8">
        <f>IFERROR(VLOOKUP(A733,Flete!$A:$E,5,0),"")</f>
        <v/>
      </c>
      <c r="H733" s="7">
        <f>IFERROR(VLOOKUP(F733,TRAOPE!$AA:$AB,2,0),"")</f>
        <v/>
      </c>
      <c r="I733" s="7" t="n">
        <v>10003240</v>
      </c>
      <c r="J733" s="7">
        <f>IFERROR(VLOOKUP(I733,Materiales!$A:$H,8,0),"")</f>
        <v/>
      </c>
      <c r="K733" s="9">
        <f>IFERROR(VLOOKUP(I733,Materiales!$A:$G,7,0),"")</f>
        <v/>
      </c>
      <c r="L733" s="8" t="inlineStr">
        <is>
          <t>20260706</t>
        </is>
      </c>
      <c r="M733" s="8" t="inlineStr">
        <is>
          <t>99991231</t>
        </is>
      </c>
      <c r="N733" s="10" t="n">
        <v>224.04</v>
      </c>
      <c r="O733" s="10">
        <f>IFERROR(VLOOKUP(A733,Flete!$A:$J,10,0),"")</f>
        <v/>
      </c>
      <c r="P733" s="8" t="inlineStr">
        <is>
          <t>TN</t>
        </is>
      </c>
      <c r="Q733" s="10">
        <f>IFERROR(IFERROR(VLOOKUP(A733,TRAOPE!$A:$U,21,0),VLOOKUP(B733,TRAOPE!$A:$U,21,0)),"")</f>
        <v/>
      </c>
      <c r="R733" s="8">
        <f>IFERROR(IFERROR(VLOOKUP(A733,TRAOPE!$A:$W,23,0),VLOOKUP(B733,TRAOPE!$A:$W,23,0)),"")</f>
        <v/>
      </c>
      <c r="S733" s="10">
        <f>IF(AND(P733="TN",R733="TN"),N733+N(O733),IF(G733&amp;""="1",N(K733)*N733,(N733+N(O733))*N(K733)))</f>
        <v/>
      </c>
      <c r="T733" s="10">
        <f>IF(Q733="","",Q733-S733)</f>
        <v/>
      </c>
    </row>
    <row r="734">
      <c r="A734" s="7">
        <f>CONCATENATE(C734,E734,F734,I734)</f>
        <v/>
      </c>
      <c r="B734" s="7">
        <f>CONCATENATE(C734,E734,I734)</f>
        <v/>
      </c>
      <c r="C734" s="8" t="n">
        <v>900009399</v>
      </c>
      <c r="D734" s="7">
        <f>IFERROR(VLOOKUP(C734,TRAOPE!$G:$H,2,0),"")</f>
        <v/>
      </c>
      <c r="E734" s="8" t="inlineStr">
        <is>
          <t>DW68</t>
        </is>
      </c>
      <c r="F734" s="8" t="inlineStr">
        <is>
          <t>D264</t>
        </is>
      </c>
      <c r="G734" s="8">
        <f>IFERROR(VLOOKUP(A734,Flete!$A:$E,5,0),"")</f>
        <v/>
      </c>
      <c r="H734" s="7">
        <f>IFERROR(VLOOKUP(F734,TRAOPE!$AA:$AB,2,0),"")</f>
        <v/>
      </c>
      <c r="I734" s="7" t="n">
        <v>10000191</v>
      </c>
      <c r="J734" s="7">
        <f>IFERROR(VLOOKUP(I734,Materiales!$A:$H,8,0),"")</f>
        <v/>
      </c>
      <c r="K734" s="9">
        <f>IFERROR(VLOOKUP(I734,Materiales!$A:$G,7,0),"")</f>
        <v/>
      </c>
      <c r="L734" s="8" t="inlineStr">
        <is>
          <t>20260410</t>
        </is>
      </c>
      <c r="M734" s="8" t="inlineStr">
        <is>
          <t>99991231</t>
        </is>
      </c>
      <c r="N734" s="10" t="n">
        <v>223.4</v>
      </c>
      <c r="O734" s="10">
        <f>IFERROR(VLOOKUP(A734,Flete!$A:$J,10,0),"")</f>
        <v/>
      </c>
      <c r="P734" s="8" t="inlineStr">
        <is>
          <t>TN</t>
        </is>
      </c>
      <c r="Q734" s="10">
        <f>IFERROR(IFERROR(VLOOKUP(A734,TRAOPE!$A:$U,21,0),VLOOKUP(B734,TRAOPE!$A:$U,21,0)),"")</f>
        <v/>
      </c>
      <c r="R734" s="8">
        <f>IFERROR(IFERROR(VLOOKUP(A734,TRAOPE!$A:$W,23,0),VLOOKUP(B734,TRAOPE!$A:$W,23,0)),"")</f>
        <v/>
      </c>
      <c r="S734" s="10">
        <f>IF(AND(P734="TN",R734="TN"),N734+N(O734),IF(G734&amp;""="1",N(K734)*N734,(N734+N(O734))*N(K734)))</f>
        <v/>
      </c>
      <c r="T734" s="10">
        <f>IF(Q734="","",Q734-S734)</f>
        <v/>
      </c>
    </row>
    <row r="735">
      <c r="A735" s="7">
        <f>CONCATENATE(C735,E735,F735,I735)</f>
        <v/>
      </c>
      <c r="B735" s="7">
        <f>CONCATENATE(C735,E735,I735)</f>
        <v/>
      </c>
      <c r="C735" s="8" t="n">
        <v>900009399</v>
      </c>
      <c r="D735" s="7">
        <f>IFERROR(VLOOKUP(C735,TRAOPE!$G:$H,2,0),"")</f>
        <v/>
      </c>
      <c r="E735" s="8" t="inlineStr">
        <is>
          <t>DW68</t>
        </is>
      </c>
      <c r="F735" s="8" t="inlineStr">
        <is>
          <t>D264</t>
        </is>
      </c>
      <c r="G735" s="8">
        <f>IFERROR(VLOOKUP(A735,Flete!$A:$E,5,0),"")</f>
        <v/>
      </c>
      <c r="H735" s="7">
        <f>IFERROR(VLOOKUP(F735,TRAOPE!$AA:$AB,2,0),"")</f>
        <v/>
      </c>
      <c r="I735" s="7" t="n">
        <v>10003240</v>
      </c>
      <c r="J735" s="7">
        <f>IFERROR(VLOOKUP(I735,Materiales!$A:$H,8,0),"")</f>
        <v/>
      </c>
      <c r="K735" s="9">
        <f>IFERROR(VLOOKUP(I735,Materiales!$A:$G,7,0),"")</f>
        <v/>
      </c>
      <c r="L735" s="8" t="inlineStr">
        <is>
          <t>20260706</t>
        </is>
      </c>
      <c r="M735" s="8" t="inlineStr">
        <is>
          <t>99991231</t>
        </is>
      </c>
      <c r="N735" s="10" t="n">
        <v>224.04</v>
      </c>
      <c r="O735" s="10">
        <f>IFERROR(VLOOKUP(A735,Flete!$A:$J,10,0),"")</f>
        <v/>
      </c>
      <c r="P735" s="8" t="inlineStr">
        <is>
          <t>TN</t>
        </is>
      </c>
      <c r="Q735" s="10">
        <f>IFERROR(IFERROR(VLOOKUP(A735,TRAOPE!$A:$U,21,0),VLOOKUP(B735,TRAOPE!$A:$U,21,0)),"")</f>
        <v/>
      </c>
      <c r="R735" s="8">
        <f>IFERROR(IFERROR(VLOOKUP(A735,TRAOPE!$A:$W,23,0),VLOOKUP(B735,TRAOPE!$A:$W,23,0)),"")</f>
        <v/>
      </c>
      <c r="S735" s="10">
        <f>IF(AND(P735="TN",R735="TN"),N735+N(O735),IF(G735&amp;""="1",N(K735)*N735,(N735+N(O735))*N(K735)))</f>
        <v/>
      </c>
      <c r="T735" s="10">
        <f>IF(Q735="","",Q735-S735)</f>
        <v/>
      </c>
    </row>
    <row r="736">
      <c r="A736" s="7">
        <f>CONCATENATE(C736,E736,F736,I736)</f>
        <v/>
      </c>
      <c r="B736" s="7">
        <f>CONCATENATE(C736,E736,I736)</f>
        <v/>
      </c>
      <c r="C736" s="8" t="n">
        <v>900009399</v>
      </c>
      <c r="D736" s="7">
        <f>IFERROR(VLOOKUP(C736,TRAOPE!$G:$H,2,0),"")</f>
        <v/>
      </c>
      <c r="E736" s="8" t="inlineStr">
        <is>
          <t>DW68</t>
        </is>
      </c>
      <c r="F736" s="8" t="inlineStr">
        <is>
          <t>D267</t>
        </is>
      </c>
      <c r="G736" s="8">
        <f>IFERROR(VLOOKUP(A736,Flete!$A:$E,5,0),"")</f>
        <v/>
      </c>
      <c r="H736" s="7">
        <f>IFERROR(VLOOKUP(F736,TRAOPE!$AA:$AB,2,0),"")</f>
        <v/>
      </c>
      <c r="I736" s="7" t="n">
        <v>10000191</v>
      </c>
      <c r="J736" s="7">
        <f>IFERROR(VLOOKUP(I736,Materiales!$A:$H,8,0),"")</f>
        <v/>
      </c>
      <c r="K736" s="9">
        <f>IFERROR(VLOOKUP(I736,Materiales!$A:$G,7,0),"")</f>
        <v/>
      </c>
      <c r="L736" s="8" t="inlineStr">
        <is>
          <t>20260410</t>
        </is>
      </c>
      <c r="M736" s="8" t="inlineStr">
        <is>
          <t>99991231</t>
        </is>
      </c>
      <c r="N736" s="10" t="n">
        <v>223.4</v>
      </c>
      <c r="O736" s="10">
        <f>IFERROR(VLOOKUP(A736,Flete!$A:$J,10,0),"")</f>
        <v/>
      </c>
      <c r="P736" s="8" t="inlineStr">
        <is>
          <t>TN</t>
        </is>
      </c>
      <c r="Q736" s="10">
        <f>IFERROR(IFERROR(VLOOKUP(A736,TRAOPE!$A:$U,21,0),VLOOKUP(B736,TRAOPE!$A:$U,21,0)),"")</f>
        <v/>
      </c>
      <c r="R736" s="8">
        <f>IFERROR(IFERROR(VLOOKUP(A736,TRAOPE!$A:$W,23,0),VLOOKUP(B736,TRAOPE!$A:$W,23,0)),"")</f>
        <v/>
      </c>
      <c r="S736" s="10">
        <f>IF(AND(P736="TN",R736="TN"),N736+N(O736),IF(G736&amp;""="1",N(K736)*N736,(N736+N(O736))*N(K736)))</f>
        <v/>
      </c>
      <c r="T736" s="10">
        <f>IF(Q736="","",Q736-S736)</f>
        <v/>
      </c>
    </row>
    <row r="737">
      <c r="A737" s="7">
        <f>CONCATENATE(C737,E737,F737,I737)</f>
        <v/>
      </c>
      <c r="B737" s="7">
        <f>CONCATENATE(C737,E737,I737)</f>
        <v/>
      </c>
      <c r="C737" s="8" t="n">
        <v>900009399</v>
      </c>
      <c r="D737" s="7">
        <f>IFERROR(VLOOKUP(C737,TRAOPE!$G:$H,2,0),"")</f>
        <v/>
      </c>
      <c r="E737" s="8" t="inlineStr">
        <is>
          <t>DW68</t>
        </is>
      </c>
      <c r="F737" s="8" t="inlineStr">
        <is>
          <t>D267</t>
        </is>
      </c>
      <c r="G737" s="8">
        <f>IFERROR(VLOOKUP(A737,Flete!$A:$E,5,0),"")</f>
        <v/>
      </c>
      <c r="H737" s="7">
        <f>IFERROR(VLOOKUP(F737,TRAOPE!$AA:$AB,2,0),"")</f>
        <v/>
      </c>
      <c r="I737" s="7" t="n">
        <v>10000439</v>
      </c>
      <c r="J737" s="7">
        <f>IFERROR(VLOOKUP(I737,Materiales!$A:$H,8,0),"")</f>
        <v/>
      </c>
      <c r="K737" s="9">
        <f>IFERROR(VLOOKUP(I737,Materiales!$A:$G,7,0),"")</f>
        <v/>
      </c>
      <c r="L737" s="8" t="inlineStr">
        <is>
          <t>20260706</t>
        </is>
      </c>
      <c r="M737" s="8" t="inlineStr">
        <is>
          <t>99991231</t>
        </is>
      </c>
      <c r="N737" s="10" t="n">
        <v>271.4</v>
      </c>
      <c r="O737" s="10">
        <f>IFERROR(VLOOKUP(A737,Flete!$A:$J,10,0),"")</f>
        <v/>
      </c>
      <c r="P737" s="8" t="inlineStr">
        <is>
          <t>TN</t>
        </is>
      </c>
      <c r="Q737" s="10">
        <f>IFERROR(IFERROR(VLOOKUP(A737,TRAOPE!$A:$U,21,0),VLOOKUP(B737,TRAOPE!$A:$U,21,0)),"")</f>
        <v/>
      </c>
      <c r="R737" s="8">
        <f>IFERROR(IFERROR(VLOOKUP(A737,TRAOPE!$A:$W,23,0),VLOOKUP(B737,TRAOPE!$A:$W,23,0)),"")</f>
        <v/>
      </c>
      <c r="S737" s="10">
        <f>IF(AND(P737="TN",R737="TN"),N737+N(O737),IF(G737&amp;""="1",N(K737)*N737,(N737+N(O737))*N(K737)))</f>
        <v/>
      </c>
      <c r="T737" s="10">
        <f>IF(Q737="","",Q737-S737)</f>
        <v/>
      </c>
    </row>
    <row r="738">
      <c r="A738" s="7">
        <f>CONCATENATE(C738,E738,F738,I738)</f>
        <v/>
      </c>
      <c r="B738" s="7">
        <f>CONCATENATE(C738,E738,I738)</f>
        <v/>
      </c>
      <c r="C738" s="8" t="n">
        <v>900009399</v>
      </c>
      <c r="D738" s="7">
        <f>IFERROR(VLOOKUP(C738,TRAOPE!$G:$H,2,0),"")</f>
        <v/>
      </c>
      <c r="E738" s="8" t="inlineStr">
        <is>
          <t>DW68</t>
        </is>
      </c>
      <c r="F738" s="8" t="inlineStr">
        <is>
          <t>D267</t>
        </is>
      </c>
      <c r="G738" s="8">
        <f>IFERROR(VLOOKUP(A738,Flete!$A:$E,5,0),"")</f>
        <v/>
      </c>
      <c r="H738" s="7">
        <f>IFERROR(VLOOKUP(F738,TRAOPE!$AA:$AB,2,0),"")</f>
        <v/>
      </c>
      <c r="I738" s="7" t="n">
        <v>10003240</v>
      </c>
      <c r="J738" s="7">
        <f>IFERROR(VLOOKUP(I738,Materiales!$A:$H,8,0),"")</f>
        <v/>
      </c>
      <c r="K738" s="9">
        <f>IFERROR(VLOOKUP(I738,Materiales!$A:$G,7,0),"")</f>
        <v/>
      </c>
      <c r="L738" s="8" t="inlineStr">
        <is>
          <t>20260706</t>
        </is>
      </c>
      <c r="M738" s="8" t="inlineStr">
        <is>
          <t>99991231</t>
        </is>
      </c>
      <c r="N738" s="10" t="n">
        <v>224.04</v>
      </c>
      <c r="O738" s="10">
        <f>IFERROR(VLOOKUP(A738,Flete!$A:$J,10,0),"")</f>
        <v/>
      </c>
      <c r="P738" s="8" t="inlineStr">
        <is>
          <t>TN</t>
        </is>
      </c>
      <c r="Q738" s="10">
        <f>IFERROR(IFERROR(VLOOKUP(A738,TRAOPE!$A:$U,21,0),VLOOKUP(B738,TRAOPE!$A:$U,21,0)),"")</f>
        <v/>
      </c>
      <c r="R738" s="8">
        <f>IFERROR(IFERROR(VLOOKUP(A738,TRAOPE!$A:$W,23,0),VLOOKUP(B738,TRAOPE!$A:$W,23,0)),"")</f>
        <v/>
      </c>
      <c r="S738" s="10">
        <f>IF(AND(P738="TN",R738="TN"),N738+N(O738),IF(G738&amp;""="1",N(K738)*N738,(N738+N(O738))*N(K738)))</f>
        <v/>
      </c>
      <c r="T738" s="10">
        <f>IF(Q738="","",Q738-S738)</f>
        <v/>
      </c>
    </row>
    <row r="739">
      <c r="A739" s="7">
        <f>CONCATENATE(C739,E739,F739,I739)</f>
        <v/>
      </c>
      <c r="B739" s="7">
        <f>CONCATENATE(C739,E739,I739)</f>
        <v/>
      </c>
      <c r="C739" s="8" t="n">
        <v>900009419</v>
      </c>
      <c r="D739" s="7">
        <f>IFERROR(VLOOKUP(C739,TRAOPE!$G:$H,2,0),"")</f>
        <v/>
      </c>
      <c r="E739" s="8" t="inlineStr">
        <is>
          <t>DW68</t>
        </is>
      </c>
      <c r="F739" s="8" t="inlineStr">
        <is>
          <t>D042</t>
        </is>
      </c>
      <c r="G739" s="8">
        <f>IFERROR(VLOOKUP(A739,Flete!$A:$E,5,0),"")</f>
        <v/>
      </c>
      <c r="H739" s="7">
        <f>IFERROR(VLOOKUP(F739,TRAOPE!$AA:$AB,2,0),"")</f>
        <v/>
      </c>
      <c r="I739" s="7" t="n">
        <v>10270911</v>
      </c>
      <c r="J739" s="7">
        <f>IFERROR(VLOOKUP(I739,Materiales!$A:$H,8,0),"")</f>
        <v/>
      </c>
      <c r="K739" s="9">
        <f>IFERROR(VLOOKUP(I739,Materiales!$A:$G,7,0),"")</f>
        <v/>
      </c>
      <c r="L739" s="8" t="inlineStr">
        <is>
          <t>20260430</t>
        </is>
      </c>
      <c r="M739" s="8" t="inlineStr">
        <is>
          <t>20260705</t>
        </is>
      </c>
      <c r="N739" s="10" t="n">
        <v>197.74</v>
      </c>
      <c r="O739" s="10">
        <f>IFERROR(VLOOKUP(A739,Flete!$A:$J,10,0),"")</f>
        <v/>
      </c>
      <c r="P739" s="8" t="inlineStr">
        <is>
          <t>TN</t>
        </is>
      </c>
      <c r="Q739" s="10">
        <f>IFERROR(IFERROR(VLOOKUP(A739,TRAOPE!$A:$U,21,0),VLOOKUP(B739,TRAOPE!$A:$U,21,0)),"")</f>
        <v/>
      </c>
      <c r="R739" s="8">
        <f>IFERROR(IFERROR(VLOOKUP(A739,TRAOPE!$A:$W,23,0),VLOOKUP(B739,TRAOPE!$A:$W,23,0)),"")</f>
        <v/>
      </c>
      <c r="S739" s="10">
        <f>IF(AND(P739="TN",R739="TN"),N739+N(O739),IF(G739&amp;""="1",N(K739)*N739,(N739+N(O739))*N(K739)))</f>
        <v/>
      </c>
      <c r="T739" s="10">
        <f>IF(Q739="","",Q739-S739)</f>
        <v/>
      </c>
    </row>
    <row r="740">
      <c r="A740" s="7">
        <f>CONCATENATE(C740,E740,F740,I740)</f>
        <v/>
      </c>
      <c r="B740" s="7">
        <f>CONCATENATE(C740,E740,I740)</f>
        <v/>
      </c>
      <c r="C740" s="8" t="n">
        <v>900009419</v>
      </c>
      <c r="D740" s="7">
        <f>IFERROR(VLOOKUP(C740,TRAOPE!$G:$H,2,0),"")</f>
        <v/>
      </c>
      <c r="E740" s="8" t="inlineStr">
        <is>
          <t>DW68</t>
        </is>
      </c>
      <c r="F740" s="8" t="inlineStr">
        <is>
          <t>D209</t>
        </is>
      </c>
      <c r="G740" s="8">
        <f>IFERROR(VLOOKUP(A740,Flete!$A:$E,5,0),"")</f>
        <v/>
      </c>
      <c r="H740" s="7">
        <f>IFERROR(VLOOKUP(F740,TRAOPE!$AA:$AB,2,0),"")</f>
        <v/>
      </c>
      <c r="I740" s="7" t="n">
        <v>10270911</v>
      </c>
      <c r="J740" s="7">
        <f>IFERROR(VLOOKUP(I740,Materiales!$A:$H,8,0),"")</f>
        <v/>
      </c>
      <c r="K740" s="9">
        <f>IFERROR(VLOOKUP(I740,Materiales!$A:$G,7,0),"")</f>
        <v/>
      </c>
      <c r="L740" s="8" t="inlineStr">
        <is>
          <t>20260430</t>
        </is>
      </c>
      <c r="M740" s="8" t="inlineStr">
        <is>
          <t>20260705</t>
        </is>
      </c>
      <c r="N740" s="10" t="n">
        <v>197.74</v>
      </c>
      <c r="O740" s="10">
        <f>IFERROR(VLOOKUP(A740,Flete!$A:$J,10,0),"")</f>
        <v/>
      </c>
      <c r="P740" s="8" t="inlineStr">
        <is>
          <t>TN</t>
        </is>
      </c>
      <c r="Q740" s="10">
        <f>IFERROR(IFERROR(VLOOKUP(A740,TRAOPE!$A:$U,21,0),VLOOKUP(B740,TRAOPE!$A:$U,21,0)),"")</f>
        <v/>
      </c>
      <c r="R740" s="8">
        <f>IFERROR(IFERROR(VLOOKUP(A740,TRAOPE!$A:$W,23,0),VLOOKUP(B740,TRAOPE!$A:$W,23,0)),"")</f>
        <v/>
      </c>
      <c r="S740" s="10">
        <f>IF(AND(P740="TN",R740="TN"),N740+N(O740),IF(G740&amp;""="1",N(K740)*N740,(N740+N(O740))*N(K740)))</f>
        <v/>
      </c>
      <c r="T740" s="10">
        <f>IF(Q740="","",Q740-S740)</f>
        <v/>
      </c>
    </row>
    <row r="741">
      <c r="A741" s="7">
        <f>CONCATENATE(C741,E741,F741,I741)</f>
        <v/>
      </c>
      <c r="B741" s="7">
        <f>CONCATENATE(C741,E741,I741)</f>
        <v/>
      </c>
      <c r="C741" s="8" t="n">
        <v>900009419</v>
      </c>
      <c r="D741" s="7">
        <f>IFERROR(VLOOKUP(C741,TRAOPE!$G:$H,2,0),"")</f>
        <v/>
      </c>
      <c r="E741" s="8" t="inlineStr">
        <is>
          <t>DW68</t>
        </is>
      </c>
      <c r="F741" s="8" t="inlineStr">
        <is>
          <t>D211</t>
        </is>
      </c>
      <c r="G741" s="8">
        <f>IFERROR(VLOOKUP(A741,Flete!$A:$E,5,0),"")</f>
        <v/>
      </c>
      <c r="H741" s="7">
        <f>IFERROR(VLOOKUP(F741,TRAOPE!$AA:$AB,2,0),"")</f>
        <v/>
      </c>
      <c r="I741" s="7" t="n">
        <v>10270911</v>
      </c>
      <c r="J741" s="7">
        <f>IFERROR(VLOOKUP(I741,Materiales!$A:$H,8,0),"")</f>
        <v/>
      </c>
      <c r="K741" s="9">
        <f>IFERROR(VLOOKUP(I741,Materiales!$A:$G,7,0),"")</f>
        <v/>
      </c>
      <c r="L741" s="8" t="inlineStr">
        <is>
          <t>20260430</t>
        </is>
      </c>
      <c r="M741" s="8" t="inlineStr">
        <is>
          <t>20260705</t>
        </is>
      </c>
      <c r="N741" s="10" t="n">
        <v>197.74</v>
      </c>
      <c r="O741" s="10">
        <f>IFERROR(VLOOKUP(A741,Flete!$A:$J,10,0),"")</f>
        <v/>
      </c>
      <c r="P741" s="8" t="inlineStr">
        <is>
          <t>TN</t>
        </is>
      </c>
      <c r="Q741" s="10">
        <f>IFERROR(IFERROR(VLOOKUP(A741,TRAOPE!$A:$U,21,0),VLOOKUP(B741,TRAOPE!$A:$U,21,0)),"")</f>
        <v/>
      </c>
      <c r="R741" s="8">
        <f>IFERROR(IFERROR(VLOOKUP(A741,TRAOPE!$A:$W,23,0),VLOOKUP(B741,TRAOPE!$A:$W,23,0)),"")</f>
        <v/>
      </c>
      <c r="S741" s="10">
        <f>IF(AND(P741="TN",R741="TN"),N741+N(O741),IF(G741&amp;""="1",N(K741)*N741,(N741+N(O741))*N(K741)))</f>
        <v/>
      </c>
      <c r="T741" s="10">
        <f>IF(Q741="","",Q741-S741)</f>
        <v/>
      </c>
    </row>
    <row r="742">
      <c r="A742" s="7">
        <f>CONCATENATE(C742,E742,F742,I742)</f>
        <v/>
      </c>
      <c r="B742" s="7">
        <f>CONCATENATE(C742,E742,I742)</f>
        <v/>
      </c>
      <c r="C742" s="8" t="n">
        <v>900009419</v>
      </c>
      <c r="D742" s="7">
        <f>IFERROR(VLOOKUP(C742,TRAOPE!$G:$H,2,0),"")</f>
        <v/>
      </c>
      <c r="E742" s="8" t="inlineStr">
        <is>
          <t>DW68</t>
        </is>
      </c>
      <c r="F742" s="8" t="inlineStr">
        <is>
          <t>D228</t>
        </is>
      </c>
      <c r="G742" s="8">
        <f>IFERROR(VLOOKUP(A742,Flete!$A:$E,5,0),"")</f>
        <v/>
      </c>
      <c r="H742" s="7">
        <f>IFERROR(VLOOKUP(F742,TRAOPE!$AA:$AB,2,0),"")</f>
        <v/>
      </c>
      <c r="I742" s="7" t="n">
        <v>10270911</v>
      </c>
      <c r="J742" s="7">
        <f>IFERROR(VLOOKUP(I742,Materiales!$A:$H,8,0),"")</f>
        <v/>
      </c>
      <c r="K742" s="9">
        <f>IFERROR(VLOOKUP(I742,Materiales!$A:$G,7,0),"")</f>
        <v/>
      </c>
      <c r="L742" s="8" t="inlineStr">
        <is>
          <t>20260430</t>
        </is>
      </c>
      <c r="M742" s="8" t="inlineStr">
        <is>
          <t>20260705</t>
        </is>
      </c>
      <c r="N742" s="10" t="n">
        <v>197.74</v>
      </c>
      <c r="O742" s="10">
        <f>IFERROR(VLOOKUP(A742,Flete!$A:$J,10,0),"")</f>
        <v/>
      </c>
      <c r="P742" s="8" t="inlineStr">
        <is>
          <t>TN</t>
        </is>
      </c>
      <c r="Q742" s="10">
        <f>IFERROR(IFERROR(VLOOKUP(A742,TRAOPE!$A:$U,21,0),VLOOKUP(B742,TRAOPE!$A:$U,21,0)),"")</f>
        <v/>
      </c>
      <c r="R742" s="8">
        <f>IFERROR(IFERROR(VLOOKUP(A742,TRAOPE!$A:$W,23,0),VLOOKUP(B742,TRAOPE!$A:$W,23,0)),"")</f>
        <v/>
      </c>
      <c r="S742" s="10">
        <f>IF(AND(P742="TN",R742="TN"),N742+N(O742),IF(G742&amp;""="1",N(K742)*N742,(N742+N(O742))*N(K742)))</f>
        <v/>
      </c>
      <c r="T742" s="10">
        <f>IF(Q742="","",Q742-S742)</f>
        <v/>
      </c>
    </row>
    <row r="743">
      <c r="A743" s="7">
        <f>CONCATENATE(C743,E743,F743,I743)</f>
        <v/>
      </c>
      <c r="B743" s="7">
        <f>CONCATENATE(C743,E743,I743)</f>
        <v/>
      </c>
      <c r="C743" s="8" t="n">
        <v>900009419</v>
      </c>
      <c r="D743" s="7">
        <f>IFERROR(VLOOKUP(C743,TRAOPE!$G:$H,2,0),"")</f>
        <v/>
      </c>
      <c r="E743" s="8" t="inlineStr">
        <is>
          <t>DW68</t>
        </is>
      </c>
      <c r="F743" s="8" t="inlineStr">
        <is>
          <t>D242</t>
        </is>
      </c>
      <c r="G743" s="8">
        <f>IFERROR(VLOOKUP(A743,Flete!$A:$E,5,0),"")</f>
        <v/>
      </c>
      <c r="H743" s="7">
        <f>IFERROR(VLOOKUP(F743,TRAOPE!$AA:$AB,2,0),"")</f>
        <v/>
      </c>
      <c r="I743" s="7" t="n">
        <v>10270911</v>
      </c>
      <c r="J743" s="7">
        <f>IFERROR(VLOOKUP(I743,Materiales!$A:$H,8,0),"")</f>
        <v/>
      </c>
      <c r="K743" s="9">
        <f>IFERROR(VLOOKUP(I743,Materiales!$A:$G,7,0),"")</f>
        <v/>
      </c>
      <c r="L743" s="8" t="inlineStr">
        <is>
          <t>20260430</t>
        </is>
      </c>
      <c r="M743" s="8" t="inlineStr">
        <is>
          <t>20260705</t>
        </is>
      </c>
      <c r="N743" s="10" t="n">
        <v>197.74</v>
      </c>
      <c r="O743" s="10">
        <f>IFERROR(VLOOKUP(A743,Flete!$A:$J,10,0),"")</f>
        <v/>
      </c>
      <c r="P743" s="8" t="inlineStr">
        <is>
          <t>TN</t>
        </is>
      </c>
      <c r="Q743" s="10">
        <f>IFERROR(IFERROR(VLOOKUP(A743,TRAOPE!$A:$U,21,0),VLOOKUP(B743,TRAOPE!$A:$U,21,0)),"")</f>
        <v/>
      </c>
      <c r="R743" s="8">
        <f>IFERROR(IFERROR(VLOOKUP(A743,TRAOPE!$A:$W,23,0),VLOOKUP(B743,TRAOPE!$A:$W,23,0)),"")</f>
        <v/>
      </c>
      <c r="S743" s="10">
        <f>IF(AND(P743="TN",R743="TN"),N743+N(O743),IF(G743&amp;""="1",N(K743)*N743,(N743+N(O743))*N(K743)))</f>
        <v/>
      </c>
      <c r="T743" s="10">
        <f>IF(Q743="","",Q743-S743)</f>
        <v/>
      </c>
    </row>
    <row r="744">
      <c r="A744" s="7">
        <f>CONCATENATE(C744,E744,F744,I744)</f>
        <v/>
      </c>
      <c r="B744" s="7">
        <f>CONCATENATE(C744,E744,I744)</f>
        <v/>
      </c>
      <c r="C744" s="8" t="n">
        <v>900009419</v>
      </c>
      <c r="D744" s="7">
        <f>IFERROR(VLOOKUP(C744,TRAOPE!$G:$H,2,0),"")</f>
        <v/>
      </c>
      <c r="E744" s="8" t="inlineStr">
        <is>
          <t>DW68</t>
        </is>
      </c>
      <c r="F744" s="8" t="inlineStr">
        <is>
          <t>D247</t>
        </is>
      </c>
      <c r="G744" s="8">
        <f>IFERROR(VLOOKUP(A744,Flete!$A:$E,5,0),"")</f>
        <v/>
      </c>
      <c r="H744" s="7">
        <f>IFERROR(VLOOKUP(F744,TRAOPE!$AA:$AB,2,0),"")</f>
        <v/>
      </c>
      <c r="I744" s="7" t="n">
        <v>10270911</v>
      </c>
      <c r="J744" s="7">
        <f>IFERROR(VLOOKUP(I744,Materiales!$A:$H,8,0),"")</f>
        <v/>
      </c>
      <c r="K744" s="9">
        <f>IFERROR(VLOOKUP(I744,Materiales!$A:$G,7,0),"")</f>
        <v/>
      </c>
      <c r="L744" s="8" t="inlineStr">
        <is>
          <t>20260430</t>
        </is>
      </c>
      <c r="M744" s="8" t="inlineStr">
        <is>
          <t>20260705</t>
        </is>
      </c>
      <c r="N744" s="10" t="n">
        <v>197.74</v>
      </c>
      <c r="O744" s="10">
        <f>IFERROR(VLOOKUP(A744,Flete!$A:$J,10,0),"")</f>
        <v/>
      </c>
      <c r="P744" s="8" t="inlineStr">
        <is>
          <t>TN</t>
        </is>
      </c>
      <c r="Q744" s="10">
        <f>IFERROR(IFERROR(VLOOKUP(A744,TRAOPE!$A:$U,21,0),VLOOKUP(B744,TRAOPE!$A:$U,21,0)),"")</f>
        <v/>
      </c>
      <c r="R744" s="8">
        <f>IFERROR(IFERROR(VLOOKUP(A744,TRAOPE!$A:$W,23,0),VLOOKUP(B744,TRAOPE!$A:$W,23,0)),"")</f>
        <v/>
      </c>
      <c r="S744" s="10">
        <f>IF(AND(P744="TN",R744="TN"),N744+N(O744),IF(G744&amp;""="1",N(K744)*N744,(N744+N(O744))*N(K744)))</f>
        <v/>
      </c>
      <c r="T744" s="10">
        <f>IF(Q744="","",Q744-S744)</f>
        <v/>
      </c>
    </row>
    <row r="745">
      <c r="A745" s="7">
        <f>CONCATENATE(C745,E745,F745,I745)</f>
        <v/>
      </c>
      <c r="B745" s="7">
        <f>CONCATENATE(C745,E745,I745)</f>
        <v/>
      </c>
      <c r="C745" s="8" t="n">
        <v>900009419</v>
      </c>
      <c r="D745" s="7">
        <f>IFERROR(VLOOKUP(C745,TRAOPE!$G:$H,2,0),"")</f>
        <v/>
      </c>
      <c r="E745" s="8" t="inlineStr">
        <is>
          <t>DW68</t>
        </is>
      </c>
      <c r="F745" s="8" t="inlineStr">
        <is>
          <t>D251</t>
        </is>
      </c>
      <c r="G745" s="8">
        <f>IFERROR(VLOOKUP(A745,Flete!$A:$E,5,0),"")</f>
        <v/>
      </c>
      <c r="H745" s="7">
        <f>IFERROR(VLOOKUP(F745,TRAOPE!$AA:$AB,2,0),"")</f>
        <v/>
      </c>
      <c r="I745" s="7" t="n">
        <v>10270911</v>
      </c>
      <c r="J745" s="7">
        <f>IFERROR(VLOOKUP(I745,Materiales!$A:$H,8,0),"")</f>
        <v/>
      </c>
      <c r="K745" s="9">
        <f>IFERROR(VLOOKUP(I745,Materiales!$A:$G,7,0),"")</f>
        <v/>
      </c>
      <c r="L745" s="8" t="inlineStr">
        <is>
          <t>20260413</t>
        </is>
      </c>
      <c r="M745" s="8" t="inlineStr">
        <is>
          <t>20260705</t>
        </is>
      </c>
      <c r="N745" s="10" t="n">
        <v>197.74</v>
      </c>
      <c r="O745" s="10">
        <f>IFERROR(VLOOKUP(A745,Flete!$A:$J,10,0),"")</f>
        <v/>
      </c>
      <c r="P745" s="8" t="inlineStr">
        <is>
          <t>TN</t>
        </is>
      </c>
      <c r="Q745" s="10">
        <f>IFERROR(IFERROR(VLOOKUP(A745,TRAOPE!$A:$U,21,0),VLOOKUP(B745,TRAOPE!$A:$U,21,0)),"")</f>
        <v/>
      </c>
      <c r="R745" s="8">
        <f>IFERROR(IFERROR(VLOOKUP(A745,TRAOPE!$A:$W,23,0),VLOOKUP(B745,TRAOPE!$A:$W,23,0)),"")</f>
        <v/>
      </c>
      <c r="S745" s="10">
        <f>IF(AND(P745="TN",R745="TN"),N745+N(O745),IF(G745&amp;""="1",N(K745)*N745,(N745+N(O745))*N(K745)))</f>
        <v/>
      </c>
      <c r="T745" s="10">
        <f>IF(Q745="","",Q745-S745)</f>
        <v/>
      </c>
    </row>
    <row r="746">
      <c r="A746" s="7">
        <f>CONCATENATE(C746,E746,F746,I746)</f>
        <v/>
      </c>
      <c r="B746" s="7">
        <f>CONCATENATE(C746,E746,I746)</f>
        <v/>
      </c>
      <c r="C746" s="8" t="n">
        <v>900009419</v>
      </c>
      <c r="D746" s="7">
        <f>IFERROR(VLOOKUP(C746,TRAOPE!$G:$H,2,0),"")</f>
        <v/>
      </c>
      <c r="E746" s="8" t="inlineStr">
        <is>
          <t>DW68</t>
        </is>
      </c>
      <c r="F746" s="8" t="inlineStr">
        <is>
          <t>D264</t>
        </is>
      </c>
      <c r="G746" s="8">
        <f>IFERROR(VLOOKUP(A746,Flete!$A:$E,5,0),"")</f>
        <v/>
      </c>
      <c r="H746" s="7">
        <f>IFERROR(VLOOKUP(F746,TRAOPE!$AA:$AB,2,0),"")</f>
        <v/>
      </c>
      <c r="I746" s="7" t="n">
        <v>10270911</v>
      </c>
      <c r="J746" s="7">
        <f>IFERROR(VLOOKUP(I746,Materiales!$A:$H,8,0),"")</f>
        <v/>
      </c>
      <c r="K746" s="9">
        <f>IFERROR(VLOOKUP(I746,Materiales!$A:$G,7,0),"")</f>
        <v/>
      </c>
      <c r="L746" s="8" t="inlineStr">
        <is>
          <t>20260430</t>
        </is>
      </c>
      <c r="M746" s="8" t="inlineStr">
        <is>
          <t>20260705</t>
        </is>
      </c>
      <c r="N746" s="10" t="n">
        <v>197.74</v>
      </c>
      <c r="O746" s="10">
        <f>IFERROR(VLOOKUP(A746,Flete!$A:$J,10,0),"")</f>
        <v/>
      </c>
      <c r="P746" s="8" t="inlineStr">
        <is>
          <t>TN</t>
        </is>
      </c>
      <c r="Q746" s="10">
        <f>IFERROR(IFERROR(VLOOKUP(A746,TRAOPE!$A:$U,21,0),VLOOKUP(B746,TRAOPE!$A:$U,21,0)),"")</f>
        <v/>
      </c>
      <c r="R746" s="8">
        <f>IFERROR(IFERROR(VLOOKUP(A746,TRAOPE!$A:$W,23,0),VLOOKUP(B746,TRAOPE!$A:$W,23,0)),"")</f>
        <v/>
      </c>
      <c r="S746" s="10">
        <f>IF(AND(P746="TN",R746="TN"),N746+N(O746),IF(G746&amp;""="1",N(K746)*N746,(N746+N(O746))*N(K746)))</f>
        <v/>
      </c>
      <c r="T746" s="10">
        <f>IF(Q746="","",Q746-S746)</f>
        <v/>
      </c>
    </row>
    <row r="747">
      <c r="A747" s="7">
        <f>CONCATENATE(C747,E747,F747,I747)</f>
        <v/>
      </c>
      <c r="B747" s="7">
        <f>CONCATENATE(C747,E747,I747)</f>
        <v/>
      </c>
      <c r="C747" s="8" t="n">
        <v>900009419</v>
      </c>
      <c r="D747" s="7">
        <f>IFERROR(VLOOKUP(C747,TRAOPE!$G:$H,2,0),"")</f>
        <v/>
      </c>
      <c r="E747" s="8" t="inlineStr">
        <is>
          <t>DW68</t>
        </is>
      </c>
      <c r="F747" s="8" t="inlineStr">
        <is>
          <t>D267</t>
        </is>
      </c>
      <c r="G747" s="8">
        <f>IFERROR(VLOOKUP(A747,Flete!$A:$E,5,0),"")</f>
        <v/>
      </c>
      <c r="H747" s="7">
        <f>IFERROR(VLOOKUP(F747,TRAOPE!$AA:$AB,2,0),"")</f>
        <v/>
      </c>
      <c r="I747" s="7" t="n">
        <v>10270911</v>
      </c>
      <c r="J747" s="7">
        <f>IFERROR(VLOOKUP(I747,Materiales!$A:$H,8,0),"")</f>
        <v/>
      </c>
      <c r="K747" s="9">
        <f>IFERROR(VLOOKUP(I747,Materiales!$A:$G,7,0),"")</f>
        <v/>
      </c>
      <c r="L747" s="8" t="inlineStr">
        <is>
          <t>20260430</t>
        </is>
      </c>
      <c r="M747" s="8" t="inlineStr">
        <is>
          <t>20260705</t>
        </is>
      </c>
      <c r="N747" s="10" t="n">
        <v>197.74</v>
      </c>
      <c r="O747" s="10">
        <f>IFERROR(VLOOKUP(A747,Flete!$A:$J,10,0),"")</f>
        <v/>
      </c>
      <c r="P747" s="8" t="inlineStr">
        <is>
          <t>TN</t>
        </is>
      </c>
      <c r="Q747" s="10">
        <f>IFERROR(IFERROR(VLOOKUP(A747,TRAOPE!$A:$U,21,0),VLOOKUP(B747,TRAOPE!$A:$U,21,0)),"")</f>
        <v/>
      </c>
      <c r="R747" s="8">
        <f>IFERROR(IFERROR(VLOOKUP(A747,TRAOPE!$A:$W,23,0),VLOOKUP(B747,TRAOPE!$A:$W,23,0)),"")</f>
        <v/>
      </c>
      <c r="S747" s="10">
        <f>IF(AND(P747="TN",R747="TN"),N747+N(O747),IF(G747&amp;""="1",N(K747)*N747,(N747+N(O747))*N(K747)))</f>
        <v/>
      </c>
      <c r="T747" s="10">
        <f>IF(Q747="","",Q747-S747)</f>
        <v/>
      </c>
    </row>
    <row r="748">
      <c r="A748" s="7">
        <f>CONCATENATE(C748,E748,F748,I748)</f>
        <v/>
      </c>
      <c r="B748" s="7">
        <f>CONCATENATE(C748,E748,I748)</f>
        <v/>
      </c>
      <c r="C748" s="8" t="n">
        <v>900009419</v>
      </c>
      <c r="D748" s="7">
        <f>IFERROR(VLOOKUP(C748,TRAOPE!$G:$H,2,0),"")</f>
        <v/>
      </c>
      <c r="E748" s="8" t="inlineStr">
        <is>
          <t>DW68</t>
        </is>
      </c>
      <c r="F748" s="8" t="inlineStr">
        <is>
          <t>ENEB</t>
        </is>
      </c>
      <c r="G748" s="8">
        <f>IFERROR(VLOOKUP(A748,Flete!$A:$E,5,0),"")</f>
        <v/>
      </c>
      <c r="H748" s="7">
        <f>IFERROR(VLOOKUP(F748,TRAOPE!$AA:$AB,2,0),"")</f>
        <v/>
      </c>
      <c r="I748" s="7" t="n">
        <v>10000439</v>
      </c>
      <c r="J748" s="7">
        <f>IFERROR(VLOOKUP(I748,Materiales!$A:$H,8,0),"")</f>
        <v/>
      </c>
      <c r="K748" s="9">
        <f>IFERROR(VLOOKUP(I748,Materiales!$A:$G,7,0),"")</f>
        <v/>
      </c>
      <c r="L748" s="8" t="inlineStr">
        <is>
          <t>20251202</t>
        </is>
      </c>
      <c r="M748" s="8" t="inlineStr">
        <is>
          <t>99991231</t>
        </is>
      </c>
      <c r="N748" s="10" t="n">
        <v>217.6</v>
      </c>
      <c r="O748" s="10">
        <f>IFERROR(VLOOKUP(A748,Flete!$A:$J,10,0),"")</f>
        <v/>
      </c>
      <c r="P748" s="8" t="inlineStr">
        <is>
          <t>TN</t>
        </is>
      </c>
      <c r="Q748" s="10">
        <f>IFERROR(IFERROR(VLOOKUP(A748,TRAOPE!$A:$U,21,0),VLOOKUP(B748,TRAOPE!$A:$U,21,0)),"")</f>
        <v/>
      </c>
      <c r="R748" s="8">
        <f>IFERROR(IFERROR(VLOOKUP(A748,TRAOPE!$A:$W,23,0),VLOOKUP(B748,TRAOPE!$A:$W,23,0)),"")</f>
        <v/>
      </c>
      <c r="S748" s="10">
        <f>IF(AND(P748="TN",R748="TN"),N748+N(O748),IF(G748&amp;""="1",N(K748)*N748,(N748+N(O748))*N(K748)))</f>
        <v/>
      </c>
      <c r="T748" s="10">
        <f>IF(Q748="","",Q748-S748)</f>
        <v/>
      </c>
    </row>
    <row r="749">
      <c r="A749" s="7">
        <f>CONCATENATE(C749,E749,F749,I749)</f>
        <v/>
      </c>
      <c r="B749" s="7">
        <f>CONCATENATE(C749,E749,I749)</f>
        <v/>
      </c>
      <c r="C749" s="8" t="n">
        <v>900009419</v>
      </c>
      <c r="D749" s="7">
        <f>IFERROR(VLOOKUP(C749,TRAOPE!$G:$H,2,0),"")</f>
        <v/>
      </c>
      <c r="E749" s="8" t="inlineStr">
        <is>
          <t>DW68</t>
        </is>
      </c>
      <c r="F749" s="8" t="inlineStr">
        <is>
          <t>ENEB</t>
        </is>
      </c>
      <c r="G749" s="8">
        <f>IFERROR(VLOOKUP(A749,Flete!$A:$E,5,0),"")</f>
        <v/>
      </c>
      <c r="H749" s="7">
        <f>IFERROR(VLOOKUP(F749,TRAOPE!$AA:$AB,2,0),"")</f>
        <v/>
      </c>
      <c r="I749" s="7" t="n">
        <v>10209065</v>
      </c>
      <c r="J749" s="7">
        <f>IFERROR(VLOOKUP(I749,Materiales!$A:$H,8,0),"")</f>
        <v/>
      </c>
      <c r="K749" s="9">
        <f>IFERROR(VLOOKUP(I749,Materiales!$A:$G,7,0),"")</f>
        <v/>
      </c>
      <c r="L749" s="8" t="inlineStr">
        <is>
          <t>20251202</t>
        </is>
      </c>
      <c r="M749" s="8" t="inlineStr">
        <is>
          <t>99991231</t>
        </is>
      </c>
      <c r="N749" s="10" t="n">
        <v>145</v>
      </c>
      <c r="O749" s="10">
        <f>IFERROR(VLOOKUP(A749,Flete!$A:$J,10,0),"")</f>
        <v/>
      </c>
      <c r="P749" s="8" t="inlineStr">
        <is>
          <t>TN</t>
        </is>
      </c>
      <c r="Q749" s="10">
        <f>IFERROR(IFERROR(VLOOKUP(A749,TRAOPE!$A:$U,21,0),VLOOKUP(B749,TRAOPE!$A:$U,21,0)),"")</f>
        <v/>
      </c>
      <c r="R749" s="8">
        <f>IFERROR(IFERROR(VLOOKUP(A749,TRAOPE!$A:$W,23,0),VLOOKUP(B749,TRAOPE!$A:$W,23,0)),"")</f>
        <v/>
      </c>
      <c r="S749" s="10">
        <f>IF(AND(P749="TN",R749="TN"),N749+N(O749),IF(G749&amp;""="1",N(K749)*N749,(N749+N(O749))*N(K749)))</f>
        <v/>
      </c>
      <c r="T749" s="10">
        <f>IF(Q749="","",Q749-S749)</f>
        <v/>
      </c>
    </row>
    <row r="750">
      <c r="A750" s="7">
        <f>CONCATENATE(C750,E750,F750,I750)</f>
        <v/>
      </c>
      <c r="B750" s="7">
        <f>CONCATENATE(C750,E750,I750)</f>
        <v/>
      </c>
      <c r="C750" s="8" t="n">
        <v>900009419</v>
      </c>
      <c r="D750" s="7">
        <f>IFERROR(VLOOKUP(C750,TRAOPE!$G:$H,2,0),"")</f>
        <v/>
      </c>
      <c r="E750" s="8" t="inlineStr">
        <is>
          <t>DW68</t>
        </is>
      </c>
      <c r="F750" s="8" t="inlineStr">
        <is>
          <t>ENEB</t>
        </is>
      </c>
      <c r="G750" s="8">
        <f>IFERROR(VLOOKUP(A750,Flete!$A:$E,5,0),"")</f>
        <v/>
      </c>
      <c r="H750" s="7">
        <f>IFERROR(VLOOKUP(F750,TRAOPE!$AA:$AB,2,0),"")</f>
        <v/>
      </c>
      <c r="I750" s="7" t="n">
        <v>10251385</v>
      </c>
      <c r="J750" s="7">
        <f>IFERROR(VLOOKUP(I750,Materiales!$A:$H,8,0),"")</f>
        <v/>
      </c>
      <c r="K750" s="9">
        <f>IFERROR(VLOOKUP(I750,Materiales!$A:$G,7,0),"")</f>
        <v/>
      </c>
      <c r="L750" s="8" t="inlineStr">
        <is>
          <t>20251202</t>
        </is>
      </c>
      <c r="M750" s="8" t="inlineStr">
        <is>
          <t>99991231</t>
        </is>
      </c>
      <c r="N750" s="10" t="n">
        <v>220</v>
      </c>
      <c r="O750" s="10">
        <f>IFERROR(VLOOKUP(A750,Flete!$A:$J,10,0),"")</f>
        <v/>
      </c>
      <c r="P750" s="8" t="inlineStr">
        <is>
          <t>TN</t>
        </is>
      </c>
      <c r="Q750" s="10">
        <f>IFERROR(IFERROR(VLOOKUP(A750,TRAOPE!$A:$U,21,0),VLOOKUP(B750,TRAOPE!$A:$U,21,0)),"")</f>
        <v/>
      </c>
      <c r="R750" s="8">
        <f>IFERROR(IFERROR(VLOOKUP(A750,TRAOPE!$A:$W,23,0),VLOOKUP(B750,TRAOPE!$A:$W,23,0)),"")</f>
        <v/>
      </c>
      <c r="S750" s="10">
        <f>IF(AND(P750="TN",R750="TN"),N750+N(O750),IF(G750&amp;""="1",N(K750)*N750,(N750+N(O750))*N(K750)))</f>
        <v/>
      </c>
      <c r="T750" s="10">
        <f>IF(Q750="","",Q750-S750)</f>
        <v/>
      </c>
    </row>
    <row r="751">
      <c r="A751" s="7">
        <f>CONCATENATE(C751,E751,F751,I751)</f>
        <v/>
      </c>
      <c r="B751" s="7">
        <f>CONCATENATE(C751,E751,I751)</f>
        <v/>
      </c>
      <c r="C751" s="8" t="n">
        <v>900009419</v>
      </c>
      <c r="D751" s="7">
        <f>IFERROR(VLOOKUP(C751,TRAOPE!$G:$H,2,0),"")</f>
        <v/>
      </c>
      <c r="E751" s="8" t="inlineStr">
        <is>
          <t>DW68</t>
        </is>
      </c>
      <c r="F751" s="8" t="inlineStr">
        <is>
          <t>ENEB</t>
        </is>
      </c>
      <c r="G751" s="8">
        <f>IFERROR(VLOOKUP(A751,Flete!$A:$E,5,0),"")</f>
        <v/>
      </c>
      <c r="H751" s="7">
        <f>IFERROR(VLOOKUP(F751,TRAOPE!$AA:$AB,2,0),"")</f>
        <v/>
      </c>
      <c r="I751" s="7" t="n">
        <v>10270911</v>
      </c>
      <c r="J751" s="7">
        <f>IFERROR(VLOOKUP(I751,Materiales!$A:$H,8,0),"")</f>
        <v/>
      </c>
      <c r="K751" s="9">
        <f>IFERROR(VLOOKUP(I751,Materiales!$A:$G,7,0),"")</f>
        <v/>
      </c>
      <c r="L751" s="8" t="inlineStr">
        <is>
          <t>20260201</t>
        </is>
      </c>
      <c r="M751" s="8" t="inlineStr">
        <is>
          <t>20260310</t>
        </is>
      </c>
      <c r="N751" s="10" t="n">
        <v>197.74</v>
      </c>
      <c r="O751" s="10">
        <f>IFERROR(VLOOKUP(A751,Flete!$A:$J,10,0),"")</f>
        <v/>
      </c>
      <c r="P751" s="8" t="inlineStr">
        <is>
          <t>TN</t>
        </is>
      </c>
      <c r="Q751" s="10">
        <f>IFERROR(IFERROR(VLOOKUP(A751,TRAOPE!$A:$U,21,0),VLOOKUP(B751,TRAOPE!$A:$U,21,0)),"")</f>
        <v/>
      </c>
      <c r="R751" s="8">
        <f>IFERROR(IFERROR(VLOOKUP(A751,TRAOPE!$A:$W,23,0),VLOOKUP(B751,TRAOPE!$A:$W,23,0)),"")</f>
        <v/>
      </c>
      <c r="S751" s="10">
        <f>IF(AND(P751="TN",R751="TN"),N751+N(O751),IF(G751&amp;""="1",N(K751)*N751,(N751+N(O751))*N(K751)))</f>
        <v/>
      </c>
      <c r="T751" s="10">
        <f>IF(Q751="","",Q751-S751)</f>
        <v/>
      </c>
    </row>
    <row r="752">
      <c r="A752" s="7">
        <f>CONCATENATE(C752,E752,F752,I752)</f>
        <v/>
      </c>
      <c r="B752" s="7">
        <f>CONCATENATE(C752,E752,I752)</f>
        <v/>
      </c>
      <c r="C752" s="8" t="n">
        <v>900009419</v>
      </c>
      <c r="D752" s="7">
        <f>IFERROR(VLOOKUP(C752,TRAOPE!$G:$H,2,0),"")</f>
        <v/>
      </c>
      <c r="E752" s="8" t="inlineStr">
        <is>
          <t>DW68</t>
        </is>
      </c>
      <c r="F752" s="8" t="inlineStr">
        <is>
          <t>ENEB</t>
        </is>
      </c>
      <c r="G752" s="8">
        <f>IFERROR(VLOOKUP(A752,Flete!$A:$E,5,0),"")</f>
        <v/>
      </c>
      <c r="H752" s="7">
        <f>IFERROR(VLOOKUP(F752,TRAOPE!$AA:$AB,2,0),"")</f>
        <v/>
      </c>
      <c r="I752" s="7" t="n">
        <v>10270912</v>
      </c>
      <c r="J752" s="7">
        <f>IFERROR(VLOOKUP(I752,Materiales!$A:$H,8,0),"")</f>
        <v/>
      </c>
      <c r="K752" s="9">
        <f>IFERROR(VLOOKUP(I752,Materiales!$A:$G,7,0),"")</f>
        <v/>
      </c>
      <c r="L752" s="8" t="inlineStr">
        <is>
          <t>20251202</t>
        </is>
      </c>
      <c r="M752" s="8" t="inlineStr">
        <is>
          <t>99991231</t>
        </is>
      </c>
      <c r="N752" s="10" t="n">
        <v>179.4</v>
      </c>
      <c r="O752" s="10">
        <f>IFERROR(VLOOKUP(A752,Flete!$A:$J,10,0),"")</f>
        <v/>
      </c>
      <c r="P752" s="8" t="inlineStr">
        <is>
          <t>TN</t>
        </is>
      </c>
      <c r="Q752" s="10">
        <f>IFERROR(IFERROR(VLOOKUP(A752,TRAOPE!$A:$U,21,0),VLOOKUP(B752,TRAOPE!$A:$U,21,0)),"")</f>
        <v/>
      </c>
      <c r="R752" s="8">
        <f>IFERROR(IFERROR(VLOOKUP(A752,TRAOPE!$A:$W,23,0),VLOOKUP(B752,TRAOPE!$A:$W,23,0)),"")</f>
        <v/>
      </c>
      <c r="S752" s="10">
        <f>IF(AND(P752="TN",R752="TN"),N752+N(O752),IF(G752&amp;""="1",N(K752)*N752,(N752+N(O752))*N(K752)))</f>
        <v/>
      </c>
      <c r="T752" s="10">
        <f>IF(Q752="","",Q752-S752)</f>
        <v/>
      </c>
    </row>
    <row r="753">
      <c r="A753" s="7">
        <f>CONCATENATE(C753,E753,F753,I753)</f>
        <v/>
      </c>
      <c r="B753" s="7">
        <f>CONCATENATE(C753,E753,I753)</f>
        <v/>
      </c>
      <c r="C753" s="8" t="n">
        <v>900009419</v>
      </c>
      <c r="D753" s="7">
        <f>IFERROR(VLOOKUP(C753,TRAOPE!$G:$H,2,0),"")</f>
        <v/>
      </c>
      <c r="E753" s="8" t="inlineStr">
        <is>
          <t>DW68</t>
        </is>
      </c>
      <c r="F753" s="8" t="inlineStr">
        <is>
          <t>ENEB</t>
        </is>
      </c>
      <c r="G753" s="8">
        <f>IFERROR(VLOOKUP(A753,Flete!$A:$E,5,0),"")</f>
        <v/>
      </c>
      <c r="H753" s="7">
        <f>IFERROR(VLOOKUP(F753,TRAOPE!$AA:$AB,2,0),"")</f>
        <v/>
      </c>
      <c r="I753" s="7" t="n">
        <v>10270913</v>
      </c>
      <c r="J753" s="7">
        <f>IFERROR(VLOOKUP(I753,Materiales!$A:$H,8,0),"")</f>
        <v/>
      </c>
      <c r="K753" s="9">
        <f>IFERROR(VLOOKUP(I753,Materiales!$A:$G,7,0),"")</f>
        <v/>
      </c>
      <c r="L753" s="8" t="inlineStr">
        <is>
          <t>20251202</t>
        </is>
      </c>
      <c r="M753" s="8" t="inlineStr">
        <is>
          <t>99991231</t>
        </is>
      </c>
      <c r="N753" s="10" t="n">
        <v>202.8</v>
      </c>
      <c r="O753" s="10">
        <f>IFERROR(VLOOKUP(A753,Flete!$A:$J,10,0),"")</f>
        <v/>
      </c>
      <c r="P753" s="8" t="inlineStr">
        <is>
          <t>TN</t>
        </is>
      </c>
      <c r="Q753" s="10">
        <f>IFERROR(IFERROR(VLOOKUP(A753,TRAOPE!$A:$U,21,0),VLOOKUP(B753,TRAOPE!$A:$U,21,0)),"")</f>
        <v/>
      </c>
      <c r="R753" s="8">
        <f>IFERROR(IFERROR(VLOOKUP(A753,TRAOPE!$A:$W,23,0),VLOOKUP(B753,TRAOPE!$A:$W,23,0)),"")</f>
        <v/>
      </c>
      <c r="S753" s="10">
        <f>IF(AND(P753="TN",R753="TN"),N753+N(O753),IF(G753&amp;""="1",N(K753)*N753,(N753+N(O753))*N(K753)))</f>
        <v/>
      </c>
      <c r="T753" s="10">
        <f>IF(Q753="","",Q753-S753)</f>
        <v/>
      </c>
    </row>
    <row r="754">
      <c r="A754" s="7">
        <f>CONCATENATE(C754,E754,F754,I754)</f>
        <v/>
      </c>
      <c r="B754" s="7">
        <f>CONCATENATE(C754,E754,I754)</f>
        <v/>
      </c>
      <c r="C754" s="8" t="n">
        <v>900009419</v>
      </c>
      <c r="D754" s="7">
        <f>IFERROR(VLOOKUP(C754,TRAOPE!$G:$H,2,0),"")</f>
        <v/>
      </c>
      <c r="E754" s="8" t="inlineStr">
        <is>
          <t>DW68</t>
        </is>
      </c>
      <c r="F754" s="8" t="inlineStr">
        <is>
          <t>ENL1</t>
        </is>
      </c>
      <c r="G754" s="8">
        <f>IFERROR(VLOOKUP(A754,Flete!$A:$E,5,0),"")</f>
        <v/>
      </c>
      <c r="H754" s="7">
        <f>IFERROR(VLOOKUP(F754,TRAOPE!$AA:$AB,2,0),"")</f>
        <v/>
      </c>
      <c r="I754" s="7" t="n">
        <v>10000439</v>
      </c>
      <c r="J754" s="7">
        <f>IFERROR(VLOOKUP(I754,Materiales!$A:$H,8,0),"")</f>
        <v/>
      </c>
      <c r="K754" s="9">
        <f>IFERROR(VLOOKUP(I754,Materiales!$A:$G,7,0),"")</f>
        <v/>
      </c>
      <c r="L754" s="8" t="inlineStr">
        <is>
          <t>20251202</t>
        </is>
      </c>
      <c r="M754" s="8" t="inlineStr">
        <is>
          <t>99991231</t>
        </is>
      </c>
      <c r="N754" s="10" t="n">
        <v>217.6</v>
      </c>
      <c r="O754" s="10">
        <f>IFERROR(VLOOKUP(A754,Flete!$A:$J,10,0),"")</f>
        <v/>
      </c>
      <c r="P754" s="8" t="inlineStr">
        <is>
          <t>TN</t>
        </is>
      </c>
      <c r="Q754" s="10">
        <f>IFERROR(IFERROR(VLOOKUP(A754,TRAOPE!$A:$U,21,0),VLOOKUP(B754,TRAOPE!$A:$U,21,0)),"")</f>
        <v/>
      </c>
      <c r="R754" s="8">
        <f>IFERROR(IFERROR(VLOOKUP(A754,TRAOPE!$A:$W,23,0),VLOOKUP(B754,TRAOPE!$A:$W,23,0)),"")</f>
        <v/>
      </c>
      <c r="S754" s="10">
        <f>IF(AND(P754="TN",R754="TN"),N754+N(O754),IF(G754&amp;""="1",N(K754)*N754,(N754+N(O754))*N(K754)))</f>
        <v/>
      </c>
      <c r="T754" s="10">
        <f>IF(Q754="","",Q754-S754)</f>
        <v/>
      </c>
    </row>
    <row r="755">
      <c r="A755" s="7">
        <f>CONCATENATE(C755,E755,F755,I755)</f>
        <v/>
      </c>
      <c r="B755" s="7">
        <f>CONCATENATE(C755,E755,I755)</f>
        <v/>
      </c>
      <c r="C755" s="8" t="n">
        <v>900009419</v>
      </c>
      <c r="D755" s="7">
        <f>IFERROR(VLOOKUP(C755,TRAOPE!$G:$H,2,0),"")</f>
        <v/>
      </c>
      <c r="E755" s="8" t="inlineStr">
        <is>
          <t>DW68</t>
        </is>
      </c>
      <c r="F755" s="8" t="inlineStr">
        <is>
          <t>ENL1</t>
        </is>
      </c>
      <c r="G755" s="8">
        <f>IFERROR(VLOOKUP(A755,Flete!$A:$E,5,0),"")</f>
        <v/>
      </c>
      <c r="H755" s="7">
        <f>IFERROR(VLOOKUP(F755,TRAOPE!$AA:$AB,2,0),"")</f>
        <v/>
      </c>
      <c r="I755" s="7" t="n">
        <v>10209065</v>
      </c>
      <c r="J755" s="7">
        <f>IFERROR(VLOOKUP(I755,Materiales!$A:$H,8,0),"")</f>
        <v/>
      </c>
      <c r="K755" s="9">
        <f>IFERROR(VLOOKUP(I755,Materiales!$A:$G,7,0),"")</f>
        <v/>
      </c>
      <c r="L755" s="8" t="inlineStr">
        <is>
          <t>20251202</t>
        </is>
      </c>
      <c r="M755" s="8" t="inlineStr">
        <is>
          <t>99991231</t>
        </is>
      </c>
      <c r="N755" s="10" t="n">
        <v>145</v>
      </c>
      <c r="O755" s="10">
        <f>IFERROR(VLOOKUP(A755,Flete!$A:$J,10,0),"")</f>
        <v/>
      </c>
      <c r="P755" s="8" t="inlineStr">
        <is>
          <t>TN</t>
        </is>
      </c>
      <c r="Q755" s="10">
        <f>IFERROR(IFERROR(VLOOKUP(A755,TRAOPE!$A:$U,21,0),VLOOKUP(B755,TRAOPE!$A:$U,21,0)),"")</f>
        <v/>
      </c>
      <c r="R755" s="8">
        <f>IFERROR(IFERROR(VLOOKUP(A755,TRAOPE!$A:$W,23,0),VLOOKUP(B755,TRAOPE!$A:$W,23,0)),"")</f>
        <v/>
      </c>
      <c r="S755" s="10">
        <f>IF(AND(P755="TN",R755="TN"),N755+N(O755),IF(G755&amp;""="1",N(K755)*N755,(N755+N(O755))*N(K755)))</f>
        <v/>
      </c>
      <c r="T755" s="10">
        <f>IF(Q755="","",Q755-S755)</f>
        <v/>
      </c>
    </row>
    <row r="756">
      <c r="A756" s="7">
        <f>CONCATENATE(C756,E756,F756,I756)</f>
        <v/>
      </c>
      <c r="B756" s="7">
        <f>CONCATENATE(C756,E756,I756)</f>
        <v/>
      </c>
      <c r="C756" s="8" t="n">
        <v>900009419</v>
      </c>
      <c r="D756" s="7">
        <f>IFERROR(VLOOKUP(C756,TRAOPE!$G:$H,2,0),"")</f>
        <v/>
      </c>
      <c r="E756" s="8" t="inlineStr">
        <is>
          <t>DW68</t>
        </is>
      </c>
      <c r="F756" s="8" t="inlineStr">
        <is>
          <t>ENL1</t>
        </is>
      </c>
      <c r="G756" s="8">
        <f>IFERROR(VLOOKUP(A756,Flete!$A:$E,5,0),"")</f>
        <v/>
      </c>
      <c r="H756" s="7">
        <f>IFERROR(VLOOKUP(F756,TRAOPE!$AA:$AB,2,0),"")</f>
        <v/>
      </c>
      <c r="I756" s="7" t="n">
        <v>10251385</v>
      </c>
      <c r="J756" s="7">
        <f>IFERROR(VLOOKUP(I756,Materiales!$A:$H,8,0),"")</f>
        <v/>
      </c>
      <c r="K756" s="9">
        <f>IFERROR(VLOOKUP(I756,Materiales!$A:$G,7,0),"")</f>
        <v/>
      </c>
      <c r="L756" s="8" t="inlineStr">
        <is>
          <t>20251202</t>
        </is>
      </c>
      <c r="M756" s="8" t="inlineStr">
        <is>
          <t>99991231</t>
        </is>
      </c>
      <c r="N756" s="10" t="n">
        <v>220</v>
      </c>
      <c r="O756" s="10">
        <f>IFERROR(VLOOKUP(A756,Flete!$A:$J,10,0),"")</f>
        <v/>
      </c>
      <c r="P756" s="8" t="inlineStr">
        <is>
          <t>TN</t>
        </is>
      </c>
      <c r="Q756" s="10">
        <f>IFERROR(IFERROR(VLOOKUP(A756,TRAOPE!$A:$U,21,0),VLOOKUP(B756,TRAOPE!$A:$U,21,0)),"")</f>
        <v/>
      </c>
      <c r="R756" s="8">
        <f>IFERROR(IFERROR(VLOOKUP(A756,TRAOPE!$A:$W,23,0),VLOOKUP(B756,TRAOPE!$A:$W,23,0)),"")</f>
        <v/>
      </c>
      <c r="S756" s="10">
        <f>IF(AND(P756="TN",R756="TN"),N756+N(O756),IF(G756&amp;""="1",N(K756)*N756,(N756+N(O756))*N(K756)))</f>
        <v/>
      </c>
      <c r="T756" s="10">
        <f>IF(Q756="","",Q756-S756)</f>
        <v/>
      </c>
    </row>
    <row r="757">
      <c r="A757" s="7">
        <f>CONCATENATE(C757,E757,F757,I757)</f>
        <v/>
      </c>
      <c r="B757" s="7">
        <f>CONCATENATE(C757,E757,I757)</f>
        <v/>
      </c>
      <c r="C757" s="8" t="n">
        <v>900009419</v>
      </c>
      <c r="D757" s="7">
        <f>IFERROR(VLOOKUP(C757,TRAOPE!$G:$H,2,0),"")</f>
        <v/>
      </c>
      <c r="E757" s="8" t="inlineStr">
        <is>
          <t>DW68</t>
        </is>
      </c>
      <c r="F757" s="8" t="inlineStr">
        <is>
          <t>ENL1</t>
        </is>
      </c>
      <c r="G757" s="8">
        <f>IFERROR(VLOOKUP(A757,Flete!$A:$E,5,0),"")</f>
        <v/>
      </c>
      <c r="H757" s="7">
        <f>IFERROR(VLOOKUP(F757,TRAOPE!$AA:$AB,2,0),"")</f>
        <v/>
      </c>
      <c r="I757" s="7" t="n">
        <v>10270911</v>
      </c>
      <c r="J757" s="7">
        <f>IFERROR(VLOOKUP(I757,Materiales!$A:$H,8,0),"")</f>
        <v/>
      </c>
      <c r="K757" s="9">
        <f>IFERROR(VLOOKUP(I757,Materiales!$A:$G,7,0),"")</f>
        <v/>
      </c>
      <c r="L757" s="8" t="inlineStr">
        <is>
          <t>20260201</t>
        </is>
      </c>
      <c r="M757" s="8" t="inlineStr">
        <is>
          <t>20260310</t>
        </is>
      </c>
      <c r="N757" s="10" t="n">
        <v>197.74</v>
      </c>
      <c r="O757" s="10">
        <f>IFERROR(VLOOKUP(A757,Flete!$A:$J,10,0),"")</f>
        <v/>
      </c>
      <c r="P757" s="8" t="inlineStr">
        <is>
          <t>TN</t>
        </is>
      </c>
      <c r="Q757" s="10">
        <f>IFERROR(IFERROR(VLOOKUP(A757,TRAOPE!$A:$U,21,0),VLOOKUP(B757,TRAOPE!$A:$U,21,0)),"")</f>
        <v/>
      </c>
      <c r="R757" s="8">
        <f>IFERROR(IFERROR(VLOOKUP(A757,TRAOPE!$A:$W,23,0),VLOOKUP(B757,TRAOPE!$A:$W,23,0)),"")</f>
        <v/>
      </c>
      <c r="S757" s="10">
        <f>IF(AND(P757="TN",R757="TN"),N757+N(O757),IF(G757&amp;""="1",N(K757)*N757,(N757+N(O757))*N(K757)))</f>
        <v/>
      </c>
      <c r="T757" s="10">
        <f>IF(Q757="","",Q757-S757)</f>
        <v/>
      </c>
    </row>
    <row r="758">
      <c r="A758" s="7">
        <f>CONCATENATE(C758,E758,F758,I758)</f>
        <v/>
      </c>
      <c r="B758" s="7">
        <f>CONCATENATE(C758,E758,I758)</f>
        <v/>
      </c>
      <c r="C758" s="8" t="n">
        <v>900009419</v>
      </c>
      <c r="D758" s="7">
        <f>IFERROR(VLOOKUP(C758,TRAOPE!$G:$H,2,0),"")</f>
        <v/>
      </c>
      <c r="E758" s="8" t="inlineStr">
        <is>
          <t>DW68</t>
        </is>
      </c>
      <c r="F758" s="8" t="inlineStr">
        <is>
          <t>ENL1</t>
        </is>
      </c>
      <c r="G758" s="8">
        <f>IFERROR(VLOOKUP(A758,Flete!$A:$E,5,0),"")</f>
        <v/>
      </c>
      <c r="H758" s="7">
        <f>IFERROR(VLOOKUP(F758,TRAOPE!$AA:$AB,2,0),"")</f>
        <v/>
      </c>
      <c r="I758" s="7" t="n">
        <v>10270912</v>
      </c>
      <c r="J758" s="7">
        <f>IFERROR(VLOOKUP(I758,Materiales!$A:$H,8,0),"")</f>
        <v/>
      </c>
      <c r="K758" s="9">
        <f>IFERROR(VLOOKUP(I758,Materiales!$A:$G,7,0),"")</f>
        <v/>
      </c>
      <c r="L758" s="8" t="inlineStr">
        <is>
          <t>20251202</t>
        </is>
      </c>
      <c r="M758" s="8" t="inlineStr">
        <is>
          <t>99991231</t>
        </is>
      </c>
      <c r="N758" s="10" t="n">
        <v>179.4</v>
      </c>
      <c r="O758" s="10">
        <f>IFERROR(VLOOKUP(A758,Flete!$A:$J,10,0),"")</f>
        <v/>
      </c>
      <c r="P758" s="8" t="inlineStr">
        <is>
          <t>TN</t>
        </is>
      </c>
      <c r="Q758" s="10">
        <f>IFERROR(IFERROR(VLOOKUP(A758,TRAOPE!$A:$U,21,0),VLOOKUP(B758,TRAOPE!$A:$U,21,0)),"")</f>
        <v/>
      </c>
      <c r="R758" s="8">
        <f>IFERROR(IFERROR(VLOOKUP(A758,TRAOPE!$A:$W,23,0),VLOOKUP(B758,TRAOPE!$A:$W,23,0)),"")</f>
        <v/>
      </c>
      <c r="S758" s="10">
        <f>IF(AND(P758="TN",R758="TN"),N758+N(O758),IF(G758&amp;""="1",N(K758)*N758,(N758+N(O758))*N(K758)))</f>
        <v/>
      </c>
      <c r="T758" s="10">
        <f>IF(Q758="","",Q758-S758)</f>
        <v/>
      </c>
    </row>
    <row r="759">
      <c r="A759" s="7">
        <f>CONCATENATE(C759,E759,F759,I759)</f>
        <v/>
      </c>
      <c r="B759" s="7">
        <f>CONCATENATE(C759,E759,I759)</f>
        <v/>
      </c>
      <c r="C759" s="8" t="n">
        <v>900009419</v>
      </c>
      <c r="D759" s="7">
        <f>IFERROR(VLOOKUP(C759,TRAOPE!$G:$H,2,0),"")</f>
        <v/>
      </c>
      <c r="E759" s="8" t="inlineStr">
        <is>
          <t>DW68</t>
        </is>
      </c>
      <c r="F759" s="8" t="inlineStr">
        <is>
          <t>ENL1</t>
        </is>
      </c>
      <c r="G759" s="8">
        <f>IFERROR(VLOOKUP(A759,Flete!$A:$E,5,0),"")</f>
        <v/>
      </c>
      <c r="H759" s="7">
        <f>IFERROR(VLOOKUP(F759,TRAOPE!$AA:$AB,2,0),"")</f>
        <v/>
      </c>
      <c r="I759" s="7" t="n">
        <v>10270913</v>
      </c>
      <c r="J759" s="7">
        <f>IFERROR(VLOOKUP(I759,Materiales!$A:$H,8,0),"")</f>
        <v/>
      </c>
      <c r="K759" s="9">
        <f>IFERROR(VLOOKUP(I759,Materiales!$A:$G,7,0),"")</f>
        <v/>
      </c>
      <c r="L759" s="8" t="inlineStr">
        <is>
          <t>20251202</t>
        </is>
      </c>
      <c r="M759" s="8" t="inlineStr">
        <is>
          <t>99991231</t>
        </is>
      </c>
      <c r="N759" s="10" t="n">
        <v>202.8</v>
      </c>
      <c r="O759" s="10">
        <f>IFERROR(VLOOKUP(A759,Flete!$A:$J,10,0),"")</f>
        <v/>
      </c>
      <c r="P759" s="8" t="inlineStr">
        <is>
          <t>TN</t>
        </is>
      </c>
      <c r="Q759" s="10">
        <f>IFERROR(IFERROR(VLOOKUP(A759,TRAOPE!$A:$U,21,0),VLOOKUP(B759,TRAOPE!$A:$U,21,0)),"")</f>
        <v/>
      </c>
      <c r="R759" s="8">
        <f>IFERROR(IFERROR(VLOOKUP(A759,TRAOPE!$A:$W,23,0),VLOOKUP(B759,TRAOPE!$A:$W,23,0)),"")</f>
        <v/>
      </c>
      <c r="S759" s="10">
        <f>IF(AND(P759="TN",R759="TN"),N759+N(O759),IF(G759&amp;""="1",N(K759)*N759,(N759+N(O759))*N(K759)))</f>
        <v/>
      </c>
      <c r="T759" s="10">
        <f>IF(Q759="","",Q759-S759)</f>
        <v/>
      </c>
    </row>
    <row r="760">
      <c r="A760" s="7">
        <f>CONCATENATE(C760,E760,F760,I760)</f>
        <v/>
      </c>
      <c r="B760" s="7">
        <f>CONCATENATE(C760,E760,I760)</f>
        <v/>
      </c>
      <c r="C760" s="8" t="n">
        <v>900009419</v>
      </c>
      <c r="D760" s="7">
        <f>IFERROR(VLOOKUP(C760,TRAOPE!$G:$H,2,0),"")</f>
        <v/>
      </c>
      <c r="E760" s="8" t="inlineStr">
        <is>
          <t>DW68</t>
        </is>
      </c>
      <c r="F760" s="8" t="inlineStr">
        <is>
          <t>ENV8</t>
        </is>
      </c>
      <c r="G760" s="8">
        <f>IFERROR(VLOOKUP(A760,Flete!$A:$E,5,0),"")</f>
        <v/>
      </c>
      <c r="H760" s="7">
        <f>IFERROR(VLOOKUP(F760,TRAOPE!$AA:$AB,2,0),"")</f>
        <v/>
      </c>
      <c r="I760" s="7" t="n">
        <v>10000439</v>
      </c>
      <c r="J760" s="7">
        <f>IFERROR(VLOOKUP(I760,Materiales!$A:$H,8,0),"")</f>
        <v/>
      </c>
      <c r="K760" s="9">
        <f>IFERROR(VLOOKUP(I760,Materiales!$A:$G,7,0),"")</f>
        <v/>
      </c>
      <c r="L760" s="8" t="inlineStr">
        <is>
          <t>20251202</t>
        </is>
      </c>
      <c r="M760" s="8" t="inlineStr">
        <is>
          <t>99991231</t>
        </is>
      </c>
      <c r="N760" s="10" t="n">
        <v>217.6</v>
      </c>
      <c r="O760" s="10">
        <f>IFERROR(VLOOKUP(A760,Flete!$A:$J,10,0),"")</f>
        <v/>
      </c>
      <c r="P760" s="8" t="inlineStr">
        <is>
          <t>TN</t>
        </is>
      </c>
      <c r="Q760" s="10">
        <f>IFERROR(IFERROR(VLOOKUP(A760,TRAOPE!$A:$U,21,0),VLOOKUP(B760,TRAOPE!$A:$U,21,0)),"")</f>
        <v/>
      </c>
      <c r="R760" s="8">
        <f>IFERROR(IFERROR(VLOOKUP(A760,TRAOPE!$A:$W,23,0),VLOOKUP(B760,TRAOPE!$A:$W,23,0)),"")</f>
        <v/>
      </c>
      <c r="S760" s="10">
        <f>IF(AND(P760="TN",R760="TN"),N760+N(O760),IF(G760&amp;""="1",N(K760)*N760,(N760+N(O760))*N(K760)))</f>
        <v/>
      </c>
      <c r="T760" s="10">
        <f>IF(Q760="","",Q760-S760)</f>
        <v/>
      </c>
    </row>
    <row r="761">
      <c r="A761" s="7">
        <f>CONCATENATE(C761,E761,F761,I761)</f>
        <v/>
      </c>
      <c r="B761" s="7">
        <f>CONCATENATE(C761,E761,I761)</f>
        <v/>
      </c>
      <c r="C761" s="8" t="n">
        <v>900009419</v>
      </c>
      <c r="D761" s="7">
        <f>IFERROR(VLOOKUP(C761,TRAOPE!$G:$H,2,0),"")</f>
        <v/>
      </c>
      <c r="E761" s="8" t="inlineStr">
        <is>
          <t>DW68</t>
        </is>
      </c>
      <c r="F761" s="8" t="inlineStr">
        <is>
          <t>ENV8</t>
        </is>
      </c>
      <c r="G761" s="8">
        <f>IFERROR(VLOOKUP(A761,Flete!$A:$E,5,0),"")</f>
        <v/>
      </c>
      <c r="H761" s="7">
        <f>IFERROR(VLOOKUP(F761,TRAOPE!$AA:$AB,2,0),"")</f>
        <v/>
      </c>
      <c r="I761" s="7" t="n">
        <v>10209065</v>
      </c>
      <c r="J761" s="7">
        <f>IFERROR(VLOOKUP(I761,Materiales!$A:$H,8,0),"")</f>
        <v/>
      </c>
      <c r="K761" s="9">
        <f>IFERROR(VLOOKUP(I761,Materiales!$A:$G,7,0),"")</f>
        <v/>
      </c>
      <c r="L761" s="8" t="inlineStr">
        <is>
          <t>20251202</t>
        </is>
      </c>
      <c r="M761" s="8" t="inlineStr">
        <is>
          <t>99991231</t>
        </is>
      </c>
      <c r="N761" s="10" t="n">
        <v>145</v>
      </c>
      <c r="O761" s="10">
        <f>IFERROR(VLOOKUP(A761,Flete!$A:$J,10,0),"")</f>
        <v/>
      </c>
      <c r="P761" s="8" t="inlineStr">
        <is>
          <t>TN</t>
        </is>
      </c>
      <c r="Q761" s="10">
        <f>IFERROR(IFERROR(VLOOKUP(A761,TRAOPE!$A:$U,21,0),VLOOKUP(B761,TRAOPE!$A:$U,21,0)),"")</f>
        <v/>
      </c>
      <c r="R761" s="8">
        <f>IFERROR(IFERROR(VLOOKUP(A761,TRAOPE!$A:$W,23,0),VLOOKUP(B761,TRAOPE!$A:$W,23,0)),"")</f>
        <v/>
      </c>
      <c r="S761" s="10">
        <f>IF(AND(P761="TN",R761="TN"),N761+N(O761),IF(G761&amp;""="1",N(K761)*N761,(N761+N(O761))*N(K761)))</f>
        <v/>
      </c>
      <c r="T761" s="10">
        <f>IF(Q761="","",Q761-S761)</f>
        <v/>
      </c>
    </row>
    <row r="762">
      <c r="A762" s="7">
        <f>CONCATENATE(C762,E762,F762,I762)</f>
        <v/>
      </c>
      <c r="B762" s="7">
        <f>CONCATENATE(C762,E762,I762)</f>
        <v/>
      </c>
      <c r="C762" s="8" t="n">
        <v>900009419</v>
      </c>
      <c r="D762" s="7">
        <f>IFERROR(VLOOKUP(C762,TRAOPE!$G:$H,2,0),"")</f>
        <v/>
      </c>
      <c r="E762" s="8" t="inlineStr">
        <is>
          <t>DW68</t>
        </is>
      </c>
      <c r="F762" s="8" t="inlineStr">
        <is>
          <t>ENV8</t>
        </is>
      </c>
      <c r="G762" s="8">
        <f>IFERROR(VLOOKUP(A762,Flete!$A:$E,5,0),"")</f>
        <v/>
      </c>
      <c r="H762" s="7">
        <f>IFERROR(VLOOKUP(F762,TRAOPE!$AA:$AB,2,0),"")</f>
        <v/>
      </c>
      <c r="I762" s="7" t="n">
        <v>10251385</v>
      </c>
      <c r="J762" s="7">
        <f>IFERROR(VLOOKUP(I762,Materiales!$A:$H,8,0),"")</f>
        <v/>
      </c>
      <c r="K762" s="9">
        <f>IFERROR(VLOOKUP(I762,Materiales!$A:$G,7,0),"")</f>
        <v/>
      </c>
      <c r="L762" s="8" t="inlineStr">
        <is>
          <t>20251202</t>
        </is>
      </c>
      <c r="M762" s="8" t="inlineStr">
        <is>
          <t>99991231</t>
        </is>
      </c>
      <c r="N762" s="10" t="n">
        <v>220</v>
      </c>
      <c r="O762" s="10">
        <f>IFERROR(VLOOKUP(A762,Flete!$A:$J,10,0),"")</f>
        <v/>
      </c>
      <c r="P762" s="8" t="inlineStr">
        <is>
          <t>TN</t>
        </is>
      </c>
      <c r="Q762" s="10">
        <f>IFERROR(IFERROR(VLOOKUP(A762,TRAOPE!$A:$U,21,0),VLOOKUP(B762,TRAOPE!$A:$U,21,0)),"")</f>
        <v/>
      </c>
      <c r="R762" s="8">
        <f>IFERROR(IFERROR(VLOOKUP(A762,TRAOPE!$A:$W,23,0),VLOOKUP(B762,TRAOPE!$A:$W,23,0)),"")</f>
        <v/>
      </c>
      <c r="S762" s="10">
        <f>IF(AND(P762="TN",R762="TN"),N762+N(O762),IF(G762&amp;""="1",N(K762)*N762,(N762+N(O762))*N(K762)))</f>
        <v/>
      </c>
      <c r="T762" s="10">
        <f>IF(Q762="","",Q762-S762)</f>
        <v/>
      </c>
    </row>
    <row r="763">
      <c r="A763" s="7">
        <f>CONCATENATE(C763,E763,F763,I763)</f>
        <v/>
      </c>
      <c r="B763" s="7">
        <f>CONCATENATE(C763,E763,I763)</f>
        <v/>
      </c>
      <c r="C763" s="8" t="n">
        <v>900009419</v>
      </c>
      <c r="D763" s="7">
        <f>IFERROR(VLOOKUP(C763,TRAOPE!$G:$H,2,0),"")</f>
        <v/>
      </c>
      <c r="E763" s="8" t="inlineStr">
        <is>
          <t>DW68</t>
        </is>
      </c>
      <c r="F763" s="8" t="inlineStr">
        <is>
          <t>ENV8</t>
        </is>
      </c>
      <c r="G763" s="8">
        <f>IFERROR(VLOOKUP(A763,Flete!$A:$E,5,0),"")</f>
        <v/>
      </c>
      <c r="H763" s="7">
        <f>IFERROR(VLOOKUP(F763,TRAOPE!$AA:$AB,2,0),"")</f>
        <v/>
      </c>
      <c r="I763" s="7" t="n">
        <v>10270911</v>
      </c>
      <c r="J763" s="7">
        <f>IFERROR(VLOOKUP(I763,Materiales!$A:$H,8,0),"")</f>
        <v/>
      </c>
      <c r="K763" s="9">
        <f>IFERROR(VLOOKUP(I763,Materiales!$A:$G,7,0),"")</f>
        <v/>
      </c>
      <c r="L763" s="8" t="inlineStr">
        <is>
          <t>20260201</t>
        </is>
      </c>
      <c r="M763" s="8" t="inlineStr">
        <is>
          <t>20260310</t>
        </is>
      </c>
      <c r="N763" s="10" t="n">
        <v>197.74</v>
      </c>
      <c r="O763" s="10">
        <f>IFERROR(VLOOKUP(A763,Flete!$A:$J,10,0),"")</f>
        <v/>
      </c>
      <c r="P763" s="8" t="inlineStr">
        <is>
          <t>TN</t>
        </is>
      </c>
      <c r="Q763" s="10">
        <f>IFERROR(IFERROR(VLOOKUP(A763,TRAOPE!$A:$U,21,0),VLOOKUP(B763,TRAOPE!$A:$U,21,0)),"")</f>
        <v/>
      </c>
      <c r="R763" s="8">
        <f>IFERROR(IFERROR(VLOOKUP(A763,TRAOPE!$A:$W,23,0),VLOOKUP(B763,TRAOPE!$A:$W,23,0)),"")</f>
        <v/>
      </c>
      <c r="S763" s="10">
        <f>IF(AND(P763="TN",R763="TN"),N763+N(O763),IF(G763&amp;""="1",N(K763)*N763,(N763+N(O763))*N(K763)))</f>
        <v/>
      </c>
      <c r="T763" s="10">
        <f>IF(Q763="","",Q763-S763)</f>
        <v/>
      </c>
    </row>
    <row r="764">
      <c r="A764" s="7">
        <f>CONCATENATE(C764,E764,F764,I764)</f>
        <v/>
      </c>
      <c r="B764" s="7">
        <f>CONCATENATE(C764,E764,I764)</f>
        <v/>
      </c>
      <c r="C764" s="8" t="n">
        <v>900009419</v>
      </c>
      <c r="D764" s="7">
        <f>IFERROR(VLOOKUP(C764,TRAOPE!$G:$H,2,0),"")</f>
        <v/>
      </c>
      <c r="E764" s="8" t="inlineStr">
        <is>
          <t>DW68</t>
        </is>
      </c>
      <c r="F764" s="8" t="inlineStr">
        <is>
          <t>ENV8</t>
        </is>
      </c>
      <c r="G764" s="8">
        <f>IFERROR(VLOOKUP(A764,Flete!$A:$E,5,0),"")</f>
        <v/>
      </c>
      <c r="H764" s="7">
        <f>IFERROR(VLOOKUP(F764,TRAOPE!$AA:$AB,2,0),"")</f>
        <v/>
      </c>
      <c r="I764" s="7" t="n">
        <v>10270912</v>
      </c>
      <c r="J764" s="7">
        <f>IFERROR(VLOOKUP(I764,Materiales!$A:$H,8,0),"")</f>
        <v/>
      </c>
      <c r="K764" s="9">
        <f>IFERROR(VLOOKUP(I764,Materiales!$A:$G,7,0),"")</f>
        <v/>
      </c>
      <c r="L764" s="8" t="inlineStr">
        <is>
          <t>20251202</t>
        </is>
      </c>
      <c r="M764" s="8" t="inlineStr">
        <is>
          <t>99991231</t>
        </is>
      </c>
      <c r="N764" s="10" t="n">
        <v>179.4</v>
      </c>
      <c r="O764" s="10">
        <f>IFERROR(VLOOKUP(A764,Flete!$A:$J,10,0),"")</f>
        <v/>
      </c>
      <c r="P764" s="8" t="inlineStr">
        <is>
          <t>TN</t>
        </is>
      </c>
      <c r="Q764" s="10">
        <f>IFERROR(IFERROR(VLOOKUP(A764,TRAOPE!$A:$U,21,0),VLOOKUP(B764,TRAOPE!$A:$U,21,0)),"")</f>
        <v/>
      </c>
      <c r="R764" s="8">
        <f>IFERROR(IFERROR(VLOOKUP(A764,TRAOPE!$A:$W,23,0),VLOOKUP(B764,TRAOPE!$A:$W,23,0)),"")</f>
        <v/>
      </c>
      <c r="S764" s="10">
        <f>IF(AND(P764="TN",R764="TN"),N764+N(O764),IF(G764&amp;""="1",N(K764)*N764,(N764+N(O764))*N(K764)))</f>
        <v/>
      </c>
      <c r="T764" s="10">
        <f>IF(Q764="","",Q764-S764)</f>
        <v/>
      </c>
    </row>
    <row r="765">
      <c r="A765" s="7">
        <f>CONCATENATE(C765,E765,F765,I765)</f>
        <v/>
      </c>
      <c r="B765" s="7">
        <f>CONCATENATE(C765,E765,I765)</f>
        <v/>
      </c>
      <c r="C765" s="8" t="n">
        <v>900009419</v>
      </c>
      <c r="D765" s="7">
        <f>IFERROR(VLOOKUP(C765,TRAOPE!$G:$H,2,0),"")</f>
        <v/>
      </c>
      <c r="E765" s="8" t="inlineStr">
        <is>
          <t>DW68</t>
        </is>
      </c>
      <c r="F765" s="8" t="inlineStr">
        <is>
          <t>ENV8</t>
        </is>
      </c>
      <c r="G765" s="8">
        <f>IFERROR(VLOOKUP(A765,Flete!$A:$E,5,0),"")</f>
        <v/>
      </c>
      <c r="H765" s="7">
        <f>IFERROR(VLOOKUP(F765,TRAOPE!$AA:$AB,2,0),"")</f>
        <v/>
      </c>
      <c r="I765" s="7" t="n">
        <v>10270913</v>
      </c>
      <c r="J765" s="7">
        <f>IFERROR(VLOOKUP(I765,Materiales!$A:$H,8,0),"")</f>
        <v/>
      </c>
      <c r="K765" s="9">
        <f>IFERROR(VLOOKUP(I765,Materiales!$A:$G,7,0),"")</f>
        <v/>
      </c>
      <c r="L765" s="8" t="inlineStr">
        <is>
          <t>20251202</t>
        </is>
      </c>
      <c r="M765" s="8" t="inlineStr">
        <is>
          <t>99991231</t>
        </is>
      </c>
      <c r="N765" s="10" t="n">
        <v>202.8</v>
      </c>
      <c r="O765" s="10">
        <f>IFERROR(VLOOKUP(A765,Flete!$A:$J,10,0),"")</f>
        <v/>
      </c>
      <c r="P765" s="8" t="inlineStr">
        <is>
          <t>TN</t>
        </is>
      </c>
      <c r="Q765" s="10">
        <f>IFERROR(IFERROR(VLOOKUP(A765,TRAOPE!$A:$U,21,0),VLOOKUP(B765,TRAOPE!$A:$U,21,0)),"")</f>
        <v/>
      </c>
      <c r="R765" s="8">
        <f>IFERROR(IFERROR(VLOOKUP(A765,TRAOPE!$A:$W,23,0),VLOOKUP(B765,TRAOPE!$A:$W,23,0)),"")</f>
        <v/>
      </c>
      <c r="S765" s="10">
        <f>IF(AND(P765="TN",R765="TN"),N765+N(O765),IF(G765&amp;""="1",N(K765)*N765,(N765+N(O765))*N(K765)))</f>
        <v/>
      </c>
      <c r="T765" s="10">
        <f>IF(Q765="","",Q765-S765)</f>
        <v/>
      </c>
    </row>
    <row r="766">
      <c r="A766" s="7">
        <f>CONCATENATE(C766,E766,F766,I766)</f>
        <v/>
      </c>
      <c r="B766" s="7">
        <f>CONCATENATE(C766,E766,I766)</f>
        <v/>
      </c>
      <c r="C766" s="8" t="n">
        <v>900009419</v>
      </c>
      <c r="D766" s="7">
        <f>IFERROR(VLOOKUP(C766,TRAOPE!$G:$H,2,0),"")</f>
        <v/>
      </c>
      <c r="E766" s="8" t="inlineStr">
        <is>
          <t>DW68</t>
        </is>
      </c>
      <c r="F766" s="8" t="inlineStr">
        <is>
          <t>ENV9</t>
        </is>
      </c>
      <c r="G766" s="8">
        <f>IFERROR(VLOOKUP(A766,Flete!$A:$E,5,0),"")</f>
        <v/>
      </c>
      <c r="H766" s="7">
        <f>IFERROR(VLOOKUP(F766,TRAOPE!$AA:$AB,2,0),"")</f>
        <v/>
      </c>
      <c r="I766" s="7" t="n">
        <v>10000439</v>
      </c>
      <c r="J766" s="7">
        <f>IFERROR(VLOOKUP(I766,Materiales!$A:$H,8,0),"")</f>
        <v/>
      </c>
      <c r="K766" s="9">
        <f>IFERROR(VLOOKUP(I766,Materiales!$A:$G,7,0),"")</f>
        <v/>
      </c>
      <c r="L766" s="8" t="inlineStr">
        <is>
          <t>20251202</t>
        </is>
      </c>
      <c r="M766" s="8" t="inlineStr">
        <is>
          <t>99991231</t>
        </is>
      </c>
      <c r="N766" s="10" t="n">
        <v>217.6</v>
      </c>
      <c r="O766" s="10">
        <f>IFERROR(VLOOKUP(A766,Flete!$A:$J,10,0),"")</f>
        <v/>
      </c>
      <c r="P766" s="8" t="inlineStr">
        <is>
          <t>TN</t>
        </is>
      </c>
      <c r="Q766" s="10">
        <f>IFERROR(IFERROR(VLOOKUP(A766,TRAOPE!$A:$U,21,0),VLOOKUP(B766,TRAOPE!$A:$U,21,0)),"")</f>
        <v/>
      </c>
      <c r="R766" s="8">
        <f>IFERROR(IFERROR(VLOOKUP(A766,TRAOPE!$A:$W,23,0),VLOOKUP(B766,TRAOPE!$A:$W,23,0)),"")</f>
        <v/>
      </c>
      <c r="S766" s="10">
        <f>IF(AND(P766="TN",R766="TN"),N766+N(O766),IF(G766&amp;""="1",N(K766)*N766,(N766+N(O766))*N(K766)))</f>
        <v/>
      </c>
      <c r="T766" s="10">
        <f>IF(Q766="","",Q766-S766)</f>
        <v/>
      </c>
    </row>
    <row r="767">
      <c r="A767" s="7">
        <f>CONCATENATE(C767,E767,F767,I767)</f>
        <v/>
      </c>
      <c r="B767" s="7">
        <f>CONCATENATE(C767,E767,I767)</f>
        <v/>
      </c>
      <c r="C767" s="8" t="n">
        <v>900009419</v>
      </c>
      <c r="D767" s="7">
        <f>IFERROR(VLOOKUP(C767,TRAOPE!$G:$H,2,0),"")</f>
        <v/>
      </c>
      <c r="E767" s="8" t="inlineStr">
        <is>
          <t>DW68</t>
        </is>
      </c>
      <c r="F767" s="8" t="inlineStr">
        <is>
          <t>ENV9</t>
        </is>
      </c>
      <c r="G767" s="8">
        <f>IFERROR(VLOOKUP(A767,Flete!$A:$E,5,0),"")</f>
        <v/>
      </c>
      <c r="H767" s="7">
        <f>IFERROR(VLOOKUP(F767,TRAOPE!$AA:$AB,2,0),"")</f>
        <v/>
      </c>
      <c r="I767" s="7" t="n">
        <v>10209065</v>
      </c>
      <c r="J767" s="7">
        <f>IFERROR(VLOOKUP(I767,Materiales!$A:$H,8,0),"")</f>
        <v/>
      </c>
      <c r="K767" s="9">
        <f>IFERROR(VLOOKUP(I767,Materiales!$A:$G,7,0),"")</f>
        <v/>
      </c>
      <c r="L767" s="8" t="inlineStr">
        <is>
          <t>20251202</t>
        </is>
      </c>
      <c r="M767" s="8" t="inlineStr">
        <is>
          <t>99991231</t>
        </is>
      </c>
      <c r="N767" s="10" t="n">
        <v>145</v>
      </c>
      <c r="O767" s="10">
        <f>IFERROR(VLOOKUP(A767,Flete!$A:$J,10,0),"")</f>
        <v/>
      </c>
      <c r="P767" s="8" t="inlineStr">
        <is>
          <t>TN</t>
        </is>
      </c>
      <c r="Q767" s="10">
        <f>IFERROR(IFERROR(VLOOKUP(A767,TRAOPE!$A:$U,21,0),VLOOKUP(B767,TRAOPE!$A:$U,21,0)),"")</f>
        <v/>
      </c>
      <c r="R767" s="8">
        <f>IFERROR(IFERROR(VLOOKUP(A767,TRAOPE!$A:$W,23,0),VLOOKUP(B767,TRAOPE!$A:$W,23,0)),"")</f>
        <v/>
      </c>
      <c r="S767" s="10">
        <f>IF(AND(P767="TN",R767="TN"),N767+N(O767),IF(G767&amp;""="1",N(K767)*N767,(N767+N(O767))*N(K767)))</f>
        <v/>
      </c>
      <c r="T767" s="10">
        <f>IF(Q767="","",Q767-S767)</f>
        <v/>
      </c>
    </row>
    <row r="768">
      <c r="A768" s="7">
        <f>CONCATENATE(C768,E768,F768,I768)</f>
        <v/>
      </c>
      <c r="B768" s="7">
        <f>CONCATENATE(C768,E768,I768)</f>
        <v/>
      </c>
      <c r="C768" s="8" t="n">
        <v>900009419</v>
      </c>
      <c r="D768" s="7">
        <f>IFERROR(VLOOKUP(C768,TRAOPE!$G:$H,2,0),"")</f>
        <v/>
      </c>
      <c r="E768" s="8" t="inlineStr">
        <is>
          <t>DW68</t>
        </is>
      </c>
      <c r="F768" s="8" t="inlineStr">
        <is>
          <t>ENV9</t>
        </is>
      </c>
      <c r="G768" s="8">
        <f>IFERROR(VLOOKUP(A768,Flete!$A:$E,5,0),"")</f>
        <v/>
      </c>
      <c r="H768" s="7">
        <f>IFERROR(VLOOKUP(F768,TRAOPE!$AA:$AB,2,0),"")</f>
        <v/>
      </c>
      <c r="I768" s="7" t="n">
        <v>10251385</v>
      </c>
      <c r="J768" s="7">
        <f>IFERROR(VLOOKUP(I768,Materiales!$A:$H,8,0),"")</f>
        <v/>
      </c>
      <c r="K768" s="9">
        <f>IFERROR(VLOOKUP(I768,Materiales!$A:$G,7,0),"")</f>
        <v/>
      </c>
      <c r="L768" s="8" t="inlineStr">
        <is>
          <t>20251202</t>
        </is>
      </c>
      <c r="M768" s="8" t="inlineStr">
        <is>
          <t>99991231</t>
        </is>
      </c>
      <c r="N768" s="10" t="n">
        <v>220</v>
      </c>
      <c r="O768" s="10">
        <f>IFERROR(VLOOKUP(A768,Flete!$A:$J,10,0),"")</f>
        <v/>
      </c>
      <c r="P768" s="8" t="inlineStr">
        <is>
          <t>TN</t>
        </is>
      </c>
      <c r="Q768" s="10">
        <f>IFERROR(IFERROR(VLOOKUP(A768,TRAOPE!$A:$U,21,0),VLOOKUP(B768,TRAOPE!$A:$U,21,0)),"")</f>
        <v/>
      </c>
      <c r="R768" s="8">
        <f>IFERROR(IFERROR(VLOOKUP(A768,TRAOPE!$A:$W,23,0),VLOOKUP(B768,TRAOPE!$A:$W,23,0)),"")</f>
        <v/>
      </c>
      <c r="S768" s="10">
        <f>IF(AND(P768="TN",R768="TN"),N768+N(O768),IF(G768&amp;""="1",N(K768)*N768,(N768+N(O768))*N(K768)))</f>
        <v/>
      </c>
      <c r="T768" s="10">
        <f>IF(Q768="","",Q768-S768)</f>
        <v/>
      </c>
    </row>
    <row r="769">
      <c r="A769" s="7">
        <f>CONCATENATE(C769,E769,F769,I769)</f>
        <v/>
      </c>
      <c r="B769" s="7">
        <f>CONCATENATE(C769,E769,I769)</f>
        <v/>
      </c>
      <c r="C769" s="8" t="n">
        <v>900009419</v>
      </c>
      <c r="D769" s="7">
        <f>IFERROR(VLOOKUP(C769,TRAOPE!$G:$H,2,0),"")</f>
        <v/>
      </c>
      <c r="E769" s="8" t="inlineStr">
        <is>
          <t>DW68</t>
        </is>
      </c>
      <c r="F769" s="8" t="inlineStr">
        <is>
          <t>ENV9</t>
        </is>
      </c>
      <c r="G769" s="8">
        <f>IFERROR(VLOOKUP(A769,Flete!$A:$E,5,0),"")</f>
        <v/>
      </c>
      <c r="H769" s="7">
        <f>IFERROR(VLOOKUP(F769,TRAOPE!$AA:$AB,2,0),"")</f>
        <v/>
      </c>
      <c r="I769" s="7" t="n">
        <v>10270911</v>
      </c>
      <c r="J769" s="7">
        <f>IFERROR(VLOOKUP(I769,Materiales!$A:$H,8,0),"")</f>
        <v/>
      </c>
      <c r="K769" s="9">
        <f>IFERROR(VLOOKUP(I769,Materiales!$A:$G,7,0),"")</f>
        <v/>
      </c>
      <c r="L769" s="8" t="inlineStr">
        <is>
          <t>20260201</t>
        </is>
      </c>
      <c r="M769" s="8" t="inlineStr">
        <is>
          <t>20260310</t>
        </is>
      </c>
      <c r="N769" s="10" t="n">
        <v>197.74</v>
      </c>
      <c r="O769" s="10">
        <f>IFERROR(VLOOKUP(A769,Flete!$A:$J,10,0),"")</f>
        <v/>
      </c>
      <c r="P769" s="8" t="inlineStr">
        <is>
          <t>TN</t>
        </is>
      </c>
      <c r="Q769" s="10">
        <f>IFERROR(IFERROR(VLOOKUP(A769,TRAOPE!$A:$U,21,0),VLOOKUP(B769,TRAOPE!$A:$U,21,0)),"")</f>
        <v/>
      </c>
      <c r="R769" s="8">
        <f>IFERROR(IFERROR(VLOOKUP(A769,TRAOPE!$A:$W,23,0),VLOOKUP(B769,TRAOPE!$A:$W,23,0)),"")</f>
        <v/>
      </c>
      <c r="S769" s="10">
        <f>IF(AND(P769="TN",R769="TN"),N769+N(O769),IF(G769&amp;""="1",N(K769)*N769,(N769+N(O769))*N(K769)))</f>
        <v/>
      </c>
      <c r="T769" s="10">
        <f>IF(Q769="","",Q769-S769)</f>
        <v/>
      </c>
    </row>
    <row r="770">
      <c r="A770" s="7">
        <f>CONCATENATE(C770,E770,F770,I770)</f>
        <v/>
      </c>
      <c r="B770" s="7">
        <f>CONCATENATE(C770,E770,I770)</f>
        <v/>
      </c>
      <c r="C770" s="8" t="n">
        <v>900009419</v>
      </c>
      <c r="D770" s="7">
        <f>IFERROR(VLOOKUP(C770,TRAOPE!$G:$H,2,0),"")</f>
        <v/>
      </c>
      <c r="E770" s="8" t="inlineStr">
        <is>
          <t>DW68</t>
        </is>
      </c>
      <c r="F770" s="8" t="inlineStr">
        <is>
          <t>ENV9</t>
        </is>
      </c>
      <c r="G770" s="8">
        <f>IFERROR(VLOOKUP(A770,Flete!$A:$E,5,0),"")</f>
        <v/>
      </c>
      <c r="H770" s="7">
        <f>IFERROR(VLOOKUP(F770,TRAOPE!$AA:$AB,2,0),"")</f>
        <v/>
      </c>
      <c r="I770" s="7" t="n">
        <v>10270912</v>
      </c>
      <c r="J770" s="7">
        <f>IFERROR(VLOOKUP(I770,Materiales!$A:$H,8,0),"")</f>
        <v/>
      </c>
      <c r="K770" s="9">
        <f>IFERROR(VLOOKUP(I770,Materiales!$A:$G,7,0),"")</f>
        <v/>
      </c>
      <c r="L770" s="8" t="inlineStr">
        <is>
          <t>20251202</t>
        </is>
      </c>
      <c r="M770" s="8" t="inlineStr">
        <is>
          <t>99991231</t>
        </is>
      </c>
      <c r="N770" s="10" t="n">
        <v>179.4</v>
      </c>
      <c r="O770" s="10">
        <f>IFERROR(VLOOKUP(A770,Flete!$A:$J,10,0),"")</f>
        <v/>
      </c>
      <c r="P770" s="8" t="inlineStr">
        <is>
          <t>TN</t>
        </is>
      </c>
      <c r="Q770" s="10">
        <f>IFERROR(IFERROR(VLOOKUP(A770,TRAOPE!$A:$U,21,0),VLOOKUP(B770,TRAOPE!$A:$U,21,0)),"")</f>
        <v/>
      </c>
      <c r="R770" s="8">
        <f>IFERROR(IFERROR(VLOOKUP(A770,TRAOPE!$A:$W,23,0),VLOOKUP(B770,TRAOPE!$A:$W,23,0)),"")</f>
        <v/>
      </c>
      <c r="S770" s="10">
        <f>IF(AND(P770="TN",R770="TN"),N770+N(O770),IF(G770&amp;""="1",N(K770)*N770,(N770+N(O770))*N(K770)))</f>
        <v/>
      </c>
      <c r="T770" s="10">
        <f>IF(Q770="","",Q770-S770)</f>
        <v/>
      </c>
    </row>
    <row r="771">
      <c r="A771" s="7">
        <f>CONCATENATE(C771,E771,F771,I771)</f>
        <v/>
      </c>
      <c r="B771" s="7">
        <f>CONCATENATE(C771,E771,I771)</f>
        <v/>
      </c>
      <c r="C771" s="8" t="n">
        <v>900009419</v>
      </c>
      <c r="D771" s="7">
        <f>IFERROR(VLOOKUP(C771,TRAOPE!$G:$H,2,0),"")</f>
        <v/>
      </c>
      <c r="E771" s="8" t="inlineStr">
        <is>
          <t>DW68</t>
        </is>
      </c>
      <c r="F771" s="8" t="inlineStr">
        <is>
          <t>ENV9</t>
        </is>
      </c>
      <c r="G771" s="8">
        <f>IFERROR(VLOOKUP(A771,Flete!$A:$E,5,0),"")</f>
        <v/>
      </c>
      <c r="H771" s="7">
        <f>IFERROR(VLOOKUP(F771,TRAOPE!$AA:$AB,2,0),"")</f>
        <v/>
      </c>
      <c r="I771" s="7" t="n">
        <v>10270913</v>
      </c>
      <c r="J771" s="7">
        <f>IFERROR(VLOOKUP(I771,Materiales!$A:$H,8,0),"")</f>
        <v/>
      </c>
      <c r="K771" s="9">
        <f>IFERROR(VLOOKUP(I771,Materiales!$A:$G,7,0),"")</f>
        <v/>
      </c>
      <c r="L771" s="8" t="inlineStr">
        <is>
          <t>20251202</t>
        </is>
      </c>
      <c r="M771" s="8" t="inlineStr">
        <is>
          <t>99991231</t>
        </is>
      </c>
      <c r="N771" s="10" t="n">
        <v>202.8</v>
      </c>
      <c r="O771" s="10">
        <f>IFERROR(VLOOKUP(A771,Flete!$A:$J,10,0),"")</f>
        <v/>
      </c>
      <c r="P771" s="8" t="inlineStr">
        <is>
          <t>TN</t>
        </is>
      </c>
      <c r="Q771" s="10">
        <f>IFERROR(IFERROR(VLOOKUP(A771,TRAOPE!$A:$U,21,0),VLOOKUP(B771,TRAOPE!$A:$U,21,0)),"")</f>
        <v/>
      </c>
      <c r="R771" s="8">
        <f>IFERROR(IFERROR(VLOOKUP(A771,TRAOPE!$A:$W,23,0),VLOOKUP(B771,TRAOPE!$A:$W,23,0)),"")</f>
        <v/>
      </c>
      <c r="S771" s="10">
        <f>IF(AND(P771="TN",R771="TN"),N771+N(O771),IF(G771&amp;""="1",N(K771)*N771,(N771+N(O771))*N(K771)))</f>
        <v/>
      </c>
      <c r="T771" s="10">
        <f>IF(Q771="","",Q771-S771)</f>
        <v/>
      </c>
    </row>
    <row r="772">
      <c r="A772" s="7">
        <f>CONCATENATE(C772,E772,F772,I772)</f>
        <v/>
      </c>
      <c r="B772" s="7">
        <f>CONCATENATE(C772,E772,I772)</f>
        <v/>
      </c>
      <c r="C772" s="8" t="n">
        <v>900009420</v>
      </c>
      <c r="D772" s="7">
        <f>IFERROR(VLOOKUP(C772,TRAOPE!$G:$H,2,0),"")</f>
        <v/>
      </c>
      <c r="E772" s="8" t="inlineStr">
        <is>
          <t>DW68</t>
        </is>
      </c>
      <c r="F772" s="8" t="inlineStr">
        <is>
          <t>D577</t>
        </is>
      </c>
      <c r="G772" s="8">
        <f>IFERROR(VLOOKUP(A772,Flete!$A:$E,5,0),"")</f>
        <v/>
      </c>
      <c r="H772" s="7">
        <f>IFERROR(VLOOKUP(F772,TRAOPE!$AA:$AB,2,0),"")</f>
        <v/>
      </c>
      <c r="I772" s="7" t="n">
        <v>10000439</v>
      </c>
      <c r="J772" s="7">
        <f>IFERROR(VLOOKUP(I772,Materiales!$A:$H,8,0),"")</f>
        <v/>
      </c>
      <c r="K772" s="9">
        <f>IFERROR(VLOOKUP(I772,Materiales!$A:$G,7,0),"")</f>
        <v/>
      </c>
      <c r="L772" s="8" t="inlineStr">
        <is>
          <t>20260401</t>
        </is>
      </c>
      <c r="M772" s="8" t="inlineStr">
        <is>
          <t>99991231</t>
        </is>
      </c>
      <c r="N772" s="10" t="n">
        <v>217.6</v>
      </c>
      <c r="O772" s="10">
        <f>IFERROR(VLOOKUP(A772,Flete!$A:$J,10,0),"")</f>
        <v/>
      </c>
      <c r="P772" s="8" t="inlineStr">
        <is>
          <t>TN</t>
        </is>
      </c>
      <c r="Q772" s="10">
        <f>IFERROR(IFERROR(VLOOKUP(A772,TRAOPE!$A:$U,21,0),VLOOKUP(B772,TRAOPE!$A:$U,21,0)),"")</f>
        <v/>
      </c>
      <c r="R772" s="8">
        <f>IFERROR(IFERROR(VLOOKUP(A772,TRAOPE!$A:$W,23,0),VLOOKUP(B772,TRAOPE!$A:$W,23,0)),"")</f>
        <v/>
      </c>
      <c r="S772" s="10">
        <f>IF(AND(P772="TN",R772="TN"),N772+N(O772),IF(G772&amp;""="1",N(K772)*N772,(N772+N(O772))*N(K772)))</f>
        <v/>
      </c>
      <c r="T772" s="10">
        <f>IF(Q772="","",Q772-S772)</f>
        <v/>
      </c>
    </row>
    <row r="773">
      <c r="A773" s="7">
        <f>CONCATENATE(C773,E773,F773,I773)</f>
        <v/>
      </c>
      <c r="B773" s="7">
        <f>CONCATENATE(C773,E773,I773)</f>
        <v/>
      </c>
      <c r="C773" s="8" t="n">
        <v>900009420</v>
      </c>
      <c r="D773" s="7">
        <f>IFERROR(VLOOKUP(C773,TRAOPE!$G:$H,2,0),"")</f>
        <v/>
      </c>
      <c r="E773" s="8" t="inlineStr">
        <is>
          <t>DW68</t>
        </is>
      </c>
      <c r="F773" s="8" t="inlineStr">
        <is>
          <t>D577</t>
        </is>
      </c>
      <c r="G773" s="8">
        <f>IFERROR(VLOOKUP(A773,Flete!$A:$E,5,0),"")</f>
        <v/>
      </c>
      <c r="H773" s="7">
        <f>IFERROR(VLOOKUP(F773,TRAOPE!$AA:$AB,2,0),"")</f>
        <v/>
      </c>
      <c r="I773" s="7" t="n">
        <v>10209065</v>
      </c>
      <c r="J773" s="7">
        <f>IFERROR(VLOOKUP(I773,Materiales!$A:$H,8,0),"")</f>
        <v/>
      </c>
      <c r="K773" s="9">
        <f>IFERROR(VLOOKUP(I773,Materiales!$A:$G,7,0),"")</f>
        <v/>
      </c>
      <c r="L773" s="8" t="inlineStr">
        <is>
          <t>20260401</t>
        </is>
      </c>
      <c r="M773" s="8" t="inlineStr">
        <is>
          <t>99991231</t>
        </is>
      </c>
      <c r="N773" s="10" t="n">
        <v>145</v>
      </c>
      <c r="O773" s="10">
        <f>IFERROR(VLOOKUP(A773,Flete!$A:$J,10,0),"")</f>
        <v/>
      </c>
      <c r="P773" s="8" t="inlineStr">
        <is>
          <t>TN</t>
        </is>
      </c>
      <c r="Q773" s="10">
        <f>IFERROR(IFERROR(VLOOKUP(A773,TRAOPE!$A:$U,21,0),VLOOKUP(B773,TRAOPE!$A:$U,21,0)),"")</f>
        <v/>
      </c>
      <c r="R773" s="8">
        <f>IFERROR(IFERROR(VLOOKUP(A773,TRAOPE!$A:$W,23,0),VLOOKUP(B773,TRAOPE!$A:$W,23,0)),"")</f>
        <v/>
      </c>
      <c r="S773" s="10">
        <f>IF(AND(P773="TN",R773="TN"),N773+N(O773),IF(G773&amp;""="1",N(K773)*N773,(N773+N(O773))*N(K773)))</f>
        <v/>
      </c>
      <c r="T773" s="10">
        <f>IF(Q773="","",Q773-S773)</f>
        <v/>
      </c>
    </row>
    <row r="774">
      <c r="A774" s="7">
        <f>CONCATENATE(C774,E774,F774,I774)</f>
        <v/>
      </c>
      <c r="B774" s="7">
        <f>CONCATENATE(C774,E774,I774)</f>
        <v/>
      </c>
      <c r="C774" s="8" t="n">
        <v>900009420</v>
      </c>
      <c r="D774" s="7">
        <f>IFERROR(VLOOKUP(C774,TRAOPE!$G:$H,2,0),"")</f>
        <v/>
      </c>
      <c r="E774" s="8" t="inlineStr">
        <is>
          <t>DW68</t>
        </is>
      </c>
      <c r="F774" s="8" t="inlineStr">
        <is>
          <t>D577</t>
        </is>
      </c>
      <c r="G774" s="8">
        <f>IFERROR(VLOOKUP(A774,Flete!$A:$E,5,0),"")</f>
        <v/>
      </c>
      <c r="H774" s="7">
        <f>IFERROR(VLOOKUP(F774,TRAOPE!$AA:$AB,2,0),"")</f>
        <v/>
      </c>
      <c r="I774" s="7" t="n">
        <v>10251385</v>
      </c>
      <c r="J774" s="7">
        <f>IFERROR(VLOOKUP(I774,Materiales!$A:$H,8,0),"")</f>
        <v/>
      </c>
      <c r="K774" s="9">
        <f>IFERROR(VLOOKUP(I774,Materiales!$A:$G,7,0),"")</f>
        <v/>
      </c>
      <c r="L774" s="8" t="inlineStr">
        <is>
          <t>20260401</t>
        </is>
      </c>
      <c r="M774" s="8" t="inlineStr">
        <is>
          <t>99991231</t>
        </is>
      </c>
      <c r="N774" s="10" t="n">
        <v>220</v>
      </c>
      <c r="O774" s="10">
        <f>IFERROR(VLOOKUP(A774,Flete!$A:$J,10,0),"")</f>
        <v/>
      </c>
      <c r="P774" s="8" t="inlineStr">
        <is>
          <t>TN</t>
        </is>
      </c>
      <c r="Q774" s="10">
        <f>IFERROR(IFERROR(VLOOKUP(A774,TRAOPE!$A:$U,21,0),VLOOKUP(B774,TRAOPE!$A:$U,21,0)),"")</f>
        <v/>
      </c>
      <c r="R774" s="8">
        <f>IFERROR(IFERROR(VLOOKUP(A774,TRAOPE!$A:$W,23,0),VLOOKUP(B774,TRAOPE!$A:$W,23,0)),"")</f>
        <v/>
      </c>
      <c r="S774" s="10">
        <f>IF(AND(P774="TN",R774="TN"),N774+N(O774),IF(G774&amp;""="1",N(K774)*N774,(N774+N(O774))*N(K774)))</f>
        <v/>
      </c>
      <c r="T774" s="10">
        <f>IF(Q774="","",Q774-S774)</f>
        <v/>
      </c>
    </row>
    <row r="775">
      <c r="A775" s="7">
        <f>CONCATENATE(C775,E775,F775,I775)</f>
        <v/>
      </c>
      <c r="B775" s="7">
        <f>CONCATENATE(C775,E775,I775)</f>
        <v/>
      </c>
      <c r="C775" s="8" t="n">
        <v>900009420</v>
      </c>
      <c r="D775" s="7">
        <f>IFERROR(VLOOKUP(C775,TRAOPE!$G:$H,2,0),"")</f>
        <v/>
      </c>
      <c r="E775" s="8" t="inlineStr">
        <is>
          <t>DW68</t>
        </is>
      </c>
      <c r="F775" s="8" t="inlineStr">
        <is>
          <t>D577</t>
        </is>
      </c>
      <c r="G775" s="8">
        <f>IFERROR(VLOOKUP(A775,Flete!$A:$E,5,0),"")</f>
        <v/>
      </c>
      <c r="H775" s="7">
        <f>IFERROR(VLOOKUP(F775,TRAOPE!$AA:$AB,2,0),"")</f>
        <v/>
      </c>
      <c r="I775" s="7" t="n">
        <v>10270911</v>
      </c>
      <c r="J775" s="7">
        <f>IFERROR(VLOOKUP(I775,Materiales!$A:$H,8,0),"")</f>
        <v/>
      </c>
      <c r="K775" s="9">
        <f>IFERROR(VLOOKUP(I775,Materiales!$A:$G,7,0),"")</f>
        <v/>
      </c>
      <c r="L775" s="8" t="inlineStr">
        <is>
          <t>20260401</t>
        </is>
      </c>
      <c r="M775" s="8" t="inlineStr">
        <is>
          <t>20260705</t>
        </is>
      </c>
      <c r="N775" s="10" t="n">
        <v>197.74</v>
      </c>
      <c r="O775" s="10">
        <f>IFERROR(VLOOKUP(A775,Flete!$A:$J,10,0),"")</f>
        <v/>
      </c>
      <c r="P775" s="8" t="inlineStr">
        <is>
          <t>TN</t>
        </is>
      </c>
      <c r="Q775" s="10">
        <f>IFERROR(IFERROR(VLOOKUP(A775,TRAOPE!$A:$U,21,0),VLOOKUP(B775,TRAOPE!$A:$U,21,0)),"")</f>
        <v/>
      </c>
      <c r="R775" s="8">
        <f>IFERROR(IFERROR(VLOOKUP(A775,TRAOPE!$A:$W,23,0),VLOOKUP(B775,TRAOPE!$A:$W,23,0)),"")</f>
        <v/>
      </c>
      <c r="S775" s="10">
        <f>IF(AND(P775="TN",R775="TN"),N775+N(O775),IF(G775&amp;""="1",N(K775)*N775,(N775+N(O775))*N(K775)))</f>
        <v/>
      </c>
      <c r="T775" s="10">
        <f>IF(Q775="","",Q775-S775)</f>
        <v/>
      </c>
    </row>
    <row r="776">
      <c r="A776" s="7">
        <f>CONCATENATE(C776,E776,F776,I776)</f>
        <v/>
      </c>
      <c r="B776" s="7">
        <f>CONCATENATE(C776,E776,I776)</f>
        <v/>
      </c>
      <c r="C776" s="8" t="n">
        <v>900009420</v>
      </c>
      <c r="D776" s="7">
        <f>IFERROR(VLOOKUP(C776,TRAOPE!$G:$H,2,0),"")</f>
        <v/>
      </c>
      <c r="E776" s="8" t="inlineStr">
        <is>
          <t>DW68</t>
        </is>
      </c>
      <c r="F776" s="8" t="inlineStr">
        <is>
          <t>D577</t>
        </is>
      </c>
      <c r="G776" s="8">
        <f>IFERROR(VLOOKUP(A776,Flete!$A:$E,5,0),"")</f>
        <v/>
      </c>
      <c r="H776" s="7">
        <f>IFERROR(VLOOKUP(F776,TRAOPE!$AA:$AB,2,0),"")</f>
        <v/>
      </c>
      <c r="I776" s="7" t="n">
        <v>10270912</v>
      </c>
      <c r="J776" s="7">
        <f>IFERROR(VLOOKUP(I776,Materiales!$A:$H,8,0),"")</f>
        <v/>
      </c>
      <c r="K776" s="9">
        <f>IFERROR(VLOOKUP(I776,Materiales!$A:$G,7,0),"")</f>
        <v/>
      </c>
      <c r="L776" s="8" t="inlineStr">
        <is>
          <t>20260401</t>
        </is>
      </c>
      <c r="M776" s="8" t="inlineStr">
        <is>
          <t>99991231</t>
        </is>
      </c>
      <c r="N776" s="10" t="n">
        <v>179.4</v>
      </c>
      <c r="O776" s="10">
        <f>IFERROR(VLOOKUP(A776,Flete!$A:$J,10,0),"")</f>
        <v/>
      </c>
      <c r="P776" s="8" t="inlineStr">
        <is>
          <t>TN</t>
        </is>
      </c>
      <c r="Q776" s="10">
        <f>IFERROR(IFERROR(VLOOKUP(A776,TRAOPE!$A:$U,21,0),VLOOKUP(B776,TRAOPE!$A:$U,21,0)),"")</f>
        <v/>
      </c>
      <c r="R776" s="8">
        <f>IFERROR(IFERROR(VLOOKUP(A776,TRAOPE!$A:$W,23,0),VLOOKUP(B776,TRAOPE!$A:$W,23,0)),"")</f>
        <v/>
      </c>
      <c r="S776" s="10">
        <f>IF(AND(P776="TN",R776="TN"),N776+N(O776),IF(G776&amp;""="1",N(K776)*N776,(N776+N(O776))*N(K776)))</f>
        <v/>
      </c>
      <c r="T776" s="10">
        <f>IF(Q776="","",Q776-S776)</f>
        <v/>
      </c>
    </row>
    <row r="777">
      <c r="A777" s="7">
        <f>CONCATENATE(C777,E777,F777,I777)</f>
        <v/>
      </c>
      <c r="B777" s="7">
        <f>CONCATENATE(C777,E777,I777)</f>
        <v/>
      </c>
      <c r="C777" s="8" t="n">
        <v>900009420</v>
      </c>
      <c r="D777" s="7">
        <f>IFERROR(VLOOKUP(C777,TRAOPE!$G:$H,2,0),"")</f>
        <v/>
      </c>
      <c r="E777" s="8" t="inlineStr">
        <is>
          <t>DW68</t>
        </is>
      </c>
      <c r="F777" s="8" t="inlineStr">
        <is>
          <t>D577</t>
        </is>
      </c>
      <c r="G777" s="8">
        <f>IFERROR(VLOOKUP(A777,Flete!$A:$E,5,0),"")</f>
        <v/>
      </c>
      <c r="H777" s="7">
        <f>IFERROR(VLOOKUP(F777,TRAOPE!$AA:$AB,2,0),"")</f>
        <v/>
      </c>
      <c r="I777" s="7" t="n">
        <v>10270913</v>
      </c>
      <c r="J777" s="7">
        <f>IFERROR(VLOOKUP(I777,Materiales!$A:$H,8,0),"")</f>
        <v/>
      </c>
      <c r="K777" s="9">
        <f>IFERROR(VLOOKUP(I777,Materiales!$A:$G,7,0),"")</f>
        <v/>
      </c>
      <c r="L777" s="8" t="inlineStr">
        <is>
          <t>20260401</t>
        </is>
      </c>
      <c r="M777" s="8" t="inlineStr">
        <is>
          <t>99991231</t>
        </is>
      </c>
      <c r="N777" s="10" t="n">
        <v>202.8</v>
      </c>
      <c r="O777" s="10">
        <f>IFERROR(VLOOKUP(A777,Flete!$A:$J,10,0),"")</f>
        <v/>
      </c>
      <c r="P777" s="8" t="inlineStr">
        <is>
          <t>TN</t>
        </is>
      </c>
      <c r="Q777" s="10">
        <f>IFERROR(IFERROR(VLOOKUP(A777,TRAOPE!$A:$U,21,0),VLOOKUP(B777,TRAOPE!$A:$U,21,0)),"")</f>
        <v/>
      </c>
      <c r="R777" s="8">
        <f>IFERROR(IFERROR(VLOOKUP(A777,TRAOPE!$A:$W,23,0),VLOOKUP(B777,TRAOPE!$A:$W,23,0)),"")</f>
        <v/>
      </c>
      <c r="S777" s="10">
        <f>IF(AND(P777="TN",R777="TN"),N777+N(O777),IF(G777&amp;""="1",N(K777)*N777,(N777+N(O777))*N(K777)))</f>
        <v/>
      </c>
      <c r="T777" s="10">
        <f>IF(Q777="","",Q777-S777)</f>
        <v/>
      </c>
    </row>
    <row r="778">
      <c r="A778" s="7">
        <f>CONCATENATE(C778,E778,F778,I778)</f>
        <v/>
      </c>
      <c r="B778" s="7">
        <f>CONCATENATE(C778,E778,I778)</f>
        <v/>
      </c>
      <c r="C778" s="8" t="n">
        <v>900009420</v>
      </c>
      <c r="D778" s="7">
        <f>IFERROR(VLOOKUP(C778,TRAOPE!$G:$H,2,0),"")</f>
        <v/>
      </c>
      <c r="E778" s="8" t="inlineStr">
        <is>
          <t>DW68</t>
        </is>
      </c>
      <c r="F778" s="8" t="inlineStr">
        <is>
          <t>ENEB</t>
        </is>
      </c>
      <c r="G778" s="8">
        <f>IFERROR(VLOOKUP(A778,Flete!$A:$E,5,0),"")</f>
        <v/>
      </c>
      <c r="H778" s="7">
        <f>IFERROR(VLOOKUP(F778,TRAOPE!$AA:$AB,2,0),"")</f>
        <v/>
      </c>
      <c r="I778" s="7" t="n">
        <v>10000439</v>
      </c>
      <c r="J778" s="7">
        <f>IFERROR(VLOOKUP(I778,Materiales!$A:$H,8,0),"")</f>
        <v/>
      </c>
      <c r="K778" s="9">
        <f>IFERROR(VLOOKUP(I778,Materiales!$A:$G,7,0),"")</f>
        <v/>
      </c>
      <c r="L778" s="8" t="inlineStr">
        <is>
          <t>20260126</t>
        </is>
      </c>
      <c r="M778" s="8" t="inlineStr">
        <is>
          <t>99991231</t>
        </is>
      </c>
      <c r="N778" s="10" t="n">
        <v>217.6</v>
      </c>
      <c r="O778" s="10">
        <f>IFERROR(VLOOKUP(A778,Flete!$A:$J,10,0),"")</f>
        <v/>
      </c>
      <c r="P778" s="8" t="inlineStr">
        <is>
          <t>TN</t>
        </is>
      </c>
      <c r="Q778" s="10">
        <f>IFERROR(IFERROR(VLOOKUP(A778,TRAOPE!$A:$U,21,0),VLOOKUP(B778,TRAOPE!$A:$U,21,0)),"")</f>
        <v/>
      </c>
      <c r="R778" s="8">
        <f>IFERROR(IFERROR(VLOOKUP(A778,TRAOPE!$A:$W,23,0),VLOOKUP(B778,TRAOPE!$A:$W,23,0)),"")</f>
        <v/>
      </c>
      <c r="S778" s="10">
        <f>IF(AND(P778="TN",R778="TN"),N778+N(O778),IF(G778&amp;""="1",N(K778)*N778,(N778+N(O778))*N(K778)))</f>
        <v/>
      </c>
      <c r="T778" s="10">
        <f>IF(Q778="","",Q778-S778)</f>
        <v/>
      </c>
    </row>
    <row r="779">
      <c r="A779" s="7">
        <f>CONCATENATE(C779,E779,F779,I779)</f>
        <v/>
      </c>
      <c r="B779" s="7">
        <f>CONCATENATE(C779,E779,I779)</f>
        <v/>
      </c>
      <c r="C779" s="8" t="n">
        <v>900009420</v>
      </c>
      <c r="D779" s="7">
        <f>IFERROR(VLOOKUP(C779,TRAOPE!$G:$H,2,0),"")</f>
        <v/>
      </c>
      <c r="E779" s="8" t="inlineStr">
        <is>
          <t>DW68</t>
        </is>
      </c>
      <c r="F779" s="8" t="inlineStr">
        <is>
          <t>ENEB</t>
        </is>
      </c>
      <c r="G779" s="8">
        <f>IFERROR(VLOOKUP(A779,Flete!$A:$E,5,0),"")</f>
        <v/>
      </c>
      <c r="H779" s="7">
        <f>IFERROR(VLOOKUP(F779,TRAOPE!$AA:$AB,2,0),"")</f>
        <v/>
      </c>
      <c r="I779" s="7" t="n">
        <v>10209065</v>
      </c>
      <c r="J779" s="7">
        <f>IFERROR(VLOOKUP(I779,Materiales!$A:$H,8,0),"")</f>
        <v/>
      </c>
      <c r="K779" s="9">
        <f>IFERROR(VLOOKUP(I779,Materiales!$A:$G,7,0),"")</f>
        <v/>
      </c>
      <c r="L779" s="8" t="inlineStr">
        <is>
          <t>20260126</t>
        </is>
      </c>
      <c r="M779" s="8" t="inlineStr">
        <is>
          <t>99991231</t>
        </is>
      </c>
      <c r="N779" s="10" t="n">
        <v>145</v>
      </c>
      <c r="O779" s="10">
        <f>IFERROR(VLOOKUP(A779,Flete!$A:$J,10,0),"")</f>
        <v/>
      </c>
      <c r="P779" s="8" t="inlineStr">
        <is>
          <t>TN</t>
        </is>
      </c>
      <c r="Q779" s="10">
        <f>IFERROR(IFERROR(VLOOKUP(A779,TRAOPE!$A:$U,21,0),VLOOKUP(B779,TRAOPE!$A:$U,21,0)),"")</f>
        <v/>
      </c>
      <c r="R779" s="8">
        <f>IFERROR(IFERROR(VLOOKUP(A779,TRAOPE!$A:$W,23,0),VLOOKUP(B779,TRAOPE!$A:$W,23,0)),"")</f>
        <v/>
      </c>
      <c r="S779" s="10">
        <f>IF(AND(P779="TN",R779="TN"),N779+N(O779),IF(G779&amp;""="1",N(K779)*N779,(N779+N(O779))*N(K779)))</f>
        <v/>
      </c>
      <c r="T779" s="10">
        <f>IF(Q779="","",Q779-S779)</f>
        <v/>
      </c>
    </row>
    <row r="780">
      <c r="A780" s="7">
        <f>CONCATENATE(C780,E780,F780,I780)</f>
        <v/>
      </c>
      <c r="B780" s="7">
        <f>CONCATENATE(C780,E780,I780)</f>
        <v/>
      </c>
      <c r="C780" s="8" t="n">
        <v>900009420</v>
      </c>
      <c r="D780" s="7">
        <f>IFERROR(VLOOKUP(C780,TRAOPE!$G:$H,2,0),"")</f>
        <v/>
      </c>
      <c r="E780" s="8" t="inlineStr">
        <is>
          <t>DW68</t>
        </is>
      </c>
      <c r="F780" s="8" t="inlineStr">
        <is>
          <t>ENEB</t>
        </is>
      </c>
      <c r="G780" s="8">
        <f>IFERROR(VLOOKUP(A780,Flete!$A:$E,5,0),"")</f>
        <v/>
      </c>
      <c r="H780" s="7">
        <f>IFERROR(VLOOKUP(F780,TRAOPE!$AA:$AB,2,0),"")</f>
        <v/>
      </c>
      <c r="I780" s="7" t="n">
        <v>10251385</v>
      </c>
      <c r="J780" s="7">
        <f>IFERROR(VLOOKUP(I780,Materiales!$A:$H,8,0),"")</f>
        <v/>
      </c>
      <c r="K780" s="9">
        <f>IFERROR(VLOOKUP(I780,Materiales!$A:$G,7,0),"")</f>
        <v/>
      </c>
      <c r="L780" s="8" t="inlineStr">
        <is>
          <t>20260126</t>
        </is>
      </c>
      <c r="M780" s="8" t="inlineStr">
        <is>
          <t>99991231</t>
        </is>
      </c>
      <c r="N780" s="10" t="n">
        <v>220</v>
      </c>
      <c r="O780" s="10">
        <f>IFERROR(VLOOKUP(A780,Flete!$A:$J,10,0),"")</f>
        <v/>
      </c>
      <c r="P780" s="8" t="inlineStr">
        <is>
          <t>TN</t>
        </is>
      </c>
      <c r="Q780" s="10">
        <f>IFERROR(IFERROR(VLOOKUP(A780,TRAOPE!$A:$U,21,0),VLOOKUP(B780,TRAOPE!$A:$U,21,0)),"")</f>
        <v/>
      </c>
      <c r="R780" s="8">
        <f>IFERROR(IFERROR(VLOOKUP(A780,TRAOPE!$A:$W,23,0),VLOOKUP(B780,TRAOPE!$A:$W,23,0)),"")</f>
        <v/>
      </c>
      <c r="S780" s="10">
        <f>IF(AND(P780="TN",R780="TN"),N780+N(O780),IF(G780&amp;""="1",N(K780)*N780,(N780+N(O780))*N(K780)))</f>
        <v/>
      </c>
      <c r="T780" s="10">
        <f>IF(Q780="","",Q780-S780)</f>
        <v/>
      </c>
    </row>
    <row r="781">
      <c r="A781" s="7">
        <f>CONCATENATE(C781,E781,F781,I781)</f>
        <v/>
      </c>
      <c r="B781" s="7">
        <f>CONCATENATE(C781,E781,I781)</f>
        <v/>
      </c>
      <c r="C781" s="8" t="n">
        <v>900009420</v>
      </c>
      <c r="D781" s="7">
        <f>IFERROR(VLOOKUP(C781,TRAOPE!$G:$H,2,0),"")</f>
        <v/>
      </c>
      <c r="E781" s="8" t="inlineStr">
        <is>
          <t>DW68</t>
        </is>
      </c>
      <c r="F781" s="8" t="inlineStr">
        <is>
          <t>ENEB</t>
        </is>
      </c>
      <c r="G781" s="8">
        <f>IFERROR(VLOOKUP(A781,Flete!$A:$E,5,0),"")</f>
        <v/>
      </c>
      <c r="H781" s="7">
        <f>IFERROR(VLOOKUP(F781,TRAOPE!$AA:$AB,2,0),"")</f>
        <v/>
      </c>
      <c r="I781" s="7" t="n">
        <v>10270911</v>
      </c>
      <c r="J781" s="7">
        <f>IFERROR(VLOOKUP(I781,Materiales!$A:$H,8,0),"")</f>
        <v/>
      </c>
      <c r="K781" s="9">
        <f>IFERROR(VLOOKUP(I781,Materiales!$A:$G,7,0),"")</f>
        <v/>
      </c>
      <c r="L781" s="8" t="inlineStr">
        <is>
          <t>20260201</t>
        </is>
      </c>
      <c r="M781" s="8" t="inlineStr">
        <is>
          <t>20260705</t>
        </is>
      </c>
      <c r="N781" s="10" t="n">
        <v>197.74</v>
      </c>
      <c r="O781" s="10">
        <f>IFERROR(VLOOKUP(A781,Flete!$A:$J,10,0),"")</f>
        <v/>
      </c>
      <c r="P781" s="8" t="inlineStr">
        <is>
          <t>TN</t>
        </is>
      </c>
      <c r="Q781" s="10">
        <f>IFERROR(IFERROR(VLOOKUP(A781,TRAOPE!$A:$U,21,0),VLOOKUP(B781,TRAOPE!$A:$U,21,0)),"")</f>
        <v/>
      </c>
      <c r="R781" s="8">
        <f>IFERROR(IFERROR(VLOOKUP(A781,TRAOPE!$A:$W,23,0),VLOOKUP(B781,TRAOPE!$A:$W,23,0)),"")</f>
        <v/>
      </c>
      <c r="S781" s="10">
        <f>IF(AND(P781="TN",R781="TN"),N781+N(O781),IF(G781&amp;""="1",N(K781)*N781,(N781+N(O781))*N(K781)))</f>
        <v/>
      </c>
      <c r="T781" s="10">
        <f>IF(Q781="","",Q781-S781)</f>
        <v/>
      </c>
    </row>
    <row r="782">
      <c r="A782" s="7">
        <f>CONCATENATE(C782,E782,F782,I782)</f>
        <v/>
      </c>
      <c r="B782" s="7">
        <f>CONCATENATE(C782,E782,I782)</f>
        <v/>
      </c>
      <c r="C782" s="8" t="n">
        <v>900009420</v>
      </c>
      <c r="D782" s="7">
        <f>IFERROR(VLOOKUP(C782,TRAOPE!$G:$H,2,0),"")</f>
        <v/>
      </c>
      <c r="E782" s="8" t="inlineStr">
        <is>
          <t>DW68</t>
        </is>
      </c>
      <c r="F782" s="8" t="inlineStr">
        <is>
          <t>ENEB</t>
        </is>
      </c>
      <c r="G782" s="8">
        <f>IFERROR(VLOOKUP(A782,Flete!$A:$E,5,0),"")</f>
        <v/>
      </c>
      <c r="H782" s="7">
        <f>IFERROR(VLOOKUP(F782,TRAOPE!$AA:$AB,2,0),"")</f>
        <v/>
      </c>
      <c r="I782" s="7" t="n">
        <v>10270912</v>
      </c>
      <c r="J782" s="7">
        <f>IFERROR(VLOOKUP(I782,Materiales!$A:$H,8,0),"")</f>
        <v/>
      </c>
      <c r="K782" s="9">
        <f>IFERROR(VLOOKUP(I782,Materiales!$A:$G,7,0),"")</f>
        <v/>
      </c>
      <c r="L782" s="8" t="inlineStr">
        <is>
          <t>20260126</t>
        </is>
      </c>
      <c r="M782" s="8" t="inlineStr">
        <is>
          <t>99991231</t>
        </is>
      </c>
      <c r="N782" s="10" t="n">
        <v>179.4</v>
      </c>
      <c r="O782" s="10">
        <f>IFERROR(VLOOKUP(A782,Flete!$A:$J,10,0),"")</f>
        <v/>
      </c>
      <c r="P782" s="8" t="inlineStr">
        <is>
          <t>TN</t>
        </is>
      </c>
      <c r="Q782" s="10">
        <f>IFERROR(IFERROR(VLOOKUP(A782,TRAOPE!$A:$U,21,0),VLOOKUP(B782,TRAOPE!$A:$U,21,0)),"")</f>
        <v/>
      </c>
      <c r="R782" s="8">
        <f>IFERROR(IFERROR(VLOOKUP(A782,TRAOPE!$A:$W,23,0),VLOOKUP(B782,TRAOPE!$A:$W,23,0)),"")</f>
        <v/>
      </c>
      <c r="S782" s="10">
        <f>IF(AND(P782="TN",R782="TN"),N782+N(O782),IF(G782&amp;""="1",N(K782)*N782,(N782+N(O782))*N(K782)))</f>
        <v/>
      </c>
      <c r="T782" s="10">
        <f>IF(Q782="","",Q782-S782)</f>
        <v/>
      </c>
    </row>
    <row r="783">
      <c r="A783" s="7">
        <f>CONCATENATE(C783,E783,F783,I783)</f>
        <v/>
      </c>
      <c r="B783" s="7">
        <f>CONCATENATE(C783,E783,I783)</f>
        <v/>
      </c>
      <c r="C783" s="8" t="n">
        <v>900009420</v>
      </c>
      <c r="D783" s="7">
        <f>IFERROR(VLOOKUP(C783,TRAOPE!$G:$H,2,0),"")</f>
        <v/>
      </c>
      <c r="E783" s="8" t="inlineStr">
        <is>
          <t>DW68</t>
        </is>
      </c>
      <c r="F783" s="8" t="inlineStr">
        <is>
          <t>ENEB</t>
        </is>
      </c>
      <c r="G783" s="8">
        <f>IFERROR(VLOOKUP(A783,Flete!$A:$E,5,0),"")</f>
        <v/>
      </c>
      <c r="H783" s="7">
        <f>IFERROR(VLOOKUP(F783,TRAOPE!$AA:$AB,2,0),"")</f>
        <v/>
      </c>
      <c r="I783" s="7" t="n">
        <v>10270913</v>
      </c>
      <c r="J783" s="7">
        <f>IFERROR(VLOOKUP(I783,Materiales!$A:$H,8,0),"")</f>
        <v/>
      </c>
      <c r="K783" s="9">
        <f>IFERROR(VLOOKUP(I783,Materiales!$A:$G,7,0),"")</f>
        <v/>
      </c>
      <c r="L783" s="8" t="inlineStr">
        <is>
          <t>20260126</t>
        </is>
      </c>
      <c r="M783" s="8" t="inlineStr">
        <is>
          <t>99991231</t>
        </is>
      </c>
      <c r="N783" s="10" t="n">
        <v>202.8</v>
      </c>
      <c r="O783" s="10">
        <f>IFERROR(VLOOKUP(A783,Flete!$A:$J,10,0),"")</f>
        <v/>
      </c>
      <c r="P783" s="8" t="inlineStr">
        <is>
          <t>TN</t>
        </is>
      </c>
      <c r="Q783" s="10">
        <f>IFERROR(IFERROR(VLOOKUP(A783,TRAOPE!$A:$U,21,0),VLOOKUP(B783,TRAOPE!$A:$U,21,0)),"")</f>
        <v/>
      </c>
      <c r="R783" s="8">
        <f>IFERROR(IFERROR(VLOOKUP(A783,TRAOPE!$A:$W,23,0),VLOOKUP(B783,TRAOPE!$A:$W,23,0)),"")</f>
        <v/>
      </c>
      <c r="S783" s="10">
        <f>IF(AND(P783="TN",R783="TN"),N783+N(O783),IF(G783&amp;""="1",N(K783)*N783,(N783+N(O783))*N(K783)))</f>
        <v/>
      </c>
      <c r="T783" s="10">
        <f>IF(Q783="","",Q783-S783)</f>
        <v/>
      </c>
    </row>
    <row r="784">
      <c r="A784" s="7">
        <f>CONCATENATE(C784,E784,F784,I784)</f>
        <v/>
      </c>
      <c r="B784" s="7">
        <f>CONCATENATE(C784,E784,I784)</f>
        <v/>
      </c>
      <c r="C784" s="8" t="n">
        <v>900009420</v>
      </c>
      <c r="D784" s="7">
        <f>IFERROR(VLOOKUP(C784,TRAOPE!$G:$H,2,0),"")</f>
        <v/>
      </c>
      <c r="E784" s="8" t="inlineStr">
        <is>
          <t>DW68</t>
        </is>
      </c>
      <c r="F784" s="8" t="inlineStr">
        <is>
          <t>ENL1</t>
        </is>
      </c>
      <c r="G784" s="8">
        <f>IFERROR(VLOOKUP(A784,Flete!$A:$E,5,0),"")</f>
        <v/>
      </c>
      <c r="H784" s="7">
        <f>IFERROR(VLOOKUP(F784,TRAOPE!$AA:$AB,2,0),"")</f>
        <v/>
      </c>
      <c r="I784" s="7" t="n">
        <v>10000439</v>
      </c>
      <c r="J784" s="7">
        <f>IFERROR(VLOOKUP(I784,Materiales!$A:$H,8,0),"")</f>
        <v/>
      </c>
      <c r="K784" s="9">
        <f>IFERROR(VLOOKUP(I784,Materiales!$A:$G,7,0),"")</f>
        <v/>
      </c>
      <c r="L784" s="8" t="inlineStr">
        <is>
          <t>20260126</t>
        </is>
      </c>
      <c r="M784" s="8" t="inlineStr">
        <is>
          <t>99991231</t>
        </is>
      </c>
      <c r="N784" s="10" t="n">
        <v>217.6</v>
      </c>
      <c r="O784" s="10">
        <f>IFERROR(VLOOKUP(A784,Flete!$A:$J,10,0),"")</f>
        <v/>
      </c>
      <c r="P784" s="8" t="inlineStr">
        <is>
          <t>TN</t>
        </is>
      </c>
      <c r="Q784" s="10">
        <f>IFERROR(IFERROR(VLOOKUP(A784,TRAOPE!$A:$U,21,0),VLOOKUP(B784,TRAOPE!$A:$U,21,0)),"")</f>
        <v/>
      </c>
      <c r="R784" s="8">
        <f>IFERROR(IFERROR(VLOOKUP(A784,TRAOPE!$A:$W,23,0),VLOOKUP(B784,TRAOPE!$A:$W,23,0)),"")</f>
        <v/>
      </c>
      <c r="S784" s="10">
        <f>IF(AND(P784="TN",R784="TN"),N784+N(O784),IF(G784&amp;""="1",N(K784)*N784,(N784+N(O784))*N(K784)))</f>
        <v/>
      </c>
      <c r="T784" s="10">
        <f>IF(Q784="","",Q784-S784)</f>
        <v/>
      </c>
    </row>
    <row r="785">
      <c r="A785" s="7">
        <f>CONCATENATE(C785,E785,F785,I785)</f>
        <v/>
      </c>
      <c r="B785" s="7">
        <f>CONCATENATE(C785,E785,I785)</f>
        <v/>
      </c>
      <c r="C785" s="8" t="n">
        <v>900009420</v>
      </c>
      <c r="D785" s="7">
        <f>IFERROR(VLOOKUP(C785,TRAOPE!$G:$H,2,0),"")</f>
        <v/>
      </c>
      <c r="E785" s="8" t="inlineStr">
        <is>
          <t>DW68</t>
        </is>
      </c>
      <c r="F785" s="8" t="inlineStr">
        <is>
          <t>ENL1</t>
        </is>
      </c>
      <c r="G785" s="8">
        <f>IFERROR(VLOOKUP(A785,Flete!$A:$E,5,0),"")</f>
        <v/>
      </c>
      <c r="H785" s="7">
        <f>IFERROR(VLOOKUP(F785,TRAOPE!$AA:$AB,2,0),"")</f>
        <v/>
      </c>
      <c r="I785" s="7" t="n">
        <v>10209065</v>
      </c>
      <c r="J785" s="7">
        <f>IFERROR(VLOOKUP(I785,Materiales!$A:$H,8,0),"")</f>
        <v/>
      </c>
      <c r="K785" s="9">
        <f>IFERROR(VLOOKUP(I785,Materiales!$A:$G,7,0),"")</f>
        <v/>
      </c>
      <c r="L785" s="8" t="inlineStr">
        <is>
          <t>20260126</t>
        </is>
      </c>
      <c r="M785" s="8" t="inlineStr">
        <is>
          <t>99991231</t>
        </is>
      </c>
      <c r="N785" s="10" t="n">
        <v>145</v>
      </c>
      <c r="O785" s="10">
        <f>IFERROR(VLOOKUP(A785,Flete!$A:$J,10,0),"")</f>
        <v/>
      </c>
      <c r="P785" s="8" t="inlineStr">
        <is>
          <t>TN</t>
        </is>
      </c>
      <c r="Q785" s="10">
        <f>IFERROR(IFERROR(VLOOKUP(A785,TRAOPE!$A:$U,21,0),VLOOKUP(B785,TRAOPE!$A:$U,21,0)),"")</f>
        <v/>
      </c>
      <c r="R785" s="8">
        <f>IFERROR(IFERROR(VLOOKUP(A785,TRAOPE!$A:$W,23,0),VLOOKUP(B785,TRAOPE!$A:$W,23,0)),"")</f>
        <v/>
      </c>
      <c r="S785" s="10">
        <f>IF(AND(P785="TN",R785="TN"),N785+N(O785),IF(G785&amp;""="1",N(K785)*N785,(N785+N(O785))*N(K785)))</f>
        <v/>
      </c>
      <c r="T785" s="10">
        <f>IF(Q785="","",Q785-S785)</f>
        <v/>
      </c>
    </row>
    <row r="786">
      <c r="A786" s="7">
        <f>CONCATENATE(C786,E786,F786,I786)</f>
        <v/>
      </c>
      <c r="B786" s="7">
        <f>CONCATENATE(C786,E786,I786)</f>
        <v/>
      </c>
      <c r="C786" s="8" t="n">
        <v>900009420</v>
      </c>
      <c r="D786" s="7">
        <f>IFERROR(VLOOKUP(C786,TRAOPE!$G:$H,2,0),"")</f>
        <v/>
      </c>
      <c r="E786" s="8" t="inlineStr">
        <is>
          <t>DW68</t>
        </is>
      </c>
      <c r="F786" s="8" t="inlineStr">
        <is>
          <t>ENL1</t>
        </is>
      </c>
      <c r="G786" s="8">
        <f>IFERROR(VLOOKUP(A786,Flete!$A:$E,5,0),"")</f>
        <v/>
      </c>
      <c r="H786" s="7">
        <f>IFERROR(VLOOKUP(F786,TRAOPE!$AA:$AB,2,0),"")</f>
        <v/>
      </c>
      <c r="I786" s="7" t="n">
        <v>10251385</v>
      </c>
      <c r="J786" s="7">
        <f>IFERROR(VLOOKUP(I786,Materiales!$A:$H,8,0),"")</f>
        <v/>
      </c>
      <c r="K786" s="9">
        <f>IFERROR(VLOOKUP(I786,Materiales!$A:$G,7,0),"")</f>
        <v/>
      </c>
      <c r="L786" s="8" t="inlineStr">
        <is>
          <t>20260126</t>
        </is>
      </c>
      <c r="M786" s="8" t="inlineStr">
        <is>
          <t>99991231</t>
        </is>
      </c>
      <c r="N786" s="10" t="n">
        <v>220</v>
      </c>
      <c r="O786" s="10">
        <f>IFERROR(VLOOKUP(A786,Flete!$A:$J,10,0),"")</f>
        <v/>
      </c>
      <c r="P786" s="8" t="inlineStr">
        <is>
          <t>TN</t>
        </is>
      </c>
      <c r="Q786" s="10">
        <f>IFERROR(IFERROR(VLOOKUP(A786,TRAOPE!$A:$U,21,0),VLOOKUP(B786,TRAOPE!$A:$U,21,0)),"")</f>
        <v/>
      </c>
      <c r="R786" s="8">
        <f>IFERROR(IFERROR(VLOOKUP(A786,TRAOPE!$A:$W,23,0),VLOOKUP(B786,TRAOPE!$A:$W,23,0)),"")</f>
        <v/>
      </c>
      <c r="S786" s="10">
        <f>IF(AND(P786="TN",R786="TN"),N786+N(O786),IF(G786&amp;""="1",N(K786)*N786,(N786+N(O786))*N(K786)))</f>
        <v/>
      </c>
      <c r="T786" s="10">
        <f>IF(Q786="","",Q786-S786)</f>
        <v/>
      </c>
    </row>
    <row r="787">
      <c r="A787" s="7">
        <f>CONCATENATE(C787,E787,F787,I787)</f>
        <v/>
      </c>
      <c r="B787" s="7">
        <f>CONCATENATE(C787,E787,I787)</f>
        <v/>
      </c>
      <c r="C787" s="8" t="n">
        <v>900009420</v>
      </c>
      <c r="D787" s="7">
        <f>IFERROR(VLOOKUP(C787,TRAOPE!$G:$H,2,0),"")</f>
        <v/>
      </c>
      <c r="E787" s="8" t="inlineStr">
        <is>
          <t>DW68</t>
        </is>
      </c>
      <c r="F787" s="8" t="inlineStr">
        <is>
          <t>ENL1</t>
        </is>
      </c>
      <c r="G787" s="8">
        <f>IFERROR(VLOOKUP(A787,Flete!$A:$E,5,0),"")</f>
        <v/>
      </c>
      <c r="H787" s="7">
        <f>IFERROR(VLOOKUP(F787,TRAOPE!$AA:$AB,2,0),"")</f>
        <v/>
      </c>
      <c r="I787" s="7" t="n">
        <v>10270911</v>
      </c>
      <c r="J787" s="7">
        <f>IFERROR(VLOOKUP(I787,Materiales!$A:$H,8,0),"")</f>
        <v/>
      </c>
      <c r="K787" s="9">
        <f>IFERROR(VLOOKUP(I787,Materiales!$A:$G,7,0),"")</f>
        <v/>
      </c>
      <c r="L787" s="8" t="inlineStr">
        <is>
          <t>20260201</t>
        </is>
      </c>
      <c r="M787" s="8" t="inlineStr">
        <is>
          <t>20260705</t>
        </is>
      </c>
      <c r="N787" s="10" t="n">
        <v>197.74</v>
      </c>
      <c r="O787" s="10">
        <f>IFERROR(VLOOKUP(A787,Flete!$A:$J,10,0),"")</f>
        <v/>
      </c>
      <c r="P787" s="8" t="inlineStr">
        <is>
          <t>TN</t>
        </is>
      </c>
      <c r="Q787" s="10">
        <f>IFERROR(IFERROR(VLOOKUP(A787,TRAOPE!$A:$U,21,0),VLOOKUP(B787,TRAOPE!$A:$U,21,0)),"")</f>
        <v/>
      </c>
      <c r="R787" s="8">
        <f>IFERROR(IFERROR(VLOOKUP(A787,TRAOPE!$A:$W,23,0),VLOOKUP(B787,TRAOPE!$A:$W,23,0)),"")</f>
        <v/>
      </c>
      <c r="S787" s="10">
        <f>IF(AND(P787="TN",R787="TN"),N787+N(O787),IF(G787&amp;""="1",N(K787)*N787,(N787+N(O787))*N(K787)))</f>
        <v/>
      </c>
      <c r="T787" s="10">
        <f>IF(Q787="","",Q787-S787)</f>
        <v/>
      </c>
    </row>
    <row r="788">
      <c r="A788" s="7">
        <f>CONCATENATE(C788,E788,F788,I788)</f>
        <v/>
      </c>
      <c r="B788" s="7">
        <f>CONCATENATE(C788,E788,I788)</f>
        <v/>
      </c>
      <c r="C788" s="8" t="n">
        <v>900009420</v>
      </c>
      <c r="D788" s="7">
        <f>IFERROR(VLOOKUP(C788,TRAOPE!$G:$H,2,0),"")</f>
        <v/>
      </c>
      <c r="E788" s="8" t="inlineStr">
        <is>
          <t>DW68</t>
        </is>
      </c>
      <c r="F788" s="8" t="inlineStr">
        <is>
          <t>ENL1</t>
        </is>
      </c>
      <c r="G788" s="8">
        <f>IFERROR(VLOOKUP(A788,Flete!$A:$E,5,0),"")</f>
        <v/>
      </c>
      <c r="H788" s="7">
        <f>IFERROR(VLOOKUP(F788,TRAOPE!$AA:$AB,2,0),"")</f>
        <v/>
      </c>
      <c r="I788" s="7" t="n">
        <v>10270912</v>
      </c>
      <c r="J788" s="7">
        <f>IFERROR(VLOOKUP(I788,Materiales!$A:$H,8,0),"")</f>
        <v/>
      </c>
      <c r="K788" s="9">
        <f>IFERROR(VLOOKUP(I788,Materiales!$A:$G,7,0),"")</f>
        <v/>
      </c>
      <c r="L788" s="8" t="inlineStr">
        <is>
          <t>20260126</t>
        </is>
      </c>
      <c r="M788" s="8" t="inlineStr">
        <is>
          <t>99991231</t>
        </is>
      </c>
      <c r="N788" s="10" t="n">
        <v>179.4</v>
      </c>
      <c r="O788" s="10">
        <f>IFERROR(VLOOKUP(A788,Flete!$A:$J,10,0),"")</f>
        <v/>
      </c>
      <c r="P788" s="8" t="inlineStr">
        <is>
          <t>TN</t>
        </is>
      </c>
      <c r="Q788" s="10">
        <f>IFERROR(IFERROR(VLOOKUP(A788,TRAOPE!$A:$U,21,0),VLOOKUP(B788,TRAOPE!$A:$U,21,0)),"")</f>
        <v/>
      </c>
      <c r="R788" s="8">
        <f>IFERROR(IFERROR(VLOOKUP(A788,TRAOPE!$A:$W,23,0),VLOOKUP(B788,TRAOPE!$A:$W,23,0)),"")</f>
        <v/>
      </c>
      <c r="S788" s="10">
        <f>IF(AND(P788="TN",R788="TN"),N788+N(O788),IF(G788&amp;""="1",N(K788)*N788,(N788+N(O788))*N(K788)))</f>
        <v/>
      </c>
      <c r="T788" s="10">
        <f>IF(Q788="","",Q788-S788)</f>
        <v/>
      </c>
    </row>
    <row r="789">
      <c r="A789" s="7">
        <f>CONCATENATE(C789,E789,F789,I789)</f>
        <v/>
      </c>
      <c r="B789" s="7">
        <f>CONCATENATE(C789,E789,I789)</f>
        <v/>
      </c>
      <c r="C789" s="8" t="n">
        <v>900009420</v>
      </c>
      <c r="D789" s="7">
        <f>IFERROR(VLOOKUP(C789,TRAOPE!$G:$H,2,0),"")</f>
        <v/>
      </c>
      <c r="E789" s="8" t="inlineStr">
        <is>
          <t>DW68</t>
        </is>
      </c>
      <c r="F789" s="8" t="inlineStr">
        <is>
          <t>ENL1</t>
        </is>
      </c>
      <c r="G789" s="8">
        <f>IFERROR(VLOOKUP(A789,Flete!$A:$E,5,0),"")</f>
        <v/>
      </c>
      <c r="H789" s="7">
        <f>IFERROR(VLOOKUP(F789,TRAOPE!$AA:$AB,2,0),"")</f>
        <v/>
      </c>
      <c r="I789" s="7" t="n">
        <v>10270913</v>
      </c>
      <c r="J789" s="7">
        <f>IFERROR(VLOOKUP(I789,Materiales!$A:$H,8,0),"")</f>
        <v/>
      </c>
      <c r="K789" s="9">
        <f>IFERROR(VLOOKUP(I789,Materiales!$A:$G,7,0),"")</f>
        <v/>
      </c>
      <c r="L789" s="8" t="inlineStr">
        <is>
          <t>20260126</t>
        </is>
      </c>
      <c r="M789" s="8" t="inlineStr">
        <is>
          <t>99991231</t>
        </is>
      </c>
      <c r="N789" s="10" t="n">
        <v>202.8</v>
      </c>
      <c r="O789" s="10">
        <f>IFERROR(VLOOKUP(A789,Flete!$A:$J,10,0),"")</f>
        <v/>
      </c>
      <c r="P789" s="8" t="inlineStr">
        <is>
          <t>TN</t>
        </is>
      </c>
      <c r="Q789" s="10">
        <f>IFERROR(IFERROR(VLOOKUP(A789,TRAOPE!$A:$U,21,0),VLOOKUP(B789,TRAOPE!$A:$U,21,0)),"")</f>
        <v/>
      </c>
      <c r="R789" s="8">
        <f>IFERROR(IFERROR(VLOOKUP(A789,TRAOPE!$A:$W,23,0),VLOOKUP(B789,TRAOPE!$A:$W,23,0)),"")</f>
        <v/>
      </c>
      <c r="S789" s="10">
        <f>IF(AND(P789="TN",R789="TN"),N789+N(O789),IF(G789&amp;""="1",N(K789)*N789,(N789+N(O789))*N(K789)))</f>
        <v/>
      </c>
      <c r="T789" s="10">
        <f>IF(Q789="","",Q789-S789)</f>
        <v/>
      </c>
    </row>
    <row r="790">
      <c r="A790" s="7">
        <f>CONCATENATE(C790,E790,F790,I790)</f>
        <v/>
      </c>
      <c r="B790" s="7">
        <f>CONCATENATE(C790,E790,I790)</f>
        <v/>
      </c>
      <c r="C790" s="8" t="n">
        <v>900009420</v>
      </c>
      <c r="D790" s="7">
        <f>IFERROR(VLOOKUP(C790,TRAOPE!$G:$H,2,0),"")</f>
        <v/>
      </c>
      <c r="E790" s="8" t="inlineStr">
        <is>
          <t>DW68</t>
        </is>
      </c>
      <c r="F790" s="8" t="inlineStr">
        <is>
          <t>ENV8</t>
        </is>
      </c>
      <c r="G790" s="8">
        <f>IFERROR(VLOOKUP(A790,Flete!$A:$E,5,0),"")</f>
        <v/>
      </c>
      <c r="H790" s="7">
        <f>IFERROR(VLOOKUP(F790,TRAOPE!$AA:$AB,2,0),"")</f>
        <v/>
      </c>
      <c r="I790" s="7" t="n">
        <v>10000439</v>
      </c>
      <c r="J790" s="7">
        <f>IFERROR(VLOOKUP(I790,Materiales!$A:$H,8,0),"")</f>
        <v/>
      </c>
      <c r="K790" s="9">
        <f>IFERROR(VLOOKUP(I790,Materiales!$A:$G,7,0),"")</f>
        <v/>
      </c>
      <c r="L790" s="8" t="inlineStr">
        <is>
          <t>20260126</t>
        </is>
      </c>
      <c r="M790" s="8" t="inlineStr">
        <is>
          <t>99991231</t>
        </is>
      </c>
      <c r="N790" s="10" t="n">
        <v>217.6</v>
      </c>
      <c r="O790" s="10">
        <f>IFERROR(VLOOKUP(A790,Flete!$A:$J,10,0),"")</f>
        <v/>
      </c>
      <c r="P790" s="8" t="inlineStr">
        <is>
          <t>TN</t>
        </is>
      </c>
      <c r="Q790" s="10">
        <f>IFERROR(IFERROR(VLOOKUP(A790,TRAOPE!$A:$U,21,0),VLOOKUP(B790,TRAOPE!$A:$U,21,0)),"")</f>
        <v/>
      </c>
      <c r="R790" s="8">
        <f>IFERROR(IFERROR(VLOOKUP(A790,TRAOPE!$A:$W,23,0),VLOOKUP(B790,TRAOPE!$A:$W,23,0)),"")</f>
        <v/>
      </c>
      <c r="S790" s="10">
        <f>IF(AND(P790="TN",R790="TN"),N790+N(O790),IF(G790&amp;""="1",N(K790)*N790,(N790+N(O790))*N(K790)))</f>
        <v/>
      </c>
      <c r="T790" s="10">
        <f>IF(Q790="","",Q790-S790)</f>
        <v/>
      </c>
    </row>
    <row r="791">
      <c r="A791" s="7">
        <f>CONCATENATE(C791,E791,F791,I791)</f>
        <v/>
      </c>
      <c r="B791" s="7">
        <f>CONCATENATE(C791,E791,I791)</f>
        <v/>
      </c>
      <c r="C791" s="8" t="n">
        <v>900009420</v>
      </c>
      <c r="D791" s="7">
        <f>IFERROR(VLOOKUP(C791,TRAOPE!$G:$H,2,0),"")</f>
        <v/>
      </c>
      <c r="E791" s="8" t="inlineStr">
        <is>
          <t>DW68</t>
        </is>
      </c>
      <c r="F791" s="8" t="inlineStr">
        <is>
          <t>ENV8</t>
        </is>
      </c>
      <c r="G791" s="8">
        <f>IFERROR(VLOOKUP(A791,Flete!$A:$E,5,0),"")</f>
        <v/>
      </c>
      <c r="H791" s="7">
        <f>IFERROR(VLOOKUP(F791,TRAOPE!$AA:$AB,2,0),"")</f>
        <v/>
      </c>
      <c r="I791" s="7" t="n">
        <v>10209065</v>
      </c>
      <c r="J791" s="7">
        <f>IFERROR(VLOOKUP(I791,Materiales!$A:$H,8,0),"")</f>
        <v/>
      </c>
      <c r="K791" s="9">
        <f>IFERROR(VLOOKUP(I791,Materiales!$A:$G,7,0),"")</f>
        <v/>
      </c>
      <c r="L791" s="8" t="inlineStr">
        <is>
          <t>20260126</t>
        </is>
      </c>
      <c r="M791" s="8" t="inlineStr">
        <is>
          <t>99991231</t>
        </is>
      </c>
      <c r="N791" s="10" t="n">
        <v>145</v>
      </c>
      <c r="O791" s="10">
        <f>IFERROR(VLOOKUP(A791,Flete!$A:$J,10,0),"")</f>
        <v/>
      </c>
      <c r="P791" s="8" t="inlineStr">
        <is>
          <t>TN</t>
        </is>
      </c>
      <c r="Q791" s="10">
        <f>IFERROR(IFERROR(VLOOKUP(A791,TRAOPE!$A:$U,21,0),VLOOKUP(B791,TRAOPE!$A:$U,21,0)),"")</f>
        <v/>
      </c>
      <c r="R791" s="8">
        <f>IFERROR(IFERROR(VLOOKUP(A791,TRAOPE!$A:$W,23,0),VLOOKUP(B791,TRAOPE!$A:$W,23,0)),"")</f>
        <v/>
      </c>
      <c r="S791" s="10">
        <f>IF(AND(P791="TN",R791="TN"),N791+N(O791),IF(G791&amp;""="1",N(K791)*N791,(N791+N(O791))*N(K791)))</f>
        <v/>
      </c>
      <c r="T791" s="10">
        <f>IF(Q791="","",Q791-S791)</f>
        <v/>
      </c>
    </row>
    <row r="792">
      <c r="A792" s="7">
        <f>CONCATENATE(C792,E792,F792,I792)</f>
        <v/>
      </c>
      <c r="B792" s="7">
        <f>CONCATENATE(C792,E792,I792)</f>
        <v/>
      </c>
      <c r="C792" s="8" t="n">
        <v>900009420</v>
      </c>
      <c r="D792" s="7">
        <f>IFERROR(VLOOKUP(C792,TRAOPE!$G:$H,2,0),"")</f>
        <v/>
      </c>
      <c r="E792" s="8" t="inlineStr">
        <is>
          <t>DW68</t>
        </is>
      </c>
      <c r="F792" s="8" t="inlineStr">
        <is>
          <t>ENV8</t>
        </is>
      </c>
      <c r="G792" s="8">
        <f>IFERROR(VLOOKUP(A792,Flete!$A:$E,5,0),"")</f>
        <v/>
      </c>
      <c r="H792" s="7">
        <f>IFERROR(VLOOKUP(F792,TRAOPE!$AA:$AB,2,0),"")</f>
        <v/>
      </c>
      <c r="I792" s="7" t="n">
        <v>10251385</v>
      </c>
      <c r="J792" s="7">
        <f>IFERROR(VLOOKUP(I792,Materiales!$A:$H,8,0),"")</f>
        <v/>
      </c>
      <c r="K792" s="9">
        <f>IFERROR(VLOOKUP(I792,Materiales!$A:$G,7,0),"")</f>
        <v/>
      </c>
      <c r="L792" s="8" t="inlineStr">
        <is>
          <t>20260126</t>
        </is>
      </c>
      <c r="M792" s="8" t="inlineStr">
        <is>
          <t>99991231</t>
        </is>
      </c>
      <c r="N792" s="10" t="n">
        <v>220</v>
      </c>
      <c r="O792" s="10">
        <f>IFERROR(VLOOKUP(A792,Flete!$A:$J,10,0),"")</f>
        <v/>
      </c>
      <c r="P792" s="8" t="inlineStr">
        <is>
          <t>TN</t>
        </is>
      </c>
      <c r="Q792" s="10">
        <f>IFERROR(IFERROR(VLOOKUP(A792,TRAOPE!$A:$U,21,0),VLOOKUP(B792,TRAOPE!$A:$U,21,0)),"")</f>
        <v/>
      </c>
      <c r="R792" s="8">
        <f>IFERROR(IFERROR(VLOOKUP(A792,TRAOPE!$A:$W,23,0),VLOOKUP(B792,TRAOPE!$A:$W,23,0)),"")</f>
        <v/>
      </c>
      <c r="S792" s="10">
        <f>IF(AND(P792="TN",R792="TN"),N792+N(O792),IF(G792&amp;""="1",N(K792)*N792,(N792+N(O792))*N(K792)))</f>
        <v/>
      </c>
      <c r="T792" s="10">
        <f>IF(Q792="","",Q792-S792)</f>
        <v/>
      </c>
    </row>
    <row r="793">
      <c r="A793" s="7">
        <f>CONCATENATE(C793,E793,F793,I793)</f>
        <v/>
      </c>
      <c r="B793" s="7">
        <f>CONCATENATE(C793,E793,I793)</f>
        <v/>
      </c>
      <c r="C793" s="8" t="n">
        <v>900009420</v>
      </c>
      <c r="D793" s="7">
        <f>IFERROR(VLOOKUP(C793,TRAOPE!$G:$H,2,0),"")</f>
        <v/>
      </c>
      <c r="E793" s="8" t="inlineStr">
        <is>
          <t>DW68</t>
        </is>
      </c>
      <c r="F793" s="8" t="inlineStr">
        <is>
          <t>ENV8</t>
        </is>
      </c>
      <c r="G793" s="8">
        <f>IFERROR(VLOOKUP(A793,Flete!$A:$E,5,0),"")</f>
        <v/>
      </c>
      <c r="H793" s="7">
        <f>IFERROR(VLOOKUP(F793,TRAOPE!$AA:$AB,2,0),"")</f>
        <v/>
      </c>
      <c r="I793" s="7" t="n">
        <v>10270911</v>
      </c>
      <c r="J793" s="7">
        <f>IFERROR(VLOOKUP(I793,Materiales!$A:$H,8,0),"")</f>
        <v/>
      </c>
      <c r="K793" s="9">
        <f>IFERROR(VLOOKUP(I793,Materiales!$A:$G,7,0),"")</f>
        <v/>
      </c>
      <c r="L793" s="8" t="inlineStr">
        <is>
          <t>20260201</t>
        </is>
      </c>
      <c r="M793" s="8" t="inlineStr">
        <is>
          <t>20260705</t>
        </is>
      </c>
      <c r="N793" s="10" t="n">
        <v>197.74</v>
      </c>
      <c r="O793" s="10">
        <f>IFERROR(VLOOKUP(A793,Flete!$A:$J,10,0),"")</f>
        <v/>
      </c>
      <c r="P793" s="8" t="inlineStr">
        <is>
          <t>TN</t>
        </is>
      </c>
      <c r="Q793" s="10">
        <f>IFERROR(IFERROR(VLOOKUP(A793,TRAOPE!$A:$U,21,0),VLOOKUP(B793,TRAOPE!$A:$U,21,0)),"")</f>
        <v/>
      </c>
      <c r="R793" s="8">
        <f>IFERROR(IFERROR(VLOOKUP(A793,TRAOPE!$A:$W,23,0),VLOOKUP(B793,TRAOPE!$A:$W,23,0)),"")</f>
        <v/>
      </c>
      <c r="S793" s="10">
        <f>IF(AND(P793="TN",R793="TN"),N793+N(O793),IF(G793&amp;""="1",N(K793)*N793,(N793+N(O793))*N(K793)))</f>
        <v/>
      </c>
      <c r="T793" s="10">
        <f>IF(Q793="","",Q793-S793)</f>
        <v/>
      </c>
    </row>
    <row r="794">
      <c r="A794" s="7">
        <f>CONCATENATE(C794,E794,F794,I794)</f>
        <v/>
      </c>
      <c r="B794" s="7">
        <f>CONCATENATE(C794,E794,I794)</f>
        <v/>
      </c>
      <c r="C794" s="8" t="n">
        <v>900009420</v>
      </c>
      <c r="D794" s="7">
        <f>IFERROR(VLOOKUP(C794,TRAOPE!$G:$H,2,0),"")</f>
        <v/>
      </c>
      <c r="E794" s="8" t="inlineStr">
        <is>
          <t>DW68</t>
        </is>
      </c>
      <c r="F794" s="8" t="inlineStr">
        <is>
          <t>ENV8</t>
        </is>
      </c>
      <c r="G794" s="8">
        <f>IFERROR(VLOOKUP(A794,Flete!$A:$E,5,0),"")</f>
        <v/>
      </c>
      <c r="H794" s="7">
        <f>IFERROR(VLOOKUP(F794,TRAOPE!$AA:$AB,2,0),"")</f>
        <v/>
      </c>
      <c r="I794" s="7" t="n">
        <v>10270912</v>
      </c>
      <c r="J794" s="7">
        <f>IFERROR(VLOOKUP(I794,Materiales!$A:$H,8,0),"")</f>
        <v/>
      </c>
      <c r="K794" s="9">
        <f>IFERROR(VLOOKUP(I794,Materiales!$A:$G,7,0),"")</f>
        <v/>
      </c>
      <c r="L794" s="8" t="inlineStr">
        <is>
          <t>20260126</t>
        </is>
      </c>
      <c r="M794" s="8" t="inlineStr">
        <is>
          <t>99991231</t>
        </is>
      </c>
      <c r="N794" s="10" t="n">
        <v>179.4</v>
      </c>
      <c r="O794" s="10">
        <f>IFERROR(VLOOKUP(A794,Flete!$A:$J,10,0),"")</f>
        <v/>
      </c>
      <c r="P794" s="8" t="inlineStr">
        <is>
          <t>TN</t>
        </is>
      </c>
      <c r="Q794" s="10">
        <f>IFERROR(IFERROR(VLOOKUP(A794,TRAOPE!$A:$U,21,0),VLOOKUP(B794,TRAOPE!$A:$U,21,0)),"")</f>
        <v/>
      </c>
      <c r="R794" s="8">
        <f>IFERROR(IFERROR(VLOOKUP(A794,TRAOPE!$A:$W,23,0),VLOOKUP(B794,TRAOPE!$A:$W,23,0)),"")</f>
        <v/>
      </c>
      <c r="S794" s="10">
        <f>IF(AND(P794="TN",R794="TN"),N794+N(O794),IF(G794&amp;""="1",N(K794)*N794,(N794+N(O794))*N(K794)))</f>
        <v/>
      </c>
      <c r="T794" s="10">
        <f>IF(Q794="","",Q794-S794)</f>
        <v/>
      </c>
    </row>
    <row r="795">
      <c r="A795" s="7">
        <f>CONCATENATE(C795,E795,F795,I795)</f>
        <v/>
      </c>
      <c r="B795" s="7">
        <f>CONCATENATE(C795,E795,I795)</f>
        <v/>
      </c>
      <c r="C795" s="8" t="n">
        <v>900009420</v>
      </c>
      <c r="D795" s="7">
        <f>IFERROR(VLOOKUP(C795,TRAOPE!$G:$H,2,0),"")</f>
        <v/>
      </c>
      <c r="E795" s="8" t="inlineStr">
        <is>
          <t>DW68</t>
        </is>
      </c>
      <c r="F795" s="8" t="inlineStr">
        <is>
          <t>ENV8</t>
        </is>
      </c>
      <c r="G795" s="8">
        <f>IFERROR(VLOOKUP(A795,Flete!$A:$E,5,0),"")</f>
        <v/>
      </c>
      <c r="H795" s="7">
        <f>IFERROR(VLOOKUP(F795,TRAOPE!$AA:$AB,2,0),"")</f>
        <v/>
      </c>
      <c r="I795" s="7" t="n">
        <v>10270913</v>
      </c>
      <c r="J795" s="7">
        <f>IFERROR(VLOOKUP(I795,Materiales!$A:$H,8,0),"")</f>
        <v/>
      </c>
      <c r="K795" s="9">
        <f>IFERROR(VLOOKUP(I795,Materiales!$A:$G,7,0),"")</f>
        <v/>
      </c>
      <c r="L795" s="8" t="inlineStr">
        <is>
          <t>20260126</t>
        </is>
      </c>
      <c r="M795" s="8" t="inlineStr">
        <is>
          <t>99991231</t>
        </is>
      </c>
      <c r="N795" s="10" t="n">
        <v>202.8</v>
      </c>
      <c r="O795" s="10">
        <f>IFERROR(VLOOKUP(A795,Flete!$A:$J,10,0),"")</f>
        <v/>
      </c>
      <c r="P795" s="8" t="inlineStr">
        <is>
          <t>TN</t>
        </is>
      </c>
      <c r="Q795" s="10">
        <f>IFERROR(IFERROR(VLOOKUP(A795,TRAOPE!$A:$U,21,0),VLOOKUP(B795,TRAOPE!$A:$U,21,0)),"")</f>
        <v/>
      </c>
      <c r="R795" s="8">
        <f>IFERROR(IFERROR(VLOOKUP(A795,TRAOPE!$A:$W,23,0),VLOOKUP(B795,TRAOPE!$A:$W,23,0)),"")</f>
        <v/>
      </c>
      <c r="S795" s="10">
        <f>IF(AND(P795="TN",R795="TN"),N795+N(O795),IF(G795&amp;""="1",N(K795)*N795,(N795+N(O795))*N(K795)))</f>
        <v/>
      </c>
      <c r="T795" s="10">
        <f>IF(Q795="","",Q795-S795)</f>
        <v/>
      </c>
    </row>
    <row r="796">
      <c r="A796" s="7">
        <f>CONCATENATE(C796,E796,F796,I796)</f>
        <v/>
      </c>
      <c r="B796" s="7">
        <f>CONCATENATE(C796,E796,I796)</f>
        <v/>
      </c>
      <c r="C796" s="8" t="n">
        <v>900009420</v>
      </c>
      <c r="D796" s="7">
        <f>IFERROR(VLOOKUP(C796,TRAOPE!$G:$H,2,0),"")</f>
        <v/>
      </c>
      <c r="E796" s="8" t="inlineStr">
        <is>
          <t>DW68</t>
        </is>
      </c>
      <c r="F796" s="8" t="inlineStr">
        <is>
          <t>ENV9</t>
        </is>
      </c>
      <c r="G796" s="8">
        <f>IFERROR(VLOOKUP(A796,Flete!$A:$E,5,0),"")</f>
        <v/>
      </c>
      <c r="H796" s="7">
        <f>IFERROR(VLOOKUP(F796,TRAOPE!$AA:$AB,2,0),"")</f>
        <v/>
      </c>
      <c r="I796" s="7" t="n">
        <v>10000439</v>
      </c>
      <c r="J796" s="7">
        <f>IFERROR(VLOOKUP(I796,Materiales!$A:$H,8,0),"")</f>
        <v/>
      </c>
      <c r="K796" s="9">
        <f>IFERROR(VLOOKUP(I796,Materiales!$A:$G,7,0),"")</f>
        <v/>
      </c>
      <c r="L796" s="8" t="inlineStr">
        <is>
          <t>20260126</t>
        </is>
      </c>
      <c r="M796" s="8" t="inlineStr">
        <is>
          <t>99991231</t>
        </is>
      </c>
      <c r="N796" s="10" t="n">
        <v>217.6</v>
      </c>
      <c r="O796" s="10">
        <f>IFERROR(VLOOKUP(A796,Flete!$A:$J,10,0),"")</f>
        <v/>
      </c>
      <c r="P796" s="8" t="inlineStr">
        <is>
          <t>TN</t>
        </is>
      </c>
      <c r="Q796" s="10">
        <f>IFERROR(IFERROR(VLOOKUP(A796,TRAOPE!$A:$U,21,0),VLOOKUP(B796,TRAOPE!$A:$U,21,0)),"")</f>
        <v/>
      </c>
      <c r="R796" s="8">
        <f>IFERROR(IFERROR(VLOOKUP(A796,TRAOPE!$A:$W,23,0),VLOOKUP(B796,TRAOPE!$A:$W,23,0)),"")</f>
        <v/>
      </c>
      <c r="S796" s="10">
        <f>IF(AND(P796="TN",R796="TN"),N796+N(O796),IF(G796&amp;""="1",N(K796)*N796,(N796+N(O796))*N(K796)))</f>
        <v/>
      </c>
      <c r="T796" s="10">
        <f>IF(Q796="","",Q796-S796)</f>
        <v/>
      </c>
    </row>
    <row r="797">
      <c r="A797" s="7">
        <f>CONCATENATE(C797,E797,F797,I797)</f>
        <v/>
      </c>
      <c r="B797" s="7">
        <f>CONCATENATE(C797,E797,I797)</f>
        <v/>
      </c>
      <c r="C797" s="8" t="n">
        <v>900009420</v>
      </c>
      <c r="D797" s="7">
        <f>IFERROR(VLOOKUP(C797,TRAOPE!$G:$H,2,0),"")</f>
        <v/>
      </c>
      <c r="E797" s="8" t="inlineStr">
        <is>
          <t>DW68</t>
        </is>
      </c>
      <c r="F797" s="8" t="inlineStr">
        <is>
          <t>ENV9</t>
        </is>
      </c>
      <c r="G797" s="8">
        <f>IFERROR(VLOOKUP(A797,Flete!$A:$E,5,0),"")</f>
        <v/>
      </c>
      <c r="H797" s="7">
        <f>IFERROR(VLOOKUP(F797,TRAOPE!$AA:$AB,2,0),"")</f>
        <v/>
      </c>
      <c r="I797" s="7" t="n">
        <v>10209065</v>
      </c>
      <c r="J797" s="7">
        <f>IFERROR(VLOOKUP(I797,Materiales!$A:$H,8,0),"")</f>
        <v/>
      </c>
      <c r="K797" s="9">
        <f>IFERROR(VLOOKUP(I797,Materiales!$A:$G,7,0),"")</f>
        <v/>
      </c>
      <c r="L797" s="8" t="inlineStr">
        <is>
          <t>20260126</t>
        </is>
      </c>
      <c r="M797" s="8" t="inlineStr">
        <is>
          <t>99991231</t>
        </is>
      </c>
      <c r="N797" s="10" t="n">
        <v>145</v>
      </c>
      <c r="O797" s="10">
        <f>IFERROR(VLOOKUP(A797,Flete!$A:$J,10,0),"")</f>
        <v/>
      </c>
      <c r="P797" s="8" t="inlineStr">
        <is>
          <t>TN</t>
        </is>
      </c>
      <c r="Q797" s="10">
        <f>IFERROR(IFERROR(VLOOKUP(A797,TRAOPE!$A:$U,21,0),VLOOKUP(B797,TRAOPE!$A:$U,21,0)),"")</f>
        <v/>
      </c>
      <c r="R797" s="8">
        <f>IFERROR(IFERROR(VLOOKUP(A797,TRAOPE!$A:$W,23,0),VLOOKUP(B797,TRAOPE!$A:$W,23,0)),"")</f>
        <v/>
      </c>
      <c r="S797" s="10">
        <f>IF(AND(P797="TN",R797="TN"),N797+N(O797),IF(G797&amp;""="1",N(K797)*N797,(N797+N(O797))*N(K797)))</f>
        <v/>
      </c>
      <c r="T797" s="10">
        <f>IF(Q797="","",Q797-S797)</f>
        <v/>
      </c>
    </row>
    <row r="798">
      <c r="A798" s="7">
        <f>CONCATENATE(C798,E798,F798,I798)</f>
        <v/>
      </c>
      <c r="B798" s="7">
        <f>CONCATENATE(C798,E798,I798)</f>
        <v/>
      </c>
      <c r="C798" s="8" t="n">
        <v>900009420</v>
      </c>
      <c r="D798" s="7">
        <f>IFERROR(VLOOKUP(C798,TRAOPE!$G:$H,2,0),"")</f>
        <v/>
      </c>
      <c r="E798" s="8" t="inlineStr">
        <is>
          <t>DW68</t>
        </is>
      </c>
      <c r="F798" s="8" t="inlineStr">
        <is>
          <t>ENV9</t>
        </is>
      </c>
      <c r="G798" s="8">
        <f>IFERROR(VLOOKUP(A798,Flete!$A:$E,5,0),"")</f>
        <v/>
      </c>
      <c r="H798" s="7">
        <f>IFERROR(VLOOKUP(F798,TRAOPE!$AA:$AB,2,0),"")</f>
        <v/>
      </c>
      <c r="I798" s="7" t="n">
        <v>10251385</v>
      </c>
      <c r="J798" s="7">
        <f>IFERROR(VLOOKUP(I798,Materiales!$A:$H,8,0),"")</f>
        <v/>
      </c>
      <c r="K798" s="9">
        <f>IFERROR(VLOOKUP(I798,Materiales!$A:$G,7,0),"")</f>
        <v/>
      </c>
      <c r="L798" s="8" t="inlineStr">
        <is>
          <t>20260126</t>
        </is>
      </c>
      <c r="M798" s="8" t="inlineStr">
        <is>
          <t>99991231</t>
        </is>
      </c>
      <c r="N798" s="10" t="n">
        <v>220</v>
      </c>
      <c r="O798" s="10">
        <f>IFERROR(VLOOKUP(A798,Flete!$A:$J,10,0),"")</f>
        <v/>
      </c>
      <c r="P798" s="8" t="inlineStr">
        <is>
          <t>TN</t>
        </is>
      </c>
      <c r="Q798" s="10">
        <f>IFERROR(IFERROR(VLOOKUP(A798,TRAOPE!$A:$U,21,0),VLOOKUP(B798,TRAOPE!$A:$U,21,0)),"")</f>
        <v/>
      </c>
      <c r="R798" s="8">
        <f>IFERROR(IFERROR(VLOOKUP(A798,TRAOPE!$A:$W,23,0),VLOOKUP(B798,TRAOPE!$A:$W,23,0)),"")</f>
        <v/>
      </c>
      <c r="S798" s="10">
        <f>IF(AND(P798="TN",R798="TN"),N798+N(O798),IF(G798&amp;""="1",N(K798)*N798,(N798+N(O798))*N(K798)))</f>
        <v/>
      </c>
      <c r="T798" s="10">
        <f>IF(Q798="","",Q798-S798)</f>
        <v/>
      </c>
    </row>
    <row r="799">
      <c r="A799" s="7">
        <f>CONCATENATE(C799,E799,F799,I799)</f>
        <v/>
      </c>
      <c r="B799" s="7">
        <f>CONCATENATE(C799,E799,I799)</f>
        <v/>
      </c>
      <c r="C799" s="8" t="n">
        <v>900009420</v>
      </c>
      <c r="D799" s="7">
        <f>IFERROR(VLOOKUP(C799,TRAOPE!$G:$H,2,0),"")</f>
        <v/>
      </c>
      <c r="E799" s="8" t="inlineStr">
        <is>
          <t>DW68</t>
        </is>
      </c>
      <c r="F799" s="8" t="inlineStr">
        <is>
          <t>ENV9</t>
        </is>
      </c>
      <c r="G799" s="8">
        <f>IFERROR(VLOOKUP(A799,Flete!$A:$E,5,0),"")</f>
        <v/>
      </c>
      <c r="H799" s="7">
        <f>IFERROR(VLOOKUP(F799,TRAOPE!$AA:$AB,2,0),"")</f>
        <v/>
      </c>
      <c r="I799" s="7" t="n">
        <v>10270911</v>
      </c>
      <c r="J799" s="7">
        <f>IFERROR(VLOOKUP(I799,Materiales!$A:$H,8,0),"")</f>
        <v/>
      </c>
      <c r="K799" s="9">
        <f>IFERROR(VLOOKUP(I799,Materiales!$A:$G,7,0),"")</f>
        <v/>
      </c>
      <c r="L799" s="8" t="inlineStr">
        <is>
          <t>20260201</t>
        </is>
      </c>
      <c r="M799" s="8" t="inlineStr">
        <is>
          <t>20260705</t>
        </is>
      </c>
      <c r="N799" s="10" t="n">
        <v>197.74</v>
      </c>
      <c r="O799" s="10">
        <f>IFERROR(VLOOKUP(A799,Flete!$A:$J,10,0),"")</f>
        <v/>
      </c>
      <c r="P799" s="8" t="inlineStr">
        <is>
          <t>TN</t>
        </is>
      </c>
      <c r="Q799" s="10">
        <f>IFERROR(IFERROR(VLOOKUP(A799,TRAOPE!$A:$U,21,0),VLOOKUP(B799,TRAOPE!$A:$U,21,0)),"")</f>
        <v/>
      </c>
      <c r="R799" s="8">
        <f>IFERROR(IFERROR(VLOOKUP(A799,TRAOPE!$A:$W,23,0),VLOOKUP(B799,TRAOPE!$A:$W,23,0)),"")</f>
        <v/>
      </c>
      <c r="S799" s="10">
        <f>IF(AND(P799="TN",R799="TN"),N799+N(O799),IF(G799&amp;""="1",N(K799)*N799,(N799+N(O799))*N(K799)))</f>
        <v/>
      </c>
      <c r="T799" s="10">
        <f>IF(Q799="","",Q799-S799)</f>
        <v/>
      </c>
    </row>
    <row r="800">
      <c r="A800" s="7">
        <f>CONCATENATE(C800,E800,F800,I800)</f>
        <v/>
      </c>
      <c r="B800" s="7">
        <f>CONCATENATE(C800,E800,I800)</f>
        <v/>
      </c>
      <c r="C800" s="8" t="n">
        <v>900009420</v>
      </c>
      <c r="D800" s="7">
        <f>IFERROR(VLOOKUP(C800,TRAOPE!$G:$H,2,0),"")</f>
        <v/>
      </c>
      <c r="E800" s="8" t="inlineStr">
        <is>
          <t>DW68</t>
        </is>
      </c>
      <c r="F800" s="8" t="inlineStr">
        <is>
          <t>ENV9</t>
        </is>
      </c>
      <c r="G800" s="8">
        <f>IFERROR(VLOOKUP(A800,Flete!$A:$E,5,0),"")</f>
        <v/>
      </c>
      <c r="H800" s="7">
        <f>IFERROR(VLOOKUP(F800,TRAOPE!$AA:$AB,2,0),"")</f>
        <v/>
      </c>
      <c r="I800" s="7" t="n">
        <v>10270912</v>
      </c>
      <c r="J800" s="7">
        <f>IFERROR(VLOOKUP(I800,Materiales!$A:$H,8,0),"")</f>
        <v/>
      </c>
      <c r="K800" s="9">
        <f>IFERROR(VLOOKUP(I800,Materiales!$A:$G,7,0),"")</f>
        <v/>
      </c>
      <c r="L800" s="8" t="inlineStr">
        <is>
          <t>20260126</t>
        </is>
      </c>
      <c r="M800" s="8" t="inlineStr">
        <is>
          <t>99991231</t>
        </is>
      </c>
      <c r="N800" s="10" t="n">
        <v>179.4</v>
      </c>
      <c r="O800" s="10">
        <f>IFERROR(VLOOKUP(A800,Flete!$A:$J,10,0),"")</f>
        <v/>
      </c>
      <c r="P800" s="8" t="inlineStr">
        <is>
          <t>TN</t>
        </is>
      </c>
      <c r="Q800" s="10">
        <f>IFERROR(IFERROR(VLOOKUP(A800,TRAOPE!$A:$U,21,0),VLOOKUP(B800,TRAOPE!$A:$U,21,0)),"")</f>
        <v/>
      </c>
      <c r="R800" s="8">
        <f>IFERROR(IFERROR(VLOOKUP(A800,TRAOPE!$A:$W,23,0),VLOOKUP(B800,TRAOPE!$A:$W,23,0)),"")</f>
        <v/>
      </c>
      <c r="S800" s="10">
        <f>IF(AND(P800="TN",R800="TN"),N800+N(O800),IF(G800&amp;""="1",N(K800)*N800,(N800+N(O800))*N(K800)))</f>
        <v/>
      </c>
      <c r="T800" s="10">
        <f>IF(Q800="","",Q800-S800)</f>
        <v/>
      </c>
    </row>
    <row r="801">
      <c r="A801" s="7">
        <f>CONCATENATE(C801,E801,F801,I801)</f>
        <v/>
      </c>
      <c r="B801" s="7">
        <f>CONCATENATE(C801,E801,I801)</f>
        <v/>
      </c>
      <c r="C801" s="8" t="n">
        <v>900009420</v>
      </c>
      <c r="D801" s="7">
        <f>IFERROR(VLOOKUP(C801,TRAOPE!$G:$H,2,0),"")</f>
        <v/>
      </c>
      <c r="E801" s="8" t="inlineStr">
        <is>
          <t>DW68</t>
        </is>
      </c>
      <c r="F801" s="8" t="inlineStr">
        <is>
          <t>ENV9</t>
        </is>
      </c>
      <c r="G801" s="8">
        <f>IFERROR(VLOOKUP(A801,Flete!$A:$E,5,0),"")</f>
        <v/>
      </c>
      <c r="H801" s="7">
        <f>IFERROR(VLOOKUP(F801,TRAOPE!$AA:$AB,2,0),"")</f>
        <v/>
      </c>
      <c r="I801" s="7" t="n">
        <v>10270913</v>
      </c>
      <c r="J801" s="7">
        <f>IFERROR(VLOOKUP(I801,Materiales!$A:$H,8,0),"")</f>
        <v/>
      </c>
      <c r="K801" s="9">
        <f>IFERROR(VLOOKUP(I801,Materiales!$A:$G,7,0),"")</f>
        <v/>
      </c>
      <c r="L801" s="8" t="inlineStr">
        <is>
          <t>20260126</t>
        </is>
      </c>
      <c r="M801" s="8" t="inlineStr">
        <is>
          <t>99991231</t>
        </is>
      </c>
      <c r="N801" s="10" t="n">
        <v>202.8</v>
      </c>
      <c r="O801" s="10">
        <f>IFERROR(VLOOKUP(A801,Flete!$A:$J,10,0),"")</f>
        <v/>
      </c>
      <c r="P801" s="8" t="inlineStr">
        <is>
          <t>TN</t>
        </is>
      </c>
      <c r="Q801" s="10">
        <f>IFERROR(IFERROR(VLOOKUP(A801,TRAOPE!$A:$U,21,0),VLOOKUP(B801,TRAOPE!$A:$U,21,0)),"")</f>
        <v/>
      </c>
      <c r="R801" s="8">
        <f>IFERROR(IFERROR(VLOOKUP(A801,TRAOPE!$A:$W,23,0),VLOOKUP(B801,TRAOPE!$A:$W,23,0)),"")</f>
        <v/>
      </c>
      <c r="S801" s="10">
        <f>IF(AND(P801="TN",R801="TN"),N801+N(O801),IF(G801&amp;""="1",N(K801)*N801,(N801+N(O801))*N(K801)))</f>
        <v/>
      </c>
      <c r="T801" s="10">
        <f>IF(Q801="","",Q801-S801)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900000085</t>
        </is>
      </c>
      <c r="B2" t="inlineStr">
        <is>
          <t>DW68</t>
        </is>
      </c>
      <c r="C2" t="inlineStr">
        <is>
          <t>D042</t>
        </is>
      </c>
      <c r="D2" t="inlineStr">
        <is>
          <t>10000191</t>
        </is>
      </c>
      <c r="E2" t="inlineStr"/>
      <c r="F2" s="11" t="n">
        <v>124.11</v>
      </c>
      <c r="G2" t="inlineStr"/>
      <c r="I2" t="inlineStr">
        <is>
          <t>TN</t>
        </is>
      </c>
      <c r="J2" t="inlineStr"/>
      <c r="K2" t="inlineStr">
        <is>
          <t>20220516</t>
        </is>
      </c>
      <c r="L2" t="inlineStr">
        <is>
          <t>20251031</t>
        </is>
      </c>
    </row>
    <row r="3">
      <c r="A3" t="inlineStr">
        <is>
          <t>900000085</t>
        </is>
      </c>
      <c r="B3" t="inlineStr">
        <is>
          <t>DW68</t>
        </is>
      </c>
      <c r="C3" t="inlineStr">
        <is>
          <t>D042</t>
        </is>
      </c>
      <c r="D3" t="inlineStr">
        <is>
          <t>10110630</t>
        </is>
      </c>
      <c r="E3" t="inlineStr"/>
      <c r="F3" s="11" t="n">
        <v>155.26</v>
      </c>
      <c r="G3" t="inlineStr"/>
      <c r="I3" t="inlineStr">
        <is>
          <t>TN</t>
        </is>
      </c>
      <c r="J3" t="inlineStr"/>
      <c r="K3" t="inlineStr">
        <is>
          <t>20220516</t>
        </is>
      </c>
      <c r="L3" t="inlineStr">
        <is>
          <t>20251031</t>
        </is>
      </c>
    </row>
    <row r="4">
      <c r="A4" t="inlineStr">
        <is>
          <t>900000085</t>
        </is>
      </c>
      <c r="B4" t="inlineStr">
        <is>
          <t>DW68</t>
        </is>
      </c>
      <c r="C4" t="inlineStr">
        <is>
          <t>D042</t>
        </is>
      </c>
      <c r="D4" t="inlineStr">
        <is>
          <t>10141571</t>
        </is>
      </c>
      <c r="E4" t="inlineStr"/>
      <c r="F4" s="11" t="n">
        <v>231.34</v>
      </c>
      <c r="G4" t="inlineStr"/>
      <c r="I4" t="inlineStr">
        <is>
          <t>TN</t>
        </is>
      </c>
      <c r="J4" t="inlineStr"/>
      <c r="K4" t="inlineStr">
        <is>
          <t>20220516</t>
        </is>
      </c>
      <c r="L4" t="inlineStr">
        <is>
          <t>20251031</t>
        </is>
      </c>
    </row>
    <row r="5">
      <c r="A5" t="inlineStr">
        <is>
          <t>900000085</t>
        </is>
      </c>
      <c r="B5" t="inlineStr">
        <is>
          <t>DW68</t>
        </is>
      </c>
      <c r="C5" t="inlineStr">
        <is>
          <t>D209</t>
        </is>
      </c>
      <c r="D5" t="inlineStr">
        <is>
          <t>10000191</t>
        </is>
      </c>
      <c r="E5" t="inlineStr"/>
      <c r="F5" s="11" t="n">
        <v>124.11</v>
      </c>
      <c r="G5" t="inlineStr"/>
      <c r="I5" t="inlineStr">
        <is>
          <t>TN</t>
        </is>
      </c>
      <c r="J5" t="inlineStr"/>
      <c r="K5" t="inlineStr">
        <is>
          <t>20220516</t>
        </is>
      </c>
      <c r="L5" t="inlineStr">
        <is>
          <t>20251031</t>
        </is>
      </c>
    </row>
    <row r="6">
      <c r="A6" t="inlineStr">
        <is>
          <t>900000085</t>
        </is>
      </c>
      <c r="B6" t="inlineStr">
        <is>
          <t>DW68</t>
        </is>
      </c>
      <c r="C6" t="inlineStr">
        <is>
          <t>D209</t>
        </is>
      </c>
      <c r="D6" t="inlineStr">
        <is>
          <t>10110630</t>
        </is>
      </c>
      <c r="E6" t="inlineStr"/>
      <c r="F6" s="11" t="n">
        <v>155.26</v>
      </c>
      <c r="G6" t="inlineStr"/>
      <c r="I6" t="inlineStr">
        <is>
          <t>TN</t>
        </is>
      </c>
      <c r="J6" t="inlineStr"/>
      <c r="K6" t="inlineStr">
        <is>
          <t>20220516</t>
        </is>
      </c>
      <c r="L6" t="inlineStr">
        <is>
          <t>20251031</t>
        </is>
      </c>
    </row>
    <row r="7">
      <c r="A7" t="inlineStr">
        <is>
          <t>900000085</t>
        </is>
      </c>
      <c r="B7" t="inlineStr">
        <is>
          <t>DW68</t>
        </is>
      </c>
      <c r="C7" t="inlineStr">
        <is>
          <t>D209</t>
        </is>
      </c>
      <c r="D7" t="inlineStr">
        <is>
          <t>10141571</t>
        </is>
      </c>
      <c r="E7" t="inlineStr"/>
      <c r="F7" s="11" t="n">
        <v>231.34</v>
      </c>
      <c r="G7" t="inlineStr"/>
      <c r="I7" t="inlineStr">
        <is>
          <t>TN</t>
        </is>
      </c>
      <c r="J7" t="inlineStr"/>
      <c r="K7" t="inlineStr">
        <is>
          <t>20220516</t>
        </is>
      </c>
      <c r="L7" t="inlineStr">
        <is>
          <t>20251031</t>
        </is>
      </c>
    </row>
    <row r="8">
      <c r="A8" t="inlineStr">
        <is>
          <t>900000085</t>
        </is>
      </c>
      <c r="B8" t="inlineStr">
        <is>
          <t>DW68</t>
        </is>
      </c>
      <c r="C8" t="inlineStr">
        <is>
          <t>D211</t>
        </is>
      </c>
      <c r="D8" t="inlineStr">
        <is>
          <t>10000191</t>
        </is>
      </c>
      <c r="E8" t="inlineStr"/>
      <c r="F8" s="11" t="n">
        <v>124.11</v>
      </c>
      <c r="G8" t="inlineStr"/>
      <c r="I8" t="inlineStr">
        <is>
          <t>TN</t>
        </is>
      </c>
      <c r="J8" t="inlineStr"/>
      <c r="K8" t="inlineStr">
        <is>
          <t>20220516</t>
        </is>
      </c>
      <c r="L8" t="inlineStr">
        <is>
          <t>20251031</t>
        </is>
      </c>
    </row>
    <row r="9">
      <c r="A9" t="inlineStr">
        <is>
          <t>900000085</t>
        </is>
      </c>
      <c r="B9" t="inlineStr">
        <is>
          <t>DW68</t>
        </is>
      </c>
      <c r="C9" t="inlineStr">
        <is>
          <t>D211</t>
        </is>
      </c>
      <c r="D9" t="inlineStr">
        <is>
          <t>10110630</t>
        </is>
      </c>
      <c r="E9" t="inlineStr"/>
      <c r="F9" s="11" t="n">
        <v>155.26</v>
      </c>
      <c r="G9" t="inlineStr"/>
      <c r="I9" t="inlineStr">
        <is>
          <t>TN</t>
        </is>
      </c>
      <c r="J9" t="inlineStr"/>
      <c r="K9" t="inlineStr">
        <is>
          <t>20220516</t>
        </is>
      </c>
      <c r="L9" t="inlineStr">
        <is>
          <t>20251031</t>
        </is>
      </c>
    </row>
    <row r="10">
      <c r="A10" t="inlineStr">
        <is>
          <t>900000085</t>
        </is>
      </c>
      <c r="B10" t="inlineStr">
        <is>
          <t>DW68</t>
        </is>
      </c>
      <c r="C10" t="inlineStr">
        <is>
          <t>D211</t>
        </is>
      </c>
      <c r="D10" t="inlineStr">
        <is>
          <t>10141571</t>
        </is>
      </c>
      <c r="E10" t="inlineStr"/>
      <c r="F10" s="11" t="n">
        <v>231.34</v>
      </c>
      <c r="G10" t="inlineStr"/>
      <c r="I10" t="inlineStr">
        <is>
          <t>TN</t>
        </is>
      </c>
      <c r="J10" t="inlineStr"/>
      <c r="K10" t="inlineStr">
        <is>
          <t>20220516</t>
        </is>
      </c>
      <c r="L10" t="inlineStr">
        <is>
          <t>20251031</t>
        </is>
      </c>
    </row>
    <row r="11">
      <c r="A11" t="inlineStr">
        <is>
          <t>900000085</t>
        </is>
      </c>
      <c r="B11" t="inlineStr">
        <is>
          <t>DW68</t>
        </is>
      </c>
      <c r="C11" t="inlineStr">
        <is>
          <t>D214</t>
        </is>
      </c>
      <c r="D11" t="inlineStr">
        <is>
          <t>10000191</t>
        </is>
      </c>
      <c r="E11" t="inlineStr"/>
      <c r="F11" s="11" t="n">
        <v>124.11</v>
      </c>
      <c r="G11" t="inlineStr"/>
      <c r="I11" t="inlineStr">
        <is>
          <t>TN</t>
        </is>
      </c>
      <c r="J11" t="inlineStr"/>
      <c r="K11" t="inlineStr">
        <is>
          <t>20220516</t>
        </is>
      </c>
      <c r="L11" t="inlineStr">
        <is>
          <t>20251031</t>
        </is>
      </c>
    </row>
    <row r="12">
      <c r="A12" t="inlineStr">
        <is>
          <t>900000085</t>
        </is>
      </c>
      <c r="B12" t="inlineStr">
        <is>
          <t>DW68</t>
        </is>
      </c>
      <c r="C12" t="inlineStr">
        <is>
          <t>D214</t>
        </is>
      </c>
      <c r="D12" t="inlineStr">
        <is>
          <t>10110630</t>
        </is>
      </c>
      <c r="E12" t="inlineStr"/>
      <c r="F12" s="11" t="n">
        <v>155.26</v>
      </c>
      <c r="G12" t="inlineStr"/>
      <c r="I12" t="inlineStr">
        <is>
          <t>TN</t>
        </is>
      </c>
      <c r="J12" t="inlineStr"/>
      <c r="K12" t="inlineStr">
        <is>
          <t>20220516</t>
        </is>
      </c>
      <c r="L12" t="inlineStr">
        <is>
          <t>20251031</t>
        </is>
      </c>
    </row>
    <row r="13">
      <c r="A13" t="inlineStr">
        <is>
          <t>900000085</t>
        </is>
      </c>
      <c r="B13" t="inlineStr">
        <is>
          <t>DW68</t>
        </is>
      </c>
      <c r="C13" t="inlineStr">
        <is>
          <t>D214</t>
        </is>
      </c>
      <c r="D13" t="inlineStr">
        <is>
          <t>10141571</t>
        </is>
      </c>
      <c r="E13" t="inlineStr"/>
      <c r="F13" s="11" t="n">
        <v>231.34</v>
      </c>
      <c r="G13" t="inlineStr"/>
      <c r="I13" t="inlineStr">
        <is>
          <t>TN</t>
        </is>
      </c>
      <c r="J13" t="inlineStr"/>
      <c r="K13" t="inlineStr">
        <is>
          <t>20220516</t>
        </is>
      </c>
      <c r="L13" t="inlineStr">
        <is>
          <t>20251031</t>
        </is>
      </c>
    </row>
    <row r="14">
      <c r="A14" t="inlineStr">
        <is>
          <t>900000085</t>
        </is>
      </c>
      <c r="B14" t="inlineStr">
        <is>
          <t>DW68</t>
        </is>
      </c>
      <c r="C14" t="inlineStr">
        <is>
          <t>D228</t>
        </is>
      </c>
      <c r="D14" t="inlineStr">
        <is>
          <t>10000191</t>
        </is>
      </c>
      <c r="E14" t="inlineStr"/>
      <c r="F14" s="11" t="n">
        <v>124.11</v>
      </c>
      <c r="G14" t="inlineStr"/>
      <c r="I14" t="inlineStr">
        <is>
          <t>TN</t>
        </is>
      </c>
      <c r="J14" t="inlineStr"/>
      <c r="K14" t="inlineStr">
        <is>
          <t>20220516</t>
        </is>
      </c>
      <c r="L14" t="inlineStr">
        <is>
          <t>20251031</t>
        </is>
      </c>
    </row>
    <row r="15">
      <c r="A15" t="inlineStr">
        <is>
          <t>900000085</t>
        </is>
      </c>
      <c r="B15" t="inlineStr">
        <is>
          <t>DW68</t>
        </is>
      </c>
      <c r="C15" t="inlineStr">
        <is>
          <t>D228</t>
        </is>
      </c>
      <c r="D15" t="inlineStr">
        <is>
          <t>10110630</t>
        </is>
      </c>
      <c r="E15" t="inlineStr"/>
      <c r="F15" s="11" t="n">
        <v>155.26</v>
      </c>
      <c r="G15" t="inlineStr"/>
      <c r="I15" t="inlineStr">
        <is>
          <t>TN</t>
        </is>
      </c>
      <c r="J15" t="inlineStr"/>
      <c r="K15" t="inlineStr">
        <is>
          <t>20220516</t>
        </is>
      </c>
      <c r="L15" t="inlineStr">
        <is>
          <t>20251031</t>
        </is>
      </c>
    </row>
    <row r="16">
      <c r="A16" t="inlineStr">
        <is>
          <t>900000085</t>
        </is>
      </c>
      <c r="B16" t="inlineStr">
        <is>
          <t>DW68</t>
        </is>
      </c>
      <c r="C16" t="inlineStr">
        <is>
          <t>D228</t>
        </is>
      </c>
      <c r="D16" t="inlineStr">
        <is>
          <t>10141571</t>
        </is>
      </c>
      <c r="E16" t="inlineStr"/>
      <c r="F16" s="11" t="n">
        <v>231.34</v>
      </c>
      <c r="G16" t="inlineStr"/>
      <c r="I16" t="inlineStr">
        <is>
          <t>TN</t>
        </is>
      </c>
      <c r="J16" t="inlineStr"/>
      <c r="K16" t="inlineStr">
        <is>
          <t>20220516</t>
        </is>
      </c>
      <c r="L16" t="inlineStr">
        <is>
          <t>20251031</t>
        </is>
      </c>
    </row>
    <row r="17">
      <c r="A17" t="inlineStr">
        <is>
          <t>900000085</t>
        </is>
      </c>
      <c r="B17" t="inlineStr">
        <is>
          <t>DW68</t>
        </is>
      </c>
      <c r="C17" t="inlineStr">
        <is>
          <t>D242</t>
        </is>
      </c>
      <c r="D17" t="inlineStr">
        <is>
          <t>10000191</t>
        </is>
      </c>
      <c r="E17" t="inlineStr"/>
      <c r="F17" s="11" t="n">
        <v>124.11</v>
      </c>
      <c r="G17" t="inlineStr"/>
      <c r="I17" t="inlineStr">
        <is>
          <t>TN</t>
        </is>
      </c>
      <c r="J17" t="inlineStr"/>
      <c r="K17" t="inlineStr">
        <is>
          <t>20220516</t>
        </is>
      </c>
      <c r="L17" t="inlineStr">
        <is>
          <t>20251031</t>
        </is>
      </c>
    </row>
    <row r="18">
      <c r="A18" t="inlineStr">
        <is>
          <t>900000085</t>
        </is>
      </c>
      <c r="B18" t="inlineStr">
        <is>
          <t>DW68</t>
        </is>
      </c>
      <c r="C18" t="inlineStr">
        <is>
          <t>D242</t>
        </is>
      </c>
      <c r="D18" t="inlineStr">
        <is>
          <t>10110630</t>
        </is>
      </c>
      <c r="E18" t="inlineStr"/>
      <c r="F18" s="11" t="n">
        <v>155.26</v>
      </c>
      <c r="G18" t="inlineStr"/>
      <c r="I18" t="inlineStr">
        <is>
          <t>TN</t>
        </is>
      </c>
      <c r="J18" t="inlineStr"/>
      <c r="K18" t="inlineStr">
        <is>
          <t>20220516</t>
        </is>
      </c>
      <c r="L18" t="inlineStr">
        <is>
          <t>20251031</t>
        </is>
      </c>
    </row>
    <row r="19">
      <c r="A19" t="inlineStr">
        <is>
          <t>900000085</t>
        </is>
      </c>
      <c r="B19" t="inlineStr">
        <is>
          <t>DW68</t>
        </is>
      </c>
      <c r="C19" t="inlineStr">
        <is>
          <t>D242</t>
        </is>
      </c>
      <c r="D19" t="inlineStr">
        <is>
          <t>10141571</t>
        </is>
      </c>
      <c r="E19" t="inlineStr"/>
      <c r="F19" s="11" t="n">
        <v>231.34</v>
      </c>
      <c r="G19" t="inlineStr"/>
      <c r="I19" t="inlineStr">
        <is>
          <t>TN</t>
        </is>
      </c>
      <c r="J19" t="inlineStr"/>
      <c r="K19" t="inlineStr">
        <is>
          <t>20220516</t>
        </is>
      </c>
      <c r="L19" t="inlineStr">
        <is>
          <t>20251031</t>
        </is>
      </c>
    </row>
    <row r="20">
      <c r="A20" t="inlineStr">
        <is>
          <t>900000085</t>
        </is>
      </c>
      <c r="B20" t="inlineStr">
        <is>
          <t>DW68</t>
        </is>
      </c>
      <c r="C20" t="inlineStr">
        <is>
          <t>D247</t>
        </is>
      </c>
      <c r="D20" t="inlineStr">
        <is>
          <t>10000191</t>
        </is>
      </c>
      <c r="E20" t="inlineStr"/>
      <c r="F20" s="11" t="n">
        <v>124.11</v>
      </c>
      <c r="G20" t="inlineStr"/>
      <c r="I20" t="inlineStr">
        <is>
          <t>TN</t>
        </is>
      </c>
      <c r="J20" t="inlineStr"/>
      <c r="K20" t="inlineStr">
        <is>
          <t>20220516</t>
        </is>
      </c>
      <c r="L20" t="inlineStr">
        <is>
          <t>20251031</t>
        </is>
      </c>
    </row>
    <row r="21">
      <c r="A21" t="inlineStr">
        <is>
          <t>900000085</t>
        </is>
      </c>
      <c r="B21" t="inlineStr">
        <is>
          <t>DW68</t>
        </is>
      </c>
      <c r="C21" t="inlineStr">
        <is>
          <t>D247</t>
        </is>
      </c>
      <c r="D21" t="inlineStr">
        <is>
          <t>10110630</t>
        </is>
      </c>
      <c r="E21" t="inlineStr"/>
      <c r="F21" s="11" t="n">
        <v>155.26</v>
      </c>
      <c r="G21" t="inlineStr"/>
      <c r="I21" t="inlineStr">
        <is>
          <t>TN</t>
        </is>
      </c>
      <c r="J21" t="inlineStr"/>
      <c r="K21" t="inlineStr">
        <is>
          <t>20220516</t>
        </is>
      </c>
      <c r="L21" t="inlineStr">
        <is>
          <t>20251031</t>
        </is>
      </c>
    </row>
    <row r="22">
      <c r="A22" t="inlineStr">
        <is>
          <t>900000085</t>
        </is>
      </c>
      <c r="B22" t="inlineStr">
        <is>
          <t>DW68</t>
        </is>
      </c>
      <c r="C22" t="inlineStr">
        <is>
          <t>D247</t>
        </is>
      </c>
      <c r="D22" t="inlineStr">
        <is>
          <t>10141571</t>
        </is>
      </c>
      <c r="E22" t="inlineStr"/>
      <c r="F22" s="11" t="n">
        <v>231.34</v>
      </c>
      <c r="G22" t="inlineStr"/>
      <c r="I22" t="inlineStr">
        <is>
          <t>TN</t>
        </is>
      </c>
      <c r="J22" t="inlineStr"/>
      <c r="K22" t="inlineStr">
        <is>
          <t>20220516</t>
        </is>
      </c>
      <c r="L22" t="inlineStr">
        <is>
          <t>20251031</t>
        </is>
      </c>
    </row>
    <row r="23">
      <c r="A23" t="inlineStr">
        <is>
          <t>900000085</t>
        </is>
      </c>
      <c r="B23" t="inlineStr">
        <is>
          <t>DW68</t>
        </is>
      </c>
      <c r="C23" t="inlineStr">
        <is>
          <t>D251</t>
        </is>
      </c>
      <c r="D23" t="inlineStr">
        <is>
          <t>10000191</t>
        </is>
      </c>
      <c r="E23" t="inlineStr"/>
      <c r="F23" s="11" t="n">
        <v>124.11</v>
      </c>
      <c r="G23" t="inlineStr"/>
      <c r="I23" t="inlineStr">
        <is>
          <t>TN</t>
        </is>
      </c>
      <c r="J23" t="inlineStr"/>
      <c r="K23" t="inlineStr">
        <is>
          <t>20220516</t>
        </is>
      </c>
      <c r="L23" t="inlineStr">
        <is>
          <t>20251031</t>
        </is>
      </c>
    </row>
    <row r="24">
      <c r="A24" t="inlineStr">
        <is>
          <t>900000085</t>
        </is>
      </c>
      <c r="B24" t="inlineStr">
        <is>
          <t>DW68</t>
        </is>
      </c>
      <c r="C24" t="inlineStr">
        <is>
          <t>D251</t>
        </is>
      </c>
      <c r="D24" t="inlineStr">
        <is>
          <t>10110630</t>
        </is>
      </c>
      <c r="E24" t="inlineStr"/>
      <c r="F24" s="11" t="n">
        <v>155.26</v>
      </c>
      <c r="G24" t="inlineStr"/>
      <c r="I24" t="inlineStr">
        <is>
          <t>TN</t>
        </is>
      </c>
      <c r="J24" t="inlineStr"/>
      <c r="K24" t="inlineStr">
        <is>
          <t>20220516</t>
        </is>
      </c>
      <c r="L24" t="inlineStr">
        <is>
          <t>20251031</t>
        </is>
      </c>
    </row>
    <row r="25">
      <c r="A25" t="inlineStr">
        <is>
          <t>900000085</t>
        </is>
      </c>
      <c r="B25" t="inlineStr">
        <is>
          <t>DW68</t>
        </is>
      </c>
      <c r="C25" t="inlineStr">
        <is>
          <t>D251</t>
        </is>
      </c>
      <c r="D25" t="inlineStr">
        <is>
          <t>10141571</t>
        </is>
      </c>
      <c r="E25" t="inlineStr"/>
      <c r="F25" s="11" t="n">
        <v>231.34</v>
      </c>
      <c r="G25" t="inlineStr"/>
      <c r="I25" t="inlineStr">
        <is>
          <t>TN</t>
        </is>
      </c>
      <c r="J25" t="inlineStr"/>
      <c r="K25" t="inlineStr">
        <is>
          <t>20220516</t>
        </is>
      </c>
      <c r="L25" t="inlineStr">
        <is>
          <t>20251031</t>
        </is>
      </c>
    </row>
    <row r="26">
      <c r="A26" t="inlineStr">
        <is>
          <t>900000085</t>
        </is>
      </c>
      <c r="B26" t="inlineStr">
        <is>
          <t>DW68</t>
        </is>
      </c>
      <c r="C26" t="inlineStr">
        <is>
          <t>D264</t>
        </is>
      </c>
      <c r="D26" t="inlineStr">
        <is>
          <t>10000191</t>
        </is>
      </c>
      <c r="E26" t="inlineStr"/>
      <c r="F26" s="11" t="n">
        <v>124.11</v>
      </c>
      <c r="G26" t="inlineStr"/>
      <c r="I26" t="inlineStr">
        <is>
          <t>TN</t>
        </is>
      </c>
      <c r="J26" t="inlineStr"/>
      <c r="K26" t="inlineStr">
        <is>
          <t>20220516</t>
        </is>
      </c>
      <c r="L26" t="inlineStr">
        <is>
          <t>20251031</t>
        </is>
      </c>
    </row>
    <row r="27">
      <c r="A27" t="inlineStr">
        <is>
          <t>900000085</t>
        </is>
      </c>
      <c r="B27" t="inlineStr">
        <is>
          <t>DW68</t>
        </is>
      </c>
      <c r="C27" t="inlineStr">
        <is>
          <t>D264</t>
        </is>
      </c>
      <c r="D27" t="inlineStr">
        <is>
          <t>10110630</t>
        </is>
      </c>
      <c r="E27" t="inlineStr"/>
      <c r="F27" s="11" t="n">
        <v>155.26</v>
      </c>
      <c r="G27" t="inlineStr"/>
      <c r="I27" t="inlineStr">
        <is>
          <t>TN</t>
        </is>
      </c>
      <c r="J27" t="inlineStr"/>
      <c r="K27" t="inlineStr">
        <is>
          <t>20220516</t>
        </is>
      </c>
      <c r="L27" t="inlineStr">
        <is>
          <t>20251031</t>
        </is>
      </c>
    </row>
    <row r="28">
      <c r="A28" t="inlineStr">
        <is>
          <t>900000085</t>
        </is>
      </c>
      <c r="B28" t="inlineStr">
        <is>
          <t>DW68</t>
        </is>
      </c>
      <c r="C28" t="inlineStr">
        <is>
          <t>D264</t>
        </is>
      </c>
      <c r="D28" t="inlineStr">
        <is>
          <t>10141571</t>
        </is>
      </c>
      <c r="E28" t="inlineStr"/>
      <c r="F28" s="11" t="n">
        <v>231.34</v>
      </c>
      <c r="G28" t="inlineStr"/>
      <c r="I28" t="inlineStr">
        <is>
          <t>TN</t>
        </is>
      </c>
      <c r="J28" t="inlineStr"/>
      <c r="K28" t="inlineStr">
        <is>
          <t>20220516</t>
        </is>
      </c>
      <c r="L28" t="inlineStr">
        <is>
          <t>20251031</t>
        </is>
      </c>
    </row>
    <row r="29">
      <c r="A29" t="inlineStr">
        <is>
          <t>900000367</t>
        </is>
      </c>
      <c r="B29" t="inlineStr">
        <is>
          <t>DW68</t>
        </is>
      </c>
      <c r="C29" t="inlineStr">
        <is>
          <t>D042</t>
        </is>
      </c>
      <c r="D29" t="inlineStr">
        <is>
          <t>10000191</t>
        </is>
      </c>
      <c r="E29" t="inlineStr"/>
      <c r="F29" s="11" t="n">
        <v>120.57</v>
      </c>
      <c r="G29" t="inlineStr"/>
      <c r="I29" t="inlineStr">
        <is>
          <t>TN</t>
        </is>
      </c>
      <c r="J29" t="inlineStr"/>
      <c r="K29" t="inlineStr">
        <is>
          <t>20220516</t>
        </is>
      </c>
      <c r="L29" t="inlineStr">
        <is>
          <t>20251031</t>
        </is>
      </c>
    </row>
    <row r="30">
      <c r="A30" t="inlineStr">
        <is>
          <t>900000367</t>
        </is>
      </c>
      <c r="B30" t="inlineStr">
        <is>
          <t>DW68</t>
        </is>
      </c>
      <c r="C30" t="inlineStr">
        <is>
          <t>D042</t>
        </is>
      </c>
      <c r="D30" t="inlineStr">
        <is>
          <t>10000726</t>
        </is>
      </c>
      <c r="E30" t="inlineStr"/>
      <c r="F30" s="11" t="n">
        <v>262.57</v>
      </c>
      <c r="G30" t="inlineStr"/>
      <c r="I30" t="inlineStr">
        <is>
          <t>TN</t>
        </is>
      </c>
      <c r="J30" t="inlineStr"/>
      <c r="K30" t="inlineStr">
        <is>
          <t>20220516</t>
        </is>
      </c>
      <c r="L30" t="inlineStr">
        <is>
          <t>20251031</t>
        </is>
      </c>
    </row>
    <row r="31">
      <c r="A31" t="inlineStr">
        <is>
          <t>900000367</t>
        </is>
      </c>
      <c r="B31" t="inlineStr">
        <is>
          <t>DW68</t>
        </is>
      </c>
      <c r="C31" t="inlineStr">
        <is>
          <t>D209</t>
        </is>
      </c>
      <c r="D31" t="inlineStr">
        <is>
          <t>10000191</t>
        </is>
      </c>
      <c r="E31" t="inlineStr"/>
      <c r="F31" s="11" t="n">
        <v>120.57</v>
      </c>
      <c r="G31" t="inlineStr"/>
      <c r="I31" t="inlineStr">
        <is>
          <t>TN</t>
        </is>
      </c>
      <c r="J31" t="inlineStr"/>
      <c r="K31" t="inlineStr">
        <is>
          <t>20220516</t>
        </is>
      </c>
      <c r="L31" t="inlineStr">
        <is>
          <t>20251031</t>
        </is>
      </c>
    </row>
    <row r="32">
      <c r="A32" t="inlineStr">
        <is>
          <t>900000367</t>
        </is>
      </c>
      <c r="B32" t="inlineStr">
        <is>
          <t>DW68</t>
        </is>
      </c>
      <c r="C32" t="inlineStr">
        <is>
          <t>D211</t>
        </is>
      </c>
      <c r="D32" t="inlineStr">
        <is>
          <t>10000191</t>
        </is>
      </c>
      <c r="E32" t="inlineStr"/>
      <c r="F32" s="11" t="n">
        <v>120.57</v>
      </c>
      <c r="G32" t="inlineStr"/>
      <c r="I32" t="inlineStr">
        <is>
          <t>TN</t>
        </is>
      </c>
      <c r="J32" t="inlineStr"/>
      <c r="K32" t="inlineStr">
        <is>
          <t>20220516</t>
        </is>
      </c>
      <c r="L32" t="inlineStr">
        <is>
          <t>20251031</t>
        </is>
      </c>
    </row>
    <row r="33">
      <c r="A33" t="inlineStr">
        <is>
          <t>900000367</t>
        </is>
      </c>
      <c r="B33" t="inlineStr">
        <is>
          <t>DW68</t>
        </is>
      </c>
      <c r="C33" t="inlineStr">
        <is>
          <t>D214</t>
        </is>
      </c>
      <c r="D33" t="inlineStr">
        <is>
          <t>10000191</t>
        </is>
      </c>
      <c r="E33" t="inlineStr"/>
      <c r="F33" s="11" t="n">
        <v>120.57</v>
      </c>
      <c r="G33" t="inlineStr"/>
      <c r="I33" t="inlineStr">
        <is>
          <t>TN</t>
        </is>
      </c>
      <c r="J33" t="inlineStr"/>
      <c r="K33" t="inlineStr">
        <is>
          <t>20220516</t>
        </is>
      </c>
      <c r="L33" t="inlineStr">
        <is>
          <t>20251031</t>
        </is>
      </c>
    </row>
    <row r="34">
      <c r="A34" t="inlineStr">
        <is>
          <t>900000367</t>
        </is>
      </c>
      <c r="B34" t="inlineStr">
        <is>
          <t>DW68</t>
        </is>
      </c>
      <c r="C34" t="inlineStr">
        <is>
          <t>D228</t>
        </is>
      </c>
      <c r="D34" t="inlineStr">
        <is>
          <t>10000191</t>
        </is>
      </c>
      <c r="E34" t="inlineStr"/>
      <c r="F34" s="11" t="n">
        <v>120.57</v>
      </c>
      <c r="G34" t="inlineStr"/>
      <c r="I34" t="inlineStr">
        <is>
          <t>TN</t>
        </is>
      </c>
      <c r="J34" t="inlineStr"/>
      <c r="K34" t="inlineStr">
        <is>
          <t>20220516</t>
        </is>
      </c>
      <c r="L34" t="inlineStr">
        <is>
          <t>20251031</t>
        </is>
      </c>
    </row>
    <row r="35">
      <c r="A35" t="inlineStr">
        <is>
          <t>900000367</t>
        </is>
      </c>
      <c r="B35" t="inlineStr">
        <is>
          <t>DW68</t>
        </is>
      </c>
      <c r="C35" t="inlineStr">
        <is>
          <t>D228</t>
        </is>
      </c>
      <c r="D35" t="inlineStr">
        <is>
          <t>10000726</t>
        </is>
      </c>
      <c r="E35" t="inlineStr"/>
      <c r="F35" s="11" t="n">
        <v>262.57</v>
      </c>
      <c r="G35" t="inlineStr"/>
      <c r="I35" t="inlineStr">
        <is>
          <t>TN</t>
        </is>
      </c>
      <c r="J35" t="inlineStr"/>
      <c r="K35" t="inlineStr">
        <is>
          <t>20220516</t>
        </is>
      </c>
      <c r="L35" t="inlineStr">
        <is>
          <t>20251031</t>
        </is>
      </c>
    </row>
    <row r="36">
      <c r="A36" t="inlineStr">
        <is>
          <t>900000367</t>
        </is>
      </c>
      <c r="B36" t="inlineStr">
        <is>
          <t>DW68</t>
        </is>
      </c>
      <c r="C36" t="inlineStr">
        <is>
          <t>D242</t>
        </is>
      </c>
      <c r="D36" t="inlineStr">
        <is>
          <t>10000191</t>
        </is>
      </c>
      <c r="E36" t="inlineStr"/>
      <c r="F36" s="11" t="n">
        <v>120.57</v>
      </c>
      <c r="G36" t="inlineStr"/>
      <c r="I36" t="inlineStr">
        <is>
          <t>TN</t>
        </is>
      </c>
      <c r="J36" t="inlineStr"/>
      <c r="K36" t="inlineStr">
        <is>
          <t>20220516</t>
        </is>
      </c>
      <c r="L36" t="inlineStr">
        <is>
          <t>20251031</t>
        </is>
      </c>
    </row>
    <row r="37">
      <c r="A37" t="inlineStr">
        <is>
          <t>900000367</t>
        </is>
      </c>
      <c r="B37" t="inlineStr">
        <is>
          <t>DW68</t>
        </is>
      </c>
      <c r="C37" t="inlineStr">
        <is>
          <t>D251</t>
        </is>
      </c>
      <c r="D37" t="inlineStr">
        <is>
          <t>10000191</t>
        </is>
      </c>
      <c r="E37" t="inlineStr"/>
      <c r="F37" s="11" t="n">
        <v>120.57</v>
      </c>
      <c r="G37" t="inlineStr"/>
      <c r="I37" t="inlineStr">
        <is>
          <t>TN</t>
        </is>
      </c>
      <c r="J37" t="inlineStr"/>
      <c r="K37" t="inlineStr">
        <is>
          <t>20220516</t>
        </is>
      </c>
      <c r="L37" t="inlineStr">
        <is>
          <t>20251031</t>
        </is>
      </c>
    </row>
    <row r="38">
      <c r="A38" t="inlineStr">
        <is>
          <t>900000367</t>
        </is>
      </c>
      <c r="B38" t="inlineStr">
        <is>
          <t>DW68</t>
        </is>
      </c>
      <c r="C38" t="inlineStr">
        <is>
          <t>D264</t>
        </is>
      </c>
      <c r="D38" t="inlineStr">
        <is>
          <t>10000191</t>
        </is>
      </c>
      <c r="E38" t="inlineStr"/>
      <c r="F38" s="11" t="n">
        <v>120.57</v>
      </c>
      <c r="G38" t="inlineStr"/>
      <c r="I38" t="inlineStr">
        <is>
          <t>TN</t>
        </is>
      </c>
      <c r="J38" t="inlineStr"/>
      <c r="K38" t="inlineStr">
        <is>
          <t>20220516</t>
        </is>
      </c>
      <c r="L38" t="inlineStr">
        <is>
          <t>20251031</t>
        </is>
      </c>
    </row>
    <row r="39">
      <c r="A39" t="inlineStr">
        <is>
          <t>900000408</t>
        </is>
      </c>
      <c r="B39" t="inlineStr">
        <is>
          <t>DW68</t>
        </is>
      </c>
      <c r="C39" t="inlineStr">
        <is>
          <t>D220</t>
        </is>
      </c>
      <c r="D39" t="inlineStr">
        <is>
          <t>10000191</t>
        </is>
      </c>
      <c r="E39" t="inlineStr"/>
      <c r="F39" s="11" t="n">
        <v>177.3</v>
      </c>
      <c r="G39" t="inlineStr"/>
      <c r="I39" t="inlineStr">
        <is>
          <t>TN</t>
        </is>
      </c>
      <c r="J39" t="inlineStr"/>
      <c r="K39" t="inlineStr">
        <is>
          <t>20230505</t>
        </is>
      </c>
      <c r="L39" t="inlineStr">
        <is>
          <t>20251031</t>
        </is>
      </c>
    </row>
    <row r="40">
      <c r="A40" t="inlineStr">
        <is>
          <t>900000408</t>
        </is>
      </c>
      <c r="B40" t="inlineStr">
        <is>
          <t>DW68</t>
        </is>
      </c>
      <c r="C40" t="inlineStr">
        <is>
          <t>D220</t>
        </is>
      </c>
      <c r="D40" t="inlineStr">
        <is>
          <t>10000388</t>
        </is>
      </c>
      <c r="E40" t="inlineStr"/>
      <c r="F40" s="11" t="n">
        <v>179.21</v>
      </c>
      <c r="G40" t="inlineStr"/>
      <c r="I40" t="inlineStr">
        <is>
          <t>TN</t>
        </is>
      </c>
      <c r="J40" t="inlineStr"/>
      <c r="K40" t="inlineStr">
        <is>
          <t>20230505</t>
        </is>
      </c>
      <c r="L40" t="inlineStr">
        <is>
          <t>20251031</t>
        </is>
      </c>
    </row>
    <row r="41">
      <c r="A41" t="inlineStr">
        <is>
          <t>900000408</t>
        </is>
      </c>
      <c r="B41" t="inlineStr">
        <is>
          <t>DW68</t>
        </is>
      </c>
      <c r="C41" t="inlineStr">
        <is>
          <t>D220</t>
        </is>
      </c>
      <c r="D41" t="inlineStr">
        <is>
          <t>10110631</t>
        </is>
      </c>
      <c r="E41" t="inlineStr"/>
      <c r="F41" s="11" t="n">
        <v>124.05</v>
      </c>
      <c r="G41" t="inlineStr"/>
      <c r="I41" t="inlineStr">
        <is>
          <t>TN</t>
        </is>
      </c>
      <c r="J41" t="inlineStr"/>
      <c r="K41" t="inlineStr">
        <is>
          <t>20220516</t>
        </is>
      </c>
      <c r="L41" t="inlineStr">
        <is>
          <t>20230619</t>
        </is>
      </c>
    </row>
    <row r="42">
      <c r="A42" t="inlineStr">
        <is>
          <t>900000472</t>
        </is>
      </c>
      <c r="B42" t="inlineStr">
        <is>
          <t>DW68</t>
        </is>
      </c>
      <c r="C42" t="inlineStr">
        <is>
          <t>D042</t>
        </is>
      </c>
      <c r="D42" t="inlineStr">
        <is>
          <t>10000175</t>
        </is>
      </c>
      <c r="E42" t="inlineStr"/>
      <c r="F42" s="11" t="n">
        <v>302.5</v>
      </c>
      <c r="G42" t="inlineStr"/>
      <c r="I42" t="inlineStr">
        <is>
          <t>TN</t>
        </is>
      </c>
      <c r="J42" t="inlineStr"/>
      <c r="K42" t="inlineStr">
        <is>
          <t>20210620</t>
        </is>
      </c>
      <c r="L42" t="inlineStr">
        <is>
          <t>20251031</t>
        </is>
      </c>
    </row>
    <row r="43">
      <c r="A43" t="inlineStr">
        <is>
          <t>900000472</t>
        </is>
      </c>
      <c r="B43" t="inlineStr">
        <is>
          <t>DW68</t>
        </is>
      </c>
      <c r="C43" t="inlineStr">
        <is>
          <t>D042</t>
        </is>
      </c>
      <c r="D43" t="inlineStr">
        <is>
          <t>10000624</t>
        </is>
      </c>
      <c r="E43" t="inlineStr"/>
      <c r="F43" s="11" t="n">
        <v>302.5</v>
      </c>
      <c r="G43" t="inlineStr"/>
      <c r="I43" t="inlineStr">
        <is>
          <t>TN</t>
        </is>
      </c>
      <c r="J43" t="inlineStr"/>
      <c r="K43" t="inlineStr">
        <is>
          <t>20210620</t>
        </is>
      </c>
      <c r="L43" t="inlineStr">
        <is>
          <t>20251031</t>
        </is>
      </c>
    </row>
    <row r="44">
      <c r="A44" t="inlineStr">
        <is>
          <t>900000472</t>
        </is>
      </c>
      <c r="B44" t="inlineStr">
        <is>
          <t>DW68</t>
        </is>
      </c>
      <c r="C44" t="inlineStr">
        <is>
          <t>D042</t>
        </is>
      </c>
      <c r="D44" t="inlineStr">
        <is>
          <t>10000635</t>
        </is>
      </c>
      <c r="E44" t="inlineStr"/>
      <c r="F44" s="11" t="n">
        <v>497.96</v>
      </c>
      <c r="G44" t="inlineStr"/>
      <c r="I44" t="inlineStr">
        <is>
          <t>TN</t>
        </is>
      </c>
      <c r="J44" t="inlineStr"/>
      <c r="K44" t="inlineStr">
        <is>
          <t>20250301</t>
        </is>
      </c>
      <c r="L44" t="inlineStr">
        <is>
          <t>99991231</t>
        </is>
      </c>
    </row>
    <row r="45">
      <c r="A45" t="inlineStr">
        <is>
          <t>900000472</t>
        </is>
      </c>
      <c r="B45" t="inlineStr">
        <is>
          <t>DW68</t>
        </is>
      </c>
      <c r="C45" t="inlineStr">
        <is>
          <t>D042</t>
        </is>
      </c>
      <c r="D45" t="inlineStr">
        <is>
          <t>10000643</t>
        </is>
      </c>
      <c r="E45" t="inlineStr"/>
      <c r="F45" s="11" t="n">
        <v>497.96</v>
      </c>
      <c r="G45" t="inlineStr"/>
      <c r="I45" t="inlineStr">
        <is>
          <t>TN</t>
        </is>
      </c>
      <c r="J45" t="inlineStr"/>
      <c r="K45" t="inlineStr">
        <is>
          <t>20250301</t>
        </is>
      </c>
      <c r="L45" t="inlineStr">
        <is>
          <t>99991231</t>
        </is>
      </c>
    </row>
    <row r="46">
      <c r="A46" t="inlineStr">
        <is>
          <t>900000472</t>
        </is>
      </c>
      <c r="B46" t="inlineStr">
        <is>
          <t>DW68</t>
        </is>
      </c>
      <c r="C46" t="inlineStr">
        <is>
          <t>D042</t>
        </is>
      </c>
      <c r="D46" t="inlineStr">
        <is>
          <t>10000655</t>
        </is>
      </c>
      <c r="E46" t="inlineStr"/>
      <c r="F46" s="11" t="n">
        <v>497.96</v>
      </c>
      <c r="G46" t="inlineStr"/>
      <c r="I46" t="inlineStr">
        <is>
          <t>TN</t>
        </is>
      </c>
      <c r="J46" t="inlineStr"/>
      <c r="K46" t="inlineStr">
        <is>
          <t>20250301</t>
        </is>
      </c>
      <c r="L46" t="inlineStr">
        <is>
          <t>99991231</t>
        </is>
      </c>
    </row>
    <row r="47">
      <c r="A47" t="inlineStr">
        <is>
          <t>900000472</t>
        </is>
      </c>
      <c r="B47" t="inlineStr">
        <is>
          <t>DW68</t>
        </is>
      </c>
      <c r="C47" t="inlineStr">
        <is>
          <t>D042</t>
        </is>
      </c>
      <c r="D47" t="inlineStr">
        <is>
          <t>10000722</t>
        </is>
      </c>
      <c r="E47" t="inlineStr"/>
      <c r="F47" s="11" t="n">
        <v>302.5</v>
      </c>
      <c r="G47" t="inlineStr"/>
      <c r="I47" t="inlineStr">
        <is>
          <t>TN</t>
        </is>
      </c>
      <c r="J47" t="inlineStr"/>
      <c r="K47" t="inlineStr">
        <is>
          <t>20210620</t>
        </is>
      </c>
      <c r="L47" t="inlineStr">
        <is>
          <t>20251031</t>
        </is>
      </c>
    </row>
    <row r="48">
      <c r="A48" t="inlineStr">
        <is>
          <t>900000472</t>
        </is>
      </c>
      <c r="B48" t="inlineStr">
        <is>
          <t>DW68</t>
        </is>
      </c>
      <c r="C48" t="inlineStr">
        <is>
          <t>D042</t>
        </is>
      </c>
      <c r="D48" t="inlineStr">
        <is>
          <t>10000735</t>
        </is>
      </c>
      <c r="E48" t="inlineStr"/>
      <c r="F48" s="11" t="n">
        <v>302.5</v>
      </c>
      <c r="G48" t="inlineStr"/>
      <c r="I48" t="inlineStr">
        <is>
          <t>TN</t>
        </is>
      </c>
      <c r="J48" t="inlineStr"/>
      <c r="K48" t="inlineStr">
        <is>
          <t>20210620</t>
        </is>
      </c>
      <c r="L48" t="inlineStr">
        <is>
          <t>20251031</t>
        </is>
      </c>
    </row>
    <row r="49">
      <c r="A49" t="inlineStr">
        <is>
          <t>900000472</t>
        </is>
      </c>
      <c r="B49" t="inlineStr">
        <is>
          <t>DW68</t>
        </is>
      </c>
      <c r="C49" t="inlineStr">
        <is>
          <t>D042</t>
        </is>
      </c>
      <c r="D49" t="inlineStr">
        <is>
          <t>10001456</t>
        </is>
      </c>
      <c r="E49" t="inlineStr"/>
      <c r="F49" s="11" t="n">
        <v>497.96</v>
      </c>
      <c r="G49" t="inlineStr"/>
      <c r="I49" t="inlineStr">
        <is>
          <t>TN</t>
        </is>
      </c>
      <c r="J49" t="inlineStr"/>
      <c r="K49" t="inlineStr">
        <is>
          <t>20250301</t>
        </is>
      </c>
      <c r="L49" t="inlineStr">
        <is>
          <t>99991231</t>
        </is>
      </c>
    </row>
    <row r="50">
      <c r="A50" t="inlineStr">
        <is>
          <t>900000472</t>
        </is>
      </c>
      <c r="B50" t="inlineStr">
        <is>
          <t>DW68</t>
        </is>
      </c>
      <c r="C50" t="inlineStr">
        <is>
          <t>D042</t>
        </is>
      </c>
      <c r="D50" t="inlineStr">
        <is>
          <t>10004432</t>
        </is>
      </c>
      <c r="E50" t="inlineStr"/>
      <c r="F50" s="11" t="n">
        <v>6700</v>
      </c>
      <c r="G50" t="inlineStr"/>
      <c r="I50" t="inlineStr">
        <is>
          <t>TN</t>
        </is>
      </c>
      <c r="J50" t="inlineStr"/>
      <c r="K50" t="inlineStr">
        <is>
          <t>20250425</t>
        </is>
      </c>
      <c r="L50" t="inlineStr">
        <is>
          <t>99991231</t>
        </is>
      </c>
    </row>
    <row r="51">
      <c r="A51" t="inlineStr">
        <is>
          <t>900000472</t>
        </is>
      </c>
      <c r="B51" t="inlineStr">
        <is>
          <t>DW68</t>
        </is>
      </c>
      <c r="C51" t="inlineStr">
        <is>
          <t>D042</t>
        </is>
      </c>
      <c r="D51" t="inlineStr">
        <is>
          <t>10112095</t>
        </is>
      </c>
      <c r="E51" t="inlineStr"/>
      <c r="F51" s="11" t="n">
        <v>6700</v>
      </c>
      <c r="G51" t="inlineStr"/>
      <c r="I51" t="inlineStr">
        <is>
          <t>TN</t>
        </is>
      </c>
      <c r="J51" t="inlineStr"/>
      <c r="K51" t="inlineStr">
        <is>
          <t>20250425</t>
        </is>
      </c>
      <c r="L51" t="inlineStr">
        <is>
          <t>99991231</t>
        </is>
      </c>
    </row>
    <row r="52">
      <c r="A52" t="inlineStr">
        <is>
          <t>900000472</t>
        </is>
      </c>
      <c r="B52" t="inlineStr">
        <is>
          <t>DW68</t>
        </is>
      </c>
      <c r="C52" t="inlineStr">
        <is>
          <t>D209</t>
        </is>
      </c>
      <c r="D52" t="inlineStr">
        <is>
          <t>10004432</t>
        </is>
      </c>
      <c r="E52" t="inlineStr"/>
      <c r="F52" s="11" t="n">
        <v>6700</v>
      </c>
      <c r="G52" t="inlineStr"/>
      <c r="I52" t="inlineStr">
        <is>
          <t>TN</t>
        </is>
      </c>
      <c r="J52" t="inlineStr"/>
      <c r="K52" t="inlineStr">
        <is>
          <t>20220516</t>
        </is>
      </c>
      <c r="L52" t="inlineStr">
        <is>
          <t>20251031</t>
        </is>
      </c>
    </row>
    <row r="53">
      <c r="A53" t="inlineStr">
        <is>
          <t>900000472</t>
        </is>
      </c>
      <c r="B53" t="inlineStr">
        <is>
          <t>DW68</t>
        </is>
      </c>
      <c r="C53" t="inlineStr">
        <is>
          <t>D209</t>
        </is>
      </c>
      <c r="D53" t="inlineStr">
        <is>
          <t>10112095</t>
        </is>
      </c>
      <c r="E53" t="inlineStr"/>
      <c r="F53" s="11" t="n">
        <v>6700</v>
      </c>
      <c r="G53" t="inlineStr"/>
      <c r="I53" t="inlineStr">
        <is>
          <t>TN</t>
        </is>
      </c>
      <c r="J53" t="inlineStr"/>
      <c r="K53" t="inlineStr">
        <is>
          <t>20220516</t>
        </is>
      </c>
      <c r="L53" t="inlineStr">
        <is>
          <t>20251031</t>
        </is>
      </c>
    </row>
    <row r="54">
      <c r="A54" t="inlineStr">
        <is>
          <t>900000472</t>
        </is>
      </c>
      <c r="B54" t="inlineStr">
        <is>
          <t>DW68</t>
        </is>
      </c>
      <c r="C54" t="inlineStr">
        <is>
          <t>D242</t>
        </is>
      </c>
      <c r="D54" t="inlineStr">
        <is>
          <t>10000175</t>
        </is>
      </c>
      <c r="E54" t="inlineStr"/>
      <c r="F54" s="11" t="n">
        <v>302.5</v>
      </c>
      <c r="G54" t="inlineStr"/>
      <c r="I54" t="inlineStr">
        <is>
          <t>TN</t>
        </is>
      </c>
      <c r="J54" t="inlineStr"/>
      <c r="K54" t="inlineStr">
        <is>
          <t>20210620</t>
        </is>
      </c>
      <c r="L54" t="inlineStr">
        <is>
          <t>20251031</t>
        </is>
      </c>
    </row>
    <row r="55">
      <c r="A55" t="inlineStr">
        <is>
          <t>900000472</t>
        </is>
      </c>
      <c r="B55" t="inlineStr">
        <is>
          <t>DW68</t>
        </is>
      </c>
      <c r="C55" t="inlineStr">
        <is>
          <t>D242</t>
        </is>
      </c>
      <c r="D55" t="inlineStr">
        <is>
          <t>10000624</t>
        </is>
      </c>
      <c r="E55" t="inlineStr"/>
      <c r="F55" s="11" t="n">
        <v>302.5</v>
      </c>
      <c r="G55" t="inlineStr"/>
      <c r="I55" t="inlineStr">
        <is>
          <t>TN</t>
        </is>
      </c>
      <c r="J55" t="inlineStr"/>
      <c r="K55" t="inlineStr">
        <is>
          <t>20210620</t>
        </is>
      </c>
      <c r="L55" t="inlineStr">
        <is>
          <t>20251031</t>
        </is>
      </c>
    </row>
    <row r="56">
      <c r="A56" t="inlineStr">
        <is>
          <t>900000472</t>
        </is>
      </c>
      <c r="B56" t="inlineStr">
        <is>
          <t>DW68</t>
        </is>
      </c>
      <c r="C56" t="inlineStr">
        <is>
          <t>D242</t>
        </is>
      </c>
      <c r="D56" t="inlineStr">
        <is>
          <t>10000635</t>
        </is>
      </c>
      <c r="E56" t="inlineStr"/>
      <c r="F56" s="11" t="n">
        <v>497.96</v>
      </c>
      <c r="G56" t="inlineStr"/>
      <c r="I56" t="inlineStr">
        <is>
          <t>TN</t>
        </is>
      </c>
      <c r="J56" t="inlineStr"/>
      <c r="K56" t="inlineStr">
        <is>
          <t>20250301</t>
        </is>
      </c>
      <c r="L56" t="inlineStr">
        <is>
          <t>99991231</t>
        </is>
      </c>
    </row>
    <row r="57">
      <c r="A57" t="inlineStr">
        <is>
          <t>900000472</t>
        </is>
      </c>
      <c r="B57" t="inlineStr">
        <is>
          <t>DW68</t>
        </is>
      </c>
      <c r="C57" t="inlineStr">
        <is>
          <t>D242</t>
        </is>
      </c>
      <c r="D57" t="inlineStr">
        <is>
          <t>10000643</t>
        </is>
      </c>
      <c r="E57" t="inlineStr"/>
      <c r="F57" s="11" t="n">
        <v>497.96</v>
      </c>
      <c r="G57" t="inlineStr"/>
      <c r="I57" t="inlineStr">
        <is>
          <t>TN</t>
        </is>
      </c>
      <c r="J57" t="inlineStr"/>
      <c r="K57" t="inlineStr">
        <is>
          <t>20250301</t>
        </is>
      </c>
      <c r="L57" t="inlineStr">
        <is>
          <t>99991231</t>
        </is>
      </c>
    </row>
    <row r="58">
      <c r="A58" t="inlineStr">
        <is>
          <t>900000472</t>
        </is>
      </c>
      <c r="B58" t="inlineStr">
        <is>
          <t>DW68</t>
        </is>
      </c>
      <c r="C58" t="inlineStr">
        <is>
          <t>D242</t>
        </is>
      </c>
      <c r="D58" t="inlineStr">
        <is>
          <t>10000655</t>
        </is>
      </c>
      <c r="E58" t="inlineStr"/>
      <c r="F58" s="11" t="n">
        <v>497.96</v>
      </c>
      <c r="G58" t="inlineStr"/>
      <c r="I58" t="inlineStr">
        <is>
          <t>TN</t>
        </is>
      </c>
      <c r="J58" t="inlineStr"/>
      <c r="K58" t="inlineStr">
        <is>
          <t>20250301</t>
        </is>
      </c>
      <c r="L58" t="inlineStr">
        <is>
          <t>99991231</t>
        </is>
      </c>
    </row>
    <row r="59">
      <c r="A59" t="inlineStr">
        <is>
          <t>900000472</t>
        </is>
      </c>
      <c r="B59" t="inlineStr">
        <is>
          <t>DW68</t>
        </is>
      </c>
      <c r="C59" t="inlineStr">
        <is>
          <t>D242</t>
        </is>
      </c>
      <c r="D59" t="inlineStr">
        <is>
          <t>10000722</t>
        </is>
      </c>
      <c r="E59" t="inlineStr"/>
      <c r="F59" s="11" t="n">
        <v>302.5</v>
      </c>
      <c r="G59" t="inlineStr"/>
      <c r="I59" t="inlineStr">
        <is>
          <t>TN</t>
        </is>
      </c>
      <c r="J59" t="inlineStr"/>
      <c r="K59" t="inlineStr">
        <is>
          <t>20210620</t>
        </is>
      </c>
      <c r="L59" t="inlineStr">
        <is>
          <t>20251031</t>
        </is>
      </c>
    </row>
    <row r="60">
      <c r="A60" t="inlineStr">
        <is>
          <t>900000472</t>
        </is>
      </c>
      <c r="B60" t="inlineStr">
        <is>
          <t>DW68</t>
        </is>
      </c>
      <c r="C60" t="inlineStr">
        <is>
          <t>D242</t>
        </is>
      </c>
      <c r="D60" t="inlineStr">
        <is>
          <t>10000735</t>
        </is>
      </c>
      <c r="E60" t="inlineStr"/>
      <c r="F60" s="11" t="n">
        <v>302.5</v>
      </c>
      <c r="G60" t="inlineStr"/>
      <c r="I60" t="inlineStr">
        <is>
          <t>TN</t>
        </is>
      </c>
      <c r="J60" t="inlineStr"/>
      <c r="K60" t="inlineStr">
        <is>
          <t>20210620</t>
        </is>
      </c>
      <c r="L60" t="inlineStr">
        <is>
          <t>20251031</t>
        </is>
      </c>
    </row>
    <row r="61">
      <c r="A61" t="inlineStr">
        <is>
          <t>900000472</t>
        </is>
      </c>
      <c r="B61" t="inlineStr">
        <is>
          <t>DW68</t>
        </is>
      </c>
      <c r="C61" t="inlineStr">
        <is>
          <t>D242</t>
        </is>
      </c>
      <c r="D61" t="inlineStr">
        <is>
          <t>10001456</t>
        </is>
      </c>
      <c r="E61" t="inlineStr"/>
      <c r="F61" s="11" t="n">
        <v>497.96</v>
      </c>
      <c r="G61" t="inlineStr"/>
      <c r="I61" t="inlineStr">
        <is>
          <t>TN</t>
        </is>
      </c>
      <c r="J61" t="inlineStr"/>
      <c r="K61" t="inlineStr">
        <is>
          <t>20250301</t>
        </is>
      </c>
      <c r="L61" t="inlineStr">
        <is>
          <t>99991231</t>
        </is>
      </c>
    </row>
    <row r="62">
      <c r="A62" t="inlineStr">
        <is>
          <t>900000472</t>
        </is>
      </c>
      <c r="B62" t="inlineStr">
        <is>
          <t>DW68</t>
        </is>
      </c>
      <c r="C62" t="inlineStr">
        <is>
          <t>D264</t>
        </is>
      </c>
      <c r="D62" t="inlineStr">
        <is>
          <t>10000635</t>
        </is>
      </c>
      <c r="E62" t="inlineStr"/>
      <c r="F62" s="11" t="n">
        <v>497.96</v>
      </c>
      <c r="G62" t="inlineStr"/>
      <c r="I62" t="inlineStr">
        <is>
          <t>TN</t>
        </is>
      </c>
      <c r="J62" t="inlineStr"/>
      <c r="K62" t="inlineStr">
        <is>
          <t>20250301</t>
        </is>
      </c>
      <c r="L62" t="inlineStr">
        <is>
          <t>99991231</t>
        </is>
      </c>
    </row>
    <row r="63">
      <c r="A63" t="inlineStr">
        <is>
          <t>900000472</t>
        </is>
      </c>
      <c r="B63" t="inlineStr">
        <is>
          <t>DW68</t>
        </is>
      </c>
      <c r="C63" t="inlineStr">
        <is>
          <t>D264</t>
        </is>
      </c>
      <c r="D63" t="inlineStr">
        <is>
          <t>10000643</t>
        </is>
      </c>
      <c r="E63" t="inlineStr"/>
      <c r="F63" s="11" t="n">
        <v>497.96</v>
      </c>
      <c r="G63" t="inlineStr"/>
      <c r="I63" t="inlineStr">
        <is>
          <t>TN</t>
        </is>
      </c>
      <c r="J63" t="inlineStr"/>
      <c r="K63" t="inlineStr">
        <is>
          <t>20250301</t>
        </is>
      </c>
      <c r="L63" t="inlineStr">
        <is>
          <t>99991231</t>
        </is>
      </c>
    </row>
    <row r="64">
      <c r="A64" t="inlineStr">
        <is>
          <t>900000472</t>
        </is>
      </c>
      <c r="B64" t="inlineStr">
        <is>
          <t>DW68</t>
        </is>
      </c>
      <c r="C64" t="inlineStr">
        <is>
          <t>D264</t>
        </is>
      </c>
      <c r="D64" t="inlineStr">
        <is>
          <t>10000655</t>
        </is>
      </c>
      <c r="E64" t="inlineStr"/>
      <c r="F64" s="11" t="n">
        <v>497.96</v>
      </c>
      <c r="G64" t="inlineStr"/>
      <c r="I64" t="inlineStr">
        <is>
          <t>TN</t>
        </is>
      </c>
      <c r="J64" t="inlineStr"/>
      <c r="K64" t="inlineStr">
        <is>
          <t>20250301</t>
        </is>
      </c>
      <c r="L64" t="inlineStr">
        <is>
          <t>99991231</t>
        </is>
      </c>
    </row>
    <row r="65">
      <c r="A65" t="inlineStr">
        <is>
          <t>900000472</t>
        </is>
      </c>
      <c r="B65" t="inlineStr">
        <is>
          <t>DW68</t>
        </is>
      </c>
      <c r="C65" t="inlineStr">
        <is>
          <t>D264</t>
        </is>
      </c>
      <c r="D65" t="inlineStr">
        <is>
          <t>10001456</t>
        </is>
      </c>
      <c r="E65" t="inlineStr"/>
      <c r="F65" s="11" t="n">
        <v>497.96</v>
      </c>
      <c r="G65" t="inlineStr"/>
      <c r="I65" t="inlineStr">
        <is>
          <t>TN</t>
        </is>
      </c>
      <c r="J65" t="inlineStr"/>
      <c r="K65" t="inlineStr">
        <is>
          <t>20250301</t>
        </is>
      </c>
      <c r="L65" t="inlineStr">
        <is>
          <t>99991231</t>
        </is>
      </c>
    </row>
    <row r="66">
      <c r="A66" t="inlineStr">
        <is>
          <t>900000620</t>
        </is>
      </c>
      <c r="B66" t="inlineStr">
        <is>
          <t>DW68</t>
        </is>
      </c>
      <c r="C66" t="inlineStr">
        <is>
          <t>D577</t>
        </is>
      </c>
      <c r="D66" t="inlineStr">
        <is>
          <t>10000439</t>
        </is>
      </c>
      <c r="E66" t="inlineStr"/>
      <c r="F66" s="11" t="n">
        <v>257.04</v>
      </c>
      <c r="G66" t="inlineStr"/>
      <c r="I66" t="inlineStr">
        <is>
          <t>TN</t>
        </is>
      </c>
      <c r="J66" t="inlineStr"/>
      <c r="K66" t="inlineStr">
        <is>
          <t>20260407</t>
        </is>
      </c>
      <c r="L66" t="inlineStr">
        <is>
          <t>99991231</t>
        </is>
      </c>
    </row>
    <row r="67">
      <c r="A67" t="inlineStr">
        <is>
          <t>900000620</t>
        </is>
      </c>
      <c r="B67" t="inlineStr">
        <is>
          <t>DW68</t>
        </is>
      </c>
      <c r="C67" t="inlineStr">
        <is>
          <t>D577</t>
        </is>
      </c>
      <c r="D67" t="inlineStr">
        <is>
          <t>10209065</t>
        </is>
      </c>
      <c r="E67" t="inlineStr"/>
      <c r="F67" s="11" t="n">
        <v>109.2</v>
      </c>
      <c r="G67" t="inlineStr"/>
      <c r="I67" t="inlineStr">
        <is>
          <t>TN</t>
        </is>
      </c>
      <c r="J67" t="inlineStr"/>
      <c r="K67" t="inlineStr">
        <is>
          <t>20260301</t>
        </is>
      </c>
      <c r="L67" t="inlineStr">
        <is>
          <t>99991231</t>
        </is>
      </c>
    </row>
    <row r="68">
      <c r="A68" t="inlineStr">
        <is>
          <t>900000620</t>
        </is>
      </c>
      <c r="B68" t="inlineStr">
        <is>
          <t>DW68</t>
        </is>
      </c>
      <c r="C68" t="inlineStr">
        <is>
          <t>D577</t>
        </is>
      </c>
      <c r="D68" t="inlineStr">
        <is>
          <t>10270898</t>
        </is>
      </c>
      <c r="E68" t="inlineStr"/>
      <c r="F68" s="11" t="n">
        <v>184.44</v>
      </c>
      <c r="G68" t="inlineStr"/>
      <c r="I68" t="inlineStr">
        <is>
          <t>TN</t>
        </is>
      </c>
      <c r="J68" t="inlineStr"/>
      <c r="K68" t="inlineStr">
        <is>
          <t>20260301</t>
        </is>
      </c>
      <c r="L68" t="inlineStr">
        <is>
          <t>99991231</t>
        </is>
      </c>
    </row>
    <row r="69">
      <c r="A69" t="inlineStr">
        <is>
          <t>900000620</t>
        </is>
      </c>
      <c r="B69" t="inlineStr">
        <is>
          <t>DW68</t>
        </is>
      </c>
      <c r="C69" t="inlineStr">
        <is>
          <t>D577</t>
        </is>
      </c>
      <c r="D69" t="inlineStr">
        <is>
          <t>10270911</t>
        </is>
      </c>
      <c r="E69" t="inlineStr"/>
      <c r="F69" s="11" t="n">
        <v>216.58</v>
      </c>
      <c r="G69" t="inlineStr"/>
      <c r="I69" t="inlineStr">
        <is>
          <t>TN</t>
        </is>
      </c>
      <c r="J69" t="inlineStr"/>
      <c r="K69" t="inlineStr">
        <is>
          <t>20260326</t>
        </is>
      </c>
      <c r="L69" t="inlineStr">
        <is>
          <t>99991231</t>
        </is>
      </c>
    </row>
    <row r="70">
      <c r="A70" t="inlineStr">
        <is>
          <t>900000620</t>
        </is>
      </c>
      <c r="B70" t="inlineStr">
        <is>
          <t>DW68</t>
        </is>
      </c>
      <c r="C70" t="inlineStr">
        <is>
          <t>D577</t>
        </is>
      </c>
      <c r="D70" t="inlineStr">
        <is>
          <t>10270912</t>
        </is>
      </c>
      <c r="E70" t="inlineStr"/>
      <c r="F70" s="11" t="n">
        <v>245</v>
      </c>
      <c r="G70" t="inlineStr"/>
      <c r="I70" t="inlineStr">
        <is>
          <t>TN</t>
        </is>
      </c>
      <c r="J70" t="inlineStr"/>
      <c r="K70" t="inlineStr">
        <is>
          <t>20260326</t>
        </is>
      </c>
      <c r="L70" t="inlineStr">
        <is>
          <t>99991231</t>
        </is>
      </c>
    </row>
    <row r="71">
      <c r="A71" t="inlineStr">
        <is>
          <t>900000620</t>
        </is>
      </c>
      <c r="B71" t="inlineStr">
        <is>
          <t>DW68</t>
        </is>
      </c>
      <c r="C71" t="inlineStr">
        <is>
          <t>D577</t>
        </is>
      </c>
      <c r="D71" t="inlineStr">
        <is>
          <t>10270913</t>
        </is>
      </c>
      <c r="E71" t="inlineStr"/>
      <c r="F71" s="11" t="n">
        <v>231.12</v>
      </c>
      <c r="G71" t="inlineStr"/>
      <c r="I71" t="inlineStr">
        <is>
          <t>TN</t>
        </is>
      </c>
      <c r="J71" t="inlineStr"/>
      <c r="K71" t="inlineStr">
        <is>
          <t>20260326</t>
        </is>
      </c>
      <c r="L71" t="inlineStr">
        <is>
          <t>99991231</t>
        </is>
      </c>
    </row>
    <row r="72">
      <c r="A72" t="inlineStr">
        <is>
          <t>900000620</t>
        </is>
      </c>
      <c r="B72" t="inlineStr">
        <is>
          <t>DW68</t>
        </is>
      </c>
      <c r="C72" t="inlineStr">
        <is>
          <t>ENEB</t>
        </is>
      </c>
      <c r="D72" t="inlineStr">
        <is>
          <t>10209065</t>
        </is>
      </c>
      <c r="E72" t="inlineStr"/>
      <c r="F72" s="11" t="n">
        <v>109.2</v>
      </c>
      <c r="G72" t="inlineStr"/>
      <c r="I72" t="inlineStr">
        <is>
          <t>TN</t>
        </is>
      </c>
      <c r="J72" t="inlineStr"/>
      <c r="K72" t="inlineStr">
        <is>
          <t>20260301</t>
        </is>
      </c>
      <c r="L72" t="inlineStr">
        <is>
          <t>99991231</t>
        </is>
      </c>
    </row>
    <row r="73">
      <c r="A73" t="inlineStr">
        <is>
          <t>900000620</t>
        </is>
      </c>
      <c r="B73" t="inlineStr">
        <is>
          <t>DW68</t>
        </is>
      </c>
      <c r="C73" t="inlineStr">
        <is>
          <t>ENL1</t>
        </is>
      </c>
      <c r="D73" t="inlineStr">
        <is>
          <t>10000439</t>
        </is>
      </c>
      <c r="E73" t="inlineStr"/>
      <c r="F73" s="11" t="n">
        <v>238</v>
      </c>
      <c r="G73" t="inlineStr"/>
      <c r="I73" t="inlineStr">
        <is>
          <t>TN</t>
        </is>
      </c>
      <c r="J73" t="inlineStr"/>
      <c r="K73" t="inlineStr">
        <is>
          <t>20260126</t>
        </is>
      </c>
      <c r="L73" t="inlineStr">
        <is>
          <t>20260326</t>
        </is>
      </c>
    </row>
    <row r="74">
      <c r="A74" t="inlineStr">
        <is>
          <t>900000620</t>
        </is>
      </c>
      <c r="B74" t="inlineStr">
        <is>
          <t>DW68</t>
        </is>
      </c>
      <c r="C74" t="inlineStr">
        <is>
          <t>ENL1</t>
        </is>
      </c>
      <c r="D74" t="inlineStr">
        <is>
          <t>10209065</t>
        </is>
      </c>
      <c r="E74" t="inlineStr"/>
      <c r="F74" s="11" t="n">
        <v>109.2</v>
      </c>
      <c r="G74" t="inlineStr"/>
      <c r="I74" t="inlineStr">
        <is>
          <t>TN</t>
        </is>
      </c>
      <c r="J74" t="inlineStr"/>
      <c r="K74" t="inlineStr">
        <is>
          <t>20260301</t>
        </is>
      </c>
      <c r="L74" t="inlineStr">
        <is>
          <t>99991231</t>
        </is>
      </c>
    </row>
    <row r="75">
      <c r="A75" t="inlineStr">
        <is>
          <t>900000620</t>
        </is>
      </c>
      <c r="B75" t="inlineStr">
        <is>
          <t>DW68</t>
        </is>
      </c>
      <c r="C75" t="inlineStr">
        <is>
          <t>ENL1</t>
        </is>
      </c>
      <c r="D75" t="inlineStr">
        <is>
          <t>10270898</t>
        </is>
      </c>
      <c r="E75" t="inlineStr"/>
      <c r="F75" s="11" t="n">
        <v>184.44</v>
      </c>
      <c r="G75" t="inlineStr"/>
      <c r="I75" t="inlineStr">
        <is>
          <t>TN</t>
        </is>
      </c>
      <c r="J75" t="inlineStr"/>
      <c r="K75" t="inlineStr">
        <is>
          <t>20260301</t>
        </is>
      </c>
      <c r="L75" t="inlineStr">
        <is>
          <t>99991231</t>
        </is>
      </c>
    </row>
    <row r="76">
      <c r="A76" t="inlineStr">
        <is>
          <t>900000620</t>
        </is>
      </c>
      <c r="B76" t="inlineStr">
        <is>
          <t>DW68</t>
        </is>
      </c>
      <c r="C76" t="inlineStr">
        <is>
          <t>ENL1</t>
        </is>
      </c>
      <c r="D76" t="inlineStr">
        <is>
          <t>10270911</t>
        </is>
      </c>
      <c r="E76" t="inlineStr"/>
      <c r="F76" s="11" t="n">
        <v>216.58</v>
      </c>
      <c r="G76" t="inlineStr"/>
      <c r="I76" t="inlineStr">
        <is>
          <t>TN</t>
        </is>
      </c>
      <c r="J76" t="inlineStr"/>
      <c r="K76" t="inlineStr">
        <is>
          <t>20260126</t>
        </is>
      </c>
      <c r="L76" t="inlineStr">
        <is>
          <t>99991231</t>
        </is>
      </c>
    </row>
    <row r="77">
      <c r="A77" t="inlineStr">
        <is>
          <t>900000620</t>
        </is>
      </c>
      <c r="B77" t="inlineStr">
        <is>
          <t>DW68</t>
        </is>
      </c>
      <c r="C77" t="inlineStr">
        <is>
          <t>ENL1</t>
        </is>
      </c>
      <c r="D77" t="inlineStr">
        <is>
          <t>10270912</t>
        </is>
      </c>
      <c r="E77" t="inlineStr"/>
      <c r="F77" s="11" t="n">
        <v>245</v>
      </c>
      <c r="G77" t="inlineStr"/>
      <c r="I77" t="inlineStr">
        <is>
          <t>TN</t>
        </is>
      </c>
      <c r="J77" t="inlineStr"/>
      <c r="K77" t="inlineStr">
        <is>
          <t>20260301</t>
        </is>
      </c>
      <c r="L77" t="inlineStr">
        <is>
          <t>99991231</t>
        </is>
      </c>
    </row>
    <row r="78">
      <c r="A78" t="inlineStr">
        <is>
          <t>900000620</t>
        </is>
      </c>
      <c r="B78" t="inlineStr">
        <is>
          <t>DW68</t>
        </is>
      </c>
      <c r="C78" t="inlineStr">
        <is>
          <t>ENL1</t>
        </is>
      </c>
      <c r="D78" t="inlineStr">
        <is>
          <t>10270913</t>
        </is>
      </c>
      <c r="E78" t="inlineStr"/>
      <c r="F78" s="11" t="n">
        <v>231.12</v>
      </c>
      <c r="G78" t="inlineStr"/>
      <c r="I78" t="inlineStr">
        <is>
          <t>TN</t>
        </is>
      </c>
      <c r="J78" t="inlineStr"/>
      <c r="K78" t="inlineStr">
        <is>
          <t>20260301</t>
        </is>
      </c>
      <c r="L78" t="inlineStr">
        <is>
          <t>99991231</t>
        </is>
      </c>
    </row>
    <row r="79">
      <c r="A79" t="inlineStr">
        <is>
          <t>900000620</t>
        </is>
      </c>
      <c r="B79" t="inlineStr">
        <is>
          <t>DW68</t>
        </is>
      </c>
      <c r="C79" t="inlineStr">
        <is>
          <t>ENV8</t>
        </is>
      </c>
      <c r="D79" t="inlineStr">
        <is>
          <t>10209065</t>
        </is>
      </c>
      <c r="E79" t="inlineStr"/>
      <c r="F79" s="11" t="n">
        <v>109.2</v>
      </c>
      <c r="G79" t="inlineStr"/>
      <c r="I79" t="inlineStr">
        <is>
          <t>TN</t>
        </is>
      </c>
      <c r="J79" t="inlineStr"/>
      <c r="K79" t="inlineStr">
        <is>
          <t>20260301</t>
        </is>
      </c>
      <c r="L79" t="inlineStr">
        <is>
          <t>99991231</t>
        </is>
      </c>
    </row>
    <row r="80">
      <c r="A80" t="inlineStr">
        <is>
          <t>900000620</t>
        </is>
      </c>
      <c r="B80" t="inlineStr">
        <is>
          <t>DW68</t>
        </is>
      </c>
      <c r="C80" t="inlineStr">
        <is>
          <t>ENV9</t>
        </is>
      </c>
      <c r="D80" t="inlineStr">
        <is>
          <t>10000439</t>
        </is>
      </c>
      <c r="E80" t="inlineStr"/>
      <c r="F80" s="11" t="n">
        <v>238</v>
      </c>
      <c r="G80" t="inlineStr"/>
      <c r="I80" t="inlineStr">
        <is>
          <t>TN</t>
        </is>
      </c>
      <c r="J80" t="inlineStr"/>
      <c r="K80" t="inlineStr">
        <is>
          <t>20260126</t>
        </is>
      </c>
      <c r="L80" t="inlineStr">
        <is>
          <t>20260326</t>
        </is>
      </c>
    </row>
    <row r="81">
      <c r="A81" t="inlineStr">
        <is>
          <t>900000620</t>
        </is>
      </c>
      <c r="B81" t="inlineStr">
        <is>
          <t>DW68</t>
        </is>
      </c>
      <c r="C81" t="inlineStr">
        <is>
          <t>ENV9</t>
        </is>
      </c>
      <c r="D81" t="inlineStr">
        <is>
          <t>10209065</t>
        </is>
      </c>
      <c r="E81" t="inlineStr"/>
      <c r="F81" s="11" t="n">
        <v>109.2</v>
      </c>
      <c r="G81" t="inlineStr"/>
      <c r="I81" t="inlineStr">
        <is>
          <t>TN</t>
        </is>
      </c>
      <c r="J81" t="inlineStr"/>
      <c r="K81" t="inlineStr">
        <is>
          <t>20260301</t>
        </is>
      </c>
      <c r="L81" t="inlineStr">
        <is>
          <t>99991231</t>
        </is>
      </c>
    </row>
    <row r="82">
      <c r="A82" t="inlineStr">
        <is>
          <t>900000620</t>
        </is>
      </c>
      <c r="B82" t="inlineStr">
        <is>
          <t>DW68</t>
        </is>
      </c>
      <c r="C82" t="inlineStr">
        <is>
          <t>ENV9</t>
        </is>
      </c>
      <c r="D82" t="inlineStr">
        <is>
          <t>10270898</t>
        </is>
      </c>
      <c r="E82" t="inlineStr"/>
      <c r="F82" s="11" t="n">
        <v>184.44</v>
      </c>
      <c r="G82" t="inlineStr"/>
      <c r="I82" t="inlineStr">
        <is>
          <t>TN</t>
        </is>
      </c>
      <c r="J82" t="inlineStr"/>
      <c r="K82" t="inlineStr">
        <is>
          <t>20260301</t>
        </is>
      </c>
      <c r="L82" t="inlineStr">
        <is>
          <t>99991231</t>
        </is>
      </c>
    </row>
    <row r="83">
      <c r="A83" t="inlineStr">
        <is>
          <t>900000620</t>
        </is>
      </c>
      <c r="B83" t="inlineStr">
        <is>
          <t>DW68</t>
        </is>
      </c>
      <c r="C83" t="inlineStr">
        <is>
          <t>ENV9</t>
        </is>
      </c>
      <c r="D83" t="inlineStr">
        <is>
          <t>10270911</t>
        </is>
      </c>
      <c r="E83" t="inlineStr"/>
      <c r="F83" s="11" t="n">
        <v>216.58</v>
      </c>
      <c r="G83" t="inlineStr"/>
      <c r="I83" t="inlineStr">
        <is>
          <t>TN</t>
        </is>
      </c>
      <c r="J83" t="inlineStr"/>
      <c r="K83" t="inlineStr">
        <is>
          <t>20260301</t>
        </is>
      </c>
      <c r="L83" t="inlineStr">
        <is>
          <t>99991231</t>
        </is>
      </c>
    </row>
    <row r="84">
      <c r="A84" t="inlineStr">
        <is>
          <t>900000620</t>
        </is>
      </c>
      <c r="B84" t="inlineStr">
        <is>
          <t>DW68</t>
        </is>
      </c>
      <c r="C84" t="inlineStr">
        <is>
          <t>ENV9</t>
        </is>
      </c>
      <c r="D84" t="inlineStr">
        <is>
          <t>10270912</t>
        </is>
      </c>
      <c r="E84" t="inlineStr"/>
      <c r="F84" s="11" t="n">
        <v>245</v>
      </c>
      <c r="G84" t="inlineStr"/>
      <c r="I84" t="inlineStr">
        <is>
          <t>TN</t>
        </is>
      </c>
      <c r="J84" t="inlineStr"/>
      <c r="K84" t="inlineStr">
        <is>
          <t>20260301</t>
        </is>
      </c>
      <c r="L84" t="inlineStr">
        <is>
          <t>99991231</t>
        </is>
      </c>
    </row>
    <row r="85">
      <c r="A85" t="inlineStr">
        <is>
          <t>900000620</t>
        </is>
      </c>
      <c r="B85" t="inlineStr">
        <is>
          <t>DW68</t>
        </is>
      </c>
      <c r="C85" t="inlineStr">
        <is>
          <t>ENV9</t>
        </is>
      </c>
      <c r="D85" t="inlineStr">
        <is>
          <t>10270913</t>
        </is>
      </c>
      <c r="E85" t="inlineStr"/>
      <c r="F85" s="11" t="n">
        <v>231.12</v>
      </c>
      <c r="G85" t="inlineStr"/>
      <c r="I85" t="inlineStr">
        <is>
          <t>TN</t>
        </is>
      </c>
      <c r="J85" t="inlineStr"/>
      <c r="K85" t="inlineStr">
        <is>
          <t>20260301</t>
        </is>
      </c>
      <c r="L85" t="inlineStr">
        <is>
          <t>99991231</t>
        </is>
      </c>
    </row>
    <row r="86">
      <c r="A86" t="inlineStr">
        <is>
          <t>900001405</t>
        </is>
      </c>
      <c r="B86" t="inlineStr">
        <is>
          <t>DW68</t>
        </is>
      </c>
      <c r="C86" t="inlineStr">
        <is>
          <t>D242</t>
        </is>
      </c>
      <c r="D86" t="inlineStr">
        <is>
          <t>10000586</t>
        </is>
      </c>
      <c r="E86" t="inlineStr"/>
      <c r="F86" s="11" t="n">
        <v>530.25</v>
      </c>
      <c r="G86" t="inlineStr"/>
      <c r="I86" t="inlineStr">
        <is>
          <t>TN</t>
        </is>
      </c>
      <c r="J86" t="inlineStr"/>
      <c r="K86" t="inlineStr">
        <is>
          <t>20210620</t>
        </is>
      </c>
      <c r="L86" t="inlineStr">
        <is>
          <t>20251031</t>
        </is>
      </c>
    </row>
    <row r="87">
      <c r="A87" t="inlineStr">
        <is>
          <t>900001405</t>
        </is>
      </c>
      <c r="B87" t="inlineStr">
        <is>
          <t>DW68</t>
        </is>
      </c>
      <c r="C87" t="inlineStr">
        <is>
          <t>D242</t>
        </is>
      </c>
      <c r="D87" t="inlineStr">
        <is>
          <t>10001867</t>
        </is>
      </c>
      <c r="E87" t="inlineStr"/>
      <c r="F87" s="11" t="n">
        <v>535</v>
      </c>
      <c r="G87" t="inlineStr"/>
      <c r="I87" t="inlineStr">
        <is>
          <t>TN</t>
        </is>
      </c>
      <c r="J87" t="inlineStr"/>
      <c r="K87" t="inlineStr">
        <is>
          <t>20210620</t>
        </is>
      </c>
      <c r="L87" t="inlineStr">
        <is>
          <t>20251031</t>
        </is>
      </c>
    </row>
    <row r="88">
      <c r="A88" t="inlineStr">
        <is>
          <t>900001445</t>
        </is>
      </c>
      <c r="B88" t="inlineStr">
        <is>
          <t>DW68</t>
        </is>
      </c>
      <c r="C88" t="inlineStr">
        <is>
          <t>D042</t>
        </is>
      </c>
      <c r="D88" t="inlineStr">
        <is>
          <t>10000200</t>
        </is>
      </c>
      <c r="E88" t="inlineStr"/>
      <c r="F88" s="11" t="n">
        <v>84.75</v>
      </c>
      <c r="G88" t="inlineStr"/>
      <c r="I88" t="inlineStr">
        <is>
          <t>TN</t>
        </is>
      </c>
      <c r="J88" t="inlineStr"/>
      <c r="K88" t="inlineStr">
        <is>
          <t>20220516</t>
        </is>
      </c>
      <c r="L88" t="inlineStr">
        <is>
          <t>20230413</t>
        </is>
      </c>
    </row>
    <row r="89">
      <c r="A89" t="inlineStr">
        <is>
          <t>900001445</t>
        </is>
      </c>
      <c r="B89" t="inlineStr">
        <is>
          <t>DW68</t>
        </is>
      </c>
      <c r="C89" t="inlineStr">
        <is>
          <t>D042</t>
        </is>
      </c>
      <c r="D89" t="inlineStr">
        <is>
          <t>10018375</t>
        </is>
      </c>
      <c r="E89" t="inlineStr"/>
      <c r="F89" s="11" t="n">
        <v>45.45</v>
      </c>
      <c r="G89" t="inlineStr"/>
      <c r="I89" t="inlineStr">
        <is>
          <t>TN</t>
        </is>
      </c>
      <c r="J89" t="inlineStr"/>
      <c r="K89" t="inlineStr">
        <is>
          <t>20220516</t>
        </is>
      </c>
      <c r="L89" t="inlineStr">
        <is>
          <t>20230413</t>
        </is>
      </c>
    </row>
    <row r="90">
      <c r="A90" t="inlineStr">
        <is>
          <t>900001445</t>
        </is>
      </c>
      <c r="B90" t="inlineStr">
        <is>
          <t>DW68</t>
        </is>
      </c>
      <c r="C90" t="inlineStr">
        <is>
          <t>D209</t>
        </is>
      </c>
      <c r="D90" t="inlineStr">
        <is>
          <t>10000200</t>
        </is>
      </c>
      <c r="E90" t="inlineStr"/>
      <c r="F90" s="11" t="n">
        <v>84.75</v>
      </c>
      <c r="G90" t="inlineStr"/>
      <c r="I90" t="inlineStr">
        <is>
          <t>TN</t>
        </is>
      </c>
      <c r="J90" t="inlineStr"/>
      <c r="K90" t="inlineStr">
        <is>
          <t>20220516</t>
        </is>
      </c>
      <c r="L90" t="inlineStr">
        <is>
          <t>20230413</t>
        </is>
      </c>
    </row>
    <row r="91">
      <c r="A91" t="inlineStr">
        <is>
          <t>900001445</t>
        </is>
      </c>
      <c r="B91" t="inlineStr">
        <is>
          <t>DW68</t>
        </is>
      </c>
      <c r="C91" t="inlineStr">
        <is>
          <t>D209</t>
        </is>
      </c>
      <c r="D91" t="inlineStr">
        <is>
          <t>10018375</t>
        </is>
      </c>
      <c r="E91" t="inlineStr"/>
      <c r="F91" s="11" t="n">
        <v>45.45</v>
      </c>
      <c r="G91" t="inlineStr"/>
      <c r="I91" t="inlineStr">
        <is>
          <t>TN</t>
        </is>
      </c>
      <c r="J91" t="inlineStr"/>
      <c r="K91" t="inlineStr">
        <is>
          <t>20220516</t>
        </is>
      </c>
      <c r="L91" t="inlineStr">
        <is>
          <t>20230413</t>
        </is>
      </c>
    </row>
    <row r="92">
      <c r="A92" t="inlineStr">
        <is>
          <t>900001445</t>
        </is>
      </c>
      <c r="B92" t="inlineStr">
        <is>
          <t>DW68</t>
        </is>
      </c>
      <c r="C92" t="inlineStr">
        <is>
          <t>D211</t>
        </is>
      </c>
      <c r="D92" t="inlineStr">
        <is>
          <t>10000200</t>
        </is>
      </c>
      <c r="E92" t="inlineStr"/>
      <c r="F92" s="11" t="n">
        <v>84.75</v>
      </c>
      <c r="G92" t="inlineStr"/>
      <c r="I92" t="inlineStr">
        <is>
          <t>TN</t>
        </is>
      </c>
      <c r="J92" t="inlineStr"/>
      <c r="K92" t="inlineStr">
        <is>
          <t>20220516</t>
        </is>
      </c>
      <c r="L92" t="inlineStr">
        <is>
          <t>20230413</t>
        </is>
      </c>
    </row>
    <row r="93">
      <c r="A93" t="inlineStr">
        <is>
          <t>900001445</t>
        </is>
      </c>
      <c r="B93" t="inlineStr">
        <is>
          <t>DW68</t>
        </is>
      </c>
      <c r="C93" t="inlineStr">
        <is>
          <t>D211</t>
        </is>
      </c>
      <c r="D93" t="inlineStr">
        <is>
          <t>10018375</t>
        </is>
      </c>
      <c r="E93" t="inlineStr"/>
      <c r="F93" s="11" t="n">
        <v>45.45</v>
      </c>
      <c r="G93" t="inlineStr"/>
      <c r="I93" t="inlineStr">
        <is>
          <t>TN</t>
        </is>
      </c>
      <c r="J93" t="inlineStr"/>
      <c r="K93" t="inlineStr">
        <is>
          <t>20220516</t>
        </is>
      </c>
      <c r="L93" t="inlineStr">
        <is>
          <t>20230413</t>
        </is>
      </c>
    </row>
    <row r="94">
      <c r="A94" t="inlineStr">
        <is>
          <t>900001445</t>
        </is>
      </c>
      <c r="B94" t="inlineStr">
        <is>
          <t>DW68</t>
        </is>
      </c>
      <c r="C94" t="inlineStr">
        <is>
          <t>D213</t>
        </is>
      </c>
      <c r="D94" t="inlineStr">
        <is>
          <t>10000200</t>
        </is>
      </c>
      <c r="E94" t="inlineStr"/>
      <c r="F94" s="11" t="n">
        <v>84.75</v>
      </c>
      <c r="G94" t="inlineStr"/>
      <c r="I94" t="inlineStr">
        <is>
          <t>TN</t>
        </is>
      </c>
      <c r="J94" t="inlineStr"/>
      <c r="K94" t="inlineStr">
        <is>
          <t>20220516</t>
        </is>
      </c>
      <c r="L94" t="inlineStr">
        <is>
          <t>20230413</t>
        </is>
      </c>
    </row>
    <row r="95">
      <c r="A95" t="inlineStr">
        <is>
          <t>900001445</t>
        </is>
      </c>
      <c r="B95" t="inlineStr">
        <is>
          <t>DW68</t>
        </is>
      </c>
      <c r="C95" t="inlineStr">
        <is>
          <t>D214</t>
        </is>
      </c>
      <c r="D95" t="inlineStr">
        <is>
          <t>10000200</t>
        </is>
      </c>
      <c r="E95" t="inlineStr"/>
      <c r="F95" s="11" t="n">
        <v>52.54</v>
      </c>
      <c r="G95" t="inlineStr"/>
      <c r="I95" t="inlineStr">
        <is>
          <t>TN</t>
        </is>
      </c>
      <c r="J95" t="inlineStr"/>
      <c r="K95" t="inlineStr">
        <is>
          <t>20220516</t>
        </is>
      </c>
      <c r="L95" t="inlineStr">
        <is>
          <t>20230413</t>
        </is>
      </c>
    </row>
    <row r="96">
      <c r="A96" t="inlineStr">
        <is>
          <t>900001445</t>
        </is>
      </c>
      <c r="B96" t="inlineStr">
        <is>
          <t>DW68</t>
        </is>
      </c>
      <c r="C96" t="inlineStr">
        <is>
          <t>D214</t>
        </is>
      </c>
      <c r="D96" t="inlineStr">
        <is>
          <t>10018375</t>
        </is>
      </c>
      <c r="E96" t="inlineStr"/>
      <c r="F96" s="11" t="n">
        <v>45.45</v>
      </c>
      <c r="G96" t="inlineStr"/>
      <c r="I96" t="inlineStr">
        <is>
          <t>TN</t>
        </is>
      </c>
      <c r="J96" t="inlineStr"/>
      <c r="K96" t="inlineStr">
        <is>
          <t>20220516</t>
        </is>
      </c>
      <c r="L96" t="inlineStr">
        <is>
          <t>20230413</t>
        </is>
      </c>
    </row>
    <row r="97">
      <c r="A97" t="inlineStr">
        <is>
          <t>900001445</t>
        </is>
      </c>
      <c r="B97" t="inlineStr">
        <is>
          <t>DW68</t>
        </is>
      </c>
      <c r="C97" t="inlineStr">
        <is>
          <t>D220</t>
        </is>
      </c>
      <c r="D97" t="inlineStr">
        <is>
          <t>10000200</t>
        </is>
      </c>
      <c r="E97" t="inlineStr"/>
      <c r="F97" s="11" t="n">
        <v>84.75</v>
      </c>
      <c r="G97" t="inlineStr"/>
      <c r="I97" t="inlineStr">
        <is>
          <t>TN</t>
        </is>
      </c>
      <c r="J97" t="inlineStr"/>
      <c r="K97" t="inlineStr">
        <is>
          <t>20220516</t>
        </is>
      </c>
      <c r="L97" t="inlineStr">
        <is>
          <t>20230413</t>
        </is>
      </c>
    </row>
    <row r="98">
      <c r="A98" t="inlineStr">
        <is>
          <t>900001445</t>
        </is>
      </c>
      <c r="B98" t="inlineStr">
        <is>
          <t>DW68</t>
        </is>
      </c>
      <c r="C98" t="inlineStr">
        <is>
          <t>D228</t>
        </is>
      </c>
      <c r="D98" t="inlineStr">
        <is>
          <t>10000200</t>
        </is>
      </c>
      <c r="E98" t="inlineStr"/>
      <c r="F98" s="11" t="n">
        <v>84.75</v>
      </c>
      <c r="G98" t="inlineStr"/>
      <c r="I98" t="inlineStr">
        <is>
          <t>TN</t>
        </is>
      </c>
      <c r="J98" t="inlineStr"/>
      <c r="K98" t="inlineStr">
        <is>
          <t>20220516</t>
        </is>
      </c>
      <c r="L98" t="inlineStr">
        <is>
          <t>20230413</t>
        </is>
      </c>
    </row>
    <row r="99">
      <c r="A99" t="inlineStr">
        <is>
          <t>900001445</t>
        </is>
      </c>
      <c r="B99" t="inlineStr">
        <is>
          <t>DW68</t>
        </is>
      </c>
      <c r="C99" t="inlineStr">
        <is>
          <t>D228</t>
        </is>
      </c>
      <c r="D99" t="inlineStr">
        <is>
          <t>10018375</t>
        </is>
      </c>
      <c r="E99" t="inlineStr"/>
      <c r="F99" s="11" t="n">
        <v>45.45</v>
      </c>
      <c r="G99" t="inlineStr"/>
      <c r="I99" t="inlineStr">
        <is>
          <t>TN</t>
        </is>
      </c>
      <c r="J99" t="inlineStr"/>
      <c r="K99" t="inlineStr">
        <is>
          <t>20220516</t>
        </is>
      </c>
      <c r="L99" t="inlineStr">
        <is>
          <t>20230413</t>
        </is>
      </c>
    </row>
    <row r="100">
      <c r="A100" t="inlineStr">
        <is>
          <t>900001445</t>
        </is>
      </c>
      <c r="B100" t="inlineStr">
        <is>
          <t>DW68</t>
        </is>
      </c>
      <c r="C100" t="inlineStr">
        <is>
          <t>D242</t>
        </is>
      </c>
      <c r="D100" t="inlineStr">
        <is>
          <t>10000200</t>
        </is>
      </c>
      <c r="E100" t="inlineStr"/>
      <c r="F100" s="11" t="n">
        <v>84.75</v>
      </c>
      <c r="G100" t="inlineStr"/>
      <c r="I100" t="inlineStr">
        <is>
          <t>TN</t>
        </is>
      </c>
      <c r="J100" t="inlineStr"/>
      <c r="K100" t="inlineStr">
        <is>
          <t>20220516</t>
        </is>
      </c>
      <c r="L100" t="inlineStr">
        <is>
          <t>20230413</t>
        </is>
      </c>
    </row>
    <row r="101">
      <c r="A101" t="inlineStr">
        <is>
          <t>900001445</t>
        </is>
      </c>
      <c r="B101" t="inlineStr">
        <is>
          <t>DW68</t>
        </is>
      </c>
      <c r="C101" t="inlineStr">
        <is>
          <t>D242</t>
        </is>
      </c>
      <c r="D101" t="inlineStr">
        <is>
          <t>10018375</t>
        </is>
      </c>
      <c r="E101" t="inlineStr"/>
      <c r="F101" s="11" t="n">
        <v>45.45</v>
      </c>
      <c r="G101" t="inlineStr"/>
      <c r="I101" t="inlineStr">
        <is>
          <t>TN</t>
        </is>
      </c>
      <c r="J101" t="inlineStr"/>
      <c r="K101" t="inlineStr">
        <is>
          <t>20220516</t>
        </is>
      </c>
      <c r="L101" t="inlineStr">
        <is>
          <t>20230413</t>
        </is>
      </c>
    </row>
    <row r="102">
      <c r="A102" t="inlineStr">
        <is>
          <t>900001445</t>
        </is>
      </c>
      <c r="B102" t="inlineStr">
        <is>
          <t>DW68</t>
        </is>
      </c>
      <c r="C102" t="inlineStr">
        <is>
          <t>D247</t>
        </is>
      </c>
      <c r="D102" t="inlineStr">
        <is>
          <t>10000200</t>
        </is>
      </c>
      <c r="E102" t="inlineStr"/>
      <c r="F102" s="11" t="n">
        <v>84.75</v>
      </c>
      <c r="G102" t="inlineStr"/>
      <c r="I102" t="inlineStr">
        <is>
          <t>TN</t>
        </is>
      </c>
      <c r="J102" t="inlineStr"/>
      <c r="K102" t="inlineStr">
        <is>
          <t>20220516</t>
        </is>
      </c>
      <c r="L102" t="inlineStr">
        <is>
          <t>20230413</t>
        </is>
      </c>
    </row>
    <row r="103">
      <c r="A103" t="inlineStr">
        <is>
          <t>900001445</t>
        </is>
      </c>
      <c r="B103" t="inlineStr">
        <is>
          <t>DW68</t>
        </is>
      </c>
      <c r="C103" t="inlineStr">
        <is>
          <t>D247</t>
        </is>
      </c>
      <c r="D103" t="inlineStr">
        <is>
          <t>10018375</t>
        </is>
      </c>
      <c r="E103" t="inlineStr"/>
      <c r="F103" s="11" t="n">
        <v>45.45</v>
      </c>
      <c r="G103" t="inlineStr"/>
      <c r="I103" t="inlineStr">
        <is>
          <t>TN</t>
        </is>
      </c>
      <c r="J103" t="inlineStr"/>
      <c r="K103" t="inlineStr">
        <is>
          <t>20220516</t>
        </is>
      </c>
      <c r="L103" t="inlineStr">
        <is>
          <t>20230413</t>
        </is>
      </c>
    </row>
    <row r="104">
      <c r="A104" t="inlineStr">
        <is>
          <t>900001445</t>
        </is>
      </c>
      <c r="B104" t="inlineStr">
        <is>
          <t>DW68</t>
        </is>
      </c>
      <c r="C104" t="inlineStr">
        <is>
          <t>D264</t>
        </is>
      </c>
      <c r="D104" t="inlineStr">
        <is>
          <t>10000200</t>
        </is>
      </c>
      <c r="E104" t="inlineStr"/>
      <c r="F104" s="11" t="n">
        <v>84.75</v>
      </c>
      <c r="G104" t="inlineStr"/>
      <c r="I104" t="inlineStr">
        <is>
          <t>TN</t>
        </is>
      </c>
      <c r="J104" t="inlineStr"/>
      <c r="K104" t="inlineStr">
        <is>
          <t>20220516</t>
        </is>
      </c>
      <c r="L104" t="inlineStr">
        <is>
          <t>20230413</t>
        </is>
      </c>
    </row>
    <row r="105">
      <c r="A105" t="inlineStr">
        <is>
          <t>900001445</t>
        </is>
      </c>
      <c r="B105" t="inlineStr">
        <is>
          <t>DW68</t>
        </is>
      </c>
      <c r="C105" t="inlineStr">
        <is>
          <t>D264</t>
        </is>
      </c>
      <c r="D105" t="inlineStr">
        <is>
          <t>10018375</t>
        </is>
      </c>
      <c r="E105" t="inlineStr"/>
      <c r="F105" s="11" t="n">
        <v>45.45</v>
      </c>
      <c r="G105" t="inlineStr"/>
      <c r="I105" t="inlineStr">
        <is>
          <t>TN</t>
        </is>
      </c>
      <c r="J105" t="inlineStr"/>
      <c r="K105" t="inlineStr">
        <is>
          <t>20220516</t>
        </is>
      </c>
      <c r="L105" t="inlineStr">
        <is>
          <t>20230413</t>
        </is>
      </c>
    </row>
    <row r="106">
      <c r="A106" t="inlineStr">
        <is>
          <t>900001445</t>
        </is>
      </c>
      <c r="B106" t="inlineStr">
        <is>
          <t>DW68</t>
        </is>
      </c>
      <c r="C106" t="inlineStr">
        <is>
          <t>D267</t>
        </is>
      </c>
      <c r="D106" t="inlineStr">
        <is>
          <t>10000200</t>
        </is>
      </c>
      <c r="E106" t="inlineStr"/>
      <c r="F106" s="11" t="n">
        <v>84.75</v>
      </c>
      <c r="G106" t="inlineStr"/>
      <c r="I106" t="inlineStr">
        <is>
          <t>TN</t>
        </is>
      </c>
      <c r="J106" t="inlineStr"/>
      <c r="K106" t="inlineStr">
        <is>
          <t>20220516</t>
        </is>
      </c>
      <c r="L106" t="inlineStr">
        <is>
          <t>20230413</t>
        </is>
      </c>
    </row>
    <row r="107">
      <c r="A107" t="inlineStr">
        <is>
          <t>900001445</t>
        </is>
      </c>
      <c r="B107" t="inlineStr">
        <is>
          <t>DW68</t>
        </is>
      </c>
      <c r="C107" t="inlineStr">
        <is>
          <t>D267</t>
        </is>
      </c>
      <c r="D107" t="inlineStr">
        <is>
          <t>10018375</t>
        </is>
      </c>
      <c r="E107" t="inlineStr"/>
      <c r="F107" s="11" t="n">
        <v>45.45</v>
      </c>
      <c r="G107" t="inlineStr"/>
      <c r="I107" t="inlineStr">
        <is>
          <t>TN</t>
        </is>
      </c>
      <c r="J107" t="inlineStr"/>
      <c r="K107" t="inlineStr">
        <is>
          <t>20220516</t>
        </is>
      </c>
      <c r="L107" t="inlineStr">
        <is>
          <t>20230413</t>
        </is>
      </c>
    </row>
    <row r="108">
      <c r="A108" t="inlineStr">
        <is>
          <t>900002068</t>
        </is>
      </c>
      <c r="B108" t="inlineStr">
        <is>
          <t>DW68</t>
        </is>
      </c>
      <c r="C108" t="inlineStr">
        <is>
          <t>D042</t>
        </is>
      </c>
      <c r="D108" t="inlineStr">
        <is>
          <t>10000835</t>
        </is>
      </c>
      <c r="E108" t="inlineStr"/>
      <c r="F108" s="11" t="n">
        <v>69.84</v>
      </c>
      <c r="G108" t="inlineStr"/>
      <c r="I108" t="inlineStr">
        <is>
          <t>TN</t>
        </is>
      </c>
      <c r="J108" t="inlineStr"/>
      <c r="K108" t="inlineStr">
        <is>
          <t>20250701</t>
        </is>
      </c>
      <c r="L108" t="inlineStr">
        <is>
          <t>99991231</t>
        </is>
      </c>
    </row>
    <row r="109">
      <c r="A109" t="inlineStr">
        <is>
          <t>900002068</t>
        </is>
      </c>
      <c r="B109" t="inlineStr">
        <is>
          <t>DW68</t>
        </is>
      </c>
      <c r="C109" t="inlineStr">
        <is>
          <t>D209</t>
        </is>
      </c>
      <c r="D109" t="inlineStr">
        <is>
          <t>10000835</t>
        </is>
      </c>
      <c r="E109" t="inlineStr"/>
      <c r="F109" s="11" t="n">
        <v>69.84</v>
      </c>
      <c r="G109" t="inlineStr"/>
      <c r="I109" t="inlineStr">
        <is>
          <t>TN</t>
        </is>
      </c>
      <c r="J109" t="inlineStr"/>
      <c r="K109" t="inlineStr">
        <is>
          <t>20250701</t>
        </is>
      </c>
      <c r="L109" t="inlineStr">
        <is>
          <t>99991231</t>
        </is>
      </c>
    </row>
    <row r="110">
      <c r="A110" t="inlineStr">
        <is>
          <t>900002068</t>
        </is>
      </c>
      <c r="B110" t="inlineStr">
        <is>
          <t>DW68</t>
        </is>
      </c>
      <c r="C110" t="inlineStr">
        <is>
          <t>D209</t>
        </is>
      </c>
      <c r="D110" t="inlineStr">
        <is>
          <t>10018375</t>
        </is>
      </c>
      <c r="E110" t="inlineStr"/>
      <c r="F110" s="11" t="n">
        <v>51.99</v>
      </c>
      <c r="G110" t="inlineStr"/>
      <c r="I110" t="inlineStr">
        <is>
          <t>TN</t>
        </is>
      </c>
      <c r="J110" t="inlineStr"/>
      <c r="K110" t="inlineStr">
        <is>
          <t>20210620</t>
        </is>
      </c>
      <c r="L110" t="inlineStr">
        <is>
          <t>20251031</t>
        </is>
      </c>
    </row>
    <row r="111">
      <c r="A111" t="inlineStr">
        <is>
          <t>900002068</t>
        </is>
      </c>
      <c r="B111" t="inlineStr">
        <is>
          <t>DW68</t>
        </is>
      </c>
      <c r="C111" t="inlineStr">
        <is>
          <t>D211</t>
        </is>
      </c>
      <c r="D111" t="inlineStr">
        <is>
          <t>10000835</t>
        </is>
      </c>
      <c r="E111" t="inlineStr"/>
      <c r="F111" s="11" t="n">
        <v>69.84</v>
      </c>
      <c r="G111" t="inlineStr"/>
      <c r="I111" t="inlineStr">
        <is>
          <t>TN</t>
        </is>
      </c>
      <c r="J111" t="inlineStr"/>
      <c r="K111" t="inlineStr">
        <is>
          <t>20250701</t>
        </is>
      </c>
      <c r="L111" t="inlineStr">
        <is>
          <t>99991231</t>
        </is>
      </c>
    </row>
    <row r="112">
      <c r="A112" t="inlineStr">
        <is>
          <t>900002068</t>
        </is>
      </c>
      <c r="B112" t="inlineStr">
        <is>
          <t>DW68</t>
        </is>
      </c>
      <c r="C112" t="inlineStr">
        <is>
          <t>D211</t>
        </is>
      </c>
      <c r="D112" t="inlineStr">
        <is>
          <t>10018375</t>
        </is>
      </c>
      <c r="E112" t="inlineStr"/>
      <c r="F112" s="11" t="n">
        <v>51.95</v>
      </c>
      <c r="G112" t="inlineStr"/>
      <c r="I112" t="inlineStr">
        <is>
          <t>TN</t>
        </is>
      </c>
      <c r="J112" t="inlineStr"/>
      <c r="K112" t="inlineStr">
        <is>
          <t>20210620</t>
        </is>
      </c>
      <c r="L112" t="inlineStr">
        <is>
          <t>20251031</t>
        </is>
      </c>
    </row>
    <row r="113">
      <c r="A113" t="inlineStr">
        <is>
          <t>900002068</t>
        </is>
      </c>
      <c r="B113" t="inlineStr">
        <is>
          <t>DW68</t>
        </is>
      </c>
      <c r="C113" t="inlineStr">
        <is>
          <t>D213</t>
        </is>
      </c>
      <c r="D113" t="inlineStr">
        <is>
          <t>10000835</t>
        </is>
      </c>
      <c r="E113" t="inlineStr"/>
      <c r="F113" s="11" t="n">
        <v>69.84</v>
      </c>
      <c r="G113" t="inlineStr"/>
      <c r="I113" t="inlineStr">
        <is>
          <t>TN</t>
        </is>
      </c>
      <c r="J113" t="inlineStr"/>
      <c r="K113" t="inlineStr">
        <is>
          <t>20250701</t>
        </is>
      </c>
      <c r="L113" t="inlineStr">
        <is>
          <t>99991231</t>
        </is>
      </c>
    </row>
    <row r="114">
      <c r="A114" t="inlineStr">
        <is>
          <t>900002068</t>
        </is>
      </c>
      <c r="B114" t="inlineStr">
        <is>
          <t>DW68</t>
        </is>
      </c>
      <c r="C114" t="inlineStr">
        <is>
          <t>D213</t>
        </is>
      </c>
      <c r="D114" t="inlineStr">
        <is>
          <t>10018375</t>
        </is>
      </c>
      <c r="E114" t="inlineStr"/>
      <c r="F114" s="11" t="n">
        <v>75.09999999999999</v>
      </c>
      <c r="G114" t="inlineStr"/>
      <c r="I114" t="inlineStr">
        <is>
          <t>TN</t>
        </is>
      </c>
      <c r="J114" t="inlineStr"/>
      <c r="K114" t="inlineStr">
        <is>
          <t>20210620</t>
        </is>
      </c>
      <c r="L114" t="inlineStr">
        <is>
          <t>20251031</t>
        </is>
      </c>
    </row>
    <row r="115">
      <c r="A115" t="inlineStr">
        <is>
          <t>900002068</t>
        </is>
      </c>
      <c r="B115" t="inlineStr">
        <is>
          <t>DW68</t>
        </is>
      </c>
      <c r="C115" t="inlineStr">
        <is>
          <t>D214</t>
        </is>
      </c>
      <c r="D115" t="inlineStr">
        <is>
          <t>10000835</t>
        </is>
      </c>
      <c r="E115" t="inlineStr"/>
      <c r="F115" s="11" t="n">
        <v>55.93</v>
      </c>
      <c r="G115" t="inlineStr"/>
      <c r="I115" t="inlineStr">
        <is>
          <t>TN</t>
        </is>
      </c>
      <c r="J115" t="inlineStr"/>
      <c r="K115" t="inlineStr">
        <is>
          <t>20230202</t>
        </is>
      </c>
      <c r="L115" t="inlineStr">
        <is>
          <t>99991231</t>
        </is>
      </c>
    </row>
    <row r="116">
      <c r="A116" t="inlineStr">
        <is>
          <t>900002068</t>
        </is>
      </c>
      <c r="B116" t="inlineStr">
        <is>
          <t>DW68</t>
        </is>
      </c>
      <c r="C116" t="inlineStr">
        <is>
          <t>D214</t>
        </is>
      </c>
      <c r="D116" t="inlineStr">
        <is>
          <t>10018375</t>
        </is>
      </c>
      <c r="E116" t="inlineStr"/>
      <c r="F116" s="11" t="n">
        <v>52.18</v>
      </c>
      <c r="G116" t="inlineStr"/>
      <c r="I116" t="inlineStr">
        <is>
          <t>TN</t>
        </is>
      </c>
      <c r="J116" t="inlineStr"/>
      <c r="K116" t="inlineStr">
        <is>
          <t>20210620</t>
        </is>
      </c>
      <c r="L116" t="inlineStr">
        <is>
          <t>20251031</t>
        </is>
      </c>
    </row>
    <row r="117">
      <c r="A117" t="inlineStr">
        <is>
          <t>900002068</t>
        </is>
      </c>
      <c r="B117" t="inlineStr">
        <is>
          <t>DW68</t>
        </is>
      </c>
      <c r="C117" t="inlineStr">
        <is>
          <t>D220</t>
        </is>
      </c>
      <c r="D117" t="inlineStr">
        <is>
          <t>10000835</t>
        </is>
      </c>
      <c r="E117" t="inlineStr"/>
      <c r="F117" s="11" t="n">
        <v>69.84</v>
      </c>
      <c r="G117" t="inlineStr"/>
      <c r="I117" t="inlineStr">
        <is>
          <t>TN</t>
        </is>
      </c>
      <c r="J117" t="inlineStr"/>
      <c r="K117" t="inlineStr">
        <is>
          <t>20250701</t>
        </is>
      </c>
      <c r="L117" t="inlineStr">
        <is>
          <t>99991231</t>
        </is>
      </c>
    </row>
    <row r="118">
      <c r="A118" t="inlineStr">
        <is>
          <t>900002068</t>
        </is>
      </c>
      <c r="B118" t="inlineStr">
        <is>
          <t>DW68</t>
        </is>
      </c>
      <c r="C118" t="inlineStr">
        <is>
          <t>D220</t>
        </is>
      </c>
      <c r="D118" t="inlineStr">
        <is>
          <t>10018375</t>
        </is>
      </c>
      <c r="E118" t="inlineStr"/>
      <c r="F118" s="11" t="n">
        <v>75.09999999999999</v>
      </c>
      <c r="G118" t="inlineStr"/>
      <c r="I118" t="inlineStr">
        <is>
          <t>TN</t>
        </is>
      </c>
      <c r="J118" t="inlineStr"/>
      <c r="K118" t="inlineStr">
        <is>
          <t>20210620</t>
        </is>
      </c>
      <c r="L118" t="inlineStr">
        <is>
          <t>20251031</t>
        </is>
      </c>
    </row>
    <row r="119">
      <c r="A119" t="inlineStr">
        <is>
          <t>900002068</t>
        </is>
      </c>
      <c r="B119" t="inlineStr">
        <is>
          <t>DW68</t>
        </is>
      </c>
      <c r="C119" t="inlineStr">
        <is>
          <t>D228</t>
        </is>
      </c>
      <c r="D119" t="inlineStr">
        <is>
          <t>10000835</t>
        </is>
      </c>
      <c r="E119" t="inlineStr"/>
      <c r="F119" s="11" t="n">
        <v>69.84</v>
      </c>
      <c r="G119" t="inlineStr"/>
      <c r="I119" t="inlineStr">
        <is>
          <t>TN</t>
        </is>
      </c>
      <c r="J119" t="inlineStr"/>
      <c r="K119" t="inlineStr">
        <is>
          <t>20250701</t>
        </is>
      </c>
      <c r="L119" t="inlineStr">
        <is>
          <t>99991231</t>
        </is>
      </c>
    </row>
    <row r="120">
      <c r="A120" t="inlineStr">
        <is>
          <t>900002068</t>
        </is>
      </c>
      <c r="B120" t="inlineStr">
        <is>
          <t>DW68</t>
        </is>
      </c>
      <c r="C120" t="inlineStr">
        <is>
          <t>D228</t>
        </is>
      </c>
      <c r="D120" t="inlineStr">
        <is>
          <t>10018375</t>
        </is>
      </c>
      <c r="E120" t="inlineStr"/>
      <c r="F120" s="11" t="n">
        <v>51.29</v>
      </c>
      <c r="G120" t="inlineStr"/>
      <c r="I120" t="inlineStr">
        <is>
          <t>TN</t>
        </is>
      </c>
      <c r="J120" t="inlineStr"/>
      <c r="K120" t="inlineStr">
        <is>
          <t>20210620</t>
        </is>
      </c>
      <c r="L120" t="inlineStr">
        <is>
          <t>20251031</t>
        </is>
      </c>
    </row>
    <row r="121">
      <c r="A121" t="inlineStr">
        <is>
          <t>900002068</t>
        </is>
      </c>
      <c r="B121" t="inlineStr">
        <is>
          <t>DW68</t>
        </is>
      </c>
      <c r="C121" t="inlineStr">
        <is>
          <t>D242</t>
        </is>
      </c>
      <c r="D121" t="inlineStr">
        <is>
          <t>10000835</t>
        </is>
      </c>
      <c r="E121" t="inlineStr"/>
      <c r="F121" s="11" t="n">
        <v>69.84</v>
      </c>
      <c r="G121" t="inlineStr"/>
      <c r="I121" t="inlineStr">
        <is>
          <t>TN</t>
        </is>
      </c>
      <c r="J121" t="inlineStr"/>
      <c r="K121" t="inlineStr">
        <is>
          <t>20250701</t>
        </is>
      </c>
      <c r="L121" t="inlineStr">
        <is>
          <t>99991231</t>
        </is>
      </c>
    </row>
    <row r="122">
      <c r="A122" t="inlineStr">
        <is>
          <t>900002068</t>
        </is>
      </c>
      <c r="B122" t="inlineStr">
        <is>
          <t>DW68</t>
        </is>
      </c>
      <c r="C122" t="inlineStr">
        <is>
          <t>D242</t>
        </is>
      </c>
      <c r="D122" t="inlineStr">
        <is>
          <t>10018375</t>
        </is>
      </c>
      <c r="E122" t="inlineStr"/>
      <c r="F122" s="11" t="n">
        <v>51.81</v>
      </c>
      <c r="G122" t="inlineStr"/>
      <c r="I122" t="inlineStr">
        <is>
          <t>TN</t>
        </is>
      </c>
      <c r="J122" t="inlineStr"/>
      <c r="K122" t="inlineStr">
        <is>
          <t>20210620</t>
        </is>
      </c>
      <c r="L122" t="inlineStr">
        <is>
          <t>20251031</t>
        </is>
      </c>
    </row>
    <row r="123">
      <c r="A123" t="inlineStr">
        <is>
          <t>900002068</t>
        </is>
      </c>
      <c r="B123" t="inlineStr">
        <is>
          <t>DW68</t>
        </is>
      </c>
      <c r="C123" t="inlineStr">
        <is>
          <t>D247</t>
        </is>
      </c>
      <c r="D123" t="inlineStr">
        <is>
          <t>10000835</t>
        </is>
      </c>
      <c r="E123" t="inlineStr"/>
      <c r="F123" s="11" t="n">
        <v>69.84</v>
      </c>
      <c r="G123" t="inlineStr"/>
      <c r="I123" t="inlineStr">
        <is>
          <t>TN</t>
        </is>
      </c>
      <c r="J123" t="inlineStr"/>
      <c r="K123" t="inlineStr">
        <is>
          <t>20250701</t>
        </is>
      </c>
      <c r="L123" t="inlineStr">
        <is>
          <t>99991231</t>
        </is>
      </c>
    </row>
    <row r="124">
      <c r="A124" t="inlineStr">
        <is>
          <t>900002068</t>
        </is>
      </c>
      <c r="B124" t="inlineStr">
        <is>
          <t>DW68</t>
        </is>
      </c>
      <c r="C124" t="inlineStr">
        <is>
          <t>D251</t>
        </is>
      </c>
      <c r="D124" t="inlineStr">
        <is>
          <t>10000835</t>
        </is>
      </c>
      <c r="E124" t="inlineStr"/>
      <c r="F124" s="11" t="n">
        <v>69.84</v>
      </c>
      <c r="G124" t="inlineStr"/>
      <c r="I124" t="inlineStr">
        <is>
          <t>TN</t>
        </is>
      </c>
      <c r="J124" t="inlineStr"/>
      <c r="K124" t="inlineStr">
        <is>
          <t>20250701</t>
        </is>
      </c>
      <c r="L124" t="inlineStr">
        <is>
          <t>99991231</t>
        </is>
      </c>
    </row>
    <row r="125">
      <c r="A125" t="inlineStr">
        <is>
          <t>900002068</t>
        </is>
      </c>
      <c r="B125" t="inlineStr">
        <is>
          <t>DW68</t>
        </is>
      </c>
      <c r="C125" t="inlineStr">
        <is>
          <t>D264</t>
        </is>
      </c>
      <c r="D125" t="inlineStr">
        <is>
          <t>10000835</t>
        </is>
      </c>
      <c r="E125" t="inlineStr"/>
      <c r="F125" s="11" t="n">
        <v>69.84</v>
      </c>
      <c r="G125" t="inlineStr"/>
      <c r="I125" t="inlineStr">
        <is>
          <t>TN</t>
        </is>
      </c>
      <c r="J125" t="inlineStr"/>
      <c r="K125" t="inlineStr">
        <is>
          <t>20250701</t>
        </is>
      </c>
      <c r="L125" t="inlineStr">
        <is>
          <t>99991231</t>
        </is>
      </c>
    </row>
    <row r="126">
      <c r="A126" t="inlineStr">
        <is>
          <t>900002068</t>
        </is>
      </c>
      <c r="B126" t="inlineStr">
        <is>
          <t>DW68</t>
        </is>
      </c>
      <c r="C126" t="inlineStr">
        <is>
          <t>D264</t>
        </is>
      </c>
      <c r="D126" t="inlineStr">
        <is>
          <t>10018375</t>
        </is>
      </c>
      <c r="E126" t="inlineStr"/>
      <c r="F126" s="11" t="n">
        <v>52.04</v>
      </c>
      <c r="G126" t="inlineStr"/>
      <c r="I126" t="inlineStr">
        <is>
          <t>TN</t>
        </is>
      </c>
      <c r="J126" t="inlineStr"/>
      <c r="K126" t="inlineStr">
        <is>
          <t>20210620</t>
        </is>
      </c>
      <c r="L126" t="inlineStr">
        <is>
          <t>20251031</t>
        </is>
      </c>
    </row>
    <row r="127">
      <c r="A127" t="inlineStr">
        <is>
          <t>900002068</t>
        </is>
      </c>
      <c r="B127" t="inlineStr">
        <is>
          <t>DW68</t>
        </is>
      </c>
      <c r="C127" t="inlineStr">
        <is>
          <t>D267</t>
        </is>
      </c>
      <c r="D127" t="inlineStr">
        <is>
          <t>10000835</t>
        </is>
      </c>
      <c r="E127" t="inlineStr"/>
      <c r="F127" s="11" t="n">
        <v>69.84</v>
      </c>
      <c r="G127" t="inlineStr"/>
      <c r="I127" t="inlineStr">
        <is>
          <t>TN</t>
        </is>
      </c>
      <c r="J127" t="inlineStr"/>
      <c r="K127" t="inlineStr">
        <is>
          <t>20250701</t>
        </is>
      </c>
      <c r="L127" t="inlineStr">
        <is>
          <t>99991231</t>
        </is>
      </c>
    </row>
    <row r="128">
      <c r="A128" t="inlineStr">
        <is>
          <t>900002068</t>
        </is>
      </c>
      <c r="B128" t="inlineStr">
        <is>
          <t>DW68</t>
        </is>
      </c>
      <c r="C128" t="inlineStr">
        <is>
          <t>D268</t>
        </is>
      </c>
      <c r="D128" t="inlineStr">
        <is>
          <t>10000835</t>
        </is>
      </c>
      <c r="E128" t="inlineStr"/>
      <c r="F128" s="11" t="n">
        <v>69.84</v>
      </c>
      <c r="G128" t="inlineStr"/>
      <c r="I128" t="inlineStr">
        <is>
          <t>TN</t>
        </is>
      </c>
      <c r="J128" t="inlineStr"/>
      <c r="K128" t="inlineStr">
        <is>
          <t>20250701</t>
        </is>
      </c>
      <c r="L128" t="inlineStr">
        <is>
          <t>99991231</t>
        </is>
      </c>
    </row>
    <row r="129">
      <c r="A129" t="inlineStr">
        <is>
          <t>900002122</t>
        </is>
      </c>
      <c r="B129" t="inlineStr">
        <is>
          <t>DW68</t>
        </is>
      </c>
      <c r="C129" t="inlineStr">
        <is>
          <t>D251</t>
        </is>
      </c>
      <c r="D129" t="inlineStr">
        <is>
          <t>10000835</t>
        </is>
      </c>
      <c r="E129" t="inlineStr"/>
      <c r="F129" s="11" t="n">
        <v>69.84</v>
      </c>
      <c r="G129" t="inlineStr"/>
      <c r="I129" t="inlineStr">
        <is>
          <t>TN</t>
        </is>
      </c>
      <c r="J129" t="inlineStr"/>
      <c r="K129" t="inlineStr">
        <is>
          <t>20250701</t>
        </is>
      </c>
      <c r="L129" t="inlineStr">
        <is>
          <t>20251031</t>
        </is>
      </c>
    </row>
    <row r="130">
      <c r="A130" t="inlineStr">
        <is>
          <t>900002733</t>
        </is>
      </c>
      <c r="B130" t="inlineStr">
        <is>
          <t>DW68</t>
        </is>
      </c>
      <c r="C130" t="inlineStr">
        <is>
          <t>D042</t>
        </is>
      </c>
      <c r="D130" t="inlineStr">
        <is>
          <t>10018375</t>
        </is>
      </c>
      <c r="E130" t="inlineStr"/>
      <c r="F130" s="11" t="n">
        <v>45.45</v>
      </c>
      <c r="G130" t="inlineStr"/>
      <c r="I130" t="inlineStr">
        <is>
          <t>TN</t>
        </is>
      </c>
      <c r="J130" t="inlineStr"/>
      <c r="K130" t="inlineStr">
        <is>
          <t>20220516</t>
        </is>
      </c>
      <c r="L130" t="inlineStr">
        <is>
          <t>20251031</t>
        </is>
      </c>
    </row>
    <row r="131">
      <c r="A131" t="inlineStr">
        <is>
          <t>900002733</t>
        </is>
      </c>
      <c r="B131" t="inlineStr">
        <is>
          <t>DW68</t>
        </is>
      </c>
      <c r="C131" t="inlineStr">
        <is>
          <t>D209</t>
        </is>
      </c>
      <c r="D131" t="inlineStr">
        <is>
          <t>10018375</t>
        </is>
      </c>
      <c r="E131" t="inlineStr"/>
      <c r="F131" s="11" t="n">
        <v>45.45</v>
      </c>
      <c r="G131" t="inlineStr"/>
      <c r="I131" t="inlineStr">
        <is>
          <t>TN</t>
        </is>
      </c>
      <c r="J131" t="inlineStr"/>
      <c r="K131" t="inlineStr">
        <is>
          <t>20220516</t>
        </is>
      </c>
      <c r="L131" t="inlineStr">
        <is>
          <t>20251031</t>
        </is>
      </c>
    </row>
    <row r="132">
      <c r="A132" t="inlineStr">
        <is>
          <t>900002733</t>
        </is>
      </c>
      <c r="B132" t="inlineStr">
        <is>
          <t>DW68</t>
        </is>
      </c>
      <c r="C132" t="inlineStr">
        <is>
          <t>D211</t>
        </is>
      </c>
      <c r="D132" t="inlineStr">
        <is>
          <t>10018375</t>
        </is>
      </c>
      <c r="E132" t="inlineStr"/>
      <c r="F132" s="11" t="n">
        <v>45.45</v>
      </c>
      <c r="G132" t="inlineStr"/>
      <c r="I132" t="inlineStr">
        <is>
          <t>TN</t>
        </is>
      </c>
      <c r="J132" t="inlineStr"/>
      <c r="K132" t="inlineStr">
        <is>
          <t>20220516</t>
        </is>
      </c>
      <c r="L132" t="inlineStr">
        <is>
          <t>20251031</t>
        </is>
      </c>
    </row>
    <row r="133">
      <c r="A133" t="inlineStr">
        <is>
          <t>900002733</t>
        </is>
      </c>
      <c r="B133" t="inlineStr">
        <is>
          <t>DW68</t>
        </is>
      </c>
      <c r="C133" t="inlineStr">
        <is>
          <t>D214</t>
        </is>
      </c>
      <c r="D133" t="inlineStr">
        <is>
          <t>10018375</t>
        </is>
      </c>
      <c r="E133" t="inlineStr"/>
      <c r="F133" s="11" t="n">
        <v>45.45</v>
      </c>
      <c r="G133" t="inlineStr"/>
      <c r="I133" t="inlineStr">
        <is>
          <t>TN</t>
        </is>
      </c>
      <c r="J133" t="inlineStr"/>
      <c r="K133" t="inlineStr">
        <is>
          <t>20220516</t>
        </is>
      </c>
      <c r="L133" t="inlineStr">
        <is>
          <t>20251031</t>
        </is>
      </c>
    </row>
    <row r="134">
      <c r="A134" t="inlineStr">
        <is>
          <t>900002733</t>
        </is>
      </c>
      <c r="B134" t="inlineStr">
        <is>
          <t>DW68</t>
        </is>
      </c>
      <c r="C134" t="inlineStr">
        <is>
          <t>D228</t>
        </is>
      </c>
      <c r="D134" t="inlineStr">
        <is>
          <t>10000857</t>
        </is>
      </c>
      <c r="E134" t="inlineStr"/>
      <c r="F134" s="11" t="n">
        <v>46.36</v>
      </c>
      <c r="G134" t="inlineStr"/>
      <c r="I134" t="inlineStr">
        <is>
          <t>TN</t>
        </is>
      </c>
      <c r="J134" t="inlineStr"/>
      <c r="K134" t="inlineStr">
        <is>
          <t>20220516</t>
        </is>
      </c>
      <c r="L134" t="inlineStr">
        <is>
          <t>20251031</t>
        </is>
      </c>
    </row>
    <row r="135">
      <c r="A135" t="inlineStr">
        <is>
          <t>900002733</t>
        </is>
      </c>
      <c r="B135" t="inlineStr">
        <is>
          <t>DW68</t>
        </is>
      </c>
      <c r="C135" t="inlineStr">
        <is>
          <t>D228</t>
        </is>
      </c>
      <c r="D135" t="inlineStr">
        <is>
          <t>10018375</t>
        </is>
      </c>
      <c r="E135" t="inlineStr"/>
      <c r="F135" s="11" t="n">
        <v>45.45</v>
      </c>
      <c r="G135" t="inlineStr"/>
      <c r="I135" t="inlineStr">
        <is>
          <t>TN</t>
        </is>
      </c>
      <c r="J135" t="inlineStr"/>
      <c r="K135" t="inlineStr">
        <is>
          <t>20220516</t>
        </is>
      </c>
      <c r="L135" t="inlineStr">
        <is>
          <t>20251031</t>
        </is>
      </c>
    </row>
    <row r="136">
      <c r="A136" t="inlineStr">
        <is>
          <t>900002733</t>
        </is>
      </c>
      <c r="B136" t="inlineStr">
        <is>
          <t>DW68</t>
        </is>
      </c>
      <c r="C136" t="inlineStr">
        <is>
          <t>D242</t>
        </is>
      </c>
      <c r="D136" t="inlineStr">
        <is>
          <t>10018375</t>
        </is>
      </c>
      <c r="E136" t="inlineStr"/>
      <c r="F136" s="11" t="n">
        <v>45.45</v>
      </c>
      <c r="G136" t="inlineStr"/>
      <c r="I136" t="inlineStr">
        <is>
          <t>TN</t>
        </is>
      </c>
      <c r="J136" t="inlineStr"/>
      <c r="K136" t="inlineStr">
        <is>
          <t>20220516</t>
        </is>
      </c>
      <c r="L136" t="inlineStr">
        <is>
          <t>20251031</t>
        </is>
      </c>
    </row>
    <row r="137">
      <c r="A137" t="inlineStr">
        <is>
          <t>900002733</t>
        </is>
      </c>
      <c r="B137" t="inlineStr">
        <is>
          <t>DW68</t>
        </is>
      </c>
      <c r="C137" t="inlineStr">
        <is>
          <t>D251</t>
        </is>
      </c>
      <c r="D137" t="inlineStr">
        <is>
          <t>10018375</t>
        </is>
      </c>
      <c r="E137" t="inlineStr"/>
      <c r="F137" s="11" t="n">
        <v>45.45</v>
      </c>
      <c r="G137" t="inlineStr"/>
      <c r="I137" t="inlineStr">
        <is>
          <t>TN</t>
        </is>
      </c>
      <c r="J137" t="inlineStr"/>
      <c r="K137" t="inlineStr">
        <is>
          <t>20220516</t>
        </is>
      </c>
      <c r="L137" t="inlineStr">
        <is>
          <t>20251031</t>
        </is>
      </c>
    </row>
    <row r="138">
      <c r="A138" t="inlineStr">
        <is>
          <t>900002733</t>
        </is>
      </c>
      <c r="B138" t="inlineStr">
        <is>
          <t>DW68</t>
        </is>
      </c>
      <c r="C138" t="inlineStr">
        <is>
          <t>D264</t>
        </is>
      </c>
      <c r="D138" t="inlineStr">
        <is>
          <t>10018375</t>
        </is>
      </c>
      <c r="E138" t="inlineStr"/>
      <c r="F138" s="11" t="n">
        <v>45.45</v>
      </c>
      <c r="G138" t="inlineStr"/>
      <c r="I138" t="inlineStr">
        <is>
          <t>TN</t>
        </is>
      </c>
      <c r="J138" t="inlineStr"/>
      <c r="K138" t="inlineStr">
        <is>
          <t>20220516</t>
        </is>
      </c>
      <c r="L138" t="inlineStr">
        <is>
          <t>20251031</t>
        </is>
      </c>
    </row>
    <row r="139">
      <c r="A139" t="inlineStr">
        <is>
          <t>900002733</t>
        </is>
      </c>
      <c r="B139" t="inlineStr">
        <is>
          <t>DW68</t>
        </is>
      </c>
      <c r="C139" t="inlineStr">
        <is>
          <t>D267</t>
        </is>
      </c>
      <c r="D139" t="inlineStr">
        <is>
          <t>10018375</t>
        </is>
      </c>
      <c r="E139" t="inlineStr"/>
      <c r="F139" s="11" t="n">
        <v>45.45</v>
      </c>
      <c r="G139" t="inlineStr"/>
      <c r="I139" t="inlineStr">
        <is>
          <t>TN</t>
        </is>
      </c>
      <c r="J139" t="inlineStr"/>
      <c r="K139" t="inlineStr">
        <is>
          <t>20220516</t>
        </is>
      </c>
      <c r="L139" t="inlineStr">
        <is>
          <t>20251031</t>
        </is>
      </c>
    </row>
    <row r="140">
      <c r="A140" t="inlineStr">
        <is>
          <t>900003794</t>
        </is>
      </c>
      <c r="B140" t="inlineStr">
        <is>
          <t>DW68</t>
        </is>
      </c>
      <c r="C140" t="inlineStr">
        <is>
          <t>D042</t>
        </is>
      </c>
      <c r="D140" t="inlineStr">
        <is>
          <t>10000144</t>
        </is>
      </c>
      <c r="E140" t="inlineStr"/>
      <c r="F140" s="11" t="n">
        <v>395.76</v>
      </c>
      <c r="G140" t="inlineStr"/>
      <c r="I140" t="inlineStr">
        <is>
          <t>TN</t>
        </is>
      </c>
      <c r="J140" t="inlineStr"/>
      <c r="K140" t="inlineStr">
        <is>
          <t>20231005</t>
        </is>
      </c>
      <c r="L140" t="inlineStr">
        <is>
          <t>20251031</t>
        </is>
      </c>
    </row>
    <row r="141">
      <c r="A141" t="inlineStr">
        <is>
          <t>900003805</t>
        </is>
      </c>
      <c r="B141" t="inlineStr">
        <is>
          <t>DW68</t>
        </is>
      </c>
      <c r="C141" t="inlineStr">
        <is>
          <t>D042</t>
        </is>
      </c>
      <c r="D141" t="inlineStr">
        <is>
          <t>10018375</t>
        </is>
      </c>
      <c r="E141" t="inlineStr"/>
      <c r="F141" s="11" t="n">
        <v>60.98</v>
      </c>
      <c r="G141" t="inlineStr"/>
      <c r="I141" t="inlineStr">
        <is>
          <t>TN</t>
        </is>
      </c>
      <c r="J141" t="inlineStr"/>
      <c r="K141" t="inlineStr">
        <is>
          <t>20210427</t>
        </is>
      </c>
      <c r="L141" t="inlineStr">
        <is>
          <t>20250812</t>
        </is>
      </c>
    </row>
    <row r="142">
      <c r="A142" t="inlineStr">
        <is>
          <t>900003805</t>
        </is>
      </c>
      <c r="B142" t="inlineStr">
        <is>
          <t>DW68</t>
        </is>
      </c>
      <c r="C142" t="inlineStr">
        <is>
          <t>D209</t>
        </is>
      </c>
      <c r="D142" t="inlineStr">
        <is>
          <t>10018375</t>
        </is>
      </c>
      <c r="E142" t="inlineStr"/>
      <c r="F142" s="11" t="n">
        <v>62.12</v>
      </c>
      <c r="G142" t="inlineStr"/>
      <c r="I142" t="inlineStr">
        <is>
          <t>TN</t>
        </is>
      </c>
      <c r="J142" t="inlineStr"/>
      <c r="K142" t="inlineStr">
        <is>
          <t>20210427</t>
        </is>
      </c>
      <c r="L142" t="inlineStr">
        <is>
          <t>20250812</t>
        </is>
      </c>
    </row>
    <row r="143">
      <c r="A143" t="inlineStr">
        <is>
          <t>900003805</t>
        </is>
      </c>
      <c r="B143" t="inlineStr">
        <is>
          <t>DW68</t>
        </is>
      </c>
      <c r="C143" t="inlineStr">
        <is>
          <t>D211</t>
        </is>
      </c>
      <c r="D143" t="inlineStr">
        <is>
          <t>10018375</t>
        </is>
      </c>
      <c r="E143" t="inlineStr"/>
      <c r="F143" s="11" t="n">
        <v>60.91</v>
      </c>
      <c r="G143" t="inlineStr"/>
      <c r="I143" t="inlineStr">
        <is>
          <t>TN</t>
        </is>
      </c>
      <c r="J143" t="inlineStr"/>
      <c r="K143" t="inlineStr">
        <is>
          <t>20210427</t>
        </is>
      </c>
      <c r="L143" t="inlineStr">
        <is>
          <t>20250812</t>
        </is>
      </c>
    </row>
    <row r="144">
      <c r="A144" t="inlineStr">
        <is>
          <t>900003805</t>
        </is>
      </c>
      <c r="B144" t="inlineStr">
        <is>
          <t>DW68</t>
        </is>
      </c>
      <c r="C144" t="inlineStr">
        <is>
          <t>D214</t>
        </is>
      </c>
      <c r="D144" t="inlineStr">
        <is>
          <t>10018375</t>
        </is>
      </c>
      <c r="E144" t="inlineStr"/>
      <c r="F144" s="11" t="n">
        <v>61.55</v>
      </c>
      <c r="G144" t="inlineStr"/>
      <c r="I144" t="inlineStr">
        <is>
          <t>TN</t>
        </is>
      </c>
      <c r="J144" t="inlineStr"/>
      <c r="K144" t="inlineStr">
        <is>
          <t>20210427</t>
        </is>
      </c>
      <c r="L144" t="inlineStr">
        <is>
          <t>20250812</t>
        </is>
      </c>
    </row>
    <row r="145">
      <c r="A145" t="inlineStr">
        <is>
          <t>900003805</t>
        </is>
      </c>
      <c r="B145" t="inlineStr">
        <is>
          <t>DW68</t>
        </is>
      </c>
      <c r="C145" t="inlineStr">
        <is>
          <t>D228</t>
        </is>
      </c>
      <c r="D145" t="inlineStr">
        <is>
          <t>10018375</t>
        </is>
      </c>
      <c r="E145" t="inlineStr"/>
      <c r="F145" s="11" t="n">
        <v>59.85</v>
      </c>
      <c r="G145" t="inlineStr"/>
      <c r="I145" t="inlineStr">
        <is>
          <t>TN</t>
        </is>
      </c>
      <c r="J145" t="inlineStr"/>
      <c r="K145" t="inlineStr">
        <is>
          <t>20210427</t>
        </is>
      </c>
      <c r="L145" t="inlineStr">
        <is>
          <t>20250812</t>
        </is>
      </c>
    </row>
    <row r="146">
      <c r="A146" t="inlineStr">
        <is>
          <t>900003805</t>
        </is>
      </c>
      <c r="B146" t="inlineStr">
        <is>
          <t>DW68</t>
        </is>
      </c>
      <c r="C146" t="inlineStr">
        <is>
          <t>D242</t>
        </is>
      </c>
      <c r="D146" t="inlineStr">
        <is>
          <t>10018375</t>
        </is>
      </c>
      <c r="E146" t="inlineStr"/>
      <c r="F146" s="11" t="n">
        <v>61.1</v>
      </c>
      <c r="G146" t="inlineStr"/>
      <c r="I146" t="inlineStr">
        <is>
          <t>TN</t>
        </is>
      </c>
      <c r="J146" t="inlineStr"/>
      <c r="K146" t="inlineStr">
        <is>
          <t>20210427</t>
        </is>
      </c>
      <c r="L146" t="inlineStr">
        <is>
          <t>20250812</t>
        </is>
      </c>
    </row>
    <row r="147">
      <c r="A147" t="inlineStr">
        <is>
          <t>900003805</t>
        </is>
      </c>
      <c r="B147" t="inlineStr">
        <is>
          <t>DW68</t>
        </is>
      </c>
      <c r="C147" t="inlineStr">
        <is>
          <t>D251</t>
        </is>
      </c>
      <c r="D147" t="inlineStr">
        <is>
          <t>10018375</t>
        </is>
      </c>
      <c r="E147" t="inlineStr"/>
      <c r="F147" s="11" t="n">
        <v>63.03</v>
      </c>
      <c r="G147" t="inlineStr"/>
      <c r="I147" t="inlineStr">
        <is>
          <t>TN</t>
        </is>
      </c>
      <c r="J147" t="inlineStr"/>
      <c r="K147" t="inlineStr">
        <is>
          <t>20210427</t>
        </is>
      </c>
      <c r="L147" t="inlineStr">
        <is>
          <t>20250812</t>
        </is>
      </c>
    </row>
    <row r="148">
      <c r="A148" t="inlineStr">
        <is>
          <t>900003805</t>
        </is>
      </c>
      <c r="B148" t="inlineStr">
        <is>
          <t>DW68</t>
        </is>
      </c>
      <c r="C148" t="inlineStr">
        <is>
          <t>D264</t>
        </is>
      </c>
      <c r="D148" t="inlineStr">
        <is>
          <t>10018375</t>
        </is>
      </c>
      <c r="E148" t="inlineStr"/>
      <c r="F148" s="11" t="n">
        <v>60.91</v>
      </c>
      <c r="G148" t="inlineStr"/>
      <c r="I148" t="inlineStr">
        <is>
          <t>TN</t>
        </is>
      </c>
      <c r="J148" t="inlineStr"/>
      <c r="K148" t="inlineStr">
        <is>
          <t>20210427</t>
        </is>
      </c>
      <c r="L148" t="inlineStr">
        <is>
          <t>20250812</t>
        </is>
      </c>
    </row>
    <row r="149">
      <c r="A149" t="inlineStr">
        <is>
          <t>900003805</t>
        </is>
      </c>
      <c r="B149" t="inlineStr">
        <is>
          <t>DW68</t>
        </is>
      </c>
      <c r="C149" t="inlineStr">
        <is>
          <t>D267</t>
        </is>
      </c>
      <c r="D149" t="inlineStr">
        <is>
          <t>10018375</t>
        </is>
      </c>
      <c r="E149" t="inlineStr"/>
      <c r="F149" s="11" t="n">
        <v>62.12</v>
      </c>
      <c r="G149" t="inlineStr"/>
      <c r="I149" t="inlineStr">
        <is>
          <t>TN</t>
        </is>
      </c>
      <c r="J149" t="inlineStr"/>
      <c r="K149" t="inlineStr">
        <is>
          <t>20210427</t>
        </is>
      </c>
      <c r="L149" t="inlineStr">
        <is>
          <t>20250812</t>
        </is>
      </c>
    </row>
    <row r="150">
      <c r="A150" t="inlineStr">
        <is>
          <t>900004065</t>
        </is>
      </c>
      <c r="B150" t="inlineStr">
        <is>
          <t>DW68</t>
        </is>
      </c>
      <c r="C150" t="inlineStr">
        <is>
          <t>D042</t>
        </is>
      </c>
      <c r="D150" t="inlineStr">
        <is>
          <t>10000320</t>
        </is>
      </c>
      <c r="E150" t="inlineStr"/>
      <c r="F150" s="11" t="n">
        <v>109.2</v>
      </c>
      <c r="G150" t="inlineStr"/>
      <c r="I150" t="inlineStr">
        <is>
          <t>TN</t>
        </is>
      </c>
      <c r="J150" t="inlineStr"/>
      <c r="K150" t="inlineStr">
        <is>
          <t>20260201</t>
        </is>
      </c>
      <c r="L150" t="inlineStr">
        <is>
          <t>99991231</t>
        </is>
      </c>
    </row>
    <row r="151">
      <c r="A151" t="inlineStr">
        <is>
          <t>900004065</t>
        </is>
      </c>
      <c r="B151" t="inlineStr">
        <is>
          <t>DW68</t>
        </is>
      </c>
      <c r="C151" t="inlineStr">
        <is>
          <t>D042</t>
        </is>
      </c>
      <c r="D151" t="inlineStr">
        <is>
          <t>10031878</t>
        </is>
      </c>
      <c r="E151" t="inlineStr"/>
      <c r="F151" s="11" t="n">
        <v>104</v>
      </c>
      <c r="G151" t="inlineStr"/>
      <c r="I151" t="inlineStr">
        <is>
          <t>TN</t>
        </is>
      </c>
      <c r="J151" t="inlineStr"/>
      <c r="K151" t="inlineStr">
        <is>
          <t>20260201</t>
        </is>
      </c>
      <c r="L151" t="inlineStr">
        <is>
          <t>99991231</t>
        </is>
      </c>
    </row>
    <row r="152">
      <c r="A152" t="inlineStr">
        <is>
          <t>900004065</t>
        </is>
      </c>
      <c r="B152" t="inlineStr">
        <is>
          <t>DW68</t>
        </is>
      </c>
      <c r="C152" t="inlineStr">
        <is>
          <t>D175</t>
        </is>
      </c>
      <c r="D152" t="inlineStr">
        <is>
          <t>10000320</t>
        </is>
      </c>
      <c r="E152" t="inlineStr"/>
      <c r="F152" s="11" t="n">
        <v>109.2</v>
      </c>
      <c r="G152" t="inlineStr"/>
      <c r="I152" t="inlineStr">
        <is>
          <t>TN</t>
        </is>
      </c>
      <c r="J152" t="inlineStr"/>
      <c r="K152" t="inlineStr">
        <is>
          <t>20260201</t>
        </is>
      </c>
      <c r="L152" t="inlineStr">
        <is>
          <t>99991231</t>
        </is>
      </c>
    </row>
    <row r="153">
      <c r="A153" t="inlineStr">
        <is>
          <t>900004065</t>
        </is>
      </c>
      <c r="B153" t="inlineStr">
        <is>
          <t>DW68</t>
        </is>
      </c>
      <c r="C153" t="inlineStr">
        <is>
          <t>D175</t>
        </is>
      </c>
      <c r="D153" t="inlineStr">
        <is>
          <t>10031878</t>
        </is>
      </c>
      <c r="E153" t="inlineStr"/>
      <c r="F153" s="11" t="n">
        <v>104</v>
      </c>
      <c r="G153" t="inlineStr"/>
      <c r="I153" t="inlineStr">
        <is>
          <t>TN</t>
        </is>
      </c>
      <c r="J153" t="inlineStr"/>
      <c r="K153" t="inlineStr">
        <is>
          <t>20260201</t>
        </is>
      </c>
      <c r="L153" t="inlineStr">
        <is>
          <t>99991231</t>
        </is>
      </c>
    </row>
    <row r="154">
      <c r="A154" t="inlineStr">
        <is>
          <t>900004065</t>
        </is>
      </c>
      <c r="B154" t="inlineStr">
        <is>
          <t>DW68</t>
        </is>
      </c>
      <c r="C154" t="inlineStr">
        <is>
          <t>D209</t>
        </is>
      </c>
      <c r="D154" t="inlineStr">
        <is>
          <t>10000320</t>
        </is>
      </c>
      <c r="E154" t="inlineStr"/>
      <c r="F154" s="11" t="n">
        <v>109.2</v>
      </c>
      <c r="G154" t="inlineStr"/>
      <c r="I154" t="inlineStr">
        <is>
          <t>TN</t>
        </is>
      </c>
      <c r="J154" t="inlineStr"/>
      <c r="K154" t="inlineStr">
        <is>
          <t>20260201</t>
        </is>
      </c>
      <c r="L154" t="inlineStr">
        <is>
          <t>99991231</t>
        </is>
      </c>
    </row>
    <row r="155">
      <c r="A155" t="inlineStr">
        <is>
          <t>900004065</t>
        </is>
      </c>
      <c r="B155" t="inlineStr">
        <is>
          <t>DW68</t>
        </is>
      </c>
      <c r="C155" t="inlineStr">
        <is>
          <t>D209</t>
        </is>
      </c>
      <c r="D155" t="inlineStr">
        <is>
          <t>10031878</t>
        </is>
      </c>
      <c r="E155" t="inlineStr"/>
      <c r="F155" s="11" t="n">
        <v>104</v>
      </c>
      <c r="G155" t="inlineStr"/>
      <c r="I155" t="inlineStr">
        <is>
          <t>TN</t>
        </is>
      </c>
      <c r="J155" t="inlineStr"/>
      <c r="K155" t="inlineStr">
        <is>
          <t>20260201</t>
        </is>
      </c>
      <c r="L155" t="inlineStr">
        <is>
          <t>99991231</t>
        </is>
      </c>
    </row>
    <row r="156">
      <c r="A156" t="inlineStr">
        <is>
          <t>900004065</t>
        </is>
      </c>
      <c r="B156" t="inlineStr">
        <is>
          <t>DW68</t>
        </is>
      </c>
      <c r="C156" t="inlineStr">
        <is>
          <t>D211</t>
        </is>
      </c>
      <c r="D156" t="inlineStr">
        <is>
          <t>10000320</t>
        </is>
      </c>
      <c r="E156" t="inlineStr"/>
      <c r="F156" s="11" t="n">
        <v>109.2</v>
      </c>
      <c r="G156" t="inlineStr"/>
      <c r="I156" t="inlineStr">
        <is>
          <t>TN</t>
        </is>
      </c>
      <c r="J156" t="inlineStr"/>
      <c r="K156" t="inlineStr">
        <is>
          <t>20260201</t>
        </is>
      </c>
      <c r="L156" t="inlineStr">
        <is>
          <t>99991231</t>
        </is>
      </c>
    </row>
    <row r="157">
      <c r="A157" t="inlineStr">
        <is>
          <t>900004065</t>
        </is>
      </c>
      <c r="B157" t="inlineStr">
        <is>
          <t>DW68</t>
        </is>
      </c>
      <c r="C157" t="inlineStr">
        <is>
          <t>D211</t>
        </is>
      </c>
      <c r="D157" t="inlineStr">
        <is>
          <t>10031878</t>
        </is>
      </c>
      <c r="E157" t="inlineStr"/>
      <c r="F157" s="11" t="n">
        <v>104</v>
      </c>
      <c r="G157" t="inlineStr"/>
      <c r="I157" t="inlineStr">
        <is>
          <t>TN</t>
        </is>
      </c>
      <c r="J157" t="inlineStr"/>
      <c r="K157" t="inlineStr">
        <is>
          <t>20260201</t>
        </is>
      </c>
      <c r="L157" t="inlineStr">
        <is>
          <t>99991231</t>
        </is>
      </c>
    </row>
    <row r="158">
      <c r="A158" t="inlineStr">
        <is>
          <t>900004065</t>
        </is>
      </c>
      <c r="B158" t="inlineStr">
        <is>
          <t>DW68</t>
        </is>
      </c>
      <c r="C158" t="inlineStr">
        <is>
          <t>D213</t>
        </is>
      </c>
      <c r="D158" t="inlineStr">
        <is>
          <t>10000320</t>
        </is>
      </c>
      <c r="E158" t="inlineStr"/>
      <c r="F158" s="11" t="n">
        <v>109.2</v>
      </c>
      <c r="G158" t="inlineStr"/>
      <c r="I158" t="inlineStr">
        <is>
          <t>TN</t>
        </is>
      </c>
      <c r="J158" t="inlineStr"/>
      <c r="K158" t="inlineStr">
        <is>
          <t>20260201</t>
        </is>
      </c>
      <c r="L158" t="inlineStr">
        <is>
          <t>99991231</t>
        </is>
      </c>
    </row>
    <row r="159">
      <c r="A159" t="inlineStr">
        <is>
          <t>900004065</t>
        </is>
      </c>
      <c r="B159" t="inlineStr">
        <is>
          <t>DW68</t>
        </is>
      </c>
      <c r="C159" t="inlineStr">
        <is>
          <t>D213</t>
        </is>
      </c>
      <c r="D159" t="inlineStr">
        <is>
          <t>10031878</t>
        </is>
      </c>
      <c r="E159" t="inlineStr"/>
      <c r="F159" s="11" t="n">
        <v>104</v>
      </c>
      <c r="G159" t="inlineStr"/>
      <c r="I159" t="inlineStr">
        <is>
          <t>TN</t>
        </is>
      </c>
      <c r="J159" t="inlineStr"/>
      <c r="K159" t="inlineStr">
        <is>
          <t>20260201</t>
        </is>
      </c>
      <c r="L159" t="inlineStr">
        <is>
          <t>99991231</t>
        </is>
      </c>
    </row>
    <row r="160">
      <c r="A160" t="inlineStr">
        <is>
          <t>900004065</t>
        </is>
      </c>
      <c r="B160" t="inlineStr">
        <is>
          <t>DW68</t>
        </is>
      </c>
      <c r="C160" t="inlineStr">
        <is>
          <t>D214</t>
        </is>
      </c>
      <c r="D160" t="inlineStr">
        <is>
          <t>10000320</t>
        </is>
      </c>
      <c r="E160" t="inlineStr"/>
      <c r="F160" s="11" t="n">
        <v>95.14</v>
      </c>
      <c r="G160" t="inlineStr"/>
      <c r="I160" t="inlineStr">
        <is>
          <t>TN</t>
        </is>
      </c>
      <c r="J160" t="inlineStr"/>
      <c r="K160" t="inlineStr">
        <is>
          <t>20220516</t>
        </is>
      </c>
      <c r="L160" t="inlineStr">
        <is>
          <t>99991231</t>
        </is>
      </c>
    </row>
    <row r="161">
      <c r="A161" t="inlineStr">
        <is>
          <t>900004065</t>
        </is>
      </c>
      <c r="B161" t="inlineStr">
        <is>
          <t>DW68</t>
        </is>
      </c>
      <c r="C161" t="inlineStr">
        <is>
          <t>D220</t>
        </is>
      </c>
      <c r="D161" t="inlineStr">
        <is>
          <t>10000320</t>
        </is>
      </c>
      <c r="E161" t="inlineStr"/>
      <c r="F161" s="11" t="n">
        <v>109.2</v>
      </c>
      <c r="G161" t="inlineStr"/>
      <c r="I161" t="inlineStr">
        <is>
          <t>TN</t>
        </is>
      </c>
      <c r="J161" t="inlineStr"/>
      <c r="K161" t="inlineStr">
        <is>
          <t>20260709</t>
        </is>
      </c>
      <c r="L161" t="inlineStr">
        <is>
          <t>99991231</t>
        </is>
      </c>
    </row>
    <row r="162">
      <c r="A162" t="inlineStr">
        <is>
          <t>900004065</t>
        </is>
      </c>
      <c r="B162" t="inlineStr">
        <is>
          <t>DW68</t>
        </is>
      </c>
      <c r="C162" t="inlineStr">
        <is>
          <t>D228</t>
        </is>
      </c>
      <c r="D162" t="inlineStr">
        <is>
          <t>10000320</t>
        </is>
      </c>
      <c r="E162" t="inlineStr"/>
      <c r="F162" s="11" t="n">
        <v>109.2</v>
      </c>
      <c r="G162" t="inlineStr"/>
      <c r="I162" t="inlineStr">
        <is>
          <t>TN</t>
        </is>
      </c>
      <c r="J162" t="inlineStr"/>
      <c r="K162" t="inlineStr">
        <is>
          <t>20260201</t>
        </is>
      </c>
      <c r="L162" t="inlineStr">
        <is>
          <t>99991231</t>
        </is>
      </c>
    </row>
    <row r="163">
      <c r="A163" t="inlineStr">
        <is>
          <t>900004065</t>
        </is>
      </c>
      <c r="B163" t="inlineStr">
        <is>
          <t>DW68</t>
        </is>
      </c>
      <c r="C163" t="inlineStr">
        <is>
          <t>D228</t>
        </is>
      </c>
      <c r="D163" t="inlineStr">
        <is>
          <t>10031878</t>
        </is>
      </c>
      <c r="E163" t="inlineStr"/>
      <c r="F163" s="11" t="n">
        <v>104</v>
      </c>
      <c r="G163" t="inlineStr"/>
      <c r="I163" t="inlineStr">
        <is>
          <t>TN</t>
        </is>
      </c>
      <c r="J163" t="inlineStr"/>
      <c r="K163" t="inlineStr">
        <is>
          <t>20260201</t>
        </is>
      </c>
      <c r="L163" t="inlineStr">
        <is>
          <t>99991231</t>
        </is>
      </c>
    </row>
    <row r="164">
      <c r="A164" t="inlineStr">
        <is>
          <t>900004065</t>
        </is>
      </c>
      <c r="B164" t="inlineStr">
        <is>
          <t>DW68</t>
        </is>
      </c>
      <c r="C164" t="inlineStr">
        <is>
          <t>D242</t>
        </is>
      </c>
      <c r="D164" t="inlineStr">
        <is>
          <t>10000320</t>
        </is>
      </c>
      <c r="E164" t="inlineStr"/>
      <c r="F164" s="11" t="n">
        <v>109.2</v>
      </c>
      <c r="G164" t="inlineStr"/>
      <c r="I164" t="inlineStr">
        <is>
          <t>TN</t>
        </is>
      </c>
      <c r="J164" t="inlineStr"/>
      <c r="K164" t="inlineStr">
        <is>
          <t>20260201</t>
        </is>
      </c>
      <c r="L164" t="inlineStr">
        <is>
          <t>99991231</t>
        </is>
      </c>
    </row>
    <row r="165">
      <c r="A165" t="inlineStr">
        <is>
          <t>900004065</t>
        </is>
      </c>
      <c r="B165" t="inlineStr">
        <is>
          <t>DW68</t>
        </is>
      </c>
      <c r="C165" t="inlineStr">
        <is>
          <t>D242</t>
        </is>
      </c>
      <c r="D165" t="inlineStr">
        <is>
          <t>10031878</t>
        </is>
      </c>
      <c r="E165" t="inlineStr"/>
      <c r="F165" s="11" t="n">
        <v>104</v>
      </c>
      <c r="G165" t="inlineStr"/>
      <c r="I165" t="inlineStr">
        <is>
          <t>TN</t>
        </is>
      </c>
      <c r="J165" t="inlineStr"/>
      <c r="K165" t="inlineStr">
        <is>
          <t>20260201</t>
        </is>
      </c>
      <c r="L165" t="inlineStr">
        <is>
          <t>99991231</t>
        </is>
      </c>
    </row>
    <row r="166">
      <c r="A166" t="inlineStr">
        <is>
          <t>900004065</t>
        </is>
      </c>
      <c r="B166" t="inlineStr">
        <is>
          <t>DW68</t>
        </is>
      </c>
      <c r="C166" t="inlineStr">
        <is>
          <t>D247</t>
        </is>
      </c>
      <c r="D166" t="inlineStr">
        <is>
          <t>10000320</t>
        </is>
      </c>
      <c r="E166" t="inlineStr"/>
      <c r="F166" s="11" t="n">
        <v>109.2</v>
      </c>
      <c r="G166" t="inlineStr"/>
      <c r="I166" t="inlineStr">
        <is>
          <t>TN</t>
        </is>
      </c>
      <c r="J166" t="inlineStr"/>
      <c r="K166" t="inlineStr">
        <is>
          <t>20260201</t>
        </is>
      </c>
      <c r="L166" t="inlineStr">
        <is>
          <t>99991231</t>
        </is>
      </c>
    </row>
    <row r="167">
      <c r="A167" t="inlineStr">
        <is>
          <t>900004065</t>
        </is>
      </c>
      <c r="B167" t="inlineStr">
        <is>
          <t>DW68</t>
        </is>
      </c>
      <c r="C167" t="inlineStr">
        <is>
          <t>D247</t>
        </is>
      </c>
      <c r="D167" t="inlineStr">
        <is>
          <t>10031878</t>
        </is>
      </c>
      <c r="E167" t="inlineStr"/>
      <c r="F167" s="11" t="n">
        <v>104</v>
      </c>
      <c r="G167" t="inlineStr"/>
      <c r="I167" t="inlineStr">
        <is>
          <t>TN</t>
        </is>
      </c>
      <c r="J167" t="inlineStr"/>
      <c r="K167" t="inlineStr">
        <is>
          <t>20260201</t>
        </is>
      </c>
      <c r="L167" t="inlineStr">
        <is>
          <t>99991231</t>
        </is>
      </c>
    </row>
    <row r="168">
      <c r="A168" t="inlineStr">
        <is>
          <t>900004065</t>
        </is>
      </c>
      <c r="B168" t="inlineStr">
        <is>
          <t>DW68</t>
        </is>
      </c>
      <c r="C168" t="inlineStr">
        <is>
          <t>D251</t>
        </is>
      </c>
      <c r="D168" t="inlineStr">
        <is>
          <t>10000320</t>
        </is>
      </c>
      <c r="E168" t="inlineStr"/>
      <c r="F168" s="11" t="n">
        <v>109.2</v>
      </c>
      <c r="G168" t="inlineStr"/>
      <c r="I168" t="inlineStr">
        <is>
          <t>TN</t>
        </is>
      </c>
      <c r="J168" t="inlineStr"/>
      <c r="K168" t="inlineStr">
        <is>
          <t>20260201</t>
        </is>
      </c>
      <c r="L168" t="inlineStr">
        <is>
          <t>99991231</t>
        </is>
      </c>
    </row>
    <row r="169">
      <c r="A169" t="inlineStr">
        <is>
          <t>900004065</t>
        </is>
      </c>
      <c r="B169" t="inlineStr">
        <is>
          <t>DW68</t>
        </is>
      </c>
      <c r="C169" t="inlineStr">
        <is>
          <t>D251</t>
        </is>
      </c>
      <c r="D169" t="inlineStr">
        <is>
          <t>10031878</t>
        </is>
      </c>
      <c r="E169" t="inlineStr"/>
      <c r="F169" s="11" t="n">
        <v>104</v>
      </c>
      <c r="G169" t="inlineStr"/>
      <c r="I169" t="inlineStr">
        <is>
          <t>TN</t>
        </is>
      </c>
      <c r="J169" t="inlineStr"/>
      <c r="K169" t="inlineStr">
        <is>
          <t>20260201</t>
        </is>
      </c>
      <c r="L169" t="inlineStr">
        <is>
          <t>99991231</t>
        </is>
      </c>
    </row>
    <row r="170">
      <c r="A170" t="inlineStr">
        <is>
          <t>900004065</t>
        </is>
      </c>
      <c r="B170" t="inlineStr">
        <is>
          <t>DW68</t>
        </is>
      </c>
      <c r="C170" t="inlineStr">
        <is>
          <t>D264</t>
        </is>
      </c>
      <c r="D170" t="inlineStr">
        <is>
          <t>10000320</t>
        </is>
      </c>
      <c r="E170" t="inlineStr"/>
      <c r="F170" s="11" t="n">
        <v>109.2</v>
      </c>
      <c r="G170" t="inlineStr"/>
      <c r="I170" t="inlineStr">
        <is>
          <t>TN</t>
        </is>
      </c>
      <c r="J170" t="inlineStr"/>
      <c r="K170" t="inlineStr">
        <is>
          <t>20260201</t>
        </is>
      </c>
      <c r="L170" t="inlineStr">
        <is>
          <t>99991231</t>
        </is>
      </c>
    </row>
    <row r="171">
      <c r="A171" t="inlineStr">
        <is>
          <t>900004065</t>
        </is>
      </c>
      <c r="B171" t="inlineStr">
        <is>
          <t>DW68</t>
        </is>
      </c>
      <c r="C171" t="inlineStr">
        <is>
          <t>D264</t>
        </is>
      </c>
      <c r="D171" t="inlineStr">
        <is>
          <t>10031878</t>
        </is>
      </c>
      <c r="E171" t="inlineStr"/>
      <c r="F171" s="11" t="n">
        <v>104</v>
      </c>
      <c r="G171" t="inlineStr"/>
      <c r="I171" t="inlineStr">
        <is>
          <t>TN</t>
        </is>
      </c>
      <c r="J171" t="inlineStr"/>
      <c r="K171" t="inlineStr">
        <is>
          <t>20260201</t>
        </is>
      </c>
      <c r="L171" t="inlineStr">
        <is>
          <t>99991231</t>
        </is>
      </c>
    </row>
    <row r="172">
      <c r="A172" t="inlineStr">
        <is>
          <t>900004065</t>
        </is>
      </c>
      <c r="B172" t="inlineStr">
        <is>
          <t>DW68</t>
        </is>
      </c>
      <c r="C172" t="inlineStr">
        <is>
          <t>D268</t>
        </is>
      </c>
      <c r="D172" t="inlineStr">
        <is>
          <t>10000320</t>
        </is>
      </c>
      <c r="E172" t="inlineStr"/>
      <c r="F172" s="11" t="n">
        <v>109.2</v>
      </c>
      <c r="G172" t="inlineStr"/>
      <c r="I172" t="inlineStr">
        <is>
          <t>TN</t>
        </is>
      </c>
      <c r="J172" t="inlineStr"/>
      <c r="K172" t="inlineStr">
        <is>
          <t>20260201</t>
        </is>
      </c>
      <c r="L172" t="inlineStr">
        <is>
          <t>99991231</t>
        </is>
      </c>
    </row>
    <row r="173">
      <c r="A173" t="inlineStr">
        <is>
          <t>900004065</t>
        </is>
      </c>
      <c r="B173" t="inlineStr">
        <is>
          <t>DW68</t>
        </is>
      </c>
      <c r="C173" t="inlineStr">
        <is>
          <t>D268</t>
        </is>
      </c>
      <c r="D173" t="inlineStr">
        <is>
          <t>10031878</t>
        </is>
      </c>
      <c r="E173" t="inlineStr"/>
      <c r="F173" s="11" t="n">
        <v>104</v>
      </c>
      <c r="G173" t="inlineStr"/>
      <c r="I173" t="inlineStr">
        <is>
          <t>TN</t>
        </is>
      </c>
      <c r="J173" t="inlineStr"/>
      <c r="K173" t="inlineStr">
        <is>
          <t>20260201</t>
        </is>
      </c>
      <c r="L173" t="inlineStr">
        <is>
          <t>99991231</t>
        </is>
      </c>
    </row>
    <row r="174">
      <c r="A174" t="inlineStr">
        <is>
          <t>900004065</t>
        </is>
      </c>
      <c r="B174" t="inlineStr">
        <is>
          <t>DW68</t>
        </is>
      </c>
      <c r="C174" t="inlineStr">
        <is>
          <t>D577</t>
        </is>
      </c>
      <c r="D174" t="inlineStr">
        <is>
          <t>10000320</t>
        </is>
      </c>
      <c r="E174" t="inlineStr"/>
      <c r="F174" s="11" t="n">
        <v>109.2</v>
      </c>
      <c r="G174" t="inlineStr"/>
      <c r="I174" t="inlineStr">
        <is>
          <t>TN</t>
        </is>
      </c>
      <c r="J174" t="inlineStr"/>
      <c r="K174" t="inlineStr">
        <is>
          <t>20260826</t>
        </is>
      </c>
      <c r="L174" t="inlineStr">
        <is>
          <t>99991231</t>
        </is>
      </c>
    </row>
    <row r="175">
      <c r="A175" t="inlineStr">
        <is>
          <t>900004153</t>
        </is>
      </c>
      <c r="B175" t="inlineStr">
        <is>
          <t>DW68</t>
        </is>
      </c>
      <c r="C175" t="inlineStr">
        <is>
          <t>D042</t>
        </is>
      </c>
      <c r="D175" t="inlineStr">
        <is>
          <t>10000144</t>
        </is>
      </c>
      <c r="E175" t="inlineStr"/>
      <c r="F175" s="11" t="n">
        <v>318.6</v>
      </c>
      <c r="G175" t="inlineStr"/>
      <c r="I175" t="inlineStr">
        <is>
          <t>TN</t>
        </is>
      </c>
      <c r="J175" t="inlineStr"/>
      <c r="K175" t="inlineStr">
        <is>
          <t>20260201</t>
        </is>
      </c>
      <c r="L175" t="inlineStr">
        <is>
          <t>99991231</t>
        </is>
      </c>
    </row>
    <row r="176">
      <c r="A176" t="inlineStr">
        <is>
          <t>900004153</t>
        </is>
      </c>
      <c r="B176" t="inlineStr">
        <is>
          <t>DW68</t>
        </is>
      </c>
      <c r="C176" t="inlineStr">
        <is>
          <t>D042</t>
        </is>
      </c>
      <c r="D176" t="inlineStr">
        <is>
          <t>10000191</t>
        </is>
      </c>
      <c r="E176" t="inlineStr"/>
      <c r="F176" s="11" t="n">
        <v>170.64</v>
      </c>
      <c r="G176" t="inlineStr"/>
      <c r="I176" t="inlineStr">
        <is>
          <t>TN</t>
        </is>
      </c>
      <c r="J176" t="inlineStr"/>
      <c r="K176" t="inlineStr">
        <is>
          <t>20260201</t>
        </is>
      </c>
      <c r="L176" t="inlineStr">
        <is>
          <t>99991231</t>
        </is>
      </c>
    </row>
    <row r="177">
      <c r="A177" t="inlineStr">
        <is>
          <t>900004153</t>
        </is>
      </c>
      <c r="B177" t="inlineStr">
        <is>
          <t>DW68</t>
        </is>
      </c>
      <c r="C177" t="inlineStr">
        <is>
          <t>D042</t>
        </is>
      </c>
      <c r="D177" t="inlineStr">
        <is>
          <t>10000384</t>
        </is>
      </c>
      <c r="E177" t="inlineStr"/>
      <c r="F177" s="11" t="n">
        <v>194.4</v>
      </c>
      <c r="G177" t="inlineStr"/>
      <c r="I177" t="inlineStr">
        <is>
          <t>TN</t>
        </is>
      </c>
      <c r="J177" t="inlineStr"/>
      <c r="K177" t="inlineStr">
        <is>
          <t>20260201</t>
        </is>
      </c>
      <c r="L177" t="inlineStr">
        <is>
          <t>99991231</t>
        </is>
      </c>
    </row>
    <row r="178">
      <c r="A178" t="inlineStr">
        <is>
          <t>900004153</t>
        </is>
      </c>
      <c r="B178" t="inlineStr">
        <is>
          <t>DW68</t>
        </is>
      </c>
      <c r="C178" t="inlineStr">
        <is>
          <t>D042</t>
        </is>
      </c>
      <c r="D178" t="inlineStr">
        <is>
          <t>10000388</t>
        </is>
      </c>
      <c r="E178" t="inlineStr"/>
      <c r="F178" s="11" t="n">
        <v>170.64</v>
      </c>
      <c r="G178" t="inlineStr"/>
      <c r="I178" t="inlineStr">
        <is>
          <t>TN</t>
        </is>
      </c>
      <c r="J178" t="inlineStr"/>
      <c r="K178" t="inlineStr">
        <is>
          <t>20260201</t>
        </is>
      </c>
      <c r="L178" t="inlineStr">
        <is>
          <t>99991231</t>
        </is>
      </c>
    </row>
    <row r="179">
      <c r="A179" t="inlineStr">
        <is>
          <t>900004153</t>
        </is>
      </c>
      <c r="B179" t="inlineStr">
        <is>
          <t>DW68</t>
        </is>
      </c>
      <c r="C179" t="inlineStr">
        <is>
          <t>D042</t>
        </is>
      </c>
      <c r="D179" t="inlineStr">
        <is>
          <t>10004258</t>
        </is>
      </c>
      <c r="E179" t="inlineStr"/>
      <c r="F179" s="11" t="n">
        <v>277.56</v>
      </c>
      <c r="G179" t="inlineStr"/>
      <c r="I179" t="inlineStr">
        <is>
          <t>TN</t>
        </is>
      </c>
      <c r="J179" t="inlineStr"/>
      <c r="K179" t="inlineStr">
        <is>
          <t>20260201</t>
        </is>
      </c>
      <c r="L179" t="inlineStr">
        <is>
          <t>99991231</t>
        </is>
      </c>
    </row>
    <row r="180">
      <c r="A180" t="inlineStr">
        <is>
          <t>900004153</t>
        </is>
      </c>
      <c r="B180" t="inlineStr">
        <is>
          <t>DW68</t>
        </is>
      </c>
      <c r="C180" t="inlineStr">
        <is>
          <t>D209</t>
        </is>
      </c>
      <c r="D180" t="inlineStr">
        <is>
          <t>10000191</t>
        </is>
      </c>
      <c r="E180" t="inlineStr"/>
      <c r="F180" s="11" t="n">
        <v>170.64</v>
      </c>
      <c r="G180" t="inlineStr"/>
      <c r="I180" t="inlineStr">
        <is>
          <t>TN</t>
        </is>
      </c>
      <c r="J180" t="inlineStr"/>
      <c r="K180" t="inlineStr">
        <is>
          <t>20260201</t>
        </is>
      </c>
      <c r="L180" t="inlineStr">
        <is>
          <t>99991231</t>
        </is>
      </c>
    </row>
    <row r="181">
      <c r="A181" t="inlineStr">
        <is>
          <t>900004153</t>
        </is>
      </c>
      <c r="B181" t="inlineStr">
        <is>
          <t>DW68</t>
        </is>
      </c>
      <c r="C181" t="inlineStr">
        <is>
          <t>D209</t>
        </is>
      </c>
      <c r="D181" t="inlineStr">
        <is>
          <t>10000384</t>
        </is>
      </c>
      <c r="E181" t="inlineStr"/>
      <c r="F181" s="11" t="n">
        <v>194.4</v>
      </c>
      <c r="G181" t="inlineStr"/>
      <c r="I181" t="inlineStr">
        <is>
          <t>TN</t>
        </is>
      </c>
      <c r="J181" t="inlineStr"/>
      <c r="K181" t="inlineStr">
        <is>
          <t>20260201</t>
        </is>
      </c>
      <c r="L181" t="inlineStr">
        <is>
          <t>99991231</t>
        </is>
      </c>
    </row>
    <row r="182">
      <c r="A182" t="inlineStr">
        <is>
          <t>900004153</t>
        </is>
      </c>
      <c r="B182" t="inlineStr">
        <is>
          <t>DW68</t>
        </is>
      </c>
      <c r="C182" t="inlineStr">
        <is>
          <t>D209</t>
        </is>
      </c>
      <c r="D182" t="inlineStr">
        <is>
          <t>10000388</t>
        </is>
      </c>
      <c r="E182" t="inlineStr"/>
      <c r="F182" s="11" t="n">
        <v>170.64</v>
      </c>
      <c r="G182" t="inlineStr"/>
      <c r="I182" t="inlineStr">
        <is>
          <t>TN</t>
        </is>
      </c>
      <c r="J182" t="inlineStr"/>
      <c r="K182" t="inlineStr">
        <is>
          <t>20260201</t>
        </is>
      </c>
      <c r="L182" t="inlineStr">
        <is>
          <t>99991231</t>
        </is>
      </c>
    </row>
    <row r="183">
      <c r="A183" t="inlineStr">
        <is>
          <t>900004153</t>
        </is>
      </c>
      <c r="B183" t="inlineStr">
        <is>
          <t>DW68</t>
        </is>
      </c>
      <c r="C183" t="inlineStr">
        <is>
          <t>D209</t>
        </is>
      </c>
      <c r="D183" t="inlineStr">
        <is>
          <t>10004258</t>
        </is>
      </c>
      <c r="E183" t="inlineStr"/>
      <c r="F183" s="11" t="n">
        <v>277.56</v>
      </c>
      <c r="G183" t="inlineStr"/>
      <c r="I183" t="inlineStr">
        <is>
          <t>TN</t>
        </is>
      </c>
      <c r="J183" t="inlineStr"/>
      <c r="K183" t="inlineStr">
        <is>
          <t>20260201</t>
        </is>
      </c>
      <c r="L183" t="inlineStr">
        <is>
          <t>99991231</t>
        </is>
      </c>
    </row>
    <row r="184">
      <c r="A184" t="inlineStr">
        <is>
          <t>900004153</t>
        </is>
      </c>
      <c r="B184" t="inlineStr">
        <is>
          <t>DW68</t>
        </is>
      </c>
      <c r="C184" t="inlineStr">
        <is>
          <t>D211</t>
        </is>
      </c>
      <c r="D184" t="inlineStr">
        <is>
          <t>10000144</t>
        </is>
      </c>
      <c r="E184" t="inlineStr"/>
      <c r="F184" s="11" t="n">
        <v>315</v>
      </c>
      <c r="G184" t="inlineStr"/>
      <c r="I184" t="inlineStr">
        <is>
          <t>TN</t>
        </is>
      </c>
      <c r="J184" t="inlineStr"/>
      <c r="K184" t="inlineStr">
        <is>
          <t>20260413</t>
        </is>
      </c>
      <c r="L184" t="inlineStr">
        <is>
          <t>99991231</t>
        </is>
      </c>
    </row>
    <row r="185">
      <c r="A185" t="inlineStr">
        <is>
          <t>900004153</t>
        </is>
      </c>
      <c r="B185" t="inlineStr">
        <is>
          <t>DW68</t>
        </is>
      </c>
      <c r="C185" t="inlineStr">
        <is>
          <t>D211</t>
        </is>
      </c>
      <c r="D185" t="inlineStr">
        <is>
          <t>10000191</t>
        </is>
      </c>
      <c r="E185" t="inlineStr"/>
      <c r="F185" s="11" t="n">
        <v>170.64</v>
      </c>
      <c r="G185" t="inlineStr"/>
      <c r="I185" t="inlineStr">
        <is>
          <t>TN</t>
        </is>
      </c>
      <c r="J185" t="inlineStr"/>
      <c r="K185" t="inlineStr">
        <is>
          <t>20260201</t>
        </is>
      </c>
      <c r="L185" t="inlineStr">
        <is>
          <t>99991231</t>
        </is>
      </c>
    </row>
    <row r="186">
      <c r="A186" t="inlineStr">
        <is>
          <t>900004153</t>
        </is>
      </c>
      <c r="B186" t="inlineStr">
        <is>
          <t>DW68</t>
        </is>
      </c>
      <c r="C186" t="inlineStr">
        <is>
          <t>D211</t>
        </is>
      </c>
      <c r="D186" t="inlineStr">
        <is>
          <t>10000384</t>
        </is>
      </c>
      <c r="E186" t="inlineStr"/>
      <c r="F186" s="11" t="n">
        <v>194.4</v>
      </c>
      <c r="G186" t="inlineStr"/>
      <c r="I186" t="inlineStr">
        <is>
          <t>TN</t>
        </is>
      </c>
      <c r="J186" t="inlineStr"/>
      <c r="K186" t="inlineStr">
        <is>
          <t>20260201</t>
        </is>
      </c>
      <c r="L186" t="inlineStr">
        <is>
          <t>99991231</t>
        </is>
      </c>
    </row>
    <row r="187">
      <c r="A187" t="inlineStr">
        <is>
          <t>900004153</t>
        </is>
      </c>
      <c r="B187" t="inlineStr">
        <is>
          <t>DW68</t>
        </is>
      </c>
      <c r="C187" t="inlineStr">
        <is>
          <t>D211</t>
        </is>
      </c>
      <c r="D187" t="inlineStr">
        <is>
          <t>10000388</t>
        </is>
      </c>
      <c r="E187" t="inlineStr"/>
      <c r="F187" s="11" t="n">
        <v>170.64</v>
      </c>
      <c r="G187" t="inlineStr"/>
      <c r="I187" t="inlineStr">
        <is>
          <t>TN</t>
        </is>
      </c>
      <c r="J187" t="inlineStr"/>
      <c r="K187" t="inlineStr">
        <is>
          <t>20260201</t>
        </is>
      </c>
      <c r="L187" t="inlineStr">
        <is>
          <t>99991231</t>
        </is>
      </c>
    </row>
    <row r="188">
      <c r="A188" t="inlineStr">
        <is>
          <t>900004153</t>
        </is>
      </c>
      <c r="B188" t="inlineStr">
        <is>
          <t>DW68</t>
        </is>
      </c>
      <c r="C188" t="inlineStr">
        <is>
          <t>D211</t>
        </is>
      </c>
      <c r="D188" t="inlineStr">
        <is>
          <t>10004258</t>
        </is>
      </c>
      <c r="E188" t="inlineStr"/>
      <c r="F188" s="11" t="n">
        <v>277.56</v>
      </c>
      <c r="G188" t="inlineStr"/>
      <c r="I188" t="inlineStr">
        <is>
          <t>TN</t>
        </is>
      </c>
      <c r="J188" t="inlineStr"/>
      <c r="K188" t="inlineStr">
        <is>
          <t>20260201</t>
        </is>
      </c>
      <c r="L188" t="inlineStr">
        <is>
          <t>99991231</t>
        </is>
      </c>
    </row>
    <row r="189">
      <c r="A189" t="inlineStr">
        <is>
          <t>900004153</t>
        </is>
      </c>
      <c r="B189" t="inlineStr">
        <is>
          <t>DW68</t>
        </is>
      </c>
      <c r="C189" t="inlineStr">
        <is>
          <t>D213</t>
        </is>
      </c>
      <c r="D189" t="inlineStr">
        <is>
          <t>10000191</t>
        </is>
      </c>
      <c r="E189" t="inlineStr"/>
      <c r="F189" s="11" t="n">
        <v>170.64</v>
      </c>
      <c r="G189" t="inlineStr"/>
      <c r="I189" t="inlineStr">
        <is>
          <t>TN</t>
        </is>
      </c>
      <c r="J189" t="inlineStr"/>
      <c r="K189" t="inlineStr">
        <is>
          <t>20260201</t>
        </is>
      </c>
      <c r="L189" t="inlineStr">
        <is>
          <t>99991231</t>
        </is>
      </c>
    </row>
    <row r="190">
      <c r="A190" t="inlineStr">
        <is>
          <t>900004153</t>
        </is>
      </c>
      <c r="B190" t="inlineStr">
        <is>
          <t>DW68</t>
        </is>
      </c>
      <c r="C190" t="inlineStr">
        <is>
          <t>D213</t>
        </is>
      </c>
      <c r="D190" t="inlineStr">
        <is>
          <t>10000384</t>
        </is>
      </c>
      <c r="E190" t="inlineStr"/>
      <c r="F190" s="11" t="n">
        <v>194.4</v>
      </c>
      <c r="G190" t="inlineStr"/>
      <c r="I190" t="inlineStr">
        <is>
          <t>TN</t>
        </is>
      </c>
      <c r="J190" t="inlineStr"/>
      <c r="K190" t="inlineStr">
        <is>
          <t>20260201</t>
        </is>
      </c>
      <c r="L190" t="inlineStr">
        <is>
          <t>99991231</t>
        </is>
      </c>
    </row>
    <row r="191">
      <c r="A191" t="inlineStr">
        <is>
          <t>900004153</t>
        </is>
      </c>
      <c r="B191" t="inlineStr">
        <is>
          <t>DW68</t>
        </is>
      </c>
      <c r="C191" t="inlineStr">
        <is>
          <t>D213</t>
        </is>
      </c>
      <c r="D191" t="inlineStr">
        <is>
          <t>10000388</t>
        </is>
      </c>
      <c r="E191" t="inlineStr"/>
      <c r="F191" s="11" t="n">
        <v>170.64</v>
      </c>
      <c r="G191" t="inlineStr"/>
      <c r="I191" t="inlineStr">
        <is>
          <t>TN</t>
        </is>
      </c>
      <c r="J191" t="inlineStr"/>
      <c r="K191" t="inlineStr">
        <is>
          <t>20260201</t>
        </is>
      </c>
      <c r="L191" t="inlineStr">
        <is>
          <t>99991231</t>
        </is>
      </c>
    </row>
    <row r="192">
      <c r="A192" t="inlineStr">
        <is>
          <t>900004153</t>
        </is>
      </c>
      <c r="B192" t="inlineStr">
        <is>
          <t>DW68</t>
        </is>
      </c>
      <c r="C192" t="inlineStr">
        <is>
          <t>D213</t>
        </is>
      </c>
      <c r="D192" t="inlineStr">
        <is>
          <t>10004258</t>
        </is>
      </c>
      <c r="E192" t="inlineStr"/>
      <c r="F192" s="11" t="n">
        <v>277.56</v>
      </c>
      <c r="G192" t="inlineStr"/>
      <c r="I192" t="inlineStr">
        <is>
          <t>TN</t>
        </is>
      </c>
      <c r="J192" t="inlineStr"/>
      <c r="K192" t="inlineStr">
        <is>
          <t>20260201</t>
        </is>
      </c>
      <c r="L192" t="inlineStr">
        <is>
          <t>99991231</t>
        </is>
      </c>
    </row>
    <row r="193">
      <c r="A193" t="inlineStr">
        <is>
          <t>900004153</t>
        </is>
      </c>
      <c r="B193" t="inlineStr">
        <is>
          <t>DW68</t>
        </is>
      </c>
      <c r="C193" t="inlineStr">
        <is>
          <t>D214</t>
        </is>
      </c>
      <c r="D193" t="inlineStr">
        <is>
          <t>10000191</t>
        </is>
      </c>
      <c r="E193" t="inlineStr"/>
      <c r="F193" s="11" t="n">
        <v>116.51</v>
      </c>
      <c r="G193" t="inlineStr"/>
      <c r="I193" t="inlineStr">
        <is>
          <t>TN</t>
        </is>
      </c>
      <c r="J193" t="inlineStr"/>
      <c r="K193" t="inlineStr">
        <is>
          <t>20220516</t>
        </is>
      </c>
      <c r="L193" t="inlineStr">
        <is>
          <t>99991231</t>
        </is>
      </c>
    </row>
    <row r="194">
      <c r="A194" t="inlineStr">
        <is>
          <t>900004153</t>
        </is>
      </c>
      <c r="B194" t="inlineStr">
        <is>
          <t>DW68</t>
        </is>
      </c>
      <c r="C194" t="inlineStr">
        <is>
          <t>D214</t>
        </is>
      </c>
      <c r="D194" t="inlineStr">
        <is>
          <t>10000384</t>
        </is>
      </c>
      <c r="E194" t="inlineStr"/>
      <c r="F194" s="11" t="n">
        <v>135.57</v>
      </c>
      <c r="G194" t="inlineStr"/>
      <c r="I194" t="inlineStr">
        <is>
          <t>TN</t>
        </is>
      </c>
      <c r="J194" t="inlineStr"/>
      <c r="K194" t="inlineStr">
        <is>
          <t>20220516</t>
        </is>
      </c>
      <c r="L194" t="inlineStr">
        <is>
          <t>99991231</t>
        </is>
      </c>
    </row>
    <row r="195">
      <c r="A195" t="inlineStr">
        <is>
          <t>900004153</t>
        </is>
      </c>
      <c r="B195" t="inlineStr">
        <is>
          <t>DW68</t>
        </is>
      </c>
      <c r="C195" t="inlineStr">
        <is>
          <t>D214</t>
        </is>
      </c>
      <c r="D195" t="inlineStr">
        <is>
          <t>10000388</t>
        </is>
      </c>
      <c r="E195" t="inlineStr"/>
      <c r="F195" s="11" t="n">
        <v>116.36</v>
      </c>
      <c r="G195" t="inlineStr"/>
      <c r="I195" t="inlineStr">
        <is>
          <t>TN</t>
        </is>
      </c>
      <c r="J195" t="inlineStr"/>
      <c r="K195" t="inlineStr">
        <is>
          <t>20220516</t>
        </is>
      </c>
      <c r="L195" t="inlineStr">
        <is>
          <t>99991231</t>
        </is>
      </c>
    </row>
    <row r="196">
      <c r="A196" t="inlineStr">
        <is>
          <t>900004153</t>
        </is>
      </c>
      <c r="B196" t="inlineStr">
        <is>
          <t>DW68</t>
        </is>
      </c>
      <c r="C196" t="inlineStr">
        <is>
          <t>D214</t>
        </is>
      </c>
      <c r="D196" t="inlineStr">
        <is>
          <t>10004258</t>
        </is>
      </c>
      <c r="E196" t="inlineStr"/>
      <c r="F196" s="11" t="n">
        <v>187.01</v>
      </c>
      <c r="G196" t="inlineStr"/>
      <c r="I196" t="inlineStr">
        <is>
          <t>TN</t>
        </is>
      </c>
      <c r="J196" t="inlineStr"/>
      <c r="K196" t="inlineStr">
        <is>
          <t>20220516</t>
        </is>
      </c>
      <c r="L196" t="inlineStr">
        <is>
          <t>99991231</t>
        </is>
      </c>
    </row>
    <row r="197">
      <c r="A197" t="inlineStr">
        <is>
          <t>900004153</t>
        </is>
      </c>
      <c r="B197" t="inlineStr">
        <is>
          <t>DW68</t>
        </is>
      </c>
      <c r="C197" t="inlineStr">
        <is>
          <t>D220</t>
        </is>
      </c>
      <c r="D197" t="inlineStr">
        <is>
          <t>10000191</t>
        </is>
      </c>
      <c r="E197" t="inlineStr"/>
      <c r="F197" s="11" t="n">
        <v>170.64</v>
      </c>
      <c r="G197" t="inlineStr"/>
      <c r="I197" t="inlineStr">
        <is>
          <t>TN</t>
        </is>
      </c>
      <c r="J197" t="inlineStr"/>
      <c r="K197" t="inlineStr">
        <is>
          <t>20260201</t>
        </is>
      </c>
      <c r="L197" t="inlineStr">
        <is>
          <t>99991231</t>
        </is>
      </c>
    </row>
    <row r="198">
      <c r="A198" t="inlineStr">
        <is>
          <t>900004153</t>
        </is>
      </c>
      <c r="B198" t="inlineStr">
        <is>
          <t>DW68</t>
        </is>
      </c>
      <c r="C198" t="inlineStr">
        <is>
          <t>D220</t>
        </is>
      </c>
      <c r="D198" t="inlineStr">
        <is>
          <t>10000384</t>
        </is>
      </c>
      <c r="E198" t="inlineStr"/>
      <c r="F198" s="11" t="n">
        <v>194.4</v>
      </c>
      <c r="G198" t="inlineStr"/>
      <c r="I198" t="inlineStr">
        <is>
          <t>TN</t>
        </is>
      </c>
      <c r="J198" t="inlineStr"/>
      <c r="K198" t="inlineStr">
        <is>
          <t>20260201</t>
        </is>
      </c>
      <c r="L198" t="inlineStr">
        <is>
          <t>99991231</t>
        </is>
      </c>
    </row>
    <row r="199">
      <c r="A199" t="inlineStr">
        <is>
          <t>900004153</t>
        </is>
      </c>
      <c r="B199" t="inlineStr">
        <is>
          <t>DW68</t>
        </is>
      </c>
      <c r="C199" t="inlineStr">
        <is>
          <t>D220</t>
        </is>
      </c>
      <c r="D199" t="inlineStr">
        <is>
          <t>10000388</t>
        </is>
      </c>
      <c r="E199" t="inlineStr"/>
      <c r="F199" s="11" t="n">
        <v>170.64</v>
      </c>
      <c r="G199" t="inlineStr"/>
      <c r="I199" t="inlineStr">
        <is>
          <t>TN</t>
        </is>
      </c>
      <c r="J199" t="inlineStr"/>
      <c r="K199" t="inlineStr">
        <is>
          <t>20260201</t>
        </is>
      </c>
      <c r="L199" t="inlineStr">
        <is>
          <t>99991231</t>
        </is>
      </c>
    </row>
    <row r="200">
      <c r="A200" t="inlineStr">
        <is>
          <t>900004153</t>
        </is>
      </c>
      <c r="B200" t="inlineStr">
        <is>
          <t>DW68</t>
        </is>
      </c>
      <c r="C200" t="inlineStr">
        <is>
          <t>D220</t>
        </is>
      </c>
      <c r="D200" t="inlineStr">
        <is>
          <t>10004258</t>
        </is>
      </c>
      <c r="E200" t="inlineStr"/>
      <c r="F200" s="11" t="n">
        <v>277.56</v>
      </c>
      <c r="G200" t="inlineStr"/>
      <c r="I200" t="inlineStr">
        <is>
          <t>TN</t>
        </is>
      </c>
      <c r="J200" t="inlineStr"/>
      <c r="K200" t="inlineStr">
        <is>
          <t>20260201</t>
        </is>
      </c>
      <c r="L200" t="inlineStr">
        <is>
          <t>99991231</t>
        </is>
      </c>
    </row>
    <row r="201">
      <c r="A201" t="inlineStr">
        <is>
          <t>900004153</t>
        </is>
      </c>
      <c r="B201" t="inlineStr">
        <is>
          <t>DW68</t>
        </is>
      </c>
      <c r="C201" t="inlineStr">
        <is>
          <t>D228</t>
        </is>
      </c>
      <c r="D201" t="inlineStr">
        <is>
          <t>10000191</t>
        </is>
      </c>
      <c r="E201" t="inlineStr"/>
      <c r="F201" s="11" t="n">
        <v>170.64</v>
      </c>
      <c r="G201" t="inlineStr"/>
      <c r="I201" t="inlineStr">
        <is>
          <t>TN</t>
        </is>
      </c>
      <c r="J201" t="inlineStr"/>
      <c r="K201" t="inlineStr">
        <is>
          <t>20260201</t>
        </is>
      </c>
      <c r="L201" t="inlineStr">
        <is>
          <t>99991231</t>
        </is>
      </c>
    </row>
    <row r="202">
      <c r="A202" t="inlineStr">
        <is>
          <t>900004153</t>
        </is>
      </c>
      <c r="B202" t="inlineStr">
        <is>
          <t>DW68</t>
        </is>
      </c>
      <c r="C202" t="inlineStr">
        <is>
          <t>D228</t>
        </is>
      </c>
      <c r="D202" t="inlineStr">
        <is>
          <t>10000384</t>
        </is>
      </c>
      <c r="E202" t="inlineStr"/>
      <c r="F202" s="11" t="n">
        <v>194.4</v>
      </c>
      <c r="G202" t="inlineStr"/>
      <c r="I202" t="inlineStr">
        <is>
          <t>TN</t>
        </is>
      </c>
      <c r="J202" t="inlineStr"/>
      <c r="K202" t="inlineStr">
        <is>
          <t>20260201</t>
        </is>
      </c>
      <c r="L202" t="inlineStr">
        <is>
          <t>99991231</t>
        </is>
      </c>
    </row>
    <row r="203">
      <c r="A203" t="inlineStr">
        <is>
          <t>900004153</t>
        </is>
      </c>
      <c r="B203" t="inlineStr">
        <is>
          <t>DW68</t>
        </is>
      </c>
      <c r="C203" t="inlineStr">
        <is>
          <t>D228</t>
        </is>
      </c>
      <c r="D203" t="inlineStr">
        <is>
          <t>10000388</t>
        </is>
      </c>
      <c r="E203" t="inlineStr"/>
      <c r="F203" s="11" t="n">
        <v>170.64</v>
      </c>
      <c r="G203" t="inlineStr"/>
      <c r="I203" t="inlineStr">
        <is>
          <t>TN</t>
        </is>
      </c>
      <c r="J203" t="inlineStr"/>
      <c r="K203" t="inlineStr">
        <is>
          <t>20260201</t>
        </is>
      </c>
      <c r="L203" t="inlineStr">
        <is>
          <t>99991231</t>
        </is>
      </c>
    </row>
    <row r="204">
      <c r="A204" t="inlineStr">
        <is>
          <t>900004153</t>
        </is>
      </c>
      <c r="B204" t="inlineStr">
        <is>
          <t>DW68</t>
        </is>
      </c>
      <c r="C204" t="inlineStr">
        <is>
          <t>D228</t>
        </is>
      </c>
      <c r="D204" t="inlineStr">
        <is>
          <t>10004258</t>
        </is>
      </c>
      <c r="E204" t="inlineStr"/>
      <c r="F204" s="11" t="n">
        <v>277.56</v>
      </c>
      <c r="G204" t="inlineStr"/>
      <c r="I204" t="inlineStr">
        <is>
          <t>TN</t>
        </is>
      </c>
      <c r="J204" t="inlineStr"/>
      <c r="K204" t="inlineStr">
        <is>
          <t>20260201</t>
        </is>
      </c>
      <c r="L204" t="inlineStr">
        <is>
          <t>99991231</t>
        </is>
      </c>
    </row>
    <row r="205">
      <c r="A205" t="inlineStr">
        <is>
          <t>900004153</t>
        </is>
      </c>
      <c r="B205" t="inlineStr">
        <is>
          <t>DW68</t>
        </is>
      </c>
      <c r="C205" t="inlineStr">
        <is>
          <t>D242</t>
        </is>
      </c>
      <c r="D205" t="inlineStr">
        <is>
          <t>10000191</t>
        </is>
      </c>
      <c r="E205" t="inlineStr"/>
      <c r="F205" s="11" t="n">
        <v>170.64</v>
      </c>
      <c r="G205" t="inlineStr"/>
      <c r="I205" t="inlineStr">
        <is>
          <t>TN</t>
        </is>
      </c>
      <c r="J205" t="inlineStr"/>
      <c r="K205" t="inlineStr">
        <is>
          <t>20260201</t>
        </is>
      </c>
      <c r="L205" t="inlineStr">
        <is>
          <t>99991231</t>
        </is>
      </c>
    </row>
    <row r="206">
      <c r="A206" t="inlineStr">
        <is>
          <t>900004153</t>
        </is>
      </c>
      <c r="B206" t="inlineStr">
        <is>
          <t>DW68</t>
        </is>
      </c>
      <c r="C206" t="inlineStr">
        <is>
          <t>D242</t>
        </is>
      </c>
      <c r="D206" t="inlineStr">
        <is>
          <t>10000384</t>
        </is>
      </c>
      <c r="E206" t="inlineStr"/>
      <c r="F206" s="11" t="n">
        <v>194.4</v>
      </c>
      <c r="G206" t="inlineStr"/>
      <c r="I206" t="inlineStr">
        <is>
          <t>TN</t>
        </is>
      </c>
      <c r="J206" t="inlineStr"/>
      <c r="K206" t="inlineStr">
        <is>
          <t>20260201</t>
        </is>
      </c>
      <c r="L206" t="inlineStr">
        <is>
          <t>99991231</t>
        </is>
      </c>
    </row>
    <row r="207">
      <c r="A207" t="inlineStr">
        <is>
          <t>900004153</t>
        </is>
      </c>
      <c r="B207" t="inlineStr">
        <is>
          <t>DW68</t>
        </is>
      </c>
      <c r="C207" t="inlineStr">
        <is>
          <t>D242</t>
        </is>
      </c>
      <c r="D207" t="inlineStr">
        <is>
          <t>10000388</t>
        </is>
      </c>
      <c r="E207" t="inlineStr"/>
      <c r="F207" s="11" t="n">
        <v>170.64</v>
      </c>
      <c r="G207" t="inlineStr"/>
      <c r="I207" t="inlineStr">
        <is>
          <t>TN</t>
        </is>
      </c>
      <c r="J207" t="inlineStr"/>
      <c r="K207" t="inlineStr">
        <is>
          <t>20260201</t>
        </is>
      </c>
      <c r="L207" t="inlineStr">
        <is>
          <t>99991231</t>
        </is>
      </c>
    </row>
    <row r="208">
      <c r="A208" t="inlineStr">
        <is>
          <t>900004153</t>
        </is>
      </c>
      <c r="B208" t="inlineStr">
        <is>
          <t>DW68</t>
        </is>
      </c>
      <c r="C208" t="inlineStr">
        <is>
          <t>D242</t>
        </is>
      </c>
      <c r="D208" t="inlineStr">
        <is>
          <t>10004258</t>
        </is>
      </c>
      <c r="E208" t="inlineStr"/>
      <c r="F208" s="11" t="n">
        <v>277.56</v>
      </c>
      <c r="G208" t="inlineStr"/>
      <c r="I208" t="inlineStr">
        <is>
          <t>TN</t>
        </is>
      </c>
      <c r="J208" t="inlineStr"/>
      <c r="K208" t="inlineStr">
        <is>
          <t>20260201</t>
        </is>
      </c>
      <c r="L208" t="inlineStr">
        <is>
          <t>99991231</t>
        </is>
      </c>
    </row>
    <row r="209">
      <c r="A209" t="inlineStr">
        <is>
          <t>900004153</t>
        </is>
      </c>
      <c r="B209" t="inlineStr">
        <is>
          <t>DW68</t>
        </is>
      </c>
      <c r="C209" t="inlineStr">
        <is>
          <t>D247</t>
        </is>
      </c>
      <c r="D209" t="inlineStr">
        <is>
          <t>10000191</t>
        </is>
      </c>
      <c r="E209" t="inlineStr"/>
      <c r="F209" s="11" t="n">
        <v>170.64</v>
      </c>
      <c r="G209" t="inlineStr"/>
      <c r="I209" t="inlineStr">
        <is>
          <t>TN</t>
        </is>
      </c>
      <c r="J209" t="inlineStr"/>
      <c r="K209" t="inlineStr">
        <is>
          <t>20260201</t>
        </is>
      </c>
      <c r="L209" t="inlineStr">
        <is>
          <t>99991231</t>
        </is>
      </c>
    </row>
    <row r="210">
      <c r="A210" t="inlineStr">
        <is>
          <t>900004153</t>
        </is>
      </c>
      <c r="B210" t="inlineStr">
        <is>
          <t>DW68</t>
        </is>
      </c>
      <c r="C210" t="inlineStr">
        <is>
          <t>D247</t>
        </is>
      </c>
      <c r="D210" t="inlineStr">
        <is>
          <t>10000384</t>
        </is>
      </c>
      <c r="E210" t="inlineStr"/>
      <c r="F210" s="11" t="n">
        <v>194.4</v>
      </c>
      <c r="G210" t="inlineStr"/>
      <c r="I210" t="inlineStr">
        <is>
          <t>TN</t>
        </is>
      </c>
      <c r="J210" t="inlineStr"/>
      <c r="K210" t="inlineStr">
        <is>
          <t>20260201</t>
        </is>
      </c>
      <c r="L210" t="inlineStr">
        <is>
          <t>99991231</t>
        </is>
      </c>
    </row>
    <row r="211">
      <c r="A211" t="inlineStr">
        <is>
          <t>900004153</t>
        </is>
      </c>
      <c r="B211" t="inlineStr">
        <is>
          <t>DW68</t>
        </is>
      </c>
      <c r="C211" t="inlineStr">
        <is>
          <t>D247</t>
        </is>
      </c>
      <c r="D211" t="inlineStr">
        <is>
          <t>10000388</t>
        </is>
      </c>
      <c r="E211" t="inlineStr"/>
      <c r="F211" s="11" t="n">
        <v>170.64</v>
      </c>
      <c r="G211" t="inlineStr"/>
      <c r="I211" t="inlineStr">
        <is>
          <t>TN</t>
        </is>
      </c>
      <c r="J211" t="inlineStr"/>
      <c r="K211" t="inlineStr">
        <is>
          <t>20260201</t>
        </is>
      </c>
      <c r="L211" t="inlineStr">
        <is>
          <t>99991231</t>
        </is>
      </c>
    </row>
    <row r="212">
      <c r="A212" t="inlineStr">
        <is>
          <t>900004153</t>
        </is>
      </c>
      <c r="B212" t="inlineStr">
        <is>
          <t>DW68</t>
        </is>
      </c>
      <c r="C212" t="inlineStr">
        <is>
          <t>D247</t>
        </is>
      </c>
      <c r="D212" t="inlineStr">
        <is>
          <t>10004258</t>
        </is>
      </c>
      <c r="E212" t="inlineStr"/>
      <c r="F212" s="11" t="n">
        <v>277.56</v>
      </c>
      <c r="G212" t="inlineStr"/>
      <c r="I212" t="inlineStr">
        <is>
          <t>TN</t>
        </is>
      </c>
      <c r="J212" t="inlineStr"/>
      <c r="K212" t="inlineStr">
        <is>
          <t>20260201</t>
        </is>
      </c>
      <c r="L212" t="inlineStr">
        <is>
          <t>99991231</t>
        </is>
      </c>
    </row>
    <row r="213">
      <c r="A213" t="inlineStr">
        <is>
          <t>900004153</t>
        </is>
      </c>
      <c r="B213" t="inlineStr">
        <is>
          <t>DW68</t>
        </is>
      </c>
      <c r="C213" t="inlineStr">
        <is>
          <t>D251</t>
        </is>
      </c>
      <c r="D213" t="inlineStr">
        <is>
          <t>10000191</t>
        </is>
      </c>
      <c r="E213" t="inlineStr"/>
      <c r="F213" s="11" t="n">
        <v>170.64</v>
      </c>
      <c r="G213" t="inlineStr"/>
      <c r="I213" t="inlineStr">
        <is>
          <t>TN</t>
        </is>
      </c>
      <c r="J213" t="inlineStr"/>
      <c r="K213" t="inlineStr">
        <is>
          <t>20260201</t>
        </is>
      </c>
      <c r="L213" t="inlineStr">
        <is>
          <t>99991231</t>
        </is>
      </c>
    </row>
    <row r="214">
      <c r="A214" t="inlineStr">
        <is>
          <t>900004153</t>
        </is>
      </c>
      <c r="B214" t="inlineStr">
        <is>
          <t>DW68</t>
        </is>
      </c>
      <c r="C214" t="inlineStr">
        <is>
          <t>D251</t>
        </is>
      </c>
      <c r="D214" t="inlineStr">
        <is>
          <t>10000384</t>
        </is>
      </c>
      <c r="E214" t="inlineStr"/>
      <c r="F214" s="11" t="n">
        <v>194.4</v>
      </c>
      <c r="G214" t="inlineStr"/>
      <c r="I214" t="inlineStr">
        <is>
          <t>TN</t>
        </is>
      </c>
      <c r="J214" t="inlineStr"/>
      <c r="K214" t="inlineStr">
        <is>
          <t>20260201</t>
        </is>
      </c>
      <c r="L214" t="inlineStr">
        <is>
          <t>99991231</t>
        </is>
      </c>
    </row>
    <row r="215">
      <c r="A215" t="inlineStr">
        <is>
          <t>900004153</t>
        </is>
      </c>
      <c r="B215" t="inlineStr">
        <is>
          <t>DW68</t>
        </is>
      </c>
      <c r="C215" t="inlineStr">
        <is>
          <t>D251</t>
        </is>
      </c>
      <c r="D215" t="inlineStr">
        <is>
          <t>10000388</t>
        </is>
      </c>
      <c r="E215" t="inlineStr"/>
      <c r="F215" s="11" t="n">
        <v>170.64</v>
      </c>
      <c r="G215" t="inlineStr"/>
      <c r="I215" t="inlineStr">
        <is>
          <t>TN</t>
        </is>
      </c>
      <c r="J215" t="inlineStr"/>
      <c r="K215" t="inlineStr">
        <is>
          <t>20260201</t>
        </is>
      </c>
      <c r="L215" t="inlineStr">
        <is>
          <t>99991231</t>
        </is>
      </c>
    </row>
    <row r="216">
      <c r="A216" t="inlineStr">
        <is>
          <t>900004153</t>
        </is>
      </c>
      <c r="B216" t="inlineStr">
        <is>
          <t>DW68</t>
        </is>
      </c>
      <c r="C216" t="inlineStr">
        <is>
          <t>D251</t>
        </is>
      </c>
      <c r="D216" t="inlineStr">
        <is>
          <t>10004258</t>
        </is>
      </c>
      <c r="E216" t="inlineStr"/>
      <c r="F216" s="11" t="n">
        <v>277.56</v>
      </c>
      <c r="G216" t="inlineStr"/>
      <c r="I216" t="inlineStr">
        <is>
          <t>TN</t>
        </is>
      </c>
      <c r="J216" t="inlineStr"/>
      <c r="K216" t="inlineStr">
        <is>
          <t>20260201</t>
        </is>
      </c>
      <c r="L216" t="inlineStr">
        <is>
          <t>99991231</t>
        </is>
      </c>
    </row>
    <row r="217">
      <c r="A217" t="inlineStr">
        <is>
          <t>900004153</t>
        </is>
      </c>
      <c r="B217" t="inlineStr">
        <is>
          <t>DW68</t>
        </is>
      </c>
      <c r="C217" t="inlineStr">
        <is>
          <t>D264</t>
        </is>
      </c>
      <c r="D217" t="inlineStr">
        <is>
          <t>10000191</t>
        </is>
      </c>
      <c r="E217" t="inlineStr"/>
      <c r="F217" s="11" t="n">
        <v>170.64</v>
      </c>
      <c r="G217" t="inlineStr"/>
      <c r="I217" t="inlineStr">
        <is>
          <t>TN</t>
        </is>
      </c>
      <c r="J217" t="inlineStr"/>
      <c r="K217" t="inlineStr">
        <is>
          <t>20260201</t>
        </is>
      </c>
      <c r="L217" t="inlineStr">
        <is>
          <t>99991231</t>
        </is>
      </c>
    </row>
    <row r="218">
      <c r="A218" t="inlineStr">
        <is>
          <t>900004153</t>
        </is>
      </c>
      <c r="B218" t="inlineStr">
        <is>
          <t>DW68</t>
        </is>
      </c>
      <c r="C218" t="inlineStr">
        <is>
          <t>D264</t>
        </is>
      </c>
      <c r="D218" t="inlineStr">
        <is>
          <t>10000384</t>
        </is>
      </c>
      <c r="E218" t="inlineStr"/>
      <c r="F218" s="11" t="n">
        <v>194.4</v>
      </c>
      <c r="G218" t="inlineStr"/>
      <c r="I218" t="inlineStr">
        <is>
          <t>TN</t>
        </is>
      </c>
      <c r="J218" t="inlineStr"/>
      <c r="K218" t="inlineStr">
        <is>
          <t>20260201</t>
        </is>
      </c>
      <c r="L218" t="inlineStr">
        <is>
          <t>99991231</t>
        </is>
      </c>
    </row>
    <row r="219">
      <c r="A219" t="inlineStr">
        <is>
          <t>900004153</t>
        </is>
      </c>
      <c r="B219" t="inlineStr">
        <is>
          <t>DW68</t>
        </is>
      </c>
      <c r="C219" t="inlineStr">
        <is>
          <t>D264</t>
        </is>
      </c>
      <c r="D219" t="inlineStr">
        <is>
          <t>10000388</t>
        </is>
      </c>
      <c r="E219" t="inlineStr"/>
      <c r="F219" s="11" t="n">
        <v>170.64</v>
      </c>
      <c r="G219" t="inlineStr"/>
      <c r="I219" t="inlineStr">
        <is>
          <t>TN</t>
        </is>
      </c>
      <c r="J219" t="inlineStr"/>
      <c r="K219" t="inlineStr">
        <is>
          <t>20260201</t>
        </is>
      </c>
      <c r="L219" t="inlineStr">
        <is>
          <t>99991231</t>
        </is>
      </c>
    </row>
    <row r="220">
      <c r="A220" t="inlineStr">
        <is>
          <t>900004153</t>
        </is>
      </c>
      <c r="B220" t="inlineStr">
        <is>
          <t>DW68</t>
        </is>
      </c>
      <c r="C220" t="inlineStr">
        <is>
          <t>D264</t>
        </is>
      </c>
      <c r="D220" t="inlineStr">
        <is>
          <t>10004258</t>
        </is>
      </c>
      <c r="E220" t="inlineStr"/>
      <c r="F220" s="11" t="n">
        <v>277.56</v>
      </c>
      <c r="G220" t="inlineStr"/>
      <c r="I220" t="inlineStr">
        <is>
          <t>TN</t>
        </is>
      </c>
      <c r="J220" t="inlineStr"/>
      <c r="K220" t="inlineStr">
        <is>
          <t>20260201</t>
        </is>
      </c>
      <c r="L220" t="inlineStr">
        <is>
          <t>99991231</t>
        </is>
      </c>
    </row>
    <row r="221">
      <c r="A221" t="inlineStr">
        <is>
          <t>900004153</t>
        </is>
      </c>
      <c r="B221" t="inlineStr">
        <is>
          <t>DW68</t>
        </is>
      </c>
      <c r="C221" t="inlineStr">
        <is>
          <t>D267</t>
        </is>
      </c>
      <c r="D221" t="inlineStr">
        <is>
          <t>10000191</t>
        </is>
      </c>
      <c r="E221" t="inlineStr"/>
      <c r="F221" s="11" t="n">
        <v>170.64</v>
      </c>
      <c r="G221" t="inlineStr"/>
      <c r="I221" t="inlineStr">
        <is>
          <t>TN</t>
        </is>
      </c>
      <c r="J221" t="inlineStr"/>
      <c r="K221" t="inlineStr">
        <is>
          <t>20260201</t>
        </is>
      </c>
      <c r="L221" t="inlineStr">
        <is>
          <t>99991231</t>
        </is>
      </c>
    </row>
    <row r="222">
      <c r="A222" t="inlineStr">
        <is>
          <t>900004153</t>
        </is>
      </c>
      <c r="B222" t="inlineStr">
        <is>
          <t>DW68</t>
        </is>
      </c>
      <c r="C222" t="inlineStr">
        <is>
          <t>D267</t>
        </is>
      </c>
      <c r="D222" t="inlineStr">
        <is>
          <t>10000384</t>
        </is>
      </c>
      <c r="E222" t="inlineStr"/>
      <c r="F222" s="11" t="n">
        <v>194.4</v>
      </c>
      <c r="G222" t="inlineStr"/>
      <c r="I222" t="inlineStr">
        <is>
          <t>TN</t>
        </is>
      </c>
      <c r="J222" t="inlineStr"/>
      <c r="K222" t="inlineStr">
        <is>
          <t>20260201</t>
        </is>
      </c>
      <c r="L222" t="inlineStr">
        <is>
          <t>99991231</t>
        </is>
      </c>
    </row>
    <row r="223">
      <c r="A223" t="inlineStr">
        <is>
          <t>900004153</t>
        </is>
      </c>
      <c r="B223" t="inlineStr">
        <is>
          <t>DW68</t>
        </is>
      </c>
      <c r="C223" t="inlineStr">
        <is>
          <t>D267</t>
        </is>
      </c>
      <c r="D223" t="inlineStr">
        <is>
          <t>10000388</t>
        </is>
      </c>
      <c r="E223" t="inlineStr"/>
      <c r="F223" s="11" t="n">
        <v>170.64</v>
      </c>
      <c r="G223" t="inlineStr"/>
      <c r="I223" t="inlineStr">
        <is>
          <t>TN</t>
        </is>
      </c>
      <c r="J223" t="inlineStr"/>
      <c r="K223" t="inlineStr">
        <is>
          <t>20260201</t>
        </is>
      </c>
      <c r="L223" t="inlineStr">
        <is>
          <t>99991231</t>
        </is>
      </c>
    </row>
    <row r="224">
      <c r="A224" t="inlineStr">
        <is>
          <t>900004153</t>
        </is>
      </c>
      <c r="B224" t="inlineStr">
        <is>
          <t>DW68</t>
        </is>
      </c>
      <c r="C224" t="inlineStr">
        <is>
          <t>D267</t>
        </is>
      </c>
      <c r="D224" t="inlineStr">
        <is>
          <t>10004258</t>
        </is>
      </c>
      <c r="E224" t="inlineStr"/>
      <c r="F224" s="11" t="n">
        <v>277.56</v>
      </c>
      <c r="G224" t="inlineStr"/>
      <c r="I224" t="inlineStr">
        <is>
          <t>TN</t>
        </is>
      </c>
      <c r="J224" t="inlineStr"/>
      <c r="K224" t="inlineStr">
        <is>
          <t>20260201</t>
        </is>
      </c>
      <c r="L224" t="inlineStr">
        <is>
          <t>99991231</t>
        </is>
      </c>
    </row>
    <row r="225">
      <c r="A225" t="inlineStr">
        <is>
          <t>900004166</t>
        </is>
      </c>
      <c r="B225" t="inlineStr">
        <is>
          <t>DW68</t>
        </is>
      </c>
      <c r="C225" t="inlineStr">
        <is>
          <t>D042</t>
        </is>
      </c>
      <c r="D225" t="inlineStr">
        <is>
          <t>10000384</t>
        </is>
      </c>
      <c r="E225" t="inlineStr"/>
      <c r="F225" s="11" t="n">
        <v>204.97</v>
      </c>
      <c r="G225" t="inlineStr"/>
      <c r="I225" t="inlineStr">
        <is>
          <t>TN</t>
        </is>
      </c>
      <c r="J225" t="inlineStr"/>
      <c r="K225" t="inlineStr">
        <is>
          <t>20230629</t>
        </is>
      </c>
      <c r="L225" t="inlineStr">
        <is>
          <t>20251031</t>
        </is>
      </c>
    </row>
    <row r="226">
      <c r="A226" t="inlineStr">
        <is>
          <t>900004166</t>
        </is>
      </c>
      <c r="B226" t="inlineStr">
        <is>
          <t>DW68</t>
        </is>
      </c>
      <c r="C226" t="inlineStr">
        <is>
          <t>D042</t>
        </is>
      </c>
      <c r="D226" t="inlineStr">
        <is>
          <t>10004258</t>
        </is>
      </c>
      <c r="E226" t="inlineStr"/>
      <c r="F226" s="11" t="n">
        <v>313.73</v>
      </c>
      <c r="G226" t="inlineStr"/>
      <c r="I226" t="inlineStr">
        <is>
          <t>TN</t>
        </is>
      </c>
      <c r="J226" t="inlineStr"/>
      <c r="K226" t="inlineStr">
        <is>
          <t>20230629</t>
        </is>
      </c>
      <c r="L226" t="inlineStr">
        <is>
          <t>20251031</t>
        </is>
      </c>
    </row>
    <row r="227">
      <c r="A227" t="inlineStr">
        <is>
          <t>900004166</t>
        </is>
      </c>
      <c r="B227" t="inlineStr">
        <is>
          <t>DW68</t>
        </is>
      </c>
      <c r="C227" t="inlineStr">
        <is>
          <t>D042</t>
        </is>
      </c>
      <c r="D227" t="inlineStr">
        <is>
          <t>10034701</t>
        </is>
      </c>
      <c r="E227" t="inlineStr"/>
      <c r="F227" s="11" t="n">
        <v>181.82</v>
      </c>
      <c r="G227" t="inlineStr"/>
      <c r="I227" t="inlineStr">
        <is>
          <t>TN</t>
        </is>
      </c>
      <c r="J227" t="inlineStr"/>
      <c r="K227" t="inlineStr">
        <is>
          <t>20230629</t>
        </is>
      </c>
      <c r="L227" t="inlineStr">
        <is>
          <t>20251031</t>
        </is>
      </c>
    </row>
    <row r="228">
      <c r="A228" t="inlineStr">
        <is>
          <t>900004166</t>
        </is>
      </c>
      <c r="B228" t="inlineStr">
        <is>
          <t>DW68</t>
        </is>
      </c>
      <c r="C228" t="inlineStr">
        <is>
          <t>D042</t>
        </is>
      </c>
      <c r="D228" t="inlineStr">
        <is>
          <t>10035053</t>
        </is>
      </c>
      <c r="E228" t="inlineStr"/>
      <c r="F228" s="11" t="n">
        <v>125.65</v>
      </c>
      <c r="G228" t="inlineStr"/>
      <c r="I228" t="inlineStr">
        <is>
          <t>TN</t>
        </is>
      </c>
      <c r="J228" t="inlineStr"/>
      <c r="K228" t="inlineStr">
        <is>
          <t>20230629</t>
        </is>
      </c>
      <c r="L228" t="inlineStr">
        <is>
          <t>20251031</t>
        </is>
      </c>
    </row>
    <row r="229">
      <c r="A229" t="inlineStr">
        <is>
          <t>900004166</t>
        </is>
      </c>
      <c r="B229" t="inlineStr">
        <is>
          <t>DW68</t>
        </is>
      </c>
      <c r="C229" t="inlineStr">
        <is>
          <t>D042</t>
        </is>
      </c>
      <c r="D229" t="inlineStr">
        <is>
          <t>10110630</t>
        </is>
      </c>
      <c r="E229" t="inlineStr"/>
      <c r="F229" s="11" t="n">
        <v>165.84</v>
      </c>
      <c r="G229" t="inlineStr"/>
      <c r="I229" t="inlineStr">
        <is>
          <t>TN</t>
        </is>
      </c>
      <c r="J229" t="inlineStr"/>
      <c r="K229" t="inlineStr">
        <is>
          <t>20230629</t>
        </is>
      </c>
      <c r="L229" t="inlineStr">
        <is>
          <t>20251031</t>
        </is>
      </c>
    </row>
    <row r="230">
      <c r="A230" t="inlineStr">
        <is>
          <t>900004166</t>
        </is>
      </c>
      <c r="B230" t="inlineStr">
        <is>
          <t>DW68</t>
        </is>
      </c>
      <c r="C230" t="inlineStr">
        <is>
          <t>D042</t>
        </is>
      </c>
      <c r="D230" t="inlineStr">
        <is>
          <t>10132394</t>
        </is>
      </c>
      <c r="E230" t="inlineStr"/>
      <c r="F230" s="11" t="n">
        <v>120.34</v>
      </c>
      <c r="G230" t="inlineStr"/>
      <c r="I230" t="inlineStr">
        <is>
          <t>TN</t>
        </is>
      </c>
      <c r="J230" t="inlineStr"/>
      <c r="K230" t="inlineStr">
        <is>
          <t>20230629</t>
        </is>
      </c>
      <c r="L230" t="inlineStr">
        <is>
          <t>20251031</t>
        </is>
      </c>
    </row>
    <row r="231">
      <c r="A231" t="inlineStr">
        <is>
          <t>900004166</t>
        </is>
      </c>
      <c r="B231" t="inlineStr">
        <is>
          <t>DW68</t>
        </is>
      </c>
      <c r="C231" t="inlineStr">
        <is>
          <t>D209</t>
        </is>
      </c>
      <c r="D231" t="inlineStr">
        <is>
          <t>10000384</t>
        </is>
      </c>
      <c r="E231" t="inlineStr"/>
      <c r="F231" s="11" t="n">
        <v>204.97</v>
      </c>
      <c r="G231" t="inlineStr"/>
      <c r="I231" t="inlineStr">
        <is>
          <t>TN</t>
        </is>
      </c>
      <c r="J231" t="inlineStr"/>
      <c r="K231" t="inlineStr">
        <is>
          <t>20230629</t>
        </is>
      </c>
      <c r="L231" t="inlineStr">
        <is>
          <t>20251031</t>
        </is>
      </c>
    </row>
    <row r="232">
      <c r="A232" t="inlineStr">
        <is>
          <t>900004166</t>
        </is>
      </c>
      <c r="B232" t="inlineStr">
        <is>
          <t>DW68</t>
        </is>
      </c>
      <c r="C232" t="inlineStr">
        <is>
          <t>D209</t>
        </is>
      </c>
      <c r="D232" t="inlineStr">
        <is>
          <t>10004258</t>
        </is>
      </c>
      <c r="E232" t="inlineStr"/>
      <c r="F232" s="11" t="n">
        <v>313.73</v>
      </c>
      <c r="G232" t="inlineStr"/>
      <c r="I232" t="inlineStr">
        <is>
          <t>TN</t>
        </is>
      </c>
      <c r="J232" t="inlineStr"/>
      <c r="K232" t="inlineStr">
        <is>
          <t>20230629</t>
        </is>
      </c>
      <c r="L232" t="inlineStr">
        <is>
          <t>20251031</t>
        </is>
      </c>
    </row>
    <row r="233">
      <c r="A233" t="inlineStr">
        <is>
          <t>900004166</t>
        </is>
      </c>
      <c r="B233" t="inlineStr">
        <is>
          <t>DW68</t>
        </is>
      </c>
      <c r="C233" t="inlineStr">
        <is>
          <t>D209</t>
        </is>
      </c>
      <c r="D233" t="inlineStr">
        <is>
          <t>10034701</t>
        </is>
      </c>
      <c r="E233" t="inlineStr"/>
      <c r="F233" s="11" t="n">
        <v>181.82</v>
      </c>
      <c r="G233" t="inlineStr"/>
      <c r="I233" t="inlineStr">
        <is>
          <t>TN</t>
        </is>
      </c>
      <c r="J233" t="inlineStr"/>
      <c r="K233" t="inlineStr">
        <is>
          <t>20230629</t>
        </is>
      </c>
      <c r="L233" t="inlineStr">
        <is>
          <t>20251031</t>
        </is>
      </c>
    </row>
    <row r="234">
      <c r="A234" t="inlineStr">
        <is>
          <t>900004166</t>
        </is>
      </c>
      <c r="B234" t="inlineStr">
        <is>
          <t>DW68</t>
        </is>
      </c>
      <c r="C234" t="inlineStr">
        <is>
          <t>D209</t>
        </is>
      </c>
      <c r="D234" t="inlineStr">
        <is>
          <t>10035053</t>
        </is>
      </c>
      <c r="E234" t="inlineStr"/>
      <c r="F234" s="11" t="n">
        <v>125.65</v>
      </c>
      <c r="G234" t="inlineStr"/>
      <c r="I234" t="inlineStr">
        <is>
          <t>TN</t>
        </is>
      </c>
      <c r="J234" t="inlineStr"/>
      <c r="K234" t="inlineStr">
        <is>
          <t>20230629</t>
        </is>
      </c>
      <c r="L234" t="inlineStr">
        <is>
          <t>20251031</t>
        </is>
      </c>
    </row>
    <row r="235">
      <c r="A235" t="inlineStr">
        <is>
          <t>900004166</t>
        </is>
      </c>
      <c r="B235" t="inlineStr">
        <is>
          <t>DW68</t>
        </is>
      </c>
      <c r="C235" t="inlineStr">
        <is>
          <t>D209</t>
        </is>
      </c>
      <c r="D235" t="inlineStr">
        <is>
          <t>10110630</t>
        </is>
      </c>
      <c r="E235" t="inlineStr"/>
      <c r="F235" s="11" t="n">
        <v>165.84</v>
      </c>
      <c r="G235" t="inlineStr"/>
      <c r="I235" t="inlineStr">
        <is>
          <t>TN</t>
        </is>
      </c>
      <c r="J235" t="inlineStr"/>
      <c r="K235" t="inlineStr">
        <is>
          <t>20230629</t>
        </is>
      </c>
      <c r="L235" t="inlineStr">
        <is>
          <t>20251031</t>
        </is>
      </c>
    </row>
    <row r="236">
      <c r="A236" t="inlineStr">
        <is>
          <t>900004166</t>
        </is>
      </c>
      <c r="B236" t="inlineStr">
        <is>
          <t>DW68</t>
        </is>
      </c>
      <c r="C236" t="inlineStr">
        <is>
          <t>D209</t>
        </is>
      </c>
      <c r="D236" t="inlineStr">
        <is>
          <t>10132394</t>
        </is>
      </c>
      <c r="E236" t="inlineStr"/>
      <c r="F236" s="11" t="n">
        <v>120.34</v>
      </c>
      <c r="G236" t="inlineStr"/>
      <c r="I236" t="inlineStr">
        <is>
          <t>TN</t>
        </is>
      </c>
      <c r="J236" t="inlineStr"/>
      <c r="K236" t="inlineStr">
        <is>
          <t>20230629</t>
        </is>
      </c>
      <c r="L236" t="inlineStr">
        <is>
          <t>20251031</t>
        </is>
      </c>
    </row>
    <row r="237">
      <c r="A237" t="inlineStr">
        <is>
          <t>900004166</t>
        </is>
      </c>
      <c r="B237" t="inlineStr">
        <is>
          <t>DW68</t>
        </is>
      </c>
      <c r="C237" t="inlineStr">
        <is>
          <t>D211</t>
        </is>
      </c>
      <c r="D237" t="inlineStr">
        <is>
          <t>10000384</t>
        </is>
      </c>
      <c r="E237" t="inlineStr"/>
      <c r="F237" s="11" t="n">
        <v>204.97</v>
      </c>
      <c r="G237" t="inlineStr"/>
      <c r="I237" t="inlineStr">
        <is>
          <t>TN</t>
        </is>
      </c>
      <c r="J237" t="inlineStr"/>
      <c r="K237" t="inlineStr">
        <is>
          <t>20230629</t>
        </is>
      </c>
      <c r="L237" t="inlineStr">
        <is>
          <t>20251031</t>
        </is>
      </c>
    </row>
    <row r="238">
      <c r="A238" t="inlineStr">
        <is>
          <t>900004166</t>
        </is>
      </c>
      <c r="B238" t="inlineStr">
        <is>
          <t>DW68</t>
        </is>
      </c>
      <c r="C238" t="inlineStr">
        <is>
          <t>D211</t>
        </is>
      </c>
      <c r="D238" t="inlineStr">
        <is>
          <t>10004258</t>
        </is>
      </c>
      <c r="E238" t="inlineStr"/>
      <c r="F238" s="11" t="n">
        <v>313.73</v>
      </c>
      <c r="G238" t="inlineStr"/>
      <c r="I238" t="inlineStr">
        <is>
          <t>TN</t>
        </is>
      </c>
      <c r="J238" t="inlineStr"/>
      <c r="K238" t="inlineStr">
        <is>
          <t>20230629</t>
        </is>
      </c>
      <c r="L238" t="inlineStr">
        <is>
          <t>20251031</t>
        </is>
      </c>
    </row>
    <row r="239">
      <c r="A239" t="inlineStr">
        <is>
          <t>900004166</t>
        </is>
      </c>
      <c r="B239" t="inlineStr">
        <is>
          <t>DW68</t>
        </is>
      </c>
      <c r="C239" t="inlineStr">
        <is>
          <t>D211</t>
        </is>
      </c>
      <c r="D239" t="inlineStr">
        <is>
          <t>10034701</t>
        </is>
      </c>
      <c r="E239" t="inlineStr"/>
      <c r="F239" s="11" t="n">
        <v>181.82</v>
      </c>
      <c r="G239" t="inlineStr"/>
      <c r="I239" t="inlineStr">
        <is>
          <t>TN</t>
        </is>
      </c>
      <c r="J239" t="inlineStr"/>
      <c r="K239" t="inlineStr">
        <is>
          <t>20230629</t>
        </is>
      </c>
      <c r="L239" t="inlineStr">
        <is>
          <t>20251031</t>
        </is>
      </c>
    </row>
    <row r="240">
      <c r="A240" t="inlineStr">
        <is>
          <t>900004166</t>
        </is>
      </c>
      <c r="B240" t="inlineStr">
        <is>
          <t>DW68</t>
        </is>
      </c>
      <c r="C240" t="inlineStr">
        <is>
          <t>D211</t>
        </is>
      </c>
      <c r="D240" t="inlineStr">
        <is>
          <t>10035053</t>
        </is>
      </c>
      <c r="E240" t="inlineStr"/>
      <c r="F240" s="11" t="n">
        <v>125.65</v>
      </c>
      <c r="G240" t="inlineStr"/>
      <c r="I240" t="inlineStr">
        <is>
          <t>TN</t>
        </is>
      </c>
      <c r="J240" t="inlineStr"/>
      <c r="K240" t="inlineStr">
        <is>
          <t>20230629</t>
        </is>
      </c>
      <c r="L240" t="inlineStr">
        <is>
          <t>20251031</t>
        </is>
      </c>
    </row>
    <row r="241">
      <c r="A241" t="inlineStr">
        <is>
          <t>900004166</t>
        </is>
      </c>
      <c r="B241" t="inlineStr">
        <is>
          <t>DW68</t>
        </is>
      </c>
      <c r="C241" t="inlineStr">
        <is>
          <t>D211</t>
        </is>
      </c>
      <c r="D241" t="inlineStr">
        <is>
          <t>10110630</t>
        </is>
      </c>
      <c r="E241" t="inlineStr"/>
      <c r="F241" s="11" t="n">
        <v>165.84</v>
      </c>
      <c r="G241" t="inlineStr"/>
      <c r="I241" t="inlineStr">
        <is>
          <t>TN</t>
        </is>
      </c>
      <c r="J241" t="inlineStr"/>
      <c r="K241" t="inlineStr">
        <is>
          <t>20230629</t>
        </is>
      </c>
      <c r="L241" t="inlineStr">
        <is>
          <t>20251031</t>
        </is>
      </c>
    </row>
    <row r="242">
      <c r="A242" t="inlineStr">
        <is>
          <t>900004166</t>
        </is>
      </c>
      <c r="B242" t="inlineStr">
        <is>
          <t>DW68</t>
        </is>
      </c>
      <c r="C242" t="inlineStr">
        <is>
          <t>D211</t>
        </is>
      </c>
      <c r="D242" t="inlineStr">
        <is>
          <t>10132394</t>
        </is>
      </c>
      <c r="E242" t="inlineStr"/>
      <c r="F242" s="11" t="n">
        <v>120.34</v>
      </c>
      <c r="G242" t="inlineStr"/>
      <c r="I242" t="inlineStr">
        <is>
          <t>TN</t>
        </is>
      </c>
      <c r="J242" t="inlineStr"/>
      <c r="K242" t="inlineStr">
        <is>
          <t>20230629</t>
        </is>
      </c>
      <c r="L242" t="inlineStr">
        <is>
          <t>20251031</t>
        </is>
      </c>
    </row>
    <row r="243">
      <c r="A243" t="inlineStr">
        <is>
          <t>900004166</t>
        </is>
      </c>
      <c r="B243" t="inlineStr">
        <is>
          <t>DW68</t>
        </is>
      </c>
      <c r="C243" t="inlineStr">
        <is>
          <t>D214</t>
        </is>
      </c>
      <c r="D243" t="inlineStr">
        <is>
          <t>10000384</t>
        </is>
      </c>
      <c r="E243" t="inlineStr"/>
      <c r="F243" s="11" t="n">
        <v>204.97</v>
      </c>
      <c r="G243" t="inlineStr"/>
      <c r="I243" t="inlineStr">
        <is>
          <t>TN</t>
        </is>
      </c>
      <c r="J243" t="inlineStr"/>
      <c r="K243" t="inlineStr">
        <is>
          <t>20230629</t>
        </is>
      </c>
      <c r="L243" t="inlineStr">
        <is>
          <t>20251031</t>
        </is>
      </c>
    </row>
    <row r="244">
      <c r="A244" t="inlineStr">
        <is>
          <t>900004166</t>
        </is>
      </c>
      <c r="B244" t="inlineStr">
        <is>
          <t>DW68</t>
        </is>
      </c>
      <c r="C244" t="inlineStr">
        <is>
          <t>D214</t>
        </is>
      </c>
      <c r="D244" t="inlineStr">
        <is>
          <t>10004258</t>
        </is>
      </c>
      <c r="E244" t="inlineStr"/>
      <c r="F244" s="11" t="n">
        <v>313.73</v>
      </c>
      <c r="G244" t="inlineStr"/>
      <c r="I244" t="inlineStr">
        <is>
          <t>TN</t>
        </is>
      </c>
      <c r="J244" t="inlineStr"/>
      <c r="K244" t="inlineStr">
        <is>
          <t>20230629</t>
        </is>
      </c>
      <c r="L244" t="inlineStr">
        <is>
          <t>20251031</t>
        </is>
      </c>
    </row>
    <row r="245">
      <c r="A245" t="inlineStr">
        <is>
          <t>900004166</t>
        </is>
      </c>
      <c r="B245" t="inlineStr">
        <is>
          <t>DW68</t>
        </is>
      </c>
      <c r="C245" t="inlineStr">
        <is>
          <t>D214</t>
        </is>
      </c>
      <c r="D245" t="inlineStr">
        <is>
          <t>10034701</t>
        </is>
      </c>
      <c r="E245" t="inlineStr"/>
      <c r="F245" s="11" t="n">
        <v>181.82</v>
      </c>
      <c r="G245" t="inlineStr"/>
      <c r="I245" t="inlineStr">
        <is>
          <t>TN</t>
        </is>
      </c>
      <c r="J245" t="inlineStr"/>
      <c r="K245" t="inlineStr">
        <is>
          <t>20230629</t>
        </is>
      </c>
      <c r="L245" t="inlineStr">
        <is>
          <t>20251031</t>
        </is>
      </c>
    </row>
    <row r="246">
      <c r="A246" t="inlineStr">
        <is>
          <t>900004166</t>
        </is>
      </c>
      <c r="B246" t="inlineStr">
        <is>
          <t>DW68</t>
        </is>
      </c>
      <c r="C246" t="inlineStr">
        <is>
          <t>D214</t>
        </is>
      </c>
      <c r="D246" t="inlineStr">
        <is>
          <t>10035053</t>
        </is>
      </c>
      <c r="E246" t="inlineStr"/>
      <c r="F246" s="11" t="n">
        <v>125.65</v>
      </c>
      <c r="G246" t="inlineStr"/>
      <c r="I246" t="inlineStr">
        <is>
          <t>TN</t>
        </is>
      </c>
      <c r="J246" t="inlineStr"/>
      <c r="K246" t="inlineStr">
        <is>
          <t>20230629</t>
        </is>
      </c>
      <c r="L246" t="inlineStr">
        <is>
          <t>20251031</t>
        </is>
      </c>
    </row>
    <row r="247">
      <c r="A247" t="inlineStr">
        <is>
          <t>900004166</t>
        </is>
      </c>
      <c r="B247" t="inlineStr">
        <is>
          <t>DW68</t>
        </is>
      </c>
      <c r="C247" t="inlineStr">
        <is>
          <t>D214</t>
        </is>
      </c>
      <c r="D247" t="inlineStr">
        <is>
          <t>10110630</t>
        </is>
      </c>
      <c r="E247" t="inlineStr"/>
      <c r="F247" s="11" t="n">
        <v>165.84</v>
      </c>
      <c r="G247" t="inlineStr"/>
      <c r="I247" t="inlineStr">
        <is>
          <t>TN</t>
        </is>
      </c>
      <c r="J247" t="inlineStr"/>
      <c r="K247" t="inlineStr">
        <is>
          <t>20230629</t>
        </is>
      </c>
      <c r="L247" t="inlineStr">
        <is>
          <t>20251031</t>
        </is>
      </c>
    </row>
    <row r="248">
      <c r="A248" t="inlineStr">
        <is>
          <t>900004166</t>
        </is>
      </c>
      <c r="B248" t="inlineStr">
        <is>
          <t>DW68</t>
        </is>
      </c>
      <c r="C248" t="inlineStr">
        <is>
          <t>D214</t>
        </is>
      </c>
      <c r="D248" t="inlineStr">
        <is>
          <t>10132394</t>
        </is>
      </c>
      <c r="E248" t="inlineStr"/>
      <c r="F248" s="11" t="n">
        <v>120.34</v>
      </c>
      <c r="G248" t="inlineStr"/>
      <c r="I248" t="inlineStr">
        <is>
          <t>TN</t>
        </is>
      </c>
      <c r="J248" t="inlineStr"/>
      <c r="K248" t="inlineStr">
        <is>
          <t>20230629</t>
        </is>
      </c>
      <c r="L248" t="inlineStr">
        <is>
          <t>20251031</t>
        </is>
      </c>
    </row>
    <row r="249">
      <c r="A249" t="inlineStr">
        <is>
          <t>900004166</t>
        </is>
      </c>
      <c r="B249" t="inlineStr">
        <is>
          <t>DW68</t>
        </is>
      </c>
      <c r="C249" t="inlineStr">
        <is>
          <t>D228</t>
        </is>
      </c>
      <c r="D249" t="inlineStr">
        <is>
          <t>10000384</t>
        </is>
      </c>
      <c r="E249" t="inlineStr"/>
      <c r="F249" s="11" t="n">
        <v>204.97</v>
      </c>
      <c r="G249" t="inlineStr"/>
      <c r="I249" t="inlineStr">
        <is>
          <t>TN</t>
        </is>
      </c>
      <c r="J249" t="inlineStr"/>
      <c r="K249" t="inlineStr">
        <is>
          <t>20230629</t>
        </is>
      </c>
      <c r="L249" t="inlineStr">
        <is>
          <t>20251031</t>
        </is>
      </c>
    </row>
    <row r="250">
      <c r="A250" t="inlineStr">
        <is>
          <t>900004166</t>
        </is>
      </c>
      <c r="B250" t="inlineStr">
        <is>
          <t>DW68</t>
        </is>
      </c>
      <c r="C250" t="inlineStr">
        <is>
          <t>D228</t>
        </is>
      </c>
      <c r="D250" t="inlineStr">
        <is>
          <t>10004258</t>
        </is>
      </c>
      <c r="E250" t="inlineStr"/>
      <c r="F250" s="11" t="n">
        <v>313.73</v>
      </c>
      <c r="G250" t="inlineStr"/>
      <c r="I250" t="inlineStr">
        <is>
          <t>TN</t>
        </is>
      </c>
      <c r="J250" t="inlineStr"/>
      <c r="K250" t="inlineStr">
        <is>
          <t>20230629</t>
        </is>
      </c>
      <c r="L250" t="inlineStr">
        <is>
          <t>20251031</t>
        </is>
      </c>
    </row>
    <row r="251">
      <c r="A251" t="inlineStr">
        <is>
          <t>900004166</t>
        </is>
      </c>
      <c r="B251" t="inlineStr">
        <is>
          <t>DW68</t>
        </is>
      </c>
      <c r="C251" t="inlineStr">
        <is>
          <t>D228</t>
        </is>
      </c>
      <c r="D251" t="inlineStr">
        <is>
          <t>10034701</t>
        </is>
      </c>
      <c r="E251" t="inlineStr"/>
      <c r="F251" s="11" t="n">
        <v>181.82</v>
      </c>
      <c r="G251" t="inlineStr"/>
      <c r="I251" t="inlineStr">
        <is>
          <t>TN</t>
        </is>
      </c>
      <c r="J251" t="inlineStr"/>
      <c r="K251" t="inlineStr">
        <is>
          <t>20230629</t>
        </is>
      </c>
      <c r="L251" t="inlineStr">
        <is>
          <t>20251031</t>
        </is>
      </c>
    </row>
    <row r="252">
      <c r="A252" t="inlineStr">
        <is>
          <t>900004166</t>
        </is>
      </c>
      <c r="B252" t="inlineStr">
        <is>
          <t>DW68</t>
        </is>
      </c>
      <c r="C252" t="inlineStr">
        <is>
          <t>D228</t>
        </is>
      </c>
      <c r="D252" t="inlineStr">
        <is>
          <t>10035053</t>
        </is>
      </c>
      <c r="E252" t="inlineStr"/>
      <c r="F252" s="11" t="n">
        <v>125.65</v>
      </c>
      <c r="G252" t="inlineStr"/>
      <c r="I252" t="inlineStr">
        <is>
          <t>TN</t>
        </is>
      </c>
      <c r="J252" t="inlineStr"/>
      <c r="K252" t="inlineStr">
        <is>
          <t>20230629</t>
        </is>
      </c>
      <c r="L252" t="inlineStr">
        <is>
          <t>20251031</t>
        </is>
      </c>
    </row>
    <row r="253">
      <c r="A253" t="inlineStr">
        <is>
          <t>900004166</t>
        </is>
      </c>
      <c r="B253" t="inlineStr">
        <is>
          <t>DW68</t>
        </is>
      </c>
      <c r="C253" t="inlineStr">
        <is>
          <t>D228</t>
        </is>
      </c>
      <c r="D253" t="inlineStr">
        <is>
          <t>10110630</t>
        </is>
      </c>
      <c r="E253" t="inlineStr"/>
      <c r="F253" s="11" t="n">
        <v>165.84</v>
      </c>
      <c r="G253" t="inlineStr"/>
      <c r="I253" t="inlineStr">
        <is>
          <t>TN</t>
        </is>
      </c>
      <c r="J253" t="inlineStr"/>
      <c r="K253" t="inlineStr">
        <is>
          <t>20230629</t>
        </is>
      </c>
      <c r="L253" t="inlineStr">
        <is>
          <t>20251031</t>
        </is>
      </c>
    </row>
    <row r="254">
      <c r="A254" t="inlineStr">
        <is>
          <t>900004166</t>
        </is>
      </c>
      <c r="B254" t="inlineStr">
        <is>
          <t>DW68</t>
        </is>
      </c>
      <c r="C254" t="inlineStr">
        <is>
          <t>D228</t>
        </is>
      </c>
      <c r="D254" t="inlineStr">
        <is>
          <t>10132394</t>
        </is>
      </c>
      <c r="E254" t="inlineStr"/>
      <c r="F254" s="11" t="n">
        <v>120.34</v>
      </c>
      <c r="G254" t="inlineStr"/>
      <c r="I254" t="inlineStr">
        <is>
          <t>TN</t>
        </is>
      </c>
      <c r="J254" t="inlineStr"/>
      <c r="K254" t="inlineStr">
        <is>
          <t>20230629</t>
        </is>
      </c>
      <c r="L254" t="inlineStr">
        <is>
          <t>20251031</t>
        </is>
      </c>
    </row>
    <row r="255">
      <c r="A255" t="inlineStr">
        <is>
          <t>900004166</t>
        </is>
      </c>
      <c r="B255" t="inlineStr">
        <is>
          <t>DW68</t>
        </is>
      </c>
      <c r="C255" t="inlineStr">
        <is>
          <t>D242</t>
        </is>
      </c>
      <c r="D255" t="inlineStr">
        <is>
          <t>10000384</t>
        </is>
      </c>
      <c r="E255" t="inlineStr"/>
      <c r="F255" s="11" t="n">
        <v>204.97</v>
      </c>
      <c r="G255" t="inlineStr"/>
      <c r="I255" t="inlineStr">
        <is>
          <t>TN</t>
        </is>
      </c>
      <c r="J255" t="inlineStr"/>
      <c r="K255" t="inlineStr">
        <is>
          <t>20230629</t>
        </is>
      </c>
      <c r="L255" t="inlineStr">
        <is>
          <t>20251031</t>
        </is>
      </c>
    </row>
    <row r="256">
      <c r="A256" t="inlineStr">
        <is>
          <t>900004166</t>
        </is>
      </c>
      <c r="B256" t="inlineStr">
        <is>
          <t>DW68</t>
        </is>
      </c>
      <c r="C256" t="inlineStr">
        <is>
          <t>D242</t>
        </is>
      </c>
      <c r="D256" t="inlineStr">
        <is>
          <t>10004258</t>
        </is>
      </c>
      <c r="E256" t="inlineStr"/>
      <c r="F256" s="11" t="n">
        <v>313.73</v>
      </c>
      <c r="G256" t="inlineStr"/>
      <c r="I256" t="inlineStr">
        <is>
          <t>TN</t>
        </is>
      </c>
      <c r="J256" t="inlineStr"/>
      <c r="K256" t="inlineStr">
        <is>
          <t>20230629</t>
        </is>
      </c>
      <c r="L256" t="inlineStr">
        <is>
          <t>20251031</t>
        </is>
      </c>
    </row>
    <row r="257">
      <c r="A257" t="inlineStr">
        <is>
          <t>900004166</t>
        </is>
      </c>
      <c r="B257" t="inlineStr">
        <is>
          <t>DW68</t>
        </is>
      </c>
      <c r="C257" t="inlineStr">
        <is>
          <t>D242</t>
        </is>
      </c>
      <c r="D257" t="inlineStr">
        <is>
          <t>10034701</t>
        </is>
      </c>
      <c r="E257" t="inlineStr"/>
      <c r="F257" s="11" t="n">
        <v>181.82</v>
      </c>
      <c r="G257" t="inlineStr"/>
      <c r="I257" t="inlineStr">
        <is>
          <t>TN</t>
        </is>
      </c>
      <c r="J257" t="inlineStr"/>
      <c r="K257" t="inlineStr">
        <is>
          <t>20230629</t>
        </is>
      </c>
      <c r="L257" t="inlineStr">
        <is>
          <t>20251031</t>
        </is>
      </c>
    </row>
    <row r="258">
      <c r="A258" t="inlineStr">
        <is>
          <t>900004166</t>
        </is>
      </c>
      <c r="B258" t="inlineStr">
        <is>
          <t>DW68</t>
        </is>
      </c>
      <c r="C258" t="inlineStr">
        <is>
          <t>D242</t>
        </is>
      </c>
      <c r="D258" t="inlineStr">
        <is>
          <t>10035053</t>
        </is>
      </c>
      <c r="E258" t="inlineStr"/>
      <c r="F258" s="11" t="n">
        <v>125.65</v>
      </c>
      <c r="G258" t="inlineStr"/>
      <c r="I258" t="inlineStr">
        <is>
          <t>TN</t>
        </is>
      </c>
      <c r="J258" t="inlineStr"/>
      <c r="K258" t="inlineStr">
        <is>
          <t>20230629</t>
        </is>
      </c>
      <c r="L258" t="inlineStr">
        <is>
          <t>20251031</t>
        </is>
      </c>
    </row>
    <row r="259">
      <c r="A259" t="inlineStr">
        <is>
          <t>900004166</t>
        </is>
      </c>
      <c r="B259" t="inlineStr">
        <is>
          <t>DW68</t>
        </is>
      </c>
      <c r="C259" t="inlineStr">
        <is>
          <t>D242</t>
        </is>
      </c>
      <c r="D259" t="inlineStr">
        <is>
          <t>10110630</t>
        </is>
      </c>
      <c r="E259" t="inlineStr"/>
      <c r="F259" s="11" t="n">
        <v>165.84</v>
      </c>
      <c r="G259" t="inlineStr"/>
      <c r="I259" t="inlineStr">
        <is>
          <t>TN</t>
        </is>
      </c>
      <c r="J259" t="inlineStr"/>
      <c r="K259" t="inlineStr">
        <is>
          <t>20230629</t>
        </is>
      </c>
      <c r="L259" t="inlineStr">
        <is>
          <t>20251031</t>
        </is>
      </c>
    </row>
    <row r="260">
      <c r="A260" t="inlineStr">
        <is>
          <t>900004166</t>
        </is>
      </c>
      <c r="B260" t="inlineStr">
        <is>
          <t>DW68</t>
        </is>
      </c>
      <c r="C260" t="inlineStr">
        <is>
          <t>D242</t>
        </is>
      </c>
      <c r="D260" t="inlineStr">
        <is>
          <t>10132394</t>
        </is>
      </c>
      <c r="E260" t="inlineStr"/>
      <c r="F260" s="11" t="n">
        <v>120.34</v>
      </c>
      <c r="G260" t="inlineStr"/>
      <c r="I260" t="inlineStr">
        <is>
          <t>TN</t>
        </is>
      </c>
      <c r="J260" t="inlineStr"/>
      <c r="K260" t="inlineStr">
        <is>
          <t>20230629</t>
        </is>
      </c>
      <c r="L260" t="inlineStr">
        <is>
          <t>20251031</t>
        </is>
      </c>
    </row>
    <row r="261">
      <c r="A261" t="inlineStr">
        <is>
          <t>900004166</t>
        </is>
      </c>
      <c r="B261" t="inlineStr">
        <is>
          <t>DW68</t>
        </is>
      </c>
      <c r="C261" t="inlineStr">
        <is>
          <t>D247</t>
        </is>
      </c>
      <c r="D261" t="inlineStr">
        <is>
          <t>10000384</t>
        </is>
      </c>
      <c r="E261" t="inlineStr"/>
      <c r="F261" s="11" t="n">
        <v>204.97</v>
      </c>
      <c r="G261" t="inlineStr"/>
      <c r="I261" t="inlineStr">
        <is>
          <t>TN</t>
        </is>
      </c>
      <c r="J261" t="inlineStr"/>
      <c r="K261" t="inlineStr">
        <is>
          <t>20230629</t>
        </is>
      </c>
      <c r="L261" t="inlineStr">
        <is>
          <t>20251031</t>
        </is>
      </c>
    </row>
    <row r="262">
      <c r="A262" t="inlineStr">
        <is>
          <t>900004166</t>
        </is>
      </c>
      <c r="B262" t="inlineStr">
        <is>
          <t>DW68</t>
        </is>
      </c>
      <c r="C262" t="inlineStr">
        <is>
          <t>D247</t>
        </is>
      </c>
      <c r="D262" t="inlineStr">
        <is>
          <t>10004258</t>
        </is>
      </c>
      <c r="E262" t="inlineStr"/>
      <c r="F262" s="11" t="n">
        <v>313.73</v>
      </c>
      <c r="G262" t="inlineStr"/>
      <c r="I262" t="inlineStr">
        <is>
          <t>TN</t>
        </is>
      </c>
      <c r="J262" t="inlineStr"/>
      <c r="K262" t="inlineStr">
        <is>
          <t>20230629</t>
        </is>
      </c>
      <c r="L262" t="inlineStr">
        <is>
          <t>20251031</t>
        </is>
      </c>
    </row>
    <row r="263">
      <c r="A263" t="inlineStr">
        <is>
          <t>900004166</t>
        </is>
      </c>
      <c r="B263" t="inlineStr">
        <is>
          <t>DW68</t>
        </is>
      </c>
      <c r="C263" t="inlineStr">
        <is>
          <t>D247</t>
        </is>
      </c>
      <c r="D263" t="inlineStr">
        <is>
          <t>10034701</t>
        </is>
      </c>
      <c r="E263" t="inlineStr"/>
      <c r="F263" s="11" t="n">
        <v>181.82</v>
      </c>
      <c r="G263" t="inlineStr"/>
      <c r="I263" t="inlineStr">
        <is>
          <t>TN</t>
        </is>
      </c>
      <c r="J263" t="inlineStr"/>
      <c r="K263" t="inlineStr">
        <is>
          <t>20230629</t>
        </is>
      </c>
      <c r="L263" t="inlineStr">
        <is>
          <t>20251031</t>
        </is>
      </c>
    </row>
    <row r="264">
      <c r="A264" t="inlineStr">
        <is>
          <t>900004166</t>
        </is>
      </c>
      <c r="B264" t="inlineStr">
        <is>
          <t>DW68</t>
        </is>
      </c>
      <c r="C264" t="inlineStr">
        <is>
          <t>D247</t>
        </is>
      </c>
      <c r="D264" t="inlineStr">
        <is>
          <t>10110630</t>
        </is>
      </c>
      <c r="E264" t="inlineStr"/>
      <c r="F264" s="11" t="n">
        <v>137.61</v>
      </c>
      <c r="G264" t="inlineStr"/>
      <c r="I264" t="inlineStr">
        <is>
          <t>TN</t>
        </is>
      </c>
      <c r="J264" t="inlineStr"/>
      <c r="K264" t="inlineStr">
        <is>
          <t>20230629</t>
        </is>
      </c>
      <c r="L264" t="inlineStr">
        <is>
          <t>20251031</t>
        </is>
      </c>
    </row>
    <row r="265">
      <c r="A265" t="inlineStr">
        <is>
          <t>900004166</t>
        </is>
      </c>
      <c r="B265" t="inlineStr">
        <is>
          <t>DW68</t>
        </is>
      </c>
      <c r="C265" t="inlineStr">
        <is>
          <t>D251</t>
        </is>
      </c>
      <c r="D265" t="inlineStr">
        <is>
          <t>10000384</t>
        </is>
      </c>
      <c r="E265" t="inlineStr"/>
      <c r="F265" s="11" t="n">
        <v>204.97</v>
      </c>
      <c r="G265" t="inlineStr"/>
      <c r="I265" t="inlineStr">
        <is>
          <t>TN</t>
        </is>
      </c>
      <c r="J265" t="inlineStr"/>
      <c r="K265" t="inlineStr">
        <is>
          <t>20230629</t>
        </is>
      </c>
      <c r="L265" t="inlineStr">
        <is>
          <t>20251031</t>
        </is>
      </c>
    </row>
    <row r="266">
      <c r="A266" t="inlineStr">
        <is>
          <t>900004166</t>
        </is>
      </c>
      <c r="B266" t="inlineStr">
        <is>
          <t>DW68</t>
        </is>
      </c>
      <c r="C266" t="inlineStr">
        <is>
          <t>D251</t>
        </is>
      </c>
      <c r="D266" t="inlineStr">
        <is>
          <t>10004258</t>
        </is>
      </c>
      <c r="E266" t="inlineStr"/>
      <c r="F266" s="11" t="n">
        <v>313.73</v>
      </c>
      <c r="G266" t="inlineStr"/>
      <c r="I266" t="inlineStr">
        <is>
          <t>TN</t>
        </is>
      </c>
      <c r="J266" t="inlineStr"/>
      <c r="K266" t="inlineStr">
        <is>
          <t>20230629</t>
        </is>
      </c>
      <c r="L266" t="inlineStr">
        <is>
          <t>20251031</t>
        </is>
      </c>
    </row>
    <row r="267">
      <c r="A267" t="inlineStr">
        <is>
          <t>900004166</t>
        </is>
      </c>
      <c r="B267" t="inlineStr">
        <is>
          <t>DW68</t>
        </is>
      </c>
      <c r="C267" t="inlineStr">
        <is>
          <t>D251</t>
        </is>
      </c>
      <c r="D267" t="inlineStr">
        <is>
          <t>10034701</t>
        </is>
      </c>
      <c r="E267" t="inlineStr"/>
      <c r="F267" s="11" t="n">
        <v>181.82</v>
      </c>
      <c r="G267" t="inlineStr"/>
      <c r="I267" t="inlineStr">
        <is>
          <t>TN</t>
        </is>
      </c>
      <c r="J267" t="inlineStr"/>
      <c r="K267" t="inlineStr">
        <is>
          <t>20230629</t>
        </is>
      </c>
      <c r="L267" t="inlineStr">
        <is>
          <t>20251031</t>
        </is>
      </c>
    </row>
    <row r="268">
      <c r="A268" t="inlineStr">
        <is>
          <t>900004166</t>
        </is>
      </c>
      <c r="B268" t="inlineStr">
        <is>
          <t>DW68</t>
        </is>
      </c>
      <c r="C268" t="inlineStr">
        <is>
          <t>D251</t>
        </is>
      </c>
      <c r="D268" t="inlineStr">
        <is>
          <t>10035053</t>
        </is>
      </c>
      <c r="E268" t="inlineStr"/>
      <c r="F268" s="11" t="n">
        <v>125.65</v>
      </c>
      <c r="G268" t="inlineStr"/>
      <c r="I268" t="inlineStr">
        <is>
          <t>TN</t>
        </is>
      </c>
      <c r="J268" t="inlineStr"/>
      <c r="K268" t="inlineStr">
        <is>
          <t>20230629</t>
        </is>
      </c>
      <c r="L268" t="inlineStr">
        <is>
          <t>20251031</t>
        </is>
      </c>
    </row>
    <row r="269">
      <c r="A269" t="inlineStr">
        <is>
          <t>900004166</t>
        </is>
      </c>
      <c r="B269" t="inlineStr">
        <is>
          <t>DW68</t>
        </is>
      </c>
      <c r="C269" t="inlineStr">
        <is>
          <t>D251</t>
        </is>
      </c>
      <c r="D269" t="inlineStr">
        <is>
          <t>10110630</t>
        </is>
      </c>
      <c r="E269" t="inlineStr"/>
      <c r="F269" s="11" t="n">
        <v>165.84</v>
      </c>
      <c r="G269" t="inlineStr"/>
      <c r="I269" t="inlineStr">
        <is>
          <t>TN</t>
        </is>
      </c>
      <c r="J269" t="inlineStr"/>
      <c r="K269" t="inlineStr">
        <is>
          <t>20230629</t>
        </is>
      </c>
      <c r="L269" t="inlineStr">
        <is>
          <t>20251031</t>
        </is>
      </c>
    </row>
    <row r="270">
      <c r="A270" t="inlineStr">
        <is>
          <t>900004166</t>
        </is>
      </c>
      <c r="B270" t="inlineStr">
        <is>
          <t>DW68</t>
        </is>
      </c>
      <c r="C270" t="inlineStr">
        <is>
          <t>D251</t>
        </is>
      </c>
      <c r="D270" t="inlineStr">
        <is>
          <t>10132394</t>
        </is>
      </c>
      <c r="E270" t="inlineStr"/>
      <c r="F270" s="11" t="n">
        <v>120.34</v>
      </c>
      <c r="G270" t="inlineStr"/>
      <c r="I270" t="inlineStr">
        <is>
          <t>TN</t>
        </is>
      </c>
      <c r="J270" t="inlineStr"/>
      <c r="K270" t="inlineStr">
        <is>
          <t>20230629</t>
        </is>
      </c>
      <c r="L270" t="inlineStr">
        <is>
          <t>20251031</t>
        </is>
      </c>
    </row>
    <row r="271">
      <c r="A271" t="inlineStr">
        <is>
          <t>900004166</t>
        </is>
      </c>
      <c r="B271" t="inlineStr">
        <is>
          <t>DW68</t>
        </is>
      </c>
      <c r="C271" t="inlineStr">
        <is>
          <t>D264</t>
        </is>
      </c>
      <c r="D271" t="inlineStr">
        <is>
          <t>10000384</t>
        </is>
      </c>
      <c r="E271" t="inlineStr"/>
      <c r="F271" s="11" t="n">
        <v>204.97</v>
      </c>
      <c r="G271" t="inlineStr"/>
      <c r="I271" t="inlineStr">
        <is>
          <t>TN</t>
        </is>
      </c>
      <c r="J271" t="inlineStr"/>
      <c r="K271" t="inlineStr">
        <is>
          <t>20230629</t>
        </is>
      </c>
      <c r="L271" t="inlineStr">
        <is>
          <t>20251031</t>
        </is>
      </c>
    </row>
    <row r="272">
      <c r="A272" t="inlineStr">
        <is>
          <t>900004166</t>
        </is>
      </c>
      <c r="B272" t="inlineStr">
        <is>
          <t>DW68</t>
        </is>
      </c>
      <c r="C272" t="inlineStr">
        <is>
          <t>D264</t>
        </is>
      </c>
      <c r="D272" t="inlineStr">
        <is>
          <t>10004258</t>
        </is>
      </c>
      <c r="E272" t="inlineStr"/>
      <c r="F272" s="11" t="n">
        <v>313.73</v>
      </c>
      <c r="G272" t="inlineStr"/>
      <c r="I272" t="inlineStr">
        <is>
          <t>TN</t>
        </is>
      </c>
      <c r="J272" t="inlineStr"/>
      <c r="K272" t="inlineStr">
        <is>
          <t>20230629</t>
        </is>
      </c>
      <c r="L272" t="inlineStr">
        <is>
          <t>20251031</t>
        </is>
      </c>
    </row>
    <row r="273">
      <c r="A273" t="inlineStr">
        <is>
          <t>900004166</t>
        </is>
      </c>
      <c r="B273" t="inlineStr">
        <is>
          <t>DW68</t>
        </is>
      </c>
      <c r="C273" t="inlineStr">
        <is>
          <t>D264</t>
        </is>
      </c>
      <c r="D273" t="inlineStr">
        <is>
          <t>10034701</t>
        </is>
      </c>
      <c r="E273" t="inlineStr"/>
      <c r="F273" s="11" t="n">
        <v>181.82</v>
      </c>
      <c r="G273" t="inlineStr"/>
      <c r="I273" t="inlineStr">
        <is>
          <t>TN</t>
        </is>
      </c>
      <c r="J273" t="inlineStr"/>
      <c r="K273" t="inlineStr">
        <is>
          <t>20230629</t>
        </is>
      </c>
      <c r="L273" t="inlineStr">
        <is>
          <t>20251031</t>
        </is>
      </c>
    </row>
    <row r="274">
      <c r="A274" t="inlineStr">
        <is>
          <t>900004166</t>
        </is>
      </c>
      <c r="B274" t="inlineStr">
        <is>
          <t>DW68</t>
        </is>
      </c>
      <c r="C274" t="inlineStr">
        <is>
          <t>D264</t>
        </is>
      </c>
      <c r="D274" t="inlineStr">
        <is>
          <t>10035053</t>
        </is>
      </c>
      <c r="E274" t="inlineStr"/>
      <c r="F274" s="11" t="n">
        <v>125.65</v>
      </c>
      <c r="G274" t="inlineStr"/>
      <c r="I274" t="inlineStr">
        <is>
          <t>TN</t>
        </is>
      </c>
      <c r="J274" t="inlineStr"/>
      <c r="K274" t="inlineStr">
        <is>
          <t>20230629</t>
        </is>
      </c>
      <c r="L274" t="inlineStr">
        <is>
          <t>20251031</t>
        </is>
      </c>
    </row>
    <row r="275">
      <c r="A275" t="inlineStr">
        <is>
          <t>900004166</t>
        </is>
      </c>
      <c r="B275" t="inlineStr">
        <is>
          <t>DW68</t>
        </is>
      </c>
      <c r="C275" t="inlineStr">
        <is>
          <t>D264</t>
        </is>
      </c>
      <c r="D275" t="inlineStr">
        <is>
          <t>10110630</t>
        </is>
      </c>
      <c r="E275" t="inlineStr"/>
      <c r="F275" s="11" t="n">
        <v>165.84</v>
      </c>
      <c r="G275" t="inlineStr"/>
      <c r="I275" t="inlineStr">
        <is>
          <t>TN</t>
        </is>
      </c>
      <c r="J275" t="inlineStr"/>
      <c r="K275" t="inlineStr">
        <is>
          <t>20230629</t>
        </is>
      </c>
      <c r="L275" t="inlineStr">
        <is>
          <t>20251031</t>
        </is>
      </c>
    </row>
    <row r="276">
      <c r="A276" t="inlineStr">
        <is>
          <t>900004166</t>
        </is>
      </c>
      <c r="B276" t="inlineStr">
        <is>
          <t>DW68</t>
        </is>
      </c>
      <c r="C276" t="inlineStr">
        <is>
          <t>D264</t>
        </is>
      </c>
      <c r="D276" t="inlineStr">
        <is>
          <t>10132394</t>
        </is>
      </c>
      <c r="E276" t="inlineStr"/>
      <c r="F276" s="11" t="n">
        <v>120.34</v>
      </c>
      <c r="G276" t="inlineStr"/>
      <c r="I276" t="inlineStr">
        <is>
          <t>TN</t>
        </is>
      </c>
      <c r="J276" t="inlineStr"/>
      <c r="K276" t="inlineStr">
        <is>
          <t>20230629</t>
        </is>
      </c>
      <c r="L276" t="inlineStr">
        <is>
          <t>20251031</t>
        </is>
      </c>
    </row>
    <row r="277">
      <c r="A277" t="inlineStr">
        <is>
          <t>900004166</t>
        </is>
      </c>
      <c r="B277" t="inlineStr">
        <is>
          <t>DW68</t>
        </is>
      </c>
      <c r="C277" t="inlineStr">
        <is>
          <t>D267</t>
        </is>
      </c>
      <c r="D277" t="inlineStr">
        <is>
          <t>10000384</t>
        </is>
      </c>
      <c r="E277" t="inlineStr"/>
      <c r="F277" s="11" t="n">
        <v>204.97</v>
      </c>
      <c r="G277" t="inlineStr"/>
      <c r="I277" t="inlineStr">
        <is>
          <t>TN</t>
        </is>
      </c>
      <c r="J277" t="inlineStr"/>
      <c r="K277" t="inlineStr">
        <is>
          <t>20230629</t>
        </is>
      </c>
      <c r="L277" t="inlineStr">
        <is>
          <t>20251031</t>
        </is>
      </c>
    </row>
    <row r="278">
      <c r="A278" t="inlineStr">
        <is>
          <t>900004166</t>
        </is>
      </c>
      <c r="B278" t="inlineStr">
        <is>
          <t>DW68</t>
        </is>
      </c>
      <c r="C278" t="inlineStr">
        <is>
          <t>D267</t>
        </is>
      </c>
      <c r="D278" t="inlineStr">
        <is>
          <t>10004258</t>
        </is>
      </c>
      <c r="E278" t="inlineStr"/>
      <c r="F278" s="11" t="n">
        <v>313.73</v>
      </c>
      <c r="G278" t="inlineStr"/>
      <c r="I278" t="inlineStr">
        <is>
          <t>TN</t>
        </is>
      </c>
      <c r="J278" t="inlineStr"/>
      <c r="K278" t="inlineStr">
        <is>
          <t>20230629</t>
        </is>
      </c>
      <c r="L278" t="inlineStr">
        <is>
          <t>20251031</t>
        </is>
      </c>
    </row>
    <row r="279">
      <c r="A279" t="inlineStr">
        <is>
          <t>900004166</t>
        </is>
      </c>
      <c r="B279" t="inlineStr">
        <is>
          <t>DW68</t>
        </is>
      </c>
      <c r="C279" t="inlineStr">
        <is>
          <t>D267</t>
        </is>
      </c>
      <c r="D279" t="inlineStr">
        <is>
          <t>10034701</t>
        </is>
      </c>
      <c r="E279" t="inlineStr"/>
      <c r="F279" s="11" t="n">
        <v>181.82</v>
      </c>
      <c r="G279" t="inlineStr"/>
      <c r="I279" t="inlineStr">
        <is>
          <t>TN</t>
        </is>
      </c>
      <c r="J279" t="inlineStr"/>
      <c r="K279" t="inlineStr">
        <is>
          <t>20230629</t>
        </is>
      </c>
      <c r="L279" t="inlineStr">
        <is>
          <t>20251031</t>
        </is>
      </c>
    </row>
    <row r="280">
      <c r="A280" t="inlineStr">
        <is>
          <t>900004166</t>
        </is>
      </c>
      <c r="B280" t="inlineStr">
        <is>
          <t>DW68</t>
        </is>
      </c>
      <c r="C280" t="inlineStr">
        <is>
          <t>D267</t>
        </is>
      </c>
      <c r="D280" t="inlineStr">
        <is>
          <t>10035053</t>
        </is>
      </c>
      <c r="E280" t="inlineStr"/>
      <c r="F280" s="11" t="n">
        <v>125.65</v>
      </c>
      <c r="G280" t="inlineStr"/>
      <c r="I280" t="inlineStr">
        <is>
          <t>TN</t>
        </is>
      </c>
      <c r="J280" t="inlineStr"/>
      <c r="K280" t="inlineStr">
        <is>
          <t>20230629</t>
        </is>
      </c>
      <c r="L280" t="inlineStr">
        <is>
          <t>20251031</t>
        </is>
      </c>
    </row>
    <row r="281">
      <c r="A281" t="inlineStr">
        <is>
          <t>900004166</t>
        </is>
      </c>
      <c r="B281" t="inlineStr">
        <is>
          <t>DW68</t>
        </is>
      </c>
      <c r="C281" t="inlineStr">
        <is>
          <t>D267</t>
        </is>
      </c>
      <c r="D281" t="inlineStr">
        <is>
          <t>10110630</t>
        </is>
      </c>
      <c r="E281" t="inlineStr"/>
      <c r="F281" s="11" t="n">
        <v>165.84</v>
      </c>
      <c r="G281" t="inlineStr"/>
      <c r="I281" t="inlineStr">
        <is>
          <t>TN</t>
        </is>
      </c>
      <c r="J281" t="inlineStr"/>
      <c r="K281" t="inlineStr">
        <is>
          <t>20230629</t>
        </is>
      </c>
      <c r="L281" t="inlineStr">
        <is>
          <t>20251031</t>
        </is>
      </c>
    </row>
    <row r="282">
      <c r="A282" t="inlineStr">
        <is>
          <t>900004166</t>
        </is>
      </c>
      <c r="B282" t="inlineStr">
        <is>
          <t>DW68</t>
        </is>
      </c>
      <c r="C282" t="inlineStr">
        <is>
          <t>D267</t>
        </is>
      </c>
      <c r="D282" t="inlineStr">
        <is>
          <t>10132394</t>
        </is>
      </c>
      <c r="E282" t="inlineStr"/>
      <c r="F282" s="11" t="n">
        <v>120.34</v>
      </c>
      <c r="G282" t="inlineStr"/>
      <c r="I282" t="inlineStr">
        <is>
          <t>TN</t>
        </is>
      </c>
      <c r="J282" t="inlineStr"/>
      <c r="K282" t="inlineStr">
        <is>
          <t>20230629</t>
        </is>
      </c>
      <c r="L282" t="inlineStr">
        <is>
          <t>20251031</t>
        </is>
      </c>
    </row>
    <row r="283">
      <c r="A283" t="inlineStr">
        <is>
          <t>900004166</t>
        </is>
      </c>
      <c r="B283" t="inlineStr">
        <is>
          <t>DW68</t>
        </is>
      </c>
      <c r="C283" t="inlineStr">
        <is>
          <t>DD58</t>
        </is>
      </c>
      <c r="D283" t="inlineStr">
        <is>
          <t>10000726</t>
        </is>
      </c>
      <c r="E283" t="inlineStr"/>
      <c r="F283" s="11" t="n">
        <v>375.09</v>
      </c>
      <c r="G283" t="inlineStr"/>
      <c r="I283" t="inlineStr">
        <is>
          <t>TN</t>
        </is>
      </c>
      <c r="J283" t="inlineStr"/>
      <c r="K283" t="inlineStr">
        <is>
          <t>20230926</t>
        </is>
      </c>
      <c r="L283" t="inlineStr">
        <is>
          <t>20230926</t>
        </is>
      </c>
    </row>
    <row r="284">
      <c r="A284" t="inlineStr">
        <is>
          <t>900004356</t>
        </is>
      </c>
      <c r="B284" t="inlineStr">
        <is>
          <t>DW68</t>
        </is>
      </c>
      <c r="C284" t="inlineStr">
        <is>
          <t>D042</t>
        </is>
      </c>
      <c r="D284" t="inlineStr">
        <is>
          <t>10000191</t>
        </is>
      </c>
      <c r="E284" t="inlineStr"/>
      <c r="F284" s="11" t="n">
        <v>100.71</v>
      </c>
      <c r="G284" t="inlineStr"/>
      <c r="I284" t="inlineStr">
        <is>
          <t>TN</t>
        </is>
      </c>
      <c r="J284" t="inlineStr"/>
      <c r="K284" t="inlineStr">
        <is>
          <t>20220516</t>
        </is>
      </c>
      <c r="L284" t="inlineStr">
        <is>
          <t>20250219</t>
        </is>
      </c>
    </row>
    <row r="285">
      <c r="A285" t="inlineStr">
        <is>
          <t>900004356</t>
        </is>
      </c>
      <c r="B285" t="inlineStr">
        <is>
          <t>DW68</t>
        </is>
      </c>
      <c r="C285" t="inlineStr">
        <is>
          <t>D042</t>
        </is>
      </c>
      <c r="D285" t="inlineStr">
        <is>
          <t>10000388</t>
        </is>
      </c>
      <c r="E285" t="inlineStr"/>
      <c r="F285" s="11" t="n">
        <v>167.99</v>
      </c>
      <c r="G285" t="inlineStr"/>
      <c r="I285" t="inlineStr">
        <is>
          <t>TN</t>
        </is>
      </c>
      <c r="J285" t="inlineStr"/>
      <c r="K285" t="inlineStr">
        <is>
          <t>20250301</t>
        </is>
      </c>
      <c r="L285" t="inlineStr">
        <is>
          <t>20250708</t>
        </is>
      </c>
    </row>
    <row r="286">
      <c r="A286" t="inlineStr">
        <is>
          <t>900004356</t>
        </is>
      </c>
      <c r="B286" t="inlineStr">
        <is>
          <t>DW68</t>
        </is>
      </c>
      <c r="C286" t="inlineStr">
        <is>
          <t>D042</t>
        </is>
      </c>
      <c r="D286" t="inlineStr">
        <is>
          <t>10000437</t>
        </is>
      </c>
      <c r="E286" t="inlineStr"/>
      <c r="F286" s="11" t="n">
        <v>196.01</v>
      </c>
      <c r="G286" t="inlineStr"/>
      <c r="I286" t="inlineStr">
        <is>
          <t>TN</t>
        </is>
      </c>
      <c r="J286" t="inlineStr"/>
      <c r="K286" t="inlineStr">
        <is>
          <t>20251014</t>
        </is>
      </c>
      <c r="L286" t="inlineStr">
        <is>
          <t>20260506</t>
        </is>
      </c>
    </row>
    <row r="287">
      <c r="A287" t="inlineStr">
        <is>
          <t>900004356</t>
        </is>
      </c>
      <c r="B287" t="inlineStr">
        <is>
          <t>DW68</t>
        </is>
      </c>
      <c r="C287" t="inlineStr">
        <is>
          <t>D042</t>
        </is>
      </c>
      <c r="D287" t="inlineStr">
        <is>
          <t>10268650</t>
        </is>
      </c>
      <c r="E287" t="inlineStr"/>
      <c r="F287" s="11" t="n">
        <v>226.92</v>
      </c>
      <c r="G287" t="inlineStr"/>
      <c r="I287" t="inlineStr">
        <is>
          <t>TN</t>
        </is>
      </c>
      <c r="J287" t="inlineStr"/>
      <c r="K287" t="inlineStr">
        <is>
          <t>20260526</t>
        </is>
      </c>
      <c r="L287" t="inlineStr">
        <is>
          <t>99991231</t>
        </is>
      </c>
    </row>
    <row r="288">
      <c r="A288" t="inlineStr">
        <is>
          <t>900004356</t>
        </is>
      </c>
      <c r="B288" t="inlineStr">
        <is>
          <t>DW68</t>
        </is>
      </c>
      <c r="C288" t="inlineStr">
        <is>
          <t>D209</t>
        </is>
      </c>
      <c r="D288" t="inlineStr">
        <is>
          <t>10000191</t>
        </is>
      </c>
      <c r="E288" t="inlineStr"/>
      <c r="F288" s="11" t="n">
        <v>100.71</v>
      </c>
      <c r="G288" t="inlineStr"/>
      <c r="I288" t="inlineStr">
        <is>
          <t>TN</t>
        </is>
      </c>
      <c r="J288" t="inlineStr"/>
      <c r="K288" t="inlineStr">
        <is>
          <t>20220516</t>
        </is>
      </c>
      <c r="L288" t="inlineStr">
        <is>
          <t>20250219</t>
        </is>
      </c>
    </row>
    <row r="289">
      <c r="A289" t="inlineStr">
        <is>
          <t>900004356</t>
        </is>
      </c>
      <c r="B289" t="inlineStr">
        <is>
          <t>DW68</t>
        </is>
      </c>
      <c r="C289" t="inlineStr">
        <is>
          <t>D209</t>
        </is>
      </c>
      <c r="D289" t="inlineStr">
        <is>
          <t>10000388</t>
        </is>
      </c>
      <c r="E289" t="inlineStr"/>
      <c r="F289" s="11" t="n">
        <v>167.99</v>
      </c>
      <c r="G289" t="inlineStr"/>
      <c r="I289" t="inlineStr">
        <is>
          <t>TN</t>
        </is>
      </c>
      <c r="J289" t="inlineStr"/>
      <c r="K289" t="inlineStr">
        <is>
          <t>20250301</t>
        </is>
      </c>
      <c r="L289" t="inlineStr">
        <is>
          <t>20250708</t>
        </is>
      </c>
    </row>
    <row r="290">
      <c r="A290" t="inlineStr">
        <is>
          <t>900004356</t>
        </is>
      </c>
      <c r="B290" t="inlineStr">
        <is>
          <t>DW68</t>
        </is>
      </c>
      <c r="C290" t="inlineStr">
        <is>
          <t>D209</t>
        </is>
      </c>
      <c r="D290" t="inlineStr">
        <is>
          <t>10000437</t>
        </is>
      </c>
      <c r="E290" t="inlineStr"/>
      <c r="F290" s="11" t="n">
        <v>196.01</v>
      </c>
      <c r="G290" t="inlineStr"/>
      <c r="I290" t="inlineStr">
        <is>
          <t>TN</t>
        </is>
      </c>
      <c r="J290" t="inlineStr"/>
      <c r="K290" t="inlineStr">
        <is>
          <t>20251014</t>
        </is>
      </c>
      <c r="L290" t="inlineStr">
        <is>
          <t>20260506</t>
        </is>
      </c>
    </row>
    <row r="291">
      <c r="A291" t="inlineStr">
        <is>
          <t>900004356</t>
        </is>
      </c>
      <c r="B291" t="inlineStr">
        <is>
          <t>DW68</t>
        </is>
      </c>
      <c r="C291" t="inlineStr">
        <is>
          <t>D209</t>
        </is>
      </c>
      <c r="D291" t="inlineStr">
        <is>
          <t>10268650</t>
        </is>
      </c>
      <c r="E291" t="inlineStr"/>
      <c r="F291" s="11" t="n">
        <v>226.92</v>
      </c>
      <c r="G291" t="inlineStr"/>
      <c r="I291" t="inlineStr">
        <is>
          <t>TN</t>
        </is>
      </c>
      <c r="J291" t="inlineStr"/>
      <c r="K291" t="inlineStr">
        <is>
          <t>20260526</t>
        </is>
      </c>
      <c r="L291" t="inlineStr">
        <is>
          <t>99991231</t>
        </is>
      </c>
    </row>
    <row r="292">
      <c r="A292" t="inlineStr">
        <is>
          <t>900004356</t>
        </is>
      </c>
      <c r="B292" t="inlineStr">
        <is>
          <t>DW68</t>
        </is>
      </c>
      <c r="C292" t="inlineStr">
        <is>
          <t>D211</t>
        </is>
      </c>
      <c r="D292" t="inlineStr">
        <is>
          <t>10000191</t>
        </is>
      </c>
      <c r="E292" t="inlineStr"/>
      <c r="F292" s="11" t="n">
        <v>100.71</v>
      </c>
      <c r="G292" t="inlineStr"/>
      <c r="I292" t="inlineStr">
        <is>
          <t>TN</t>
        </is>
      </c>
      <c r="J292" t="inlineStr"/>
      <c r="K292" t="inlineStr">
        <is>
          <t>20220516</t>
        </is>
      </c>
      <c r="L292" t="inlineStr">
        <is>
          <t>20250219</t>
        </is>
      </c>
    </row>
    <row r="293">
      <c r="A293" t="inlineStr">
        <is>
          <t>900004356</t>
        </is>
      </c>
      <c r="B293" t="inlineStr">
        <is>
          <t>DW68</t>
        </is>
      </c>
      <c r="C293" t="inlineStr">
        <is>
          <t>D211</t>
        </is>
      </c>
      <c r="D293" t="inlineStr">
        <is>
          <t>10000388</t>
        </is>
      </c>
      <c r="E293" t="inlineStr"/>
      <c r="F293" s="11" t="n">
        <v>167.99</v>
      </c>
      <c r="G293" t="inlineStr"/>
      <c r="I293" t="inlineStr">
        <is>
          <t>TN</t>
        </is>
      </c>
      <c r="J293" t="inlineStr"/>
      <c r="K293" t="inlineStr">
        <is>
          <t>20250301</t>
        </is>
      </c>
      <c r="L293" t="inlineStr">
        <is>
          <t>20250708</t>
        </is>
      </c>
    </row>
    <row r="294">
      <c r="A294" t="inlineStr">
        <is>
          <t>900004356</t>
        </is>
      </c>
      <c r="B294" t="inlineStr">
        <is>
          <t>DW68</t>
        </is>
      </c>
      <c r="C294" t="inlineStr">
        <is>
          <t>D211</t>
        </is>
      </c>
      <c r="D294" t="inlineStr">
        <is>
          <t>10000437</t>
        </is>
      </c>
      <c r="E294" t="inlineStr"/>
      <c r="F294" s="11" t="n">
        <v>196.01</v>
      </c>
      <c r="G294" t="inlineStr"/>
      <c r="I294" t="inlineStr">
        <is>
          <t>TN</t>
        </is>
      </c>
      <c r="J294" t="inlineStr"/>
      <c r="K294" t="inlineStr">
        <is>
          <t>20251014</t>
        </is>
      </c>
      <c r="L294" t="inlineStr">
        <is>
          <t>20260506</t>
        </is>
      </c>
    </row>
    <row r="295">
      <c r="A295" t="inlineStr">
        <is>
          <t>900004356</t>
        </is>
      </c>
      <c r="B295" t="inlineStr">
        <is>
          <t>DW68</t>
        </is>
      </c>
      <c r="C295" t="inlineStr">
        <is>
          <t>D211</t>
        </is>
      </c>
      <c r="D295" t="inlineStr">
        <is>
          <t>10268650</t>
        </is>
      </c>
      <c r="E295" t="inlineStr"/>
      <c r="F295" s="11" t="n">
        <v>226.92</v>
      </c>
      <c r="G295" t="inlineStr"/>
      <c r="I295" t="inlineStr">
        <is>
          <t>TN</t>
        </is>
      </c>
      <c r="J295" t="inlineStr"/>
      <c r="K295" t="inlineStr">
        <is>
          <t>20260526</t>
        </is>
      </c>
      <c r="L295" t="inlineStr">
        <is>
          <t>99991231</t>
        </is>
      </c>
    </row>
    <row r="296">
      <c r="A296" t="inlineStr">
        <is>
          <t>900004356</t>
        </is>
      </c>
      <c r="B296" t="inlineStr">
        <is>
          <t>DW68</t>
        </is>
      </c>
      <c r="C296" t="inlineStr">
        <is>
          <t>D214</t>
        </is>
      </c>
      <c r="D296" t="inlineStr">
        <is>
          <t>10000191</t>
        </is>
      </c>
      <c r="E296" t="inlineStr"/>
      <c r="F296" s="11" t="n">
        <v>100.71</v>
      </c>
      <c r="G296" t="inlineStr"/>
      <c r="I296" t="inlineStr">
        <is>
          <t>TN</t>
        </is>
      </c>
      <c r="J296" t="inlineStr"/>
      <c r="K296" t="inlineStr">
        <is>
          <t>20220516</t>
        </is>
      </c>
      <c r="L296" t="inlineStr">
        <is>
          <t>20250219</t>
        </is>
      </c>
    </row>
    <row r="297">
      <c r="A297" t="inlineStr">
        <is>
          <t>900004356</t>
        </is>
      </c>
      <c r="B297" t="inlineStr">
        <is>
          <t>DW68</t>
        </is>
      </c>
      <c r="C297" t="inlineStr">
        <is>
          <t>D214</t>
        </is>
      </c>
      <c r="D297" t="inlineStr">
        <is>
          <t>10000388</t>
        </is>
      </c>
      <c r="E297" t="inlineStr"/>
      <c r="F297" s="11" t="n">
        <v>167.99</v>
      </c>
      <c r="G297" t="inlineStr"/>
      <c r="I297" t="inlineStr">
        <is>
          <t>TN</t>
        </is>
      </c>
      <c r="J297" t="inlineStr"/>
      <c r="K297" t="inlineStr">
        <is>
          <t>20250301</t>
        </is>
      </c>
      <c r="L297" t="inlineStr">
        <is>
          <t>20250708</t>
        </is>
      </c>
    </row>
    <row r="298">
      <c r="A298" t="inlineStr">
        <is>
          <t>900004356</t>
        </is>
      </c>
      <c r="B298" t="inlineStr">
        <is>
          <t>DW68</t>
        </is>
      </c>
      <c r="C298" t="inlineStr">
        <is>
          <t>D214</t>
        </is>
      </c>
      <c r="D298" t="inlineStr">
        <is>
          <t>10268650</t>
        </is>
      </c>
      <c r="E298" t="inlineStr"/>
      <c r="F298" s="11" t="n">
        <v>226.92</v>
      </c>
      <c r="G298" t="inlineStr"/>
      <c r="I298" t="inlineStr">
        <is>
          <t>TN</t>
        </is>
      </c>
      <c r="J298" t="inlineStr"/>
      <c r="K298" t="inlineStr">
        <is>
          <t>20260526</t>
        </is>
      </c>
      <c r="L298" t="inlineStr">
        <is>
          <t>99991231</t>
        </is>
      </c>
    </row>
    <row r="299">
      <c r="A299" t="inlineStr">
        <is>
          <t>900004356</t>
        </is>
      </c>
      <c r="B299" t="inlineStr">
        <is>
          <t>DW68</t>
        </is>
      </c>
      <c r="C299" t="inlineStr">
        <is>
          <t>D228</t>
        </is>
      </c>
      <c r="D299" t="inlineStr">
        <is>
          <t>10000191</t>
        </is>
      </c>
      <c r="E299" t="inlineStr"/>
      <c r="F299" s="11" t="n">
        <v>100.71</v>
      </c>
      <c r="G299" t="inlineStr"/>
      <c r="I299" t="inlineStr">
        <is>
          <t>TN</t>
        </is>
      </c>
      <c r="J299" t="inlineStr"/>
      <c r="K299" t="inlineStr">
        <is>
          <t>20220516</t>
        </is>
      </c>
      <c r="L299" t="inlineStr">
        <is>
          <t>20250219</t>
        </is>
      </c>
    </row>
    <row r="300">
      <c r="A300" t="inlineStr">
        <is>
          <t>900004356</t>
        </is>
      </c>
      <c r="B300" t="inlineStr">
        <is>
          <t>DW68</t>
        </is>
      </c>
      <c r="C300" t="inlineStr">
        <is>
          <t>D228</t>
        </is>
      </c>
      <c r="D300" t="inlineStr">
        <is>
          <t>10000388</t>
        </is>
      </c>
      <c r="E300" t="inlineStr"/>
      <c r="F300" s="11" t="n">
        <v>167.99</v>
      </c>
      <c r="G300" t="inlineStr"/>
      <c r="I300" t="inlineStr">
        <is>
          <t>TN</t>
        </is>
      </c>
      <c r="J300" t="inlineStr"/>
      <c r="K300" t="inlineStr">
        <is>
          <t>20250301</t>
        </is>
      </c>
      <c r="L300" t="inlineStr">
        <is>
          <t>20250708</t>
        </is>
      </c>
    </row>
    <row r="301">
      <c r="A301" t="inlineStr">
        <is>
          <t>900004356</t>
        </is>
      </c>
      <c r="B301" t="inlineStr">
        <is>
          <t>DW68</t>
        </is>
      </c>
      <c r="C301" t="inlineStr">
        <is>
          <t>D228</t>
        </is>
      </c>
      <c r="D301" t="inlineStr">
        <is>
          <t>10000437</t>
        </is>
      </c>
      <c r="E301" t="inlineStr"/>
      <c r="F301" s="11" t="n">
        <v>196.01</v>
      </c>
      <c r="G301" t="inlineStr"/>
      <c r="I301" t="inlineStr">
        <is>
          <t>TN</t>
        </is>
      </c>
      <c r="J301" t="inlineStr"/>
      <c r="K301" t="inlineStr">
        <is>
          <t>20251014</t>
        </is>
      </c>
      <c r="L301" t="inlineStr">
        <is>
          <t>20260506</t>
        </is>
      </c>
    </row>
    <row r="302">
      <c r="A302" t="inlineStr">
        <is>
          <t>900004356</t>
        </is>
      </c>
      <c r="B302" t="inlineStr">
        <is>
          <t>DW68</t>
        </is>
      </c>
      <c r="C302" t="inlineStr">
        <is>
          <t>D228</t>
        </is>
      </c>
      <c r="D302" t="inlineStr">
        <is>
          <t>10268650</t>
        </is>
      </c>
      <c r="E302" t="inlineStr"/>
      <c r="F302" s="11" t="n">
        <v>226.92</v>
      </c>
      <c r="G302" t="inlineStr"/>
      <c r="I302" t="inlineStr">
        <is>
          <t>TN</t>
        </is>
      </c>
      <c r="J302" t="inlineStr"/>
      <c r="K302" t="inlineStr">
        <is>
          <t>20260526</t>
        </is>
      </c>
      <c r="L302" t="inlineStr">
        <is>
          <t>99991231</t>
        </is>
      </c>
    </row>
    <row r="303">
      <c r="A303" t="inlineStr">
        <is>
          <t>900004356</t>
        </is>
      </c>
      <c r="B303" t="inlineStr">
        <is>
          <t>DW68</t>
        </is>
      </c>
      <c r="C303" t="inlineStr">
        <is>
          <t>D242</t>
        </is>
      </c>
      <c r="D303" t="inlineStr">
        <is>
          <t>10000191</t>
        </is>
      </c>
      <c r="E303" t="inlineStr"/>
      <c r="F303" s="11" t="n">
        <v>100.71</v>
      </c>
      <c r="G303" t="inlineStr"/>
      <c r="I303" t="inlineStr">
        <is>
          <t>TN</t>
        </is>
      </c>
      <c r="J303" t="inlineStr"/>
      <c r="K303" t="inlineStr">
        <is>
          <t>20220516</t>
        </is>
      </c>
      <c r="L303" t="inlineStr">
        <is>
          <t>20250219</t>
        </is>
      </c>
    </row>
    <row r="304">
      <c r="A304" t="inlineStr">
        <is>
          <t>900004356</t>
        </is>
      </c>
      <c r="B304" t="inlineStr">
        <is>
          <t>DW68</t>
        </is>
      </c>
      <c r="C304" t="inlineStr">
        <is>
          <t>D242</t>
        </is>
      </c>
      <c r="D304" t="inlineStr">
        <is>
          <t>10000388</t>
        </is>
      </c>
      <c r="E304" t="inlineStr"/>
      <c r="F304" s="11" t="n">
        <v>167.99</v>
      </c>
      <c r="G304" t="inlineStr"/>
      <c r="I304" t="inlineStr">
        <is>
          <t>TN</t>
        </is>
      </c>
      <c r="J304" t="inlineStr"/>
      <c r="K304" t="inlineStr">
        <is>
          <t>20250301</t>
        </is>
      </c>
      <c r="L304" t="inlineStr">
        <is>
          <t>20250708</t>
        </is>
      </c>
    </row>
    <row r="305">
      <c r="A305" t="inlineStr">
        <is>
          <t>900004356</t>
        </is>
      </c>
      <c r="B305" t="inlineStr">
        <is>
          <t>DW68</t>
        </is>
      </c>
      <c r="C305" t="inlineStr">
        <is>
          <t>D242</t>
        </is>
      </c>
      <c r="D305" t="inlineStr">
        <is>
          <t>10000437</t>
        </is>
      </c>
      <c r="E305" t="inlineStr"/>
      <c r="F305" s="11" t="n">
        <v>196.01</v>
      </c>
      <c r="G305" t="inlineStr"/>
      <c r="I305" t="inlineStr">
        <is>
          <t>TN</t>
        </is>
      </c>
      <c r="J305" t="inlineStr"/>
      <c r="K305" t="inlineStr">
        <is>
          <t>20251014</t>
        </is>
      </c>
      <c r="L305" t="inlineStr">
        <is>
          <t>20260506</t>
        </is>
      </c>
    </row>
    <row r="306">
      <c r="A306" t="inlineStr">
        <is>
          <t>900004356</t>
        </is>
      </c>
      <c r="B306" t="inlineStr">
        <is>
          <t>DW68</t>
        </is>
      </c>
      <c r="C306" t="inlineStr">
        <is>
          <t>D242</t>
        </is>
      </c>
      <c r="D306" t="inlineStr">
        <is>
          <t>10268650</t>
        </is>
      </c>
      <c r="E306" t="inlineStr"/>
      <c r="F306" s="11" t="n">
        <v>226.92</v>
      </c>
      <c r="G306" t="inlineStr"/>
      <c r="I306" t="inlineStr">
        <is>
          <t>TN</t>
        </is>
      </c>
      <c r="J306" t="inlineStr"/>
      <c r="K306" t="inlineStr">
        <is>
          <t>20260526</t>
        </is>
      </c>
      <c r="L306" t="inlineStr">
        <is>
          <t>99991231</t>
        </is>
      </c>
    </row>
    <row r="307">
      <c r="A307" t="inlineStr">
        <is>
          <t>900004356</t>
        </is>
      </c>
      <c r="B307" t="inlineStr">
        <is>
          <t>DW68</t>
        </is>
      </c>
      <c r="C307" t="inlineStr">
        <is>
          <t>D247</t>
        </is>
      </c>
      <c r="D307" t="inlineStr">
        <is>
          <t>10000191</t>
        </is>
      </c>
      <c r="E307" t="inlineStr"/>
      <c r="F307" s="11" t="n">
        <v>100.71</v>
      </c>
      <c r="G307" t="inlineStr"/>
      <c r="I307" t="inlineStr">
        <is>
          <t>TN</t>
        </is>
      </c>
      <c r="J307" t="inlineStr"/>
      <c r="K307" t="inlineStr">
        <is>
          <t>20220516</t>
        </is>
      </c>
      <c r="L307" t="inlineStr">
        <is>
          <t>20250219</t>
        </is>
      </c>
    </row>
    <row r="308">
      <c r="A308" t="inlineStr">
        <is>
          <t>900004356</t>
        </is>
      </c>
      <c r="B308" t="inlineStr">
        <is>
          <t>DW68</t>
        </is>
      </c>
      <c r="C308" t="inlineStr">
        <is>
          <t>D247</t>
        </is>
      </c>
      <c r="D308" t="inlineStr">
        <is>
          <t>10000388</t>
        </is>
      </c>
      <c r="E308" t="inlineStr"/>
      <c r="F308" s="11" t="n">
        <v>167.99</v>
      </c>
      <c r="G308" t="inlineStr"/>
      <c r="I308" t="inlineStr">
        <is>
          <t>TN</t>
        </is>
      </c>
      <c r="J308" t="inlineStr"/>
      <c r="K308" t="inlineStr">
        <is>
          <t>20250301</t>
        </is>
      </c>
      <c r="L308" t="inlineStr">
        <is>
          <t>20250708</t>
        </is>
      </c>
    </row>
    <row r="309">
      <c r="A309" t="inlineStr">
        <is>
          <t>900004356</t>
        </is>
      </c>
      <c r="B309" t="inlineStr">
        <is>
          <t>DW68</t>
        </is>
      </c>
      <c r="C309" t="inlineStr">
        <is>
          <t>D247</t>
        </is>
      </c>
      <c r="D309" t="inlineStr">
        <is>
          <t>10000437</t>
        </is>
      </c>
      <c r="E309" t="inlineStr"/>
      <c r="F309" s="11" t="n">
        <v>196.01</v>
      </c>
      <c r="G309" t="inlineStr"/>
      <c r="I309" t="inlineStr">
        <is>
          <t>TN</t>
        </is>
      </c>
      <c r="J309" t="inlineStr"/>
      <c r="K309" t="inlineStr">
        <is>
          <t>20251014</t>
        </is>
      </c>
      <c r="L309" t="inlineStr">
        <is>
          <t>20260506</t>
        </is>
      </c>
    </row>
    <row r="310">
      <c r="A310" t="inlineStr">
        <is>
          <t>900004356</t>
        </is>
      </c>
      <c r="B310" t="inlineStr">
        <is>
          <t>DW68</t>
        </is>
      </c>
      <c r="C310" t="inlineStr">
        <is>
          <t>D247</t>
        </is>
      </c>
      <c r="D310" t="inlineStr">
        <is>
          <t>10268650</t>
        </is>
      </c>
      <c r="E310" t="inlineStr"/>
      <c r="F310" s="11" t="n">
        <v>226.92</v>
      </c>
      <c r="G310" t="inlineStr"/>
      <c r="I310" t="inlineStr">
        <is>
          <t>TN</t>
        </is>
      </c>
      <c r="J310" t="inlineStr"/>
      <c r="K310" t="inlineStr">
        <is>
          <t>20260526</t>
        </is>
      </c>
      <c r="L310" t="inlineStr">
        <is>
          <t>99991231</t>
        </is>
      </c>
    </row>
    <row r="311">
      <c r="A311" t="inlineStr">
        <is>
          <t>900004356</t>
        </is>
      </c>
      <c r="B311" t="inlineStr">
        <is>
          <t>DW68</t>
        </is>
      </c>
      <c r="C311" t="inlineStr">
        <is>
          <t>D251</t>
        </is>
      </c>
      <c r="D311" t="inlineStr">
        <is>
          <t>10000191</t>
        </is>
      </c>
      <c r="E311" t="inlineStr"/>
      <c r="F311" s="11" t="n">
        <v>100.71</v>
      </c>
      <c r="G311" t="inlineStr"/>
      <c r="I311" t="inlineStr">
        <is>
          <t>TN</t>
        </is>
      </c>
      <c r="J311" t="inlineStr"/>
      <c r="K311" t="inlineStr">
        <is>
          <t>20220516</t>
        </is>
      </c>
      <c r="L311" t="inlineStr">
        <is>
          <t>20250219</t>
        </is>
      </c>
    </row>
    <row r="312">
      <c r="A312" t="inlineStr">
        <is>
          <t>900004356</t>
        </is>
      </c>
      <c r="B312" t="inlineStr">
        <is>
          <t>DW68</t>
        </is>
      </c>
      <c r="C312" t="inlineStr">
        <is>
          <t>D251</t>
        </is>
      </c>
      <c r="D312" t="inlineStr">
        <is>
          <t>10000388</t>
        </is>
      </c>
      <c r="E312" t="inlineStr"/>
      <c r="F312" s="11" t="n">
        <v>167.99</v>
      </c>
      <c r="G312" t="inlineStr"/>
      <c r="I312" t="inlineStr">
        <is>
          <t>TN</t>
        </is>
      </c>
      <c r="J312" t="inlineStr"/>
      <c r="K312" t="inlineStr">
        <is>
          <t>20250301</t>
        </is>
      </c>
      <c r="L312" t="inlineStr">
        <is>
          <t>20250708</t>
        </is>
      </c>
    </row>
    <row r="313">
      <c r="A313" t="inlineStr">
        <is>
          <t>900004356</t>
        </is>
      </c>
      <c r="B313" t="inlineStr">
        <is>
          <t>DW68</t>
        </is>
      </c>
      <c r="C313" t="inlineStr">
        <is>
          <t>D251</t>
        </is>
      </c>
      <c r="D313" t="inlineStr">
        <is>
          <t>10000437</t>
        </is>
      </c>
      <c r="E313" t="inlineStr"/>
      <c r="F313" s="11" t="n">
        <v>196.01</v>
      </c>
      <c r="G313" t="inlineStr"/>
      <c r="I313" t="inlineStr">
        <is>
          <t>TN</t>
        </is>
      </c>
      <c r="J313" t="inlineStr"/>
      <c r="K313" t="inlineStr">
        <is>
          <t>20251014</t>
        </is>
      </c>
      <c r="L313" t="inlineStr">
        <is>
          <t>20260506</t>
        </is>
      </c>
    </row>
    <row r="314">
      <c r="A314" t="inlineStr">
        <is>
          <t>900004356</t>
        </is>
      </c>
      <c r="B314" t="inlineStr">
        <is>
          <t>DW68</t>
        </is>
      </c>
      <c r="C314" t="inlineStr">
        <is>
          <t>D251</t>
        </is>
      </c>
      <c r="D314" t="inlineStr">
        <is>
          <t>10268650</t>
        </is>
      </c>
      <c r="E314" t="inlineStr"/>
      <c r="F314" s="11" t="n">
        <v>226.92</v>
      </c>
      <c r="G314" t="inlineStr"/>
      <c r="I314" t="inlineStr">
        <is>
          <t>TN</t>
        </is>
      </c>
      <c r="J314" t="inlineStr"/>
      <c r="K314" t="inlineStr">
        <is>
          <t>20260526</t>
        </is>
      </c>
      <c r="L314" t="inlineStr">
        <is>
          <t>99991231</t>
        </is>
      </c>
    </row>
    <row r="315">
      <c r="A315" t="inlineStr">
        <is>
          <t>900004356</t>
        </is>
      </c>
      <c r="B315" t="inlineStr">
        <is>
          <t>DW68</t>
        </is>
      </c>
      <c r="C315" t="inlineStr">
        <is>
          <t>D264</t>
        </is>
      </c>
      <c r="D315" t="inlineStr">
        <is>
          <t>10000191</t>
        </is>
      </c>
      <c r="E315" t="inlineStr"/>
      <c r="F315" s="11" t="n">
        <v>100.71</v>
      </c>
      <c r="G315" t="inlineStr"/>
      <c r="I315" t="inlineStr">
        <is>
          <t>TN</t>
        </is>
      </c>
      <c r="J315" t="inlineStr"/>
      <c r="K315" t="inlineStr">
        <is>
          <t>20220516</t>
        </is>
      </c>
      <c r="L315" t="inlineStr">
        <is>
          <t>20250219</t>
        </is>
      </c>
    </row>
    <row r="316">
      <c r="A316" t="inlineStr">
        <is>
          <t>900004356</t>
        </is>
      </c>
      <c r="B316" t="inlineStr">
        <is>
          <t>DW68</t>
        </is>
      </c>
      <c r="C316" t="inlineStr">
        <is>
          <t>D264</t>
        </is>
      </c>
      <c r="D316" t="inlineStr">
        <is>
          <t>10000388</t>
        </is>
      </c>
      <c r="E316" t="inlineStr"/>
      <c r="F316" s="11" t="n">
        <v>167.99</v>
      </c>
      <c r="G316" t="inlineStr"/>
      <c r="I316" t="inlineStr">
        <is>
          <t>TN</t>
        </is>
      </c>
      <c r="J316" t="inlineStr"/>
      <c r="K316" t="inlineStr">
        <is>
          <t>20250301</t>
        </is>
      </c>
      <c r="L316" t="inlineStr">
        <is>
          <t>20250708</t>
        </is>
      </c>
    </row>
    <row r="317">
      <c r="A317" t="inlineStr">
        <is>
          <t>900004356</t>
        </is>
      </c>
      <c r="B317" t="inlineStr">
        <is>
          <t>DW68</t>
        </is>
      </c>
      <c r="C317" t="inlineStr">
        <is>
          <t>D264</t>
        </is>
      </c>
      <c r="D317" t="inlineStr">
        <is>
          <t>10000437</t>
        </is>
      </c>
      <c r="E317" t="inlineStr"/>
      <c r="F317" s="11" t="n">
        <v>196.01</v>
      </c>
      <c r="G317" t="inlineStr"/>
      <c r="I317" t="inlineStr">
        <is>
          <t>TN</t>
        </is>
      </c>
      <c r="J317" t="inlineStr"/>
      <c r="K317" t="inlineStr">
        <is>
          <t>20251014</t>
        </is>
      </c>
      <c r="L317" t="inlineStr">
        <is>
          <t>20260506</t>
        </is>
      </c>
    </row>
    <row r="318">
      <c r="A318" t="inlineStr">
        <is>
          <t>900004356</t>
        </is>
      </c>
      <c r="B318" t="inlineStr">
        <is>
          <t>DW68</t>
        </is>
      </c>
      <c r="C318" t="inlineStr">
        <is>
          <t>D264</t>
        </is>
      </c>
      <c r="D318" t="inlineStr">
        <is>
          <t>10268650</t>
        </is>
      </c>
      <c r="E318" t="inlineStr"/>
      <c r="F318" s="11" t="n">
        <v>226.92</v>
      </c>
      <c r="G318" t="inlineStr"/>
      <c r="I318" t="inlineStr">
        <is>
          <t>TN</t>
        </is>
      </c>
      <c r="J318" t="inlineStr"/>
      <c r="K318" t="inlineStr">
        <is>
          <t>20260526</t>
        </is>
      </c>
      <c r="L318" t="inlineStr">
        <is>
          <t>99991231</t>
        </is>
      </c>
    </row>
    <row r="319">
      <c r="A319" t="inlineStr">
        <is>
          <t>900004356</t>
        </is>
      </c>
      <c r="B319" t="inlineStr">
        <is>
          <t>DW68</t>
        </is>
      </c>
      <c r="C319" t="inlineStr">
        <is>
          <t>D267</t>
        </is>
      </c>
      <c r="D319" t="inlineStr">
        <is>
          <t>10000191</t>
        </is>
      </c>
      <c r="E319" t="inlineStr"/>
      <c r="F319" s="11" t="n">
        <v>100.71</v>
      </c>
      <c r="G319" t="inlineStr"/>
      <c r="I319" t="inlineStr">
        <is>
          <t>TN</t>
        </is>
      </c>
      <c r="J319" t="inlineStr"/>
      <c r="K319" t="inlineStr">
        <is>
          <t>20220516</t>
        </is>
      </c>
      <c r="L319" t="inlineStr">
        <is>
          <t>20250219</t>
        </is>
      </c>
    </row>
    <row r="320">
      <c r="A320" t="inlineStr">
        <is>
          <t>900004356</t>
        </is>
      </c>
      <c r="B320" t="inlineStr">
        <is>
          <t>DW68</t>
        </is>
      </c>
      <c r="C320" t="inlineStr">
        <is>
          <t>D267</t>
        </is>
      </c>
      <c r="D320" t="inlineStr">
        <is>
          <t>10000388</t>
        </is>
      </c>
      <c r="E320" t="inlineStr"/>
      <c r="F320" s="11" t="n">
        <v>167.99</v>
      </c>
      <c r="G320" t="inlineStr"/>
      <c r="I320" t="inlineStr">
        <is>
          <t>TN</t>
        </is>
      </c>
      <c r="J320" t="inlineStr"/>
      <c r="K320" t="inlineStr">
        <is>
          <t>20250301</t>
        </is>
      </c>
      <c r="L320" t="inlineStr">
        <is>
          <t>20250708</t>
        </is>
      </c>
    </row>
    <row r="321">
      <c r="A321" t="inlineStr">
        <is>
          <t>900004356</t>
        </is>
      </c>
      <c r="B321" t="inlineStr">
        <is>
          <t>DW68</t>
        </is>
      </c>
      <c r="C321" t="inlineStr">
        <is>
          <t>D267</t>
        </is>
      </c>
      <c r="D321" t="inlineStr">
        <is>
          <t>10000437</t>
        </is>
      </c>
      <c r="E321" t="inlineStr"/>
      <c r="F321" s="11" t="n">
        <v>196.01</v>
      </c>
      <c r="G321" t="inlineStr"/>
      <c r="I321" t="inlineStr">
        <is>
          <t>TN</t>
        </is>
      </c>
      <c r="J321" t="inlineStr"/>
      <c r="K321" t="inlineStr">
        <is>
          <t>20251014</t>
        </is>
      </c>
      <c r="L321" t="inlineStr">
        <is>
          <t>20260506</t>
        </is>
      </c>
    </row>
    <row r="322">
      <c r="A322" t="inlineStr">
        <is>
          <t>900004356</t>
        </is>
      </c>
      <c r="B322" t="inlineStr">
        <is>
          <t>DW68</t>
        </is>
      </c>
      <c r="C322" t="inlineStr">
        <is>
          <t>D267</t>
        </is>
      </c>
      <c r="D322" t="inlineStr">
        <is>
          <t>10268650</t>
        </is>
      </c>
      <c r="E322" t="inlineStr"/>
      <c r="F322" s="11" t="n">
        <v>226.92</v>
      </c>
      <c r="G322" t="inlineStr"/>
      <c r="I322" t="inlineStr">
        <is>
          <t>TN</t>
        </is>
      </c>
      <c r="J322" t="inlineStr"/>
      <c r="K322" t="inlineStr">
        <is>
          <t>20260526</t>
        </is>
      </c>
      <c r="L322" t="inlineStr">
        <is>
          <t>99991231</t>
        </is>
      </c>
    </row>
    <row r="323">
      <c r="A323" t="inlineStr">
        <is>
          <t>900004356</t>
        </is>
      </c>
      <c r="B323" t="inlineStr">
        <is>
          <t>DW68</t>
        </is>
      </c>
      <c r="C323" t="inlineStr">
        <is>
          <t>D268</t>
        </is>
      </c>
      <c r="D323" t="inlineStr">
        <is>
          <t>10000388</t>
        </is>
      </c>
      <c r="E323" t="inlineStr"/>
      <c r="F323" s="11" t="n">
        <v>167.99</v>
      </c>
      <c r="G323" t="inlineStr"/>
      <c r="I323" t="inlineStr">
        <is>
          <t>TN</t>
        </is>
      </c>
      <c r="J323" t="inlineStr"/>
      <c r="K323" t="inlineStr">
        <is>
          <t>20250301</t>
        </is>
      </c>
      <c r="L323" t="inlineStr">
        <is>
          <t>20250708</t>
        </is>
      </c>
    </row>
    <row r="324">
      <c r="A324" t="inlineStr">
        <is>
          <t>900004356</t>
        </is>
      </c>
      <c r="B324" t="inlineStr">
        <is>
          <t>DW68</t>
        </is>
      </c>
      <c r="C324" t="inlineStr">
        <is>
          <t>D268</t>
        </is>
      </c>
      <c r="D324" t="inlineStr">
        <is>
          <t>10268650</t>
        </is>
      </c>
      <c r="E324" t="inlineStr"/>
      <c r="F324" s="11" t="n">
        <v>207.69</v>
      </c>
      <c r="G324" t="inlineStr"/>
      <c r="I324" t="inlineStr">
        <is>
          <t>TN</t>
        </is>
      </c>
      <c r="J324" t="inlineStr"/>
      <c r="K324" t="inlineStr">
        <is>
          <t>20260330</t>
        </is>
      </c>
      <c r="L324" t="inlineStr">
        <is>
          <t>20260529</t>
        </is>
      </c>
    </row>
    <row r="325">
      <c r="A325" t="inlineStr">
        <is>
          <t>900004369</t>
        </is>
      </c>
      <c r="B325" t="inlineStr">
        <is>
          <t>DW68</t>
        </is>
      </c>
      <c r="C325" t="inlineStr">
        <is>
          <t>D042</t>
        </is>
      </c>
      <c r="D325" t="inlineStr">
        <is>
          <t>10000786</t>
        </is>
      </c>
      <c r="E325" t="inlineStr"/>
      <c r="F325" s="11" t="n">
        <v>47.13</v>
      </c>
      <c r="G325" t="inlineStr"/>
      <c r="I325" t="inlineStr">
        <is>
          <t>TN</t>
        </is>
      </c>
      <c r="J325" t="inlineStr"/>
      <c r="K325" t="inlineStr">
        <is>
          <t>20210620</t>
        </is>
      </c>
      <c r="L325" t="inlineStr">
        <is>
          <t>20251031</t>
        </is>
      </c>
    </row>
    <row r="326">
      <c r="A326" t="inlineStr">
        <is>
          <t>900004369</t>
        </is>
      </c>
      <c r="B326" t="inlineStr">
        <is>
          <t>DW68</t>
        </is>
      </c>
      <c r="C326" t="inlineStr">
        <is>
          <t>D267</t>
        </is>
      </c>
      <c r="D326" t="inlineStr">
        <is>
          <t>10000786</t>
        </is>
      </c>
      <c r="E326" t="inlineStr"/>
      <c r="F326" s="11" t="n">
        <v>48.52</v>
      </c>
      <c r="G326" t="inlineStr"/>
      <c r="I326" t="inlineStr">
        <is>
          <t>TN</t>
        </is>
      </c>
      <c r="J326" t="inlineStr"/>
      <c r="K326" t="inlineStr">
        <is>
          <t>20210620</t>
        </is>
      </c>
      <c r="L326" t="inlineStr">
        <is>
          <t>20251031</t>
        </is>
      </c>
    </row>
    <row r="327">
      <c r="A327" t="inlineStr">
        <is>
          <t>900004700</t>
        </is>
      </c>
      <c r="B327" t="inlineStr">
        <is>
          <t>DW68</t>
        </is>
      </c>
      <c r="C327" t="inlineStr">
        <is>
          <t>D042</t>
        </is>
      </c>
      <c r="D327" t="inlineStr">
        <is>
          <t>10000191</t>
        </is>
      </c>
      <c r="E327" t="inlineStr"/>
      <c r="F327" s="11" t="n">
        <v>149.14</v>
      </c>
      <c r="G327" t="inlineStr"/>
      <c r="I327" t="inlineStr">
        <is>
          <t>TN</t>
        </is>
      </c>
      <c r="J327" t="inlineStr"/>
      <c r="K327" t="inlineStr">
        <is>
          <t>20230802</t>
        </is>
      </c>
      <c r="L327" t="inlineStr">
        <is>
          <t>20251031</t>
        </is>
      </c>
    </row>
    <row r="328">
      <c r="A328" t="inlineStr">
        <is>
          <t>900004700</t>
        </is>
      </c>
      <c r="B328" t="inlineStr">
        <is>
          <t>DW68</t>
        </is>
      </c>
      <c r="C328" t="inlineStr">
        <is>
          <t>D042</t>
        </is>
      </c>
      <c r="D328" t="inlineStr">
        <is>
          <t>10000384</t>
        </is>
      </c>
      <c r="E328" t="inlineStr"/>
      <c r="F328" s="11" t="n">
        <v>170.97</v>
      </c>
      <c r="G328" t="inlineStr"/>
      <c r="I328" t="inlineStr">
        <is>
          <t>TN</t>
        </is>
      </c>
      <c r="J328" t="inlineStr"/>
      <c r="K328" t="inlineStr">
        <is>
          <t>20230802</t>
        </is>
      </c>
      <c r="L328" t="inlineStr">
        <is>
          <t>20251031</t>
        </is>
      </c>
    </row>
    <row r="329">
      <c r="A329" t="inlineStr">
        <is>
          <t>900004700</t>
        </is>
      </c>
      <c r="B329" t="inlineStr">
        <is>
          <t>DW68</t>
        </is>
      </c>
      <c r="C329" t="inlineStr">
        <is>
          <t>D042</t>
        </is>
      </c>
      <c r="D329" t="inlineStr">
        <is>
          <t>10000388</t>
        </is>
      </c>
      <c r="E329" t="inlineStr"/>
      <c r="F329" s="11" t="n">
        <v>149.57</v>
      </c>
      <c r="G329" t="inlineStr"/>
      <c r="I329" t="inlineStr">
        <is>
          <t>TN</t>
        </is>
      </c>
      <c r="J329" t="inlineStr"/>
      <c r="K329" t="inlineStr">
        <is>
          <t>20230802</t>
        </is>
      </c>
      <c r="L329" t="inlineStr">
        <is>
          <t>20251031</t>
        </is>
      </c>
    </row>
    <row r="330">
      <c r="A330" t="inlineStr">
        <is>
          <t>900004700</t>
        </is>
      </c>
      <c r="B330" t="inlineStr">
        <is>
          <t>DW68</t>
        </is>
      </c>
      <c r="C330" t="inlineStr">
        <is>
          <t>D042</t>
        </is>
      </c>
      <c r="D330" t="inlineStr">
        <is>
          <t>10004258</t>
        </is>
      </c>
      <c r="E330" t="inlineStr"/>
      <c r="F330" s="11" t="n">
        <v>233.82</v>
      </c>
      <c r="G330" t="inlineStr"/>
      <c r="I330" t="inlineStr">
        <is>
          <t>TN</t>
        </is>
      </c>
      <c r="J330" t="inlineStr"/>
      <c r="K330" t="inlineStr">
        <is>
          <t>20230802</t>
        </is>
      </c>
      <c r="L330" t="inlineStr">
        <is>
          <t>20251031</t>
        </is>
      </c>
    </row>
    <row r="331">
      <c r="A331" t="inlineStr">
        <is>
          <t>900004700</t>
        </is>
      </c>
      <c r="B331" t="inlineStr">
        <is>
          <t>DW68</t>
        </is>
      </c>
      <c r="C331" t="inlineStr">
        <is>
          <t>D209</t>
        </is>
      </c>
      <c r="D331" t="inlineStr">
        <is>
          <t>10000191</t>
        </is>
      </c>
      <c r="E331" t="inlineStr"/>
      <c r="F331" s="11" t="n">
        <v>149.14</v>
      </c>
      <c r="G331" t="inlineStr"/>
      <c r="I331" t="inlineStr">
        <is>
          <t>TN</t>
        </is>
      </c>
      <c r="J331" t="inlineStr"/>
      <c r="K331" t="inlineStr">
        <is>
          <t>20230802</t>
        </is>
      </c>
      <c r="L331" t="inlineStr">
        <is>
          <t>20251031</t>
        </is>
      </c>
    </row>
    <row r="332">
      <c r="A332" t="inlineStr">
        <is>
          <t>900004700</t>
        </is>
      </c>
      <c r="B332" t="inlineStr">
        <is>
          <t>DW68</t>
        </is>
      </c>
      <c r="C332" t="inlineStr">
        <is>
          <t>D209</t>
        </is>
      </c>
      <c r="D332" t="inlineStr">
        <is>
          <t>10000384</t>
        </is>
      </c>
      <c r="E332" t="inlineStr"/>
      <c r="F332" s="11" t="n">
        <v>170.97</v>
      </c>
      <c r="G332" t="inlineStr"/>
      <c r="I332" t="inlineStr">
        <is>
          <t>TN</t>
        </is>
      </c>
      <c r="J332" t="inlineStr"/>
      <c r="K332" t="inlineStr">
        <is>
          <t>20230802</t>
        </is>
      </c>
      <c r="L332" t="inlineStr">
        <is>
          <t>20251031</t>
        </is>
      </c>
    </row>
    <row r="333">
      <c r="A333" t="inlineStr">
        <is>
          <t>900004700</t>
        </is>
      </c>
      <c r="B333" t="inlineStr">
        <is>
          <t>DW68</t>
        </is>
      </c>
      <c r="C333" t="inlineStr">
        <is>
          <t>D209</t>
        </is>
      </c>
      <c r="D333" t="inlineStr">
        <is>
          <t>10000388</t>
        </is>
      </c>
      <c r="E333" t="inlineStr"/>
      <c r="F333" s="11" t="n">
        <v>149.57</v>
      </c>
      <c r="G333" t="inlineStr"/>
      <c r="I333" t="inlineStr">
        <is>
          <t>TN</t>
        </is>
      </c>
      <c r="J333" t="inlineStr"/>
      <c r="K333" t="inlineStr">
        <is>
          <t>20230802</t>
        </is>
      </c>
      <c r="L333" t="inlineStr">
        <is>
          <t>20251031</t>
        </is>
      </c>
    </row>
    <row r="334">
      <c r="A334" t="inlineStr">
        <is>
          <t>900004700</t>
        </is>
      </c>
      <c r="B334" t="inlineStr">
        <is>
          <t>DW68</t>
        </is>
      </c>
      <c r="C334" t="inlineStr">
        <is>
          <t>D209</t>
        </is>
      </c>
      <c r="D334" t="inlineStr">
        <is>
          <t>10004258</t>
        </is>
      </c>
      <c r="E334" t="inlineStr"/>
      <c r="F334" s="11" t="n">
        <v>233.82</v>
      </c>
      <c r="G334" t="inlineStr"/>
      <c r="I334" t="inlineStr">
        <is>
          <t>TN</t>
        </is>
      </c>
      <c r="J334" t="inlineStr"/>
      <c r="K334" t="inlineStr">
        <is>
          <t>20230802</t>
        </is>
      </c>
      <c r="L334" t="inlineStr">
        <is>
          <t>20251031</t>
        </is>
      </c>
    </row>
    <row r="335">
      <c r="A335" t="inlineStr">
        <is>
          <t>900004700</t>
        </is>
      </c>
      <c r="B335" t="inlineStr">
        <is>
          <t>DW68</t>
        </is>
      </c>
      <c r="C335" t="inlineStr">
        <is>
          <t>D211</t>
        </is>
      </c>
      <c r="D335" t="inlineStr">
        <is>
          <t>10000191</t>
        </is>
      </c>
      <c r="E335" t="inlineStr"/>
      <c r="F335" s="11" t="n">
        <v>149.14</v>
      </c>
      <c r="G335" t="inlineStr"/>
      <c r="I335" t="inlineStr">
        <is>
          <t>TN</t>
        </is>
      </c>
      <c r="J335" t="inlineStr"/>
      <c r="K335" t="inlineStr">
        <is>
          <t>20230802</t>
        </is>
      </c>
      <c r="L335" t="inlineStr">
        <is>
          <t>20251031</t>
        </is>
      </c>
    </row>
    <row r="336">
      <c r="A336" t="inlineStr">
        <is>
          <t>900004700</t>
        </is>
      </c>
      <c r="B336" t="inlineStr">
        <is>
          <t>DW68</t>
        </is>
      </c>
      <c r="C336" t="inlineStr">
        <is>
          <t>D211</t>
        </is>
      </c>
      <c r="D336" t="inlineStr">
        <is>
          <t>10000384</t>
        </is>
      </c>
      <c r="E336" t="inlineStr"/>
      <c r="F336" s="11" t="n">
        <v>170.97</v>
      </c>
      <c r="G336" t="inlineStr"/>
      <c r="I336" t="inlineStr">
        <is>
          <t>TN</t>
        </is>
      </c>
      <c r="J336" t="inlineStr"/>
      <c r="K336" t="inlineStr">
        <is>
          <t>20230802</t>
        </is>
      </c>
      <c r="L336" t="inlineStr">
        <is>
          <t>20251031</t>
        </is>
      </c>
    </row>
    <row r="337">
      <c r="A337" t="inlineStr">
        <is>
          <t>900004700</t>
        </is>
      </c>
      <c r="B337" t="inlineStr">
        <is>
          <t>DW68</t>
        </is>
      </c>
      <c r="C337" t="inlineStr">
        <is>
          <t>D211</t>
        </is>
      </c>
      <c r="D337" t="inlineStr">
        <is>
          <t>10000388</t>
        </is>
      </c>
      <c r="E337" t="inlineStr"/>
      <c r="F337" s="11" t="n">
        <v>149.57</v>
      </c>
      <c r="G337" t="inlineStr"/>
      <c r="I337" t="inlineStr">
        <is>
          <t>TN</t>
        </is>
      </c>
      <c r="J337" t="inlineStr"/>
      <c r="K337" t="inlineStr">
        <is>
          <t>20230802</t>
        </is>
      </c>
      <c r="L337" t="inlineStr">
        <is>
          <t>20251031</t>
        </is>
      </c>
    </row>
    <row r="338">
      <c r="A338" t="inlineStr">
        <is>
          <t>900004700</t>
        </is>
      </c>
      <c r="B338" t="inlineStr">
        <is>
          <t>DW68</t>
        </is>
      </c>
      <c r="C338" t="inlineStr">
        <is>
          <t>D211</t>
        </is>
      </c>
      <c r="D338" t="inlineStr">
        <is>
          <t>10004258</t>
        </is>
      </c>
      <c r="E338" t="inlineStr"/>
      <c r="F338" s="11" t="n">
        <v>233.82</v>
      </c>
      <c r="G338" t="inlineStr"/>
      <c r="I338" t="inlineStr">
        <is>
          <t>TN</t>
        </is>
      </c>
      <c r="J338" t="inlineStr"/>
      <c r="K338" t="inlineStr">
        <is>
          <t>20230802</t>
        </is>
      </c>
      <c r="L338" t="inlineStr">
        <is>
          <t>20251031</t>
        </is>
      </c>
    </row>
    <row r="339">
      <c r="A339" t="inlineStr">
        <is>
          <t>900004700</t>
        </is>
      </c>
      <c r="B339" t="inlineStr">
        <is>
          <t>DW68</t>
        </is>
      </c>
      <c r="C339" t="inlineStr">
        <is>
          <t>D220</t>
        </is>
      </c>
      <c r="D339" t="inlineStr">
        <is>
          <t>10000191</t>
        </is>
      </c>
      <c r="E339" t="inlineStr"/>
      <c r="F339" s="11" t="n">
        <v>149.14</v>
      </c>
      <c r="G339" t="inlineStr"/>
      <c r="I339" t="inlineStr">
        <is>
          <t>TN</t>
        </is>
      </c>
      <c r="J339" t="inlineStr"/>
      <c r="K339" t="inlineStr">
        <is>
          <t>20230802</t>
        </is>
      </c>
      <c r="L339" t="inlineStr">
        <is>
          <t>20251031</t>
        </is>
      </c>
    </row>
    <row r="340">
      <c r="A340" t="inlineStr">
        <is>
          <t>900004700</t>
        </is>
      </c>
      <c r="B340" t="inlineStr">
        <is>
          <t>DW68</t>
        </is>
      </c>
      <c r="C340" t="inlineStr">
        <is>
          <t>D220</t>
        </is>
      </c>
      <c r="D340" t="inlineStr">
        <is>
          <t>10000384</t>
        </is>
      </c>
      <c r="E340" t="inlineStr"/>
      <c r="F340" s="11" t="n">
        <v>170.97</v>
      </c>
      <c r="G340" t="inlineStr"/>
      <c r="I340" t="inlineStr">
        <is>
          <t>TN</t>
        </is>
      </c>
      <c r="J340" t="inlineStr"/>
      <c r="K340" t="inlineStr">
        <is>
          <t>20230802</t>
        </is>
      </c>
      <c r="L340" t="inlineStr">
        <is>
          <t>20251031</t>
        </is>
      </c>
    </row>
    <row r="341">
      <c r="A341" t="inlineStr">
        <is>
          <t>900004700</t>
        </is>
      </c>
      <c r="B341" t="inlineStr">
        <is>
          <t>DW68</t>
        </is>
      </c>
      <c r="C341" t="inlineStr">
        <is>
          <t>D220</t>
        </is>
      </c>
      <c r="D341" t="inlineStr">
        <is>
          <t>10000388</t>
        </is>
      </c>
      <c r="E341" t="inlineStr"/>
      <c r="F341" s="11" t="n">
        <v>149.57</v>
      </c>
      <c r="G341" t="inlineStr"/>
      <c r="I341" t="inlineStr">
        <is>
          <t>TN</t>
        </is>
      </c>
      <c r="J341" t="inlineStr"/>
      <c r="K341" t="inlineStr">
        <is>
          <t>20230802</t>
        </is>
      </c>
      <c r="L341" t="inlineStr">
        <is>
          <t>20251031</t>
        </is>
      </c>
    </row>
    <row r="342">
      <c r="A342" t="inlineStr">
        <is>
          <t>900004700</t>
        </is>
      </c>
      <c r="B342" t="inlineStr">
        <is>
          <t>DW68</t>
        </is>
      </c>
      <c r="C342" t="inlineStr">
        <is>
          <t>D220</t>
        </is>
      </c>
      <c r="D342" t="inlineStr">
        <is>
          <t>10004258</t>
        </is>
      </c>
      <c r="E342" t="inlineStr"/>
      <c r="F342" s="11" t="n">
        <v>233.82</v>
      </c>
      <c r="G342" t="inlineStr"/>
      <c r="I342" t="inlineStr">
        <is>
          <t>TN</t>
        </is>
      </c>
      <c r="J342" t="inlineStr"/>
      <c r="K342" t="inlineStr">
        <is>
          <t>20230802</t>
        </is>
      </c>
      <c r="L342" t="inlineStr">
        <is>
          <t>20251031</t>
        </is>
      </c>
    </row>
    <row r="343">
      <c r="A343" t="inlineStr">
        <is>
          <t>900004700</t>
        </is>
      </c>
      <c r="B343" t="inlineStr">
        <is>
          <t>DW68</t>
        </is>
      </c>
      <c r="C343" t="inlineStr">
        <is>
          <t>D228</t>
        </is>
      </c>
      <c r="D343" t="inlineStr">
        <is>
          <t>10000191</t>
        </is>
      </c>
      <c r="E343" t="inlineStr"/>
      <c r="F343" s="11" t="n">
        <v>149.14</v>
      </c>
      <c r="G343" t="inlineStr"/>
      <c r="I343" t="inlineStr">
        <is>
          <t>TN</t>
        </is>
      </c>
      <c r="J343" t="inlineStr"/>
      <c r="K343" t="inlineStr">
        <is>
          <t>20230802</t>
        </is>
      </c>
      <c r="L343" t="inlineStr">
        <is>
          <t>20251031</t>
        </is>
      </c>
    </row>
    <row r="344">
      <c r="A344" t="inlineStr">
        <is>
          <t>900004700</t>
        </is>
      </c>
      <c r="B344" t="inlineStr">
        <is>
          <t>DW68</t>
        </is>
      </c>
      <c r="C344" t="inlineStr">
        <is>
          <t>D228</t>
        </is>
      </c>
      <c r="D344" t="inlineStr">
        <is>
          <t>10000384</t>
        </is>
      </c>
      <c r="E344" t="inlineStr"/>
      <c r="F344" s="11" t="n">
        <v>170.97</v>
      </c>
      <c r="G344" t="inlineStr"/>
      <c r="I344" t="inlineStr">
        <is>
          <t>TN</t>
        </is>
      </c>
      <c r="J344" t="inlineStr"/>
      <c r="K344" t="inlineStr">
        <is>
          <t>20230802</t>
        </is>
      </c>
      <c r="L344" t="inlineStr">
        <is>
          <t>20251031</t>
        </is>
      </c>
    </row>
    <row r="345">
      <c r="A345" t="inlineStr">
        <is>
          <t>900004700</t>
        </is>
      </c>
      <c r="B345" t="inlineStr">
        <is>
          <t>DW68</t>
        </is>
      </c>
      <c r="C345" t="inlineStr">
        <is>
          <t>D228</t>
        </is>
      </c>
      <c r="D345" t="inlineStr">
        <is>
          <t>10000388</t>
        </is>
      </c>
      <c r="E345" t="inlineStr"/>
      <c r="F345" s="11" t="n">
        <v>149.57</v>
      </c>
      <c r="G345" t="inlineStr"/>
      <c r="I345" t="inlineStr">
        <is>
          <t>TN</t>
        </is>
      </c>
      <c r="J345" t="inlineStr"/>
      <c r="K345" t="inlineStr">
        <is>
          <t>20230802</t>
        </is>
      </c>
      <c r="L345" t="inlineStr">
        <is>
          <t>20251031</t>
        </is>
      </c>
    </row>
    <row r="346">
      <c r="A346" t="inlineStr">
        <is>
          <t>900004700</t>
        </is>
      </c>
      <c r="B346" t="inlineStr">
        <is>
          <t>DW68</t>
        </is>
      </c>
      <c r="C346" t="inlineStr">
        <is>
          <t>D228</t>
        </is>
      </c>
      <c r="D346" t="inlineStr">
        <is>
          <t>10004258</t>
        </is>
      </c>
      <c r="E346" t="inlineStr"/>
      <c r="F346" s="11" t="n">
        <v>233.82</v>
      </c>
      <c r="G346" t="inlineStr"/>
      <c r="I346" t="inlineStr">
        <is>
          <t>TN</t>
        </is>
      </c>
      <c r="J346" t="inlineStr"/>
      <c r="K346" t="inlineStr">
        <is>
          <t>20230802</t>
        </is>
      </c>
      <c r="L346" t="inlineStr">
        <is>
          <t>20251031</t>
        </is>
      </c>
    </row>
    <row r="347">
      <c r="A347" t="inlineStr">
        <is>
          <t>900004700</t>
        </is>
      </c>
      <c r="B347" t="inlineStr">
        <is>
          <t>DW68</t>
        </is>
      </c>
      <c r="C347" t="inlineStr">
        <is>
          <t>D242</t>
        </is>
      </c>
      <c r="D347" t="inlineStr">
        <is>
          <t>10000191</t>
        </is>
      </c>
      <c r="E347" t="inlineStr"/>
      <c r="F347" s="11" t="n">
        <v>149.14</v>
      </c>
      <c r="G347" t="inlineStr"/>
      <c r="I347" t="inlineStr">
        <is>
          <t>TN</t>
        </is>
      </c>
      <c r="J347" t="inlineStr"/>
      <c r="K347" t="inlineStr">
        <is>
          <t>20230802</t>
        </is>
      </c>
      <c r="L347" t="inlineStr">
        <is>
          <t>20251031</t>
        </is>
      </c>
    </row>
    <row r="348">
      <c r="A348" t="inlineStr">
        <is>
          <t>900004700</t>
        </is>
      </c>
      <c r="B348" t="inlineStr">
        <is>
          <t>DW68</t>
        </is>
      </c>
      <c r="C348" t="inlineStr">
        <is>
          <t>D242</t>
        </is>
      </c>
      <c r="D348" t="inlineStr">
        <is>
          <t>10000384</t>
        </is>
      </c>
      <c r="E348" t="inlineStr"/>
      <c r="F348" s="11" t="n">
        <v>170.97</v>
      </c>
      <c r="G348" t="inlineStr"/>
      <c r="I348" t="inlineStr">
        <is>
          <t>TN</t>
        </is>
      </c>
      <c r="J348" t="inlineStr"/>
      <c r="K348" t="inlineStr">
        <is>
          <t>20230802</t>
        </is>
      </c>
      <c r="L348" t="inlineStr">
        <is>
          <t>20251031</t>
        </is>
      </c>
    </row>
    <row r="349">
      <c r="A349" t="inlineStr">
        <is>
          <t>900004700</t>
        </is>
      </c>
      <c r="B349" t="inlineStr">
        <is>
          <t>DW68</t>
        </is>
      </c>
      <c r="C349" t="inlineStr">
        <is>
          <t>D242</t>
        </is>
      </c>
      <c r="D349" t="inlineStr">
        <is>
          <t>10000388</t>
        </is>
      </c>
      <c r="E349" t="inlineStr"/>
      <c r="F349" s="11" t="n">
        <v>149.57</v>
      </c>
      <c r="G349" t="inlineStr"/>
      <c r="I349" t="inlineStr">
        <is>
          <t>TN</t>
        </is>
      </c>
      <c r="J349" t="inlineStr"/>
      <c r="K349" t="inlineStr">
        <is>
          <t>20230802</t>
        </is>
      </c>
      <c r="L349" t="inlineStr">
        <is>
          <t>20251031</t>
        </is>
      </c>
    </row>
    <row r="350">
      <c r="A350" t="inlineStr">
        <is>
          <t>900004700</t>
        </is>
      </c>
      <c r="B350" t="inlineStr">
        <is>
          <t>DW68</t>
        </is>
      </c>
      <c r="C350" t="inlineStr">
        <is>
          <t>D242</t>
        </is>
      </c>
      <c r="D350" t="inlineStr">
        <is>
          <t>10004258</t>
        </is>
      </c>
      <c r="E350" t="inlineStr"/>
      <c r="F350" s="11" t="n">
        <v>233.82</v>
      </c>
      <c r="G350" t="inlineStr"/>
      <c r="I350" t="inlineStr">
        <is>
          <t>TN</t>
        </is>
      </c>
      <c r="J350" t="inlineStr"/>
      <c r="K350" t="inlineStr">
        <is>
          <t>20230802</t>
        </is>
      </c>
      <c r="L350" t="inlineStr">
        <is>
          <t>20251031</t>
        </is>
      </c>
    </row>
    <row r="351">
      <c r="A351" t="inlineStr">
        <is>
          <t>900004700</t>
        </is>
      </c>
      <c r="B351" t="inlineStr">
        <is>
          <t>DW68</t>
        </is>
      </c>
      <c r="C351" t="inlineStr">
        <is>
          <t>D247</t>
        </is>
      </c>
      <c r="D351" t="inlineStr">
        <is>
          <t>10000191</t>
        </is>
      </c>
      <c r="E351" t="inlineStr"/>
      <c r="F351" s="11" t="n">
        <v>149.14</v>
      </c>
      <c r="G351" t="inlineStr"/>
      <c r="I351" t="inlineStr">
        <is>
          <t>TN</t>
        </is>
      </c>
      <c r="J351" t="inlineStr"/>
      <c r="K351" t="inlineStr">
        <is>
          <t>20230802</t>
        </is>
      </c>
      <c r="L351" t="inlineStr">
        <is>
          <t>20251031</t>
        </is>
      </c>
    </row>
    <row r="352">
      <c r="A352" t="inlineStr">
        <is>
          <t>900004700</t>
        </is>
      </c>
      <c r="B352" t="inlineStr">
        <is>
          <t>DW68</t>
        </is>
      </c>
      <c r="C352" t="inlineStr">
        <is>
          <t>D247</t>
        </is>
      </c>
      <c r="D352" t="inlineStr">
        <is>
          <t>10000384</t>
        </is>
      </c>
      <c r="E352" t="inlineStr"/>
      <c r="F352" s="11" t="n">
        <v>170.97</v>
      </c>
      <c r="G352" t="inlineStr"/>
      <c r="I352" t="inlineStr">
        <is>
          <t>TN</t>
        </is>
      </c>
      <c r="J352" t="inlineStr"/>
      <c r="K352" t="inlineStr">
        <is>
          <t>20230802</t>
        </is>
      </c>
      <c r="L352" t="inlineStr">
        <is>
          <t>20251031</t>
        </is>
      </c>
    </row>
    <row r="353">
      <c r="A353" t="inlineStr">
        <is>
          <t>900004700</t>
        </is>
      </c>
      <c r="B353" t="inlineStr">
        <is>
          <t>DW68</t>
        </is>
      </c>
      <c r="C353" t="inlineStr">
        <is>
          <t>D247</t>
        </is>
      </c>
      <c r="D353" t="inlineStr">
        <is>
          <t>10000388</t>
        </is>
      </c>
      <c r="E353" t="inlineStr"/>
      <c r="F353" s="11" t="n">
        <v>149.57</v>
      </c>
      <c r="G353" t="inlineStr"/>
      <c r="I353" t="inlineStr">
        <is>
          <t>TN</t>
        </is>
      </c>
      <c r="J353" t="inlineStr"/>
      <c r="K353" t="inlineStr">
        <is>
          <t>20230802</t>
        </is>
      </c>
      <c r="L353" t="inlineStr">
        <is>
          <t>20251031</t>
        </is>
      </c>
    </row>
    <row r="354">
      <c r="A354" t="inlineStr">
        <is>
          <t>900004700</t>
        </is>
      </c>
      <c r="B354" t="inlineStr">
        <is>
          <t>DW68</t>
        </is>
      </c>
      <c r="C354" t="inlineStr">
        <is>
          <t>D247</t>
        </is>
      </c>
      <c r="D354" t="inlineStr">
        <is>
          <t>10004258</t>
        </is>
      </c>
      <c r="E354" t="inlineStr"/>
      <c r="F354" s="11" t="n">
        <v>233.82</v>
      </c>
      <c r="G354" t="inlineStr"/>
      <c r="I354" t="inlineStr">
        <is>
          <t>TN</t>
        </is>
      </c>
      <c r="J354" t="inlineStr"/>
      <c r="K354" t="inlineStr">
        <is>
          <t>20230802</t>
        </is>
      </c>
      <c r="L354" t="inlineStr">
        <is>
          <t>20251031</t>
        </is>
      </c>
    </row>
    <row r="355">
      <c r="A355" t="inlineStr">
        <is>
          <t>900004700</t>
        </is>
      </c>
      <c r="B355" t="inlineStr">
        <is>
          <t>DW68</t>
        </is>
      </c>
      <c r="C355" t="inlineStr">
        <is>
          <t>D251</t>
        </is>
      </c>
      <c r="D355" t="inlineStr">
        <is>
          <t>10000191</t>
        </is>
      </c>
      <c r="E355" t="inlineStr"/>
      <c r="F355" s="11" t="n">
        <v>149.14</v>
      </c>
      <c r="G355" t="inlineStr"/>
      <c r="I355" t="inlineStr">
        <is>
          <t>TN</t>
        </is>
      </c>
      <c r="J355" t="inlineStr"/>
      <c r="K355" t="inlineStr">
        <is>
          <t>20230802</t>
        </is>
      </c>
      <c r="L355" t="inlineStr">
        <is>
          <t>20251031</t>
        </is>
      </c>
    </row>
    <row r="356">
      <c r="A356" t="inlineStr">
        <is>
          <t>900004700</t>
        </is>
      </c>
      <c r="B356" t="inlineStr">
        <is>
          <t>DW68</t>
        </is>
      </c>
      <c r="C356" t="inlineStr">
        <is>
          <t>D251</t>
        </is>
      </c>
      <c r="D356" t="inlineStr">
        <is>
          <t>10000384</t>
        </is>
      </c>
      <c r="E356" t="inlineStr"/>
      <c r="F356" s="11" t="n">
        <v>170.97</v>
      </c>
      <c r="G356" t="inlineStr"/>
      <c r="I356" t="inlineStr">
        <is>
          <t>TN</t>
        </is>
      </c>
      <c r="J356" t="inlineStr"/>
      <c r="K356" t="inlineStr">
        <is>
          <t>20230802</t>
        </is>
      </c>
      <c r="L356" t="inlineStr">
        <is>
          <t>20251031</t>
        </is>
      </c>
    </row>
    <row r="357">
      <c r="A357" t="inlineStr">
        <is>
          <t>900004700</t>
        </is>
      </c>
      <c r="B357" t="inlineStr">
        <is>
          <t>DW68</t>
        </is>
      </c>
      <c r="C357" t="inlineStr">
        <is>
          <t>D251</t>
        </is>
      </c>
      <c r="D357" t="inlineStr">
        <is>
          <t>10000388</t>
        </is>
      </c>
      <c r="E357" t="inlineStr"/>
      <c r="F357" s="11" t="n">
        <v>149.57</v>
      </c>
      <c r="G357" t="inlineStr"/>
      <c r="I357" t="inlineStr">
        <is>
          <t>TN</t>
        </is>
      </c>
      <c r="J357" t="inlineStr"/>
      <c r="K357" t="inlineStr">
        <is>
          <t>20230802</t>
        </is>
      </c>
      <c r="L357" t="inlineStr">
        <is>
          <t>20251031</t>
        </is>
      </c>
    </row>
    <row r="358">
      <c r="A358" t="inlineStr">
        <is>
          <t>900004700</t>
        </is>
      </c>
      <c r="B358" t="inlineStr">
        <is>
          <t>DW68</t>
        </is>
      </c>
      <c r="C358" t="inlineStr">
        <is>
          <t>D251</t>
        </is>
      </c>
      <c r="D358" t="inlineStr">
        <is>
          <t>10004258</t>
        </is>
      </c>
      <c r="E358" t="inlineStr"/>
      <c r="F358" s="11" t="n">
        <v>233.82</v>
      </c>
      <c r="G358" t="inlineStr"/>
      <c r="I358" t="inlineStr">
        <is>
          <t>TN</t>
        </is>
      </c>
      <c r="J358" t="inlineStr"/>
      <c r="K358" t="inlineStr">
        <is>
          <t>20230802</t>
        </is>
      </c>
      <c r="L358" t="inlineStr">
        <is>
          <t>20251031</t>
        </is>
      </c>
    </row>
    <row r="359">
      <c r="A359" t="inlineStr">
        <is>
          <t>900004700</t>
        </is>
      </c>
      <c r="B359" t="inlineStr">
        <is>
          <t>DW68</t>
        </is>
      </c>
      <c r="C359" t="inlineStr">
        <is>
          <t>D264</t>
        </is>
      </c>
      <c r="D359" t="inlineStr">
        <is>
          <t>10000191</t>
        </is>
      </c>
      <c r="E359" t="inlineStr"/>
      <c r="F359" s="11" t="n">
        <v>149.14</v>
      </c>
      <c r="G359" t="inlineStr"/>
      <c r="I359" t="inlineStr">
        <is>
          <t>TN</t>
        </is>
      </c>
      <c r="J359" t="inlineStr"/>
      <c r="K359" t="inlineStr">
        <is>
          <t>20230802</t>
        </is>
      </c>
      <c r="L359" t="inlineStr">
        <is>
          <t>20251031</t>
        </is>
      </c>
    </row>
    <row r="360">
      <c r="A360" t="inlineStr">
        <is>
          <t>900004700</t>
        </is>
      </c>
      <c r="B360" t="inlineStr">
        <is>
          <t>DW68</t>
        </is>
      </c>
      <c r="C360" t="inlineStr">
        <is>
          <t>D264</t>
        </is>
      </c>
      <c r="D360" t="inlineStr">
        <is>
          <t>10000384</t>
        </is>
      </c>
      <c r="E360" t="inlineStr"/>
      <c r="F360" s="11" t="n">
        <v>170.97</v>
      </c>
      <c r="G360" t="inlineStr"/>
      <c r="I360" t="inlineStr">
        <is>
          <t>TN</t>
        </is>
      </c>
      <c r="J360" t="inlineStr"/>
      <c r="K360" t="inlineStr">
        <is>
          <t>20230802</t>
        </is>
      </c>
      <c r="L360" t="inlineStr">
        <is>
          <t>20251031</t>
        </is>
      </c>
    </row>
    <row r="361">
      <c r="A361" t="inlineStr">
        <is>
          <t>900004700</t>
        </is>
      </c>
      <c r="B361" t="inlineStr">
        <is>
          <t>DW68</t>
        </is>
      </c>
      <c r="C361" t="inlineStr">
        <is>
          <t>D264</t>
        </is>
      </c>
      <c r="D361" t="inlineStr">
        <is>
          <t>10000388</t>
        </is>
      </c>
      <c r="E361" t="inlineStr"/>
      <c r="F361" s="11" t="n">
        <v>149.57</v>
      </c>
      <c r="G361" t="inlineStr"/>
      <c r="I361" t="inlineStr">
        <is>
          <t>TN</t>
        </is>
      </c>
      <c r="J361" t="inlineStr"/>
      <c r="K361" t="inlineStr">
        <is>
          <t>20230802</t>
        </is>
      </c>
      <c r="L361" t="inlineStr">
        <is>
          <t>20251031</t>
        </is>
      </c>
    </row>
    <row r="362">
      <c r="A362" t="inlineStr">
        <is>
          <t>900004700</t>
        </is>
      </c>
      <c r="B362" t="inlineStr">
        <is>
          <t>DW68</t>
        </is>
      </c>
      <c r="C362" t="inlineStr">
        <is>
          <t>D264</t>
        </is>
      </c>
      <c r="D362" t="inlineStr">
        <is>
          <t>10004258</t>
        </is>
      </c>
      <c r="E362" t="inlineStr"/>
      <c r="F362" s="11" t="n">
        <v>233.82</v>
      </c>
      <c r="G362" t="inlineStr"/>
      <c r="I362" t="inlineStr">
        <is>
          <t>TN</t>
        </is>
      </c>
      <c r="J362" t="inlineStr"/>
      <c r="K362" t="inlineStr">
        <is>
          <t>20230802</t>
        </is>
      </c>
      <c r="L362" t="inlineStr">
        <is>
          <t>20251031</t>
        </is>
      </c>
    </row>
    <row r="363">
      <c r="A363" t="inlineStr">
        <is>
          <t>900004700</t>
        </is>
      </c>
      <c r="B363" t="inlineStr">
        <is>
          <t>DW68</t>
        </is>
      </c>
      <c r="C363" t="inlineStr">
        <is>
          <t>D267</t>
        </is>
      </c>
      <c r="D363" t="inlineStr">
        <is>
          <t>10000191</t>
        </is>
      </c>
      <c r="E363" t="inlineStr"/>
      <c r="F363" s="11" t="n">
        <v>149.14</v>
      </c>
      <c r="G363" t="inlineStr"/>
      <c r="I363" t="inlineStr">
        <is>
          <t>TN</t>
        </is>
      </c>
      <c r="J363" t="inlineStr"/>
      <c r="K363" t="inlineStr">
        <is>
          <t>20230802</t>
        </is>
      </c>
      <c r="L363" t="inlineStr">
        <is>
          <t>20251031</t>
        </is>
      </c>
    </row>
    <row r="364">
      <c r="A364" t="inlineStr">
        <is>
          <t>900004700</t>
        </is>
      </c>
      <c r="B364" t="inlineStr">
        <is>
          <t>DW68</t>
        </is>
      </c>
      <c r="C364" t="inlineStr">
        <is>
          <t>D267</t>
        </is>
      </c>
      <c r="D364" t="inlineStr">
        <is>
          <t>10000384</t>
        </is>
      </c>
      <c r="E364" t="inlineStr"/>
      <c r="F364" s="11" t="n">
        <v>170.97</v>
      </c>
      <c r="G364" t="inlineStr"/>
      <c r="I364" t="inlineStr">
        <is>
          <t>TN</t>
        </is>
      </c>
      <c r="J364" t="inlineStr"/>
      <c r="K364" t="inlineStr">
        <is>
          <t>20230802</t>
        </is>
      </c>
      <c r="L364" t="inlineStr">
        <is>
          <t>20251031</t>
        </is>
      </c>
    </row>
    <row r="365">
      <c r="A365" t="inlineStr">
        <is>
          <t>900004700</t>
        </is>
      </c>
      <c r="B365" t="inlineStr">
        <is>
          <t>DW68</t>
        </is>
      </c>
      <c r="C365" t="inlineStr">
        <is>
          <t>D267</t>
        </is>
      </c>
      <c r="D365" t="inlineStr">
        <is>
          <t>10000388</t>
        </is>
      </c>
      <c r="E365" t="inlineStr"/>
      <c r="F365" s="11" t="n">
        <v>149.57</v>
      </c>
      <c r="G365" t="inlineStr"/>
      <c r="I365" t="inlineStr">
        <is>
          <t>TN</t>
        </is>
      </c>
      <c r="J365" t="inlineStr"/>
      <c r="K365" t="inlineStr">
        <is>
          <t>20230802</t>
        </is>
      </c>
      <c r="L365" t="inlineStr">
        <is>
          <t>20251031</t>
        </is>
      </c>
    </row>
    <row r="366">
      <c r="A366" t="inlineStr">
        <is>
          <t>900004700</t>
        </is>
      </c>
      <c r="B366" t="inlineStr">
        <is>
          <t>DW68</t>
        </is>
      </c>
      <c r="C366" t="inlineStr">
        <is>
          <t>D267</t>
        </is>
      </c>
      <c r="D366" t="inlineStr">
        <is>
          <t>10004258</t>
        </is>
      </c>
      <c r="E366" t="inlineStr"/>
      <c r="F366" s="11" t="n">
        <v>233.82</v>
      </c>
      <c r="G366" t="inlineStr"/>
      <c r="I366" t="inlineStr">
        <is>
          <t>TN</t>
        </is>
      </c>
      <c r="J366" t="inlineStr"/>
      <c r="K366" t="inlineStr">
        <is>
          <t>20230802</t>
        </is>
      </c>
      <c r="L366" t="inlineStr">
        <is>
          <t>20251031</t>
        </is>
      </c>
    </row>
    <row r="367">
      <c r="A367" t="inlineStr">
        <is>
          <t>900004885</t>
        </is>
      </c>
      <c r="B367" t="inlineStr">
        <is>
          <t>DW68</t>
        </is>
      </c>
      <c r="C367" t="inlineStr">
        <is>
          <t>D042</t>
        </is>
      </c>
      <c r="D367" t="inlineStr">
        <is>
          <t>10000191</t>
        </is>
      </c>
      <c r="E367" t="inlineStr"/>
      <c r="F367" s="11" t="n">
        <v>92.2</v>
      </c>
      <c r="G367" t="inlineStr"/>
      <c r="I367" t="inlineStr">
        <is>
          <t>TN</t>
        </is>
      </c>
      <c r="J367" t="inlineStr"/>
      <c r="K367" t="inlineStr">
        <is>
          <t>20220516</t>
        </is>
      </c>
      <c r="L367" t="inlineStr">
        <is>
          <t>20251031</t>
        </is>
      </c>
    </row>
    <row r="368">
      <c r="A368" t="inlineStr">
        <is>
          <t>900004885</t>
        </is>
      </c>
      <c r="B368" t="inlineStr">
        <is>
          <t>DW68</t>
        </is>
      </c>
      <c r="C368" t="inlineStr">
        <is>
          <t>D042</t>
        </is>
      </c>
      <c r="D368" t="inlineStr">
        <is>
          <t>10000388</t>
        </is>
      </c>
      <c r="E368" t="inlineStr"/>
      <c r="F368" s="11" t="n">
        <v>93.19</v>
      </c>
      <c r="G368" t="inlineStr"/>
      <c r="I368" t="inlineStr">
        <is>
          <t>TN</t>
        </is>
      </c>
      <c r="J368" t="inlineStr"/>
      <c r="K368" t="inlineStr">
        <is>
          <t>20220516</t>
        </is>
      </c>
      <c r="L368" t="inlineStr">
        <is>
          <t>20251031</t>
        </is>
      </c>
    </row>
    <row r="369">
      <c r="A369" t="inlineStr">
        <is>
          <t>900004885</t>
        </is>
      </c>
      <c r="B369" t="inlineStr">
        <is>
          <t>DW68</t>
        </is>
      </c>
      <c r="C369" t="inlineStr">
        <is>
          <t>D175</t>
        </is>
      </c>
      <c r="D369" t="inlineStr">
        <is>
          <t>10000191</t>
        </is>
      </c>
      <c r="E369" t="inlineStr"/>
      <c r="F369" s="11" t="n">
        <v>101.13</v>
      </c>
      <c r="G369" t="inlineStr"/>
      <c r="I369" t="inlineStr">
        <is>
          <t>TN</t>
        </is>
      </c>
      <c r="J369" t="inlineStr"/>
      <c r="K369" t="inlineStr">
        <is>
          <t>20220516</t>
        </is>
      </c>
      <c r="L369" t="inlineStr">
        <is>
          <t>20251031</t>
        </is>
      </c>
    </row>
    <row r="370">
      <c r="A370" t="inlineStr">
        <is>
          <t>900004885</t>
        </is>
      </c>
      <c r="B370" t="inlineStr">
        <is>
          <t>DW68</t>
        </is>
      </c>
      <c r="C370" t="inlineStr">
        <is>
          <t>D175</t>
        </is>
      </c>
      <c r="D370" t="inlineStr">
        <is>
          <t>10000388</t>
        </is>
      </c>
      <c r="E370" t="inlineStr"/>
      <c r="F370" s="11" t="n">
        <v>102.21</v>
      </c>
      <c r="G370" t="inlineStr"/>
      <c r="I370" t="inlineStr">
        <is>
          <t>TN</t>
        </is>
      </c>
      <c r="J370" t="inlineStr"/>
      <c r="K370" t="inlineStr">
        <is>
          <t>20220516</t>
        </is>
      </c>
      <c r="L370" t="inlineStr">
        <is>
          <t>20251031</t>
        </is>
      </c>
    </row>
    <row r="371">
      <c r="A371" t="inlineStr">
        <is>
          <t>900004885</t>
        </is>
      </c>
      <c r="B371" t="inlineStr">
        <is>
          <t>DW68</t>
        </is>
      </c>
      <c r="C371" t="inlineStr">
        <is>
          <t>D209</t>
        </is>
      </c>
      <c r="D371" t="inlineStr">
        <is>
          <t>10000191</t>
        </is>
      </c>
      <c r="E371" t="inlineStr"/>
      <c r="F371" s="11" t="n">
        <v>92.2</v>
      </c>
      <c r="G371" t="inlineStr"/>
      <c r="I371" t="inlineStr">
        <is>
          <t>TN</t>
        </is>
      </c>
      <c r="J371" t="inlineStr"/>
      <c r="K371" t="inlineStr">
        <is>
          <t>20220516</t>
        </is>
      </c>
      <c r="L371" t="inlineStr">
        <is>
          <t>20251031</t>
        </is>
      </c>
    </row>
    <row r="372">
      <c r="A372" t="inlineStr">
        <is>
          <t>900004885</t>
        </is>
      </c>
      <c r="B372" t="inlineStr">
        <is>
          <t>DW68</t>
        </is>
      </c>
      <c r="C372" t="inlineStr">
        <is>
          <t>D209</t>
        </is>
      </c>
      <c r="D372" t="inlineStr">
        <is>
          <t>10000388</t>
        </is>
      </c>
      <c r="E372" t="inlineStr"/>
      <c r="F372" s="11" t="n">
        <v>93.19</v>
      </c>
      <c r="G372" t="inlineStr"/>
      <c r="I372" t="inlineStr">
        <is>
          <t>TN</t>
        </is>
      </c>
      <c r="J372" t="inlineStr"/>
      <c r="K372" t="inlineStr">
        <is>
          <t>20220516</t>
        </is>
      </c>
      <c r="L372" t="inlineStr">
        <is>
          <t>20251031</t>
        </is>
      </c>
    </row>
    <row r="373">
      <c r="A373" t="inlineStr">
        <is>
          <t>900004885</t>
        </is>
      </c>
      <c r="B373" t="inlineStr">
        <is>
          <t>DW68</t>
        </is>
      </c>
      <c r="C373" t="inlineStr">
        <is>
          <t>D211</t>
        </is>
      </c>
      <c r="D373" t="inlineStr">
        <is>
          <t>10000191</t>
        </is>
      </c>
      <c r="E373" t="inlineStr"/>
      <c r="F373" s="11" t="n">
        <v>92.2</v>
      </c>
      <c r="G373" t="inlineStr"/>
      <c r="I373" t="inlineStr">
        <is>
          <t>TN</t>
        </is>
      </c>
      <c r="J373" t="inlineStr"/>
      <c r="K373" t="inlineStr">
        <is>
          <t>20220516</t>
        </is>
      </c>
      <c r="L373" t="inlineStr">
        <is>
          <t>20251031</t>
        </is>
      </c>
    </row>
    <row r="374">
      <c r="A374" t="inlineStr">
        <is>
          <t>900004885</t>
        </is>
      </c>
      <c r="B374" t="inlineStr">
        <is>
          <t>DW68</t>
        </is>
      </c>
      <c r="C374" t="inlineStr">
        <is>
          <t>D211</t>
        </is>
      </c>
      <c r="D374" t="inlineStr">
        <is>
          <t>10000388</t>
        </is>
      </c>
      <c r="E374" t="inlineStr"/>
      <c r="F374" s="11" t="n">
        <v>93.19</v>
      </c>
      <c r="G374" t="inlineStr"/>
      <c r="I374" t="inlineStr">
        <is>
          <t>TN</t>
        </is>
      </c>
      <c r="J374" t="inlineStr"/>
      <c r="K374" t="inlineStr">
        <is>
          <t>20220516</t>
        </is>
      </c>
      <c r="L374" t="inlineStr">
        <is>
          <t>20251031</t>
        </is>
      </c>
    </row>
    <row r="375">
      <c r="A375" t="inlineStr">
        <is>
          <t>900004885</t>
        </is>
      </c>
      <c r="B375" t="inlineStr">
        <is>
          <t>DW68</t>
        </is>
      </c>
      <c r="C375" t="inlineStr">
        <is>
          <t>D214</t>
        </is>
      </c>
      <c r="D375" t="inlineStr">
        <is>
          <t>10000191</t>
        </is>
      </c>
      <c r="E375" t="inlineStr"/>
      <c r="F375" s="11" t="n">
        <v>92.2</v>
      </c>
      <c r="G375" t="inlineStr"/>
      <c r="I375" t="inlineStr">
        <is>
          <t>TN</t>
        </is>
      </c>
      <c r="J375" t="inlineStr"/>
      <c r="K375" t="inlineStr">
        <is>
          <t>20220516</t>
        </is>
      </c>
      <c r="L375" t="inlineStr">
        <is>
          <t>20251031</t>
        </is>
      </c>
    </row>
    <row r="376">
      <c r="A376" t="inlineStr">
        <is>
          <t>900004885</t>
        </is>
      </c>
      <c r="B376" t="inlineStr">
        <is>
          <t>DW68</t>
        </is>
      </c>
      <c r="C376" t="inlineStr">
        <is>
          <t>D214</t>
        </is>
      </c>
      <c r="D376" t="inlineStr">
        <is>
          <t>10000388</t>
        </is>
      </c>
      <c r="E376" t="inlineStr"/>
      <c r="F376" s="11" t="n">
        <v>93.19</v>
      </c>
      <c r="G376" t="inlineStr"/>
      <c r="I376" t="inlineStr">
        <is>
          <t>TN</t>
        </is>
      </c>
      <c r="J376" t="inlineStr"/>
      <c r="K376" t="inlineStr">
        <is>
          <t>20220516</t>
        </is>
      </c>
      <c r="L376" t="inlineStr">
        <is>
          <t>20251031</t>
        </is>
      </c>
    </row>
    <row r="377">
      <c r="A377" t="inlineStr">
        <is>
          <t>900004885</t>
        </is>
      </c>
      <c r="B377" t="inlineStr">
        <is>
          <t>DW68</t>
        </is>
      </c>
      <c r="C377" t="inlineStr">
        <is>
          <t>D220</t>
        </is>
      </c>
      <c r="D377" t="inlineStr">
        <is>
          <t>10000191</t>
        </is>
      </c>
      <c r="E377" t="inlineStr"/>
      <c r="F377" s="11" t="n">
        <v>85.11</v>
      </c>
      <c r="G377" t="inlineStr"/>
      <c r="I377" t="inlineStr">
        <is>
          <t>TN</t>
        </is>
      </c>
      <c r="J377" t="inlineStr"/>
      <c r="K377" t="inlineStr">
        <is>
          <t>20220516</t>
        </is>
      </c>
      <c r="L377" t="inlineStr">
        <is>
          <t>20251031</t>
        </is>
      </c>
    </row>
    <row r="378">
      <c r="A378" t="inlineStr">
        <is>
          <t>900004885</t>
        </is>
      </c>
      <c r="B378" t="inlineStr">
        <is>
          <t>DW68</t>
        </is>
      </c>
      <c r="C378" t="inlineStr">
        <is>
          <t>D220</t>
        </is>
      </c>
      <c r="D378" t="inlineStr">
        <is>
          <t>10000388</t>
        </is>
      </c>
      <c r="E378" t="inlineStr"/>
      <c r="F378" s="11" t="n">
        <v>86.02</v>
      </c>
      <c r="G378" t="inlineStr"/>
      <c r="I378" t="inlineStr">
        <is>
          <t>TN</t>
        </is>
      </c>
      <c r="J378" t="inlineStr"/>
      <c r="K378" t="inlineStr">
        <is>
          <t>20220516</t>
        </is>
      </c>
      <c r="L378" t="inlineStr">
        <is>
          <t>20251031</t>
        </is>
      </c>
    </row>
    <row r="379">
      <c r="A379" t="inlineStr">
        <is>
          <t>900004885</t>
        </is>
      </c>
      <c r="B379" t="inlineStr">
        <is>
          <t>DW68</t>
        </is>
      </c>
      <c r="C379" t="inlineStr">
        <is>
          <t>D228</t>
        </is>
      </c>
      <c r="D379" t="inlineStr">
        <is>
          <t>10000191</t>
        </is>
      </c>
      <c r="E379" t="inlineStr"/>
      <c r="F379" s="11" t="n">
        <v>92.2</v>
      </c>
      <c r="G379" t="inlineStr"/>
      <c r="I379" t="inlineStr">
        <is>
          <t>TN</t>
        </is>
      </c>
      <c r="J379" t="inlineStr"/>
      <c r="K379" t="inlineStr">
        <is>
          <t>20220516</t>
        </is>
      </c>
      <c r="L379" t="inlineStr">
        <is>
          <t>20251031</t>
        </is>
      </c>
    </row>
    <row r="380">
      <c r="A380" t="inlineStr">
        <is>
          <t>900004885</t>
        </is>
      </c>
      <c r="B380" t="inlineStr">
        <is>
          <t>DW68</t>
        </is>
      </c>
      <c r="C380" t="inlineStr">
        <is>
          <t>D228</t>
        </is>
      </c>
      <c r="D380" t="inlineStr">
        <is>
          <t>10000388</t>
        </is>
      </c>
      <c r="E380" t="inlineStr"/>
      <c r="F380" s="11" t="n">
        <v>93.19</v>
      </c>
      <c r="G380" t="inlineStr"/>
      <c r="I380" t="inlineStr">
        <is>
          <t>TN</t>
        </is>
      </c>
      <c r="J380" t="inlineStr"/>
      <c r="K380" t="inlineStr">
        <is>
          <t>20220516</t>
        </is>
      </c>
      <c r="L380" t="inlineStr">
        <is>
          <t>20251031</t>
        </is>
      </c>
    </row>
    <row r="381">
      <c r="A381" t="inlineStr">
        <is>
          <t>900004885</t>
        </is>
      </c>
      <c r="B381" t="inlineStr">
        <is>
          <t>DW68</t>
        </is>
      </c>
      <c r="C381" t="inlineStr">
        <is>
          <t>D242</t>
        </is>
      </c>
      <c r="D381" t="inlineStr">
        <is>
          <t>10000191</t>
        </is>
      </c>
      <c r="E381" t="inlineStr"/>
      <c r="F381" s="11" t="n">
        <v>92.2</v>
      </c>
      <c r="G381" t="inlineStr"/>
      <c r="I381" t="inlineStr">
        <is>
          <t>TN</t>
        </is>
      </c>
      <c r="J381" t="inlineStr"/>
      <c r="K381" t="inlineStr">
        <is>
          <t>20220516</t>
        </is>
      </c>
      <c r="L381" t="inlineStr">
        <is>
          <t>20251031</t>
        </is>
      </c>
    </row>
    <row r="382">
      <c r="A382" t="inlineStr">
        <is>
          <t>900004885</t>
        </is>
      </c>
      <c r="B382" t="inlineStr">
        <is>
          <t>DW68</t>
        </is>
      </c>
      <c r="C382" t="inlineStr">
        <is>
          <t>D242</t>
        </is>
      </c>
      <c r="D382" t="inlineStr">
        <is>
          <t>10000388</t>
        </is>
      </c>
      <c r="E382" t="inlineStr"/>
      <c r="F382" s="11" t="n">
        <v>93.19</v>
      </c>
      <c r="G382" t="inlineStr"/>
      <c r="I382" t="inlineStr">
        <is>
          <t>TN</t>
        </is>
      </c>
      <c r="J382" t="inlineStr"/>
      <c r="K382" t="inlineStr">
        <is>
          <t>20220516</t>
        </is>
      </c>
      <c r="L382" t="inlineStr">
        <is>
          <t>20251031</t>
        </is>
      </c>
    </row>
    <row r="383">
      <c r="A383" t="inlineStr">
        <is>
          <t>900004885</t>
        </is>
      </c>
      <c r="B383" t="inlineStr">
        <is>
          <t>DW68</t>
        </is>
      </c>
      <c r="C383" t="inlineStr">
        <is>
          <t>D247</t>
        </is>
      </c>
      <c r="D383" t="inlineStr">
        <is>
          <t>10000191</t>
        </is>
      </c>
      <c r="E383" t="inlineStr"/>
      <c r="F383" s="11" t="n">
        <v>74.47</v>
      </c>
      <c r="G383" t="inlineStr"/>
      <c r="I383" t="inlineStr">
        <is>
          <t>TN</t>
        </is>
      </c>
      <c r="J383" t="inlineStr"/>
      <c r="K383" t="inlineStr">
        <is>
          <t>20220516</t>
        </is>
      </c>
      <c r="L383" t="inlineStr">
        <is>
          <t>20251031</t>
        </is>
      </c>
    </row>
    <row r="384">
      <c r="A384" t="inlineStr">
        <is>
          <t>900004885</t>
        </is>
      </c>
      <c r="B384" t="inlineStr">
        <is>
          <t>DW68</t>
        </is>
      </c>
      <c r="C384" t="inlineStr">
        <is>
          <t>D247</t>
        </is>
      </c>
      <c r="D384" t="inlineStr">
        <is>
          <t>10000388</t>
        </is>
      </c>
      <c r="E384" t="inlineStr"/>
      <c r="F384" s="11" t="n">
        <v>75.27</v>
      </c>
      <c r="G384" t="inlineStr"/>
      <c r="I384" t="inlineStr">
        <is>
          <t>TN</t>
        </is>
      </c>
      <c r="J384" t="inlineStr"/>
      <c r="K384" t="inlineStr">
        <is>
          <t>20220516</t>
        </is>
      </c>
      <c r="L384" t="inlineStr">
        <is>
          <t>20251031</t>
        </is>
      </c>
    </row>
    <row r="385">
      <c r="A385" t="inlineStr">
        <is>
          <t>900004885</t>
        </is>
      </c>
      <c r="B385" t="inlineStr">
        <is>
          <t>DW68</t>
        </is>
      </c>
      <c r="C385" t="inlineStr">
        <is>
          <t>D251</t>
        </is>
      </c>
      <c r="D385" t="inlineStr">
        <is>
          <t>10000191</t>
        </is>
      </c>
      <c r="E385" t="inlineStr"/>
      <c r="F385" s="11" t="n">
        <v>77.3</v>
      </c>
      <c r="G385" t="inlineStr"/>
      <c r="I385" t="inlineStr">
        <is>
          <t>TN</t>
        </is>
      </c>
      <c r="J385" t="inlineStr"/>
      <c r="K385" t="inlineStr">
        <is>
          <t>20220516</t>
        </is>
      </c>
      <c r="L385" t="inlineStr">
        <is>
          <t>20251031</t>
        </is>
      </c>
    </row>
    <row r="386">
      <c r="A386" t="inlineStr">
        <is>
          <t>900004885</t>
        </is>
      </c>
      <c r="B386" t="inlineStr">
        <is>
          <t>DW68</t>
        </is>
      </c>
      <c r="C386" t="inlineStr">
        <is>
          <t>D251</t>
        </is>
      </c>
      <c r="D386" t="inlineStr">
        <is>
          <t>10000388</t>
        </is>
      </c>
      <c r="E386" t="inlineStr"/>
      <c r="F386" s="11" t="n">
        <v>78.14</v>
      </c>
      <c r="G386" t="inlineStr"/>
      <c r="I386" t="inlineStr">
        <is>
          <t>TN</t>
        </is>
      </c>
      <c r="J386" t="inlineStr"/>
      <c r="K386" t="inlineStr">
        <is>
          <t>20220516</t>
        </is>
      </c>
      <c r="L386" t="inlineStr">
        <is>
          <t>20251031</t>
        </is>
      </c>
    </row>
    <row r="387">
      <c r="A387" t="inlineStr">
        <is>
          <t>900004885</t>
        </is>
      </c>
      <c r="B387" t="inlineStr">
        <is>
          <t>DW68</t>
        </is>
      </c>
      <c r="C387" t="inlineStr">
        <is>
          <t>D264</t>
        </is>
      </c>
      <c r="D387" t="inlineStr">
        <is>
          <t>10000191</t>
        </is>
      </c>
      <c r="E387" t="inlineStr"/>
      <c r="F387" s="11" t="n">
        <v>92.2</v>
      </c>
      <c r="G387" t="inlineStr"/>
      <c r="I387" t="inlineStr">
        <is>
          <t>TN</t>
        </is>
      </c>
      <c r="J387" t="inlineStr"/>
      <c r="K387" t="inlineStr">
        <is>
          <t>20220516</t>
        </is>
      </c>
      <c r="L387" t="inlineStr">
        <is>
          <t>20251031</t>
        </is>
      </c>
    </row>
    <row r="388">
      <c r="A388" t="inlineStr">
        <is>
          <t>900004885</t>
        </is>
      </c>
      <c r="B388" t="inlineStr">
        <is>
          <t>DW68</t>
        </is>
      </c>
      <c r="C388" t="inlineStr">
        <is>
          <t>D264</t>
        </is>
      </c>
      <c r="D388" t="inlineStr">
        <is>
          <t>10000388</t>
        </is>
      </c>
      <c r="E388" t="inlineStr"/>
      <c r="F388" s="11" t="n">
        <v>93.19</v>
      </c>
      <c r="G388" t="inlineStr"/>
      <c r="I388" t="inlineStr">
        <is>
          <t>TN</t>
        </is>
      </c>
      <c r="J388" t="inlineStr"/>
      <c r="K388" t="inlineStr">
        <is>
          <t>20220516</t>
        </is>
      </c>
      <c r="L388" t="inlineStr">
        <is>
          <t>20251031</t>
        </is>
      </c>
    </row>
    <row r="389">
      <c r="A389" t="inlineStr">
        <is>
          <t>900004885</t>
        </is>
      </c>
      <c r="B389" t="inlineStr">
        <is>
          <t>DW68</t>
        </is>
      </c>
      <c r="C389" t="inlineStr">
        <is>
          <t>D267</t>
        </is>
      </c>
      <c r="D389" t="inlineStr">
        <is>
          <t>10000191</t>
        </is>
      </c>
      <c r="E389" t="inlineStr"/>
      <c r="F389" s="11" t="n">
        <v>92.2</v>
      </c>
      <c r="G389" t="inlineStr"/>
      <c r="I389" t="inlineStr">
        <is>
          <t>TN</t>
        </is>
      </c>
      <c r="J389" t="inlineStr"/>
      <c r="K389" t="inlineStr">
        <is>
          <t>20220516</t>
        </is>
      </c>
      <c r="L389" t="inlineStr">
        <is>
          <t>20251031</t>
        </is>
      </c>
    </row>
    <row r="390">
      <c r="A390" t="inlineStr">
        <is>
          <t>900004885</t>
        </is>
      </c>
      <c r="B390" t="inlineStr">
        <is>
          <t>DW68</t>
        </is>
      </c>
      <c r="C390" t="inlineStr">
        <is>
          <t>D267</t>
        </is>
      </c>
      <c r="D390" t="inlineStr">
        <is>
          <t>10000388</t>
        </is>
      </c>
      <c r="E390" t="inlineStr"/>
      <c r="F390" s="11" t="n">
        <v>93.19</v>
      </c>
      <c r="G390" t="inlineStr"/>
      <c r="I390" t="inlineStr">
        <is>
          <t>TN</t>
        </is>
      </c>
      <c r="J390" t="inlineStr"/>
      <c r="K390" t="inlineStr">
        <is>
          <t>20220516</t>
        </is>
      </c>
      <c r="L390" t="inlineStr">
        <is>
          <t>20251031</t>
        </is>
      </c>
    </row>
    <row r="391">
      <c r="A391" t="inlineStr">
        <is>
          <t>900004995</t>
        </is>
      </c>
      <c r="B391" t="inlineStr">
        <is>
          <t>DW68</t>
        </is>
      </c>
      <c r="C391" t="inlineStr">
        <is>
          <t>D042</t>
        </is>
      </c>
      <c r="D391" t="inlineStr">
        <is>
          <t>10018375</t>
        </is>
      </c>
      <c r="E391" t="inlineStr"/>
      <c r="F391" s="11" t="n">
        <v>85.68000000000001</v>
      </c>
      <c r="G391" t="inlineStr"/>
      <c r="I391" t="inlineStr">
        <is>
          <t>TN</t>
        </is>
      </c>
      <c r="J391" t="inlineStr"/>
      <c r="K391" t="inlineStr">
        <is>
          <t>20260415</t>
        </is>
      </c>
      <c r="L391" t="inlineStr">
        <is>
          <t>99991231</t>
        </is>
      </c>
    </row>
    <row r="392">
      <c r="A392" t="inlineStr">
        <is>
          <t>900004995</t>
        </is>
      </c>
      <c r="B392" t="inlineStr">
        <is>
          <t>DW68</t>
        </is>
      </c>
      <c r="C392" t="inlineStr">
        <is>
          <t>D209</t>
        </is>
      </c>
      <c r="D392" t="inlineStr">
        <is>
          <t>10000200</t>
        </is>
      </c>
      <c r="E392" t="inlineStr"/>
      <c r="F392" s="11" t="n">
        <v>70.76000000000001</v>
      </c>
      <c r="G392" t="inlineStr"/>
      <c r="I392" t="inlineStr">
        <is>
          <t>TN</t>
        </is>
      </c>
      <c r="J392" t="inlineStr"/>
      <c r="K392" t="inlineStr">
        <is>
          <t>20230203</t>
        </is>
      </c>
      <c r="L392" t="inlineStr">
        <is>
          <t>20240201</t>
        </is>
      </c>
    </row>
    <row r="393">
      <c r="A393" t="inlineStr">
        <is>
          <t>900004995</t>
        </is>
      </c>
      <c r="B393" t="inlineStr">
        <is>
          <t>DW68</t>
        </is>
      </c>
      <c r="C393" t="inlineStr">
        <is>
          <t>D209</t>
        </is>
      </c>
      <c r="D393" t="inlineStr">
        <is>
          <t>10018375</t>
        </is>
      </c>
      <c r="E393" t="inlineStr"/>
      <c r="F393" s="11" t="n">
        <v>85.68000000000001</v>
      </c>
      <c r="G393" t="inlineStr"/>
      <c r="I393" t="inlineStr">
        <is>
          <t>TN</t>
        </is>
      </c>
      <c r="J393" t="inlineStr"/>
      <c r="K393" t="inlineStr">
        <is>
          <t>20260415</t>
        </is>
      </c>
      <c r="L393" t="inlineStr">
        <is>
          <t>99991231</t>
        </is>
      </c>
    </row>
    <row r="394">
      <c r="A394" t="inlineStr">
        <is>
          <t>900004995</t>
        </is>
      </c>
      <c r="B394" t="inlineStr">
        <is>
          <t>DW68</t>
        </is>
      </c>
      <c r="C394" t="inlineStr">
        <is>
          <t>D211</t>
        </is>
      </c>
      <c r="D394" t="inlineStr">
        <is>
          <t>10000200</t>
        </is>
      </c>
      <c r="E394" t="inlineStr"/>
      <c r="F394" s="11" t="n">
        <v>69.48999999999999</v>
      </c>
      <c r="G394" t="inlineStr"/>
      <c r="I394" t="inlineStr">
        <is>
          <t>TN</t>
        </is>
      </c>
      <c r="J394" t="inlineStr"/>
      <c r="K394" t="inlineStr">
        <is>
          <t>20230203</t>
        </is>
      </c>
      <c r="L394" t="inlineStr">
        <is>
          <t>20240201</t>
        </is>
      </c>
    </row>
    <row r="395">
      <c r="A395" t="inlineStr">
        <is>
          <t>900004995</t>
        </is>
      </c>
      <c r="B395" t="inlineStr">
        <is>
          <t>DW68</t>
        </is>
      </c>
      <c r="C395" t="inlineStr">
        <is>
          <t>D211</t>
        </is>
      </c>
      <c r="D395" t="inlineStr">
        <is>
          <t>10018375</t>
        </is>
      </c>
      <c r="E395" t="inlineStr"/>
      <c r="F395" s="11" t="n">
        <v>85.68000000000001</v>
      </c>
      <c r="G395" t="inlineStr"/>
      <c r="I395" t="inlineStr">
        <is>
          <t>TN</t>
        </is>
      </c>
      <c r="J395" t="inlineStr"/>
      <c r="K395" t="inlineStr">
        <is>
          <t>20260415</t>
        </is>
      </c>
      <c r="L395" t="inlineStr">
        <is>
          <t>99991231</t>
        </is>
      </c>
    </row>
    <row r="396">
      <c r="A396" t="inlineStr">
        <is>
          <t>900004995</t>
        </is>
      </c>
      <c r="B396" t="inlineStr">
        <is>
          <t>DW68</t>
        </is>
      </c>
      <c r="C396" t="inlineStr">
        <is>
          <t>D213</t>
        </is>
      </c>
      <c r="D396" t="inlineStr">
        <is>
          <t>10018375</t>
        </is>
      </c>
      <c r="E396" t="inlineStr"/>
      <c r="F396" s="11" t="n">
        <v>85.68000000000001</v>
      </c>
      <c r="G396" t="inlineStr"/>
      <c r="I396" t="inlineStr">
        <is>
          <t>TN</t>
        </is>
      </c>
      <c r="J396" t="inlineStr"/>
      <c r="K396" t="inlineStr">
        <is>
          <t>20260415</t>
        </is>
      </c>
      <c r="L396" t="inlineStr">
        <is>
          <t>99991231</t>
        </is>
      </c>
    </row>
    <row r="397">
      <c r="A397" t="inlineStr">
        <is>
          <t>900004995</t>
        </is>
      </c>
      <c r="B397" t="inlineStr">
        <is>
          <t>DW68</t>
        </is>
      </c>
      <c r="C397" t="inlineStr">
        <is>
          <t>D214</t>
        </is>
      </c>
      <c r="D397" t="inlineStr">
        <is>
          <t>10018375</t>
        </is>
      </c>
      <c r="E397" t="inlineStr"/>
      <c r="F397" s="11" t="n">
        <v>85.68000000000001</v>
      </c>
      <c r="G397" t="inlineStr"/>
      <c r="I397" t="inlineStr">
        <is>
          <t>TN</t>
        </is>
      </c>
      <c r="J397" t="inlineStr"/>
      <c r="K397" t="inlineStr">
        <is>
          <t>20260415</t>
        </is>
      </c>
      <c r="L397" t="inlineStr">
        <is>
          <t>99991231</t>
        </is>
      </c>
    </row>
    <row r="398">
      <c r="A398" t="inlineStr">
        <is>
          <t>900004995</t>
        </is>
      </c>
      <c r="B398" t="inlineStr">
        <is>
          <t>DW68</t>
        </is>
      </c>
      <c r="C398" t="inlineStr">
        <is>
          <t>D220</t>
        </is>
      </c>
      <c r="D398" t="inlineStr">
        <is>
          <t>10018375</t>
        </is>
      </c>
      <c r="E398" t="inlineStr"/>
      <c r="F398" s="11" t="n">
        <v>85.68000000000001</v>
      </c>
      <c r="G398" t="inlineStr"/>
      <c r="I398" t="inlineStr">
        <is>
          <t>TN</t>
        </is>
      </c>
      <c r="J398" t="inlineStr"/>
      <c r="K398" t="inlineStr">
        <is>
          <t>20260415</t>
        </is>
      </c>
      <c r="L398" t="inlineStr">
        <is>
          <t>99991231</t>
        </is>
      </c>
    </row>
    <row r="399">
      <c r="A399" t="inlineStr">
        <is>
          <t>900004995</t>
        </is>
      </c>
      <c r="B399" t="inlineStr">
        <is>
          <t>DW68</t>
        </is>
      </c>
      <c r="C399" t="inlineStr">
        <is>
          <t>D227</t>
        </is>
      </c>
      <c r="D399" t="inlineStr">
        <is>
          <t>10018375</t>
        </is>
      </c>
      <c r="E399" t="inlineStr"/>
      <c r="F399" s="11" t="n">
        <v>71.94</v>
      </c>
      <c r="G399" t="inlineStr"/>
      <c r="I399" t="inlineStr">
        <is>
          <t>TN</t>
        </is>
      </c>
      <c r="J399" t="inlineStr"/>
      <c r="K399" t="inlineStr">
        <is>
          <t>20250414</t>
        </is>
      </c>
      <c r="L399" t="inlineStr">
        <is>
          <t>99991231</t>
        </is>
      </c>
    </row>
    <row r="400">
      <c r="A400" t="inlineStr">
        <is>
          <t>900004995</t>
        </is>
      </c>
      <c r="B400" t="inlineStr">
        <is>
          <t>DW68</t>
        </is>
      </c>
      <c r="C400" t="inlineStr">
        <is>
          <t>D228</t>
        </is>
      </c>
      <c r="D400" t="inlineStr">
        <is>
          <t>10018375</t>
        </is>
      </c>
      <c r="E400" t="inlineStr"/>
      <c r="F400" s="11" t="n">
        <v>85.68000000000001</v>
      </c>
      <c r="G400" t="inlineStr"/>
      <c r="I400" t="inlineStr">
        <is>
          <t>TN</t>
        </is>
      </c>
      <c r="J400" t="inlineStr"/>
      <c r="K400" t="inlineStr">
        <is>
          <t>20260415</t>
        </is>
      </c>
      <c r="L400" t="inlineStr">
        <is>
          <t>99991231</t>
        </is>
      </c>
    </row>
    <row r="401">
      <c r="A401" t="inlineStr">
        <is>
          <t>900004995</t>
        </is>
      </c>
      <c r="B401" t="inlineStr">
        <is>
          <t>DW68</t>
        </is>
      </c>
      <c r="C401" t="inlineStr">
        <is>
          <t>D242</t>
        </is>
      </c>
      <c r="D401" t="inlineStr">
        <is>
          <t>10000200</t>
        </is>
      </c>
      <c r="E401" t="inlineStr"/>
      <c r="F401" s="11" t="n">
        <v>70.76000000000001</v>
      </c>
      <c r="G401" t="inlineStr"/>
      <c r="I401" t="inlineStr">
        <is>
          <t>TN</t>
        </is>
      </c>
      <c r="J401" t="inlineStr"/>
      <c r="K401" t="inlineStr">
        <is>
          <t>20230203</t>
        </is>
      </c>
      <c r="L401" t="inlineStr">
        <is>
          <t>20240201</t>
        </is>
      </c>
    </row>
    <row r="402">
      <c r="A402" t="inlineStr">
        <is>
          <t>900004995</t>
        </is>
      </c>
      <c r="B402" t="inlineStr">
        <is>
          <t>DW68</t>
        </is>
      </c>
      <c r="C402" t="inlineStr">
        <is>
          <t>D242</t>
        </is>
      </c>
      <c r="D402" t="inlineStr">
        <is>
          <t>10018375</t>
        </is>
      </c>
      <c r="E402" t="inlineStr"/>
      <c r="F402" s="11" t="n">
        <v>85.68000000000001</v>
      </c>
      <c r="G402" t="inlineStr"/>
      <c r="I402" t="inlineStr">
        <is>
          <t>TN</t>
        </is>
      </c>
      <c r="J402" t="inlineStr"/>
      <c r="K402" t="inlineStr">
        <is>
          <t>20260415</t>
        </is>
      </c>
      <c r="L402" t="inlineStr">
        <is>
          <t>99991231</t>
        </is>
      </c>
    </row>
    <row r="403">
      <c r="A403" t="inlineStr">
        <is>
          <t>900004995</t>
        </is>
      </c>
      <c r="B403" t="inlineStr">
        <is>
          <t>DW68</t>
        </is>
      </c>
      <c r="C403" t="inlineStr">
        <is>
          <t>D247</t>
        </is>
      </c>
      <c r="D403" t="inlineStr">
        <is>
          <t>10018375</t>
        </is>
      </c>
      <c r="E403" t="inlineStr"/>
      <c r="F403" s="11" t="n">
        <v>85.68000000000001</v>
      </c>
      <c r="G403" t="inlineStr"/>
      <c r="I403" t="inlineStr">
        <is>
          <t>TN</t>
        </is>
      </c>
      <c r="J403" t="inlineStr"/>
      <c r="K403" t="inlineStr">
        <is>
          <t>20260415</t>
        </is>
      </c>
      <c r="L403" t="inlineStr">
        <is>
          <t>99991231</t>
        </is>
      </c>
    </row>
    <row r="404">
      <c r="A404" t="inlineStr">
        <is>
          <t>900004995</t>
        </is>
      </c>
      <c r="B404" t="inlineStr">
        <is>
          <t>DW68</t>
        </is>
      </c>
      <c r="C404" t="inlineStr">
        <is>
          <t>D251</t>
        </is>
      </c>
      <c r="D404" t="inlineStr">
        <is>
          <t>10018375</t>
        </is>
      </c>
      <c r="E404" t="inlineStr"/>
      <c r="F404" s="11" t="n">
        <v>85.68000000000001</v>
      </c>
      <c r="G404" t="inlineStr"/>
      <c r="I404" t="inlineStr">
        <is>
          <t>TN</t>
        </is>
      </c>
      <c r="J404" t="inlineStr"/>
      <c r="K404" t="inlineStr">
        <is>
          <t>20260415</t>
        </is>
      </c>
      <c r="L404" t="inlineStr">
        <is>
          <t>99991231</t>
        </is>
      </c>
    </row>
    <row r="405">
      <c r="A405" t="inlineStr">
        <is>
          <t>900004995</t>
        </is>
      </c>
      <c r="B405" t="inlineStr">
        <is>
          <t>DW68</t>
        </is>
      </c>
      <c r="C405" t="inlineStr">
        <is>
          <t>D264</t>
        </is>
      </c>
      <c r="D405" t="inlineStr">
        <is>
          <t>10000200</t>
        </is>
      </c>
      <c r="E405" t="inlineStr"/>
      <c r="F405" s="11" t="n">
        <v>69.92</v>
      </c>
      <c r="G405" t="inlineStr"/>
      <c r="I405" t="inlineStr">
        <is>
          <t>TN</t>
        </is>
      </c>
      <c r="J405" t="inlineStr"/>
      <c r="K405" t="inlineStr">
        <is>
          <t>20230203</t>
        </is>
      </c>
      <c r="L405" t="inlineStr">
        <is>
          <t>20240201</t>
        </is>
      </c>
    </row>
    <row r="406">
      <c r="A406" t="inlineStr">
        <is>
          <t>900004995</t>
        </is>
      </c>
      <c r="B406" t="inlineStr">
        <is>
          <t>DW68</t>
        </is>
      </c>
      <c r="C406" t="inlineStr">
        <is>
          <t>D264</t>
        </is>
      </c>
      <c r="D406" t="inlineStr">
        <is>
          <t>10018375</t>
        </is>
      </c>
      <c r="E406" t="inlineStr"/>
      <c r="F406" s="11" t="n">
        <v>85.68000000000001</v>
      </c>
      <c r="G406" t="inlineStr"/>
      <c r="I406" t="inlineStr">
        <is>
          <t>TN</t>
        </is>
      </c>
      <c r="J406" t="inlineStr"/>
      <c r="K406" t="inlineStr">
        <is>
          <t>20260415</t>
        </is>
      </c>
      <c r="L406" t="inlineStr">
        <is>
          <t>99991231</t>
        </is>
      </c>
    </row>
    <row r="407">
      <c r="A407" t="inlineStr">
        <is>
          <t>900004995</t>
        </is>
      </c>
      <c r="B407" t="inlineStr">
        <is>
          <t>DW68</t>
        </is>
      </c>
      <c r="C407" t="inlineStr">
        <is>
          <t>D267</t>
        </is>
      </c>
      <c r="D407" t="inlineStr">
        <is>
          <t>10018375</t>
        </is>
      </c>
      <c r="E407" t="inlineStr"/>
      <c r="F407" s="11" t="n">
        <v>85.68000000000001</v>
      </c>
      <c r="G407" t="inlineStr"/>
      <c r="I407" t="inlineStr">
        <is>
          <t>TN</t>
        </is>
      </c>
      <c r="J407" t="inlineStr"/>
      <c r="K407" t="inlineStr">
        <is>
          <t>20260415</t>
        </is>
      </c>
      <c r="L407" t="inlineStr">
        <is>
          <t>99991231</t>
        </is>
      </c>
    </row>
    <row r="408">
      <c r="A408" t="inlineStr">
        <is>
          <t>900004995</t>
        </is>
      </c>
      <c r="B408" t="inlineStr">
        <is>
          <t>DW68</t>
        </is>
      </c>
      <c r="C408" t="inlineStr">
        <is>
          <t>D268</t>
        </is>
      </c>
      <c r="D408" t="inlineStr">
        <is>
          <t>10018375</t>
        </is>
      </c>
      <c r="E408" t="inlineStr"/>
      <c r="F408" s="11" t="n">
        <v>85.68000000000001</v>
      </c>
      <c r="G408" t="inlineStr"/>
      <c r="I408" t="inlineStr">
        <is>
          <t>TN</t>
        </is>
      </c>
      <c r="J408" t="inlineStr"/>
      <c r="K408" t="inlineStr">
        <is>
          <t>20260415</t>
        </is>
      </c>
      <c r="L408" t="inlineStr">
        <is>
          <t>99991231</t>
        </is>
      </c>
    </row>
    <row r="409">
      <c r="A409" t="inlineStr">
        <is>
          <t>900004995</t>
        </is>
      </c>
      <c r="B409" t="inlineStr">
        <is>
          <t>DW68</t>
        </is>
      </c>
      <c r="C409" t="inlineStr">
        <is>
          <t>D365</t>
        </is>
      </c>
      <c r="D409" t="inlineStr">
        <is>
          <t>10000200</t>
        </is>
      </c>
      <c r="E409" t="inlineStr"/>
      <c r="F409" s="11" t="n">
        <v>60.53</v>
      </c>
      <c r="G409" t="inlineStr"/>
      <c r="I409" t="inlineStr">
        <is>
          <t>TN</t>
        </is>
      </c>
      <c r="J409" t="inlineStr"/>
      <c r="K409" t="inlineStr">
        <is>
          <t>20230203</t>
        </is>
      </c>
      <c r="L409" t="inlineStr">
        <is>
          <t>20240201</t>
        </is>
      </c>
    </row>
    <row r="410">
      <c r="A410" t="inlineStr">
        <is>
          <t>900004995</t>
        </is>
      </c>
      <c r="B410" t="inlineStr">
        <is>
          <t>DW68</t>
        </is>
      </c>
      <c r="C410" t="inlineStr">
        <is>
          <t>D577</t>
        </is>
      </c>
      <c r="D410" t="inlineStr">
        <is>
          <t>10270914</t>
        </is>
      </c>
      <c r="E410" t="inlineStr"/>
      <c r="F410" s="11" t="n">
        <v>69.01000000000001</v>
      </c>
      <c r="G410" t="inlineStr"/>
      <c r="I410" t="inlineStr">
        <is>
          <t>TN</t>
        </is>
      </c>
      <c r="J410" t="inlineStr"/>
      <c r="K410" t="inlineStr">
        <is>
          <t>20260401</t>
        </is>
      </c>
      <c r="L410" t="inlineStr">
        <is>
          <t>99991231</t>
        </is>
      </c>
    </row>
    <row r="411">
      <c r="A411" t="inlineStr">
        <is>
          <t>900004995</t>
        </is>
      </c>
      <c r="B411" t="inlineStr">
        <is>
          <t>DW68</t>
        </is>
      </c>
      <c r="C411" t="inlineStr">
        <is>
          <t>ENL1</t>
        </is>
      </c>
      <c r="D411" t="inlineStr">
        <is>
          <t>10270914</t>
        </is>
      </c>
      <c r="E411" t="inlineStr"/>
      <c r="F411" s="11" t="n">
        <v>69.01000000000001</v>
      </c>
      <c r="G411" t="inlineStr"/>
      <c r="I411" t="inlineStr">
        <is>
          <t>TN</t>
        </is>
      </c>
      <c r="J411" t="inlineStr"/>
      <c r="K411" t="inlineStr">
        <is>
          <t>20250915</t>
        </is>
      </c>
      <c r="L411" t="inlineStr">
        <is>
          <t>99991231</t>
        </is>
      </c>
    </row>
    <row r="412">
      <c r="A412" t="inlineStr">
        <is>
          <t>900004995</t>
        </is>
      </c>
      <c r="B412" t="inlineStr">
        <is>
          <t>DW68</t>
        </is>
      </c>
      <c r="C412" t="inlineStr">
        <is>
          <t>ENV9</t>
        </is>
      </c>
      <c r="D412" t="inlineStr">
        <is>
          <t>10270914</t>
        </is>
      </c>
      <c r="E412" t="inlineStr"/>
      <c r="F412" s="11" t="n">
        <v>69.01000000000001</v>
      </c>
      <c r="G412" t="inlineStr"/>
      <c r="I412" t="inlineStr">
        <is>
          <t>TN</t>
        </is>
      </c>
      <c r="J412" t="inlineStr"/>
      <c r="K412" t="inlineStr">
        <is>
          <t>20250917</t>
        </is>
      </c>
      <c r="L412" t="inlineStr">
        <is>
          <t>99991231</t>
        </is>
      </c>
    </row>
    <row r="413">
      <c r="A413" t="inlineStr">
        <is>
          <t>900004996</t>
        </is>
      </c>
      <c r="B413" t="inlineStr">
        <is>
          <t>DW68</t>
        </is>
      </c>
      <c r="C413" t="inlineStr">
        <is>
          <t>D042</t>
        </is>
      </c>
      <c r="D413" t="inlineStr">
        <is>
          <t>10018375</t>
        </is>
      </c>
      <c r="E413" t="inlineStr"/>
      <c r="F413" s="11" t="n">
        <v>85.41</v>
      </c>
      <c r="G413" t="inlineStr"/>
      <c r="I413" t="inlineStr">
        <is>
          <t>TN</t>
        </is>
      </c>
      <c r="J413" t="inlineStr"/>
      <c r="K413" t="inlineStr">
        <is>
          <t>20260415</t>
        </is>
      </c>
      <c r="L413" t="inlineStr">
        <is>
          <t>99991231</t>
        </is>
      </c>
    </row>
    <row r="414">
      <c r="A414" t="inlineStr">
        <is>
          <t>900004996</t>
        </is>
      </c>
      <c r="B414" t="inlineStr">
        <is>
          <t>DW68</t>
        </is>
      </c>
      <c r="C414" t="inlineStr">
        <is>
          <t>D057</t>
        </is>
      </c>
      <c r="D414" t="inlineStr">
        <is>
          <t>10018375</t>
        </is>
      </c>
      <c r="E414" t="inlineStr"/>
      <c r="F414" s="11" t="n">
        <v>85.41</v>
      </c>
      <c r="G414" t="inlineStr"/>
      <c r="I414" t="inlineStr">
        <is>
          <t>TN</t>
        </is>
      </c>
      <c r="J414" t="inlineStr"/>
      <c r="K414" t="inlineStr">
        <is>
          <t>20260415</t>
        </is>
      </c>
      <c r="L414" t="inlineStr">
        <is>
          <t>99991231</t>
        </is>
      </c>
    </row>
    <row r="415">
      <c r="A415" t="inlineStr">
        <is>
          <t>900004996</t>
        </is>
      </c>
      <c r="B415" t="inlineStr">
        <is>
          <t>DW68</t>
        </is>
      </c>
      <c r="C415" t="inlineStr">
        <is>
          <t>D209</t>
        </is>
      </c>
      <c r="D415" t="inlineStr">
        <is>
          <t>10018375</t>
        </is>
      </c>
      <c r="E415" t="inlineStr"/>
      <c r="F415" s="11" t="n">
        <v>85.41</v>
      </c>
      <c r="G415" t="inlineStr"/>
      <c r="I415" t="inlineStr">
        <is>
          <t>TN</t>
        </is>
      </c>
      <c r="J415" t="inlineStr"/>
      <c r="K415" t="inlineStr">
        <is>
          <t>20260415</t>
        </is>
      </c>
      <c r="L415" t="inlineStr">
        <is>
          <t>99991231</t>
        </is>
      </c>
    </row>
    <row r="416">
      <c r="A416" t="inlineStr">
        <is>
          <t>900004996</t>
        </is>
      </c>
      <c r="B416" t="inlineStr">
        <is>
          <t>DW68</t>
        </is>
      </c>
      <c r="C416" t="inlineStr">
        <is>
          <t>D211</t>
        </is>
      </c>
      <c r="D416" t="inlineStr">
        <is>
          <t>10018375</t>
        </is>
      </c>
      <c r="E416" t="inlineStr"/>
      <c r="F416" s="11" t="n">
        <v>85.41</v>
      </c>
      <c r="G416" t="inlineStr"/>
      <c r="I416" t="inlineStr">
        <is>
          <t>TN</t>
        </is>
      </c>
      <c r="J416" t="inlineStr"/>
      <c r="K416" t="inlineStr">
        <is>
          <t>20260415</t>
        </is>
      </c>
      <c r="L416" t="inlineStr">
        <is>
          <t>99991231</t>
        </is>
      </c>
    </row>
    <row r="417">
      <c r="A417" t="inlineStr">
        <is>
          <t>900004996</t>
        </is>
      </c>
      <c r="B417" t="inlineStr">
        <is>
          <t>DW68</t>
        </is>
      </c>
      <c r="C417" t="inlineStr">
        <is>
          <t>D213</t>
        </is>
      </c>
      <c r="D417" t="inlineStr">
        <is>
          <t>10018375</t>
        </is>
      </c>
      <c r="E417" t="inlineStr"/>
      <c r="F417" s="11" t="n">
        <v>85.41</v>
      </c>
      <c r="G417" t="inlineStr"/>
      <c r="I417" t="inlineStr">
        <is>
          <t>TN</t>
        </is>
      </c>
      <c r="J417" t="inlineStr"/>
      <c r="K417" t="inlineStr">
        <is>
          <t>20260415</t>
        </is>
      </c>
      <c r="L417" t="inlineStr">
        <is>
          <t>99991231</t>
        </is>
      </c>
    </row>
    <row r="418">
      <c r="A418" t="inlineStr">
        <is>
          <t>900004996</t>
        </is>
      </c>
      <c r="B418" t="inlineStr">
        <is>
          <t>DW68</t>
        </is>
      </c>
      <c r="C418" t="inlineStr">
        <is>
          <t>D214</t>
        </is>
      </c>
      <c r="D418" t="inlineStr">
        <is>
          <t>10018375</t>
        </is>
      </c>
      <c r="E418" t="inlineStr"/>
      <c r="F418" s="11" t="n">
        <v>85.41</v>
      </c>
      <c r="G418" t="inlineStr"/>
      <c r="I418" t="inlineStr">
        <is>
          <t>TN</t>
        </is>
      </c>
      <c r="J418" t="inlineStr"/>
      <c r="K418" t="inlineStr">
        <is>
          <t>20260415</t>
        </is>
      </c>
      <c r="L418" t="inlineStr">
        <is>
          <t>99991231</t>
        </is>
      </c>
    </row>
    <row r="419">
      <c r="A419" t="inlineStr">
        <is>
          <t>900004996</t>
        </is>
      </c>
      <c r="B419" t="inlineStr">
        <is>
          <t>DW68</t>
        </is>
      </c>
      <c r="C419" t="inlineStr">
        <is>
          <t>D220</t>
        </is>
      </c>
      <c r="D419" t="inlineStr">
        <is>
          <t>10018375</t>
        </is>
      </c>
      <c r="E419" t="inlineStr"/>
      <c r="F419" s="11" t="n">
        <v>85.41</v>
      </c>
      <c r="G419" t="inlineStr"/>
      <c r="I419" t="inlineStr">
        <is>
          <t>TN</t>
        </is>
      </c>
      <c r="J419" t="inlineStr"/>
      <c r="K419" t="inlineStr">
        <is>
          <t>20260415</t>
        </is>
      </c>
      <c r="L419" t="inlineStr">
        <is>
          <t>99991231</t>
        </is>
      </c>
    </row>
    <row r="420">
      <c r="A420" t="inlineStr">
        <is>
          <t>900004996</t>
        </is>
      </c>
      <c r="B420" t="inlineStr">
        <is>
          <t>DW68</t>
        </is>
      </c>
      <c r="C420" t="inlineStr">
        <is>
          <t>D228</t>
        </is>
      </c>
      <c r="D420" t="inlineStr">
        <is>
          <t>10018375</t>
        </is>
      </c>
      <c r="E420" t="inlineStr"/>
      <c r="F420" s="11" t="n">
        <v>85.41</v>
      </c>
      <c r="G420" t="inlineStr"/>
      <c r="I420" t="inlineStr">
        <is>
          <t>TN</t>
        </is>
      </c>
      <c r="J420" t="inlineStr"/>
      <c r="K420" t="inlineStr">
        <is>
          <t>20260415</t>
        </is>
      </c>
      <c r="L420" t="inlineStr">
        <is>
          <t>99991231</t>
        </is>
      </c>
    </row>
    <row r="421">
      <c r="A421" t="inlineStr">
        <is>
          <t>900004996</t>
        </is>
      </c>
      <c r="B421" t="inlineStr">
        <is>
          <t>DW68</t>
        </is>
      </c>
      <c r="C421" t="inlineStr">
        <is>
          <t>D242</t>
        </is>
      </c>
      <c r="D421" t="inlineStr">
        <is>
          <t>10018375</t>
        </is>
      </c>
      <c r="E421" t="inlineStr"/>
      <c r="F421" s="11" t="n">
        <v>85.41</v>
      </c>
      <c r="G421" t="inlineStr"/>
      <c r="I421" t="inlineStr">
        <is>
          <t>TN</t>
        </is>
      </c>
      <c r="J421" t="inlineStr"/>
      <c r="K421" t="inlineStr">
        <is>
          <t>20260415</t>
        </is>
      </c>
      <c r="L421" t="inlineStr">
        <is>
          <t>99991231</t>
        </is>
      </c>
    </row>
    <row r="422">
      <c r="A422" t="inlineStr">
        <is>
          <t>900004996</t>
        </is>
      </c>
      <c r="B422" t="inlineStr">
        <is>
          <t>DW68</t>
        </is>
      </c>
      <c r="C422" t="inlineStr">
        <is>
          <t>D247</t>
        </is>
      </c>
      <c r="D422" t="inlineStr">
        <is>
          <t>10018375</t>
        </is>
      </c>
      <c r="E422" t="inlineStr"/>
      <c r="F422" s="11" t="n">
        <v>85.41</v>
      </c>
      <c r="G422" t="inlineStr"/>
      <c r="I422" t="inlineStr">
        <is>
          <t>TN</t>
        </is>
      </c>
      <c r="J422" t="inlineStr"/>
      <c r="K422" t="inlineStr">
        <is>
          <t>20260415</t>
        </is>
      </c>
      <c r="L422" t="inlineStr">
        <is>
          <t>99991231</t>
        </is>
      </c>
    </row>
    <row r="423">
      <c r="A423" t="inlineStr">
        <is>
          <t>900004996</t>
        </is>
      </c>
      <c r="B423" t="inlineStr">
        <is>
          <t>DW68</t>
        </is>
      </c>
      <c r="C423" t="inlineStr">
        <is>
          <t>D251</t>
        </is>
      </c>
      <c r="D423" t="inlineStr">
        <is>
          <t>10018375</t>
        </is>
      </c>
      <c r="E423" t="inlineStr"/>
      <c r="F423" s="11" t="n">
        <v>85.41</v>
      </c>
      <c r="G423" t="inlineStr"/>
      <c r="I423" t="inlineStr">
        <is>
          <t>TN</t>
        </is>
      </c>
      <c r="J423" t="inlineStr"/>
      <c r="K423" t="inlineStr">
        <is>
          <t>20260415</t>
        </is>
      </c>
      <c r="L423" t="inlineStr">
        <is>
          <t>99991231</t>
        </is>
      </c>
    </row>
    <row r="424">
      <c r="A424" t="inlineStr">
        <is>
          <t>900004996</t>
        </is>
      </c>
      <c r="B424" t="inlineStr">
        <is>
          <t>DW68</t>
        </is>
      </c>
      <c r="C424" t="inlineStr">
        <is>
          <t>D264</t>
        </is>
      </c>
      <c r="D424" t="inlineStr">
        <is>
          <t>10018375</t>
        </is>
      </c>
      <c r="E424" t="inlineStr"/>
      <c r="F424" s="11" t="n">
        <v>85.41</v>
      </c>
      <c r="G424" t="inlineStr"/>
      <c r="I424" t="inlineStr">
        <is>
          <t>TN</t>
        </is>
      </c>
      <c r="J424" t="inlineStr"/>
      <c r="K424" t="inlineStr">
        <is>
          <t>20260415</t>
        </is>
      </c>
      <c r="L424" t="inlineStr">
        <is>
          <t>99991231</t>
        </is>
      </c>
    </row>
    <row r="425">
      <c r="A425" t="inlineStr">
        <is>
          <t>900004996</t>
        </is>
      </c>
      <c r="B425" t="inlineStr">
        <is>
          <t>DW68</t>
        </is>
      </c>
      <c r="C425" t="inlineStr">
        <is>
          <t>D267</t>
        </is>
      </c>
      <c r="D425" t="inlineStr">
        <is>
          <t>10018375</t>
        </is>
      </c>
      <c r="E425" t="inlineStr"/>
      <c r="F425" s="11" t="n">
        <v>85.41</v>
      </c>
      <c r="G425" t="inlineStr"/>
      <c r="I425" t="inlineStr">
        <is>
          <t>TN</t>
        </is>
      </c>
      <c r="J425" t="inlineStr"/>
      <c r="K425" t="inlineStr">
        <is>
          <t>20260415</t>
        </is>
      </c>
      <c r="L425" t="inlineStr">
        <is>
          <t>99991231</t>
        </is>
      </c>
    </row>
    <row r="426">
      <c r="A426" t="inlineStr">
        <is>
          <t>900004996</t>
        </is>
      </c>
      <c r="B426" t="inlineStr">
        <is>
          <t>DW68</t>
        </is>
      </c>
      <c r="C426" t="inlineStr">
        <is>
          <t>D268</t>
        </is>
      </c>
      <c r="D426" t="inlineStr">
        <is>
          <t>10018375</t>
        </is>
      </c>
      <c r="E426" t="inlineStr"/>
      <c r="F426" s="11" t="n">
        <v>85.41</v>
      </c>
      <c r="G426" t="inlineStr"/>
      <c r="I426" t="inlineStr">
        <is>
          <t>TN</t>
        </is>
      </c>
      <c r="J426" t="inlineStr"/>
      <c r="K426" t="inlineStr">
        <is>
          <t>20260415</t>
        </is>
      </c>
      <c r="L426" t="inlineStr">
        <is>
          <t>99991231</t>
        </is>
      </c>
    </row>
    <row r="427">
      <c r="A427" t="inlineStr">
        <is>
          <t>900005508</t>
        </is>
      </c>
      <c r="B427" t="inlineStr">
        <is>
          <t>DW68</t>
        </is>
      </c>
      <c r="C427" t="inlineStr">
        <is>
          <t>D042</t>
        </is>
      </c>
      <c r="D427" t="inlineStr">
        <is>
          <t>10000191</t>
        </is>
      </c>
      <c r="E427" t="inlineStr"/>
      <c r="F427" s="11" t="n">
        <v>78.01000000000001</v>
      </c>
      <c r="G427" t="inlineStr"/>
      <c r="I427" t="inlineStr">
        <is>
          <t>TN</t>
        </is>
      </c>
      <c r="J427" t="inlineStr"/>
      <c r="K427" t="inlineStr">
        <is>
          <t>20220516</t>
        </is>
      </c>
      <c r="L427" t="inlineStr">
        <is>
          <t>20251031</t>
        </is>
      </c>
    </row>
    <row r="428">
      <c r="A428" t="inlineStr">
        <is>
          <t>900005508</t>
        </is>
      </c>
      <c r="B428" t="inlineStr">
        <is>
          <t>DW68</t>
        </is>
      </c>
      <c r="C428" t="inlineStr">
        <is>
          <t>D042</t>
        </is>
      </c>
      <c r="D428" t="inlineStr">
        <is>
          <t>10000388</t>
        </is>
      </c>
      <c r="E428" t="inlineStr"/>
      <c r="F428" s="11" t="n">
        <v>89.61</v>
      </c>
      <c r="G428" t="inlineStr"/>
      <c r="I428" t="inlineStr">
        <is>
          <t>TN</t>
        </is>
      </c>
      <c r="J428" t="inlineStr"/>
      <c r="K428" t="inlineStr">
        <is>
          <t>20220516</t>
        </is>
      </c>
      <c r="L428" t="inlineStr">
        <is>
          <t>20251031</t>
        </is>
      </c>
    </row>
    <row r="429">
      <c r="A429" t="inlineStr">
        <is>
          <t>900005508</t>
        </is>
      </c>
      <c r="B429" t="inlineStr">
        <is>
          <t>DW68</t>
        </is>
      </c>
      <c r="C429" t="inlineStr">
        <is>
          <t>D209</t>
        </is>
      </c>
      <c r="D429" t="inlineStr">
        <is>
          <t>10000191</t>
        </is>
      </c>
      <c r="E429" t="inlineStr"/>
      <c r="F429" s="11" t="n">
        <v>78.01000000000001</v>
      </c>
      <c r="G429" t="inlineStr"/>
      <c r="I429" t="inlineStr">
        <is>
          <t>TN</t>
        </is>
      </c>
      <c r="J429" t="inlineStr"/>
      <c r="K429" t="inlineStr">
        <is>
          <t>20220516</t>
        </is>
      </c>
      <c r="L429" t="inlineStr">
        <is>
          <t>20251031</t>
        </is>
      </c>
    </row>
    <row r="430">
      <c r="A430" t="inlineStr">
        <is>
          <t>900005508</t>
        </is>
      </c>
      <c r="B430" t="inlineStr">
        <is>
          <t>DW68</t>
        </is>
      </c>
      <c r="C430" t="inlineStr">
        <is>
          <t>D209</t>
        </is>
      </c>
      <c r="D430" t="inlineStr">
        <is>
          <t>10000388</t>
        </is>
      </c>
      <c r="E430" t="inlineStr"/>
      <c r="F430" s="11" t="n">
        <v>89.61</v>
      </c>
      <c r="G430" t="inlineStr"/>
      <c r="I430" t="inlineStr">
        <is>
          <t>TN</t>
        </is>
      </c>
      <c r="J430" t="inlineStr"/>
      <c r="K430" t="inlineStr">
        <is>
          <t>20220516</t>
        </is>
      </c>
      <c r="L430" t="inlineStr">
        <is>
          <t>20251031</t>
        </is>
      </c>
    </row>
    <row r="431">
      <c r="A431" t="inlineStr">
        <is>
          <t>900005508</t>
        </is>
      </c>
      <c r="B431" t="inlineStr">
        <is>
          <t>DW68</t>
        </is>
      </c>
      <c r="C431" t="inlineStr">
        <is>
          <t>D211</t>
        </is>
      </c>
      <c r="D431" t="inlineStr">
        <is>
          <t>10000191</t>
        </is>
      </c>
      <c r="E431" t="inlineStr"/>
      <c r="F431" s="11" t="n">
        <v>78.01000000000001</v>
      </c>
      <c r="G431" t="inlineStr"/>
      <c r="I431" t="inlineStr">
        <is>
          <t>TN</t>
        </is>
      </c>
      <c r="J431" t="inlineStr"/>
      <c r="K431" t="inlineStr">
        <is>
          <t>20220516</t>
        </is>
      </c>
      <c r="L431" t="inlineStr">
        <is>
          <t>20251031</t>
        </is>
      </c>
    </row>
    <row r="432">
      <c r="A432" t="inlineStr">
        <is>
          <t>900005508</t>
        </is>
      </c>
      <c r="B432" t="inlineStr">
        <is>
          <t>DW68</t>
        </is>
      </c>
      <c r="C432" t="inlineStr">
        <is>
          <t>D211</t>
        </is>
      </c>
      <c r="D432" t="inlineStr">
        <is>
          <t>10000388</t>
        </is>
      </c>
      <c r="E432" t="inlineStr"/>
      <c r="F432" s="11" t="n">
        <v>89.61</v>
      </c>
      <c r="G432" t="inlineStr"/>
      <c r="I432" t="inlineStr">
        <is>
          <t>TN</t>
        </is>
      </c>
      <c r="J432" t="inlineStr"/>
      <c r="K432" t="inlineStr">
        <is>
          <t>20220516</t>
        </is>
      </c>
      <c r="L432" t="inlineStr">
        <is>
          <t>20251031</t>
        </is>
      </c>
    </row>
    <row r="433">
      <c r="A433" t="inlineStr">
        <is>
          <t>900005508</t>
        </is>
      </c>
      <c r="B433" t="inlineStr">
        <is>
          <t>DW68</t>
        </is>
      </c>
      <c r="C433" t="inlineStr">
        <is>
          <t>D214</t>
        </is>
      </c>
      <c r="D433" t="inlineStr">
        <is>
          <t>10000191</t>
        </is>
      </c>
      <c r="E433" t="inlineStr"/>
      <c r="F433" s="11" t="n">
        <v>78.01000000000001</v>
      </c>
      <c r="G433" t="inlineStr"/>
      <c r="I433" t="inlineStr">
        <is>
          <t>TN</t>
        </is>
      </c>
      <c r="J433" t="inlineStr"/>
      <c r="K433" t="inlineStr">
        <is>
          <t>20220516</t>
        </is>
      </c>
      <c r="L433" t="inlineStr">
        <is>
          <t>20251031</t>
        </is>
      </c>
    </row>
    <row r="434">
      <c r="A434" t="inlineStr">
        <is>
          <t>900005508</t>
        </is>
      </c>
      <c r="B434" t="inlineStr">
        <is>
          <t>DW68</t>
        </is>
      </c>
      <c r="C434" t="inlineStr">
        <is>
          <t>D214</t>
        </is>
      </c>
      <c r="D434" t="inlineStr">
        <is>
          <t>10000388</t>
        </is>
      </c>
      <c r="E434" t="inlineStr"/>
      <c r="F434" s="11" t="n">
        <v>78.84999999999999</v>
      </c>
      <c r="G434" t="inlineStr"/>
      <c r="I434" t="inlineStr">
        <is>
          <t>TN</t>
        </is>
      </c>
      <c r="J434" t="inlineStr"/>
      <c r="K434" t="inlineStr">
        <is>
          <t>20220516</t>
        </is>
      </c>
      <c r="L434" t="inlineStr">
        <is>
          <t>20251031</t>
        </is>
      </c>
    </row>
    <row r="435">
      <c r="A435" t="inlineStr">
        <is>
          <t>900005508</t>
        </is>
      </c>
      <c r="B435" t="inlineStr">
        <is>
          <t>DW68</t>
        </is>
      </c>
      <c r="C435" t="inlineStr">
        <is>
          <t>D228</t>
        </is>
      </c>
      <c r="D435" t="inlineStr">
        <is>
          <t>10000191</t>
        </is>
      </c>
      <c r="E435" t="inlineStr"/>
      <c r="F435" s="11" t="n">
        <v>78.01000000000001</v>
      </c>
      <c r="G435" t="inlineStr"/>
      <c r="I435" t="inlineStr">
        <is>
          <t>TN</t>
        </is>
      </c>
      <c r="J435" t="inlineStr"/>
      <c r="K435" t="inlineStr">
        <is>
          <t>20220516</t>
        </is>
      </c>
      <c r="L435" t="inlineStr">
        <is>
          <t>20251031</t>
        </is>
      </c>
    </row>
    <row r="436">
      <c r="A436" t="inlineStr">
        <is>
          <t>900005508</t>
        </is>
      </c>
      <c r="B436" t="inlineStr">
        <is>
          <t>DW68</t>
        </is>
      </c>
      <c r="C436" t="inlineStr">
        <is>
          <t>D228</t>
        </is>
      </c>
      <c r="D436" t="inlineStr">
        <is>
          <t>10000388</t>
        </is>
      </c>
      <c r="E436" t="inlineStr"/>
      <c r="F436" s="11" t="n">
        <v>78.84999999999999</v>
      </c>
      <c r="G436" t="inlineStr"/>
      <c r="I436" t="inlineStr">
        <is>
          <t>TN</t>
        </is>
      </c>
      <c r="J436" t="inlineStr"/>
      <c r="K436" t="inlineStr">
        <is>
          <t>20220516</t>
        </is>
      </c>
      <c r="L436" t="inlineStr">
        <is>
          <t>20251031</t>
        </is>
      </c>
    </row>
    <row r="437">
      <c r="A437" t="inlineStr">
        <is>
          <t>900005508</t>
        </is>
      </c>
      <c r="B437" t="inlineStr">
        <is>
          <t>DW68</t>
        </is>
      </c>
      <c r="C437" t="inlineStr">
        <is>
          <t>D242</t>
        </is>
      </c>
      <c r="D437" t="inlineStr">
        <is>
          <t>10000191</t>
        </is>
      </c>
      <c r="E437" t="inlineStr"/>
      <c r="F437" s="11" t="n">
        <v>78.01000000000001</v>
      </c>
      <c r="G437" t="inlineStr"/>
      <c r="I437" t="inlineStr">
        <is>
          <t>TN</t>
        </is>
      </c>
      <c r="J437" t="inlineStr"/>
      <c r="K437" t="inlineStr">
        <is>
          <t>20220516</t>
        </is>
      </c>
      <c r="L437" t="inlineStr">
        <is>
          <t>20251031</t>
        </is>
      </c>
    </row>
    <row r="438">
      <c r="A438" t="inlineStr">
        <is>
          <t>900005508</t>
        </is>
      </c>
      <c r="B438" t="inlineStr">
        <is>
          <t>DW68</t>
        </is>
      </c>
      <c r="C438" t="inlineStr">
        <is>
          <t>D242</t>
        </is>
      </c>
      <c r="D438" t="inlineStr">
        <is>
          <t>10000388</t>
        </is>
      </c>
      <c r="E438" t="inlineStr"/>
      <c r="F438" s="11" t="n">
        <v>89.61</v>
      </c>
      <c r="G438" t="inlineStr"/>
      <c r="I438" t="inlineStr">
        <is>
          <t>TN</t>
        </is>
      </c>
      <c r="J438" t="inlineStr"/>
      <c r="K438" t="inlineStr">
        <is>
          <t>20220516</t>
        </is>
      </c>
      <c r="L438" t="inlineStr">
        <is>
          <t>20251031</t>
        </is>
      </c>
    </row>
    <row r="439">
      <c r="A439" t="inlineStr">
        <is>
          <t>900005508</t>
        </is>
      </c>
      <c r="B439" t="inlineStr">
        <is>
          <t>DW68</t>
        </is>
      </c>
      <c r="C439" t="inlineStr">
        <is>
          <t>D251</t>
        </is>
      </c>
      <c r="D439" t="inlineStr">
        <is>
          <t>10000191</t>
        </is>
      </c>
      <c r="E439" t="inlineStr"/>
      <c r="F439" s="11" t="n">
        <v>78.01000000000001</v>
      </c>
      <c r="G439" t="inlineStr"/>
      <c r="I439" t="inlineStr">
        <is>
          <t>TN</t>
        </is>
      </c>
      <c r="J439" t="inlineStr"/>
      <c r="K439" t="inlineStr">
        <is>
          <t>20220516</t>
        </is>
      </c>
      <c r="L439" t="inlineStr">
        <is>
          <t>20251031</t>
        </is>
      </c>
    </row>
    <row r="440">
      <c r="A440" t="inlineStr">
        <is>
          <t>900005508</t>
        </is>
      </c>
      <c r="B440" t="inlineStr">
        <is>
          <t>DW68</t>
        </is>
      </c>
      <c r="C440" t="inlineStr">
        <is>
          <t>D251</t>
        </is>
      </c>
      <c r="D440" t="inlineStr">
        <is>
          <t>10000388</t>
        </is>
      </c>
      <c r="E440" t="inlineStr"/>
      <c r="F440" s="11" t="n">
        <v>89.61</v>
      </c>
      <c r="G440" t="inlineStr"/>
      <c r="I440" t="inlineStr">
        <is>
          <t>TN</t>
        </is>
      </c>
      <c r="J440" t="inlineStr"/>
      <c r="K440" t="inlineStr">
        <is>
          <t>20220516</t>
        </is>
      </c>
      <c r="L440" t="inlineStr">
        <is>
          <t>20251031</t>
        </is>
      </c>
    </row>
    <row r="441">
      <c r="A441" t="inlineStr">
        <is>
          <t>900005508</t>
        </is>
      </c>
      <c r="B441" t="inlineStr">
        <is>
          <t>DW68</t>
        </is>
      </c>
      <c r="C441" t="inlineStr">
        <is>
          <t>D264</t>
        </is>
      </c>
      <c r="D441" t="inlineStr">
        <is>
          <t>10000191</t>
        </is>
      </c>
      <c r="E441" t="inlineStr"/>
      <c r="F441" s="11" t="n">
        <v>78.01000000000001</v>
      </c>
      <c r="G441" t="inlineStr"/>
      <c r="I441" t="inlineStr">
        <is>
          <t>TN</t>
        </is>
      </c>
      <c r="J441" t="inlineStr"/>
      <c r="K441" t="inlineStr">
        <is>
          <t>20220516</t>
        </is>
      </c>
      <c r="L441" t="inlineStr">
        <is>
          <t>20251031</t>
        </is>
      </c>
    </row>
    <row r="442">
      <c r="A442" t="inlineStr">
        <is>
          <t>900005508</t>
        </is>
      </c>
      <c r="B442" t="inlineStr">
        <is>
          <t>DW68</t>
        </is>
      </c>
      <c r="C442" t="inlineStr">
        <is>
          <t>D264</t>
        </is>
      </c>
      <c r="D442" t="inlineStr">
        <is>
          <t>10000388</t>
        </is>
      </c>
      <c r="E442" t="inlineStr"/>
      <c r="F442" s="11" t="n">
        <v>89.61</v>
      </c>
      <c r="G442" t="inlineStr"/>
      <c r="I442" t="inlineStr">
        <is>
          <t>TN</t>
        </is>
      </c>
      <c r="J442" t="inlineStr"/>
      <c r="K442" t="inlineStr">
        <is>
          <t>20220516</t>
        </is>
      </c>
      <c r="L442" t="inlineStr">
        <is>
          <t>20251031</t>
        </is>
      </c>
    </row>
    <row r="443">
      <c r="A443" t="inlineStr">
        <is>
          <t>900005508</t>
        </is>
      </c>
      <c r="B443" t="inlineStr">
        <is>
          <t>DW68</t>
        </is>
      </c>
      <c r="C443" t="inlineStr">
        <is>
          <t>D267</t>
        </is>
      </c>
      <c r="D443" t="inlineStr">
        <is>
          <t>10000191</t>
        </is>
      </c>
      <c r="E443" t="inlineStr"/>
      <c r="F443" s="11" t="n">
        <v>78.01000000000001</v>
      </c>
      <c r="G443" t="inlineStr"/>
      <c r="I443" t="inlineStr">
        <is>
          <t>TN</t>
        </is>
      </c>
      <c r="J443" t="inlineStr"/>
      <c r="K443" t="inlineStr">
        <is>
          <t>20220516</t>
        </is>
      </c>
      <c r="L443" t="inlineStr">
        <is>
          <t>20251031</t>
        </is>
      </c>
    </row>
    <row r="444">
      <c r="A444" t="inlineStr">
        <is>
          <t>900005508</t>
        </is>
      </c>
      <c r="B444" t="inlineStr">
        <is>
          <t>DW68</t>
        </is>
      </c>
      <c r="C444" t="inlineStr">
        <is>
          <t>D267</t>
        </is>
      </c>
      <c r="D444" t="inlineStr">
        <is>
          <t>10000388</t>
        </is>
      </c>
      <c r="E444" t="inlineStr"/>
      <c r="F444" s="11" t="n">
        <v>89.61</v>
      </c>
      <c r="G444" t="inlineStr"/>
      <c r="I444" t="inlineStr">
        <is>
          <t>TN</t>
        </is>
      </c>
      <c r="J444" t="inlineStr"/>
      <c r="K444" t="inlineStr">
        <is>
          <t>20220516</t>
        </is>
      </c>
      <c r="L444" t="inlineStr">
        <is>
          <t>20251031</t>
        </is>
      </c>
    </row>
    <row r="445">
      <c r="A445" t="inlineStr">
        <is>
          <t>900005508</t>
        </is>
      </c>
      <c r="B445" t="inlineStr">
        <is>
          <t>DW68</t>
        </is>
      </c>
      <c r="C445" t="inlineStr">
        <is>
          <t>D268</t>
        </is>
      </c>
      <c r="D445" t="inlineStr">
        <is>
          <t>10000388</t>
        </is>
      </c>
      <c r="E445" t="inlineStr"/>
      <c r="F445" s="11" t="n">
        <v>78.84999999999999</v>
      </c>
      <c r="G445" t="inlineStr"/>
      <c r="I445" t="inlineStr">
        <is>
          <t>TN</t>
        </is>
      </c>
      <c r="J445" t="inlineStr"/>
      <c r="K445" t="inlineStr">
        <is>
          <t>20220516</t>
        </is>
      </c>
      <c r="L445" t="inlineStr">
        <is>
          <t>20251031</t>
        </is>
      </c>
    </row>
    <row r="446">
      <c r="A446" t="inlineStr">
        <is>
          <t>900005660</t>
        </is>
      </c>
      <c r="B446" t="inlineStr">
        <is>
          <t>DW68</t>
        </is>
      </c>
      <c r="C446" t="inlineStr">
        <is>
          <t>D042</t>
        </is>
      </c>
      <c r="D446" t="inlineStr">
        <is>
          <t>10000320</t>
        </is>
      </c>
      <c r="E446" t="inlineStr"/>
      <c r="F446" s="11" t="n">
        <v>130</v>
      </c>
      <c r="G446" t="inlineStr"/>
      <c r="I446" t="inlineStr">
        <is>
          <t>TN</t>
        </is>
      </c>
      <c r="J446" t="inlineStr"/>
      <c r="K446" t="inlineStr">
        <is>
          <t>20220516</t>
        </is>
      </c>
      <c r="L446" t="inlineStr">
        <is>
          <t>20251031</t>
        </is>
      </c>
    </row>
    <row r="447">
      <c r="A447" t="inlineStr">
        <is>
          <t>900005660</t>
        </is>
      </c>
      <c r="B447" t="inlineStr">
        <is>
          <t>DW68</t>
        </is>
      </c>
      <c r="C447" t="inlineStr">
        <is>
          <t>D209</t>
        </is>
      </c>
      <c r="D447" t="inlineStr">
        <is>
          <t>10000320</t>
        </is>
      </c>
      <c r="E447" t="inlineStr"/>
      <c r="F447" s="11" t="n">
        <v>130</v>
      </c>
      <c r="G447" t="inlineStr"/>
      <c r="I447" t="inlineStr">
        <is>
          <t>TN</t>
        </is>
      </c>
      <c r="J447" t="inlineStr"/>
      <c r="K447" t="inlineStr">
        <is>
          <t>20220516</t>
        </is>
      </c>
      <c r="L447" t="inlineStr">
        <is>
          <t>20251031</t>
        </is>
      </c>
    </row>
    <row r="448">
      <c r="A448" t="inlineStr">
        <is>
          <t>900005660</t>
        </is>
      </c>
      <c r="B448" t="inlineStr">
        <is>
          <t>DW68</t>
        </is>
      </c>
      <c r="C448" t="inlineStr">
        <is>
          <t>D211</t>
        </is>
      </c>
      <c r="D448" t="inlineStr">
        <is>
          <t>10000320</t>
        </is>
      </c>
      <c r="E448" t="inlineStr"/>
      <c r="F448" s="11" t="n">
        <v>130</v>
      </c>
      <c r="G448" t="inlineStr"/>
      <c r="I448" t="inlineStr">
        <is>
          <t>TN</t>
        </is>
      </c>
      <c r="J448" t="inlineStr"/>
      <c r="K448" t="inlineStr">
        <is>
          <t>20220516</t>
        </is>
      </c>
      <c r="L448" t="inlineStr">
        <is>
          <t>20251031</t>
        </is>
      </c>
    </row>
    <row r="449">
      <c r="A449" t="inlineStr">
        <is>
          <t>900005660</t>
        </is>
      </c>
      <c r="B449" t="inlineStr">
        <is>
          <t>DW68</t>
        </is>
      </c>
      <c r="C449" t="inlineStr">
        <is>
          <t>D213</t>
        </is>
      </c>
      <c r="D449" t="inlineStr">
        <is>
          <t>10000320</t>
        </is>
      </c>
      <c r="E449" t="inlineStr"/>
      <c r="F449" s="11" t="n">
        <v>130</v>
      </c>
      <c r="G449" t="inlineStr"/>
      <c r="I449" t="inlineStr">
        <is>
          <t>TN</t>
        </is>
      </c>
      <c r="J449" t="inlineStr"/>
      <c r="K449" t="inlineStr">
        <is>
          <t>20220516</t>
        </is>
      </c>
      <c r="L449" t="inlineStr">
        <is>
          <t>20251031</t>
        </is>
      </c>
    </row>
    <row r="450">
      <c r="A450" t="inlineStr">
        <is>
          <t>900005660</t>
        </is>
      </c>
      <c r="B450" t="inlineStr">
        <is>
          <t>DW68</t>
        </is>
      </c>
      <c r="C450" t="inlineStr">
        <is>
          <t>D214</t>
        </is>
      </c>
      <c r="D450" t="inlineStr">
        <is>
          <t>10000320</t>
        </is>
      </c>
      <c r="E450" t="inlineStr"/>
      <c r="F450" s="11" t="n">
        <v>130</v>
      </c>
      <c r="G450" t="inlineStr"/>
      <c r="I450" t="inlineStr">
        <is>
          <t>TN</t>
        </is>
      </c>
      <c r="J450" t="inlineStr"/>
      <c r="K450" t="inlineStr">
        <is>
          <t>20220516</t>
        </is>
      </c>
      <c r="L450" t="inlineStr">
        <is>
          <t>20251031</t>
        </is>
      </c>
    </row>
    <row r="451">
      <c r="A451" t="inlineStr">
        <is>
          <t>900005660</t>
        </is>
      </c>
      <c r="B451" t="inlineStr">
        <is>
          <t>DW68</t>
        </is>
      </c>
      <c r="C451" t="inlineStr">
        <is>
          <t>D228</t>
        </is>
      </c>
      <c r="D451" t="inlineStr">
        <is>
          <t>10000320</t>
        </is>
      </c>
      <c r="E451" t="inlineStr"/>
      <c r="F451" s="11" t="n">
        <v>130</v>
      </c>
      <c r="G451" t="inlineStr"/>
      <c r="I451" t="inlineStr">
        <is>
          <t>TN</t>
        </is>
      </c>
      <c r="J451" t="inlineStr"/>
      <c r="K451" t="inlineStr">
        <is>
          <t>20220516</t>
        </is>
      </c>
      <c r="L451" t="inlineStr">
        <is>
          <t>20251031</t>
        </is>
      </c>
    </row>
    <row r="452">
      <c r="A452" t="inlineStr">
        <is>
          <t>900005660</t>
        </is>
      </c>
      <c r="B452" t="inlineStr">
        <is>
          <t>DW68</t>
        </is>
      </c>
      <c r="C452" t="inlineStr">
        <is>
          <t>D242</t>
        </is>
      </c>
      <c r="D452" t="inlineStr">
        <is>
          <t>10000320</t>
        </is>
      </c>
      <c r="E452" t="inlineStr"/>
      <c r="F452" s="11" t="n">
        <v>130</v>
      </c>
      <c r="G452" t="inlineStr"/>
      <c r="I452" t="inlineStr">
        <is>
          <t>TN</t>
        </is>
      </c>
      <c r="J452" t="inlineStr"/>
      <c r="K452" t="inlineStr">
        <is>
          <t>20220516</t>
        </is>
      </c>
      <c r="L452" t="inlineStr">
        <is>
          <t>20251031</t>
        </is>
      </c>
    </row>
    <row r="453">
      <c r="A453" t="inlineStr">
        <is>
          <t>900005660</t>
        </is>
      </c>
      <c r="B453" t="inlineStr">
        <is>
          <t>DW68</t>
        </is>
      </c>
      <c r="C453" t="inlineStr">
        <is>
          <t>D251</t>
        </is>
      </c>
      <c r="D453" t="inlineStr">
        <is>
          <t>10000320</t>
        </is>
      </c>
      <c r="E453" t="inlineStr"/>
      <c r="F453" s="11" t="n">
        <v>130</v>
      </c>
      <c r="G453" t="inlineStr"/>
      <c r="I453" t="inlineStr">
        <is>
          <t>TN</t>
        </is>
      </c>
      <c r="J453" t="inlineStr"/>
      <c r="K453" t="inlineStr">
        <is>
          <t>20220516</t>
        </is>
      </c>
      <c r="L453" t="inlineStr">
        <is>
          <t>20251031</t>
        </is>
      </c>
    </row>
    <row r="454">
      <c r="A454" t="inlineStr">
        <is>
          <t>900005660</t>
        </is>
      </c>
      <c r="B454" t="inlineStr">
        <is>
          <t>DW68</t>
        </is>
      </c>
      <c r="C454" t="inlineStr">
        <is>
          <t>D264</t>
        </is>
      </c>
      <c r="D454" t="inlineStr">
        <is>
          <t>10000320</t>
        </is>
      </c>
      <c r="E454" t="inlineStr"/>
      <c r="F454" s="11" t="n">
        <v>130</v>
      </c>
      <c r="G454" t="inlineStr"/>
      <c r="I454" t="inlineStr">
        <is>
          <t>TN</t>
        </is>
      </c>
      <c r="J454" t="inlineStr"/>
      <c r="K454" t="inlineStr">
        <is>
          <t>20220516</t>
        </is>
      </c>
      <c r="L454" t="inlineStr">
        <is>
          <t>20251031</t>
        </is>
      </c>
    </row>
    <row r="455">
      <c r="A455" t="inlineStr">
        <is>
          <t>900005660</t>
        </is>
      </c>
      <c r="B455" t="inlineStr">
        <is>
          <t>DW68</t>
        </is>
      </c>
      <c r="C455" t="inlineStr">
        <is>
          <t>D267</t>
        </is>
      </c>
      <c r="D455" t="inlineStr">
        <is>
          <t>10000320</t>
        </is>
      </c>
      <c r="E455" t="inlineStr"/>
      <c r="F455" s="11" t="n">
        <v>130</v>
      </c>
      <c r="G455" t="inlineStr"/>
      <c r="I455" t="inlineStr">
        <is>
          <t>TN</t>
        </is>
      </c>
      <c r="J455" t="inlineStr"/>
      <c r="K455" t="inlineStr">
        <is>
          <t>20220516</t>
        </is>
      </c>
      <c r="L455" t="inlineStr">
        <is>
          <t>20251031</t>
        </is>
      </c>
    </row>
    <row r="456">
      <c r="A456" t="inlineStr">
        <is>
          <t>900006441</t>
        </is>
      </c>
      <c r="B456" t="inlineStr">
        <is>
          <t>DW68</t>
        </is>
      </c>
      <c r="C456" t="inlineStr">
        <is>
          <t>D042</t>
        </is>
      </c>
      <c r="D456" t="inlineStr">
        <is>
          <t>10000191</t>
        </is>
      </c>
      <c r="E456" t="inlineStr"/>
      <c r="F456" s="11" t="n">
        <v>85.11</v>
      </c>
      <c r="G456" t="inlineStr"/>
      <c r="I456" t="inlineStr">
        <is>
          <t>TN</t>
        </is>
      </c>
      <c r="J456" t="inlineStr"/>
      <c r="K456" t="inlineStr">
        <is>
          <t>20220516</t>
        </is>
      </c>
      <c r="L456" t="inlineStr">
        <is>
          <t>20251031</t>
        </is>
      </c>
    </row>
    <row r="457">
      <c r="A457" t="inlineStr">
        <is>
          <t>900006441</t>
        </is>
      </c>
      <c r="B457" t="inlineStr">
        <is>
          <t>DW68</t>
        </is>
      </c>
      <c r="C457" t="inlineStr">
        <is>
          <t>D209</t>
        </is>
      </c>
      <c r="D457" t="inlineStr">
        <is>
          <t>10000191</t>
        </is>
      </c>
      <c r="E457" t="inlineStr"/>
      <c r="F457" s="11" t="n">
        <v>85.11</v>
      </c>
      <c r="G457" t="inlineStr"/>
      <c r="I457" t="inlineStr">
        <is>
          <t>TN</t>
        </is>
      </c>
      <c r="J457" t="inlineStr"/>
      <c r="K457" t="inlineStr">
        <is>
          <t>20220516</t>
        </is>
      </c>
      <c r="L457" t="inlineStr">
        <is>
          <t>20251031</t>
        </is>
      </c>
    </row>
    <row r="458">
      <c r="A458" t="inlineStr">
        <is>
          <t>900006441</t>
        </is>
      </c>
      <c r="B458" t="inlineStr">
        <is>
          <t>DW68</t>
        </is>
      </c>
      <c r="C458" t="inlineStr">
        <is>
          <t>D211</t>
        </is>
      </c>
      <c r="D458" t="inlineStr">
        <is>
          <t>10000191</t>
        </is>
      </c>
      <c r="E458" t="inlineStr"/>
      <c r="F458" s="11" t="n">
        <v>85.11</v>
      </c>
      <c r="G458" t="inlineStr"/>
      <c r="I458" t="inlineStr">
        <is>
          <t>TN</t>
        </is>
      </c>
      <c r="J458" t="inlineStr"/>
      <c r="K458" t="inlineStr">
        <is>
          <t>20220516</t>
        </is>
      </c>
      <c r="L458" t="inlineStr">
        <is>
          <t>20251031</t>
        </is>
      </c>
    </row>
    <row r="459">
      <c r="A459" t="inlineStr">
        <is>
          <t>900006441</t>
        </is>
      </c>
      <c r="B459" t="inlineStr">
        <is>
          <t>DW68</t>
        </is>
      </c>
      <c r="C459" t="inlineStr">
        <is>
          <t>D214</t>
        </is>
      </c>
      <c r="D459" t="inlineStr">
        <is>
          <t>10000191</t>
        </is>
      </c>
      <c r="E459" t="inlineStr"/>
      <c r="F459" s="11" t="n">
        <v>85.11</v>
      </c>
      <c r="G459" t="inlineStr"/>
      <c r="I459" t="inlineStr">
        <is>
          <t>TN</t>
        </is>
      </c>
      <c r="J459" t="inlineStr"/>
      <c r="K459" t="inlineStr">
        <is>
          <t>20220516</t>
        </is>
      </c>
      <c r="L459" t="inlineStr">
        <is>
          <t>20251031</t>
        </is>
      </c>
    </row>
    <row r="460">
      <c r="A460" t="inlineStr">
        <is>
          <t>900006441</t>
        </is>
      </c>
      <c r="B460" t="inlineStr">
        <is>
          <t>DW68</t>
        </is>
      </c>
      <c r="C460" t="inlineStr">
        <is>
          <t>D228</t>
        </is>
      </c>
      <c r="D460" t="inlineStr">
        <is>
          <t>10000191</t>
        </is>
      </c>
      <c r="E460" t="inlineStr"/>
      <c r="F460" s="11" t="n">
        <v>85.11</v>
      </c>
      <c r="G460" t="inlineStr"/>
      <c r="I460" t="inlineStr">
        <is>
          <t>TN</t>
        </is>
      </c>
      <c r="J460" t="inlineStr"/>
      <c r="K460" t="inlineStr">
        <is>
          <t>20220516</t>
        </is>
      </c>
      <c r="L460" t="inlineStr">
        <is>
          <t>20251031</t>
        </is>
      </c>
    </row>
    <row r="461">
      <c r="A461" t="inlineStr">
        <is>
          <t>900006441</t>
        </is>
      </c>
      <c r="B461" t="inlineStr">
        <is>
          <t>DW68</t>
        </is>
      </c>
      <c r="C461" t="inlineStr">
        <is>
          <t>D242</t>
        </is>
      </c>
      <c r="D461" t="inlineStr">
        <is>
          <t>10000191</t>
        </is>
      </c>
      <c r="E461" t="inlineStr"/>
      <c r="F461" s="11" t="n">
        <v>85.11</v>
      </c>
      <c r="G461" t="inlineStr"/>
      <c r="I461" t="inlineStr">
        <is>
          <t>TN</t>
        </is>
      </c>
      <c r="J461" t="inlineStr"/>
      <c r="K461" t="inlineStr">
        <is>
          <t>20220516</t>
        </is>
      </c>
      <c r="L461" t="inlineStr">
        <is>
          <t>20251031</t>
        </is>
      </c>
    </row>
    <row r="462">
      <c r="A462" t="inlineStr">
        <is>
          <t>900006441</t>
        </is>
      </c>
      <c r="B462" t="inlineStr">
        <is>
          <t>DW68</t>
        </is>
      </c>
      <c r="C462" t="inlineStr">
        <is>
          <t>D251</t>
        </is>
      </c>
      <c r="D462" t="inlineStr">
        <is>
          <t>10000191</t>
        </is>
      </c>
      <c r="E462" t="inlineStr"/>
      <c r="F462" s="11" t="n">
        <v>85.11</v>
      </c>
      <c r="G462" t="inlineStr"/>
      <c r="I462" t="inlineStr">
        <is>
          <t>TN</t>
        </is>
      </c>
      <c r="J462" t="inlineStr"/>
      <c r="K462" t="inlineStr">
        <is>
          <t>20220516</t>
        </is>
      </c>
      <c r="L462" t="inlineStr">
        <is>
          <t>20251031</t>
        </is>
      </c>
    </row>
    <row r="463">
      <c r="A463" t="inlineStr">
        <is>
          <t>900006441</t>
        </is>
      </c>
      <c r="B463" t="inlineStr">
        <is>
          <t>DW68</t>
        </is>
      </c>
      <c r="C463" t="inlineStr">
        <is>
          <t>D264</t>
        </is>
      </c>
      <c r="D463" t="inlineStr">
        <is>
          <t>10000191</t>
        </is>
      </c>
      <c r="E463" t="inlineStr"/>
      <c r="F463" s="11" t="n">
        <v>85.11</v>
      </c>
      <c r="G463" t="inlineStr"/>
      <c r="I463" t="inlineStr">
        <is>
          <t>TN</t>
        </is>
      </c>
      <c r="J463" t="inlineStr"/>
      <c r="K463" t="inlineStr">
        <is>
          <t>20220516</t>
        </is>
      </c>
      <c r="L463" t="inlineStr">
        <is>
          <t>20251031</t>
        </is>
      </c>
    </row>
    <row r="464">
      <c r="A464" t="inlineStr">
        <is>
          <t>900006441</t>
        </is>
      </c>
      <c r="B464" t="inlineStr">
        <is>
          <t>DW68</t>
        </is>
      </c>
      <c r="C464" t="inlineStr">
        <is>
          <t>D267</t>
        </is>
      </c>
      <c r="D464" t="inlineStr">
        <is>
          <t>10000191</t>
        </is>
      </c>
      <c r="E464" t="inlineStr"/>
      <c r="F464" s="11" t="n">
        <v>85.11</v>
      </c>
      <c r="G464" t="inlineStr"/>
      <c r="I464" t="inlineStr">
        <is>
          <t>TN</t>
        </is>
      </c>
      <c r="J464" t="inlineStr"/>
      <c r="K464" t="inlineStr">
        <is>
          <t>20220516</t>
        </is>
      </c>
      <c r="L464" t="inlineStr">
        <is>
          <t>20251031</t>
        </is>
      </c>
    </row>
    <row r="465">
      <c r="A465" t="inlineStr">
        <is>
          <t>900007315</t>
        </is>
      </c>
      <c r="B465" t="inlineStr">
        <is>
          <t>DW68</t>
        </is>
      </c>
      <c r="C465" t="inlineStr">
        <is>
          <t>D042</t>
        </is>
      </c>
      <c r="D465" t="inlineStr">
        <is>
          <t>10000200</t>
        </is>
      </c>
      <c r="E465" t="inlineStr"/>
      <c r="F465" s="11" t="n">
        <v>95.88</v>
      </c>
      <c r="G465" t="inlineStr"/>
      <c r="I465" t="inlineStr">
        <is>
          <t>TN</t>
        </is>
      </c>
      <c r="J465" t="inlineStr"/>
      <c r="K465" t="inlineStr">
        <is>
          <t>20250801</t>
        </is>
      </c>
      <c r="L465" t="inlineStr">
        <is>
          <t>99991231</t>
        </is>
      </c>
    </row>
    <row r="466">
      <c r="A466" t="inlineStr">
        <is>
          <t>900007315</t>
        </is>
      </c>
      <c r="B466" t="inlineStr">
        <is>
          <t>DW68</t>
        </is>
      </c>
      <c r="C466" t="inlineStr">
        <is>
          <t>D042</t>
        </is>
      </c>
      <c r="D466" t="inlineStr">
        <is>
          <t>10018375</t>
        </is>
      </c>
      <c r="E466" t="inlineStr"/>
      <c r="F466" s="11" t="n">
        <v>45.45</v>
      </c>
      <c r="G466" t="inlineStr"/>
      <c r="I466" t="inlineStr">
        <is>
          <t>TN</t>
        </is>
      </c>
      <c r="J466" t="inlineStr"/>
      <c r="K466" t="inlineStr">
        <is>
          <t>20220516</t>
        </is>
      </c>
      <c r="L466" t="inlineStr">
        <is>
          <t>20250730</t>
        </is>
      </c>
    </row>
    <row r="467">
      <c r="A467" t="inlineStr">
        <is>
          <t>900007315</t>
        </is>
      </c>
      <c r="B467" t="inlineStr">
        <is>
          <t>DW68</t>
        </is>
      </c>
      <c r="C467" t="inlineStr">
        <is>
          <t>D209</t>
        </is>
      </c>
      <c r="D467" t="inlineStr">
        <is>
          <t>10000200</t>
        </is>
      </c>
      <c r="E467" t="inlineStr"/>
      <c r="F467" s="11" t="n">
        <v>95.88</v>
      </c>
      <c r="G467" t="inlineStr"/>
      <c r="I467" t="inlineStr">
        <is>
          <t>TN</t>
        </is>
      </c>
      <c r="J467" t="inlineStr"/>
      <c r="K467" t="inlineStr">
        <is>
          <t>20250801</t>
        </is>
      </c>
      <c r="L467" t="inlineStr">
        <is>
          <t>99991231</t>
        </is>
      </c>
    </row>
    <row r="468">
      <c r="A468" t="inlineStr">
        <is>
          <t>900007315</t>
        </is>
      </c>
      <c r="B468" t="inlineStr">
        <is>
          <t>DW68</t>
        </is>
      </c>
      <c r="C468" t="inlineStr">
        <is>
          <t>D209</t>
        </is>
      </c>
      <c r="D468" t="inlineStr">
        <is>
          <t>10018375</t>
        </is>
      </c>
      <c r="E468" t="inlineStr"/>
      <c r="F468" s="11" t="n">
        <v>45.45</v>
      </c>
      <c r="G468" t="inlineStr"/>
      <c r="I468" t="inlineStr">
        <is>
          <t>TN</t>
        </is>
      </c>
      <c r="J468" t="inlineStr"/>
      <c r="K468" t="inlineStr">
        <is>
          <t>20220516</t>
        </is>
      </c>
      <c r="L468" t="inlineStr">
        <is>
          <t>20250730</t>
        </is>
      </c>
    </row>
    <row r="469">
      <c r="A469" t="inlineStr">
        <is>
          <t>900007315</t>
        </is>
      </c>
      <c r="B469" t="inlineStr">
        <is>
          <t>DW68</t>
        </is>
      </c>
      <c r="C469" t="inlineStr">
        <is>
          <t>D211</t>
        </is>
      </c>
      <c r="D469" t="inlineStr">
        <is>
          <t>10000200</t>
        </is>
      </c>
      <c r="E469" t="inlineStr"/>
      <c r="F469" s="11" t="n">
        <v>95.88</v>
      </c>
      <c r="G469" t="inlineStr"/>
      <c r="I469" t="inlineStr">
        <is>
          <t>TN</t>
        </is>
      </c>
      <c r="J469" t="inlineStr"/>
      <c r="K469" t="inlineStr">
        <is>
          <t>20250801</t>
        </is>
      </c>
      <c r="L469" t="inlineStr">
        <is>
          <t>99991231</t>
        </is>
      </c>
    </row>
    <row r="470">
      <c r="A470" t="inlineStr">
        <is>
          <t>900007315</t>
        </is>
      </c>
      <c r="B470" t="inlineStr">
        <is>
          <t>DW68</t>
        </is>
      </c>
      <c r="C470" t="inlineStr">
        <is>
          <t>D211</t>
        </is>
      </c>
      <c r="D470" t="inlineStr">
        <is>
          <t>10018375</t>
        </is>
      </c>
      <c r="E470" t="inlineStr"/>
      <c r="F470" s="11" t="n">
        <v>45.45</v>
      </c>
      <c r="G470" t="inlineStr"/>
      <c r="I470" t="inlineStr">
        <is>
          <t>TN</t>
        </is>
      </c>
      <c r="J470" t="inlineStr"/>
      <c r="K470" t="inlineStr">
        <is>
          <t>20220516</t>
        </is>
      </c>
      <c r="L470" t="inlineStr">
        <is>
          <t>20250730</t>
        </is>
      </c>
    </row>
    <row r="471">
      <c r="A471" t="inlineStr">
        <is>
          <t>900007315</t>
        </is>
      </c>
      <c r="B471" t="inlineStr">
        <is>
          <t>DW68</t>
        </is>
      </c>
      <c r="C471" t="inlineStr">
        <is>
          <t>D213</t>
        </is>
      </c>
      <c r="D471" t="inlineStr">
        <is>
          <t>10000200</t>
        </is>
      </c>
      <c r="E471" t="inlineStr"/>
      <c r="F471" s="11" t="n">
        <v>95.88</v>
      </c>
      <c r="G471" t="inlineStr"/>
      <c r="I471" t="inlineStr">
        <is>
          <t>TN</t>
        </is>
      </c>
      <c r="J471" t="inlineStr"/>
      <c r="K471" t="inlineStr">
        <is>
          <t>20250801</t>
        </is>
      </c>
      <c r="L471" t="inlineStr">
        <is>
          <t>99991231</t>
        </is>
      </c>
    </row>
    <row r="472">
      <c r="A472" t="inlineStr">
        <is>
          <t>900007315</t>
        </is>
      </c>
      <c r="B472" t="inlineStr">
        <is>
          <t>DW68</t>
        </is>
      </c>
      <c r="C472" t="inlineStr">
        <is>
          <t>D214</t>
        </is>
      </c>
      <c r="D472" t="inlineStr">
        <is>
          <t>10000200</t>
        </is>
      </c>
      <c r="E472" t="inlineStr"/>
      <c r="F472" s="11" t="n">
        <v>95.88</v>
      </c>
      <c r="G472" t="inlineStr"/>
      <c r="I472" t="inlineStr">
        <is>
          <t>TN</t>
        </is>
      </c>
      <c r="J472" t="inlineStr"/>
      <c r="K472" t="inlineStr">
        <is>
          <t>20250801</t>
        </is>
      </c>
      <c r="L472" t="inlineStr">
        <is>
          <t>99991231</t>
        </is>
      </c>
    </row>
    <row r="473">
      <c r="A473" t="inlineStr">
        <is>
          <t>900007315</t>
        </is>
      </c>
      <c r="B473" t="inlineStr">
        <is>
          <t>DW68</t>
        </is>
      </c>
      <c r="C473" t="inlineStr">
        <is>
          <t>D214</t>
        </is>
      </c>
      <c r="D473" t="inlineStr">
        <is>
          <t>10018375</t>
        </is>
      </c>
      <c r="E473" t="inlineStr"/>
      <c r="F473" s="11" t="n">
        <v>45.45</v>
      </c>
      <c r="G473" t="inlineStr"/>
      <c r="I473" t="inlineStr">
        <is>
          <t>TN</t>
        </is>
      </c>
      <c r="J473" t="inlineStr"/>
      <c r="K473" t="inlineStr">
        <is>
          <t>20220516</t>
        </is>
      </c>
      <c r="L473" t="inlineStr">
        <is>
          <t>20250730</t>
        </is>
      </c>
    </row>
    <row r="474">
      <c r="A474" t="inlineStr">
        <is>
          <t>900007315</t>
        </is>
      </c>
      <c r="B474" t="inlineStr">
        <is>
          <t>DW68</t>
        </is>
      </c>
      <c r="C474" t="inlineStr">
        <is>
          <t>D220</t>
        </is>
      </c>
      <c r="D474" t="inlineStr">
        <is>
          <t>10000200</t>
        </is>
      </c>
      <c r="E474" t="inlineStr"/>
      <c r="F474" s="11" t="n">
        <v>95.88</v>
      </c>
      <c r="G474" t="inlineStr"/>
      <c r="I474" t="inlineStr">
        <is>
          <t>TN</t>
        </is>
      </c>
      <c r="J474" t="inlineStr"/>
      <c r="K474" t="inlineStr">
        <is>
          <t>20250801</t>
        </is>
      </c>
      <c r="L474" t="inlineStr">
        <is>
          <t>99991231</t>
        </is>
      </c>
    </row>
    <row r="475">
      <c r="A475" t="inlineStr">
        <is>
          <t>900007315</t>
        </is>
      </c>
      <c r="B475" t="inlineStr">
        <is>
          <t>DW68</t>
        </is>
      </c>
      <c r="C475" t="inlineStr">
        <is>
          <t>D228</t>
        </is>
      </c>
      <c r="D475" t="inlineStr">
        <is>
          <t>10000200</t>
        </is>
      </c>
      <c r="E475" t="inlineStr"/>
      <c r="F475" s="11" t="n">
        <v>95.88</v>
      </c>
      <c r="G475" t="inlineStr"/>
      <c r="I475" t="inlineStr">
        <is>
          <t>TN</t>
        </is>
      </c>
      <c r="J475" t="inlineStr"/>
      <c r="K475" t="inlineStr">
        <is>
          <t>20250801</t>
        </is>
      </c>
      <c r="L475" t="inlineStr">
        <is>
          <t>99991231</t>
        </is>
      </c>
    </row>
    <row r="476">
      <c r="A476" t="inlineStr">
        <is>
          <t>900007315</t>
        </is>
      </c>
      <c r="B476" t="inlineStr">
        <is>
          <t>DW68</t>
        </is>
      </c>
      <c r="C476" t="inlineStr">
        <is>
          <t>D228</t>
        </is>
      </c>
      <c r="D476" t="inlineStr">
        <is>
          <t>10018375</t>
        </is>
      </c>
      <c r="E476" t="inlineStr"/>
      <c r="F476" s="11" t="n">
        <v>45.45</v>
      </c>
      <c r="G476" t="inlineStr"/>
      <c r="I476" t="inlineStr">
        <is>
          <t>TN</t>
        </is>
      </c>
      <c r="J476" t="inlineStr"/>
      <c r="K476" t="inlineStr">
        <is>
          <t>20220516</t>
        </is>
      </c>
      <c r="L476" t="inlineStr">
        <is>
          <t>20250730</t>
        </is>
      </c>
    </row>
    <row r="477">
      <c r="A477" t="inlineStr">
        <is>
          <t>900007315</t>
        </is>
      </c>
      <c r="B477" t="inlineStr">
        <is>
          <t>DW68</t>
        </is>
      </c>
      <c r="C477" t="inlineStr">
        <is>
          <t>D242</t>
        </is>
      </c>
      <c r="D477" t="inlineStr">
        <is>
          <t>10000200</t>
        </is>
      </c>
      <c r="E477" t="inlineStr"/>
      <c r="F477" s="11" t="n">
        <v>95.88</v>
      </c>
      <c r="G477" t="inlineStr"/>
      <c r="I477" t="inlineStr">
        <is>
          <t>TN</t>
        </is>
      </c>
      <c r="J477" t="inlineStr"/>
      <c r="K477" t="inlineStr">
        <is>
          <t>20250801</t>
        </is>
      </c>
      <c r="L477" t="inlineStr">
        <is>
          <t>99991231</t>
        </is>
      </c>
    </row>
    <row r="478">
      <c r="A478" t="inlineStr">
        <is>
          <t>900007315</t>
        </is>
      </c>
      <c r="B478" t="inlineStr">
        <is>
          <t>DW68</t>
        </is>
      </c>
      <c r="C478" t="inlineStr">
        <is>
          <t>D242</t>
        </is>
      </c>
      <c r="D478" t="inlineStr">
        <is>
          <t>10018375</t>
        </is>
      </c>
      <c r="E478" t="inlineStr"/>
      <c r="F478" s="11" t="n">
        <v>45.45</v>
      </c>
      <c r="G478" t="inlineStr"/>
      <c r="I478" t="inlineStr">
        <is>
          <t>TN</t>
        </is>
      </c>
      <c r="J478" t="inlineStr"/>
      <c r="K478" t="inlineStr">
        <is>
          <t>20220516</t>
        </is>
      </c>
      <c r="L478" t="inlineStr">
        <is>
          <t>20250730</t>
        </is>
      </c>
    </row>
    <row r="479">
      <c r="A479" t="inlineStr">
        <is>
          <t>900007315</t>
        </is>
      </c>
      <c r="B479" t="inlineStr">
        <is>
          <t>DW68</t>
        </is>
      </c>
      <c r="C479" t="inlineStr">
        <is>
          <t>D247</t>
        </is>
      </c>
      <c r="D479" t="inlineStr">
        <is>
          <t>10000200</t>
        </is>
      </c>
      <c r="E479" t="inlineStr"/>
      <c r="F479" s="11" t="n">
        <v>95.88</v>
      </c>
      <c r="G479" t="inlineStr"/>
      <c r="I479" t="inlineStr">
        <is>
          <t>TN</t>
        </is>
      </c>
      <c r="J479" t="inlineStr"/>
      <c r="K479" t="inlineStr">
        <is>
          <t>20250801</t>
        </is>
      </c>
      <c r="L479" t="inlineStr">
        <is>
          <t>99991231</t>
        </is>
      </c>
    </row>
    <row r="480">
      <c r="A480" t="inlineStr">
        <is>
          <t>900007315</t>
        </is>
      </c>
      <c r="B480" t="inlineStr">
        <is>
          <t>DW68</t>
        </is>
      </c>
      <c r="C480" t="inlineStr">
        <is>
          <t>D247</t>
        </is>
      </c>
      <c r="D480" t="inlineStr">
        <is>
          <t>10018375</t>
        </is>
      </c>
      <c r="E480" t="inlineStr"/>
      <c r="F480" s="11" t="n">
        <v>45.45</v>
      </c>
      <c r="G480" t="inlineStr"/>
      <c r="I480" t="inlineStr">
        <is>
          <t>TN</t>
        </is>
      </c>
      <c r="J480" t="inlineStr"/>
      <c r="K480" t="inlineStr">
        <is>
          <t>20220516</t>
        </is>
      </c>
      <c r="L480" t="inlineStr">
        <is>
          <t>20250730</t>
        </is>
      </c>
    </row>
    <row r="481">
      <c r="A481" t="inlineStr">
        <is>
          <t>900007315</t>
        </is>
      </c>
      <c r="B481" t="inlineStr">
        <is>
          <t>DW68</t>
        </is>
      </c>
      <c r="C481" t="inlineStr">
        <is>
          <t>D264</t>
        </is>
      </c>
      <c r="D481" t="inlineStr">
        <is>
          <t>10000200</t>
        </is>
      </c>
      <c r="E481" t="inlineStr"/>
      <c r="F481" s="11" t="n">
        <v>95.88</v>
      </c>
      <c r="G481" t="inlineStr"/>
      <c r="I481" t="inlineStr">
        <is>
          <t>TN</t>
        </is>
      </c>
      <c r="J481" t="inlineStr"/>
      <c r="K481" t="inlineStr">
        <is>
          <t>20250801</t>
        </is>
      </c>
      <c r="L481" t="inlineStr">
        <is>
          <t>99991231</t>
        </is>
      </c>
    </row>
    <row r="482">
      <c r="A482" t="inlineStr">
        <is>
          <t>900007315</t>
        </is>
      </c>
      <c r="B482" t="inlineStr">
        <is>
          <t>DW68</t>
        </is>
      </c>
      <c r="C482" t="inlineStr">
        <is>
          <t>D264</t>
        </is>
      </c>
      <c r="D482" t="inlineStr">
        <is>
          <t>10018375</t>
        </is>
      </c>
      <c r="E482" t="inlineStr"/>
      <c r="F482" s="11" t="n">
        <v>45.45</v>
      </c>
      <c r="G482" t="inlineStr"/>
      <c r="I482" t="inlineStr">
        <is>
          <t>TN</t>
        </is>
      </c>
      <c r="J482" t="inlineStr"/>
      <c r="K482" t="inlineStr">
        <is>
          <t>20220516</t>
        </is>
      </c>
      <c r="L482" t="inlineStr">
        <is>
          <t>20250730</t>
        </is>
      </c>
    </row>
    <row r="483">
      <c r="A483" t="inlineStr">
        <is>
          <t>900007315</t>
        </is>
      </c>
      <c r="B483" t="inlineStr">
        <is>
          <t>DW68</t>
        </is>
      </c>
      <c r="C483" t="inlineStr">
        <is>
          <t>D267</t>
        </is>
      </c>
      <c r="D483" t="inlineStr">
        <is>
          <t>10000200</t>
        </is>
      </c>
      <c r="E483" t="inlineStr"/>
      <c r="F483" s="11" t="n">
        <v>95.88</v>
      </c>
      <c r="G483" t="inlineStr"/>
      <c r="I483" t="inlineStr">
        <is>
          <t>TN</t>
        </is>
      </c>
      <c r="J483" t="inlineStr"/>
      <c r="K483" t="inlineStr">
        <is>
          <t>20250801</t>
        </is>
      </c>
      <c r="L483" t="inlineStr">
        <is>
          <t>99991231</t>
        </is>
      </c>
    </row>
    <row r="484">
      <c r="A484" t="inlineStr">
        <is>
          <t>900007315</t>
        </is>
      </c>
      <c r="B484" t="inlineStr">
        <is>
          <t>DW68</t>
        </is>
      </c>
      <c r="C484" t="inlineStr">
        <is>
          <t>D267</t>
        </is>
      </c>
      <c r="D484" t="inlineStr">
        <is>
          <t>10018375</t>
        </is>
      </c>
      <c r="E484" t="inlineStr"/>
      <c r="F484" s="11" t="n">
        <v>45.45</v>
      </c>
      <c r="G484" t="inlineStr"/>
      <c r="I484" t="inlineStr">
        <is>
          <t>TN</t>
        </is>
      </c>
      <c r="J484" t="inlineStr"/>
      <c r="K484" t="inlineStr">
        <is>
          <t>20220516</t>
        </is>
      </c>
      <c r="L484" t="inlineStr">
        <is>
          <t>20250730</t>
        </is>
      </c>
    </row>
    <row r="485">
      <c r="A485" t="inlineStr">
        <is>
          <t>900007515</t>
        </is>
      </c>
      <c r="B485" t="inlineStr">
        <is>
          <t>DW68</t>
        </is>
      </c>
      <c r="C485" t="inlineStr">
        <is>
          <t>D268</t>
        </is>
      </c>
      <c r="D485" t="inlineStr">
        <is>
          <t>10000191</t>
        </is>
      </c>
      <c r="E485" t="inlineStr"/>
      <c r="F485" s="11" t="n">
        <v>121.18</v>
      </c>
      <c r="G485" t="inlineStr"/>
      <c r="I485" t="inlineStr">
        <is>
          <t>TN</t>
        </is>
      </c>
      <c r="J485" t="inlineStr"/>
      <c r="K485" t="inlineStr">
        <is>
          <t>20220516</t>
        </is>
      </c>
      <c r="L485" t="inlineStr">
        <is>
          <t>20251031</t>
        </is>
      </c>
    </row>
    <row r="486">
      <c r="A486" t="inlineStr">
        <is>
          <t>900007515</t>
        </is>
      </c>
      <c r="B486" t="inlineStr">
        <is>
          <t>DW68</t>
        </is>
      </c>
      <c r="C486" t="inlineStr">
        <is>
          <t>D268</t>
        </is>
      </c>
      <c r="D486" t="inlineStr">
        <is>
          <t>10000384</t>
        </is>
      </c>
      <c r="E486" t="inlineStr"/>
      <c r="F486" s="11" t="n">
        <v>114.7</v>
      </c>
      <c r="G486" t="inlineStr"/>
      <c r="I486" t="inlineStr">
        <is>
          <t>TN</t>
        </is>
      </c>
      <c r="J486" t="inlineStr"/>
      <c r="K486" t="inlineStr">
        <is>
          <t>20220516</t>
        </is>
      </c>
      <c r="L486" t="inlineStr">
        <is>
          <t>20251031</t>
        </is>
      </c>
    </row>
    <row r="487">
      <c r="A487" t="inlineStr">
        <is>
          <t>900007515</t>
        </is>
      </c>
      <c r="B487" t="inlineStr">
        <is>
          <t>DW68</t>
        </is>
      </c>
      <c r="C487" t="inlineStr">
        <is>
          <t>D268</t>
        </is>
      </c>
      <c r="D487" t="inlineStr">
        <is>
          <t>10000388</t>
        </is>
      </c>
      <c r="E487" t="inlineStr"/>
      <c r="F487" s="11" t="n">
        <v>106.88</v>
      </c>
      <c r="G487" t="inlineStr"/>
      <c r="I487" t="inlineStr">
        <is>
          <t>TN</t>
        </is>
      </c>
      <c r="J487" t="inlineStr"/>
      <c r="K487" t="inlineStr">
        <is>
          <t>20220516</t>
        </is>
      </c>
      <c r="L487" t="inlineStr">
        <is>
          <t>20251031</t>
        </is>
      </c>
    </row>
    <row r="488">
      <c r="A488" t="inlineStr">
        <is>
          <t>900007515</t>
        </is>
      </c>
      <c r="B488" t="inlineStr">
        <is>
          <t>DW68</t>
        </is>
      </c>
      <c r="C488" t="inlineStr">
        <is>
          <t>D268</t>
        </is>
      </c>
      <c r="D488" t="inlineStr">
        <is>
          <t>10004258</t>
        </is>
      </c>
      <c r="E488" t="inlineStr"/>
      <c r="F488" s="11" t="n">
        <v>149</v>
      </c>
      <c r="G488" t="inlineStr"/>
      <c r="I488" t="inlineStr">
        <is>
          <t>TN</t>
        </is>
      </c>
      <c r="J488" t="inlineStr"/>
      <c r="K488" t="inlineStr">
        <is>
          <t>20220516</t>
        </is>
      </c>
      <c r="L488" t="inlineStr">
        <is>
          <t>20251031</t>
        </is>
      </c>
    </row>
    <row r="489">
      <c r="A489" t="inlineStr">
        <is>
          <t>900007868</t>
        </is>
      </c>
      <c r="B489" t="inlineStr">
        <is>
          <t>DW68</t>
        </is>
      </c>
      <c r="C489" t="inlineStr">
        <is>
          <t>D042</t>
        </is>
      </c>
      <c r="D489" t="inlineStr">
        <is>
          <t>10000191</t>
        </is>
      </c>
      <c r="E489" t="inlineStr"/>
      <c r="F489" s="11" t="n">
        <v>178.65</v>
      </c>
      <c r="G489" t="inlineStr"/>
      <c r="I489" t="inlineStr">
        <is>
          <t>TN</t>
        </is>
      </c>
      <c r="J489" t="inlineStr"/>
      <c r="K489" t="inlineStr">
        <is>
          <t>20250224</t>
        </is>
      </c>
      <c r="L489" t="inlineStr">
        <is>
          <t>99991231</t>
        </is>
      </c>
    </row>
    <row r="490">
      <c r="A490" t="inlineStr">
        <is>
          <t>900007868</t>
        </is>
      </c>
      <c r="B490" t="inlineStr">
        <is>
          <t>DW68</t>
        </is>
      </c>
      <c r="C490" t="inlineStr">
        <is>
          <t>D042</t>
        </is>
      </c>
      <c r="D490" t="inlineStr">
        <is>
          <t>10000384</t>
        </is>
      </c>
      <c r="E490" t="inlineStr"/>
      <c r="F490" s="11" t="n">
        <v>142.24</v>
      </c>
      <c r="G490" t="inlineStr"/>
      <c r="I490" t="inlineStr">
        <is>
          <t>TN</t>
        </is>
      </c>
      <c r="J490" t="inlineStr"/>
      <c r="K490" t="inlineStr">
        <is>
          <t>20250224</t>
        </is>
      </c>
      <c r="L490" t="inlineStr">
        <is>
          <t>99991231</t>
        </is>
      </c>
    </row>
    <row r="491">
      <c r="A491" t="inlineStr">
        <is>
          <t>900007868</t>
        </is>
      </c>
      <c r="B491" t="inlineStr">
        <is>
          <t>DW68</t>
        </is>
      </c>
      <c r="C491" t="inlineStr">
        <is>
          <t>D042</t>
        </is>
      </c>
      <c r="D491" t="inlineStr">
        <is>
          <t>10000388</t>
        </is>
      </c>
      <c r="E491" t="inlineStr"/>
      <c r="F491" s="11" t="n">
        <v>180.58</v>
      </c>
      <c r="G491" t="inlineStr"/>
      <c r="I491" t="inlineStr">
        <is>
          <t>TN</t>
        </is>
      </c>
      <c r="J491" t="inlineStr"/>
      <c r="K491" t="inlineStr">
        <is>
          <t>20250224</t>
        </is>
      </c>
      <c r="L491" t="inlineStr">
        <is>
          <t>99991231</t>
        </is>
      </c>
    </row>
    <row r="492">
      <c r="A492" t="inlineStr">
        <is>
          <t>900007868</t>
        </is>
      </c>
      <c r="B492" t="inlineStr">
        <is>
          <t>DW68</t>
        </is>
      </c>
      <c r="C492" t="inlineStr">
        <is>
          <t>D042</t>
        </is>
      </c>
      <c r="D492" t="inlineStr">
        <is>
          <t>10004258</t>
        </is>
      </c>
      <c r="E492" t="inlineStr"/>
      <c r="F492" s="11" t="n">
        <v>209.54</v>
      </c>
      <c r="G492" t="inlineStr"/>
      <c r="I492" t="inlineStr">
        <is>
          <t>TN</t>
        </is>
      </c>
      <c r="J492" t="inlineStr"/>
      <c r="K492" t="inlineStr">
        <is>
          <t>20250224</t>
        </is>
      </c>
      <c r="L492" t="inlineStr">
        <is>
          <t>99991231</t>
        </is>
      </c>
    </row>
    <row r="493">
      <c r="A493" t="inlineStr">
        <is>
          <t>900007868</t>
        </is>
      </c>
      <c r="B493" t="inlineStr">
        <is>
          <t>DW68</t>
        </is>
      </c>
      <c r="C493" t="inlineStr">
        <is>
          <t>D209</t>
        </is>
      </c>
      <c r="D493" t="inlineStr">
        <is>
          <t>10000191</t>
        </is>
      </c>
      <c r="E493" t="inlineStr"/>
      <c r="F493" s="11" t="n">
        <v>178.65</v>
      </c>
      <c r="G493" t="inlineStr"/>
      <c r="I493" t="inlineStr">
        <is>
          <t>TN</t>
        </is>
      </c>
      <c r="J493" t="inlineStr"/>
      <c r="K493" t="inlineStr">
        <is>
          <t>20250224</t>
        </is>
      </c>
      <c r="L493" t="inlineStr">
        <is>
          <t>99991231</t>
        </is>
      </c>
    </row>
    <row r="494">
      <c r="A494" t="inlineStr">
        <is>
          <t>900007868</t>
        </is>
      </c>
      <c r="B494" t="inlineStr">
        <is>
          <t>DW68</t>
        </is>
      </c>
      <c r="C494" t="inlineStr">
        <is>
          <t>D209</t>
        </is>
      </c>
      <c r="D494" t="inlineStr">
        <is>
          <t>10000384</t>
        </is>
      </c>
      <c r="E494" t="inlineStr"/>
      <c r="F494" s="11" t="n">
        <v>142.24</v>
      </c>
      <c r="G494" t="inlineStr"/>
      <c r="I494" t="inlineStr">
        <is>
          <t>TN</t>
        </is>
      </c>
      <c r="J494" t="inlineStr"/>
      <c r="K494" t="inlineStr">
        <is>
          <t>20250224</t>
        </is>
      </c>
      <c r="L494" t="inlineStr">
        <is>
          <t>99991231</t>
        </is>
      </c>
    </row>
    <row r="495">
      <c r="A495" t="inlineStr">
        <is>
          <t>900007868</t>
        </is>
      </c>
      <c r="B495" t="inlineStr">
        <is>
          <t>DW68</t>
        </is>
      </c>
      <c r="C495" t="inlineStr">
        <is>
          <t>D209</t>
        </is>
      </c>
      <c r="D495" t="inlineStr">
        <is>
          <t>10000388</t>
        </is>
      </c>
      <c r="E495" t="inlineStr"/>
      <c r="F495" s="11" t="n">
        <v>180.58</v>
      </c>
      <c r="G495" t="inlineStr"/>
      <c r="I495" t="inlineStr">
        <is>
          <t>TN</t>
        </is>
      </c>
      <c r="J495" t="inlineStr"/>
      <c r="K495" t="inlineStr">
        <is>
          <t>20250224</t>
        </is>
      </c>
      <c r="L495" t="inlineStr">
        <is>
          <t>99991231</t>
        </is>
      </c>
    </row>
    <row r="496">
      <c r="A496" t="inlineStr">
        <is>
          <t>900007868</t>
        </is>
      </c>
      <c r="B496" t="inlineStr">
        <is>
          <t>DW68</t>
        </is>
      </c>
      <c r="C496" t="inlineStr">
        <is>
          <t>D209</t>
        </is>
      </c>
      <c r="D496" t="inlineStr">
        <is>
          <t>10004258</t>
        </is>
      </c>
      <c r="E496" t="inlineStr"/>
      <c r="F496" s="11" t="n">
        <v>209.54</v>
      </c>
      <c r="G496" t="inlineStr"/>
      <c r="I496" t="inlineStr">
        <is>
          <t>TN</t>
        </is>
      </c>
      <c r="J496" t="inlineStr"/>
      <c r="K496" t="inlineStr">
        <is>
          <t>20250224</t>
        </is>
      </c>
      <c r="L496" t="inlineStr">
        <is>
          <t>99991231</t>
        </is>
      </c>
    </row>
    <row r="497">
      <c r="A497" t="inlineStr">
        <is>
          <t>900007868</t>
        </is>
      </c>
      <c r="B497" t="inlineStr">
        <is>
          <t>DW68</t>
        </is>
      </c>
      <c r="C497" t="inlineStr">
        <is>
          <t>D211</t>
        </is>
      </c>
      <c r="D497" t="inlineStr">
        <is>
          <t>10000191</t>
        </is>
      </c>
      <c r="E497" t="inlineStr"/>
      <c r="F497" s="11" t="n">
        <v>178.65</v>
      </c>
      <c r="G497" t="inlineStr"/>
      <c r="I497" t="inlineStr">
        <is>
          <t>TN</t>
        </is>
      </c>
      <c r="J497" t="inlineStr"/>
      <c r="K497" t="inlineStr">
        <is>
          <t>20250224</t>
        </is>
      </c>
      <c r="L497" t="inlineStr">
        <is>
          <t>99991231</t>
        </is>
      </c>
    </row>
    <row r="498">
      <c r="A498" t="inlineStr">
        <is>
          <t>900007868</t>
        </is>
      </c>
      <c r="B498" t="inlineStr">
        <is>
          <t>DW68</t>
        </is>
      </c>
      <c r="C498" t="inlineStr">
        <is>
          <t>D211</t>
        </is>
      </c>
      <c r="D498" t="inlineStr">
        <is>
          <t>10000384</t>
        </is>
      </c>
      <c r="E498" t="inlineStr"/>
      <c r="F498" s="11" t="n">
        <v>142.24</v>
      </c>
      <c r="G498" t="inlineStr"/>
      <c r="I498" t="inlineStr">
        <is>
          <t>TN</t>
        </is>
      </c>
      <c r="J498" t="inlineStr"/>
      <c r="K498" t="inlineStr">
        <is>
          <t>20250224</t>
        </is>
      </c>
      <c r="L498" t="inlineStr">
        <is>
          <t>99991231</t>
        </is>
      </c>
    </row>
    <row r="499">
      <c r="A499" t="inlineStr">
        <is>
          <t>900007868</t>
        </is>
      </c>
      <c r="B499" t="inlineStr">
        <is>
          <t>DW68</t>
        </is>
      </c>
      <c r="C499" t="inlineStr">
        <is>
          <t>D211</t>
        </is>
      </c>
      <c r="D499" t="inlineStr">
        <is>
          <t>10000388</t>
        </is>
      </c>
      <c r="E499" t="inlineStr"/>
      <c r="F499" s="11" t="n">
        <v>180.58</v>
      </c>
      <c r="G499" t="inlineStr"/>
      <c r="I499" t="inlineStr">
        <is>
          <t>TN</t>
        </is>
      </c>
      <c r="J499" t="inlineStr"/>
      <c r="K499" t="inlineStr">
        <is>
          <t>20250224</t>
        </is>
      </c>
      <c r="L499" t="inlineStr">
        <is>
          <t>99991231</t>
        </is>
      </c>
    </row>
    <row r="500">
      <c r="A500" t="inlineStr">
        <is>
          <t>900007868</t>
        </is>
      </c>
      <c r="B500" t="inlineStr">
        <is>
          <t>DW68</t>
        </is>
      </c>
      <c r="C500" t="inlineStr">
        <is>
          <t>D211</t>
        </is>
      </c>
      <c r="D500" t="inlineStr">
        <is>
          <t>10004258</t>
        </is>
      </c>
      <c r="E500" t="inlineStr"/>
      <c r="F500" s="11" t="n">
        <v>209.54</v>
      </c>
      <c r="G500" t="inlineStr"/>
      <c r="I500" t="inlineStr">
        <is>
          <t>TN</t>
        </is>
      </c>
      <c r="J500" t="inlineStr"/>
      <c r="K500" t="inlineStr">
        <is>
          <t>20250224</t>
        </is>
      </c>
      <c r="L500" t="inlineStr">
        <is>
          <t>99991231</t>
        </is>
      </c>
    </row>
    <row r="501">
      <c r="A501" t="inlineStr">
        <is>
          <t>900007868</t>
        </is>
      </c>
      <c r="B501" t="inlineStr">
        <is>
          <t>DW68</t>
        </is>
      </c>
      <c r="C501" t="inlineStr">
        <is>
          <t>D213</t>
        </is>
      </c>
      <c r="D501" t="inlineStr">
        <is>
          <t>10000191</t>
        </is>
      </c>
      <c r="E501" t="inlineStr"/>
      <c r="F501" s="11" t="n">
        <v>156.03</v>
      </c>
      <c r="G501" t="inlineStr"/>
      <c r="I501" t="inlineStr">
        <is>
          <t>TN</t>
        </is>
      </c>
      <c r="J501" t="inlineStr"/>
      <c r="K501" t="inlineStr">
        <is>
          <t>20221207</t>
        </is>
      </c>
      <c r="L501" t="inlineStr">
        <is>
          <t>99991231</t>
        </is>
      </c>
    </row>
    <row r="502">
      <c r="A502" t="inlineStr">
        <is>
          <t>900007868</t>
        </is>
      </c>
      <c r="B502" t="inlineStr">
        <is>
          <t>DW68</t>
        </is>
      </c>
      <c r="C502" t="inlineStr">
        <is>
          <t>D213</t>
        </is>
      </c>
      <c r="D502" t="inlineStr">
        <is>
          <t>10000384</t>
        </is>
      </c>
      <c r="E502" t="inlineStr"/>
      <c r="F502" s="11" t="n">
        <v>124.22</v>
      </c>
      <c r="G502" t="inlineStr"/>
      <c r="I502" t="inlineStr">
        <is>
          <t>TN</t>
        </is>
      </c>
      <c r="J502" t="inlineStr"/>
      <c r="K502" t="inlineStr">
        <is>
          <t>20221207</t>
        </is>
      </c>
      <c r="L502" t="inlineStr">
        <is>
          <t>99991231</t>
        </is>
      </c>
    </row>
    <row r="503">
      <c r="A503" t="inlineStr">
        <is>
          <t>900007868</t>
        </is>
      </c>
      <c r="B503" t="inlineStr">
        <is>
          <t>DW68</t>
        </is>
      </c>
      <c r="C503" t="inlineStr">
        <is>
          <t>D213</t>
        </is>
      </c>
      <c r="D503" t="inlineStr">
        <is>
          <t>10000388</t>
        </is>
      </c>
      <c r="E503" t="inlineStr"/>
      <c r="F503" s="11" t="n">
        <v>157.71</v>
      </c>
      <c r="G503" t="inlineStr"/>
      <c r="I503" t="inlineStr">
        <is>
          <t>TN</t>
        </is>
      </c>
      <c r="J503" t="inlineStr"/>
      <c r="K503" t="inlineStr">
        <is>
          <t>20221207</t>
        </is>
      </c>
      <c r="L503" t="inlineStr">
        <is>
          <t>99991231</t>
        </is>
      </c>
    </row>
    <row r="504">
      <c r="A504" t="inlineStr">
        <is>
          <t>900007868</t>
        </is>
      </c>
      <c r="B504" t="inlineStr">
        <is>
          <t>DW68</t>
        </is>
      </c>
      <c r="C504" t="inlineStr">
        <is>
          <t>D213</t>
        </is>
      </c>
      <c r="D504" t="inlineStr">
        <is>
          <t>10004258</t>
        </is>
      </c>
      <c r="E504" t="inlineStr"/>
      <c r="F504" s="11" t="n">
        <v>183.01</v>
      </c>
      <c r="G504" t="inlineStr"/>
      <c r="I504" t="inlineStr">
        <is>
          <t>TN</t>
        </is>
      </c>
      <c r="J504" t="inlineStr"/>
      <c r="K504" t="inlineStr">
        <is>
          <t>20221207</t>
        </is>
      </c>
      <c r="L504" t="inlineStr">
        <is>
          <t>99991231</t>
        </is>
      </c>
    </row>
    <row r="505">
      <c r="A505" t="inlineStr">
        <is>
          <t>900007868</t>
        </is>
      </c>
      <c r="B505" t="inlineStr">
        <is>
          <t>DW68</t>
        </is>
      </c>
      <c r="C505" t="inlineStr">
        <is>
          <t>D220</t>
        </is>
      </c>
      <c r="D505" t="inlineStr">
        <is>
          <t>10000191</t>
        </is>
      </c>
      <c r="E505" t="inlineStr"/>
      <c r="F505" s="11" t="n">
        <v>156.03</v>
      </c>
      <c r="G505" t="inlineStr"/>
      <c r="I505" t="inlineStr">
        <is>
          <t>TN</t>
        </is>
      </c>
      <c r="J505" t="inlineStr"/>
      <c r="K505" t="inlineStr">
        <is>
          <t>20221207</t>
        </is>
      </c>
      <c r="L505" t="inlineStr">
        <is>
          <t>20241218</t>
        </is>
      </c>
    </row>
    <row r="506">
      <c r="A506" t="inlineStr">
        <is>
          <t>900007868</t>
        </is>
      </c>
      <c r="B506" t="inlineStr">
        <is>
          <t>DW68</t>
        </is>
      </c>
      <c r="C506" t="inlineStr">
        <is>
          <t>D220</t>
        </is>
      </c>
      <c r="D506" t="inlineStr">
        <is>
          <t>10000384</t>
        </is>
      </c>
      <c r="E506" t="inlineStr"/>
      <c r="F506" s="11" t="n">
        <v>124.22</v>
      </c>
      <c r="G506" t="inlineStr"/>
      <c r="I506" t="inlineStr">
        <is>
          <t>TN</t>
        </is>
      </c>
      <c r="J506" t="inlineStr"/>
      <c r="K506" t="inlineStr">
        <is>
          <t>20221207</t>
        </is>
      </c>
      <c r="L506" t="inlineStr">
        <is>
          <t>20241218</t>
        </is>
      </c>
    </row>
    <row r="507">
      <c r="A507" t="inlineStr">
        <is>
          <t>900007868</t>
        </is>
      </c>
      <c r="B507" t="inlineStr">
        <is>
          <t>DW68</t>
        </is>
      </c>
      <c r="C507" t="inlineStr">
        <is>
          <t>D220</t>
        </is>
      </c>
      <c r="D507" t="inlineStr">
        <is>
          <t>10000388</t>
        </is>
      </c>
      <c r="E507" t="inlineStr"/>
      <c r="F507" s="11" t="n">
        <v>157.71</v>
      </c>
      <c r="G507" t="inlineStr"/>
      <c r="I507" t="inlineStr">
        <is>
          <t>TN</t>
        </is>
      </c>
      <c r="J507" t="inlineStr"/>
      <c r="K507" t="inlineStr">
        <is>
          <t>20221207</t>
        </is>
      </c>
      <c r="L507" t="inlineStr">
        <is>
          <t>20241218</t>
        </is>
      </c>
    </row>
    <row r="508">
      <c r="A508" t="inlineStr">
        <is>
          <t>900007868</t>
        </is>
      </c>
      <c r="B508" t="inlineStr">
        <is>
          <t>DW68</t>
        </is>
      </c>
      <c r="C508" t="inlineStr">
        <is>
          <t>D220</t>
        </is>
      </c>
      <c r="D508" t="inlineStr">
        <is>
          <t>10004258</t>
        </is>
      </c>
      <c r="E508" t="inlineStr"/>
      <c r="F508" s="11" t="n">
        <v>183.01</v>
      </c>
      <c r="G508" t="inlineStr"/>
      <c r="I508" t="inlineStr">
        <is>
          <t>TN</t>
        </is>
      </c>
      <c r="J508" t="inlineStr"/>
      <c r="K508" t="inlineStr">
        <is>
          <t>20221207</t>
        </is>
      </c>
      <c r="L508" t="inlineStr">
        <is>
          <t>20241218</t>
        </is>
      </c>
    </row>
    <row r="509">
      <c r="A509" t="inlineStr">
        <is>
          <t>900007868</t>
        </is>
      </c>
      <c r="B509" t="inlineStr">
        <is>
          <t>DW68</t>
        </is>
      </c>
      <c r="C509" t="inlineStr">
        <is>
          <t>D228</t>
        </is>
      </c>
      <c r="D509" t="inlineStr">
        <is>
          <t>10000191</t>
        </is>
      </c>
      <c r="E509" t="inlineStr"/>
      <c r="F509" s="11" t="n">
        <v>178.65</v>
      </c>
      <c r="G509" t="inlineStr"/>
      <c r="I509" t="inlineStr">
        <is>
          <t>TN</t>
        </is>
      </c>
      <c r="J509" t="inlineStr"/>
      <c r="K509" t="inlineStr">
        <is>
          <t>20250224</t>
        </is>
      </c>
      <c r="L509" t="inlineStr">
        <is>
          <t>99991231</t>
        </is>
      </c>
    </row>
    <row r="510">
      <c r="A510" t="inlineStr">
        <is>
          <t>900007868</t>
        </is>
      </c>
      <c r="B510" t="inlineStr">
        <is>
          <t>DW68</t>
        </is>
      </c>
      <c r="C510" t="inlineStr">
        <is>
          <t>D228</t>
        </is>
      </c>
      <c r="D510" t="inlineStr">
        <is>
          <t>10000384</t>
        </is>
      </c>
      <c r="E510" t="inlineStr"/>
      <c r="F510" s="11" t="n">
        <v>142.24</v>
      </c>
      <c r="G510" t="inlineStr"/>
      <c r="I510" t="inlineStr">
        <is>
          <t>TN</t>
        </is>
      </c>
      <c r="J510" t="inlineStr"/>
      <c r="K510" t="inlineStr">
        <is>
          <t>20250224</t>
        </is>
      </c>
      <c r="L510" t="inlineStr">
        <is>
          <t>99991231</t>
        </is>
      </c>
    </row>
    <row r="511">
      <c r="A511" t="inlineStr">
        <is>
          <t>900007868</t>
        </is>
      </c>
      <c r="B511" t="inlineStr">
        <is>
          <t>DW68</t>
        </is>
      </c>
      <c r="C511" t="inlineStr">
        <is>
          <t>D228</t>
        </is>
      </c>
      <c r="D511" t="inlineStr">
        <is>
          <t>10000388</t>
        </is>
      </c>
      <c r="E511" t="inlineStr"/>
      <c r="F511" s="11" t="n">
        <v>180.58</v>
      </c>
      <c r="G511" t="inlineStr"/>
      <c r="I511" t="inlineStr">
        <is>
          <t>TN</t>
        </is>
      </c>
      <c r="J511" t="inlineStr"/>
      <c r="K511" t="inlineStr">
        <is>
          <t>20250224</t>
        </is>
      </c>
      <c r="L511" t="inlineStr">
        <is>
          <t>99991231</t>
        </is>
      </c>
    </row>
    <row r="512">
      <c r="A512" t="inlineStr">
        <is>
          <t>900007868</t>
        </is>
      </c>
      <c r="B512" t="inlineStr">
        <is>
          <t>DW68</t>
        </is>
      </c>
      <c r="C512" t="inlineStr">
        <is>
          <t>D228</t>
        </is>
      </c>
      <c r="D512" t="inlineStr">
        <is>
          <t>10004258</t>
        </is>
      </c>
      <c r="E512" t="inlineStr"/>
      <c r="F512" s="11" t="n">
        <v>209.54</v>
      </c>
      <c r="G512" t="inlineStr"/>
      <c r="I512" t="inlineStr">
        <is>
          <t>TN</t>
        </is>
      </c>
      <c r="J512" t="inlineStr"/>
      <c r="K512" t="inlineStr">
        <is>
          <t>20250224</t>
        </is>
      </c>
      <c r="L512" t="inlineStr">
        <is>
          <t>99991231</t>
        </is>
      </c>
    </row>
    <row r="513">
      <c r="A513" t="inlineStr">
        <is>
          <t>900007868</t>
        </is>
      </c>
      <c r="B513" t="inlineStr">
        <is>
          <t>DW68</t>
        </is>
      </c>
      <c r="C513" t="inlineStr">
        <is>
          <t>D242</t>
        </is>
      </c>
      <c r="D513" t="inlineStr">
        <is>
          <t>10000191</t>
        </is>
      </c>
      <c r="E513" t="inlineStr"/>
      <c r="F513" s="11" t="n">
        <v>178.65</v>
      </c>
      <c r="G513" t="inlineStr"/>
      <c r="I513" t="inlineStr">
        <is>
          <t>TN</t>
        </is>
      </c>
      <c r="J513" t="inlineStr"/>
      <c r="K513" t="inlineStr">
        <is>
          <t>20250224</t>
        </is>
      </c>
      <c r="L513" t="inlineStr">
        <is>
          <t>99991231</t>
        </is>
      </c>
    </row>
    <row r="514">
      <c r="A514" t="inlineStr">
        <is>
          <t>900007868</t>
        </is>
      </c>
      <c r="B514" t="inlineStr">
        <is>
          <t>DW68</t>
        </is>
      </c>
      <c r="C514" t="inlineStr">
        <is>
          <t>D242</t>
        </is>
      </c>
      <c r="D514" t="inlineStr">
        <is>
          <t>10000384</t>
        </is>
      </c>
      <c r="E514" t="inlineStr"/>
      <c r="F514" s="11" t="n">
        <v>142.24</v>
      </c>
      <c r="G514" t="inlineStr"/>
      <c r="I514" t="inlineStr">
        <is>
          <t>TN</t>
        </is>
      </c>
      <c r="J514" t="inlineStr"/>
      <c r="K514" t="inlineStr">
        <is>
          <t>20250224</t>
        </is>
      </c>
      <c r="L514" t="inlineStr">
        <is>
          <t>99991231</t>
        </is>
      </c>
    </row>
    <row r="515">
      <c r="A515" t="inlineStr">
        <is>
          <t>900007868</t>
        </is>
      </c>
      <c r="B515" t="inlineStr">
        <is>
          <t>DW68</t>
        </is>
      </c>
      <c r="C515" t="inlineStr">
        <is>
          <t>D242</t>
        </is>
      </c>
      <c r="D515" t="inlineStr">
        <is>
          <t>10000388</t>
        </is>
      </c>
      <c r="E515" t="inlineStr"/>
      <c r="F515" s="11" t="n">
        <v>180.58</v>
      </c>
      <c r="G515" t="inlineStr"/>
      <c r="I515" t="inlineStr">
        <is>
          <t>TN</t>
        </is>
      </c>
      <c r="J515" t="inlineStr"/>
      <c r="K515" t="inlineStr">
        <is>
          <t>20250224</t>
        </is>
      </c>
      <c r="L515" t="inlineStr">
        <is>
          <t>99991231</t>
        </is>
      </c>
    </row>
    <row r="516">
      <c r="A516" t="inlineStr">
        <is>
          <t>900007868</t>
        </is>
      </c>
      <c r="B516" t="inlineStr">
        <is>
          <t>DW68</t>
        </is>
      </c>
      <c r="C516" t="inlineStr">
        <is>
          <t>D242</t>
        </is>
      </c>
      <c r="D516" t="inlineStr">
        <is>
          <t>10004258</t>
        </is>
      </c>
      <c r="E516" t="inlineStr"/>
      <c r="F516" s="11" t="n">
        <v>209.54</v>
      </c>
      <c r="G516" t="inlineStr"/>
      <c r="I516" t="inlineStr">
        <is>
          <t>TN</t>
        </is>
      </c>
      <c r="J516" t="inlineStr"/>
      <c r="K516" t="inlineStr">
        <is>
          <t>20250224</t>
        </is>
      </c>
      <c r="L516" t="inlineStr">
        <is>
          <t>99991231</t>
        </is>
      </c>
    </row>
    <row r="517">
      <c r="A517" t="inlineStr">
        <is>
          <t>900007868</t>
        </is>
      </c>
      <c r="B517" t="inlineStr">
        <is>
          <t>DW68</t>
        </is>
      </c>
      <c r="C517" t="inlineStr">
        <is>
          <t>D247</t>
        </is>
      </c>
      <c r="D517" t="inlineStr">
        <is>
          <t>10000191</t>
        </is>
      </c>
      <c r="E517" t="inlineStr"/>
      <c r="F517" s="11" t="n">
        <v>178.65</v>
      </c>
      <c r="G517" t="inlineStr"/>
      <c r="I517" t="inlineStr">
        <is>
          <t>TN</t>
        </is>
      </c>
      <c r="J517" t="inlineStr"/>
      <c r="K517" t="inlineStr">
        <is>
          <t>20250224</t>
        </is>
      </c>
      <c r="L517" t="inlineStr">
        <is>
          <t>99991231</t>
        </is>
      </c>
    </row>
    <row r="518">
      <c r="A518" t="inlineStr">
        <is>
          <t>900007868</t>
        </is>
      </c>
      <c r="B518" t="inlineStr">
        <is>
          <t>DW68</t>
        </is>
      </c>
      <c r="C518" t="inlineStr">
        <is>
          <t>D247</t>
        </is>
      </c>
      <c r="D518" t="inlineStr">
        <is>
          <t>10000384</t>
        </is>
      </c>
      <c r="E518" t="inlineStr"/>
      <c r="F518" s="11" t="n">
        <v>142.24</v>
      </c>
      <c r="G518" t="inlineStr"/>
      <c r="I518" t="inlineStr">
        <is>
          <t>TN</t>
        </is>
      </c>
      <c r="J518" t="inlineStr"/>
      <c r="K518" t="inlineStr">
        <is>
          <t>20250224</t>
        </is>
      </c>
      <c r="L518" t="inlineStr">
        <is>
          <t>99991231</t>
        </is>
      </c>
    </row>
    <row r="519">
      <c r="A519" t="inlineStr">
        <is>
          <t>900007868</t>
        </is>
      </c>
      <c r="B519" t="inlineStr">
        <is>
          <t>DW68</t>
        </is>
      </c>
      <c r="C519" t="inlineStr">
        <is>
          <t>D247</t>
        </is>
      </c>
      <c r="D519" t="inlineStr">
        <is>
          <t>10000388</t>
        </is>
      </c>
      <c r="E519" t="inlineStr"/>
      <c r="F519" s="11" t="n">
        <v>180.58</v>
      </c>
      <c r="G519" t="inlineStr"/>
      <c r="I519" t="inlineStr">
        <is>
          <t>TN</t>
        </is>
      </c>
      <c r="J519" t="inlineStr"/>
      <c r="K519" t="inlineStr">
        <is>
          <t>20250224</t>
        </is>
      </c>
      <c r="L519" t="inlineStr">
        <is>
          <t>99991231</t>
        </is>
      </c>
    </row>
    <row r="520">
      <c r="A520" t="inlineStr">
        <is>
          <t>900007868</t>
        </is>
      </c>
      <c r="B520" t="inlineStr">
        <is>
          <t>DW68</t>
        </is>
      </c>
      <c r="C520" t="inlineStr">
        <is>
          <t>D247</t>
        </is>
      </c>
      <c r="D520" t="inlineStr">
        <is>
          <t>10004258</t>
        </is>
      </c>
      <c r="E520" t="inlineStr"/>
      <c r="F520" s="11" t="n">
        <v>209.54</v>
      </c>
      <c r="G520" t="inlineStr"/>
      <c r="I520" t="inlineStr">
        <is>
          <t>TN</t>
        </is>
      </c>
      <c r="J520" t="inlineStr"/>
      <c r="K520" t="inlineStr">
        <is>
          <t>20250224</t>
        </is>
      </c>
      <c r="L520" t="inlineStr">
        <is>
          <t>99991231</t>
        </is>
      </c>
    </row>
    <row r="521">
      <c r="A521" t="inlineStr">
        <is>
          <t>900007868</t>
        </is>
      </c>
      <c r="B521" t="inlineStr">
        <is>
          <t>DW68</t>
        </is>
      </c>
      <c r="C521" t="inlineStr">
        <is>
          <t>D251</t>
        </is>
      </c>
      <c r="D521" t="inlineStr">
        <is>
          <t>10000191</t>
        </is>
      </c>
      <c r="E521" t="inlineStr"/>
      <c r="F521" s="11" t="n">
        <v>178.65</v>
      </c>
      <c r="G521" t="inlineStr"/>
      <c r="I521" t="inlineStr">
        <is>
          <t>TN</t>
        </is>
      </c>
      <c r="J521" t="inlineStr"/>
      <c r="K521" t="inlineStr">
        <is>
          <t>20250224</t>
        </is>
      </c>
      <c r="L521" t="inlineStr">
        <is>
          <t>99991231</t>
        </is>
      </c>
    </row>
    <row r="522">
      <c r="A522" t="inlineStr">
        <is>
          <t>900007868</t>
        </is>
      </c>
      <c r="B522" t="inlineStr">
        <is>
          <t>DW68</t>
        </is>
      </c>
      <c r="C522" t="inlineStr">
        <is>
          <t>D251</t>
        </is>
      </c>
      <c r="D522" t="inlineStr">
        <is>
          <t>10000384</t>
        </is>
      </c>
      <c r="E522" t="inlineStr"/>
      <c r="F522" s="11" t="n">
        <v>142.24</v>
      </c>
      <c r="G522" t="inlineStr"/>
      <c r="I522" t="inlineStr">
        <is>
          <t>TN</t>
        </is>
      </c>
      <c r="J522" t="inlineStr"/>
      <c r="K522" t="inlineStr">
        <is>
          <t>20250224</t>
        </is>
      </c>
      <c r="L522" t="inlineStr">
        <is>
          <t>99991231</t>
        </is>
      </c>
    </row>
    <row r="523">
      <c r="A523" t="inlineStr">
        <is>
          <t>900007868</t>
        </is>
      </c>
      <c r="B523" t="inlineStr">
        <is>
          <t>DW68</t>
        </is>
      </c>
      <c r="C523" t="inlineStr">
        <is>
          <t>D251</t>
        </is>
      </c>
      <c r="D523" t="inlineStr">
        <is>
          <t>10000388</t>
        </is>
      </c>
      <c r="E523" t="inlineStr"/>
      <c r="F523" s="11" t="n">
        <v>180.58</v>
      </c>
      <c r="G523" t="inlineStr"/>
      <c r="I523" t="inlineStr">
        <is>
          <t>TN</t>
        </is>
      </c>
      <c r="J523" t="inlineStr"/>
      <c r="K523" t="inlineStr">
        <is>
          <t>20250224</t>
        </is>
      </c>
      <c r="L523" t="inlineStr">
        <is>
          <t>99991231</t>
        </is>
      </c>
    </row>
    <row r="524">
      <c r="A524" t="inlineStr">
        <is>
          <t>900007868</t>
        </is>
      </c>
      <c r="B524" t="inlineStr">
        <is>
          <t>DW68</t>
        </is>
      </c>
      <c r="C524" t="inlineStr">
        <is>
          <t>D251</t>
        </is>
      </c>
      <c r="D524" t="inlineStr">
        <is>
          <t>10004258</t>
        </is>
      </c>
      <c r="E524" t="inlineStr"/>
      <c r="F524" s="11" t="n">
        <v>209.54</v>
      </c>
      <c r="G524" t="inlineStr"/>
      <c r="I524" t="inlineStr">
        <is>
          <t>TN</t>
        </is>
      </c>
      <c r="J524" t="inlineStr"/>
      <c r="K524" t="inlineStr">
        <is>
          <t>20250224</t>
        </is>
      </c>
      <c r="L524" t="inlineStr">
        <is>
          <t>99991231</t>
        </is>
      </c>
    </row>
    <row r="525">
      <c r="A525" t="inlineStr">
        <is>
          <t>900007868</t>
        </is>
      </c>
      <c r="B525" t="inlineStr">
        <is>
          <t>DW68</t>
        </is>
      </c>
      <c r="C525" t="inlineStr">
        <is>
          <t>D264</t>
        </is>
      </c>
      <c r="D525" t="inlineStr">
        <is>
          <t>10000191</t>
        </is>
      </c>
      <c r="E525" t="inlineStr"/>
      <c r="F525" s="11" t="n">
        <v>178.65</v>
      </c>
      <c r="G525" t="inlineStr"/>
      <c r="I525" t="inlineStr">
        <is>
          <t>TN</t>
        </is>
      </c>
      <c r="J525" t="inlineStr"/>
      <c r="K525" t="inlineStr">
        <is>
          <t>20250224</t>
        </is>
      </c>
      <c r="L525" t="inlineStr">
        <is>
          <t>99991231</t>
        </is>
      </c>
    </row>
    <row r="526">
      <c r="A526" t="inlineStr">
        <is>
          <t>900007868</t>
        </is>
      </c>
      <c r="B526" t="inlineStr">
        <is>
          <t>DW68</t>
        </is>
      </c>
      <c r="C526" t="inlineStr">
        <is>
          <t>D264</t>
        </is>
      </c>
      <c r="D526" t="inlineStr">
        <is>
          <t>10000384</t>
        </is>
      </c>
      <c r="E526" t="inlineStr"/>
      <c r="F526" s="11" t="n">
        <v>142.24</v>
      </c>
      <c r="G526" t="inlineStr"/>
      <c r="I526" t="inlineStr">
        <is>
          <t>TN</t>
        </is>
      </c>
      <c r="J526" t="inlineStr"/>
      <c r="K526" t="inlineStr">
        <is>
          <t>20250224</t>
        </is>
      </c>
      <c r="L526" t="inlineStr">
        <is>
          <t>99991231</t>
        </is>
      </c>
    </row>
    <row r="527">
      <c r="A527" t="inlineStr">
        <is>
          <t>900007868</t>
        </is>
      </c>
      <c r="B527" t="inlineStr">
        <is>
          <t>DW68</t>
        </is>
      </c>
      <c r="C527" t="inlineStr">
        <is>
          <t>D264</t>
        </is>
      </c>
      <c r="D527" t="inlineStr">
        <is>
          <t>10000388</t>
        </is>
      </c>
      <c r="E527" t="inlineStr"/>
      <c r="F527" s="11" t="n">
        <v>180.58</v>
      </c>
      <c r="G527" t="inlineStr"/>
      <c r="I527" t="inlineStr">
        <is>
          <t>TN</t>
        </is>
      </c>
      <c r="J527" t="inlineStr"/>
      <c r="K527" t="inlineStr">
        <is>
          <t>20250224</t>
        </is>
      </c>
      <c r="L527" t="inlineStr">
        <is>
          <t>99991231</t>
        </is>
      </c>
    </row>
    <row r="528">
      <c r="A528" t="inlineStr">
        <is>
          <t>900007868</t>
        </is>
      </c>
      <c r="B528" t="inlineStr">
        <is>
          <t>DW68</t>
        </is>
      </c>
      <c r="C528" t="inlineStr">
        <is>
          <t>D264</t>
        </is>
      </c>
      <c r="D528" t="inlineStr">
        <is>
          <t>10004258</t>
        </is>
      </c>
      <c r="E528" t="inlineStr"/>
      <c r="F528" s="11" t="n">
        <v>209.54</v>
      </c>
      <c r="G528" t="inlineStr"/>
      <c r="I528" t="inlineStr">
        <is>
          <t>TN</t>
        </is>
      </c>
      <c r="J528" t="inlineStr"/>
      <c r="K528" t="inlineStr">
        <is>
          <t>20250224</t>
        </is>
      </c>
      <c r="L528" t="inlineStr">
        <is>
          <t>99991231</t>
        </is>
      </c>
    </row>
    <row r="529">
      <c r="A529" t="inlineStr">
        <is>
          <t>900007868</t>
        </is>
      </c>
      <c r="B529" t="inlineStr">
        <is>
          <t>DW68</t>
        </is>
      </c>
      <c r="C529" t="inlineStr">
        <is>
          <t>D267</t>
        </is>
      </c>
      <c r="D529" t="inlineStr">
        <is>
          <t>10000191</t>
        </is>
      </c>
      <c r="E529" t="inlineStr"/>
      <c r="F529" s="11" t="n">
        <v>178.65</v>
      </c>
      <c r="G529" t="inlineStr"/>
      <c r="I529" t="inlineStr">
        <is>
          <t>TN</t>
        </is>
      </c>
      <c r="J529" t="inlineStr"/>
      <c r="K529" t="inlineStr">
        <is>
          <t>20250224</t>
        </is>
      </c>
      <c r="L529" t="inlineStr">
        <is>
          <t>99991231</t>
        </is>
      </c>
    </row>
    <row r="530">
      <c r="A530" t="inlineStr">
        <is>
          <t>900007868</t>
        </is>
      </c>
      <c r="B530" t="inlineStr">
        <is>
          <t>DW68</t>
        </is>
      </c>
      <c r="C530" t="inlineStr">
        <is>
          <t>D267</t>
        </is>
      </c>
      <c r="D530" t="inlineStr">
        <is>
          <t>10000384</t>
        </is>
      </c>
      <c r="E530" t="inlineStr"/>
      <c r="F530" s="11" t="n">
        <v>142.24</v>
      </c>
      <c r="G530" t="inlineStr"/>
      <c r="I530" t="inlineStr">
        <is>
          <t>TN</t>
        </is>
      </c>
      <c r="J530" t="inlineStr"/>
      <c r="K530" t="inlineStr">
        <is>
          <t>20250224</t>
        </is>
      </c>
      <c r="L530" t="inlineStr">
        <is>
          <t>99991231</t>
        </is>
      </c>
    </row>
    <row r="531">
      <c r="A531" t="inlineStr">
        <is>
          <t>900007868</t>
        </is>
      </c>
      <c r="B531" t="inlineStr">
        <is>
          <t>DW68</t>
        </is>
      </c>
      <c r="C531" t="inlineStr">
        <is>
          <t>D267</t>
        </is>
      </c>
      <c r="D531" t="inlineStr">
        <is>
          <t>10000388</t>
        </is>
      </c>
      <c r="E531" t="inlineStr"/>
      <c r="F531" s="11" t="n">
        <v>180.58</v>
      </c>
      <c r="G531" t="inlineStr"/>
      <c r="I531" t="inlineStr">
        <is>
          <t>TN</t>
        </is>
      </c>
      <c r="J531" t="inlineStr"/>
      <c r="K531" t="inlineStr">
        <is>
          <t>20250224</t>
        </is>
      </c>
      <c r="L531" t="inlineStr">
        <is>
          <t>99991231</t>
        </is>
      </c>
    </row>
    <row r="532">
      <c r="A532" t="inlineStr">
        <is>
          <t>900007868</t>
        </is>
      </c>
      <c r="B532" t="inlineStr">
        <is>
          <t>DW68</t>
        </is>
      </c>
      <c r="C532" t="inlineStr">
        <is>
          <t>D267</t>
        </is>
      </c>
      <c r="D532" t="inlineStr">
        <is>
          <t>10004258</t>
        </is>
      </c>
      <c r="E532" t="inlineStr"/>
      <c r="F532" s="11" t="n">
        <v>209.54</v>
      </c>
      <c r="G532" t="inlineStr"/>
      <c r="I532" t="inlineStr">
        <is>
          <t>TN</t>
        </is>
      </c>
      <c r="J532" t="inlineStr"/>
      <c r="K532" t="inlineStr">
        <is>
          <t>20250224</t>
        </is>
      </c>
      <c r="L532" t="inlineStr">
        <is>
          <t>99991231</t>
        </is>
      </c>
    </row>
    <row r="533">
      <c r="A533" t="inlineStr">
        <is>
          <t>900008211</t>
        </is>
      </c>
      <c r="B533" t="inlineStr">
        <is>
          <t>DW68</t>
        </is>
      </c>
      <c r="C533" t="inlineStr">
        <is>
          <t>D042</t>
        </is>
      </c>
      <c r="D533" t="inlineStr">
        <is>
          <t>10000384</t>
        </is>
      </c>
      <c r="E533" t="inlineStr"/>
      <c r="F533" s="11" t="n">
        <v>166.93</v>
      </c>
      <c r="G533" t="inlineStr"/>
      <c r="I533" t="inlineStr">
        <is>
          <t>TN</t>
        </is>
      </c>
      <c r="J533" t="inlineStr"/>
      <c r="K533" t="inlineStr">
        <is>
          <t>20240201</t>
        </is>
      </c>
      <c r="L533" t="inlineStr">
        <is>
          <t>20251031</t>
        </is>
      </c>
    </row>
    <row r="534">
      <c r="A534" t="inlineStr">
        <is>
          <t>900008211</t>
        </is>
      </c>
      <c r="B534" t="inlineStr">
        <is>
          <t>DW68</t>
        </is>
      </c>
      <c r="C534" t="inlineStr">
        <is>
          <t>D209</t>
        </is>
      </c>
      <c r="D534" t="inlineStr">
        <is>
          <t>10000384</t>
        </is>
      </c>
      <c r="E534" t="inlineStr"/>
      <c r="F534" s="11" t="n">
        <v>166.93</v>
      </c>
      <c r="G534" t="inlineStr"/>
      <c r="I534" t="inlineStr">
        <is>
          <t>TN</t>
        </is>
      </c>
      <c r="J534" t="inlineStr"/>
      <c r="K534" t="inlineStr">
        <is>
          <t>20240201</t>
        </is>
      </c>
      <c r="L534" t="inlineStr">
        <is>
          <t>20251031</t>
        </is>
      </c>
    </row>
    <row r="535">
      <c r="A535" t="inlineStr">
        <is>
          <t>900008211</t>
        </is>
      </c>
      <c r="B535" t="inlineStr">
        <is>
          <t>DW68</t>
        </is>
      </c>
      <c r="C535" t="inlineStr">
        <is>
          <t>D211</t>
        </is>
      </c>
      <c r="D535" t="inlineStr">
        <is>
          <t>10000384</t>
        </is>
      </c>
      <c r="E535" t="inlineStr"/>
      <c r="F535" s="11" t="n">
        <v>166.93</v>
      </c>
      <c r="G535" t="inlineStr"/>
      <c r="I535" t="inlineStr">
        <is>
          <t>TN</t>
        </is>
      </c>
      <c r="J535" t="inlineStr"/>
      <c r="K535" t="inlineStr">
        <is>
          <t>20240201</t>
        </is>
      </c>
      <c r="L535" t="inlineStr">
        <is>
          <t>20251031</t>
        </is>
      </c>
    </row>
    <row r="536">
      <c r="A536" t="inlineStr">
        <is>
          <t>900008211</t>
        </is>
      </c>
      <c r="B536" t="inlineStr">
        <is>
          <t>DW68</t>
        </is>
      </c>
      <c r="C536" t="inlineStr">
        <is>
          <t>D213</t>
        </is>
      </c>
      <c r="D536" t="inlineStr">
        <is>
          <t>10000384</t>
        </is>
      </c>
      <c r="E536" t="inlineStr"/>
      <c r="F536" s="11" t="n">
        <v>166.93</v>
      </c>
      <c r="G536" t="inlineStr"/>
      <c r="I536" t="inlineStr">
        <is>
          <t>TN</t>
        </is>
      </c>
      <c r="J536" t="inlineStr"/>
      <c r="K536" t="inlineStr">
        <is>
          <t>20240201</t>
        </is>
      </c>
      <c r="L536" t="inlineStr">
        <is>
          <t>20251031</t>
        </is>
      </c>
    </row>
    <row r="537">
      <c r="A537" t="inlineStr">
        <is>
          <t>900008211</t>
        </is>
      </c>
      <c r="B537" t="inlineStr">
        <is>
          <t>DW68</t>
        </is>
      </c>
      <c r="C537" t="inlineStr">
        <is>
          <t>D220</t>
        </is>
      </c>
      <c r="D537" t="inlineStr">
        <is>
          <t>10000384</t>
        </is>
      </c>
      <c r="E537" t="inlineStr"/>
      <c r="F537" s="11" t="n">
        <v>166.93</v>
      </c>
      <c r="G537" t="inlineStr"/>
      <c r="I537" t="inlineStr">
        <is>
          <t>TN</t>
        </is>
      </c>
      <c r="J537" t="inlineStr"/>
      <c r="K537" t="inlineStr">
        <is>
          <t>20240201</t>
        </is>
      </c>
      <c r="L537" t="inlineStr">
        <is>
          <t>20251031</t>
        </is>
      </c>
    </row>
    <row r="538">
      <c r="A538" t="inlineStr">
        <is>
          <t>900008211</t>
        </is>
      </c>
      <c r="B538" t="inlineStr">
        <is>
          <t>DW68</t>
        </is>
      </c>
      <c r="C538" t="inlineStr">
        <is>
          <t>D228</t>
        </is>
      </c>
      <c r="D538" t="inlineStr">
        <is>
          <t>10000384</t>
        </is>
      </c>
      <c r="E538" t="inlineStr"/>
      <c r="F538" s="11" t="n">
        <v>166.93</v>
      </c>
      <c r="G538" t="inlineStr"/>
      <c r="I538" t="inlineStr">
        <is>
          <t>TN</t>
        </is>
      </c>
      <c r="J538" t="inlineStr"/>
      <c r="K538" t="inlineStr">
        <is>
          <t>20240201</t>
        </is>
      </c>
      <c r="L538" t="inlineStr">
        <is>
          <t>20251031</t>
        </is>
      </c>
    </row>
    <row r="539">
      <c r="A539" t="inlineStr">
        <is>
          <t>900008211</t>
        </is>
      </c>
      <c r="B539" t="inlineStr">
        <is>
          <t>DW68</t>
        </is>
      </c>
      <c r="C539" t="inlineStr">
        <is>
          <t>D242</t>
        </is>
      </c>
      <c r="D539" t="inlineStr">
        <is>
          <t>10000384</t>
        </is>
      </c>
      <c r="E539" t="inlineStr"/>
      <c r="F539" s="11" t="n">
        <v>166.93</v>
      </c>
      <c r="G539" t="inlineStr"/>
      <c r="I539" t="inlineStr">
        <is>
          <t>TN</t>
        </is>
      </c>
      <c r="J539" t="inlineStr"/>
      <c r="K539" t="inlineStr">
        <is>
          <t>20240201</t>
        </is>
      </c>
      <c r="L539" t="inlineStr">
        <is>
          <t>20251031</t>
        </is>
      </c>
    </row>
    <row r="540">
      <c r="A540" t="inlineStr">
        <is>
          <t>900008211</t>
        </is>
      </c>
      <c r="B540" t="inlineStr">
        <is>
          <t>DW68</t>
        </is>
      </c>
      <c r="C540" t="inlineStr">
        <is>
          <t>D247</t>
        </is>
      </c>
      <c r="D540" t="inlineStr">
        <is>
          <t>10000384</t>
        </is>
      </c>
      <c r="E540" t="inlineStr"/>
      <c r="F540" s="11" t="n">
        <v>166.93</v>
      </c>
      <c r="G540" t="inlineStr"/>
      <c r="I540" t="inlineStr">
        <is>
          <t>TN</t>
        </is>
      </c>
      <c r="J540" t="inlineStr"/>
      <c r="K540" t="inlineStr">
        <is>
          <t>20240201</t>
        </is>
      </c>
      <c r="L540" t="inlineStr">
        <is>
          <t>20251031</t>
        </is>
      </c>
    </row>
    <row r="541">
      <c r="A541" t="inlineStr">
        <is>
          <t>900008211</t>
        </is>
      </c>
      <c r="B541" t="inlineStr">
        <is>
          <t>DW68</t>
        </is>
      </c>
      <c r="C541" t="inlineStr">
        <is>
          <t>D251</t>
        </is>
      </c>
      <c r="D541" t="inlineStr">
        <is>
          <t>10000384</t>
        </is>
      </c>
      <c r="E541" t="inlineStr"/>
      <c r="F541" s="11" t="n">
        <v>166.93</v>
      </c>
      <c r="G541" t="inlineStr"/>
      <c r="I541" t="inlineStr">
        <is>
          <t>TN</t>
        </is>
      </c>
      <c r="J541" t="inlineStr"/>
      <c r="K541" t="inlineStr">
        <is>
          <t>20240201</t>
        </is>
      </c>
      <c r="L541" t="inlineStr">
        <is>
          <t>20251031</t>
        </is>
      </c>
    </row>
    <row r="542">
      <c r="A542" t="inlineStr">
        <is>
          <t>900008211</t>
        </is>
      </c>
      <c r="B542" t="inlineStr">
        <is>
          <t>DW68</t>
        </is>
      </c>
      <c r="C542" t="inlineStr">
        <is>
          <t>D264</t>
        </is>
      </c>
      <c r="D542" t="inlineStr">
        <is>
          <t>10000384</t>
        </is>
      </c>
      <c r="E542" t="inlineStr"/>
      <c r="F542" s="11" t="n">
        <v>166.93</v>
      </c>
      <c r="G542" t="inlineStr"/>
      <c r="I542" t="inlineStr">
        <is>
          <t>TN</t>
        </is>
      </c>
      <c r="J542" t="inlineStr"/>
      <c r="K542" t="inlineStr">
        <is>
          <t>20240201</t>
        </is>
      </c>
      <c r="L542" t="inlineStr">
        <is>
          <t>20251031</t>
        </is>
      </c>
    </row>
    <row r="543">
      <c r="A543" t="inlineStr">
        <is>
          <t>900008211</t>
        </is>
      </c>
      <c r="B543" t="inlineStr">
        <is>
          <t>DW68</t>
        </is>
      </c>
      <c r="C543" t="inlineStr">
        <is>
          <t>D267</t>
        </is>
      </c>
      <c r="D543" t="inlineStr">
        <is>
          <t>10000384</t>
        </is>
      </c>
      <c r="E543" t="inlineStr"/>
      <c r="F543" s="11" t="n">
        <v>166.93</v>
      </c>
      <c r="G543" t="inlineStr"/>
      <c r="I543" t="inlineStr">
        <is>
          <t>TN</t>
        </is>
      </c>
      <c r="J543" t="inlineStr"/>
      <c r="K543" t="inlineStr">
        <is>
          <t>20240201</t>
        </is>
      </c>
      <c r="L543" t="inlineStr">
        <is>
          <t>20251031</t>
        </is>
      </c>
    </row>
    <row r="544">
      <c r="A544" t="inlineStr">
        <is>
          <t>900008250</t>
        </is>
      </c>
      <c r="B544" t="inlineStr">
        <is>
          <t>DW68</t>
        </is>
      </c>
      <c r="C544" t="inlineStr">
        <is>
          <t>D042</t>
        </is>
      </c>
      <c r="D544" t="inlineStr">
        <is>
          <t>10000191</t>
        </is>
      </c>
      <c r="E544" t="inlineStr"/>
      <c r="F544" s="11" t="n">
        <v>212.77</v>
      </c>
      <c r="G544" t="inlineStr"/>
      <c r="I544" t="inlineStr">
        <is>
          <t>TN</t>
        </is>
      </c>
      <c r="J544" t="inlineStr"/>
      <c r="K544" t="inlineStr">
        <is>
          <t>20230704</t>
        </is>
      </c>
      <c r="L544" t="inlineStr">
        <is>
          <t>20260215</t>
        </is>
      </c>
    </row>
    <row r="545">
      <c r="A545" t="inlineStr">
        <is>
          <t>900008250</t>
        </is>
      </c>
      <c r="B545" t="inlineStr">
        <is>
          <t>DW68</t>
        </is>
      </c>
      <c r="C545" t="inlineStr">
        <is>
          <t>D042</t>
        </is>
      </c>
      <c r="D545" t="inlineStr">
        <is>
          <t>10000388</t>
        </is>
      </c>
      <c r="E545" t="inlineStr"/>
      <c r="F545" s="11" t="n">
        <v>197.13</v>
      </c>
      <c r="G545" t="inlineStr"/>
      <c r="I545" t="inlineStr">
        <is>
          <t>TN</t>
        </is>
      </c>
      <c r="J545" t="inlineStr"/>
      <c r="K545" t="inlineStr">
        <is>
          <t>20230704</t>
        </is>
      </c>
      <c r="L545" t="inlineStr">
        <is>
          <t>20260215</t>
        </is>
      </c>
    </row>
    <row r="546">
      <c r="A546" t="inlineStr">
        <is>
          <t>900008250</t>
        </is>
      </c>
      <c r="B546" t="inlineStr">
        <is>
          <t>DW68</t>
        </is>
      </c>
      <c r="C546" t="inlineStr">
        <is>
          <t>D042</t>
        </is>
      </c>
      <c r="D546" t="inlineStr">
        <is>
          <t>10004258</t>
        </is>
      </c>
      <c r="E546" t="inlineStr"/>
      <c r="F546" s="11" t="n">
        <v>401.96</v>
      </c>
      <c r="G546" t="inlineStr"/>
      <c r="I546" t="inlineStr">
        <is>
          <t>TN</t>
        </is>
      </c>
      <c r="J546" t="inlineStr"/>
      <c r="K546" t="inlineStr">
        <is>
          <t>20230704</t>
        </is>
      </c>
      <c r="L546" t="inlineStr">
        <is>
          <t>20260215</t>
        </is>
      </c>
    </row>
    <row r="547">
      <c r="A547" t="inlineStr">
        <is>
          <t>900008250</t>
        </is>
      </c>
      <c r="B547" t="inlineStr">
        <is>
          <t>DW68</t>
        </is>
      </c>
      <c r="C547" t="inlineStr">
        <is>
          <t>D042</t>
        </is>
      </c>
      <c r="D547" t="inlineStr">
        <is>
          <t>10148454</t>
        </is>
      </c>
      <c r="E547" t="inlineStr"/>
      <c r="F547" s="11" t="n">
        <v>208.33</v>
      </c>
      <c r="G547" t="inlineStr"/>
      <c r="I547" t="inlineStr">
        <is>
          <t>TN</t>
        </is>
      </c>
      <c r="J547" t="inlineStr"/>
      <c r="K547" t="inlineStr">
        <is>
          <t>20230704</t>
        </is>
      </c>
      <c r="L547" t="inlineStr">
        <is>
          <t>20260215</t>
        </is>
      </c>
    </row>
    <row r="548">
      <c r="A548" t="inlineStr">
        <is>
          <t>900008250</t>
        </is>
      </c>
      <c r="B548" t="inlineStr">
        <is>
          <t>DW68</t>
        </is>
      </c>
      <c r="C548" t="inlineStr">
        <is>
          <t>D209</t>
        </is>
      </c>
      <c r="D548" t="inlineStr">
        <is>
          <t>10000191</t>
        </is>
      </c>
      <c r="E548" t="inlineStr"/>
      <c r="F548" s="11" t="n">
        <v>212.77</v>
      </c>
      <c r="G548" t="inlineStr"/>
      <c r="I548" t="inlineStr">
        <is>
          <t>TN</t>
        </is>
      </c>
      <c r="J548" t="inlineStr"/>
      <c r="K548" t="inlineStr">
        <is>
          <t>20230704</t>
        </is>
      </c>
      <c r="L548" t="inlineStr">
        <is>
          <t>20260215</t>
        </is>
      </c>
    </row>
    <row r="549">
      <c r="A549" t="inlineStr">
        <is>
          <t>900008250</t>
        </is>
      </c>
      <c r="B549" t="inlineStr">
        <is>
          <t>DW68</t>
        </is>
      </c>
      <c r="C549" t="inlineStr">
        <is>
          <t>D209</t>
        </is>
      </c>
      <c r="D549" t="inlineStr">
        <is>
          <t>10000388</t>
        </is>
      </c>
      <c r="E549" t="inlineStr"/>
      <c r="F549" s="11" t="n">
        <v>197.13</v>
      </c>
      <c r="G549" t="inlineStr"/>
      <c r="I549" t="inlineStr">
        <is>
          <t>TN</t>
        </is>
      </c>
      <c r="J549" t="inlineStr"/>
      <c r="K549" t="inlineStr">
        <is>
          <t>20230704</t>
        </is>
      </c>
      <c r="L549" t="inlineStr">
        <is>
          <t>20260215</t>
        </is>
      </c>
    </row>
    <row r="550">
      <c r="A550" t="inlineStr">
        <is>
          <t>900008250</t>
        </is>
      </c>
      <c r="B550" t="inlineStr">
        <is>
          <t>DW68</t>
        </is>
      </c>
      <c r="C550" t="inlineStr">
        <is>
          <t>D209</t>
        </is>
      </c>
      <c r="D550" t="inlineStr">
        <is>
          <t>10004258</t>
        </is>
      </c>
      <c r="E550" t="inlineStr"/>
      <c r="F550" s="11" t="n">
        <v>401.96</v>
      </c>
      <c r="G550" t="inlineStr"/>
      <c r="I550" t="inlineStr">
        <is>
          <t>TN</t>
        </is>
      </c>
      <c r="J550" t="inlineStr"/>
      <c r="K550" t="inlineStr">
        <is>
          <t>20230704</t>
        </is>
      </c>
      <c r="L550" t="inlineStr">
        <is>
          <t>20260215</t>
        </is>
      </c>
    </row>
    <row r="551">
      <c r="A551" t="inlineStr">
        <is>
          <t>900008250</t>
        </is>
      </c>
      <c r="B551" t="inlineStr">
        <is>
          <t>DW68</t>
        </is>
      </c>
      <c r="C551" t="inlineStr">
        <is>
          <t>D209</t>
        </is>
      </c>
      <c r="D551" t="inlineStr">
        <is>
          <t>10148454</t>
        </is>
      </c>
      <c r="E551" t="inlineStr"/>
      <c r="F551" s="11" t="n">
        <v>208.33</v>
      </c>
      <c r="G551" t="inlineStr"/>
      <c r="I551" t="inlineStr">
        <is>
          <t>TN</t>
        </is>
      </c>
      <c r="J551" t="inlineStr"/>
      <c r="K551" t="inlineStr">
        <is>
          <t>20230704</t>
        </is>
      </c>
      <c r="L551" t="inlineStr">
        <is>
          <t>20260215</t>
        </is>
      </c>
    </row>
    <row r="552">
      <c r="A552" t="inlineStr">
        <is>
          <t>900008250</t>
        </is>
      </c>
      <c r="B552" t="inlineStr">
        <is>
          <t>DW68</t>
        </is>
      </c>
      <c r="C552" t="inlineStr">
        <is>
          <t>D211</t>
        </is>
      </c>
      <c r="D552" t="inlineStr">
        <is>
          <t>10000191</t>
        </is>
      </c>
      <c r="E552" t="inlineStr"/>
      <c r="F552" s="11" t="n">
        <v>212.77</v>
      </c>
      <c r="G552" t="inlineStr"/>
      <c r="I552" t="inlineStr">
        <is>
          <t>TN</t>
        </is>
      </c>
      <c r="J552" t="inlineStr"/>
      <c r="K552" t="inlineStr">
        <is>
          <t>20230704</t>
        </is>
      </c>
      <c r="L552" t="inlineStr">
        <is>
          <t>20260215</t>
        </is>
      </c>
    </row>
    <row r="553">
      <c r="A553" t="inlineStr">
        <is>
          <t>900008250</t>
        </is>
      </c>
      <c r="B553" t="inlineStr">
        <is>
          <t>DW68</t>
        </is>
      </c>
      <c r="C553" t="inlineStr">
        <is>
          <t>D211</t>
        </is>
      </c>
      <c r="D553" t="inlineStr">
        <is>
          <t>10000388</t>
        </is>
      </c>
      <c r="E553" t="inlineStr"/>
      <c r="F553" s="11" t="n">
        <v>197.13</v>
      </c>
      <c r="G553" t="inlineStr"/>
      <c r="I553" t="inlineStr">
        <is>
          <t>TN</t>
        </is>
      </c>
      <c r="J553" t="inlineStr"/>
      <c r="K553" t="inlineStr">
        <is>
          <t>20230704</t>
        </is>
      </c>
      <c r="L553" t="inlineStr">
        <is>
          <t>20260215</t>
        </is>
      </c>
    </row>
    <row r="554">
      <c r="A554" t="inlineStr">
        <is>
          <t>900008250</t>
        </is>
      </c>
      <c r="B554" t="inlineStr">
        <is>
          <t>DW68</t>
        </is>
      </c>
      <c r="C554" t="inlineStr">
        <is>
          <t>D211</t>
        </is>
      </c>
      <c r="D554" t="inlineStr">
        <is>
          <t>10004258</t>
        </is>
      </c>
      <c r="E554" t="inlineStr"/>
      <c r="F554" s="11" t="n">
        <v>401.96</v>
      </c>
      <c r="G554" t="inlineStr"/>
      <c r="I554" t="inlineStr">
        <is>
          <t>TN</t>
        </is>
      </c>
      <c r="J554" t="inlineStr"/>
      <c r="K554" t="inlineStr">
        <is>
          <t>20230704</t>
        </is>
      </c>
      <c r="L554" t="inlineStr">
        <is>
          <t>20260215</t>
        </is>
      </c>
    </row>
    <row r="555">
      <c r="A555" t="inlineStr">
        <is>
          <t>900008250</t>
        </is>
      </c>
      <c r="B555" t="inlineStr">
        <is>
          <t>DW68</t>
        </is>
      </c>
      <c r="C555" t="inlineStr">
        <is>
          <t>D211</t>
        </is>
      </c>
      <c r="D555" t="inlineStr">
        <is>
          <t>10148454</t>
        </is>
      </c>
      <c r="E555" t="inlineStr"/>
      <c r="F555" s="11" t="n">
        <v>208.33</v>
      </c>
      <c r="G555" t="inlineStr"/>
      <c r="I555" t="inlineStr">
        <is>
          <t>TN</t>
        </is>
      </c>
      <c r="J555" t="inlineStr"/>
      <c r="K555" t="inlineStr">
        <is>
          <t>20230704</t>
        </is>
      </c>
      <c r="L555" t="inlineStr">
        <is>
          <t>20260215</t>
        </is>
      </c>
    </row>
    <row r="556">
      <c r="A556" t="inlineStr">
        <is>
          <t>900008250</t>
        </is>
      </c>
      <c r="B556" t="inlineStr">
        <is>
          <t>DW68</t>
        </is>
      </c>
      <c r="C556" t="inlineStr">
        <is>
          <t>D228</t>
        </is>
      </c>
      <c r="D556" t="inlineStr">
        <is>
          <t>10000191</t>
        </is>
      </c>
      <c r="E556" t="inlineStr"/>
      <c r="F556" s="11" t="n">
        <v>212.77</v>
      </c>
      <c r="G556" t="inlineStr"/>
      <c r="I556" t="inlineStr">
        <is>
          <t>TN</t>
        </is>
      </c>
      <c r="J556" t="inlineStr"/>
      <c r="K556" t="inlineStr">
        <is>
          <t>20230704</t>
        </is>
      </c>
      <c r="L556" t="inlineStr">
        <is>
          <t>20260215</t>
        </is>
      </c>
    </row>
    <row r="557">
      <c r="A557" t="inlineStr">
        <is>
          <t>900008250</t>
        </is>
      </c>
      <c r="B557" t="inlineStr">
        <is>
          <t>DW68</t>
        </is>
      </c>
      <c r="C557" t="inlineStr">
        <is>
          <t>D228</t>
        </is>
      </c>
      <c r="D557" t="inlineStr">
        <is>
          <t>10000388</t>
        </is>
      </c>
      <c r="E557" t="inlineStr"/>
      <c r="F557" s="11" t="n">
        <v>197.13</v>
      </c>
      <c r="G557" t="inlineStr"/>
      <c r="I557" t="inlineStr">
        <is>
          <t>TN</t>
        </is>
      </c>
      <c r="J557" t="inlineStr"/>
      <c r="K557" t="inlineStr">
        <is>
          <t>20230704</t>
        </is>
      </c>
      <c r="L557" t="inlineStr">
        <is>
          <t>20260215</t>
        </is>
      </c>
    </row>
    <row r="558">
      <c r="A558" t="inlineStr">
        <is>
          <t>900008250</t>
        </is>
      </c>
      <c r="B558" t="inlineStr">
        <is>
          <t>DW68</t>
        </is>
      </c>
      <c r="C558" t="inlineStr">
        <is>
          <t>D228</t>
        </is>
      </c>
      <c r="D558" t="inlineStr">
        <is>
          <t>10004258</t>
        </is>
      </c>
      <c r="E558" t="inlineStr"/>
      <c r="F558" s="11" t="n">
        <v>401.96</v>
      </c>
      <c r="G558" t="inlineStr"/>
      <c r="I558" t="inlineStr">
        <is>
          <t>TN</t>
        </is>
      </c>
      <c r="J558" t="inlineStr"/>
      <c r="K558" t="inlineStr">
        <is>
          <t>20230704</t>
        </is>
      </c>
      <c r="L558" t="inlineStr">
        <is>
          <t>20260215</t>
        </is>
      </c>
    </row>
    <row r="559">
      <c r="A559" t="inlineStr">
        <is>
          <t>900008250</t>
        </is>
      </c>
      <c r="B559" t="inlineStr">
        <is>
          <t>DW68</t>
        </is>
      </c>
      <c r="C559" t="inlineStr">
        <is>
          <t>D228</t>
        </is>
      </c>
      <c r="D559" t="inlineStr">
        <is>
          <t>10148454</t>
        </is>
      </c>
      <c r="E559" t="inlineStr"/>
      <c r="F559" s="11" t="n">
        <v>208.33</v>
      </c>
      <c r="G559" t="inlineStr"/>
      <c r="I559" t="inlineStr">
        <is>
          <t>TN</t>
        </is>
      </c>
      <c r="J559" t="inlineStr"/>
      <c r="K559" t="inlineStr">
        <is>
          <t>20230704</t>
        </is>
      </c>
      <c r="L559" t="inlineStr">
        <is>
          <t>20260215</t>
        </is>
      </c>
    </row>
    <row r="560">
      <c r="A560" t="inlineStr">
        <is>
          <t>900008250</t>
        </is>
      </c>
      <c r="B560" t="inlineStr">
        <is>
          <t>DW68</t>
        </is>
      </c>
      <c r="C560" t="inlineStr">
        <is>
          <t>D242</t>
        </is>
      </c>
      <c r="D560" t="inlineStr">
        <is>
          <t>10000191</t>
        </is>
      </c>
      <c r="E560" t="inlineStr"/>
      <c r="F560" s="11" t="n">
        <v>212.77</v>
      </c>
      <c r="G560" t="inlineStr"/>
      <c r="I560" t="inlineStr">
        <is>
          <t>TN</t>
        </is>
      </c>
      <c r="J560" t="inlineStr"/>
      <c r="K560" t="inlineStr">
        <is>
          <t>20230704</t>
        </is>
      </c>
      <c r="L560" t="inlineStr">
        <is>
          <t>20260215</t>
        </is>
      </c>
    </row>
    <row r="561">
      <c r="A561" t="inlineStr">
        <is>
          <t>900008250</t>
        </is>
      </c>
      <c r="B561" t="inlineStr">
        <is>
          <t>DW68</t>
        </is>
      </c>
      <c r="C561" t="inlineStr">
        <is>
          <t>D242</t>
        </is>
      </c>
      <c r="D561" t="inlineStr">
        <is>
          <t>10000388</t>
        </is>
      </c>
      <c r="E561" t="inlineStr"/>
      <c r="F561" s="11" t="n">
        <v>197.13</v>
      </c>
      <c r="G561" t="inlineStr"/>
      <c r="I561" t="inlineStr">
        <is>
          <t>TN</t>
        </is>
      </c>
      <c r="J561" t="inlineStr"/>
      <c r="K561" t="inlineStr">
        <is>
          <t>20230704</t>
        </is>
      </c>
      <c r="L561" t="inlineStr">
        <is>
          <t>20260215</t>
        </is>
      </c>
    </row>
    <row r="562">
      <c r="A562" t="inlineStr">
        <is>
          <t>900008250</t>
        </is>
      </c>
      <c r="B562" t="inlineStr">
        <is>
          <t>DW68</t>
        </is>
      </c>
      <c r="C562" t="inlineStr">
        <is>
          <t>D242</t>
        </is>
      </c>
      <c r="D562" t="inlineStr">
        <is>
          <t>10004258</t>
        </is>
      </c>
      <c r="E562" t="inlineStr"/>
      <c r="F562" s="11" t="n">
        <v>401.96</v>
      </c>
      <c r="G562" t="inlineStr"/>
      <c r="I562" t="inlineStr">
        <is>
          <t>TN</t>
        </is>
      </c>
      <c r="J562" t="inlineStr"/>
      <c r="K562" t="inlineStr">
        <is>
          <t>20230704</t>
        </is>
      </c>
      <c r="L562" t="inlineStr">
        <is>
          <t>20260215</t>
        </is>
      </c>
    </row>
    <row r="563">
      <c r="A563" t="inlineStr">
        <is>
          <t>900008250</t>
        </is>
      </c>
      <c r="B563" t="inlineStr">
        <is>
          <t>DW68</t>
        </is>
      </c>
      <c r="C563" t="inlineStr">
        <is>
          <t>D242</t>
        </is>
      </c>
      <c r="D563" t="inlineStr">
        <is>
          <t>10148454</t>
        </is>
      </c>
      <c r="E563" t="inlineStr"/>
      <c r="F563" s="11" t="n">
        <v>208.33</v>
      </c>
      <c r="G563" t="inlineStr"/>
      <c r="I563" t="inlineStr">
        <is>
          <t>TN</t>
        </is>
      </c>
      <c r="J563" t="inlineStr"/>
      <c r="K563" t="inlineStr">
        <is>
          <t>20230704</t>
        </is>
      </c>
      <c r="L563" t="inlineStr">
        <is>
          <t>20260215</t>
        </is>
      </c>
    </row>
    <row r="564">
      <c r="A564" t="inlineStr">
        <is>
          <t>900008250</t>
        </is>
      </c>
      <c r="B564" t="inlineStr">
        <is>
          <t>DW68</t>
        </is>
      </c>
      <c r="C564" t="inlineStr">
        <is>
          <t>D247</t>
        </is>
      </c>
      <c r="D564" t="inlineStr">
        <is>
          <t>10000191</t>
        </is>
      </c>
      <c r="E564" t="inlineStr"/>
      <c r="F564" s="11" t="n">
        <v>212.77</v>
      </c>
      <c r="G564" t="inlineStr"/>
      <c r="I564" t="inlineStr">
        <is>
          <t>TN</t>
        </is>
      </c>
      <c r="J564" t="inlineStr"/>
      <c r="K564" t="inlineStr">
        <is>
          <t>20230704</t>
        </is>
      </c>
      <c r="L564" t="inlineStr">
        <is>
          <t>20260215</t>
        </is>
      </c>
    </row>
    <row r="565">
      <c r="A565" t="inlineStr">
        <is>
          <t>900008250</t>
        </is>
      </c>
      <c r="B565" t="inlineStr">
        <is>
          <t>DW68</t>
        </is>
      </c>
      <c r="C565" t="inlineStr">
        <is>
          <t>D247</t>
        </is>
      </c>
      <c r="D565" t="inlineStr">
        <is>
          <t>10000388</t>
        </is>
      </c>
      <c r="E565" t="inlineStr"/>
      <c r="F565" s="11" t="n">
        <v>197.13</v>
      </c>
      <c r="G565" t="inlineStr"/>
      <c r="I565" t="inlineStr">
        <is>
          <t>TN</t>
        </is>
      </c>
      <c r="J565" t="inlineStr"/>
      <c r="K565" t="inlineStr">
        <is>
          <t>20230704</t>
        </is>
      </c>
      <c r="L565" t="inlineStr">
        <is>
          <t>20260215</t>
        </is>
      </c>
    </row>
    <row r="566">
      <c r="A566" t="inlineStr">
        <is>
          <t>900008250</t>
        </is>
      </c>
      <c r="B566" t="inlineStr">
        <is>
          <t>DW68</t>
        </is>
      </c>
      <c r="C566" t="inlineStr">
        <is>
          <t>D247</t>
        </is>
      </c>
      <c r="D566" t="inlineStr">
        <is>
          <t>10004258</t>
        </is>
      </c>
      <c r="E566" t="inlineStr"/>
      <c r="F566" s="11" t="n">
        <v>401.96</v>
      </c>
      <c r="G566" t="inlineStr"/>
      <c r="I566" t="inlineStr">
        <is>
          <t>TN</t>
        </is>
      </c>
      <c r="J566" t="inlineStr"/>
      <c r="K566" t="inlineStr">
        <is>
          <t>20230704</t>
        </is>
      </c>
      <c r="L566" t="inlineStr">
        <is>
          <t>20260215</t>
        </is>
      </c>
    </row>
    <row r="567">
      <c r="A567" t="inlineStr">
        <is>
          <t>900008250</t>
        </is>
      </c>
      <c r="B567" t="inlineStr">
        <is>
          <t>DW68</t>
        </is>
      </c>
      <c r="C567" t="inlineStr">
        <is>
          <t>D247</t>
        </is>
      </c>
      <c r="D567" t="inlineStr">
        <is>
          <t>10148454</t>
        </is>
      </c>
      <c r="E567" t="inlineStr"/>
      <c r="F567" s="11" t="n">
        <v>208.33</v>
      </c>
      <c r="G567" t="inlineStr"/>
      <c r="I567" t="inlineStr">
        <is>
          <t>TN</t>
        </is>
      </c>
      <c r="J567" t="inlineStr"/>
      <c r="K567" t="inlineStr">
        <is>
          <t>20230704</t>
        </is>
      </c>
      <c r="L567" t="inlineStr">
        <is>
          <t>20260215</t>
        </is>
      </c>
    </row>
    <row r="568">
      <c r="A568" t="inlineStr">
        <is>
          <t>900008250</t>
        </is>
      </c>
      <c r="B568" t="inlineStr">
        <is>
          <t>DW68</t>
        </is>
      </c>
      <c r="C568" t="inlineStr">
        <is>
          <t>D251</t>
        </is>
      </c>
      <c r="D568" t="inlineStr">
        <is>
          <t>10000191</t>
        </is>
      </c>
      <c r="E568" t="inlineStr"/>
      <c r="F568" s="11" t="n">
        <v>212.77</v>
      </c>
      <c r="G568" t="inlineStr"/>
      <c r="I568" t="inlineStr">
        <is>
          <t>TN</t>
        </is>
      </c>
      <c r="J568" t="inlineStr"/>
      <c r="K568" t="inlineStr">
        <is>
          <t>20230704</t>
        </is>
      </c>
      <c r="L568" t="inlineStr">
        <is>
          <t>20260215</t>
        </is>
      </c>
    </row>
    <row r="569">
      <c r="A569" t="inlineStr">
        <is>
          <t>900008250</t>
        </is>
      </c>
      <c r="B569" t="inlineStr">
        <is>
          <t>DW68</t>
        </is>
      </c>
      <c r="C569" t="inlineStr">
        <is>
          <t>D251</t>
        </is>
      </c>
      <c r="D569" t="inlineStr">
        <is>
          <t>10000388</t>
        </is>
      </c>
      <c r="E569" t="inlineStr"/>
      <c r="F569" s="11" t="n">
        <v>197.13</v>
      </c>
      <c r="G569" t="inlineStr"/>
      <c r="I569" t="inlineStr">
        <is>
          <t>TN</t>
        </is>
      </c>
      <c r="J569" t="inlineStr"/>
      <c r="K569" t="inlineStr">
        <is>
          <t>20230704</t>
        </is>
      </c>
      <c r="L569" t="inlineStr">
        <is>
          <t>20260215</t>
        </is>
      </c>
    </row>
    <row r="570">
      <c r="A570" t="inlineStr">
        <is>
          <t>900008250</t>
        </is>
      </c>
      <c r="B570" t="inlineStr">
        <is>
          <t>DW68</t>
        </is>
      </c>
      <c r="C570" t="inlineStr">
        <is>
          <t>D251</t>
        </is>
      </c>
      <c r="D570" t="inlineStr">
        <is>
          <t>10004258</t>
        </is>
      </c>
      <c r="E570" t="inlineStr"/>
      <c r="F570" s="11" t="n">
        <v>401.96</v>
      </c>
      <c r="G570" t="inlineStr"/>
      <c r="I570" t="inlineStr">
        <is>
          <t>TN</t>
        </is>
      </c>
      <c r="J570" t="inlineStr"/>
      <c r="K570" t="inlineStr">
        <is>
          <t>20230704</t>
        </is>
      </c>
      <c r="L570" t="inlineStr">
        <is>
          <t>20260215</t>
        </is>
      </c>
    </row>
    <row r="571">
      <c r="A571" t="inlineStr">
        <is>
          <t>900008250</t>
        </is>
      </c>
      <c r="B571" t="inlineStr">
        <is>
          <t>DW68</t>
        </is>
      </c>
      <c r="C571" t="inlineStr">
        <is>
          <t>D251</t>
        </is>
      </c>
      <c r="D571" t="inlineStr">
        <is>
          <t>10148454</t>
        </is>
      </c>
      <c r="E571" t="inlineStr"/>
      <c r="F571" s="11" t="n">
        <v>208.33</v>
      </c>
      <c r="G571" t="inlineStr"/>
      <c r="I571" t="inlineStr">
        <is>
          <t>TN</t>
        </is>
      </c>
      <c r="J571" t="inlineStr"/>
      <c r="K571" t="inlineStr">
        <is>
          <t>20230704</t>
        </is>
      </c>
      <c r="L571" t="inlineStr">
        <is>
          <t>20260215</t>
        </is>
      </c>
    </row>
    <row r="572">
      <c r="A572" t="inlineStr">
        <is>
          <t>900008250</t>
        </is>
      </c>
      <c r="B572" t="inlineStr">
        <is>
          <t>DW68</t>
        </is>
      </c>
      <c r="C572" t="inlineStr">
        <is>
          <t>D264</t>
        </is>
      </c>
      <c r="D572" t="inlineStr">
        <is>
          <t>10000191</t>
        </is>
      </c>
      <c r="E572" t="inlineStr"/>
      <c r="F572" s="11" t="n">
        <v>212.77</v>
      </c>
      <c r="G572" t="inlineStr"/>
      <c r="I572" t="inlineStr">
        <is>
          <t>TN</t>
        </is>
      </c>
      <c r="J572" t="inlineStr"/>
      <c r="K572" t="inlineStr">
        <is>
          <t>20230704</t>
        </is>
      </c>
      <c r="L572" t="inlineStr">
        <is>
          <t>20260215</t>
        </is>
      </c>
    </row>
    <row r="573">
      <c r="A573" t="inlineStr">
        <is>
          <t>900008250</t>
        </is>
      </c>
      <c r="B573" t="inlineStr">
        <is>
          <t>DW68</t>
        </is>
      </c>
      <c r="C573" t="inlineStr">
        <is>
          <t>D264</t>
        </is>
      </c>
      <c r="D573" t="inlineStr">
        <is>
          <t>10000388</t>
        </is>
      </c>
      <c r="E573" t="inlineStr"/>
      <c r="F573" s="11" t="n">
        <v>197.13</v>
      </c>
      <c r="G573" t="inlineStr"/>
      <c r="I573" t="inlineStr">
        <is>
          <t>TN</t>
        </is>
      </c>
      <c r="J573" t="inlineStr"/>
      <c r="K573" t="inlineStr">
        <is>
          <t>20230704</t>
        </is>
      </c>
      <c r="L573" t="inlineStr">
        <is>
          <t>20260215</t>
        </is>
      </c>
    </row>
    <row r="574">
      <c r="A574" t="inlineStr">
        <is>
          <t>900008250</t>
        </is>
      </c>
      <c r="B574" t="inlineStr">
        <is>
          <t>DW68</t>
        </is>
      </c>
      <c r="C574" t="inlineStr">
        <is>
          <t>D264</t>
        </is>
      </c>
      <c r="D574" t="inlineStr">
        <is>
          <t>10004258</t>
        </is>
      </c>
      <c r="E574" t="inlineStr"/>
      <c r="F574" s="11" t="n">
        <v>401.96</v>
      </c>
      <c r="G574" t="inlineStr"/>
      <c r="I574" t="inlineStr">
        <is>
          <t>TN</t>
        </is>
      </c>
      <c r="J574" t="inlineStr"/>
      <c r="K574" t="inlineStr">
        <is>
          <t>20230704</t>
        </is>
      </c>
      <c r="L574" t="inlineStr">
        <is>
          <t>20260215</t>
        </is>
      </c>
    </row>
    <row r="575">
      <c r="A575" t="inlineStr">
        <is>
          <t>900008250</t>
        </is>
      </c>
      <c r="B575" t="inlineStr">
        <is>
          <t>DW68</t>
        </is>
      </c>
      <c r="C575" t="inlineStr">
        <is>
          <t>D264</t>
        </is>
      </c>
      <c r="D575" t="inlineStr">
        <is>
          <t>10148454</t>
        </is>
      </c>
      <c r="E575" t="inlineStr"/>
      <c r="F575" s="11" t="n">
        <v>208.33</v>
      </c>
      <c r="G575" t="inlineStr"/>
      <c r="I575" t="inlineStr">
        <is>
          <t>TN</t>
        </is>
      </c>
      <c r="J575" t="inlineStr"/>
      <c r="K575" t="inlineStr">
        <is>
          <t>20230704</t>
        </is>
      </c>
      <c r="L575" t="inlineStr">
        <is>
          <t>20260215</t>
        </is>
      </c>
    </row>
    <row r="576">
      <c r="A576" t="inlineStr">
        <is>
          <t>900008250</t>
        </is>
      </c>
      <c r="B576" t="inlineStr">
        <is>
          <t>DW68</t>
        </is>
      </c>
      <c r="C576" t="inlineStr">
        <is>
          <t>D267</t>
        </is>
      </c>
      <c r="D576" t="inlineStr">
        <is>
          <t>10000191</t>
        </is>
      </c>
      <c r="E576" t="inlineStr"/>
      <c r="F576" s="11" t="n">
        <v>212.77</v>
      </c>
      <c r="G576" t="inlineStr"/>
      <c r="I576" t="inlineStr">
        <is>
          <t>TN</t>
        </is>
      </c>
      <c r="J576" t="inlineStr"/>
      <c r="K576" t="inlineStr">
        <is>
          <t>20230704</t>
        </is>
      </c>
      <c r="L576" t="inlineStr">
        <is>
          <t>20260215</t>
        </is>
      </c>
    </row>
    <row r="577">
      <c r="A577" t="inlineStr">
        <is>
          <t>900008250</t>
        </is>
      </c>
      <c r="B577" t="inlineStr">
        <is>
          <t>DW68</t>
        </is>
      </c>
      <c r="C577" t="inlineStr">
        <is>
          <t>D267</t>
        </is>
      </c>
      <c r="D577" t="inlineStr">
        <is>
          <t>10000388</t>
        </is>
      </c>
      <c r="E577" t="inlineStr"/>
      <c r="F577" s="11" t="n">
        <v>197.13</v>
      </c>
      <c r="G577" t="inlineStr"/>
      <c r="I577" t="inlineStr">
        <is>
          <t>TN</t>
        </is>
      </c>
      <c r="J577" t="inlineStr"/>
      <c r="K577" t="inlineStr">
        <is>
          <t>20230704</t>
        </is>
      </c>
      <c r="L577" t="inlineStr">
        <is>
          <t>20260215</t>
        </is>
      </c>
    </row>
    <row r="578">
      <c r="A578" t="inlineStr">
        <is>
          <t>900008250</t>
        </is>
      </c>
      <c r="B578" t="inlineStr">
        <is>
          <t>DW68</t>
        </is>
      </c>
      <c r="C578" t="inlineStr">
        <is>
          <t>D267</t>
        </is>
      </c>
      <c r="D578" t="inlineStr">
        <is>
          <t>10004258</t>
        </is>
      </c>
      <c r="E578" t="inlineStr"/>
      <c r="F578" s="11" t="n">
        <v>401.96</v>
      </c>
      <c r="G578" t="inlineStr"/>
      <c r="I578" t="inlineStr">
        <is>
          <t>TN</t>
        </is>
      </c>
      <c r="J578" t="inlineStr"/>
      <c r="K578" t="inlineStr">
        <is>
          <t>20230704</t>
        </is>
      </c>
      <c r="L578" t="inlineStr">
        <is>
          <t>20260215</t>
        </is>
      </c>
    </row>
    <row r="579">
      <c r="A579" t="inlineStr">
        <is>
          <t>900008250</t>
        </is>
      </c>
      <c r="B579" t="inlineStr">
        <is>
          <t>DW68</t>
        </is>
      </c>
      <c r="C579" t="inlineStr">
        <is>
          <t>D267</t>
        </is>
      </c>
      <c r="D579" t="inlineStr">
        <is>
          <t>10148454</t>
        </is>
      </c>
      <c r="E579" t="inlineStr"/>
      <c r="F579" s="11" t="n">
        <v>208.33</v>
      </c>
      <c r="G579" t="inlineStr"/>
      <c r="I579" t="inlineStr">
        <is>
          <t>TN</t>
        </is>
      </c>
      <c r="J579" t="inlineStr"/>
      <c r="K579" t="inlineStr">
        <is>
          <t>20230704</t>
        </is>
      </c>
      <c r="L579" t="inlineStr">
        <is>
          <t>20260215</t>
        </is>
      </c>
    </row>
    <row r="580">
      <c r="A580" t="inlineStr">
        <is>
          <t>900008251</t>
        </is>
      </c>
      <c r="B580" t="inlineStr">
        <is>
          <t>DW68</t>
        </is>
      </c>
      <c r="C580" t="inlineStr">
        <is>
          <t>D042</t>
        </is>
      </c>
      <c r="D580" t="inlineStr">
        <is>
          <t>10000191</t>
        </is>
      </c>
      <c r="E580" t="inlineStr"/>
      <c r="F580" s="11" t="n">
        <v>191.49</v>
      </c>
      <c r="G580" t="inlineStr"/>
      <c r="I580" t="inlineStr">
        <is>
          <t>TN</t>
        </is>
      </c>
      <c r="J580" t="inlineStr"/>
      <c r="K580" t="inlineStr">
        <is>
          <t>20240601</t>
        </is>
      </c>
      <c r="L580" t="inlineStr">
        <is>
          <t>99991231</t>
        </is>
      </c>
    </row>
    <row r="581">
      <c r="A581" t="inlineStr">
        <is>
          <t>900008251</t>
        </is>
      </c>
      <c r="B581" t="inlineStr">
        <is>
          <t>DW68</t>
        </is>
      </c>
      <c r="C581" t="inlineStr">
        <is>
          <t>D042</t>
        </is>
      </c>
      <c r="D581" t="inlineStr">
        <is>
          <t>10000384</t>
        </is>
      </c>
      <c r="E581" t="inlineStr"/>
      <c r="F581" s="11" t="n">
        <v>221.37</v>
      </c>
      <c r="G581" t="inlineStr"/>
      <c r="I581" t="inlineStr">
        <is>
          <t>TN</t>
        </is>
      </c>
      <c r="J581" t="inlineStr"/>
      <c r="K581" t="inlineStr">
        <is>
          <t>20240601</t>
        </is>
      </c>
      <c r="L581" t="inlineStr">
        <is>
          <t>99991231</t>
        </is>
      </c>
    </row>
    <row r="582">
      <c r="A582" t="inlineStr">
        <is>
          <t>900008251</t>
        </is>
      </c>
      <c r="B582" t="inlineStr">
        <is>
          <t>DW68</t>
        </is>
      </c>
      <c r="C582" t="inlineStr">
        <is>
          <t>D042</t>
        </is>
      </c>
      <c r="D582" t="inlineStr">
        <is>
          <t>10000388</t>
        </is>
      </c>
      <c r="E582" t="inlineStr"/>
      <c r="F582" s="11" t="n">
        <v>181.94</v>
      </c>
      <c r="G582" t="inlineStr"/>
      <c r="I582" t="inlineStr">
        <is>
          <t>TN</t>
        </is>
      </c>
      <c r="J582" t="inlineStr"/>
      <c r="K582" t="inlineStr">
        <is>
          <t>20240601</t>
        </is>
      </c>
      <c r="L582" t="inlineStr">
        <is>
          <t>99991231</t>
        </is>
      </c>
    </row>
    <row r="583">
      <c r="A583" t="inlineStr">
        <is>
          <t>900008251</t>
        </is>
      </c>
      <c r="B583" t="inlineStr">
        <is>
          <t>DW68</t>
        </is>
      </c>
      <c r="C583" t="inlineStr">
        <is>
          <t>D042</t>
        </is>
      </c>
      <c r="D583" t="inlineStr">
        <is>
          <t>10000726</t>
        </is>
      </c>
      <c r="E583" t="inlineStr"/>
      <c r="F583" s="11" t="n">
        <v>375.09</v>
      </c>
      <c r="G583" t="inlineStr"/>
      <c r="I583" t="inlineStr">
        <is>
          <t>TN</t>
        </is>
      </c>
      <c r="J583" t="inlineStr"/>
      <c r="K583" t="inlineStr">
        <is>
          <t>20231005</t>
        </is>
      </c>
      <c r="L583" t="inlineStr">
        <is>
          <t>99991231</t>
        </is>
      </c>
    </row>
    <row r="584">
      <c r="A584" t="inlineStr">
        <is>
          <t>900008251</t>
        </is>
      </c>
      <c r="B584" t="inlineStr">
        <is>
          <t>DW68</t>
        </is>
      </c>
      <c r="C584" t="inlineStr">
        <is>
          <t>D042</t>
        </is>
      </c>
      <c r="D584" t="inlineStr">
        <is>
          <t>10004258</t>
        </is>
      </c>
      <c r="E584" t="inlineStr"/>
      <c r="F584" s="11" t="n">
        <v>338.83</v>
      </c>
      <c r="G584" t="inlineStr"/>
      <c r="I584" t="inlineStr">
        <is>
          <t>TN</t>
        </is>
      </c>
      <c r="J584" t="inlineStr"/>
      <c r="K584" t="inlineStr">
        <is>
          <t>20240601</t>
        </is>
      </c>
      <c r="L584" t="inlineStr">
        <is>
          <t>99991231</t>
        </is>
      </c>
    </row>
    <row r="585">
      <c r="A585" t="inlineStr">
        <is>
          <t>900008251</t>
        </is>
      </c>
      <c r="B585" t="inlineStr">
        <is>
          <t>DW68</t>
        </is>
      </c>
      <c r="C585" t="inlineStr">
        <is>
          <t>D209</t>
        </is>
      </c>
      <c r="D585" t="inlineStr">
        <is>
          <t>10000191</t>
        </is>
      </c>
      <c r="E585" t="inlineStr"/>
      <c r="F585" s="11" t="n">
        <v>191.49</v>
      </c>
      <c r="G585" t="inlineStr"/>
      <c r="I585" t="inlineStr">
        <is>
          <t>TN</t>
        </is>
      </c>
      <c r="J585" t="inlineStr"/>
      <c r="K585" t="inlineStr">
        <is>
          <t>20240601</t>
        </is>
      </c>
      <c r="L585" t="inlineStr">
        <is>
          <t>99991231</t>
        </is>
      </c>
    </row>
    <row r="586">
      <c r="A586" t="inlineStr">
        <is>
          <t>900008251</t>
        </is>
      </c>
      <c r="B586" t="inlineStr">
        <is>
          <t>DW68</t>
        </is>
      </c>
      <c r="C586" t="inlineStr">
        <is>
          <t>D209</t>
        </is>
      </c>
      <c r="D586" t="inlineStr">
        <is>
          <t>10000384</t>
        </is>
      </c>
      <c r="E586" t="inlineStr"/>
      <c r="F586" s="11" t="n">
        <v>221.37</v>
      </c>
      <c r="G586" t="inlineStr"/>
      <c r="I586" t="inlineStr">
        <is>
          <t>TN</t>
        </is>
      </c>
      <c r="J586" t="inlineStr"/>
      <c r="K586" t="inlineStr">
        <is>
          <t>20240601</t>
        </is>
      </c>
      <c r="L586" t="inlineStr">
        <is>
          <t>99991231</t>
        </is>
      </c>
    </row>
    <row r="587">
      <c r="A587" t="inlineStr">
        <is>
          <t>900008251</t>
        </is>
      </c>
      <c r="B587" t="inlineStr">
        <is>
          <t>DW68</t>
        </is>
      </c>
      <c r="C587" t="inlineStr">
        <is>
          <t>D209</t>
        </is>
      </c>
      <c r="D587" t="inlineStr">
        <is>
          <t>10000388</t>
        </is>
      </c>
      <c r="E587" t="inlineStr"/>
      <c r="F587" s="11" t="n">
        <v>181.94</v>
      </c>
      <c r="G587" t="inlineStr"/>
      <c r="I587" t="inlineStr">
        <is>
          <t>TN</t>
        </is>
      </c>
      <c r="J587" t="inlineStr"/>
      <c r="K587" t="inlineStr">
        <is>
          <t>20240601</t>
        </is>
      </c>
      <c r="L587" t="inlineStr">
        <is>
          <t>99991231</t>
        </is>
      </c>
    </row>
    <row r="588">
      <c r="A588" t="inlineStr">
        <is>
          <t>900008251</t>
        </is>
      </c>
      <c r="B588" t="inlineStr">
        <is>
          <t>DW68</t>
        </is>
      </c>
      <c r="C588" t="inlineStr">
        <is>
          <t>D209</t>
        </is>
      </c>
      <c r="D588" t="inlineStr">
        <is>
          <t>10004258</t>
        </is>
      </c>
      <c r="E588" t="inlineStr"/>
      <c r="F588" s="11" t="n">
        <v>338.83</v>
      </c>
      <c r="G588" t="inlineStr"/>
      <c r="I588" t="inlineStr">
        <is>
          <t>TN</t>
        </is>
      </c>
      <c r="J588" t="inlineStr"/>
      <c r="K588" t="inlineStr">
        <is>
          <t>20240601</t>
        </is>
      </c>
      <c r="L588" t="inlineStr">
        <is>
          <t>99991231</t>
        </is>
      </c>
    </row>
    <row r="589">
      <c r="A589" t="inlineStr">
        <is>
          <t>900008251</t>
        </is>
      </c>
      <c r="B589" t="inlineStr">
        <is>
          <t>DW68</t>
        </is>
      </c>
      <c r="C589" t="inlineStr">
        <is>
          <t>D211</t>
        </is>
      </c>
      <c r="D589" t="inlineStr">
        <is>
          <t>10000191</t>
        </is>
      </c>
      <c r="E589" t="inlineStr"/>
      <c r="F589" s="11" t="n">
        <v>191.49</v>
      </c>
      <c r="G589" t="inlineStr"/>
      <c r="I589" t="inlineStr">
        <is>
          <t>TN</t>
        </is>
      </c>
      <c r="J589" t="inlineStr"/>
      <c r="K589" t="inlineStr">
        <is>
          <t>20240601</t>
        </is>
      </c>
      <c r="L589" t="inlineStr">
        <is>
          <t>99991231</t>
        </is>
      </c>
    </row>
    <row r="590">
      <c r="A590" t="inlineStr">
        <is>
          <t>900008251</t>
        </is>
      </c>
      <c r="B590" t="inlineStr">
        <is>
          <t>DW68</t>
        </is>
      </c>
      <c r="C590" t="inlineStr">
        <is>
          <t>D211</t>
        </is>
      </c>
      <c r="D590" t="inlineStr">
        <is>
          <t>10000384</t>
        </is>
      </c>
      <c r="E590" t="inlineStr"/>
      <c r="F590" s="11" t="n">
        <v>221.37</v>
      </c>
      <c r="G590" t="inlineStr"/>
      <c r="I590" t="inlineStr">
        <is>
          <t>TN</t>
        </is>
      </c>
      <c r="J590" t="inlineStr"/>
      <c r="K590" t="inlineStr">
        <is>
          <t>20240601</t>
        </is>
      </c>
      <c r="L590" t="inlineStr">
        <is>
          <t>99991231</t>
        </is>
      </c>
    </row>
    <row r="591">
      <c r="A591" t="inlineStr">
        <is>
          <t>900008251</t>
        </is>
      </c>
      <c r="B591" t="inlineStr">
        <is>
          <t>DW68</t>
        </is>
      </c>
      <c r="C591" t="inlineStr">
        <is>
          <t>D211</t>
        </is>
      </c>
      <c r="D591" t="inlineStr">
        <is>
          <t>10000388</t>
        </is>
      </c>
      <c r="E591" t="inlineStr"/>
      <c r="F591" s="11" t="n">
        <v>181.94</v>
      </c>
      <c r="G591" t="inlineStr"/>
      <c r="I591" t="inlineStr">
        <is>
          <t>TN</t>
        </is>
      </c>
      <c r="J591" t="inlineStr"/>
      <c r="K591" t="inlineStr">
        <is>
          <t>20240601</t>
        </is>
      </c>
      <c r="L591" t="inlineStr">
        <is>
          <t>99991231</t>
        </is>
      </c>
    </row>
    <row r="592">
      <c r="A592" t="inlineStr">
        <is>
          <t>900008251</t>
        </is>
      </c>
      <c r="B592" t="inlineStr">
        <is>
          <t>DW68</t>
        </is>
      </c>
      <c r="C592" t="inlineStr">
        <is>
          <t>D211</t>
        </is>
      </c>
      <c r="D592" t="inlineStr">
        <is>
          <t>10004258</t>
        </is>
      </c>
      <c r="E592" t="inlineStr"/>
      <c r="F592" s="11" t="n">
        <v>338.83</v>
      </c>
      <c r="G592" t="inlineStr"/>
      <c r="I592" t="inlineStr">
        <is>
          <t>TN</t>
        </is>
      </c>
      <c r="J592" t="inlineStr"/>
      <c r="K592" t="inlineStr">
        <is>
          <t>20240601</t>
        </is>
      </c>
      <c r="L592" t="inlineStr">
        <is>
          <t>99991231</t>
        </is>
      </c>
    </row>
    <row r="593">
      <c r="A593" t="inlineStr">
        <is>
          <t>900008251</t>
        </is>
      </c>
      <c r="B593" t="inlineStr">
        <is>
          <t>DW68</t>
        </is>
      </c>
      <c r="C593" t="inlineStr">
        <is>
          <t>D228</t>
        </is>
      </c>
      <c r="D593" t="inlineStr">
        <is>
          <t>10000191</t>
        </is>
      </c>
      <c r="E593" t="inlineStr"/>
      <c r="F593" s="11" t="n">
        <v>191.49</v>
      </c>
      <c r="G593" t="inlineStr"/>
      <c r="I593" t="inlineStr">
        <is>
          <t>TN</t>
        </is>
      </c>
      <c r="J593" t="inlineStr"/>
      <c r="K593" t="inlineStr">
        <is>
          <t>20240601</t>
        </is>
      </c>
      <c r="L593" t="inlineStr">
        <is>
          <t>99991231</t>
        </is>
      </c>
    </row>
    <row r="594">
      <c r="A594" t="inlineStr">
        <is>
          <t>900008251</t>
        </is>
      </c>
      <c r="B594" t="inlineStr">
        <is>
          <t>DW68</t>
        </is>
      </c>
      <c r="C594" t="inlineStr">
        <is>
          <t>D228</t>
        </is>
      </c>
      <c r="D594" t="inlineStr">
        <is>
          <t>10000384</t>
        </is>
      </c>
      <c r="E594" t="inlineStr"/>
      <c r="F594" s="11" t="n">
        <v>221.37</v>
      </c>
      <c r="G594" t="inlineStr"/>
      <c r="I594" t="inlineStr">
        <is>
          <t>TN</t>
        </is>
      </c>
      <c r="J594" t="inlineStr"/>
      <c r="K594" t="inlineStr">
        <is>
          <t>20240601</t>
        </is>
      </c>
      <c r="L594" t="inlineStr">
        <is>
          <t>99991231</t>
        </is>
      </c>
    </row>
    <row r="595">
      <c r="A595" t="inlineStr">
        <is>
          <t>900008251</t>
        </is>
      </c>
      <c r="B595" t="inlineStr">
        <is>
          <t>DW68</t>
        </is>
      </c>
      <c r="C595" t="inlineStr">
        <is>
          <t>D228</t>
        </is>
      </c>
      <c r="D595" t="inlineStr">
        <is>
          <t>10000388</t>
        </is>
      </c>
      <c r="E595" t="inlineStr"/>
      <c r="F595" s="11" t="n">
        <v>181.94</v>
      </c>
      <c r="G595" t="inlineStr"/>
      <c r="I595" t="inlineStr">
        <is>
          <t>TN</t>
        </is>
      </c>
      <c r="J595" t="inlineStr"/>
      <c r="K595" t="inlineStr">
        <is>
          <t>20240601</t>
        </is>
      </c>
      <c r="L595" t="inlineStr">
        <is>
          <t>99991231</t>
        </is>
      </c>
    </row>
    <row r="596">
      <c r="A596" t="inlineStr">
        <is>
          <t>900008251</t>
        </is>
      </c>
      <c r="B596" t="inlineStr">
        <is>
          <t>DW68</t>
        </is>
      </c>
      <c r="C596" t="inlineStr">
        <is>
          <t>D228</t>
        </is>
      </c>
      <c r="D596" t="inlineStr">
        <is>
          <t>10004258</t>
        </is>
      </c>
      <c r="E596" t="inlineStr"/>
      <c r="F596" s="11" t="n">
        <v>338.83</v>
      </c>
      <c r="G596" t="inlineStr"/>
      <c r="I596" t="inlineStr">
        <is>
          <t>TN</t>
        </is>
      </c>
      <c r="J596" t="inlineStr"/>
      <c r="K596" t="inlineStr">
        <is>
          <t>20240601</t>
        </is>
      </c>
      <c r="L596" t="inlineStr">
        <is>
          <t>99991231</t>
        </is>
      </c>
    </row>
    <row r="597">
      <c r="A597" t="inlineStr">
        <is>
          <t>900008251</t>
        </is>
      </c>
      <c r="B597" t="inlineStr">
        <is>
          <t>DW68</t>
        </is>
      </c>
      <c r="C597" t="inlineStr">
        <is>
          <t>D242</t>
        </is>
      </c>
      <c r="D597" t="inlineStr">
        <is>
          <t>10000191</t>
        </is>
      </c>
      <c r="E597" t="inlineStr"/>
      <c r="F597" s="11" t="n">
        <v>191.49</v>
      </c>
      <c r="G597" t="inlineStr"/>
      <c r="I597" t="inlineStr">
        <is>
          <t>TN</t>
        </is>
      </c>
      <c r="J597" t="inlineStr"/>
      <c r="K597" t="inlineStr">
        <is>
          <t>20240601</t>
        </is>
      </c>
      <c r="L597" t="inlineStr">
        <is>
          <t>99991231</t>
        </is>
      </c>
    </row>
    <row r="598">
      <c r="A598" t="inlineStr">
        <is>
          <t>900008251</t>
        </is>
      </c>
      <c r="B598" t="inlineStr">
        <is>
          <t>DW68</t>
        </is>
      </c>
      <c r="C598" t="inlineStr">
        <is>
          <t>D242</t>
        </is>
      </c>
      <c r="D598" t="inlineStr">
        <is>
          <t>10000384</t>
        </is>
      </c>
      <c r="E598" t="inlineStr"/>
      <c r="F598" s="11" t="n">
        <v>221.37</v>
      </c>
      <c r="G598" t="inlineStr"/>
      <c r="I598" t="inlineStr">
        <is>
          <t>TN</t>
        </is>
      </c>
      <c r="J598" t="inlineStr"/>
      <c r="K598" t="inlineStr">
        <is>
          <t>20240601</t>
        </is>
      </c>
      <c r="L598" t="inlineStr">
        <is>
          <t>99991231</t>
        </is>
      </c>
    </row>
    <row r="599">
      <c r="A599" t="inlineStr">
        <is>
          <t>900008251</t>
        </is>
      </c>
      <c r="B599" t="inlineStr">
        <is>
          <t>DW68</t>
        </is>
      </c>
      <c r="C599" t="inlineStr">
        <is>
          <t>D242</t>
        </is>
      </c>
      <c r="D599" t="inlineStr">
        <is>
          <t>10000388</t>
        </is>
      </c>
      <c r="E599" t="inlineStr"/>
      <c r="F599" s="11" t="n">
        <v>181.94</v>
      </c>
      <c r="G599" t="inlineStr"/>
      <c r="I599" t="inlineStr">
        <is>
          <t>TN</t>
        </is>
      </c>
      <c r="J599" t="inlineStr"/>
      <c r="K599" t="inlineStr">
        <is>
          <t>20240601</t>
        </is>
      </c>
      <c r="L599" t="inlineStr">
        <is>
          <t>99991231</t>
        </is>
      </c>
    </row>
    <row r="600">
      <c r="A600" t="inlineStr">
        <is>
          <t>900008251</t>
        </is>
      </c>
      <c r="B600" t="inlineStr">
        <is>
          <t>DW68</t>
        </is>
      </c>
      <c r="C600" t="inlineStr">
        <is>
          <t>D242</t>
        </is>
      </c>
      <c r="D600" t="inlineStr">
        <is>
          <t>10000726</t>
        </is>
      </c>
      <c r="E600" t="inlineStr"/>
      <c r="F600" s="11" t="n">
        <v>375.09</v>
      </c>
      <c r="G600" t="inlineStr"/>
      <c r="I600" t="inlineStr">
        <is>
          <t>TN</t>
        </is>
      </c>
      <c r="J600" t="inlineStr"/>
      <c r="K600" t="inlineStr">
        <is>
          <t>20230926</t>
        </is>
      </c>
      <c r="L600" t="inlineStr">
        <is>
          <t>99991231</t>
        </is>
      </c>
    </row>
    <row r="601">
      <c r="A601" t="inlineStr">
        <is>
          <t>900008251</t>
        </is>
      </c>
      <c r="B601" t="inlineStr">
        <is>
          <t>DW68</t>
        </is>
      </c>
      <c r="C601" t="inlineStr">
        <is>
          <t>D242</t>
        </is>
      </c>
      <c r="D601" t="inlineStr">
        <is>
          <t>10004258</t>
        </is>
      </c>
      <c r="E601" t="inlineStr"/>
      <c r="F601" s="11" t="n">
        <v>338.83</v>
      </c>
      <c r="G601" t="inlineStr"/>
      <c r="I601" t="inlineStr">
        <is>
          <t>TN</t>
        </is>
      </c>
      <c r="J601" t="inlineStr"/>
      <c r="K601" t="inlineStr">
        <is>
          <t>20240601</t>
        </is>
      </c>
      <c r="L601" t="inlineStr">
        <is>
          <t>99991231</t>
        </is>
      </c>
    </row>
    <row r="602">
      <c r="A602" t="inlineStr">
        <is>
          <t>900008251</t>
        </is>
      </c>
      <c r="B602" t="inlineStr">
        <is>
          <t>DW68</t>
        </is>
      </c>
      <c r="C602" t="inlineStr">
        <is>
          <t>D247</t>
        </is>
      </c>
      <c r="D602" t="inlineStr">
        <is>
          <t>10000191</t>
        </is>
      </c>
      <c r="E602" t="inlineStr"/>
      <c r="F602" s="11" t="n">
        <v>191.49</v>
      </c>
      <c r="G602" t="inlineStr"/>
      <c r="I602" t="inlineStr">
        <is>
          <t>TN</t>
        </is>
      </c>
      <c r="J602" t="inlineStr"/>
      <c r="K602" t="inlineStr">
        <is>
          <t>20240601</t>
        </is>
      </c>
      <c r="L602" t="inlineStr">
        <is>
          <t>99991231</t>
        </is>
      </c>
    </row>
    <row r="603">
      <c r="A603" t="inlineStr">
        <is>
          <t>900008251</t>
        </is>
      </c>
      <c r="B603" t="inlineStr">
        <is>
          <t>DW68</t>
        </is>
      </c>
      <c r="C603" t="inlineStr">
        <is>
          <t>D247</t>
        </is>
      </c>
      <c r="D603" t="inlineStr">
        <is>
          <t>10000384</t>
        </is>
      </c>
      <c r="E603" t="inlineStr"/>
      <c r="F603" s="11" t="n">
        <v>221.37</v>
      </c>
      <c r="G603" t="inlineStr"/>
      <c r="I603" t="inlineStr">
        <is>
          <t>TN</t>
        </is>
      </c>
      <c r="J603" t="inlineStr"/>
      <c r="K603" t="inlineStr">
        <is>
          <t>20240601</t>
        </is>
      </c>
      <c r="L603" t="inlineStr">
        <is>
          <t>99991231</t>
        </is>
      </c>
    </row>
    <row r="604">
      <c r="A604" t="inlineStr">
        <is>
          <t>900008251</t>
        </is>
      </c>
      <c r="B604" t="inlineStr">
        <is>
          <t>DW68</t>
        </is>
      </c>
      <c r="C604" t="inlineStr">
        <is>
          <t>D247</t>
        </is>
      </c>
      <c r="D604" t="inlineStr">
        <is>
          <t>10000388</t>
        </is>
      </c>
      <c r="E604" t="inlineStr"/>
      <c r="F604" s="11" t="n">
        <v>181.94</v>
      </c>
      <c r="G604" t="inlineStr"/>
      <c r="I604" t="inlineStr">
        <is>
          <t>TN</t>
        </is>
      </c>
      <c r="J604" t="inlineStr"/>
      <c r="K604" t="inlineStr">
        <is>
          <t>20240601</t>
        </is>
      </c>
      <c r="L604" t="inlineStr">
        <is>
          <t>99991231</t>
        </is>
      </c>
    </row>
    <row r="605">
      <c r="A605" t="inlineStr">
        <is>
          <t>900008251</t>
        </is>
      </c>
      <c r="B605" t="inlineStr">
        <is>
          <t>DW68</t>
        </is>
      </c>
      <c r="C605" t="inlineStr">
        <is>
          <t>D247</t>
        </is>
      </c>
      <c r="D605" t="inlineStr">
        <is>
          <t>10004258</t>
        </is>
      </c>
      <c r="E605" t="inlineStr"/>
      <c r="F605" s="11" t="n">
        <v>338.83</v>
      </c>
      <c r="G605" t="inlineStr"/>
      <c r="I605" t="inlineStr">
        <is>
          <t>TN</t>
        </is>
      </c>
      <c r="J605" t="inlineStr"/>
      <c r="K605" t="inlineStr">
        <is>
          <t>20240601</t>
        </is>
      </c>
      <c r="L605" t="inlineStr">
        <is>
          <t>99991231</t>
        </is>
      </c>
    </row>
    <row r="606">
      <c r="A606" t="inlineStr">
        <is>
          <t>900008251</t>
        </is>
      </c>
      <c r="B606" t="inlineStr">
        <is>
          <t>DW68</t>
        </is>
      </c>
      <c r="C606" t="inlineStr">
        <is>
          <t>D251</t>
        </is>
      </c>
      <c r="D606" t="inlineStr">
        <is>
          <t>10000191</t>
        </is>
      </c>
      <c r="E606" t="inlineStr"/>
      <c r="F606" s="11" t="n">
        <v>191.49</v>
      </c>
      <c r="G606" t="inlineStr"/>
      <c r="I606" t="inlineStr">
        <is>
          <t>TN</t>
        </is>
      </c>
      <c r="J606" t="inlineStr"/>
      <c r="K606" t="inlineStr">
        <is>
          <t>20240601</t>
        </is>
      </c>
      <c r="L606" t="inlineStr">
        <is>
          <t>99991231</t>
        </is>
      </c>
    </row>
    <row r="607">
      <c r="A607" t="inlineStr">
        <is>
          <t>900008251</t>
        </is>
      </c>
      <c r="B607" t="inlineStr">
        <is>
          <t>DW68</t>
        </is>
      </c>
      <c r="C607" t="inlineStr">
        <is>
          <t>D251</t>
        </is>
      </c>
      <c r="D607" t="inlineStr">
        <is>
          <t>10000384</t>
        </is>
      </c>
      <c r="E607" t="inlineStr"/>
      <c r="F607" s="11" t="n">
        <v>221.37</v>
      </c>
      <c r="G607" t="inlineStr"/>
      <c r="I607" t="inlineStr">
        <is>
          <t>TN</t>
        </is>
      </c>
      <c r="J607" t="inlineStr"/>
      <c r="K607" t="inlineStr">
        <is>
          <t>20240601</t>
        </is>
      </c>
      <c r="L607" t="inlineStr">
        <is>
          <t>99991231</t>
        </is>
      </c>
    </row>
    <row r="608">
      <c r="A608" t="inlineStr">
        <is>
          <t>900008251</t>
        </is>
      </c>
      <c r="B608" t="inlineStr">
        <is>
          <t>DW68</t>
        </is>
      </c>
      <c r="C608" t="inlineStr">
        <is>
          <t>D251</t>
        </is>
      </c>
      <c r="D608" t="inlineStr">
        <is>
          <t>10000388</t>
        </is>
      </c>
      <c r="E608" t="inlineStr"/>
      <c r="F608" s="11" t="n">
        <v>181.94</v>
      </c>
      <c r="G608" t="inlineStr"/>
      <c r="I608" t="inlineStr">
        <is>
          <t>TN</t>
        </is>
      </c>
      <c r="J608" t="inlineStr"/>
      <c r="K608" t="inlineStr">
        <is>
          <t>20240601</t>
        </is>
      </c>
      <c r="L608" t="inlineStr">
        <is>
          <t>99991231</t>
        </is>
      </c>
    </row>
    <row r="609">
      <c r="A609" t="inlineStr">
        <is>
          <t>900008251</t>
        </is>
      </c>
      <c r="B609" t="inlineStr">
        <is>
          <t>DW68</t>
        </is>
      </c>
      <c r="C609" t="inlineStr">
        <is>
          <t>D251</t>
        </is>
      </c>
      <c r="D609" t="inlineStr">
        <is>
          <t>10004258</t>
        </is>
      </c>
      <c r="E609" t="inlineStr"/>
      <c r="F609" s="11" t="n">
        <v>338.83</v>
      </c>
      <c r="G609" t="inlineStr"/>
      <c r="I609" t="inlineStr">
        <is>
          <t>TN</t>
        </is>
      </c>
      <c r="J609" t="inlineStr"/>
      <c r="K609" t="inlineStr">
        <is>
          <t>20240601</t>
        </is>
      </c>
      <c r="L609" t="inlineStr">
        <is>
          <t>99991231</t>
        </is>
      </c>
    </row>
    <row r="610">
      <c r="A610" t="inlineStr">
        <is>
          <t>900008251</t>
        </is>
      </c>
      <c r="B610" t="inlineStr">
        <is>
          <t>DW68</t>
        </is>
      </c>
      <c r="C610" t="inlineStr">
        <is>
          <t>D264</t>
        </is>
      </c>
      <c r="D610" t="inlineStr">
        <is>
          <t>10000191</t>
        </is>
      </c>
      <c r="E610" t="inlineStr"/>
      <c r="F610" s="11" t="n">
        <v>191.49</v>
      </c>
      <c r="G610" t="inlineStr"/>
      <c r="I610" t="inlineStr">
        <is>
          <t>TN</t>
        </is>
      </c>
      <c r="J610" t="inlineStr"/>
      <c r="K610" t="inlineStr">
        <is>
          <t>20240601</t>
        </is>
      </c>
      <c r="L610" t="inlineStr">
        <is>
          <t>99991231</t>
        </is>
      </c>
    </row>
    <row r="611">
      <c r="A611" t="inlineStr">
        <is>
          <t>900008251</t>
        </is>
      </c>
      <c r="B611" t="inlineStr">
        <is>
          <t>DW68</t>
        </is>
      </c>
      <c r="C611" t="inlineStr">
        <is>
          <t>D264</t>
        </is>
      </c>
      <c r="D611" t="inlineStr">
        <is>
          <t>10000384</t>
        </is>
      </c>
      <c r="E611" t="inlineStr"/>
      <c r="F611" s="11" t="n">
        <v>221.37</v>
      </c>
      <c r="G611" t="inlineStr"/>
      <c r="I611" t="inlineStr">
        <is>
          <t>TN</t>
        </is>
      </c>
      <c r="J611" t="inlineStr"/>
      <c r="K611" t="inlineStr">
        <is>
          <t>20240601</t>
        </is>
      </c>
      <c r="L611" t="inlineStr">
        <is>
          <t>99991231</t>
        </is>
      </c>
    </row>
    <row r="612">
      <c r="A612" t="inlineStr">
        <is>
          <t>900008251</t>
        </is>
      </c>
      <c r="B612" t="inlineStr">
        <is>
          <t>DW68</t>
        </is>
      </c>
      <c r="C612" t="inlineStr">
        <is>
          <t>D264</t>
        </is>
      </c>
      <c r="D612" t="inlineStr">
        <is>
          <t>10000388</t>
        </is>
      </c>
      <c r="E612" t="inlineStr"/>
      <c r="F612" s="11" t="n">
        <v>181.94</v>
      </c>
      <c r="G612" t="inlineStr"/>
      <c r="I612" t="inlineStr">
        <is>
          <t>TN</t>
        </is>
      </c>
      <c r="J612" t="inlineStr"/>
      <c r="K612" t="inlineStr">
        <is>
          <t>20240601</t>
        </is>
      </c>
      <c r="L612" t="inlineStr">
        <is>
          <t>99991231</t>
        </is>
      </c>
    </row>
    <row r="613">
      <c r="A613" t="inlineStr">
        <is>
          <t>900008251</t>
        </is>
      </c>
      <c r="B613" t="inlineStr">
        <is>
          <t>DW68</t>
        </is>
      </c>
      <c r="C613" t="inlineStr">
        <is>
          <t>D264</t>
        </is>
      </c>
      <c r="D613" t="inlineStr">
        <is>
          <t>10004258</t>
        </is>
      </c>
      <c r="E613" t="inlineStr"/>
      <c r="F613" s="11" t="n">
        <v>338.83</v>
      </c>
      <c r="G613" t="inlineStr"/>
      <c r="I613" t="inlineStr">
        <is>
          <t>TN</t>
        </is>
      </c>
      <c r="J613" t="inlineStr"/>
      <c r="K613" t="inlineStr">
        <is>
          <t>20240601</t>
        </is>
      </c>
      <c r="L613" t="inlineStr">
        <is>
          <t>99991231</t>
        </is>
      </c>
    </row>
    <row r="614">
      <c r="A614" t="inlineStr">
        <is>
          <t>900008251</t>
        </is>
      </c>
      <c r="B614" t="inlineStr">
        <is>
          <t>DW68</t>
        </is>
      </c>
      <c r="C614" t="inlineStr">
        <is>
          <t>D267</t>
        </is>
      </c>
      <c r="D614" t="inlineStr">
        <is>
          <t>10000191</t>
        </is>
      </c>
      <c r="E614" t="inlineStr"/>
      <c r="F614" s="11" t="n">
        <v>191.49</v>
      </c>
      <c r="G614" t="inlineStr"/>
      <c r="I614" t="inlineStr">
        <is>
          <t>TN</t>
        </is>
      </c>
      <c r="J614" t="inlineStr"/>
      <c r="K614" t="inlineStr">
        <is>
          <t>20240601</t>
        </is>
      </c>
      <c r="L614" t="inlineStr">
        <is>
          <t>99991231</t>
        </is>
      </c>
    </row>
    <row r="615">
      <c r="A615" t="inlineStr">
        <is>
          <t>900008251</t>
        </is>
      </c>
      <c r="B615" t="inlineStr">
        <is>
          <t>DW68</t>
        </is>
      </c>
      <c r="C615" t="inlineStr">
        <is>
          <t>D267</t>
        </is>
      </c>
      <c r="D615" t="inlineStr">
        <is>
          <t>10000384</t>
        </is>
      </c>
      <c r="E615" t="inlineStr"/>
      <c r="F615" s="11" t="n">
        <v>221.37</v>
      </c>
      <c r="G615" t="inlineStr"/>
      <c r="I615" t="inlineStr">
        <is>
          <t>TN</t>
        </is>
      </c>
      <c r="J615" t="inlineStr"/>
      <c r="K615" t="inlineStr">
        <is>
          <t>20240601</t>
        </is>
      </c>
      <c r="L615" t="inlineStr">
        <is>
          <t>99991231</t>
        </is>
      </c>
    </row>
    <row r="616">
      <c r="A616" t="inlineStr">
        <is>
          <t>900008251</t>
        </is>
      </c>
      <c r="B616" t="inlineStr">
        <is>
          <t>DW68</t>
        </is>
      </c>
      <c r="C616" t="inlineStr">
        <is>
          <t>D267</t>
        </is>
      </c>
      <c r="D616" t="inlineStr">
        <is>
          <t>10000388</t>
        </is>
      </c>
      <c r="E616" t="inlineStr"/>
      <c r="F616" s="11" t="n">
        <v>181.94</v>
      </c>
      <c r="G616" t="inlineStr"/>
      <c r="I616" t="inlineStr">
        <is>
          <t>TN</t>
        </is>
      </c>
      <c r="J616" t="inlineStr"/>
      <c r="K616" t="inlineStr">
        <is>
          <t>20240601</t>
        </is>
      </c>
      <c r="L616" t="inlineStr">
        <is>
          <t>99991231</t>
        </is>
      </c>
    </row>
    <row r="617">
      <c r="A617" t="inlineStr">
        <is>
          <t>900008251</t>
        </is>
      </c>
      <c r="B617" t="inlineStr">
        <is>
          <t>DW68</t>
        </is>
      </c>
      <c r="C617" t="inlineStr">
        <is>
          <t>D267</t>
        </is>
      </c>
      <c r="D617" t="inlineStr">
        <is>
          <t>10004258</t>
        </is>
      </c>
      <c r="E617" t="inlineStr"/>
      <c r="F617" s="11" t="n">
        <v>338.83</v>
      </c>
      <c r="G617" t="inlineStr"/>
      <c r="I617" t="inlineStr">
        <is>
          <t>TN</t>
        </is>
      </c>
      <c r="J617" t="inlineStr"/>
      <c r="K617" t="inlineStr">
        <is>
          <t>20240601</t>
        </is>
      </c>
      <c r="L617" t="inlineStr">
        <is>
          <t>99991231</t>
        </is>
      </c>
    </row>
    <row r="618">
      <c r="A618" t="inlineStr">
        <is>
          <t>900008251</t>
        </is>
      </c>
      <c r="B618" t="inlineStr">
        <is>
          <t>DW68</t>
        </is>
      </c>
      <c r="C618" t="inlineStr">
        <is>
          <t>DD58</t>
        </is>
      </c>
      <c r="D618" t="inlineStr">
        <is>
          <t>10000726</t>
        </is>
      </c>
      <c r="E618" t="inlineStr"/>
      <c r="F618" s="11" t="n">
        <v>375.09</v>
      </c>
      <c r="G618" t="inlineStr"/>
      <c r="I618" t="inlineStr">
        <is>
          <t>TN</t>
        </is>
      </c>
      <c r="J618" t="inlineStr"/>
      <c r="K618" t="inlineStr">
        <is>
          <t>20230927</t>
        </is>
      </c>
      <c r="L618" t="inlineStr">
        <is>
          <t>20260215</t>
        </is>
      </c>
    </row>
    <row r="619">
      <c r="A619" t="inlineStr">
        <is>
          <t>900008826</t>
        </is>
      </c>
      <c r="B619" t="inlineStr">
        <is>
          <t>DW68</t>
        </is>
      </c>
      <c r="C619" t="inlineStr">
        <is>
          <t>D220</t>
        </is>
      </c>
      <c r="D619" t="inlineStr">
        <is>
          <t>10000191</t>
        </is>
      </c>
      <c r="E619" t="inlineStr"/>
      <c r="F619" s="11" t="n">
        <v>210.64</v>
      </c>
      <c r="G619" t="inlineStr"/>
      <c r="I619" t="inlineStr">
        <is>
          <t>TN</t>
        </is>
      </c>
      <c r="J619" t="inlineStr"/>
      <c r="K619" t="inlineStr">
        <is>
          <t>20260115</t>
        </is>
      </c>
      <c r="L619" t="inlineStr">
        <is>
          <t>99991231</t>
        </is>
      </c>
    </row>
    <row r="620">
      <c r="A620" t="inlineStr">
        <is>
          <t>900008826</t>
        </is>
      </c>
      <c r="B620" t="inlineStr">
        <is>
          <t>DW68</t>
        </is>
      </c>
      <c r="C620" t="inlineStr">
        <is>
          <t>D220</t>
        </is>
      </c>
      <c r="D620" t="inlineStr">
        <is>
          <t>10000388</t>
        </is>
      </c>
      <c r="E620" t="inlineStr"/>
      <c r="F620" s="11" t="n">
        <v>212.91</v>
      </c>
      <c r="G620" t="inlineStr"/>
      <c r="I620" t="inlineStr">
        <is>
          <t>TN</t>
        </is>
      </c>
      <c r="J620" t="inlineStr"/>
      <c r="K620" t="inlineStr">
        <is>
          <t>20260115</t>
        </is>
      </c>
      <c r="L620" t="inlineStr">
        <is>
          <t>99991231</t>
        </is>
      </c>
    </row>
    <row r="621">
      <c r="A621" t="inlineStr">
        <is>
          <t>900008842</t>
        </is>
      </c>
      <c r="B621" t="inlineStr">
        <is>
          <t>DW68</t>
        </is>
      </c>
      <c r="C621" t="inlineStr">
        <is>
          <t>D042</t>
        </is>
      </c>
      <c r="D621" t="inlineStr">
        <is>
          <t>10000191</t>
        </is>
      </c>
      <c r="E621" t="inlineStr"/>
      <c r="F621" s="11" t="n">
        <v>158</v>
      </c>
      <c r="G621" t="inlineStr"/>
      <c r="I621" t="inlineStr">
        <is>
          <t>TN</t>
        </is>
      </c>
      <c r="J621" t="inlineStr"/>
      <c r="K621" t="inlineStr">
        <is>
          <t>20240624</t>
        </is>
      </c>
      <c r="L621" t="inlineStr">
        <is>
          <t>20251031</t>
        </is>
      </c>
    </row>
    <row r="622">
      <c r="A622" t="inlineStr">
        <is>
          <t>900008842</t>
        </is>
      </c>
      <c r="B622" t="inlineStr">
        <is>
          <t>DW68</t>
        </is>
      </c>
      <c r="C622" t="inlineStr">
        <is>
          <t>D042</t>
        </is>
      </c>
      <c r="D622" t="inlineStr">
        <is>
          <t>10000384</t>
        </is>
      </c>
      <c r="E622" t="inlineStr"/>
      <c r="F622" s="11" t="n">
        <v>180</v>
      </c>
      <c r="G622" t="inlineStr"/>
      <c r="I622" t="inlineStr">
        <is>
          <t>TN</t>
        </is>
      </c>
      <c r="J622" t="inlineStr"/>
      <c r="K622" t="inlineStr">
        <is>
          <t>20240624</t>
        </is>
      </c>
      <c r="L622" t="inlineStr">
        <is>
          <t>20251031</t>
        </is>
      </c>
    </row>
    <row r="623">
      <c r="A623" t="inlineStr">
        <is>
          <t>900008842</t>
        </is>
      </c>
      <c r="B623" t="inlineStr">
        <is>
          <t>DW68</t>
        </is>
      </c>
      <c r="C623" t="inlineStr">
        <is>
          <t>D042</t>
        </is>
      </c>
      <c r="D623" t="inlineStr">
        <is>
          <t>10000388</t>
        </is>
      </c>
      <c r="E623" t="inlineStr"/>
      <c r="F623" s="11" t="n">
        <v>158</v>
      </c>
      <c r="G623" t="inlineStr"/>
      <c r="I623" t="inlineStr">
        <is>
          <t>TN</t>
        </is>
      </c>
      <c r="J623" t="inlineStr"/>
      <c r="K623" t="inlineStr">
        <is>
          <t>20240624</t>
        </is>
      </c>
      <c r="L623" t="inlineStr">
        <is>
          <t>20251031</t>
        </is>
      </c>
    </row>
    <row r="624">
      <c r="A624" t="inlineStr">
        <is>
          <t>900008842</t>
        </is>
      </c>
      <c r="B624" t="inlineStr">
        <is>
          <t>DW68</t>
        </is>
      </c>
      <c r="C624" t="inlineStr">
        <is>
          <t>D042</t>
        </is>
      </c>
      <c r="D624" t="inlineStr">
        <is>
          <t>10004258</t>
        </is>
      </c>
      <c r="E624" t="inlineStr"/>
      <c r="F624" s="11" t="n">
        <v>257</v>
      </c>
      <c r="G624" t="inlineStr"/>
      <c r="I624" t="inlineStr">
        <is>
          <t>TN</t>
        </is>
      </c>
      <c r="J624" t="inlineStr"/>
      <c r="K624" t="inlineStr">
        <is>
          <t>20240624</t>
        </is>
      </c>
      <c r="L624" t="inlineStr">
        <is>
          <t>20251031</t>
        </is>
      </c>
    </row>
    <row r="625">
      <c r="A625" t="inlineStr">
        <is>
          <t>900008842</t>
        </is>
      </c>
      <c r="B625" t="inlineStr">
        <is>
          <t>DW68</t>
        </is>
      </c>
      <c r="C625" t="inlineStr">
        <is>
          <t>D209</t>
        </is>
      </c>
      <c r="D625" t="inlineStr">
        <is>
          <t>10000191</t>
        </is>
      </c>
      <c r="E625" t="inlineStr"/>
      <c r="F625" s="11" t="n">
        <v>158</v>
      </c>
      <c r="G625" t="inlineStr"/>
      <c r="I625" t="inlineStr">
        <is>
          <t>TN</t>
        </is>
      </c>
      <c r="J625" t="inlineStr"/>
      <c r="K625" t="inlineStr">
        <is>
          <t>20240624</t>
        </is>
      </c>
      <c r="L625" t="inlineStr">
        <is>
          <t>20251031</t>
        </is>
      </c>
    </row>
    <row r="626">
      <c r="A626" t="inlineStr">
        <is>
          <t>900008842</t>
        </is>
      </c>
      <c r="B626" t="inlineStr">
        <is>
          <t>DW68</t>
        </is>
      </c>
      <c r="C626" t="inlineStr">
        <is>
          <t>D209</t>
        </is>
      </c>
      <c r="D626" t="inlineStr">
        <is>
          <t>10000384</t>
        </is>
      </c>
      <c r="E626" t="inlineStr"/>
      <c r="F626" s="11" t="n">
        <v>180</v>
      </c>
      <c r="G626" t="inlineStr"/>
      <c r="I626" t="inlineStr">
        <is>
          <t>TN</t>
        </is>
      </c>
      <c r="J626" t="inlineStr"/>
      <c r="K626" t="inlineStr">
        <is>
          <t>20240624</t>
        </is>
      </c>
      <c r="L626" t="inlineStr">
        <is>
          <t>20251031</t>
        </is>
      </c>
    </row>
    <row r="627">
      <c r="A627" t="inlineStr">
        <is>
          <t>900008842</t>
        </is>
      </c>
      <c r="B627" t="inlineStr">
        <is>
          <t>DW68</t>
        </is>
      </c>
      <c r="C627" t="inlineStr">
        <is>
          <t>D209</t>
        </is>
      </c>
      <c r="D627" t="inlineStr">
        <is>
          <t>10000388</t>
        </is>
      </c>
      <c r="E627" t="inlineStr"/>
      <c r="F627" s="11" t="n">
        <v>158</v>
      </c>
      <c r="G627" t="inlineStr"/>
      <c r="I627" t="inlineStr">
        <is>
          <t>TN</t>
        </is>
      </c>
      <c r="J627" t="inlineStr"/>
      <c r="K627" t="inlineStr">
        <is>
          <t>20240624</t>
        </is>
      </c>
      <c r="L627" t="inlineStr">
        <is>
          <t>20251031</t>
        </is>
      </c>
    </row>
    <row r="628">
      <c r="A628" t="inlineStr">
        <is>
          <t>900008842</t>
        </is>
      </c>
      <c r="B628" t="inlineStr">
        <is>
          <t>DW68</t>
        </is>
      </c>
      <c r="C628" t="inlineStr">
        <is>
          <t>D209</t>
        </is>
      </c>
      <c r="D628" t="inlineStr">
        <is>
          <t>10004258</t>
        </is>
      </c>
      <c r="E628" t="inlineStr"/>
      <c r="F628" s="11" t="n">
        <v>257</v>
      </c>
      <c r="G628" t="inlineStr"/>
      <c r="I628" t="inlineStr">
        <is>
          <t>TN</t>
        </is>
      </c>
      <c r="J628" t="inlineStr"/>
      <c r="K628" t="inlineStr">
        <is>
          <t>20240624</t>
        </is>
      </c>
      <c r="L628" t="inlineStr">
        <is>
          <t>20251031</t>
        </is>
      </c>
    </row>
    <row r="629">
      <c r="A629" t="inlineStr">
        <is>
          <t>900008842</t>
        </is>
      </c>
      <c r="B629" t="inlineStr">
        <is>
          <t>DW68</t>
        </is>
      </c>
      <c r="C629" t="inlineStr">
        <is>
          <t>D211</t>
        </is>
      </c>
      <c r="D629" t="inlineStr">
        <is>
          <t>10000191</t>
        </is>
      </c>
      <c r="E629" t="inlineStr"/>
      <c r="F629" s="11" t="n">
        <v>158</v>
      </c>
      <c r="G629" t="inlineStr"/>
      <c r="I629" t="inlineStr">
        <is>
          <t>TN</t>
        </is>
      </c>
      <c r="J629" t="inlineStr"/>
      <c r="K629" t="inlineStr">
        <is>
          <t>20240624</t>
        </is>
      </c>
      <c r="L629" t="inlineStr">
        <is>
          <t>20251031</t>
        </is>
      </c>
    </row>
    <row r="630">
      <c r="A630" t="inlineStr">
        <is>
          <t>900008842</t>
        </is>
      </c>
      <c r="B630" t="inlineStr">
        <is>
          <t>DW68</t>
        </is>
      </c>
      <c r="C630" t="inlineStr">
        <is>
          <t>D211</t>
        </is>
      </c>
      <c r="D630" t="inlineStr">
        <is>
          <t>10000384</t>
        </is>
      </c>
      <c r="E630" t="inlineStr"/>
      <c r="F630" s="11" t="n">
        <v>180</v>
      </c>
      <c r="G630" t="inlineStr"/>
      <c r="I630" t="inlineStr">
        <is>
          <t>TN</t>
        </is>
      </c>
      <c r="J630" t="inlineStr"/>
      <c r="K630" t="inlineStr">
        <is>
          <t>20240624</t>
        </is>
      </c>
      <c r="L630" t="inlineStr">
        <is>
          <t>20251031</t>
        </is>
      </c>
    </row>
    <row r="631">
      <c r="A631" t="inlineStr">
        <is>
          <t>900008842</t>
        </is>
      </c>
      <c r="B631" t="inlineStr">
        <is>
          <t>DW68</t>
        </is>
      </c>
      <c r="C631" t="inlineStr">
        <is>
          <t>D211</t>
        </is>
      </c>
      <c r="D631" t="inlineStr">
        <is>
          <t>10000388</t>
        </is>
      </c>
      <c r="E631" t="inlineStr"/>
      <c r="F631" s="11" t="n">
        <v>158</v>
      </c>
      <c r="G631" t="inlineStr"/>
      <c r="I631" t="inlineStr">
        <is>
          <t>TN</t>
        </is>
      </c>
      <c r="J631" t="inlineStr"/>
      <c r="K631" t="inlineStr">
        <is>
          <t>20240624</t>
        </is>
      </c>
      <c r="L631" t="inlineStr">
        <is>
          <t>20251031</t>
        </is>
      </c>
    </row>
    <row r="632">
      <c r="A632" t="inlineStr">
        <is>
          <t>900008842</t>
        </is>
      </c>
      <c r="B632" t="inlineStr">
        <is>
          <t>DW68</t>
        </is>
      </c>
      <c r="C632" t="inlineStr">
        <is>
          <t>D211</t>
        </is>
      </c>
      <c r="D632" t="inlineStr">
        <is>
          <t>10004258</t>
        </is>
      </c>
      <c r="E632" t="inlineStr"/>
      <c r="F632" s="11" t="n">
        <v>257</v>
      </c>
      <c r="G632" t="inlineStr"/>
      <c r="I632" t="inlineStr">
        <is>
          <t>TN</t>
        </is>
      </c>
      <c r="J632" t="inlineStr"/>
      <c r="K632" t="inlineStr">
        <is>
          <t>20240624</t>
        </is>
      </c>
      <c r="L632" t="inlineStr">
        <is>
          <t>20251031</t>
        </is>
      </c>
    </row>
    <row r="633">
      <c r="A633" t="inlineStr">
        <is>
          <t>900008842</t>
        </is>
      </c>
      <c r="B633" t="inlineStr">
        <is>
          <t>DW68</t>
        </is>
      </c>
      <c r="C633" t="inlineStr">
        <is>
          <t>D213</t>
        </is>
      </c>
      <c r="D633" t="inlineStr">
        <is>
          <t>10000191</t>
        </is>
      </c>
      <c r="E633" t="inlineStr"/>
      <c r="F633" s="11" t="n">
        <v>158</v>
      </c>
      <c r="G633" t="inlineStr"/>
      <c r="I633" t="inlineStr">
        <is>
          <t>TN</t>
        </is>
      </c>
      <c r="J633" t="inlineStr"/>
      <c r="K633" t="inlineStr">
        <is>
          <t>20240624</t>
        </is>
      </c>
      <c r="L633" t="inlineStr">
        <is>
          <t>20251031</t>
        </is>
      </c>
    </row>
    <row r="634">
      <c r="A634" t="inlineStr">
        <is>
          <t>900008842</t>
        </is>
      </c>
      <c r="B634" t="inlineStr">
        <is>
          <t>DW68</t>
        </is>
      </c>
      <c r="C634" t="inlineStr">
        <is>
          <t>D213</t>
        </is>
      </c>
      <c r="D634" t="inlineStr">
        <is>
          <t>10000384</t>
        </is>
      </c>
      <c r="E634" t="inlineStr"/>
      <c r="F634" s="11" t="n">
        <v>180</v>
      </c>
      <c r="G634" t="inlineStr"/>
      <c r="I634" t="inlineStr">
        <is>
          <t>TN</t>
        </is>
      </c>
      <c r="J634" t="inlineStr"/>
      <c r="K634" t="inlineStr">
        <is>
          <t>20240624</t>
        </is>
      </c>
      <c r="L634" t="inlineStr">
        <is>
          <t>20251031</t>
        </is>
      </c>
    </row>
    <row r="635">
      <c r="A635" t="inlineStr">
        <is>
          <t>900008842</t>
        </is>
      </c>
      <c r="B635" t="inlineStr">
        <is>
          <t>DW68</t>
        </is>
      </c>
      <c r="C635" t="inlineStr">
        <is>
          <t>D213</t>
        </is>
      </c>
      <c r="D635" t="inlineStr">
        <is>
          <t>10000388</t>
        </is>
      </c>
      <c r="E635" t="inlineStr"/>
      <c r="F635" s="11" t="n">
        <v>158</v>
      </c>
      <c r="G635" t="inlineStr"/>
      <c r="I635" t="inlineStr">
        <is>
          <t>TN</t>
        </is>
      </c>
      <c r="J635" t="inlineStr"/>
      <c r="K635" t="inlineStr">
        <is>
          <t>20240624</t>
        </is>
      </c>
      <c r="L635" t="inlineStr">
        <is>
          <t>20251031</t>
        </is>
      </c>
    </row>
    <row r="636">
      <c r="A636" t="inlineStr">
        <is>
          <t>900008842</t>
        </is>
      </c>
      <c r="B636" t="inlineStr">
        <is>
          <t>DW68</t>
        </is>
      </c>
      <c r="C636" t="inlineStr">
        <is>
          <t>D213</t>
        </is>
      </c>
      <c r="D636" t="inlineStr">
        <is>
          <t>10004258</t>
        </is>
      </c>
      <c r="E636" t="inlineStr"/>
      <c r="F636" s="11" t="n">
        <v>257</v>
      </c>
      <c r="G636" t="inlineStr"/>
      <c r="I636" t="inlineStr">
        <is>
          <t>TN</t>
        </is>
      </c>
      <c r="J636" t="inlineStr"/>
      <c r="K636" t="inlineStr">
        <is>
          <t>20240624</t>
        </is>
      </c>
      <c r="L636" t="inlineStr">
        <is>
          <t>20251031</t>
        </is>
      </c>
    </row>
    <row r="637">
      <c r="A637" t="inlineStr">
        <is>
          <t>900008842</t>
        </is>
      </c>
      <c r="B637" t="inlineStr">
        <is>
          <t>DW68</t>
        </is>
      </c>
      <c r="C637" t="inlineStr">
        <is>
          <t>D220</t>
        </is>
      </c>
      <c r="D637" t="inlineStr">
        <is>
          <t>10000191</t>
        </is>
      </c>
      <c r="E637" t="inlineStr"/>
      <c r="F637" s="11" t="n">
        <v>158</v>
      </c>
      <c r="G637" t="inlineStr"/>
      <c r="I637" t="inlineStr">
        <is>
          <t>TN</t>
        </is>
      </c>
      <c r="J637" t="inlineStr"/>
      <c r="K637" t="inlineStr">
        <is>
          <t>20240624</t>
        </is>
      </c>
      <c r="L637" t="inlineStr">
        <is>
          <t>20251031</t>
        </is>
      </c>
    </row>
    <row r="638">
      <c r="A638" t="inlineStr">
        <is>
          <t>900008842</t>
        </is>
      </c>
      <c r="B638" t="inlineStr">
        <is>
          <t>DW68</t>
        </is>
      </c>
      <c r="C638" t="inlineStr">
        <is>
          <t>D220</t>
        </is>
      </c>
      <c r="D638" t="inlineStr">
        <is>
          <t>10000384</t>
        </is>
      </c>
      <c r="E638" t="inlineStr"/>
      <c r="F638" s="11" t="n">
        <v>180</v>
      </c>
      <c r="G638" t="inlineStr"/>
      <c r="I638" t="inlineStr">
        <is>
          <t>TN</t>
        </is>
      </c>
      <c r="J638" t="inlineStr"/>
      <c r="K638" t="inlineStr">
        <is>
          <t>20240624</t>
        </is>
      </c>
      <c r="L638" t="inlineStr">
        <is>
          <t>20251031</t>
        </is>
      </c>
    </row>
    <row r="639">
      <c r="A639" t="inlineStr">
        <is>
          <t>900008842</t>
        </is>
      </c>
      <c r="B639" t="inlineStr">
        <is>
          <t>DW68</t>
        </is>
      </c>
      <c r="C639" t="inlineStr">
        <is>
          <t>D220</t>
        </is>
      </c>
      <c r="D639" t="inlineStr">
        <is>
          <t>10000388</t>
        </is>
      </c>
      <c r="E639" t="inlineStr"/>
      <c r="F639" s="11" t="n">
        <v>158</v>
      </c>
      <c r="G639" t="inlineStr"/>
      <c r="I639" t="inlineStr">
        <is>
          <t>TN</t>
        </is>
      </c>
      <c r="J639" t="inlineStr"/>
      <c r="K639" t="inlineStr">
        <is>
          <t>20240624</t>
        </is>
      </c>
      <c r="L639" t="inlineStr">
        <is>
          <t>20251031</t>
        </is>
      </c>
    </row>
    <row r="640">
      <c r="A640" t="inlineStr">
        <is>
          <t>900008842</t>
        </is>
      </c>
      <c r="B640" t="inlineStr">
        <is>
          <t>DW68</t>
        </is>
      </c>
      <c r="C640" t="inlineStr">
        <is>
          <t>D220</t>
        </is>
      </c>
      <c r="D640" t="inlineStr">
        <is>
          <t>10004258</t>
        </is>
      </c>
      <c r="E640" t="inlineStr"/>
      <c r="F640" s="11" t="n">
        <v>257</v>
      </c>
      <c r="G640" t="inlineStr"/>
      <c r="I640" t="inlineStr">
        <is>
          <t>TN</t>
        </is>
      </c>
      <c r="J640" t="inlineStr"/>
      <c r="K640" t="inlineStr">
        <is>
          <t>20240624</t>
        </is>
      </c>
      <c r="L640" t="inlineStr">
        <is>
          <t>20251031</t>
        </is>
      </c>
    </row>
    <row r="641">
      <c r="A641" t="inlineStr">
        <is>
          <t>900008842</t>
        </is>
      </c>
      <c r="B641" t="inlineStr">
        <is>
          <t>DW68</t>
        </is>
      </c>
      <c r="C641" t="inlineStr">
        <is>
          <t>D228</t>
        </is>
      </c>
      <c r="D641" t="inlineStr">
        <is>
          <t>10000191</t>
        </is>
      </c>
      <c r="E641" t="inlineStr"/>
      <c r="F641" s="11" t="n">
        <v>158</v>
      </c>
      <c r="G641" t="inlineStr"/>
      <c r="I641" t="inlineStr">
        <is>
          <t>TN</t>
        </is>
      </c>
      <c r="J641" t="inlineStr"/>
      <c r="K641" t="inlineStr">
        <is>
          <t>20240624</t>
        </is>
      </c>
      <c r="L641" t="inlineStr">
        <is>
          <t>20251031</t>
        </is>
      </c>
    </row>
    <row r="642">
      <c r="A642" t="inlineStr">
        <is>
          <t>900008842</t>
        </is>
      </c>
      <c r="B642" t="inlineStr">
        <is>
          <t>DW68</t>
        </is>
      </c>
      <c r="C642" t="inlineStr">
        <is>
          <t>D228</t>
        </is>
      </c>
      <c r="D642" t="inlineStr">
        <is>
          <t>10000384</t>
        </is>
      </c>
      <c r="E642" t="inlineStr"/>
      <c r="F642" s="11" t="n">
        <v>180</v>
      </c>
      <c r="G642" t="inlineStr"/>
      <c r="I642" t="inlineStr">
        <is>
          <t>TN</t>
        </is>
      </c>
      <c r="J642" t="inlineStr"/>
      <c r="K642" t="inlineStr">
        <is>
          <t>20240624</t>
        </is>
      </c>
      <c r="L642" t="inlineStr">
        <is>
          <t>20251031</t>
        </is>
      </c>
    </row>
    <row r="643">
      <c r="A643" t="inlineStr">
        <is>
          <t>900008842</t>
        </is>
      </c>
      <c r="B643" t="inlineStr">
        <is>
          <t>DW68</t>
        </is>
      </c>
      <c r="C643" t="inlineStr">
        <is>
          <t>D228</t>
        </is>
      </c>
      <c r="D643" t="inlineStr">
        <is>
          <t>10000388</t>
        </is>
      </c>
      <c r="E643" t="inlineStr"/>
      <c r="F643" s="11" t="n">
        <v>158</v>
      </c>
      <c r="G643" t="inlineStr"/>
      <c r="I643" t="inlineStr">
        <is>
          <t>TN</t>
        </is>
      </c>
      <c r="J643" t="inlineStr"/>
      <c r="K643" t="inlineStr">
        <is>
          <t>20240624</t>
        </is>
      </c>
      <c r="L643" t="inlineStr">
        <is>
          <t>20251031</t>
        </is>
      </c>
    </row>
    <row r="644">
      <c r="A644" t="inlineStr">
        <is>
          <t>900008842</t>
        </is>
      </c>
      <c r="B644" t="inlineStr">
        <is>
          <t>DW68</t>
        </is>
      </c>
      <c r="C644" t="inlineStr">
        <is>
          <t>D228</t>
        </is>
      </c>
      <c r="D644" t="inlineStr">
        <is>
          <t>10004258</t>
        </is>
      </c>
      <c r="E644" t="inlineStr"/>
      <c r="F644" s="11" t="n">
        <v>257</v>
      </c>
      <c r="G644" t="inlineStr"/>
      <c r="I644" t="inlineStr">
        <is>
          <t>TN</t>
        </is>
      </c>
      <c r="J644" t="inlineStr"/>
      <c r="K644" t="inlineStr">
        <is>
          <t>20240624</t>
        </is>
      </c>
      <c r="L644" t="inlineStr">
        <is>
          <t>20251031</t>
        </is>
      </c>
    </row>
    <row r="645">
      <c r="A645" t="inlineStr">
        <is>
          <t>900008842</t>
        </is>
      </c>
      <c r="B645" t="inlineStr">
        <is>
          <t>DW68</t>
        </is>
      </c>
      <c r="C645" t="inlineStr">
        <is>
          <t>D242</t>
        </is>
      </c>
      <c r="D645" t="inlineStr">
        <is>
          <t>10000191</t>
        </is>
      </c>
      <c r="E645" t="inlineStr"/>
      <c r="F645" s="11" t="n">
        <v>158</v>
      </c>
      <c r="G645" t="inlineStr"/>
      <c r="I645" t="inlineStr">
        <is>
          <t>TN</t>
        </is>
      </c>
      <c r="J645" t="inlineStr"/>
      <c r="K645" t="inlineStr">
        <is>
          <t>20240624</t>
        </is>
      </c>
      <c r="L645" t="inlineStr">
        <is>
          <t>20251031</t>
        </is>
      </c>
    </row>
    <row r="646">
      <c r="A646" t="inlineStr">
        <is>
          <t>900008842</t>
        </is>
      </c>
      <c r="B646" t="inlineStr">
        <is>
          <t>DW68</t>
        </is>
      </c>
      <c r="C646" t="inlineStr">
        <is>
          <t>D242</t>
        </is>
      </c>
      <c r="D646" t="inlineStr">
        <is>
          <t>10000384</t>
        </is>
      </c>
      <c r="E646" t="inlineStr"/>
      <c r="F646" s="11" t="n">
        <v>180</v>
      </c>
      <c r="G646" t="inlineStr"/>
      <c r="I646" t="inlineStr">
        <is>
          <t>TN</t>
        </is>
      </c>
      <c r="J646" t="inlineStr"/>
      <c r="K646" t="inlineStr">
        <is>
          <t>20240624</t>
        </is>
      </c>
      <c r="L646" t="inlineStr">
        <is>
          <t>20251031</t>
        </is>
      </c>
    </row>
    <row r="647">
      <c r="A647" t="inlineStr">
        <is>
          <t>900008842</t>
        </is>
      </c>
      <c r="B647" t="inlineStr">
        <is>
          <t>DW68</t>
        </is>
      </c>
      <c r="C647" t="inlineStr">
        <is>
          <t>D242</t>
        </is>
      </c>
      <c r="D647" t="inlineStr">
        <is>
          <t>10000388</t>
        </is>
      </c>
      <c r="E647" t="inlineStr"/>
      <c r="F647" s="11" t="n">
        <v>158</v>
      </c>
      <c r="G647" t="inlineStr"/>
      <c r="I647" t="inlineStr">
        <is>
          <t>TN</t>
        </is>
      </c>
      <c r="J647" t="inlineStr"/>
      <c r="K647" t="inlineStr">
        <is>
          <t>20240624</t>
        </is>
      </c>
      <c r="L647" t="inlineStr">
        <is>
          <t>20251031</t>
        </is>
      </c>
    </row>
    <row r="648">
      <c r="A648" t="inlineStr">
        <is>
          <t>900008842</t>
        </is>
      </c>
      <c r="B648" t="inlineStr">
        <is>
          <t>DW68</t>
        </is>
      </c>
      <c r="C648" t="inlineStr">
        <is>
          <t>D242</t>
        </is>
      </c>
      <c r="D648" t="inlineStr">
        <is>
          <t>10004258</t>
        </is>
      </c>
      <c r="E648" t="inlineStr"/>
      <c r="F648" s="11" t="n">
        <v>257</v>
      </c>
      <c r="G648" t="inlineStr"/>
      <c r="I648" t="inlineStr">
        <is>
          <t>TN</t>
        </is>
      </c>
      <c r="J648" t="inlineStr"/>
      <c r="K648" t="inlineStr">
        <is>
          <t>20240624</t>
        </is>
      </c>
      <c r="L648" t="inlineStr">
        <is>
          <t>20251031</t>
        </is>
      </c>
    </row>
    <row r="649">
      <c r="A649" t="inlineStr">
        <is>
          <t>900008842</t>
        </is>
      </c>
      <c r="B649" t="inlineStr">
        <is>
          <t>DW68</t>
        </is>
      </c>
      <c r="C649" t="inlineStr">
        <is>
          <t>D247</t>
        </is>
      </c>
      <c r="D649" t="inlineStr">
        <is>
          <t>10000191</t>
        </is>
      </c>
      <c r="E649" t="inlineStr"/>
      <c r="F649" s="11" t="n">
        <v>158</v>
      </c>
      <c r="G649" t="inlineStr"/>
      <c r="I649" t="inlineStr">
        <is>
          <t>TN</t>
        </is>
      </c>
      <c r="J649" t="inlineStr"/>
      <c r="K649" t="inlineStr">
        <is>
          <t>20240624</t>
        </is>
      </c>
      <c r="L649" t="inlineStr">
        <is>
          <t>20251031</t>
        </is>
      </c>
    </row>
    <row r="650">
      <c r="A650" t="inlineStr">
        <is>
          <t>900008842</t>
        </is>
      </c>
      <c r="B650" t="inlineStr">
        <is>
          <t>DW68</t>
        </is>
      </c>
      <c r="C650" t="inlineStr">
        <is>
          <t>D247</t>
        </is>
      </c>
      <c r="D650" t="inlineStr">
        <is>
          <t>10000384</t>
        </is>
      </c>
      <c r="E650" t="inlineStr"/>
      <c r="F650" s="11" t="n">
        <v>180</v>
      </c>
      <c r="G650" t="inlineStr"/>
      <c r="I650" t="inlineStr">
        <is>
          <t>TN</t>
        </is>
      </c>
      <c r="J650" t="inlineStr"/>
      <c r="K650" t="inlineStr">
        <is>
          <t>20240624</t>
        </is>
      </c>
      <c r="L650" t="inlineStr">
        <is>
          <t>20251031</t>
        </is>
      </c>
    </row>
    <row r="651">
      <c r="A651" t="inlineStr">
        <is>
          <t>900008842</t>
        </is>
      </c>
      <c r="B651" t="inlineStr">
        <is>
          <t>DW68</t>
        </is>
      </c>
      <c r="C651" t="inlineStr">
        <is>
          <t>D247</t>
        </is>
      </c>
      <c r="D651" t="inlineStr">
        <is>
          <t>10000388</t>
        </is>
      </c>
      <c r="E651" t="inlineStr"/>
      <c r="F651" s="11" t="n">
        <v>158</v>
      </c>
      <c r="G651" t="inlineStr"/>
      <c r="I651" t="inlineStr">
        <is>
          <t>TN</t>
        </is>
      </c>
      <c r="J651" t="inlineStr"/>
      <c r="K651" t="inlineStr">
        <is>
          <t>20240624</t>
        </is>
      </c>
      <c r="L651" t="inlineStr">
        <is>
          <t>20251031</t>
        </is>
      </c>
    </row>
    <row r="652">
      <c r="A652" t="inlineStr">
        <is>
          <t>900008842</t>
        </is>
      </c>
      <c r="B652" t="inlineStr">
        <is>
          <t>DW68</t>
        </is>
      </c>
      <c r="C652" t="inlineStr">
        <is>
          <t>D247</t>
        </is>
      </c>
      <c r="D652" t="inlineStr">
        <is>
          <t>10004258</t>
        </is>
      </c>
      <c r="E652" t="inlineStr"/>
      <c r="F652" s="11" t="n">
        <v>257</v>
      </c>
      <c r="G652" t="inlineStr"/>
      <c r="I652" t="inlineStr">
        <is>
          <t>TN</t>
        </is>
      </c>
      <c r="J652" t="inlineStr"/>
      <c r="K652" t="inlineStr">
        <is>
          <t>20240624</t>
        </is>
      </c>
      <c r="L652" t="inlineStr">
        <is>
          <t>20251031</t>
        </is>
      </c>
    </row>
    <row r="653">
      <c r="A653" t="inlineStr">
        <is>
          <t>900008842</t>
        </is>
      </c>
      <c r="B653" t="inlineStr">
        <is>
          <t>DW68</t>
        </is>
      </c>
      <c r="C653" t="inlineStr">
        <is>
          <t>D251</t>
        </is>
      </c>
      <c r="D653" t="inlineStr">
        <is>
          <t>10000191</t>
        </is>
      </c>
      <c r="E653" t="inlineStr"/>
      <c r="F653" s="11" t="n">
        <v>158</v>
      </c>
      <c r="G653" t="inlineStr"/>
      <c r="I653" t="inlineStr">
        <is>
          <t>TN</t>
        </is>
      </c>
      <c r="J653" t="inlineStr"/>
      <c r="K653" t="inlineStr">
        <is>
          <t>20240624</t>
        </is>
      </c>
      <c r="L653" t="inlineStr">
        <is>
          <t>20251031</t>
        </is>
      </c>
    </row>
    <row r="654">
      <c r="A654" t="inlineStr">
        <is>
          <t>900008842</t>
        </is>
      </c>
      <c r="B654" t="inlineStr">
        <is>
          <t>DW68</t>
        </is>
      </c>
      <c r="C654" t="inlineStr">
        <is>
          <t>D251</t>
        </is>
      </c>
      <c r="D654" t="inlineStr">
        <is>
          <t>10000384</t>
        </is>
      </c>
      <c r="E654" t="inlineStr"/>
      <c r="F654" s="11" t="n">
        <v>180</v>
      </c>
      <c r="G654" t="inlineStr"/>
      <c r="I654" t="inlineStr">
        <is>
          <t>TN</t>
        </is>
      </c>
      <c r="J654" t="inlineStr"/>
      <c r="K654" t="inlineStr">
        <is>
          <t>20240624</t>
        </is>
      </c>
      <c r="L654" t="inlineStr">
        <is>
          <t>20251031</t>
        </is>
      </c>
    </row>
    <row r="655">
      <c r="A655" t="inlineStr">
        <is>
          <t>900008842</t>
        </is>
      </c>
      <c r="B655" t="inlineStr">
        <is>
          <t>DW68</t>
        </is>
      </c>
      <c r="C655" t="inlineStr">
        <is>
          <t>D251</t>
        </is>
      </c>
      <c r="D655" t="inlineStr">
        <is>
          <t>10000388</t>
        </is>
      </c>
      <c r="E655" t="inlineStr"/>
      <c r="F655" s="11" t="n">
        <v>158</v>
      </c>
      <c r="G655" t="inlineStr"/>
      <c r="I655" t="inlineStr">
        <is>
          <t>TN</t>
        </is>
      </c>
      <c r="J655" t="inlineStr"/>
      <c r="K655" t="inlineStr">
        <is>
          <t>20240624</t>
        </is>
      </c>
      <c r="L655" t="inlineStr">
        <is>
          <t>20251031</t>
        </is>
      </c>
    </row>
    <row r="656">
      <c r="A656" t="inlineStr">
        <is>
          <t>900008842</t>
        </is>
      </c>
      <c r="B656" t="inlineStr">
        <is>
          <t>DW68</t>
        </is>
      </c>
      <c r="C656" t="inlineStr">
        <is>
          <t>D251</t>
        </is>
      </c>
      <c r="D656" t="inlineStr">
        <is>
          <t>10004258</t>
        </is>
      </c>
      <c r="E656" t="inlineStr"/>
      <c r="F656" s="11" t="n">
        <v>257</v>
      </c>
      <c r="G656" t="inlineStr"/>
      <c r="I656" t="inlineStr">
        <is>
          <t>TN</t>
        </is>
      </c>
      <c r="J656" t="inlineStr"/>
      <c r="K656" t="inlineStr">
        <is>
          <t>20240624</t>
        </is>
      </c>
      <c r="L656" t="inlineStr">
        <is>
          <t>20251031</t>
        </is>
      </c>
    </row>
    <row r="657">
      <c r="A657" t="inlineStr">
        <is>
          <t>900008842</t>
        </is>
      </c>
      <c r="B657" t="inlineStr">
        <is>
          <t>DW68</t>
        </is>
      </c>
      <c r="C657" t="inlineStr">
        <is>
          <t>D264</t>
        </is>
      </c>
      <c r="D657" t="inlineStr">
        <is>
          <t>10000191</t>
        </is>
      </c>
      <c r="E657" t="inlineStr"/>
      <c r="F657" s="11" t="n">
        <v>158</v>
      </c>
      <c r="G657" t="inlineStr"/>
      <c r="I657" t="inlineStr">
        <is>
          <t>TN</t>
        </is>
      </c>
      <c r="J657" t="inlineStr"/>
      <c r="K657" t="inlineStr">
        <is>
          <t>20240624</t>
        </is>
      </c>
      <c r="L657" t="inlineStr">
        <is>
          <t>20251031</t>
        </is>
      </c>
    </row>
    <row r="658">
      <c r="A658" t="inlineStr">
        <is>
          <t>900008842</t>
        </is>
      </c>
      <c r="B658" t="inlineStr">
        <is>
          <t>DW68</t>
        </is>
      </c>
      <c r="C658" t="inlineStr">
        <is>
          <t>D264</t>
        </is>
      </c>
      <c r="D658" t="inlineStr">
        <is>
          <t>10000384</t>
        </is>
      </c>
      <c r="E658" t="inlineStr"/>
      <c r="F658" s="11" t="n">
        <v>180</v>
      </c>
      <c r="G658" t="inlineStr"/>
      <c r="I658" t="inlineStr">
        <is>
          <t>TN</t>
        </is>
      </c>
      <c r="J658" t="inlineStr"/>
      <c r="K658" t="inlineStr">
        <is>
          <t>20240624</t>
        </is>
      </c>
      <c r="L658" t="inlineStr">
        <is>
          <t>20251031</t>
        </is>
      </c>
    </row>
    <row r="659">
      <c r="A659" t="inlineStr">
        <is>
          <t>900008842</t>
        </is>
      </c>
      <c r="B659" t="inlineStr">
        <is>
          <t>DW68</t>
        </is>
      </c>
      <c r="C659" t="inlineStr">
        <is>
          <t>D264</t>
        </is>
      </c>
      <c r="D659" t="inlineStr">
        <is>
          <t>10000388</t>
        </is>
      </c>
      <c r="E659" t="inlineStr"/>
      <c r="F659" s="11" t="n">
        <v>158</v>
      </c>
      <c r="G659" t="inlineStr"/>
      <c r="I659" t="inlineStr">
        <is>
          <t>TN</t>
        </is>
      </c>
      <c r="J659" t="inlineStr"/>
      <c r="K659" t="inlineStr">
        <is>
          <t>20240624</t>
        </is>
      </c>
      <c r="L659" t="inlineStr">
        <is>
          <t>20251031</t>
        </is>
      </c>
    </row>
    <row r="660">
      <c r="A660" t="inlineStr">
        <is>
          <t>900008842</t>
        </is>
      </c>
      <c r="B660" t="inlineStr">
        <is>
          <t>DW68</t>
        </is>
      </c>
      <c r="C660" t="inlineStr">
        <is>
          <t>D264</t>
        </is>
      </c>
      <c r="D660" t="inlineStr">
        <is>
          <t>10004258</t>
        </is>
      </c>
      <c r="E660" t="inlineStr"/>
      <c r="F660" s="11" t="n">
        <v>257</v>
      </c>
      <c r="G660" t="inlineStr"/>
      <c r="I660" t="inlineStr">
        <is>
          <t>TN</t>
        </is>
      </c>
      <c r="J660" t="inlineStr"/>
      <c r="K660" t="inlineStr">
        <is>
          <t>20240624</t>
        </is>
      </c>
      <c r="L660" t="inlineStr">
        <is>
          <t>20251031</t>
        </is>
      </c>
    </row>
    <row r="661">
      <c r="A661" t="inlineStr">
        <is>
          <t>900008842</t>
        </is>
      </c>
      <c r="B661" t="inlineStr">
        <is>
          <t>DW68</t>
        </is>
      </c>
      <c r="C661" t="inlineStr">
        <is>
          <t>D267</t>
        </is>
      </c>
      <c r="D661" t="inlineStr">
        <is>
          <t>10000191</t>
        </is>
      </c>
      <c r="E661" t="inlineStr"/>
      <c r="F661" s="11" t="n">
        <v>158</v>
      </c>
      <c r="G661" t="inlineStr"/>
      <c r="I661" t="inlineStr">
        <is>
          <t>TN</t>
        </is>
      </c>
      <c r="J661" t="inlineStr"/>
      <c r="K661" t="inlineStr">
        <is>
          <t>20240624</t>
        </is>
      </c>
      <c r="L661" t="inlineStr">
        <is>
          <t>20251031</t>
        </is>
      </c>
    </row>
    <row r="662">
      <c r="A662" t="inlineStr">
        <is>
          <t>900008842</t>
        </is>
      </c>
      <c r="B662" t="inlineStr">
        <is>
          <t>DW68</t>
        </is>
      </c>
      <c r="C662" t="inlineStr">
        <is>
          <t>D267</t>
        </is>
      </c>
      <c r="D662" t="inlineStr">
        <is>
          <t>10000384</t>
        </is>
      </c>
      <c r="E662" t="inlineStr"/>
      <c r="F662" s="11" t="n">
        <v>180</v>
      </c>
      <c r="G662" t="inlineStr"/>
      <c r="I662" t="inlineStr">
        <is>
          <t>TN</t>
        </is>
      </c>
      <c r="J662" t="inlineStr"/>
      <c r="K662" t="inlineStr">
        <is>
          <t>20240624</t>
        </is>
      </c>
      <c r="L662" t="inlineStr">
        <is>
          <t>20251031</t>
        </is>
      </c>
    </row>
    <row r="663">
      <c r="A663" t="inlineStr">
        <is>
          <t>900008842</t>
        </is>
      </c>
      <c r="B663" t="inlineStr">
        <is>
          <t>DW68</t>
        </is>
      </c>
      <c r="C663" t="inlineStr">
        <is>
          <t>D267</t>
        </is>
      </c>
      <c r="D663" t="inlineStr">
        <is>
          <t>10000388</t>
        </is>
      </c>
      <c r="E663" t="inlineStr"/>
      <c r="F663" s="11" t="n">
        <v>158</v>
      </c>
      <c r="G663" t="inlineStr"/>
      <c r="I663" t="inlineStr">
        <is>
          <t>TN</t>
        </is>
      </c>
      <c r="J663" t="inlineStr"/>
      <c r="K663" t="inlineStr">
        <is>
          <t>20240624</t>
        </is>
      </c>
      <c r="L663" t="inlineStr">
        <is>
          <t>20251031</t>
        </is>
      </c>
    </row>
    <row r="664">
      <c r="A664" t="inlineStr">
        <is>
          <t>900008842</t>
        </is>
      </c>
      <c r="B664" t="inlineStr">
        <is>
          <t>DW68</t>
        </is>
      </c>
      <c r="C664" t="inlineStr">
        <is>
          <t>D267</t>
        </is>
      </c>
      <c r="D664" t="inlineStr">
        <is>
          <t>10004258</t>
        </is>
      </c>
      <c r="E664" t="inlineStr"/>
      <c r="F664" s="11" t="n">
        <v>257</v>
      </c>
      <c r="G664" t="inlineStr"/>
      <c r="I664" t="inlineStr">
        <is>
          <t>TN</t>
        </is>
      </c>
      <c r="J664" t="inlineStr"/>
      <c r="K664" t="inlineStr">
        <is>
          <t>20240624</t>
        </is>
      </c>
      <c r="L664" t="inlineStr">
        <is>
          <t>20251031</t>
        </is>
      </c>
    </row>
    <row r="665">
      <c r="A665" t="inlineStr">
        <is>
          <t>900009220</t>
        </is>
      </c>
      <c r="B665" t="inlineStr">
        <is>
          <t>DW68</t>
        </is>
      </c>
      <c r="C665" t="inlineStr">
        <is>
          <t>D042</t>
        </is>
      </c>
      <c r="D665" t="inlineStr">
        <is>
          <t>10000437</t>
        </is>
      </c>
      <c r="E665" t="inlineStr"/>
      <c r="F665" s="11" t="n">
        <v>196.01</v>
      </c>
      <c r="G665" t="inlineStr"/>
      <c r="I665" t="inlineStr">
        <is>
          <t>TN</t>
        </is>
      </c>
      <c r="J665" t="inlineStr"/>
      <c r="K665" t="inlineStr">
        <is>
          <t>20250507</t>
        </is>
      </c>
      <c r="L665" t="inlineStr">
        <is>
          <t>20260215</t>
        </is>
      </c>
    </row>
    <row r="666">
      <c r="A666" t="inlineStr">
        <is>
          <t>900009220</t>
        </is>
      </c>
      <c r="B666" t="inlineStr">
        <is>
          <t>DW68</t>
        </is>
      </c>
      <c r="C666" t="inlineStr">
        <is>
          <t>D209</t>
        </is>
      </c>
      <c r="D666" t="inlineStr">
        <is>
          <t>10000437</t>
        </is>
      </c>
      <c r="E666" t="inlineStr"/>
      <c r="F666" s="11" t="n">
        <v>196.01</v>
      </c>
      <c r="G666" t="inlineStr"/>
      <c r="I666" t="inlineStr">
        <is>
          <t>TN</t>
        </is>
      </c>
      <c r="J666" t="inlineStr"/>
      <c r="K666" t="inlineStr">
        <is>
          <t>20250507</t>
        </is>
      </c>
      <c r="L666" t="inlineStr">
        <is>
          <t>20260215</t>
        </is>
      </c>
    </row>
    <row r="667">
      <c r="A667" t="inlineStr">
        <is>
          <t>900009220</t>
        </is>
      </c>
      <c r="B667" t="inlineStr">
        <is>
          <t>DW68</t>
        </is>
      </c>
      <c r="C667" t="inlineStr">
        <is>
          <t>D211</t>
        </is>
      </c>
      <c r="D667" t="inlineStr">
        <is>
          <t>10000437</t>
        </is>
      </c>
      <c r="E667" t="inlineStr"/>
      <c r="F667" s="11" t="n">
        <v>196.01</v>
      </c>
      <c r="G667" t="inlineStr"/>
      <c r="I667" t="inlineStr">
        <is>
          <t>TN</t>
        </is>
      </c>
      <c r="J667" t="inlineStr"/>
      <c r="K667" t="inlineStr">
        <is>
          <t>20250507</t>
        </is>
      </c>
      <c r="L667" t="inlineStr">
        <is>
          <t>20260215</t>
        </is>
      </c>
    </row>
    <row r="668">
      <c r="A668" t="inlineStr">
        <is>
          <t>900009220</t>
        </is>
      </c>
      <c r="B668" t="inlineStr">
        <is>
          <t>DW68</t>
        </is>
      </c>
      <c r="C668" t="inlineStr">
        <is>
          <t>D228</t>
        </is>
      </c>
      <c r="D668" t="inlineStr">
        <is>
          <t>10000437</t>
        </is>
      </c>
      <c r="E668" t="inlineStr"/>
      <c r="F668" s="11" t="n">
        <v>196.01</v>
      </c>
      <c r="G668" t="inlineStr"/>
      <c r="I668" t="inlineStr">
        <is>
          <t>TN</t>
        </is>
      </c>
      <c r="J668" t="inlineStr"/>
      <c r="K668" t="inlineStr">
        <is>
          <t>20250507</t>
        </is>
      </c>
      <c r="L668" t="inlineStr">
        <is>
          <t>20260215</t>
        </is>
      </c>
    </row>
    <row r="669">
      <c r="A669" t="inlineStr">
        <is>
          <t>900009220</t>
        </is>
      </c>
      <c r="B669" t="inlineStr">
        <is>
          <t>DW68</t>
        </is>
      </c>
      <c r="C669" t="inlineStr">
        <is>
          <t>D242</t>
        </is>
      </c>
      <c r="D669" t="inlineStr">
        <is>
          <t>10000437</t>
        </is>
      </c>
      <c r="E669" t="inlineStr"/>
      <c r="F669" s="11" t="n">
        <v>196.01</v>
      </c>
      <c r="G669" t="inlineStr"/>
      <c r="I669" t="inlineStr">
        <is>
          <t>TN</t>
        </is>
      </c>
      <c r="J669" t="inlineStr"/>
      <c r="K669" t="inlineStr">
        <is>
          <t>20250507</t>
        </is>
      </c>
      <c r="L669" t="inlineStr">
        <is>
          <t>20260215</t>
        </is>
      </c>
    </row>
    <row r="670">
      <c r="A670" t="inlineStr">
        <is>
          <t>900009220</t>
        </is>
      </c>
      <c r="B670" t="inlineStr">
        <is>
          <t>DW68</t>
        </is>
      </c>
      <c r="C670" t="inlineStr">
        <is>
          <t>D247</t>
        </is>
      </c>
      <c r="D670" t="inlineStr">
        <is>
          <t>10000437</t>
        </is>
      </c>
      <c r="E670" t="inlineStr"/>
      <c r="F670" s="11" t="n">
        <v>196.01</v>
      </c>
      <c r="G670" t="inlineStr"/>
      <c r="I670" t="inlineStr">
        <is>
          <t>TN</t>
        </is>
      </c>
      <c r="J670" t="inlineStr"/>
      <c r="K670" t="inlineStr">
        <is>
          <t>20250507</t>
        </is>
      </c>
      <c r="L670" t="inlineStr">
        <is>
          <t>20260506</t>
        </is>
      </c>
    </row>
    <row r="671">
      <c r="A671" t="inlineStr">
        <is>
          <t>900009220</t>
        </is>
      </c>
      <c r="B671" t="inlineStr">
        <is>
          <t>DW68</t>
        </is>
      </c>
      <c r="C671" t="inlineStr">
        <is>
          <t>D251</t>
        </is>
      </c>
      <c r="D671" t="inlineStr">
        <is>
          <t>10000437</t>
        </is>
      </c>
      <c r="E671" t="inlineStr"/>
      <c r="F671" s="11" t="n">
        <v>196.01</v>
      </c>
      <c r="G671" t="inlineStr"/>
      <c r="I671" t="inlineStr">
        <is>
          <t>TN</t>
        </is>
      </c>
      <c r="J671" t="inlineStr"/>
      <c r="K671" t="inlineStr">
        <is>
          <t>20250507</t>
        </is>
      </c>
      <c r="L671" t="inlineStr">
        <is>
          <t>20260215</t>
        </is>
      </c>
    </row>
    <row r="672">
      <c r="A672" t="inlineStr">
        <is>
          <t>900009220</t>
        </is>
      </c>
      <c r="B672" t="inlineStr">
        <is>
          <t>DW68</t>
        </is>
      </c>
      <c r="C672" t="inlineStr">
        <is>
          <t>D264</t>
        </is>
      </c>
      <c r="D672" t="inlineStr">
        <is>
          <t>10000437</t>
        </is>
      </c>
      <c r="E672" t="inlineStr"/>
      <c r="F672" s="11" t="n">
        <v>196.01</v>
      </c>
      <c r="G672" t="inlineStr"/>
      <c r="I672" t="inlineStr">
        <is>
          <t>TN</t>
        </is>
      </c>
      <c r="J672" t="inlineStr"/>
      <c r="K672" t="inlineStr">
        <is>
          <t>20250507</t>
        </is>
      </c>
      <c r="L672" t="inlineStr">
        <is>
          <t>20260215</t>
        </is>
      </c>
    </row>
    <row r="673">
      <c r="A673" t="inlineStr">
        <is>
          <t>900009220</t>
        </is>
      </c>
      <c r="B673" t="inlineStr">
        <is>
          <t>DW68</t>
        </is>
      </c>
      <c r="C673" t="inlineStr">
        <is>
          <t>D267</t>
        </is>
      </c>
      <c r="D673" t="inlineStr">
        <is>
          <t>10000437</t>
        </is>
      </c>
      <c r="E673" t="inlineStr"/>
      <c r="F673" s="11" t="n">
        <v>196.01</v>
      </c>
      <c r="G673" t="inlineStr"/>
      <c r="I673" t="inlineStr">
        <is>
          <t>TN</t>
        </is>
      </c>
      <c r="J673" t="inlineStr"/>
      <c r="K673" t="inlineStr">
        <is>
          <t>20250507</t>
        </is>
      </c>
      <c r="L673" t="inlineStr">
        <is>
          <t>20260215</t>
        </is>
      </c>
    </row>
    <row r="674">
      <c r="A674" t="inlineStr">
        <is>
          <t>900009233</t>
        </is>
      </c>
      <c r="B674" t="inlineStr">
        <is>
          <t>DW68</t>
        </is>
      </c>
      <c r="C674" t="inlineStr">
        <is>
          <t>D042</t>
        </is>
      </c>
      <c r="D674" t="inlineStr">
        <is>
          <t>10270911</t>
        </is>
      </c>
      <c r="E674" t="inlineStr"/>
      <c r="F674" s="11" t="n">
        <v>191.18</v>
      </c>
      <c r="G674" t="inlineStr"/>
      <c r="I674" t="inlineStr">
        <is>
          <t>TN</t>
        </is>
      </c>
      <c r="J674" t="inlineStr"/>
      <c r="K674" t="inlineStr">
        <is>
          <t>20260701</t>
        </is>
      </c>
      <c r="L674" t="inlineStr">
        <is>
          <t>99991231</t>
        </is>
      </c>
    </row>
    <row r="675">
      <c r="A675" t="inlineStr">
        <is>
          <t>900009233</t>
        </is>
      </c>
      <c r="B675" t="inlineStr">
        <is>
          <t>DW68</t>
        </is>
      </c>
      <c r="C675" t="inlineStr">
        <is>
          <t>D209</t>
        </is>
      </c>
      <c r="D675" t="inlineStr">
        <is>
          <t>10270911</t>
        </is>
      </c>
      <c r="E675" t="inlineStr"/>
      <c r="F675" s="11" t="n">
        <v>191.18</v>
      </c>
      <c r="G675" t="inlineStr"/>
      <c r="I675" t="inlineStr">
        <is>
          <t>TN</t>
        </is>
      </c>
      <c r="J675" t="inlineStr"/>
      <c r="K675" t="inlineStr">
        <is>
          <t>20260701</t>
        </is>
      </c>
      <c r="L675" t="inlineStr">
        <is>
          <t>99991231</t>
        </is>
      </c>
    </row>
    <row r="676">
      <c r="A676" t="inlineStr">
        <is>
          <t>900009233</t>
        </is>
      </c>
      <c r="B676" t="inlineStr">
        <is>
          <t>DW68</t>
        </is>
      </c>
      <c r="C676" t="inlineStr">
        <is>
          <t>D211</t>
        </is>
      </c>
      <c r="D676" t="inlineStr">
        <is>
          <t>10270911</t>
        </is>
      </c>
      <c r="E676" t="inlineStr"/>
      <c r="F676" s="11" t="n">
        <v>191.18</v>
      </c>
      <c r="G676" t="inlineStr"/>
      <c r="I676" t="inlineStr">
        <is>
          <t>TN</t>
        </is>
      </c>
      <c r="J676" t="inlineStr"/>
      <c r="K676" t="inlineStr">
        <is>
          <t>20260701</t>
        </is>
      </c>
      <c r="L676" t="inlineStr">
        <is>
          <t>99991231</t>
        </is>
      </c>
    </row>
    <row r="677">
      <c r="A677" t="inlineStr">
        <is>
          <t>900009233</t>
        </is>
      </c>
      <c r="B677" t="inlineStr">
        <is>
          <t>DW68</t>
        </is>
      </c>
      <c r="C677" t="inlineStr">
        <is>
          <t>D228</t>
        </is>
      </c>
      <c r="D677" t="inlineStr">
        <is>
          <t>10270911</t>
        </is>
      </c>
      <c r="E677" t="inlineStr"/>
      <c r="F677" s="11" t="n">
        <v>191.18</v>
      </c>
      <c r="G677" t="inlineStr"/>
      <c r="I677" t="inlineStr">
        <is>
          <t>TN</t>
        </is>
      </c>
      <c r="J677" t="inlineStr"/>
      <c r="K677" t="inlineStr">
        <is>
          <t>20260701</t>
        </is>
      </c>
      <c r="L677" t="inlineStr">
        <is>
          <t>99991231</t>
        </is>
      </c>
    </row>
    <row r="678">
      <c r="A678" t="inlineStr">
        <is>
          <t>900009233</t>
        </is>
      </c>
      <c r="B678" t="inlineStr">
        <is>
          <t>DW68</t>
        </is>
      </c>
      <c r="C678" t="inlineStr">
        <is>
          <t>D242</t>
        </is>
      </c>
      <c r="D678" t="inlineStr">
        <is>
          <t>10270911</t>
        </is>
      </c>
      <c r="E678" t="inlineStr"/>
      <c r="F678" s="11" t="n">
        <v>191.18</v>
      </c>
      <c r="G678" t="inlineStr"/>
      <c r="I678" t="inlineStr">
        <is>
          <t>TN</t>
        </is>
      </c>
      <c r="J678" t="inlineStr"/>
      <c r="K678" t="inlineStr">
        <is>
          <t>20260701</t>
        </is>
      </c>
      <c r="L678" t="inlineStr">
        <is>
          <t>99991231</t>
        </is>
      </c>
    </row>
    <row r="679">
      <c r="A679" t="inlineStr">
        <is>
          <t>900009233</t>
        </is>
      </c>
      <c r="B679" t="inlineStr">
        <is>
          <t>DW68</t>
        </is>
      </c>
      <c r="C679" t="inlineStr">
        <is>
          <t>D247</t>
        </is>
      </c>
      <c r="D679" t="inlineStr">
        <is>
          <t>10270911</t>
        </is>
      </c>
      <c r="E679" t="inlineStr"/>
      <c r="F679" s="11" t="n">
        <v>191.18</v>
      </c>
      <c r="G679" t="inlineStr"/>
      <c r="I679" t="inlineStr">
        <is>
          <t>TN</t>
        </is>
      </c>
      <c r="J679" t="inlineStr"/>
      <c r="K679" t="inlineStr">
        <is>
          <t>20260701</t>
        </is>
      </c>
      <c r="L679" t="inlineStr">
        <is>
          <t>99991231</t>
        </is>
      </c>
    </row>
    <row r="680">
      <c r="A680" t="inlineStr">
        <is>
          <t>900009233</t>
        </is>
      </c>
      <c r="B680" t="inlineStr">
        <is>
          <t>DW68</t>
        </is>
      </c>
      <c r="C680" t="inlineStr">
        <is>
          <t>D251</t>
        </is>
      </c>
      <c r="D680" t="inlineStr">
        <is>
          <t>10270911</t>
        </is>
      </c>
      <c r="E680" t="inlineStr"/>
      <c r="F680" s="11" t="n">
        <v>191.18</v>
      </c>
      <c r="G680" t="inlineStr"/>
      <c r="I680" t="inlineStr">
        <is>
          <t>TN</t>
        </is>
      </c>
      <c r="J680" t="inlineStr"/>
      <c r="K680" t="inlineStr">
        <is>
          <t>20260701</t>
        </is>
      </c>
      <c r="L680" t="inlineStr">
        <is>
          <t>99991231</t>
        </is>
      </c>
    </row>
    <row r="681">
      <c r="A681" t="inlineStr">
        <is>
          <t>900009233</t>
        </is>
      </c>
      <c r="B681" t="inlineStr">
        <is>
          <t>DW68</t>
        </is>
      </c>
      <c r="C681" t="inlineStr">
        <is>
          <t>D264</t>
        </is>
      </c>
      <c r="D681" t="inlineStr">
        <is>
          <t>10270911</t>
        </is>
      </c>
      <c r="E681" t="inlineStr"/>
      <c r="F681" s="11" t="n">
        <v>191.18</v>
      </c>
      <c r="G681" t="inlineStr"/>
      <c r="I681" t="inlineStr">
        <is>
          <t>TN</t>
        </is>
      </c>
      <c r="J681" t="inlineStr"/>
      <c r="K681" t="inlineStr">
        <is>
          <t>20260701</t>
        </is>
      </c>
      <c r="L681" t="inlineStr">
        <is>
          <t>99991231</t>
        </is>
      </c>
    </row>
    <row r="682">
      <c r="A682" t="inlineStr">
        <is>
          <t>900009233</t>
        </is>
      </c>
      <c r="B682" t="inlineStr">
        <is>
          <t>DW68</t>
        </is>
      </c>
      <c r="C682" t="inlineStr">
        <is>
          <t>D267</t>
        </is>
      </c>
      <c r="D682" t="inlineStr">
        <is>
          <t>10270911</t>
        </is>
      </c>
      <c r="E682" t="inlineStr"/>
      <c r="F682" s="11" t="n">
        <v>191.18</v>
      </c>
      <c r="G682" t="inlineStr"/>
      <c r="I682" t="inlineStr">
        <is>
          <t>TN</t>
        </is>
      </c>
      <c r="J682" t="inlineStr"/>
      <c r="K682" t="inlineStr">
        <is>
          <t>20260701</t>
        </is>
      </c>
      <c r="L682" t="inlineStr">
        <is>
          <t>99991231</t>
        </is>
      </c>
    </row>
    <row r="683">
      <c r="A683" t="inlineStr">
        <is>
          <t>900009234</t>
        </is>
      </c>
      <c r="B683" t="inlineStr">
        <is>
          <t>DW68</t>
        </is>
      </c>
      <c r="C683" t="inlineStr">
        <is>
          <t>ENEB</t>
        </is>
      </c>
      <c r="D683" t="inlineStr">
        <is>
          <t>10209065</t>
        </is>
      </c>
      <c r="E683" t="inlineStr"/>
      <c r="F683" s="11" t="n">
        <v>117.22</v>
      </c>
      <c r="G683" t="inlineStr"/>
      <c r="I683" t="inlineStr">
        <is>
          <t>TN</t>
        </is>
      </c>
      <c r="J683" t="inlineStr"/>
      <c r="K683" t="inlineStr">
        <is>
          <t>20251124</t>
        </is>
      </c>
      <c r="L683" t="inlineStr">
        <is>
          <t>99991231</t>
        </is>
      </c>
    </row>
    <row r="684">
      <c r="A684" t="inlineStr">
        <is>
          <t>900009234</t>
        </is>
      </c>
      <c r="B684" t="inlineStr">
        <is>
          <t>DW68</t>
        </is>
      </c>
      <c r="C684" t="inlineStr">
        <is>
          <t>ENL1</t>
        </is>
      </c>
      <c r="D684" t="inlineStr">
        <is>
          <t>10209065</t>
        </is>
      </c>
      <c r="E684" t="inlineStr"/>
      <c r="F684" s="11" t="n">
        <v>117.22</v>
      </c>
      <c r="G684" t="inlineStr"/>
      <c r="I684" t="inlineStr">
        <is>
          <t>TN</t>
        </is>
      </c>
      <c r="J684" t="inlineStr"/>
      <c r="K684" t="inlineStr">
        <is>
          <t>20251124</t>
        </is>
      </c>
      <c r="L684" t="inlineStr">
        <is>
          <t>99991231</t>
        </is>
      </c>
    </row>
    <row r="685">
      <c r="A685" t="inlineStr">
        <is>
          <t>900009234</t>
        </is>
      </c>
      <c r="B685" t="inlineStr">
        <is>
          <t>DW68</t>
        </is>
      </c>
      <c r="C685" t="inlineStr">
        <is>
          <t>ENV9</t>
        </is>
      </c>
      <c r="D685" t="inlineStr">
        <is>
          <t>10209065</t>
        </is>
      </c>
      <c r="E685" t="inlineStr"/>
      <c r="F685" s="11" t="n">
        <v>117.22</v>
      </c>
      <c r="G685" t="inlineStr"/>
      <c r="I685" t="inlineStr">
        <is>
          <t>TN</t>
        </is>
      </c>
      <c r="J685" t="inlineStr"/>
      <c r="K685" t="inlineStr">
        <is>
          <t>20251124</t>
        </is>
      </c>
      <c r="L685" t="inlineStr">
        <is>
          <t>99991231</t>
        </is>
      </c>
    </row>
    <row r="686">
      <c r="A686" t="inlineStr">
        <is>
          <t>900009301</t>
        </is>
      </c>
      <c r="B686" t="inlineStr">
        <is>
          <t>DW68</t>
        </is>
      </c>
      <c r="C686" t="inlineStr">
        <is>
          <t>D577</t>
        </is>
      </c>
      <c r="D686" t="inlineStr">
        <is>
          <t>10000439</t>
        </is>
      </c>
      <c r="E686" t="inlineStr"/>
      <c r="F686" s="11" t="n">
        <v>254</v>
      </c>
      <c r="G686" t="inlineStr"/>
      <c r="I686" t="inlineStr">
        <is>
          <t>TN</t>
        </is>
      </c>
      <c r="J686" t="inlineStr"/>
      <c r="K686" t="inlineStr">
        <is>
          <t>20260509</t>
        </is>
      </c>
      <c r="L686" t="inlineStr">
        <is>
          <t>99991231</t>
        </is>
      </c>
    </row>
    <row r="687">
      <c r="A687" t="inlineStr">
        <is>
          <t>900009301</t>
        </is>
      </c>
      <c r="B687" t="inlineStr">
        <is>
          <t>DW68</t>
        </is>
      </c>
      <c r="C687" t="inlineStr">
        <is>
          <t>D577</t>
        </is>
      </c>
      <c r="D687" t="inlineStr">
        <is>
          <t>10209065</t>
        </is>
      </c>
      <c r="E687" t="inlineStr"/>
      <c r="F687" s="11" t="n">
        <v>107.12</v>
      </c>
      <c r="G687" t="inlineStr"/>
      <c r="I687" t="inlineStr">
        <is>
          <t>TN</t>
        </is>
      </c>
      <c r="J687" t="inlineStr"/>
      <c r="K687" t="inlineStr">
        <is>
          <t>20260509</t>
        </is>
      </c>
      <c r="L687" t="inlineStr">
        <is>
          <t>99991231</t>
        </is>
      </c>
    </row>
    <row r="688">
      <c r="A688" t="inlineStr">
        <is>
          <t>900009301</t>
        </is>
      </c>
      <c r="B688" t="inlineStr">
        <is>
          <t>DW68</t>
        </is>
      </c>
      <c r="C688" t="inlineStr">
        <is>
          <t>D577</t>
        </is>
      </c>
      <c r="D688" t="inlineStr">
        <is>
          <t>10270898</t>
        </is>
      </c>
      <c r="E688" t="inlineStr"/>
      <c r="F688" s="11" t="n">
        <v>184.44</v>
      </c>
      <c r="G688" t="inlineStr"/>
      <c r="I688" t="inlineStr">
        <is>
          <t>TN</t>
        </is>
      </c>
      <c r="J688" t="inlineStr"/>
      <c r="K688" t="inlineStr">
        <is>
          <t>20260509</t>
        </is>
      </c>
      <c r="L688" t="inlineStr">
        <is>
          <t>99991231</t>
        </is>
      </c>
    </row>
    <row r="689">
      <c r="A689" t="inlineStr">
        <is>
          <t>900009301</t>
        </is>
      </c>
      <c r="B689" t="inlineStr">
        <is>
          <t>DW68</t>
        </is>
      </c>
      <c r="C689" t="inlineStr">
        <is>
          <t>D577</t>
        </is>
      </c>
      <c r="D689" t="inlineStr">
        <is>
          <t>10270911</t>
        </is>
      </c>
      <c r="E689" t="inlineStr"/>
      <c r="F689" s="11" t="n">
        <v>214</v>
      </c>
      <c r="G689" t="inlineStr"/>
      <c r="I689" t="inlineStr">
        <is>
          <t>TN</t>
        </is>
      </c>
      <c r="J689" t="inlineStr"/>
      <c r="K689" t="inlineStr">
        <is>
          <t>20260509</t>
        </is>
      </c>
      <c r="L689" t="inlineStr">
        <is>
          <t>99991231</t>
        </is>
      </c>
    </row>
    <row r="690">
      <c r="A690" t="inlineStr">
        <is>
          <t>900009301</t>
        </is>
      </c>
      <c r="B690" t="inlineStr">
        <is>
          <t>DW68</t>
        </is>
      </c>
      <c r="C690" t="inlineStr">
        <is>
          <t>D577</t>
        </is>
      </c>
      <c r="D690" t="inlineStr">
        <is>
          <t>10270912</t>
        </is>
      </c>
      <c r="E690" t="inlineStr"/>
      <c r="F690" s="11" t="n">
        <v>245</v>
      </c>
      <c r="G690" t="inlineStr"/>
      <c r="I690" t="inlineStr">
        <is>
          <t>TN</t>
        </is>
      </c>
      <c r="J690" t="inlineStr"/>
      <c r="K690" t="inlineStr">
        <is>
          <t>20260509</t>
        </is>
      </c>
      <c r="L690" t="inlineStr">
        <is>
          <t>99991231</t>
        </is>
      </c>
    </row>
    <row r="691">
      <c r="A691" t="inlineStr">
        <is>
          <t>900009301</t>
        </is>
      </c>
      <c r="B691" t="inlineStr">
        <is>
          <t>DW68</t>
        </is>
      </c>
      <c r="C691" t="inlineStr">
        <is>
          <t>D577</t>
        </is>
      </c>
      <c r="D691" t="inlineStr">
        <is>
          <t>10270913</t>
        </is>
      </c>
      <c r="E691" t="inlineStr"/>
      <c r="F691" s="11" t="n">
        <v>231.12</v>
      </c>
      <c r="G691" t="inlineStr"/>
      <c r="I691" t="inlineStr">
        <is>
          <t>TN</t>
        </is>
      </c>
      <c r="J691" t="inlineStr"/>
      <c r="K691" t="inlineStr">
        <is>
          <t>20260509</t>
        </is>
      </c>
      <c r="L691" t="inlineStr">
        <is>
          <t>99991231</t>
        </is>
      </c>
    </row>
    <row r="692">
      <c r="A692" t="inlineStr">
        <is>
          <t>900009301</t>
        </is>
      </c>
      <c r="B692" t="inlineStr">
        <is>
          <t>DW68</t>
        </is>
      </c>
      <c r="C692" t="inlineStr">
        <is>
          <t>ENEB</t>
        </is>
      </c>
      <c r="D692" t="inlineStr">
        <is>
          <t>10209065</t>
        </is>
      </c>
      <c r="E692" t="inlineStr"/>
      <c r="F692" s="11" t="n">
        <v>107.12</v>
      </c>
      <c r="G692" t="inlineStr"/>
      <c r="I692" t="inlineStr">
        <is>
          <t>TN</t>
        </is>
      </c>
      <c r="J692" t="inlineStr"/>
      <c r="K692" t="inlineStr">
        <is>
          <t>20260509</t>
        </is>
      </c>
      <c r="L692" t="inlineStr">
        <is>
          <t>99991231</t>
        </is>
      </c>
    </row>
    <row r="693">
      <c r="A693" t="inlineStr">
        <is>
          <t>900009301</t>
        </is>
      </c>
      <c r="B693" t="inlineStr">
        <is>
          <t>DW68</t>
        </is>
      </c>
      <c r="C693" t="inlineStr">
        <is>
          <t>ENL1</t>
        </is>
      </c>
      <c r="D693" t="inlineStr">
        <is>
          <t>10000439</t>
        </is>
      </c>
      <c r="E693" t="inlineStr"/>
      <c r="F693" s="11" t="n">
        <v>238</v>
      </c>
      <c r="G693" t="inlineStr"/>
      <c r="I693" t="inlineStr">
        <is>
          <t>TN</t>
        </is>
      </c>
      <c r="J693" t="inlineStr"/>
      <c r="K693" t="inlineStr">
        <is>
          <t>20250915</t>
        </is>
      </c>
      <c r="L693" t="inlineStr">
        <is>
          <t>20260215</t>
        </is>
      </c>
    </row>
    <row r="694">
      <c r="A694" t="inlineStr">
        <is>
          <t>900009301</t>
        </is>
      </c>
      <c r="B694" t="inlineStr">
        <is>
          <t>DW68</t>
        </is>
      </c>
      <c r="C694" t="inlineStr">
        <is>
          <t>ENL1</t>
        </is>
      </c>
      <c r="D694" t="inlineStr">
        <is>
          <t>10209065</t>
        </is>
      </c>
      <c r="E694" t="inlineStr"/>
      <c r="F694" s="11" t="n">
        <v>105</v>
      </c>
      <c r="G694" t="inlineStr"/>
      <c r="I694" t="inlineStr">
        <is>
          <t>TN</t>
        </is>
      </c>
      <c r="J694" t="inlineStr"/>
      <c r="K694" t="inlineStr">
        <is>
          <t>20251104</t>
        </is>
      </c>
      <c r="L694" t="inlineStr">
        <is>
          <t>20260215</t>
        </is>
      </c>
    </row>
    <row r="695">
      <c r="A695" t="inlineStr">
        <is>
          <t>900009301</t>
        </is>
      </c>
      <c r="B695" t="inlineStr">
        <is>
          <t>DW68</t>
        </is>
      </c>
      <c r="C695" t="inlineStr">
        <is>
          <t>ENL1</t>
        </is>
      </c>
      <c r="D695" t="inlineStr">
        <is>
          <t>10270898</t>
        </is>
      </c>
      <c r="E695" t="inlineStr"/>
      <c r="F695" s="11" t="n">
        <v>174</v>
      </c>
      <c r="G695" t="inlineStr"/>
      <c r="I695" t="inlineStr">
        <is>
          <t>TN</t>
        </is>
      </c>
      <c r="J695" t="inlineStr"/>
      <c r="K695" t="inlineStr">
        <is>
          <t>20250915</t>
        </is>
      </c>
      <c r="L695" t="inlineStr">
        <is>
          <t>20260215</t>
        </is>
      </c>
    </row>
    <row r="696">
      <c r="A696" t="inlineStr">
        <is>
          <t>900009301</t>
        </is>
      </c>
      <c r="B696" t="inlineStr">
        <is>
          <t>DW68</t>
        </is>
      </c>
      <c r="C696" t="inlineStr">
        <is>
          <t>ENL1</t>
        </is>
      </c>
      <c r="D696" t="inlineStr">
        <is>
          <t>10270911</t>
        </is>
      </c>
      <c r="E696" t="inlineStr"/>
      <c r="F696" s="11" t="n">
        <v>216.58</v>
      </c>
      <c r="G696" t="inlineStr"/>
      <c r="I696" t="inlineStr">
        <is>
          <t>TN</t>
        </is>
      </c>
      <c r="J696" t="inlineStr"/>
      <c r="K696" t="inlineStr">
        <is>
          <t>20251022</t>
        </is>
      </c>
      <c r="L696" t="inlineStr">
        <is>
          <t>20260215</t>
        </is>
      </c>
    </row>
    <row r="697">
      <c r="A697" t="inlineStr">
        <is>
          <t>900009301</t>
        </is>
      </c>
      <c r="B697" t="inlineStr">
        <is>
          <t>DW68</t>
        </is>
      </c>
      <c r="C697" t="inlineStr">
        <is>
          <t>ENL1</t>
        </is>
      </c>
      <c r="D697" t="inlineStr">
        <is>
          <t>10270912</t>
        </is>
      </c>
      <c r="E697" t="inlineStr"/>
      <c r="F697" s="11" t="n">
        <v>216.58</v>
      </c>
      <c r="G697" t="inlineStr"/>
      <c r="I697" t="inlineStr">
        <is>
          <t>TN</t>
        </is>
      </c>
      <c r="J697" t="inlineStr"/>
      <c r="K697" t="inlineStr">
        <is>
          <t>20260406</t>
        </is>
      </c>
      <c r="L697" t="inlineStr">
        <is>
          <t>20260430</t>
        </is>
      </c>
    </row>
    <row r="698">
      <c r="A698" t="inlineStr">
        <is>
          <t>900009301</t>
        </is>
      </c>
      <c r="B698" t="inlineStr">
        <is>
          <t>DW68</t>
        </is>
      </c>
      <c r="C698" t="inlineStr">
        <is>
          <t>ENL1</t>
        </is>
      </c>
      <c r="D698" t="inlineStr">
        <is>
          <t>10270913</t>
        </is>
      </c>
      <c r="E698" t="inlineStr"/>
      <c r="F698" s="11" t="n">
        <v>214</v>
      </c>
      <c r="G698" t="inlineStr"/>
      <c r="I698" t="inlineStr">
        <is>
          <t>TN</t>
        </is>
      </c>
      <c r="J698" t="inlineStr"/>
      <c r="K698" t="inlineStr">
        <is>
          <t>20250915</t>
        </is>
      </c>
      <c r="L698" t="inlineStr">
        <is>
          <t>20260215</t>
        </is>
      </c>
    </row>
    <row r="699">
      <c r="A699" t="inlineStr">
        <is>
          <t>900009301</t>
        </is>
      </c>
      <c r="B699" t="inlineStr">
        <is>
          <t>DW68</t>
        </is>
      </c>
      <c r="C699" t="inlineStr">
        <is>
          <t>ENV8</t>
        </is>
      </c>
      <c r="D699" t="inlineStr">
        <is>
          <t>10209065</t>
        </is>
      </c>
      <c r="E699" t="inlineStr"/>
      <c r="F699" s="11" t="n">
        <v>107.12</v>
      </c>
      <c r="G699" t="inlineStr"/>
      <c r="I699" t="inlineStr">
        <is>
          <t>TN</t>
        </is>
      </c>
      <c r="J699" t="inlineStr"/>
      <c r="K699" t="inlineStr">
        <is>
          <t>20260509</t>
        </is>
      </c>
      <c r="L699" t="inlineStr">
        <is>
          <t>99991231</t>
        </is>
      </c>
    </row>
    <row r="700">
      <c r="A700" t="inlineStr">
        <is>
          <t>900009301</t>
        </is>
      </c>
      <c r="B700" t="inlineStr">
        <is>
          <t>DW68</t>
        </is>
      </c>
      <c r="C700" t="inlineStr">
        <is>
          <t>ENV9</t>
        </is>
      </c>
      <c r="D700" t="inlineStr">
        <is>
          <t>10000439</t>
        </is>
      </c>
      <c r="E700" t="inlineStr"/>
      <c r="F700" s="11" t="n">
        <v>238</v>
      </c>
      <c r="G700" t="inlineStr"/>
      <c r="I700" t="inlineStr">
        <is>
          <t>TN</t>
        </is>
      </c>
      <c r="J700" t="inlineStr"/>
      <c r="K700" t="inlineStr">
        <is>
          <t>20250917</t>
        </is>
      </c>
      <c r="L700" t="inlineStr">
        <is>
          <t>20260215</t>
        </is>
      </c>
    </row>
    <row r="701">
      <c r="A701" t="inlineStr">
        <is>
          <t>900009301</t>
        </is>
      </c>
      <c r="B701" t="inlineStr">
        <is>
          <t>DW68</t>
        </is>
      </c>
      <c r="C701" t="inlineStr">
        <is>
          <t>ENV9</t>
        </is>
      </c>
      <c r="D701" t="inlineStr">
        <is>
          <t>10209065</t>
        </is>
      </c>
      <c r="E701" t="inlineStr"/>
      <c r="F701" s="11" t="n">
        <v>107.12</v>
      </c>
      <c r="G701" t="inlineStr"/>
      <c r="I701" t="inlineStr">
        <is>
          <t>TN</t>
        </is>
      </c>
      <c r="J701" t="inlineStr"/>
      <c r="K701" t="inlineStr">
        <is>
          <t>20260509</t>
        </is>
      </c>
      <c r="L701" t="inlineStr">
        <is>
          <t>99991231</t>
        </is>
      </c>
    </row>
    <row r="702">
      <c r="A702" t="inlineStr">
        <is>
          <t>900009301</t>
        </is>
      </c>
      <c r="B702" t="inlineStr">
        <is>
          <t>DW68</t>
        </is>
      </c>
      <c r="C702" t="inlineStr">
        <is>
          <t>ENV9</t>
        </is>
      </c>
      <c r="D702" t="inlineStr">
        <is>
          <t>10270898</t>
        </is>
      </c>
      <c r="E702" t="inlineStr"/>
      <c r="F702" s="11" t="n">
        <v>184.44</v>
      </c>
      <c r="G702" t="inlineStr"/>
      <c r="I702" t="inlineStr">
        <is>
          <t>TN</t>
        </is>
      </c>
      <c r="J702" t="inlineStr"/>
      <c r="K702" t="inlineStr">
        <is>
          <t>20260509</t>
        </is>
      </c>
      <c r="L702" t="inlineStr">
        <is>
          <t>99991231</t>
        </is>
      </c>
    </row>
    <row r="703">
      <c r="A703" t="inlineStr">
        <is>
          <t>900009301</t>
        </is>
      </c>
      <c r="B703" t="inlineStr">
        <is>
          <t>DW68</t>
        </is>
      </c>
      <c r="C703" t="inlineStr">
        <is>
          <t>ENV9</t>
        </is>
      </c>
      <c r="D703" t="inlineStr">
        <is>
          <t>10270911</t>
        </is>
      </c>
      <c r="E703" t="inlineStr"/>
      <c r="F703" s="11" t="n">
        <v>214</v>
      </c>
      <c r="G703" t="inlineStr"/>
      <c r="I703" t="inlineStr">
        <is>
          <t>TN</t>
        </is>
      </c>
      <c r="J703" t="inlineStr"/>
      <c r="K703" t="inlineStr">
        <is>
          <t>20260509</t>
        </is>
      </c>
      <c r="L703" t="inlineStr">
        <is>
          <t>99991231</t>
        </is>
      </c>
    </row>
    <row r="704">
      <c r="A704" t="inlineStr">
        <is>
          <t>900009301</t>
        </is>
      </c>
      <c r="B704" t="inlineStr">
        <is>
          <t>DW68</t>
        </is>
      </c>
      <c r="C704" t="inlineStr">
        <is>
          <t>ENV9</t>
        </is>
      </c>
      <c r="D704" t="inlineStr">
        <is>
          <t>10270912</t>
        </is>
      </c>
      <c r="E704" t="inlineStr"/>
      <c r="F704" s="11" t="n">
        <v>245</v>
      </c>
      <c r="G704" t="inlineStr"/>
      <c r="I704" t="inlineStr">
        <is>
          <t>TN</t>
        </is>
      </c>
      <c r="J704" t="inlineStr"/>
      <c r="K704" t="inlineStr">
        <is>
          <t>20260509</t>
        </is>
      </c>
      <c r="L704" t="inlineStr">
        <is>
          <t>99991231</t>
        </is>
      </c>
    </row>
    <row r="705">
      <c r="A705" t="inlineStr">
        <is>
          <t>900009301</t>
        </is>
      </c>
      <c r="B705" t="inlineStr">
        <is>
          <t>DW68</t>
        </is>
      </c>
      <c r="C705" t="inlineStr">
        <is>
          <t>ENV9</t>
        </is>
      </c>
      <c r="D705" t="inlineStr">
        <is>
          <t>10270913</t>
        </is>
      </c>
      <c r="E705" t="inlineStr"/>
      <c r="F705" s="11" t="n">
        <v>231.12</v>
      </c>
      <c r="G705" t="inlineStr"/>
      <c r="I705" t="inlineStr">
        <is>
          <t>TN</t>
        </is>
      </c>
      <c r="J705" t="inlineStr"/>
      <c r="K705" t="inlineStr">
        <is>
          <t>20260509</t>
        </is>
      </c>
      <c r="L705" t="inlineStr">
        <is>
          <t>99991231</t>
        </is>
      </c>
    </row>
    <row r="706">
      <c r="A706" t="inlineStr">
        <is>
          <t>900009395</t>
        </is>
      </c>
      <c r="B706" t="inlineStr">
        <is>
          <t>DW68</t>
        </is>
      </c>
      <c r="C706" t="inlineStr">
        <is>
          <t>ENEB</t>
        </is>
      </c>
      <c r="D706" t="inlineStr">
        <is>
          <t>10209065</t>
        </is>
      </c>
      <c r="E706" t="inlineStr"/>
      <c r="F706" s="11" t="n">
        <v>153.85</v>
      </c>
      <c r="G706" t="inlineStr"/>
      <c r="I706" t="inlineStr">
        <is>
          <t>TN</t>
        </is>
      </c>
      <c r="J706" t="inlineStr"/>
      <c r="K706" t="inlineStr">
        <is>
          <t>20251121</t>
        </is>
      </c>
      <c r="L706" t="inlineStr">
        <is>
          <t>99991231</t>
        </is>
      </c>
    </row>
    <row r="707">
      <c r="A707" t="inlineStr">
        <is>
          <t>900009395</t>
        </is>
      </c>
      <c r="B707" t="inlineStr">
        <is>
          <t>DW68</t>
        </is>
      </c>
      <c r="C707" t="inlineStr">
        <is>
          <t>ENL1</t>
        </is>
      </c>
      <c r="D707" t="inlineStr">
        <is>
          <t>10209065</t>
        </is>
      </c>
      <c r="E707" t="inlineStr"/>
      <c r="F707" s="11" t="n">
        <v>153.85</v>
      </c>
      <c r="G707" t="inlineStr"/>
      <c r="I707" t="inlineStr">
        <is>
          <t>TN</t>
        </is>
      </c>
      <c r="J707" t="inlineStr"/>
      <c r="K707" t="inlineStr">
        <is>
          <t>20251121</t>
        </is>
      </c>
      <c r="L707" t="inlineStr">
        <is>
          <t>99991231</t>
        </is>
      </c>
    </row>
    <row r="708">
      <c r="A708" t="inlineStr">
        <is>
          <t>900009395</t>
        </is>
      </c>
      <c r="B708" t="inlineStr">
        <is>
          <t>DW68</t>
        </is>
      </c>
      <c r="C708" t="inlineStr">
        <is>
          <t>ENL1</t>
        </is>
      </c>
      <c r="D708" t="inlineStr">
        <is>
          <t>10270898</t>
        </is>
      </c>
      <c r="E708" t="inlineStr"/>
      <c r="F708" s="11" t="n">
        <v>186.98</v>
      </c>
      <c r="G708" t="inlineStr"/>
      <c r="I708" t="inlineStr">
        <is>
          <t>TN</t>
        </is>
      </c>
      <c r="J708" t="inlineStr"/>
      <c r="K708" t="inlineStr">
        <is>
          <t>20251113</t>
        </is>
      </c>
      <c r="L708" t="inlineStr">
        <is>
          <t>99991231</t>
        </is>
      </c>
    </row>
    <row r="709">
      <c r="A709" t="inlineStr">
        <is>
          <t>900009395</t>
        </is>
      </c>
      <c r="B709" t="inlineStr">
        <is>
          <t>DW68</t>
        </is>
      </c>
      <c r="C709" t="inlineStr">
        <is>
          <t>ENV9</t>
        </is>
      </c>
      <c r="D709" t="inlineStr">
        <is>
          <t>10209065</t>
        </is>
      </c>
      <c r="E709" t="inlineStr"/>
      <c r="F709" s="11" t="n">
        <v>153.85</v>
      </c>
      <c r="G709" t="inlineStr"/>
      <c r="I709" t="inlineStr">
        <is>
          <t>TN</t>
        </is>
      </c>
      <c r="J709" t="inlineStr"/>
      <c r="K709" t="inlineStr">
        <is>
          <t>20251121</t>
        </is>
      </c>
      <c r="L709" t="inlineStr">
        <is>
          <t>99991231</t>
        </is>
      </c>
    </row>
    <row r="710">
      <c r="A710" t="inlineStr">
        <is>
          <t>900009395</t>
        </is>
      </c>
      <c r="B710" t="inlineStr">
        <is>
          <t>DW68</t>
        </is>
      </c>
      <c r="C710" t="inlineStr">
        <is>
          <t>ENV9</t>
        </is>
      </c>
      <c r="D710" t="inlineStr">
        <is>
          <t>10270898</t>
        </is>
      </c>
      <c r="E710" t="inlineStr"/>
      <c r="F710" s="11" t="n">
        <v>186.98</v>
      </c>
      <c r="G710" t="inlineStr"/>
      <c r="I710" t="inlineStr">
        <is>
          <t>TN</t>
        </is>
      </c>
      <c r="J710" t="inlineStr"/>
      <c r="K710" t="inlineStr">
        <is>
          <t>20251110</t>
        </is>
      </c>
      <c r="L710" t="inlineStr">
        <is>
          <t>99991231</t>
        </is>
      </c>
    </row>
    <row r="711">
      <c r="A711" t="inlineStr">
        <is>
          <t>900009396</t>
        </is>
      </c>
      <c r="B711" t="inlineStr">
        <is>
          <t>DW68</t>
        </is>
      </c>
      <c r="C711" t="inlineStr">
        <is>
          <t>D577</t>
        </is>
      </c>
      <c r="D711" t="inlineStr">
        <is>
          <t>10209065</t>
        </is>
      </c>
      <c r="E711" t="inlineStr"/>
      <c r="F711" s="11" t="n">
        <v>153.85</v>
      </c>
      <c r="G711" t="inlineStr"/>
      <c r="I711" t="inlineStr">
        <is>
          <t>TN</t>
        </is>
      </c>
      <c r="J711" t="inlineStr"/>
      <c r="K711" t="inlineStr">
        <is>
          <t>20260401</t>
        </is>
      </c>
      <c r="L711" t="inlineStr">
        <is>
          <t>99991231</t>
        </is>
      </c>
    </row>
    <row r="712">
      <c r="A712" t="inlineStr">
        <is>
          <t>900009396</t>
        </is>
      </c>
      <c r="B712" t="inlineStr">
        <is>
          <t>DW68</t>
        </is>
      </c>
      <c r="C712" t="inlineStr">
        <is>
          <t>D577</t>
        </is>
      </c>
      <c r="D712" t="inlineStr">
        <is>
          <t>10270898</t>
        </is>
      </c>
      <c r="E712" t="inlineStr"/>
      <c r="F712" s="11" t="n">
        <v>186.98</v>
      </c>
      <c r="G712" t="inlineStr"/>
      <c r="I712" t="inlineStr">
        <is>
          <t>TN</t>
        </is>
      </c>
      <c r="J712" t="inlineStr"/>
      <c r="K712" t="inlineStr">
        <is>
          <t>20260401</t>
        </is>
      </c>
      <c r="L712" t="inlineStr">
        <is>
          <t>99991231</t>
        </is>
      </c>
    </row>
    <row r="713">
      <c r="A713" t="inlineStr">
        <is>
          <t>900009396</t>
        </is>
      </c>
      <c r="B713" t="inlineStr">
        <is>
          <t>DW68</t>
        </is>
      </c>
      <c r="C713" t="inlineStr">
        <is>
          <t>ENEB</t>
        </is>
      </c>
      <c r="D713" t="inlineStr">
        <is>
          <t>10209065</t>
        </is>
      </c>
      <c r="E713" t="inlineStr"/>
      <c r="F713" s="11" t="n">
        <v>153.85</v>
      </c>
      <c r="G713" t="inlineStr"/>
      <c r="I713" t="inlineStr">
        <is>
          <t>TN</t>
        </is>
      </c>
      <c r="J713" t="inlineStr"/>
      <c r="K713" t="inlineStr">
        <is>
          <t>20260126</t>
        </is>
      </c>
      <c r="L713" t="inlineStr">
        <is>
          <t>99991231</t>
        </is>
      </c>
    </row>
    <row r="714">
      <c r="A714" t="inlineStr">
        <is>
          <t>900009396</t>
        </is>
      </c>
      <c r="B714" t="inlineStr">
        <is>
          <t>DW68</t>
        </is>
      </c>
      <c r="C714" t="inlineStr">
        <is>
          <t>ENL1</t>
        </is>
      </c>
      <c r="D714" t="inlineStr">
        <is>
          <t>10209065</t>
        </is>
      </c>
      <c r="E714" t="inlineStr"/>
      <c r="F714" s="11" t="n">
        <v>153.85</v>
      </c>
      <c r="G714" t="inlineStr"/>
      <c r="I714" t="inlineStr">
        <is>
          <t>TN</t>
        </is>
      </c>
      <c r="J714" t="inlineStr"/>
      <c r="K714" t="inlineStr">
        <is>
          <t>20260126</t>
        </is>
      </c>
      <c r="L714" t="inlineStr">
        <is>
          <t>99991231</t>
        </is>
      </c>
    </row>
    <row r="715">
      <c r="A715" t="inlineStr">
        <is>
          <t>900009396</t>
        </is>
      </c>
      <c r="B715" t="inlineStr">
        <is>
          <t>DW68</t>
        </is>
      </c>
      <c r="C715" t="inlineStr">
        <is>
          <t>ENL1</t>
        </is>
      </c>
      <c r="D715" t="inlineStr">
        <is>
          <t>10270898</t>
        </is>
      </c>
      <c r="E715" t="inlineStr"/>
      <c r="F715" s="11" t="n">
        <v>186.98</v>
      </c>
      <c r="G715" t="inlineStr"/>
      <c r="I715" t="inlineStr">
        <is>
          <t>TN</t>
        </is>
      </c>
      <c r="J715" t="inlineStr"/>
      <c r="K715" t="inlineStr">
        <is>
          <t>20260126</t>
        </is>
      </c>
      <c r="L715" t="inlineStr">
        <is>
          <t>99991231</t>
        </is>
      </c>
    </row>
    <row r="716">
      <c r="A716" t="inlineStr">
        <is>
          <t>900009396</t>
        </is>
      </c>
      <c r="B716" t="inlineStr">
        <is>
          <t>DW68</t>
        </is>
      </c>
      <c r="C716" t="inlineStr">
        <is>
          <t>ENV8</t>
        </is>
      </c>
      <c r="D716" t="inlineStr">
        <is>
          <t>10209065</t>
        </is>
      </c>
      <c r="E716" t="inlineStr"/>
      <c r="F716" s="11" t="n">
        <v>153.85</v>
      </c>
      <c r="G716" t="inlineStr"/>
      <c r="I716" t="inlineStr">
        <is>
          <t>TN</t>
        </is>
      </c>
      <c r="J716" t="inlineStr"/>
      <c r="K716" t="inlineStr">
        <is>
          <t>20260401</t>
        </is>
      </c>
      <c r="L716" t="inlineStr">
        <is>
          <t>99991231</t>
        </is>
      </c>
    </row>
    <row r="717">
      <c r="A717" t="inlineStr">
        <is>
          <t>900009396</t>
        </is>
      </c>
      <c r="B717" t="inlineStr">
        <is>
          <t>DW68</t>
        </is>
      </c>
      <c r="C717" t="inlineStr">
        <is>
          <t>ENV9</t>
        </is>
      </c>
      <c r="D717" t="inlineStr">
        <is>
          <t>10209065</t>
        </is>
      </c>
      <c r="E717" t="inlineStr"/>
      <c r="F717" s="11" t="n">
        <v>153.85</v>
      </c>
      <c r="G717" t="inlineStr"/>
      <c r="I717" t="inlineStr">
        <is>
          <t>TN</t>
        </is>
      </c>
      <c r="J717" t="inlineStr"/>
      <c r="K717" t="inlineStr">
        <is>
          <t>20260126</t>
        </is>
      </c>
      <c r="L717" t="inlineStr">
        <is>
          <t>99991231</t>
        </is>
      </c>
    </row>
    <row r="718">
      <c r="A718" t="inlineStr">
        <is>
          <t>900009396</t>
        </is>
      </c>
      <c r="B718" t="inlineStr">
        <is>
          <t>DW68</t>
        </is>
      </c>
      <c r="C718" t="inlineStr">
        <is>
          <t>ENV9</t>
        </is>
      </c>
      <c r="D718" t="inlineStr">
        <is>
          <t>10270898</t>
        </is>
      </c>
      <c r="E718" t="inlineStr"/>
      <c r="F718" s="11" t="n">
        <v>186.98</v>
      </c>
      <c r="G718" t="inlineStr"/>
      <c r="I718" t="inlineStr">
        <is>
          <t>TN</t>
        </is>
      </c>
      <c r="J718" t="inlineStr"/>
      <c r="K718" t="inlineStr">
        <is>
          <t>20260126</t>
        </is>
      </c>
      <c r="L718" t="inlineStr">
        <is>
          <t>99991231</t>
        </is>
      </c>
    </row>
    <row r="719">
      <c r="A719" t="inlineStr">
        <is>
          <t>900009399</t>
        </is>
      </c>
      <c r="B719" t="inlineStr">
        <is>
          <t>DW68</t>
        </is>
      </c>
      <c r="C719" t="inlineStr">
        <is>
          <t>D042</t>
        </is>
      </c>
      <c r="D719" t="inlineStr">
        <is>
          <t>10000191</t>
        </is>
      </c>
      <c r="E719" t="inlineStr"/>
      <c r="F719" s="11" t="n">
        <v>223.4</v>
      </c>
      <c r="G719" t="inlineStr"/>
      <c r="I719" t="inlineStr">
        <is>
          <t>TN</t>
        </is>
      </c>
      <c r="J719" t="inlineStr"/>
      <c r="K719" t="inlineStr">
        <is>
          <t>20260410</t>
        </is>
      </c>
      <c r="L719" t="inlineStr">
        <is>
          <t>99991231</t>
        </is>
      </c>
    </row>
    <row r="720">
      <c r="A720" t="inlineStr">
        <is>
          <t>900009399</t>
        </is>
      </c>
      <c r="B720" t="inlineStr">
        <is>
          <t>DW68</t>
        </is>
      </c>
      <c r="C720" t="inlineStr">
        <is>
          <t>D042</t>
        </is>
      </c>
      <c r="D720" t="inlineStr">
        <is>
          <t>10003240</t>
        </is>
      </c>
      <c r="E720" t="inlineStr"/>
      <c r="F720" s="11" t="n">
        <v>224.04</v>
      </c>
      <c r="G720" t="inlineStr"/>
      <c r="I720" t="inlineStr">
        <is>
          <t>TN</t>
        </is>
      </c>
      <c r="J720" t="inlineStr"/>
      <c r="K720" t="inlineStr">
        <is>
          <t>20260706</t>
        </is>
      </c>
      <c r="L720" t="inlineStr">
        <is>
          <t>99991231</t>
        </is>
      </c>
    </row>
    <row r="721">
      <c r="A721" t="inlineStr">
        <is>
          <t>900009399</t>
        </is>
      </c>
      <c r="B721" t="inlineStr">
        <is>
          <t>DW68</t>
        </is>
      </c>
      <c r="C721" t="inlineStr">
        <is>
          <t>D209</t>
        </is>
      </c>
      <c r="D721" t="inlineStr">
        <is>
          <t>10000191</t>
        </is>
      </c>
      <c r="E721" t="inlineStr"/>
      <c r="F721" s="11" t="n">
        <v>223.4</v>
      </c>
      <c r="G721" t="inlineStr"/>
      <c r="I721" t="inlineStr">
        <is>
          <t>TN</t>
        </is>
      </c>
      <c r="J721" t="inlineStr"/>
      <c r="K721" t="inlineStr">
        <is>
          <t>20260410</t>
        </is>
      </c>
      <c r="L721" t="inlineStr">
        <is>
          <t>99991231</t>
        </is>
      </c>
    </row>
    <row r="722">
      <c r="A722" t="inlineStr">
        <is>
          <t>900009399</t>
        </is>
      </c>
      <c r="B722" t="inlineStr">
        <is>
          <t>DW68</t>
        </is>
      </c>
      <c r="C722" t="inlineStr">
        <is>
          <t>D209</t>
        </is>
      </c>
      <c r="D722" t="inlineStr">
        <is>
          <t>10003240</t>
        </is>
      </c>
      <c r="E722" t="inlineStr"/>
      <c r="F722" s="11" t="n">
        <v>224.04</v>
      </c>
      <c r="G722" t="inlineStr"/>
      <c r="I722" t="inlineStr">
        <is>
          <t>TN</t>
        </is>
      </c>
      <c r="J722" t="inlineStr"/>
      <c r="K722" t="inlineStr">
        <is>
          <t>20260706</t>
        </is>
      </c>
      <c r="L722" t="inlineStr">
        <is>
          <t>99991231</t>
        </is>
      </c>
    </row>
    <row r="723">
      <c r="A723" t="inlineStr">
        <is>
          <t>900009399</t>
        </is>
      </c>
      <c r="B723" t="inlineStr">
        <is>
          <t>DW68</t>
        </is>
      </c>
      <c r="C723" t="inlineStr">
        <is>
          <t>D211</t>
        </is>
      </c>
      <c r="D723" t="inlineStr">
        <is>
          <t>10000191</t>
        </is>
      </c>
      <c r="E723" t="inlineStr"/>
      <c r="F723" s="11" t="n">
        <v>223.4</v>
      </c>
      <c r="G723" t="inlineStr"/>
      <c r="I723" t="inlineStr">
        <is>
          <t>TN</t>
        </is>
      </c>
      <c r="J723" t="inlineStr"/>
      <c r="K723" t="inlineStr">
        <is>
          <t>20260410</t>
        </is>
      </c>
      <c r="L723" t="inlineStr">
        <is>
          <t>99991231</t>
        </is>
      </c>
    </row>
    <row r="724">
      <c r="A724" t="inlineStr">
        <is>
          <t>900009399</t>
        </is>
      </c>
      <c r="B724" t="inlineStr">
        <is>
          <t>DW68</t>
        </is>
      </c>
      <c r="C724" t="inlineStr">
        <is>
          <t>D211</t>
        </is>
      </c>
      <c r="D724" t="inlineStr">
        <is>
          <t>10003240</t>
        </is>
      </c>
      <c r="E724" t="inlineStr"/>
      <c r="F724" s="11" t="n">
        <v>224.04</v>
      </c>
      <c r="G724" t="inlineStr"/>
      <c r="I724" t="inlineStr">
        <is>
          <t>TN</t>
        </is>
      </c>
      <c r="J724" t="inlineStr"/>
      <c r="K724" t="inlineStr">
        <is>
          <t>20260706</t>
        </is>
      </c>
      <c r="L724" t="inlineStr">
        <is>
          <t>99991231</t>
        </is>
      </c>
    </row>
    <row r="725">
      <c r="A725" t="inlineStr">
        <is>
          <t>900009399</t>
        </is>
      </c>
      <c r="B725" t="inlineStr">
        <is>
          <t>DW68</t>
        </is>
      </c>
      <c r="C725" t="inlineStr">
        <is>
          <t>D228</t>
        </is>
      </c>
      <c r="D725" t="inlineStr">
        <is>
          <t>10000191</t>
        </is>
      </c>
      <c r="E725" t="inlineStr"/>
      <c r="F725" s="11" t="n">
        <v>223.4</v>
      </c>
      <c r="G725" t="inlineStr"/>
      <c r="I725" t="inlineStr">
        <is>
          <t>TN</t>
        </is>
      </c>
      <c r="J725" t="inlineStr"/>
      <c r="K725" t="inlineStr">
        <is>
          <t>20260410</t>
        </is>
      </c>
      <c r="L725" t="inlineStr">
        <is>
          <t>99991231</t>
        </is>
      </c>
    </row>
    <row r="726">
      <c r="A726" t="inlineStr">
        <is>
          <t>900009399</t>
        </is>
      </c>
      <c r="B726" t="inlineStr">
        <is>
          <t>DW68</t>
        </is>
      </c>
      <c r="C726" t="inlineStr">
        <is>
          <t>D228</t>
        </is>
      </c>
      <c r="D726" t="inlineStr">
        <is>
          <t>10003240</t>
        </is>
      </c>
      <c r="E726" t="inlineStr"/>
      <c r="F726" s="11" t="n">
        <v>224.04</v>
      </c>
      <c r="G726" t="inlineStr"/>
      <c r="I726" t="inlineStr">
        <is>
          <t>TN</t>
        </is>
      </c>
      <c r="J726" t="inlineStr"/>
      <c r="K726" t="inlineStr">
        <is>
          <t>20260706</t>
        </is>
      </c>
      <c r="L726" t="inlineStr">
        <is>
          <t>99991231</t>
        </is>
      </c>
    </row>
    <row r="727">
      <c r="A727" t="inlineStr">
        <is>
          <t>900009399</t>
        </is>
      </c>
      <c r="B727" t="inlineStr">
        <is>
          <t>DW68</t>
        </is>
      </c>
      <c r="C727" t="inlineStr">
        <is>
          <t>D242</t>
        </is>
      </c>
      <c r="D727" t="inlineStr">
        <is>
          <t>10000191</t>
        </is>
      </c>
      <c r="E727" t="inlineStr"/>
      <c r="F727" s="11" t="n">
        <v>223.4</v>
      </c>
      <c r="G727" t="inlineStr"/>
      <c r="I727" t="inlineStr">
        <is>
          <t>TN</t>
        </is>
      </c>
      <c r="J727" t="inlineStr"/>
      <c r="K727" t="inlineStr">
        <is>
          <t>20260410</t>
        </is>
      </c>
      <c r="L727" t="inlineStr">
        <is>
          <t>99991231</t>
        </is>
      </c>
    </row>
    <row r="728">
      <c r="A728" t="inlineStr">
        <is>
          <t>900009399</t>
        </is>
      </c>
      <c r="B728" t="inlineStr">
        <is>
          <t>DW68</t>
        </is>
      </c>
      <c r="C728" t="inlineStr">
        <is>
          <t>D242</t>
        </is>
      </c>
      <c r="D728" t="inlineStr">
        <is>
          <t>10003240</t>
        </is>
      </c>
      <c r="E728" t="inlineStr"/>
      <c r="F728" s="11" t="n">
        <v>224.04</v>
      </c>
      <c r="G728" t="inlineStr"/>
      <c r="I728" t="inlineStr">
        <is>
          <t>TN</t>
        </is>
      </c>
      <c r="J728" t="inlineStr"/>
      <c r="K728" t="inlineStr">
        <is>
          <t>20260706</t>
        </is>
      </c>
      <c r="L728" t="inlineStr">
        <is>
          <t>99991231</t>
        </is>
      </c>
    </row>
    <row r="729">
      <c r="A729" t="inlineStr">
        <is>
          <t>900009399</t>
        </is>
      </c>
      <c r="B729" t="inlineStr">
        <is>
          <t>DW68</t>
        </is>
      </c>
      <c r="C729" t="inlineStr">
        <is>
          <t>D247</t>
        </is>
      </c>
      <c r="D729" t="inlineStr">
        <is>
          <t>10000191</t>
        </is>
      </c>
      <c r="E729" t="inlineStr"/>
      <c r="F729" s="11" t="n">
        <v>223.4</v>
      </c>
      <c r="G729" t="inlineStr"/>
      <c r="I729" t="inlineStr">
        <is>
          <t>TN</t>
        </is>
      </c>
      <c r="J729" t="inlineStr"/>
      <c r="K729" t="inlineStr">
        <is>
          <t>20260410</t>
        </is>
      </c>
      <c r="L729" t="inlineStr">
        <is>
          <t>99991231</t>
        </is>
      </c>
    </row>
    <row r="730">
      <c r="A730" t="inlineStr">
        <is>
          <t>900009399</t>
        </is>
      </c>
      <c r="B730" t="inlineStr">
        <is>
          <t>DW68</t>
        </is>
      </c>
      <c r="C730" t="inlineStr">
        <is>
          <t>D247</t>
        </is>
      </c>
      <c r="D730" t="inlineStr">
        <is>
          <t>10003240</t>
        </is>
      </c>
      <c r="E730" t="inlineStr"/>
      <c r="F730" s="11" t="n">
        <v>224.04</v>
      </c>
      <c r="G730" t="inlineStr"/>
      <c r="I730" t="inlineStr">
        <is>
          <t>TN</t>
        </is>
      </c>
      <c r="J730" t="inlineStr"/>
      <c r="K730" t="inlineStr">
        <is>
          <t>20260706</t>
        </is>
      </c>
      <c r="L730" t="inlineStr">
        <is>
          <t>99991231</t>
        </is>
      </c>
    </row>
    <row r="731">
      <c r="A731" t="inlineStr">
        <is>
          <t>900009399</t>
        </is>
      </c>
      <c r="B731" t="inlineStr">
        <is>
          <t>DW68</t>
        </is>
      </c>
      <c r="C731" t="inlineStr">
        <is>
          <t>D251</t>
        </is>
      </c>
      <c r="D731" t="inlineStr">
        <is>
          <t>10000191</t>
        </is>
      </c>
      <c r="E731" t="inlineStr"/>
      <c r="F731" s="11" t="n">
        <v>223.4</v>
      </c>
      <c r="G731" t="inlineStr"/>
      <c r="I731" t="inlineStr">
        <is>
          <t>TN</t>
        </is>
      </c>
      <c r="J731" t="inlineStr"/>
      <c r="K731" t="inlineStr">
        <is>
          <t>20260410</t>
        </is>
      </c>
      <c r="L731" t="inlineStr">
        <is>
          <t>99991231</t>
        </is>
      </c>
    </row>
    <row r="732">
      <c r="A732" t="inlineStr">
        <is>
          <t>900009399</t>
        </is>
      </c>
      <c r="B732" t="inlineStr">
        <is>
          <t>DW68</t>
        </is>
      </c>
      <c r="C732" t="inlineStr">
        <is>
          <t>D251</t>
        </is>
      </c>
      <c r="D732" t="inlineStr">
        <is>
          <t>10003240</t>
        </is>
      </c>
      <c r="E732" t="inlineStr"/>
      <c r="F732" s="11" t="n">
        <v>224.04</v>
      </c>
      <c r="G732" t="inlineStr"/>
      <c r="I732" t="inlineStr">
        <is>
          <t>TN</t>
        </is>
      </c>
      <c r="J732" t="inlineStr"/>
      <c r="K732" t="inlineStr">
        <is>
          <t>20260706</t>
        </is>
      </c>
      <c r="L732" t="inlineStr">
        <is>
          <t>99991231</t>
        </is>
      </c>
    </row>
    <row r="733">
      <c r="A733" t="inlineStr">
        <is>
          <t>900009399</t>
        </is>
      </c>
      <c r="B733" t="inlineStr">
        <is>
          <t>DW68</t>
        </is>
      </c>
      <c r="C733" t="inlineStr">
        <is>
          <t>D264</t>
        </is>
      </c>
      <c r="D733" t="inlineStr">
        <is>
          <t>10000191</t>
        </is>
      </c>
      <c r="E733" t="inlineStr"/>
      <c r="F733" s="11" t="n">
        <v>223.4</v>
      </c>
      <c r="G733" t="inlineStr"/>
      <c r="I733" t="inlineStr">
        <is>
          <t>TN</t>
        </is>
      </c>
      <c r="J733" t="inlineStr"/>
      <c r="K733" t="inlineStr">
        <is>
          <t>20260410</t>
        </is>
      </c>
      <c r="L733" t="inlineStr">
        <is>
          <t>99991231</t>
        </is>
      </c>
    </row>
    <row r="734">
      <c r="A734" t="inlineStr">
        <is>
          <t>900009399</t>
        </is>
      </c>
      <c r="B734" t="inlineStr">
        <is>
          <t>DW68</t>
        </is>
      </c>
      <c r="C734" t="inlineStr">
        <is>
          <t>D264</t>
        </is>
      </c>
      <c r="D734" t="inlineStr">
        <is>
          <t>10003240</t>
        </is>
      </c>
      <c r="E734" t="inlineStr"/>
      <c r="F734" s="11" t="n">
        <v>224.04</v>
      </c>
      <c r="G734" t="inlineStr"/>
      <c r="I734" t="inlineStr">
        <is>
          <t>TN</t>
        </is>
      </c>
      <c r="J734" t="inlineStr"/>
      <c r="K734" t="inlineStr">
        <is>
          <t>20260706</t>
        </is>
      </c>
      <c r="L734" t="inlineStr">
        <is>
          <t>99991231</t>
        </is>
      </c>
    </row>
    <row r="735">
      <c r="A735" t="inlineStr">
        <is>
          <t>900009399</t>
        </is>
      </c>
      <c r="B735" t="inlineStr">
        <is>
          <t>DW68</t>
        </is>
      </c>
      <c r="C735" t="inlineStr">
        <is>
          <t>D267</t>
        </is>
      </c>
      <c r="D735" t="inlineStr">
        <is>
          <t>10000191</t>
        </is>
      </c>
      <c r="E735" t="inlineStr"/>
      <c r="F735" s="11" t="n">
        <v>223.4</v>
      </c>
      <c r="G735" t="inlineStr"/>
      <c r="I735" t="inlineStr">
        <is>
          <t>TN</t>
        </is>
      </c>
      <c r="J735" t="inlineStr"/>
      <c r="K735" t="inlineStr">
        <is>
          <t>20260410</t>
        </is>
      </c>
      <c r="L735" t="inlineStr">
        <is>
          <t>99991231</t>
        </is>
      </c>
    </row>
    <row r="736">
      <c r="A736" t="inlineStr">
        <is>
          <t>900009399</t>
        </is>
      </c>
      <c r="B736" t="inlineStr">
        <is>
          <t>DW68</t>
        </is>
      </c>
      <c r="C736" t="inlineStr">
        <is>
          <t>D267</t>
        </is>
      </c>
      <c r="D736" t="inlineStr">
        <is>
          <t>10000439</t>
        </is>
      </c>
      <c r="E736" t="inlineStr"/>
      <c r="F736" s="11" t="n">
        <v>271.4</v>
      </c>
      <c r="G736" t="inlineStr"/>
      <c r="I736" t="inlineStr">
        <is>
          <t>TN</t>
        </is>
      </c>
      <c r="J736" t="inlineStr"/>
      <c r="K736" t="inlineStr">
        <is>
          <t>20260706</t>
        </is>
      </c>
      <c r="L736" t="inlineStr">
        <is>
          <t>99991231</t>
        </is>
      </c>
    </row>
    <row r="737">
      <c r="A737" t="inlineStr">
        <is>
          <t>900009399</t>
        </is>
      </c>
      <c r="B737" t="inlineStr">
        <is>
          <t>DW68</t>
        </is>
      </c>
      <c r="C737" t="inlineStr">
        <is>
          <t>D267</t>
        </is>
      </c>
      <c r="D737" t="inlineStr">
        <is>
          <t>10003240</t>
        </is>
      </c>
      <c r="E737" t="inlineStr"/>
      <c r="F737" s="11" t="n">
        <v>224.04</v>
      </c>
      <c r="G737" t="inlineStr"/>
      <c r="I737" t="inlineStr">
        <is>
          <t>TN</t>
        </is>
      </c>
      <c r="J737" t="inlineStr"/>
      <c r="K737" t="inlineStr">
        <is>
          <t>20260706</t>
        </is>
      </c>
      <c r="L737" t="inlineStr">
        <is>
          <t>99991231</t>
        </is>
      </c>
    </row>
    <row r="738">
      <c r="A738" t="inlineStr">
        <is>
          <t>900009419</t>
        </is>
      </c>
      <c r="B738" t="inlineStr">
        <is>
          <t>DW68</t>
        </is>
      </c>
      <c r="C738" t="inlineStr">
        <is>
          <t>D042</t>
        </is>
      </c>
      <c r="D738" t="inlineStr">
        <is>
          <t>10270911</t>
        </is>
      </c>
      <c r="E738" t="inlineStr"/>
      <c r="F738" s="11" t="n">
        <v>197.74</v>
      </c>
      <c r="G738" t="inlineStr"/>
      <c r="I738" t="inlineStr">
        <is>
          <t>TN</t>
        </is>
      </c>
      <c r="J738" t="inlineStr"/>
      <c r="K738" t="inlineStr">
        <is>
          <t>20260430</t>
        </is>
      </c>
      <c r="L738" t="inlineStr">
        <is>
          <t>20260705</t>
        </is>
      </c>
    </row>
    <row r="739">
      <c r="A739" t="inlineStr">
        <is>
          <t>900009419</t>
        </is>
      </c>
      <c r="B739" t="inlineStr">
        <is>
          <t>DW68</t>
        </is>
      </c>
      <c r="C739" t="inlineStr">
        <is>
          <t>D209</t>
        </is>
      </c>
      <c r="D739" t="inlineStr">
        <is>
          <t>10270911</t>
        </is>
      </c>
      <c r="E739" t="inlineStr"/>
      <c r="F739" s="11" t="n">
        <v>197.74</v>
      </c>
      <c r="G739" t="inlineStr"/>
      <c r="I739" t="inlineStr">
        <is>
          <t>TN</t>
        </is>
      </c>
      <c r="J739" t="inlineStr"/>
      <c r="K739" t="inlineStr">
        <is>
          <t>20260430</t>
        </is>
      </c>
      <c r="L739" t="inlineStr">
        <is>
          <t>20260705</t>
        </is>
      </c>
    </row>
    <row r="740">
      <c r="A740" t="inlineStr">
        <is>
          <t>900009419</t>
        </is>
      </c>
      <c r="B740" t="inlineStr">
        <is>
          <t>DW68</t>
        </is>
      </c>
      <c r="C740" t="inlineStr">
        <is>
          <t>D211</t>
        </is>
      </c>
      <c r="D740" t="inlineStr">
        <is>
          <t>10270911</t>
        </is>
      </c>
      <c r="E740" t="inlineStr"/>
      <c r="F740" s="11" t="n">
        <v>197.74</v>
      </c>
      <c r="G740" t="inlineStr"/>
      <c r="I740" t="inlineStr">
        <is>
          <t>TN</t>
        </is>
      </c>
      <c r="J740" t="inlineStr"/>
      <c r="K740" t="inlineStr">
        <is>
          <t>20260430</t>
        </is>
      </c>
      <c r="L740" t="inlineStr">
        <is>
          <t>20260705</t>
        </is>
      </c>
    </row>
    <row r="741">
      <c r="A741" t="inlineStr">
        <is>
          <t>900009419</t>
        </is>
      </c>
      <c r="B741" t="inlineStr">
        <is>
          <t>DW68</t>
        </is>
      </c>
      <c r="C741" t="inlineStr">
        <is>
          <t>D228</t>
        </is>
      </c>
      <c r="D741" t="inlineStr">
        <is>
          <t>10270911</t>
        </is>
      </c>
      <c r="E741" t="inlineStr"/>
      <c r="F741" s="11" t="n">
        <v>197.74</v>
      </c>
      <c r="G741" t="inlineStr"/>
      <c r="I741" t="inlineStr">
        <is>
          <t>TN</t>
        </is>
      </c>
      <c r="J741" t="inlineStr"/>
      <c r="K741" t="inlineStr">
        <is>
          <t>20260430</t>
        </is>
      </c>
      <c r="L741" t="inlineStr">
        <is>
          <t>20260705</t>
        </is>
      </c>
    </row>
    <row r="742">
      <c r="A742" t="inlineStr">
        <is>
          <t>900009419</t>
        </is>
      </c>
      <c r="B742" t="inlineStr">
        <is>
          <t>DW68</t>
        </is>
      </c>
      <c r="C742" t="inlineStr">
        <is>
          <t>D242</t>
        </is>
      </c>
      <c r="D742" t="inlineStr">
        <is>
          <t>10270911</t>
        </is>
      </c>
      <c r="E742" t="inlineStr"/>
      <c r="F742" s="11" t="n">
        <v>197.74</v>
      </c>
      <c r="G742" t="inlineStr"/>
      <c r="I742" t="inlineStr">
        <is>
          <t>TN</t>
        </is>
      </c>
      <c r="J742" t="inlineStr"/>
      <c r="K742" t="inlineStr">
        <is>
          <t>20260430</t>
        </is>
      </c>
      <c r="L742" t="inlineStr">
        <is>
          <t>20260705</t>
        </is>
      </c>
    </row>
    <row r="743">
      <c r="A743" t="inlineStr">
        <is>
          <t>900009419</t>
        </is>
      </c>
      <c r="B743" t="inlineStr">
        <is>
          <t>DW68</t>
        </is>
      </c>
      <c r="C743" t="inlineStr">
        <is>
          <t>D247</t>
        </is>
      </c>
      <c r="D743" t="inlineStr">
        <is>
          <t>10270911</t>
        </is>
      </c>
      <c r="E743" t="inlineStr"/>
      <c r="F743" s="11" t="n">
        <v>197.74</v>
      </c>
      <c r="G743" t="inlineStr"/>
      <c r="I743" t="inlineStr">
        <is>
          <t>TN</t>
        </is>
      </c>
      <c r="J743" t="inlineStr"/>
      <c r="K743" t="inlineStr">
        <is>
          <t>20260430</t>
        </is>
      </c>
      <c r="L743" t="inlineStr">
        <is>
          <t>20260705</t>
        </is>
      </c>
    </row>
    <row r="744">
      <c r="A744" t="inlineStr">
        <is>
          <t>900009419</t>
        </is>
      </c>
      <c r="B744" t="inlineStr">
        <is>
          <t>DW68</t>
        </is>
      </c>
      <c r="C744" t="inlineStr">
        <is>
          <t>D251</t>
        </is>
      </c>
      <c r="D744" t="inlineStr">
        <is>
          <t>10270911</t>
        </is>
      </c>
      <c r="E744" t="inlineStr"/>
      <c r="F744" s="11" t="n">
        <v>197.74</v>
      </c>
      <c r="G744" t="inlineStr"/>
      <c r="I744" t="inlineStr">
        <is>
          <t>TN</t>
        </is>
      </c>
      <c r="J744" t="inlineStr"/>
      <c r="K744" t="inlineStr">
        <is>
          <t>20260413</t>
        </is>
      </c>
      <c r="L744" t="inlineStr">
        <is>
          <t>20260705</t>
        </is>
      </c>
    </row>
    <row r="745">
      <c r="A745" t="inlineStr">
        <is>
          <t>900009419</t>
        </is>
      </c>
      <c r="B745" t="inlineStr">
        <is>
          <t>DW68</t>
        </is>
      </c>
      <c r="C745" t="inlineStr">
        <is>
          <t>D264</t>
        </is>
      </c>
      <c r="D745" t="inlineStr">
        <is>
          <t>10270911</t>
        </is>
      </c>
      <c r="E745" t="inlineStr"/>
      <c r="F745" s="11" t="n">
        <v>197.74</v>
      </c>
      <c r="G745" t="inlineStr"/>
      <c r="I745" t="inlineStr">
        <is>
          <t>TN</t>
        </is>
      </c>
      <c r="J745" t="inlineStr"/>
      <c r="K745" t="inlineStr">
        <is>
          <t>20260430</t>
        </is>
      </c>
      <c r="L745" t="inlineStr">
        <is>
          <t>20260705</t>
        </is>
      </c>
    </row>
    <row r="746">
      <c r="A746" t="inlineStr">
        <is>
          <t>900009419</t>
        </is>
      </c>
      <c r="B746" t="inlineStr">
        <is>
          <t>DW68</t>
        </is>
      </c>
      <c r="C746" t="inlineStr">
        <is>
          <t>D267</t>
        </is>
      </c>
      <c r="D746" t="inlineStr">
        <is>
          <t>10270911</t>
        </is>
      </c>
      <c r="E746" t="inlineStr"/>
      <c r="F746" s="11" t="n">
        <v>197.74</v>
      </c>
      <c r="G746" t="inlineStr"/>
      <c r="I746" t="inlineStr">
        <is>
          <t>TN</t>
        </is>
      </c>
      <c r="J746" t="inlineStr"/>
      <c r="K746" t="inlineStr">
        <is>
          <t>20260430</t>
        </is>
      </c>
      <c r="L746" t="inlineStr">
        <is>
          <t>20260705</t>
        </is>
      </c>
    </row>
    <row r="747">
      <c r="A747" t="inlineStr">
        <is>
          <t>900009419</t>
        </is>
      </c>
      <c r="B747" t="inlineStr">
        <is>
          <t>DW68</t>
        </is>
      </c>
      <c r="C747" t="inlineStr">
        <is>
          <t>ENEB</t>
        </is>
      </c>
      <c r="D747" t="inlineStr">
        <is>
          <t>10000439</t>
        </is>
      </c>
      <c r="E747" t="inlineStr"/>
      <c r="F747" s="11" t="n">
        <v>217.6</v>
      </c>
      <c r="G747" t="inlineStr"/>
      <c r="I747" t="inlineStr">
        <is>
          <t>TN</t>
        </is>
      </c>
      <c r="J747" t="inlineStr"/>
      <c r="K747" t="inlineStr">
        <is>
          <t>20251202</t>
        </is>
      </c>
      <c r="L747" t="inlineStr">
        <is>
          <t>99991231</t>
        </is>
      </c>
    </row>
    <row r="748">
      <c r="A748" t="inlineStr">
        <is>
          <t>900009419</t>
        </is>
      </c>
      <c r="B748" t="inlineStr">
        <is>
          <t>DW68</t>
        </is>
      </c>
      <c r="C748" t="inlineStr">
        <is>
          <t>ENEB</t>
        </is>
      </c>
      <c r="D748" t="inlineStr">
        <is>
          <t>10209065</t>
        </is>
      </c>
      <c r="E748" t="inlineStr"/>
      <c r="F748" s="11" t="n">
        <v>145</v>
      </c>
      <c r="G748" t="inlineStr"/>
      <c r="I748" t="inlineStr">
        <is>
          <t>TN</t>
        </is>
      </c>
      <c r="J748" t="inlineStr"/>
      <c r="K748" t="inlineStr">
        <is>
          <t>20251202</t>
        </is>
      </c>
      <c r="L748" t="inlineStr">
        <is>
          <t>99991231</t>
        </is>
      </c>
    </row>
    <row r="749">
      <c r="A749" t="inlineStr">
        <is>
          <t>900009419</t>
        </is>
      </c>
      <c r="B749" t="inlineStr">
        <is>
          <t>DW68</t>
        </is>
      </c>
      <c r="C749" t="inlineStr">
        <is>
          <t>ENEB</t>
        </is>
      </c>
      <c r="D749" t="inlineStr">
        <is>
          <t>10251385</t>
        </is>
      </c>
      <c r="E749" t="inlineStr"/>
      <c r="F749" s="11" t="n">
        <v>220</v>
      </c>
      <c r="G749" t="inlineStr"/>
      <c r="I749" t="inlineStr">
        <is>
          <t>TN</t>
        </is>
      </c>
      <c r="J749" t="inlineStr"/>
      <c r="K749" t="inlineStr">
        <is>
          <t>20251202</t>
        </is>
      </c>
      <c r="L749" t="inlineStr">
        <is>
          <t>99991231</t>
        </is>
      </c>
    </row>
    <row r="750">
      <c r="A750" t="inlineStr">
        <is>
          <t>900009419</t>
        </is>
      </c>
      <c r="B750" t="inlineStr">
        <is>
          <t>DW68</t>
        </is>
      </c>
      <c r="C750" t="inlineStr">
        <is>
          <t>ENEB</t>
        </is>
      </c>
      <c r="D750" t="inlineStr">
        <is>
          <t>10270911</t>
        </is>
      </c>
      <c r="E750" t="inlineStr"/>
      <c r="F750" s="11" t="n">
        <v>197.74</v>
      </c>
      <c r="G750" t="inlineStr"/>
      <c r="I750" t="inlineStr">
        <is>
          <t>TN</t>
        </is>
      </c>
      <c r="J750" t="inlineStr"/>
      <c r="K750" t="inlineStr">
        <is>
          <t>20260201</t>
        </is>
      </c>
      <c r="L750" t="inlineStr">
        <is>
          <t>20260310</t>
        </is>
      </c>
    </row>
    <row r="751">
      <c r="A751" t="inlineStr">
        <is>
          <t>900009419</t>
        </is>
      </c>
      <c r="B751" t="inlineStr">
        <is>
          <t>DW68</t>
        </is>
      </c>
      <c r="C751" t="inlineStr">
        <is>
          <t>ENEB</t>
        </is>
      </c>
      <c r="D751" t="inlineStr">
        <is>
          <t>10270912</t>
        </is>
      </c>
      <c r="E751" t="inlineStr"/>
      <c r="F751" s="11" t="n">
        <v>179.4</v>
      </c>
      <c r="G751" t="inlineStr"/>
      <c r="I751" t="inlineStr">
        <is>
          <t>TN</t>
        </is>
      </c>
      <c r="J751" t="inlineStr"/>
      <c r="K751" t="inlineStr">
        <is>
          <t>20251202</t>
        </is>
      </c>
      <c r="L751" t="inlineStr">
        <is>
          <t>99991231</t>
        </is>
      </c>
    </row>
    <row r="752">
      <c r="A752" t="inlineStr">
        <is>
          <t>900009419</t>
        </is>
      </c>
      <c r="B752" t="inlineStr">
        <is>
          <t>DW68</t>
        </is>
      </c>
      <c r="C752" t="inlineStr">
        <is>
          <t>ENEB</t>
        </is>
      </c>
      <c r="D752" t="inlineStr">
        <is>
          <t>10270913</t>
        </is>
      </c>
      <c r="E752" t="inlineStr"/>
      <c r="F752" s="11" t="n">
        <v>202.8</v>
      </c>
      <c r="G752" t="inlineStr"/>
      <c r="I752" t="inlineStr">
        <is>
          <t>TN</t>
        </is>
      </c>
      <c r="J752" t="inlineStr"/>
      <c r="K752" t="inlineStr">
        <is>
          <t>20251202</t>
        </is>
      </c>
      <c r="L752" t="inlineStr">
        <is>
          <t>99991231</t>
        </is>
      </c>
    </row>
    <row r="753">
      <c r="A753" t="inlineStr">
        <is>
          <t>900009419</t>
        </is>
      </c>
      <c r="B753" t="inlineStr">
        <is>
          <t>DW68</t>
        </is>
      </c>
      <c r="C753" t="inlineStr">
        <is>
          <t>ENL1</t>
        </is>
      </c>
      <c r="D753" t="inlineStr">
        <is>
          <t>10000439</t>
        </is>
      </c>
      <c r="E753" t="inlineStr"/>
      <c r="F753" s="11" t="n">
        <v>217.6</v>
      </c>
      <c r="G753" t="inlineStr"/>
      <c r="I753" t="inlineStr">
        <is>
          <t>TN</t>
        </is>
      </c>
      <c r="J753" t="inlineStr"/>
      <c r="K753" t="inlineStr">
        <is>
          <t>20251202</t>
        </is>
      </c>
      <c r="L753" t="inlineStr">
        <is>
          <t>99991231</t>
        </is>
      </c>
    </row>
    <row r="754">
      <c r="A754" t="inlineStr">
        <is>
          <t>900009419</t>
        </is>
      </c>
      <c r="B754" t="inlineStr">
        <is>
          <t>DW68</t>
        </is>
      </c>
      <c r="C754" t="inlineStr">
        <is>
          <t>ENL1</t>
        </is>
      </c>
      <c r="D754" t="inlineStr">
        <is>
          <t>10209065</t>
        </is>
      </c>
      <c r="E754" t="inlineStr"/>
      <c r="F754" s="11" t="n">
        <v>145</v>
      </c>
      <c r="G754" t="inlineStr"/>
      <c r="I754" t="inlineStr">
        <is>
          <t>TN</t>
        </is>
      </c>
      <c r="J754" t="inlineStr"/>
      <c r="K754" t="inlineStr">
        <is>
          <t>20251202</t>
        </is>
      </c>
      <c r="L754" t="inlineStr">
        <is>
          <t>99991231</t>
        </is>
      </c>
    </row>
    <row r="755">
      <c r="A755" t="inlineStr">
        <is>
          <t>900009419</t>
        </is>
      </c>
      <c r="B755" t="inlineStr">
        <is>
          <t>DW68</t>
        </is>
      </c>
      <c r="C755" t="inlineStr">
        <is>
          <t>ENL1</t>
        </is>
      </c>
      <c r="D755" t="inlineStr">
        <is>
          <t>10251385</t>
        </is>
      </c>
      <c r="E755" t="inlineStr"/>
      <c r="F755" s="11" t="n">
        <v>220</v>
      </c>
      <c r="G755" t="inlineStr"/>
      <c r="I755" t="inlineStr">
        <is>
          <t>TN</t>
        </is>
      </c>
      <c r="J755" t="inlineStr"/>
      <c r="K755" t="inlineStr">
        <is>
          <t>20251202</t>
        </is>
      </c>
      <c r="L755" t="inlineStr">
        <is>
          <t>99991231</t>
        </is>
      </c>
    </row>
    <row r="756">
      <c r="A756" t="inlineStr">
        <is>
          <t>900009419</t>
        </is>
      </c>
      <c r="B756" t="inlineStr">
        <is>
          <t>DW68</t>
        </is>
      </c>
      <c r="C756" t="inlineStr">
        <is>
          <t>ENL1</t>
        </is>
      </c>
      <c r="D756" t="inlineStr">
        <is>
          <t>10270911</t>
        </is>
      </c>
      <c r="E756" t="inlineStr"/>
      <c r="F756" s="11" t="n">
        <v>197.74</v>
      </c>
      <c r="G756" t="inlineStr"/>
      <c r="I756" t="inlineStr">
        <is>
          <t>TN</t>
        </is>
      </c>
      <c r="J756" t="inlineStr"/>
      <c r="K756" t="inlineStr">
        <is>
          <t>20260201</t>
        </is>
      </c>
      <c r="L756" t="inlineStr">
        <is>
          <t>20260310</t>
        </is>
      </c>
    </row>
    <row r="757">
      <c r="A757" t="inlineStr">
        <is>
          <t>900009419</t>
        </is>
      </c>
      <c r="B757" t="inlineStr">
        <is>
          <t>DW68</t>
        </is>
      </c>
      <c r="C757" t="inlineStr">
        <is>
          <t>ENL1</t>
        </is>
      </c>
      <c r="D757" t="inlineStr">
        <is>
          <t>10270912</t>
        </is>
      </c>
      <c r="E757" t="inlineStr"/>
      <c r="F757" s="11" t="n">
        <v>179.4</v>
      </c>
      <c r="G757" t="inlineStr"/>
      <c r="I757" t="inlineStr">
        <is>
          <t>TN</t>
        </is>
      </c>
      <c r="J757" t="inlineStr"/>
      <c r="K757" t="inlineStr">
        <is>
          <t>20251202</t>
        </is>
      </c>
      <c r="L757" t="inlineStr">
        <is>
          <t>99991231</t>
        </is>
      </c>
    </row>
    <row r="758">
      <c r="A758" t="inlineStr">
        <is>
          <t>900009419</t>
        </is>
      </c>
      <c r="B758" t="inlineStr">
        <is>
          <t>DW68</t>
        </is>
      </c>
      <c r="C758" t="inlineStr">
        <is>
          <t>ENL1</t>
        </is>
      </c>
      <c r="D758" t="inlineStr">
        <is>
          <t>10270913</t>
        </is>
      </c>
      <c r="E758" t="inlineStr"/>
      <c r="F758" s="11" t="n">
        <v>202.8</v>
      </c>
      <c r="G758" t="inlineStr"/>
      <c r="I758" t="inlineStr">
        <is>
          <t>TN</t>
        </is>
      </c>
      <c r="J758" t="inlineStr"/>
      <c r="K758" t="inlineStr">
        <is>
          <t>20251202</t>
        </is>
      </c>
      <c r="L758" t="inlineStr">
        <is>
          <t>99991231</t>
        </is>
      </c>
    </row>
    <row r="759">
      <c r="A759" t="inlineStr">
        <is>
          <t>900009419</t>
        </is>
      </c>
      <c r="B759" t="inlineStr">
        <is>
          <t>DW68</t>
        </is>
      </c>
      <c r="C759" t="inlineStr">
        <is>
          <t>ENV8</t>
        </is>
      </c>
      <c r="D759" t="inlineStr">
        <is>
          <t>10000439</t>
        </is>
      </c>
      <c r="E759" t="inlineStr"/>
      <c r="F759" s="11" t="n">
        <v>217.6</v>
      </c>
      <c r="G759" t="inlineStr"/>
      <c r="I759" t="inlineStr">
        <is>
          <t>TN</t>
        </is>
      </c>
      <c r="J759" t="inlineStr"/>
      <c r="K759" t="inlineStr">
        <is>
          <t>20251202</t>
        </is>
      </c>
      <c r="L759" t="inlineStr">
        <is>
          <t>99991231</t>
        </is>
      </c>
    </row>
    <row r="760">
      <c r="A760" t="inlineStr">
        <is>
          <t>900009419</t>
        </is>
      </c>
      <c r="B760" t="inlineStr">
        <is>
          <t>DW68</t>
        </is>
      </c>
      <c r="C760" t="inlineStr">
        <is>
          <t>ENV8</t>
        </is>
      </c>
      <c r="D760" t="inlineStr">
        <is>
          <t>10209065</t>
        </is>
      </c>
      <c r="E760" t="inlineStr"/>
      <c r="F760" s="11" t="n">
        <v>145</v>
      </c>
      <c r="G760" t="inlineStr"/>
      <c r="I760" t="inlineStr">
        <is>
          <t>TN</t>
        </is>
      </c>
      <c r="J760" t="inlineStr"/>
      <c r="K760" t="inlineStr">
        <is>
          <t>20251202</t>
        </is>
      </c>
      <c r="L760" t="inlineStr">
        <is>
          <t>99991231</t>
        </is>
      </c>
    </row>
    <row r="761">
      <c r="A761" t="inlineStr">
        <is>
          <t>900009419</t>
        </is>
      </c>
      <c r="B761" t="inlineStr">
        <is>
          <t>DW68</t>
        </is>
      </c>
      <c r="C761" t="inlineStr">
        <is>
          <t>ENV8</t>
        </is>
      </c>
      <c r="D761" t="inlineStr">
        <is>
          <t>10251385</t>
        </is>
      </c>
      <c r="E761" t="inlineStr"/>
      <c r="F761" s="11" t="n">
        <v>220</v>
      </c>
      <c r="G761" t="inlineStr"/>
      <c r="I761" t="inlineStr">
        <is>
          <t>TN</t>
        </is>
      </c>
      <c r="J761" t="inlineStr"/>
      <c r="K761" t="inlineStr">
        <is>
          <t>20251202</t>
        </is>
      </c>
      <c r="L761" t="inlineStr">
        <is>
          <t>99991231</t>
        </is>
      </c>
    </row>
    <row r="762">
      <c r="A762" t="inlineStr">
        <is>
          <t>900009419</t>
        </is>
      </c>
      <c r="B762" t="inlineStr">
        <is>
          <t>DW68</t>
        </is>
      </c>
      <c r="C762" t="inlineStr">
        <is>
          <t>ENV8</t>
        </is>
      </c>
      <c r="D762" t="inlineStr">
        <is>
          <t>10270911</t>
        </is>
      </c>
      <c r="E762" t="inlineStr"/>
      <c r="F762" s="11" t="n">
        <v>197.74</v>
      </c>
      <c r="G762" t="inlineStr"/>
      <c r="I762" t="inlineStr">
        <is>
          <t>TN</t>
        </is>
      </c>
      <c r="J762" t="inlineStr"/>
      <c r="K762" t="inlineStr">
        <is>
          <t>20260201</t>
        </is>
      </c>
      <c r="L762" t="inlineStr">
        <is>
          <t>20260310</t>
        </is>
      </c>
    </row>
    <row r="763">
      <c r="A763" t="inlineStr">
        <is>
          <t>900009419</t>
        </is>
      </c>
      <c r="B763" t="inlineStr">
        <is>
          <t>DW68</t>
        </is>
      </c>
      <c r="C763" t="inlineStr">
        <is>
          <t>ENV8</t>
        </is>
      </c>
      <c r="D763" t="inlineStr">
        <is>
          <t>10270912</t>
        </is>
      </c>
      <c r="E763" t="inlineStr"/>
      <c r="F763" s="11" t="n">
        <v>179.4</v>
      </c>
      <c r="G763" t="inlineStr"/>
      <c r="I763" t="inlineStr">
        <is>
          <t>TN</t>
        </is>
      </c>
      <c r="J763" t="inlineStr"/>
      <c r="K763" t="inlineStr">
        <is>
          <t>20251202</t>
        </is>
      </c>
      <c r="L763" t="inlineStr">
        <is>
          <t>99991231</t>
        </is>
      </c>
    </row>
    <row r="764">
      <c r="A764" t="inlineStr">
        <is>
          <t>900009419</t>
        </is>
      </c>
      <c r="B764" t="inlineStr">
        <is>
          <t>DW68</t>
        </is>
      </c>
      <c r="C764" t="inlineStr">
        <is>
          <t>ENV8</t>
        </is>
      </c>
      <c r="D764" t="inlineStr">
        <is>
          <t>10270913</t>
        </is>
      </c>
      <c r="E764" t="inlineStr"/>
      <c r="F764" s="11" t="n">
        <v>202.8</v>
      </c>
      <c r="G764" t="inlineStr"/>
      <c r="I764" t="inlineStr">
        <is>
          <t>TN</t>
        </is>
      </c>
      <c r="J764" t="inlineStr"/>
      <c r="K764" t="inlineStr">
        <is>
          <t>20251202</t>
        </is>
      </c>
      <c r="L764" t="inlineStr">
        <is>
          <t>99991231</t>
        </is>
      </c>
    </row>
    <row r="765">
      <c r="A765" t="inlineStr">
        <is>
          <t>900009419</t>
        </is>
      </c>
      <c r="B765" t="inlineStr">
        <is>
          <t>DW68</t>
        </is>
      </c>
      <c r="C765" t="inlineStr">
        <is>
          <t>ENV9</t>
        </is>
      </c>
      <c r="D765" t="inlineStr">
        <is>
          <t>10000439</t>
        </is>
      </c>
      <c r="E765" t="inlineStr"/>
      <c r="F765" s="11" t="n">
        <v>217.6</v>
      </c>
      <c r="G765" t="inlineStr"/>
      <c r="I765" t="inlineStr">
        <is>
          <t>TN</t>
        </is>
      </c>
      <c r="J765" t="inlineStr"/>
      <c r="K765" t="inlineStr">
        <is>
          <t>20251202</t>
        </is>
      </c>
      <c r="L765" t="inlineStr">
        <is>
          <t>99991231</t>
        </is>
      </c>
    </row>
    <row r="766">
      <c r="A766" t="inlineStr">
        <is>
          <t>900009419</t>
        </is>
      </c>
      <c r="B766" t="inlineStr">
        <is>
          <t>DW68</t>
        </is>
      </c>
      <c r="C766" t="inlineStr">
        <is>
          <t>ENV9</t>
        </is>
      </c>
      <c r="D766" t="inlineStr">
        <is>
          <t>10209065</t>
        </is>
      </c>
      <c r="E766" t="inlineStr"/>
      <c r="F766" s="11" t="n">
        <v>145</v>
      </c>
      <c r="G766" t="inlineStr"/>
      <c r="I766" t="inlineStr">
        <is>
          <t>TN</t>
        </is>
      </c>
      <c r="J766" t="inlineStr"/>
      <c r="K766" t="inlineStr">
        <is>
          <t>20251202</t>
        </is>
      </c>
      <c r="L766" t="inlineStr">
        <is>
          <t>99991231</t>
        </is>
      </c>
    </row>
    <row r="767">
      <c r="A767" t="inlineStr">
        <is>
          <t>900009419</t>
        </is>
      </c>
      <c r="B767" t="inlineStr">
        <is>
          <t>DW68</t>
        </is>
      </c>
      <c r="C767" t="inlineStr">
        <is>
          <t>ENV9</t>
        </is>
      </c>
      <c r="D767" t="inlineStr">
        <is>
          <t>10251385</t>
        </is>
      </c>
      <c r="E767" t="inlineStr"/>
      <c r="F767" s="11" t="n">
        <v>220</v>
      </c>
      <c r="G767" t="inlineStr"/>
      <c r="I767" t="inlineStr">
        <is>
          <t>TN</t>
        </is>
      </c>
      <c r="J767" t="inlineStr"/>
      <c r="K767" t="inlineStr">
        <is>
          <t>20251202</t>
        </is>
      </c>
      <c r="L767" t="inlineStr">
        <is>
          <t>99991231</t>
        </is>
      </c>
    </row>
    <row r="768">
      <c r="A768" t="inlineStr">
        <is>
          <t>900009419</t>
        </is>
      </c>
      <c r="B768" t="inlineStr">
        <is>
          <t>DW68</t>
        </is>
      </c>
      <c r="C768" t="inlineStr">
        <is>
          <t>ENV9</t>
        </is>
      </c>
      <c r="D768" t="inlineStr">
        <is>
          <t>10270911</t>
        </is>
      </c>
      <c r="E768" t="inlineStr"/>
      <c r="F768" s="11" t="n">
        <v>197.74</v>
      </c>
      <c r="G768" t="inlineStr"/>
      <c r="I768" t="inlineStr">
        <is>
          <t>TN</t>
        </is>
      </c>
      <c r="J768" t="inlineStr"/>
      <c r="K768" t="inlineStr">
        <is>
          <t>20260201</t>
        </is>
      </c>
      <c r="L768" t="inlineStr">
        <is>
          <t>20260310</t>
        </is>
      </c>
    </row>
    <row r="769">
      <c r="A769" t="inlineStr">
        <is>
          <t>900009419</t>
        </is>
      </c>
      <c r="B769" t="inlineStr">
        <is>
          <t>DW68</t>
        </is>
      </c>
      <c r="C769" t="inlineStr">
        <is>
          <t>ENV9</t>
        </is>
      </c>
      <c r="D769" t="inlineStr">
        <is>
          <t>10270912</t>
        </is>
      </c>
      <c r="E769" t="inlineStr"/>
      <c r="F769" s="11" t="n">
        <v>179.4</v>
      </c>
      <c r="G769" t="inlineStr"/>
      <c r="I769" t="inlineStr">
        <is>
          <t>TN</t>
        </is>
      </c>
      <c r="J769" t="inlineStr"/>
      <c r="K769" t="inlineStr">
        <is>
          <t>20251202</t>
        </is>
      </c>
      <c r="L769" t="inlineStr">
        <is>
          <t>99991231</t>
        </is>
      </c>
    </row>
    <row r="770">
      <c r="A770" t="inlineStr">
        <is>
          <t>900009419</t>
        </is>
      </c>
      <c r="B770" t="inlineStr">
        <is>
          <t>DW68</t>
        </is>
      </c>
      <c r="C770" t="inlineStr">
        <is>
          <t>ENV9</t>
        </is>
      </c>
      <c r="D770" t="inlineStr">
        <is>
          <t>10270913</t>
        </is>
      </c>
      <c r="E770" t="inlineStr"/>
      <c r="F770" s="11" t="n">
        <v>202.8</v>
      </c>
      <c r="G770" t="inlineStr"/>
      <c r="I770" t="inlineStr">
        <is>
          <t>TN</t>
        </is>
      </c>
      <c r="J770" t="inlineStr"/>
      <c r="K770" t="inlineStr">
        <is>
          <t>20251202</t>
        </is>
      </c>
      <c r="L770" t="inlineStr">
        <is>
          <t>99991231</t>
        </is>
      </c>
    </row>
    <row r="771">
      <c r="A771" t="inlineStr">
        <is>
          <t>900009420</t>
        </is>
      </c>
      <c r="B771" t="inlineStr">
        <is>
          <t>DW68</t>
        </is>
      </c>
      <c r="C771" t="inlineStr">
        <is>
          <t>D577</t>
        </is>
      </c>
      <c r="D771" t="inlineStr">
        <is>
          <t>10000439</t>
        </is>
      </c>
      <c r="E771" t="inlineStr"/>
      <c r="F771" s="11" t="n">
        <v>217.6</v>
      </c>
      <c r="G771" t="inlineStr"/>
      <c r="I771" t="inlineStr">
        <is>
          <t>TN</t>
        </is>
      </c>
      <c r="J771" t="inlineStr"/>
      <c r="K771" t="inlineStr">
        <is>
          <t>20260401</t>
        </is>
      </c>
      <c r="L771" t="inlineStr">
        <is>
          <t>99991231</t>
        </is>
      </c>
    </row>
    <row r="772">
      <c r="A772" t="inlineStr">
        <is>
          <t>900009420</t>
        </is>
      </c>
      <c r="B772" t="inlineStr">
        <is>
          <t>DW68</t>
        </is>
      </c>
      <c r="C772" t="inlineStr">
        <is>
          <t>D577</t>
        </is>
      </c>
      <c r="D772" t="inlineStr">
        <is>
          <t>10209065</t>
        </is>
      </c>
      <c r="E772" t="inlineStr"/>
      <c r="F772" s="11" t="n">
        <v>145</v>
      </c>
      <c r="G772" t="inlineStr"/>
      <c r="I772" t="inlineStr">
        <is>
          <t>TN</t>
        </is>
      </c>
      <c r="J772" t="inlineStr"/>
      <c r="K772" t="inlineStr">
        <is>
          <t>20260401</t>
        </is>
      </c>
      <c r="L772" t="inlineStr">
        <is>
          <t>99991231</t>
        </is>
      </c>
    </row>
    <row r="773">
      <c r="A773" t="inlineStr">
        <is>
          <t>900009420</t>
        </is>
      </c>
      <c r="B773" t="inlineStr">
        <is>
          <t>DW68</t>
        </is>
      </c>
      <c r="C773" t="inlineStr">
        <is>
          <t>D577</t>
        </is>
      </c>
      <c r="D773" t="inlineStr">
        <is>
          <t>10251385</t>
        </is>
      </c>
      <c r="E773" t="inlineStr"/>
      <c r="F773" s="11" t="n">
        <v>220</v>
      </c>
      <c r="G773" t="inlineStr"/>
      <c r="I773" t="inlineStr">
        <is>
          <t>TN</t>
        </is>
      </c>
      <c r="J773" t="inlineStr"/>
      <c r="K773" t="inlineStr">
        <is>
          <t>20260401</t>
        </is>
      </c>
      <c r="L773" t="inlineStr">
        <is>
          <t>99991231</t>
        </is>
      </c>
    </row>
    <row r="774">
      <c r="A774" t="inlineStr">
        <is>
          <t>900009420</t>
        </is>
      </c>
      <c r="B774" t="inlineStr">
        <is>
          <t>DW68</t>
        </is>
      </c>
      <c r="C774" t="inlineStr">
        <is>
          <t>D577</t>
        </is>
      </c>
      <c r="D774" t="inlineStr">
        <is>
          <t>10270911</t>
        </is>
      </c>
      <c r="E774" t="inlineStr"/>
      <c r="F774" s="11" t="n">
        <v>197.74</v>
      </c>
      <c r="G774" t="inlineStr"/>
      <c r="I774" t="inlineStr">
        <is>
          <t>TN</t>
        </is>
      </c>
      <c r="J774" t="inlineStr"/>
      <c r="K774" t="inlineStr">
        <is>
          <t>20260401</t>
        </is>
      </c>
      <c r="L774" t="inlineStr">
        <is>
          <t>20260705</t>
        </is>
      </c>
    </row>
    <row r="775">
      <c r="A775" t="inlineStr">
        <is>
          <t>900009420</t>
        </is>
      </c>
      <c r="B775" t="inlineStr">
        <is>
          <t>DW68</t>
        </is>
      </c>
      <c r="C775" t="inlineStr">
        <is>
          <t>D577</t>
        </is>
      </c>
      <c r="D775" t="inlineStr">
        <is>
          <t>10270912</t>
        </is>
      </c>
      <c r="E775" t="inlineStr"/>
      <c r="F775" s="11" t="n">
        <v>179.4</v>
      </c>
      <c r="G775" t="inlineStr"/>
      <c r="I775" t="inlineStr">
        <is>
          <t>TN</t>
        </is>
      </c>
      <c r="J775" t="inlineStr"/>
      <c r="K775" t="inlineStr">
        <is>
          <t>20260401</t>
        </is>
      </c>
      <c r="L775" t="inlineStr">
        <is>
          <t>99991231</t>
        </is>
      </c>
    </row>
    <row r="776">
      <c r="A776" t="inlineStr">
        <is>
          <t>900009420</t>
        </is>
      </c>
      <c r="B776" t="inlineStr">
        <is>
          <t>DW68</t>
        </is>
      </c>
      <c r="C776" t="inlineStr">
        <is>
          <t>D577</t>
        </is>
      </c>
      <c r="D776" t="inlineStr">
        <is>
          <t>10270913</t>
        </is>
      </c>
      <c r="E776" t="inlineStr"/>
      <c r="F776" s="11" t="n">
        <v>202.8</v>
      </c>
      <c r="G776" t="inlineStr"/>
      <c r="I776" t="inlineStr">
        <is>
          <t>TN</t>
        </is>
      </c>
      <c r="J776" t="inlineStr"/>
      <c r="K776" t="inlineStr">
        <is>
          <t>20260401</t>
        </is>
      </c>
      <c r="L776" t="inlineStr">
        <is>
          <t>99991231</t>
        </is>
      </c>
    </row>
    <row r="777">
      <c r="A777" t="inlineStr">
        <is>
          <t>900009420</t>
        </is>
      </c>
      <c r="B777" t="inlineStr">
        <is>
          <t>DW68</t>
        </is>
      </c>
      <c r="C777" t="inlineStr">
        <is>
          <t>ENEB</t>
        </is>
      </c>
      <c r="D777" t="inlineStr">
        <is>
          <t>10000439</t>
        </is>
      </c>
      <c r="E777" t="inlineStr"/>
      <c r="F777" s="11" t="n">
        <v>217.6</v>
      </c>
      <c r="G777" t="inlineStr"/>
      <c r="I777" t="inlineStr">
        <is>
          <t>TN</t>
        </is>
      </c>
      <c r="J777" t="inlineStr"/>
      <c r="K777" t="inlineStr">
        <is>
          <t>20260126</t>
        </is>
      </c>
      <c r="L777" t="inlineStr">
        <is>
          <t>99991231</t>
        </is>
      </c>
    </row>
    <row r="778">
      <c r="A778" t="inlineStr">
        <is>
          <t>900009420</t>
        </is>
      </c>
      <c r="B778" t="inlineStr">
        <is>
          <t>DW68</t>
        </is>
      </c>
      <c r="C778" t="inlineStr">
        <is>
          <t>ENEB</t>
        </is>
      </c>
      <c r="D778" t="inlineStr">
        <is>
          <t>10209065</t>
        </is>
      </c>
      <c r="E778" t="inlineStr"/>
      <c r="F778" s="11" t="n">
        <v>145</v>
      </c>
      <c r="G778" t="inlineStr"/>
      <c r="I778" t="inlineStr">
        <is>
          <t>TN</t>
        </is>
      </c>
      <c r="J778" t="inlineStr"/>
      <c r="K778" t="inlineStr">
        <is>
          <t>20260126</t>
        </is>
      </c>
      <c r="L778" t="inlineStr">
        <is>
          <t>99991231</t>
        </is>
      </c>
    </row>
    <row r="779">
      <c r="A779" t="inlineStr">
        <is>
          <t>900009420</t>
        </is>
      </c>
      <c r="B779" t="inlineStr">
        <is>
          <t>DW68</t>
        </is>
      </c>
      <c r="C779" t="inlineStr">
        <is>
          <t>ENEB</t>
        </is>
      </c>
      <c r="D779" t="inlineStr">
        <is>
          <t>10251385</t>
        </is>
      </c>
      <c r="E779" t="inlineStr"/>
      <c r="F779" s="11" t="n">
        <v>220</v>
      </c>
      <c r="G779" t="inlineStr"/>
      <c r="I779" t="inlineStr">
        <is>
          <t>TN</t>
        </is>
      </c>
      <c r="J779" t="inlineStr"/>
      <c r="K779" t="inlineStr">
        <is>
          <t>20260126</t>
        </is>
      </c>
      <c r="L779" t="inlineStr">
        <is>
          <t>99991231</t>
        </is>
      </c>
    </row>
    <row r="780">
      <c r="A780" t="inlineStr">
        <is>
          <t>900009420</t>
        </is>
      </c>
      <c r="B780" t="inlineStr">
        <is>
          <t>DW68</t>
        </is>
      </c>
      <c r="C780" t="inlineStr">
        <is>
          <t>ENEB</t>
        </is>
      </c>
      <c r="D780" t="inlineStr">
        <is>
          <t>10270911</t>
        </is>
      </c>
      <c r="E780" t="inlineStr"/>
      <c r="F780" s="11" t="n">
        <v>197.74</v>
      </c>
      <c r="G780" t="inlineStr"/>
      <c r="I780" t="inlineStr">
        <is>
          <t>TN</t>
        </is>
      </c>
      <c r="J780" t="inlineStr"/>
      <c r="K780" t="inlineStr">
        <is>
          <t>20260201</t>
        </is>
      </c>
      <c r="L780" t="inlineStr">
        <is>
          <t>20260705</t>
        </is>
      </c>
    </row>
    <row r="781">
      <c r="A781" t="inlineStr">
        <is>
          <t>900009420</t>
        </is>
      </c>
      <c r="B781" t="inlineStr">
        <is>
          <t>DW68</t>
        </is>
      </c>
      <c r="C781" t="inlineStr">
        <is>
          <t>ENEB</t>
        </is>
      </c>
      <c r="D781" t="inlineStr">
        <is>
          <t>10270912</t>
        </is>
      </c>
      <c r="E781" t="inlineStr"/>
      <c r="F781" s="11" t="n">
        <v>179.4</v>
      </c>
      <c r="G781" t="inlineStr"/>
      <c r="I781" t="inlineStr">
        <is>
          <t>TN</t>
        </is>
      </c>
      <c r="J781" t="inlineStr"/>
      <c r="K781" t="inlineStr">
        <is>
          <t>20260126</t>
        </is>
      </c>
      <c r="L781" t="inlineStr">
        <is>
          <t>99991231</t>
        </is>
      </c>
    </row>
    <row r="782">
      <c r="A782" t="inlineStr">
        <is>
          <t>900009420</t>
        </is>
      </c>
      <c r="B782" t="inlineStr">
        <is>
          <t>DW68</t>
        </is>
      </c>
      <c r="C782" t="inlineStr">
        <is>
          <t>ENEB</t>
        </is>
      </c>
      <c r="D782" t="inlineStr">
        <is>
          <t>10270913</t>
        </is>
      </c>
      <c r="E782" t="inlineStr"/>
      <c r="F782" s="11" t="n">
        <v>202.8</v>
      </c>
      <c r="G782" t="inlineStr"/>
      <c r="I782" t="inlineStr">
        <is>
          <t>TN</t>
        </is>
      </c>
      <c r="J782" t="inlineStr"/>
      <c r="K782" t="inlineStr">
        <is>
          <t>20260126</t>
        </is>
      </c>
      <c r="L782" t="inlineStr">
        <is>
          <t>99991231</t>
        </is>
      </c>
    </row>
    <row r="783">
      <c r="A783" t="inlineStr">
        <is>
          <t>900009420</t>
        </is>
      </c>
      <c r="B783" t="inlineStr">
        <is>
          <t>DW68</t>
        </is>
      </c>
      <c r="C783" t="inlineStr">
        <is>
          <t>ENL1</t>
        </is>
      </c>
      <c r="D783" t="inlineStr">
        <is>
          <t>10000439</t>
        </is>
      </c>
      <c r="E783" t="inlineStr"/>
      <c r="F783" s="11" t="n">
        <v>217.6</v>
      </c>
      <c r="G783" t="inlineStr"/>
      <c r="I783" t="inlineStr">
        <is>
          <t>TN</t>
        </is>
      </c>
      <c r="J783" t="inlineStr"/>
      <c r="K783" t="inlineStr">
        <is>
          <t>20260126</t>
        </is>
      </c>
      <c r="L783" t="inlineStr">
        <is>
          <t>99991231</t>
        </is>
      </c>
    </row>
    <row r="784">
      <c r="A784" t="inlineStr">
        <is>
          <t>900009420</t>
        </is>
      </c>
      <c r="B784" t="inlineStr">
        <is>
          <t>DW68</t>
        </is>
      </c>
      <c r="C784" t="inlineStr">
        <is>
          <t>ENL1</t>
        </is>
      </c>
      <c r="D784" t="inlineStr">
        <is>
          <t>10209065</t>
        </is>
      </c>
      <c r="E784" t="inlineStr"/>
      <c r="F784" s="11" t="n">
        <v>145</v>
      </c>
      <c r="G784" t="inlineStr"/>
      <c r="I784" t="inlineStr">
        <is>
          <t>TN</t>
        </is>
      </c>
      <c r="J784" t="inlineStr"/>
      <c r="K784" t="inlineStr">
        <is>
          <t>20260126</t>
        </is>
      </c>
      <c r="L784" t="inlineStr">
        <is>
          <t>99991231</t>
        </is>
      </c>
    </row>
    <row r="785">
      <c r="A785" t="inlineStr">
        <is>
          <t>900009420</t>
        </is>
      </c>
      <c r="B785" t="inlineStr">
        <is>
          <t>DW68</t>
        </is>
      </c>
      <c r="C785" t="inlineStr">
        <is>
          <t>ENL1</t>
        </is>
      </c>
      <c r="D785" t="inlineStr">
        <is>
          <t>10251385</t>
        </is>
      </c>
      <c r="E785" t="inlineStr"/>
      <c r="F785" s="11" t="n">
        <v>220</v>
      </c>
      <c r="G785" t="inlineStr"/>
      <c r="I785" t="inlineStr">
        <is>
          <t>TN</t>
        </is>
      </c>
      <c r="J785" t="inlineStr"/>
      <c r="K785" t="inlineStr">
        <is>
          <t>20260126</t>
        </is>
      </c>
      <c r="L785" t="inlineStr">
        <is>
          <t>99991231</t>
        </is>
      </c>
    </row>
    <row r="786">
      <c r="A786" t="inlineStr">
        <is>
          <t>900009420</t>
        </is>
      </c>
      <c r="B786" t="inlineStr">
        <is>
          <t>DW68</t>
        </is>
      </c>
      <c r="C786" t="inlineStr">
        <is>
          <t>ENL1</t>
        </is>
      </c>
      <c r="D786" t="inlineStr">
        <is>
          <t>10270911</t>
        </is>
      </c>
      <c r="E786" t="inlineStr"/>
      <c r="F786" s="11" t="n">
        <v>197.74</v>
      </c>
      <c r="G786" t="inlineStr"/>
      <c r="I786" t="inlineStr">
        <is>
          <t>TN</t>
        </is>
      </c>
      <c r="J786" t="inlineStr"/>
      <c r="K786" t="inlineStr">
        <is>
          <t>20260201</t>
        </is>
      </c>
      <c r="L786" t="inlineStr">
        <is>
          <t>20260705</t>
        </is>
      </c>
    </row>
    <row r="787">
      <c r="A787" t="inlineStr">
        <is>
          <t>900009420</t>
        </is>
      </c>
      <c r="B787" t="inlineStr">
        <is>
          <t>DW68</t>
        </is>
      </c>
      <c r="C787" t="inlineStr">
        <is>
          <t>ENL1</t>
        </is>
      </c>
      <c r="D787" t="inlineStr">
        <is>
          <t>10270912</t>
        </is>
      </c>
      <c r="E787" t="inlineStr"/>
      <c r="F787" s="11" t="n">
        <v>179.4</v>
      </c>
      <c r="G787" t="inlineStr"/>
      <c r="I787" t="inlineStr">
        <is>
          <t>TN</t>
        </is>
      </c>
      <c r="J787" t="inlineStr"/>
      <c r="K787" t="inlineStr">
        <is>
          <t>20260126</t>
        </is>
      </c>
      <c r="L787" t="inlineStr">
        <is>
          <t>99991231</t>
        </is>
      </c>
    </row>
    <row r="788">
      <c r="A788" t="inlineStr">
        <is>
          <t>900009420</t>
        </is>
      </c>
      <c r="B788" t="inlineStr">
        <is>
          <t>DW68</t>
        </is>
      </c>
      <c r="C788" t="inlineStr">
        <is>
          <t>ENL1</t>
        </is>
      </c>
      <c r="D788" t="inlineStr">
        <is>
          <t>10270913</t>
        </is>
      </c>
      <c r="E788" t="inlineStr"/>
      <c r="F788" s="11" t="n">
        <v>202.8</v>
      </c>
      <c r="G788" t="inlineStr"/>
      <c r="I788" t="inlineStr">
        <is>
          <t>TN</t>
        </is>
      </c>
      <c r="J788" t="inlineStr"/>
      <c r="K788" t="inlineStr">
        <is>
          <t>20260126</t>
        </is>
      </c>
      <c r="L788" t="inlineStr">
        <is>
          <t>99991231</t>
        </is>
      </c>
    </row>
    <row r="789">
      <c r="A789" t="inlineStr">
        <is>
          <t>900009420</t>
        </is>
      </c>
      <c r="B789" t="inlineStr">
        <is>
          <t>DW68</t>
        </is>
      </c>
      <c r="C789" t="inlineStr">
        <is>
          <t>ENV8</t>
        </is>
      </c>
      <c r="D789" t="inlineStr">
        <is>
          <t>10000439</t>
        </is>
      </c>
      <c r="E789" t="inlineStr"/>
      <c r="F789" s="11" t="n">
        <v>217.6</v>
      </c>
      <c r="G789" t="inlineStr"/>
      <c r="I789" t="inlineStr">
        <is>
          <t>TN</t>
        </is>
      </c>
      <c r="J789" t="inlineStr"/>
      <c r="K789" t="inlineStr">
        <is>
          <t>20260126</t>
        </is>
      </c>
      <c r="L789" t="inlineStr">
        <is>
          <t>99991231</t>
        </is>
      </c>
    </row>
    <row r="790">
      <c r="A790" t="inlineStr">
        <is>
          <t>900009420</t>
        </is>
      </c>
      <c r="B790" t="inlineStr">
        <is>
          <t>DW68</t>
        </is>
      </c>
      <c r="C790" t="inlineStr">
        <is>
          <t>ENV8</t>
        </is>
      </c>
      <c r="D790" t="inlineStr">
        <is>
          <t>10209065</t>
        </is>
      </c>
      <c r="E790" t="inlineStr"/>
      <c r="F790" s="11" t="n">
        <v>145</v>
      </c>
      <c r="G790" t="inlineStr"/>
      <c r="I790" t="inlineStr">
        <is>
          <t>TN</t>
        </is>
      </c>
      <c r="J790" t="inlineStr"/>
      <c r="K790" t="inlineStr">
        <is>
          <t>20260126</t>
        </is>
      </c>
      <c r="L790" t="inlineStr">
        <is>
          <t>99991231</t>
        </is>
      </c>
    </row>
    <row r="791">
      <c r="A791" t="inlineStr">
        <is>
          <t>900009420</t>
        </is>
      </c>
      <c r="B791" t="inlineStr">
        <is>
          <t>DW68</t>
        </is>
      </c>
      <c r="C791" t="inlineStr">
        <is>
          <t>ENV8</t>
        </is>
      </c>
      <c r="D791" t="inlineStr">
        <is>
          <t>10251385</t>
        </is>
      </c>
      <c r="E791" t="inlineStr"/>
      <c r="F791" s="11" t="n">
        <v>220</v>
      </c>
      <c r="G791" t="inlineStr"/>
      <c r="I791" t="inlineStr">
        <is>
          <t>TN</t>
        </is>
      </c>
      <c r="J791" t="inlineStr"/>
      <c r="K791" t="inlineStr">
        <is>
          <t>20260126</t>
        </is>
      </c>
      <c r="L791" t="inlineStr">
        <is>
          <t>99991231</t>
        </is>
      </c>
    </row>
    <row r="792">
      <c r="A792" t="inlineStr">
        <is>
          <t>900009420</t>
        </is>
      </c>
      <c r="B792" t="inlineStr">
        <is>
          <t>DW68</t>
        </is>
      </c>
      <c r="C792" t="inlineStr">
        <is>
          <t>ENV8</t>
        </is>
      </c>
      <c r="D792" t="inlineStr">
        <is>
          <t>10270911</t>
        </is>
      </c>
      <c r="E792" t="inlineStr"/>
      <c r="F792" s="11" t="n">
        <v>197.74</v>
      </c>
      <c r="G792" t="inlineStr"/>
      <c r="I792" t="inlineStr">
        <is>
          <t>TN</t>
        </is>
      </c>
      <c r="J792" t="inlineStr"/>
      <c r="K792" t="inlineStr">
        <is>
          <t>20260201</t>
        </is>
      </c>
      <c r="L792" t="inlineStr">
        <is>
          <t>20260705</t>
        </is>
      </c>
    </row>
    <row r="793">
      <c r="A793" t="inlineStr">
        <is>
          <t>900009420</t>
        </is>
      </c>
      <c r="B793" t="inlineStr">
        <is>
          <t>DW68</t>
        </is>
      </c>
      <c r="C793" t="inlineStr">
        <is>
          <t>ENV8</t>
        </is>
      </c>
      <c r="D793" t="inlineStr">
        <is>
          <t>10270912</t>
        </is>
      </c>
      <c r="E793" t="inlineStr"/>
      <c r="F793" s="11" t="n">
        <v>179.4</v>
      </c>
      <c r="G793" t="inlineStr"/>
      <c r="I793" t="inlineStr">
        <is>
          <t>TN</t>
        </is>
      </c>
      <c r="J793" t="inlineStr"/>
      <c r="K793" t="inlineStr">
        <is>
          <t>20260126</t>
        </is>
      </c>
      <c r="L793" t="inlineStr">
        <is>
          <t>99991231</t>
        </is>
      </c>
    </row>
    <row r="794">
      <c r="A794" t="inlineStr">
        <is>
          <t>900009420</t>
        </is>
      </c>
      <c r="B794" t="inlineStr">
        <is>
          <t>DW68</t>
        </is>
      </c>
      <c r="C794" t="inlineStr">
        <is>
          <t>ENV8</t>
        </is>
      </c>
      <c r="D794" t="inlineStr">
        <is>
          <t>10270913</t>
        </is>
      </c>
      <c r="E794" t="inlineStr"/>
      <c r="F794" s="11" t="n">
        <v>202.8</v>
      </c>
      <c r="G794" t="inlineStr"/>
      <c r="I794" t="inlineStr">
        <is>
          <t>TN</t>
        </is>
      </c>
      <c r="J794" t="inlineStr"/>
      <c r="K794" t="inlineStr">
        <is>
          <t>20260126</t>
        </is>
      </c>
      <c r="L794" t="inlineStr">
        <is>
          <t>99991231</t>
        </is>
      </c>
    </row>
    <row r="795">
      <c r="A795" t="inlineStr">
        <is>
          <t>900009420</t>
        </is>
      </c>
      <c r="B795" t="inlineStr">
        <is>
          <t>DW68</t>
        </is>
      </c>
      <c r="C795" t="inlineStr">
        <is>
          <t>ENV9</t>
        </is>
      </c>
      <c r="D795" t="inlineStr">
        <is>
          <t>10000439</t>
        </is>
      </c>
      <c r="E795" t="inlineStr"/>
      <c r="F795" s="11" t="n">
        <v>217.6</v>
      </c>
      <c r="G795" t="inlineStr"/>
      <c r="I795" t="inlineStr">
        <is>
          <t>TN</t>
        </is>
      </c>
      <c r="J795" t="inlineStr"/>
      <c r="K795" t="inlineStr">
        <is>
          <t>20260126</t>
        </is>
      </c>
      <c r="L795" t="inlineStr">
        <is>
          <t>99991231</t>
        </is>
      </c>
    </row>
    <row r="796">
      <c r="A796" t="inlineStr">
        <is>
          <t>900009420</t>
        </is>
      </c>
      <c r="B796" t="inlineStr">
        <is>
          <t>DW68</t>
        </is>
      </c>
      <c r="C796" t="inlineStr">
        <is>
          <t>ENV9</t>
        </is>
      </c>
      <c r="D796" t="inlineStr">
        <is>
          <t>10209065</t>
        </is>
      </c>
      <c r="E796" t="inlineStr"/>
      <c r="F796" s="11" t="n">
        <v>145</v>
      </c>
      <c r="G796" t="inlineStr"/>
      <c r="I796" t="inlineStr">
        <is>
          <t>TN</t>
        </is>
      </c>
      <c r="J796" t="inlineStr"/>
      <c r="K796" t="inlineStr">
        <is>
          <t>20260126</t>
        </is>
      </c>
      <c r="L796" t="inlineStr">
        <is>
          <t>99991231</t>
        </is>
      </c>
    </row>
    <row r="797">
      <c r="A797" t="inlineStr">
        <is>
          <t>900009420</t>
        </is>
      </c>
      <c r="B797" t="inlineStr">
        <is>
          <t>DW68</t>
        </is>
      </c>
      <c r="C797" t="inlineStr">
        <is>
          <t>ENV9</t>
        </is>
      </c>
      <c r="D797" t="inlineStr">
        <is>
          <t>10251385</t>
        </is>
      </c>
      <c r="E797" t="inlineStr"/>
      <c r="F797" s="11" t="n">
        <v>220</v>
      </c>
      <c r="G797" t="inlineStr"/>
      <c r="I797" t="inlineStr">
        <is>
          <t>TN</t>
        </is>
      </c>
      <c r="J797" t="inlineStr"/>
      <c r="K797" t="inlineStr">
        <is>
          <t>20260126</t>
        </is>
      </c>
      <c r="L797" t="inlineStr">
        <is>
          <t>99991231</t>
        </is>
      </c>
    </row>
    <row r="798">
      <c r="A798" t="inlineStr">
        <is>
          <t>900009420</t>
        </is>
      </c>
      <c r="B798" t="inlineStr">
        <is>
          <t>DW68</t>
        </is>
      </c>
      <c r="C798" t="inlineStr">
        <is>
          <t>ENV9</t>
        </is>
      </c>
      <c r="D798" t="inlineStr">
        <is>
          <t>10270911</t>
        </is>
      </c>
      <c r="E798" t="inlineStr"/>
      <c r="F798" s="11" t="n">
        <v>197.74</v>
      </c>
      <c r="G798" t="inlineStr"/>
      <c r="I798" t="inlineStr">
        <is>
          <t>TN</t>
        </is>
      </c>
      <c r="J798" t="inlineStr"/>
      <c r="K798" t="inlineStr">
        <is>
          <t>20260201</t>
        </is>
      </c>
      <c r="L798" t="inlineStr">
        <is>
          <t>20260705</t>
        </is>
      </c>
    </row>
    <row r="799">
      <c r="A799" t="inlineStr">
        <is>
          <t>900009420</t>
        </is>
      </c>
      <c r="B799" t="inlineStr">
        <is>
          <t>DW68</t>
        </is>
      </c>
      <c r="C799" t="inlineStr">
        <is>
          <t>ENV9</t>
        </is>
      </c>
      <c r="D799" t="inlineStr">
        <is>
          <t>10270912</t>
        </is>
      </c>
      <c r="E799" t="inlineStr"/>
      <c r="F799" s="11" t="n">
        <v>179.4</v>
      </c>
      <c r="G799" t="inlineStr"/>
      <c r="I799" t="inlineStr">
        <is>
          <t>TN</t>
        </is>
      </c>
      <c r="J799" t="inlineStr"/>
      <c r="K799" t="inlineStr">
        <is>
          <t>20260126</t>
        </is>
      </c>
      <c r="L799" t="inlineStr">
        <is>
          <t>99991231</t>
        </is>
      </c>
    </row>
    <row r="800">
      <c r="A800" t="inlineStr">
        <is>
          <t>900009420</t>
        </is>
      </c>
      <c r="B800" t="inlineStr">
        <is>
          <t>DW68</t>
        </is>
      </c>
      <c r="C800" t="inlineStr">
        <is>
          <t>ENV9</t>
        </is>
      </c>
      <c r="D800" t="inlineStr">
        <is>
          <t>10270913</t>
        </is>
      </c>
      <c r="E800" t="inlineStr"/>
      <c r="F800" s="11" t="n">
        <v>202.8</v>
      </c>
      <c r="G800" t="inlineStr"/>
      <c r="I800" t="inlineStr">
        <is>
          <t>TN</t>
        </is>
      </c>
      <c r="J800" t="inlineStr"/>
      <c r="K800" t="inlineStr">
        <is>
          <t>20260126</t>
        </is>
      </c>
      <c r="L800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900000085DW68D04210000191</t>
        </is>
      </c>
      <c r="B2" t="inlineStr">
        <is>
          <t>900000085</t>
        </is>
      </c>
      <c r="C2" t="inlineStr">
        <is>
          <t>DW68</t>
        </is>
      </c>
      <c r="D2" t="inlineStr">
        <is>
          <t>D042</t>
        </is>
      </c>
      <c r="E2" t="inlineStr">
        <is>
          <t>1</t>
        </is>
      </c>
      <c r="F2" t="inlineStr">
        <is>
          <t>10000191</t>
        </is>
      </c>
      <c r="H2" t="inlineStr"/>
      <c r="J2" t="n">
        <v>56.76</v>
      </c>
      <c r="K2" t="inlineStr"/>
      <c r="M2" t="inlineStr">
        <is>
          <t>TN</t>
        </is>
      </c>
      <c r="N2" t="inlineStr"/>
      <c r="P2" t="inlineStr">
        <is>
          <t>20210620</t>
        </is>
      </c>
      <c r="Q2" t="inlineStr">
        <is>
          <t>20251031</t>
        </is>
      </c>
    </row>
    <row r="3">
      <c r="A3" t="inlineStr">
        <is>
          <t>900000085DW68D04210110630</t>
        </is>
      </c>
      <c r="B3" t="inlineStr">
        <is>
          <t>900000085</t>
        </is>
      </c>
      <c r="C3" t="inlineStr">
        <is>
          <t>DW68</t>
        </is>
      </c>
      <c r="D3" t="inlineStr">
        <is>
          <t>D042</t>
        </is>
      </c>
      <c r="E3" t="inlineStr">
        <is>
          <t>1</t>
        </is>
      </c>
      <c r="F3" t="inlineStr">
        <is>
          <t>10110630</t>
        </is>
      </c>
      <c r="H3" t="inlineStr"/>
      <c r="J3" t="n">
        <v>56.76</v>
      </c>
      <c r="K3" t="inlineStr"/>
      <c r="M3" t="inlineStr">
        <is>
          <t>TN</t>
        </is>
      </c>
      <c r="N3" t="inlineStr"/>
      <c r="P3" t="inlineStr">
        <is>
          <t>20210620</t>
        </is>
      </c>
      <c r="Q3" t="inlineStr">
        <is>
          <t>20251031</t>
        </is>
      </c>
    </row>
    <row r="4">
      <c r="A4" t="inlineStr">
        <is>
          <t>900000085DW68D04210141571</t>
        </is>
      </c>
      <c r="B4" t="inlineStr">
        <is>
          <t>900000085</t>
        </is>
      </c>
      <c r="C4" t="inlineStr">
        <is>
          <t>DW68</t>
        </is>
      </c>
      <c r="D4" t="inlineStr">
        <is>
          <t>D042</t>
        </is>
      </c>
      <c r="E4" t="inlineStr">
        <is>
          <t>1</t>
        </is>
      </c>
      <c r="F4" t="inlineStr">
        <is>
          <t>10141571</t>
        </is>
      </c>
      <c r="H4" t="inlineStr"/>
      <c r="J4" t="n">
        <v>56.76</v>
      </c>
      <c r="K4" t="inlineStr"/>
      <c r="M4" t="inlineStr">
        <is>
          <t>TN</t>
        </is>
      </c>
      <c r="N4" t="inlineStr"/>
      <c r="P4" t="inlineStr">
        <is>
          <t>20210620</t>
        </is>
      </c>
      <c r="Q4" t="inlineStr">
        <is>
          <t>20251031</t>
        </is>
      </c>
    </row>
    <row r="5">
      <c r="A5" t="inlineStr">
        <is>
          <t>900000085DW68D20910000191</t>
        </is>
      </c>
      <c r="B5" t="inlineStr">
        <is>
          <t>900000085</t>
        </is>
      </c>
      <c r="C5" t="inlineStr">
        <is>
          <t>DW68</t>
        </is>
      </c>
      <c r="D5" t="inlineStr">
        <is>
          <t>D209</t>
        </is>
      </c>
      <c r="E5" t="inlineStr">
        <is>
          <t>1</t>
        </is>
      </c>
      <c r="F5" t="inlineStr">
        <is>
          <t>10000191</t>
        </is>
      </c>
      <c r="H5" t="inlineStr"/>
      <c r="J5" t="n">
        <v>50.92</v>
      </c>
      <c r="K5" t="inlineStr"/>
      <c r="M5" t="inlineStr">
        <is>
          <t>TN</t>
        </is>
      </c>
      <c r="N5" t="inlineStr"/>
      <c r="P5" t="inlineStr">
        <is>
          <t>20210620</t>
        </is>
      </c>
      <c r="Q5" t="inlineStr">
        <is>
          <t>20251031</t>
        </is>
      </c>
    </row>
    <row r="6">
      <c r="A6" t="inlineStr">
        <is>
          <t>900000085DW68D20910110630</t>
        </is>
      </c>
      <c r="B6" t="inlineStr">
        <is>
          <t>900000085</t>
        </is>
      </c>
      <c r="C6" t="inlineStr">
        <is>
          <t>DW68</t>
        </is>
      </c>
      <c r="D6" t="inlineStr">
        <is>
          <t>D209</t>
        </is>
      </c>
      <c r="E6" t="inlineStr">
        <is>
          <t>1</t>
        </is>
      </c>
      <c r="F6" t="inlineStr">
        <is>
          <t>10110630</t>
        </is>
      </c>
      <c r="H6" t="inlineStr"/>
      <c r="J6" t="n">
        <v>50.92</v>
      </c>
      <c r="K6" t="inlineStr"/>
      <c r="M6" t="inlineStr">
        <is>
          <t>TN</t>
        </is>
      </c>
      <c r="N6" t="inlineStr"/>
      <c r="P6" t="inlineStr">
        <is>
          <t>20210620</t>
        </is>
      </c>
      <c r="Q6" t="inlineStr">
        <is>
          <t>20251031</t>
        </is>
      </c>
    </row>
    <row r="7">
      <c r="A7" t="inlineStr">
        <is>
          <t>900000085DW68D20910141571</t>
        </is>
      </c>
      <c r="B7" t="inlineStr">
        <is>
          <t>900000085</t>
        </is>
      </c>
      <c r="C7" t="inlineStr">
        <is>
          <t>DW68</t>
        </is>
      </c>
      <c r="D7" t="inlineStr">
        <is>
          <t>D209</t>
        </is>
      </c>
      <c r="E7" t="inlineStr">
        <is>
          <t>1</t>
        </is>
      </c>
      <c r="F7" t="inlineStr">
        <is>
          <t>10141571</t>
        </is>
      </c>
      <c r="H7" t="inlineStr"/>
      <c r="J7" t="n">
        <v>50.92</v>
      </c>
      <c r="K7" t="inlineStr"/>
      <c r="M7" t="inlineStr">
        <is>
          <t>TN</t>
        </is>
      </c>
      <c r="N7" t="inlineStr"/>
      <c r="P7" t="inlineStr">
        <is>
          <t>20210620</t>
        </is>
      </c>
      <c r="Q7" t="inlineStr">
        <is>
          <t>20251031</t>
        </is>
      </c>
    </row>
    <row r="8">
      <c r="A8" t="inlineStr">
        <is>
          <t>900000085DW68D21110000191</t>
        </is>
      </c>
      <c r="B8" t="inlineStr">
        <is>
          <t>900000085</t>
        </is>
      </c>
      <c r="C8" t="inlineStr">
        <is>
          <t>DW68</t>
        </is>
      </c>
      <c r="D8" t="inlineStr">
        <is>
          <t>D211</t>
        </is>
      </c>
      <c r="E8" t="inlineStr">
        <is>
          <t>1</t>
        </is>
      </c>
      <c r="F8" t="inlineStr">
        <is>
          <t>10000191</t>
        </is>
      </c>
      <c r="H8" t="inlineStr"/>
      <c r="J8" t="n">
        <v>41.7</v>
      </c>
      <c r="K8" t="inlineStr"/>
      <c r="M8" t="inlineStr">
        <is>
          <t>TN</t>
        </is>
      </c>
      <c r="N8" t="inlineStr"/>
      <c r="P8" t="inlineStr">
        <is>
          <t>20210620</t>
        </is>
      </c>
      <c r="Q8" t="inlineStr">
        <is>
          <t>20251031</t>
        </is>
      </c>
    </row>
    <row r="9">
      <c r="A9" t="inlineStr">
        <is>
          <t>900000085DW68D21110110630</t>
        </is>
      </c>
      <c r="B9" t="inlineStr">
        <is>
          <t>900000085</t>
        </is>
      </c>
      <c r="C9" t="inlineStr">
        <is>
          <t>DW68</t>
        </is>
      </c>
      <c r="D9" t="inlineStr">
        <is>
          <t>D211</t>
        </is>
      </c>
      <c r="E9" t="inlineStr">
        <is>
          <t>1</t>
        </is>
      </c>
      <c r="F9" t="inlineStr">
        <is>
          <t>10110630</t>
        </is>
      </c>
      <c r="H9" t="inlineStr"/>
      <c r="J9" t="n">
        <v>41.7</v>
      </c>
      <c r="K9" t="inlineStr"/>
      <c r="M9" t="inlineStr">
        <is>
          <t>TN</t>
        </is>
      </c>
      <c r="N9" t="inlineStr"/>
      <c r="P9" t="inlineStr">
        <is>
          <t>20210620</t>
        </is>
      </c>
      <c r="Q9" t="inlineStr">
        <is>
          <t>20251031</t>
        </is>
      </c>
    </row>
    <row r="10">
      <c r="A10" t="inlineStr">
        <is>
          <t>900000085DW68D21110141571</t>
        </is>
      </c>
      <c r="B10" t="inlineStr">
        <is>
          <t>900000085</t>
        </is>
      </c>
      <c r="C10" t="inlineStr">
        <is>
          <t>DW68</t>
        </is>
      </c>
      <c r="D10" t="inlineStr">
        <is>
          <t>D211</t>
        </is>
      </c>
      <c r="E10" t="inlineStr">
        <is>
          <t>1</t>
        </is>
      </c>
      <c r="F10" t="inlineStr">
        <is>
          <t>10141571</t>
        </is>
      </c>
      <c r="H10" t="inlineStr"/>
      <c r="J10" t="n">
        <v>41.7</v>
      </c>
      <c r="K10" t="inlineStr"/>
      <c r="M10" t="inlineStr">
        <is>
          <t>TN</t>
        </is>
      </c>
      <c r="N10" t="inlineStr"/>
      <c r="P10" t="inlineStr">
        <is>
          <t>20210620</t>
        </is>
      </c>
      <c r="Q10" t="inlineStr">
        <is>
          <t>20251031</t>
        </is>
      </c>
    </row>
    <row r="11">
      <c r="A11" t="inlineStr">
        <is>
          <t>900000085DW68D21410000191</t>
        </is>
      </c>
      <c r="B11" t="inlineStr">
        <is>
          <t>900000085</t>
        </is>
      </c>
      <c r="C11" t="inlineStr">
        <is>
          <t>DW68</t>
        </is>
      </c>
      <c r="D11" t="inlineStr">
        <is>
          <t>D214</t>
        </is>
      </c>
      <c r="E11" t="inlineStr">
        <is>
          <t>1</t>
        </is>
      </c>
      <c r="F11" t="inlineStr">
        <is>
          <t>10000191</t>
        </is>
      </c>
      <c r="H11" t="inlineStr"/>
      <c r="J11" t="n">
        <v>59.33</v>
      </c>
      <c r="K11" t="inlineStr"/>
      <c r="M11" t="inlineStr">
        <is>
          <t>TN</t>
        </is>
      </c>
      <c r="N11" t="inlineStr"/>
      <c r="P11" t="inlineStr">
        <is>
          <t>20210620</t>
        </is>
      </c>
      <c r="Q11" t="inlineStr">
        <is>
          <t>20251031</t>
        </is>
      </c>
    </row>
    <row r="12">
      <c r="A12" t="inlineStr">
        <is>
          <t>900000085DW68D21410110630</t>
        </is>
      </c>
      <c r="B12" t="inlineStr">
        <is>
          <t>900000085</t>
        </is>
      </c>
      <c r="C12" t="inlineStr">
        <is>
          <t>DW68</t>
        </is>
      </c>
      <c r="D12" t="inlineStr">
        <is>
          <t>D214</t>
        </is>
      </c>
      <c r="E12" t="inlineStr">
        <is>
          <t>1</t>
        </is>
      </c>
      <c r="F12" t="inlineStr">
        <is>
          <t>10110630</t>
        </is>
      </c>
      <c r="H12" t="inlineStr"/>
      <c r="J12" t="n">
        <v>59.33</v>
      </c>
      <c r="K12" t="inlineStr"/>
      <c r="M12" t="inlineStr">
        <is>
          <t>TN</t>
        </is>
      </c>
      <c r="N12" t="inlineStr"/>
      <c r="P12" t="inlineStr">
        <is>
          <t>20210620</t>
        </is>
      </c>
      <c r="Q12" t="inlineStr">
        <is>
          <t>20251031</t>
        </is>
      </c>
    </row>
    <row r="13">
      <c r="A13" t="inlineStr">
        <is>
          <t>900000085DW68D21410141571</t>
        </is>
      </c>
      <c r="B13" t="inlineStr">
        <is>
          <t>900000085</t>
        </is>
      </c>
      <c r="C13" t="inlineStr">
        <is>
          <t>DW68</t>
        </is>
      </c>
      <c r="D13" t="inlineStr">
        <is>
          <t>D214</t>
        </is>
      </c>
      <c r="E13" t="inlineStr">
        <is>
          <t>1</t>
        </is>
      </c>
      <c r="F13" t="inlineStr">
        <is>
          <t>10141571</t>
        </is>
      </c>
      <c r="H13" t="inlineStr"/>
      <c r="J13" t="n">
        <v>59.33</v>
      </c>
      <c r="K13" t="inlineStr"/>
      <c r="M13" t="inlineStr">
        <is>
          <t>TN</t>
        </is>
      </c>
      <c r="N13" t="inlineStr"/>
      <c r="P13" t="inlineStr">
        <is>
          <t>20210620</t>
        </is>
      </c>
      <c r="Q13" t="inlineStr">
        <is>
          <t>20251031</t>
        </is>
      </c>
    </row>
    <row r="14">
      <c r="A14" t="inlineStr">
        <is>
          <t>900000085DW68D22810000191</t>
        </is>
      </c>
      <c r="B14" t="inlineStr">
        <is>
          <t>900000085</t>
        </is>
      </c>
      <c r="C14" t="inlineStr">
        <is>
          <t>DW68</t>
        </is>
      </c>
      <c r="D14" t="inlineStr">
        <is>
          <t>D228</t>
        </is>
      </c>
      <c r="E14" t="inlineStr">
        <is>
          <t>1</t>
        </is>
      </c>
      <c r="F14" t="inlineStr">
        <is>
          <t>10000191</t>
        </is>
      </c>
      <c r="H14" t="inlineStr"/>
      <c r="J14" t="n">
        <v>74.98</v>
      </c>
      <c r="K14" t="inlineStr"/>
      <c r="M14" t="inlineStr">
        <is>
          <t>TN</t>
        </is>
      </c>
      <c r="N14" t="inlineStr"/>
      <c r="P14" t="inlineStr">
        <is>
          <t>20210620</t>
        </is>
      </c>
      <c r="Q14" t="inlineStr">
        <is>
          <t>20251031</t>
        </is>
      </c>
    </row>
    <row r="15">
      <c r="A15" t="inlineStr">
        <is>
          <t>900000085DW68D22810110630</t>
        </is>
      </c>
      <c r="B15" t="inlineStr">
        <is>
          <t>900000085</t>
        </is>
      </c>
      <c r="C15" t="inlineStr">
        <is>
          <t>DW68</t>
        </is>
      </c>
      <c r="D15" t="inlineStr">
        <is>
          <t>D228</t>
        </is>
      </c>
      <c r="E15" t="inlineStr">
        <is>
          <t>1</t>
        </is>
      </c>
      <c r="F15" t="inlineStr">
        <is>
          <t>10110630</t>
        </is>
      </c>
      <c r="H15" t="inlineStr"/>
      <c r="J15" t="n">
        <v>74.98</v>
      </c>
      <c r="K15" t="inlineStr"/>
      <c r="M15" t="inlineStr">
        <is>
          <t>TN</t>
        </is>
      </c>
      <c r="N15" t="inlineStr"/>
      <c r="P15" t="inlineStr">
        <is>
          <t>20210620</t>
        </is>
      </c>
      <c r="Q15" t="inlineStr">
        <is>
          <t>20251031</t>
        </is>
      </c>
    </row>
    <row r="16">
      <c r="A16" t="inlineStr">
        <is>
          <t>900000085DW68D22810141571</t>
        </is>
      </c>
      <c r="B16" t="inlineStr">
        <is>
          <t>900000085</t>
        </is>
      </c>
      <c r="C16" t="inlineStr">
        <is>
          <t>DW68</t>
        </is>
      </c>
      <c r="D16" t="inlineStr">
        <is>
          <t>D228</t>
        </is>
      </c>
      <c r="E16" t="inlineStr">
        <is>
          <t>1</t>
        </is>
      </c>
      <c r="F16" t="inlineStr">
        <is>
          <t>10141571</t>
        </is>
      </c>
      <c r="H16" t="inlineStr"/>
      <c r="J16" t="n">
        <v>74.98</v>
      </c>
      <c r="K16" t="inlineStr"/>
      <c r="M16" t="inlineStr">
        <is>
          <t>TN</t>
        </is>
      </c>
      <c r="N16" t="inlineStr"/>
      <c r="P16" t="inlineStr">
        <is>
          <t>20210620</t>
        </is>
      </c>
      <c r="Q16" t="inlineStr">
        <is>
          <t>20251031</t>
        </is>
      </c>
    </row>
    <row r="17">
      <c r="A17" t="inlineStr">
        <is>
          <t>900000085DW68D24210000191</t>
        </is>
      </c>
      <c r="B17" t="inlineStr">
        <is>
          <t>900000085</t>
        </is>
      </c>
      <c r="C17" t="inlineStr">
        <is>
          <t>DW68</t>
        </is>
      </c>
      <c r="D17" t="inlineStr">
        <is>
          <t>D242</t>
        </is>
      </c>
      <c r="E17" t="inlineStr">
        <is>
          <t>1</t>
        </is>
      </c>
      <c r="F17" t="inlineStr">
        <is>
          <t>10000191</t>
        </is>
      </c>
      <c r="H17" t="inlineStr"/>
      <c r="J17" t="n">
        <v>64.63</v>
      </c>
      <c r="K17" t="inlineStr"/>
      <c r="M17" t="inlineStr">
        <is>
          <t>TN</t>
        </is>
      </c>
      <c r="N17" t="inlineStr"/>
      <c r="P17" t="inlineStr">
        <is>
          <t>20210620</t>
        </is>
      </c>
      <c r="Q17" t="inlineStr">
        <is>
          <t>20251031</t>
        </is>
      </c>
    </row>
    <row r="18">
      <c r="A18" t="inlineStr">
        <is>
          <t>900000085DW68D24210110630</t>
        </is>
      </c>
      <c r="B18" t="inlineStr">
        <is>
          <t>900000085</t>
        </is>
      </c>
      <c r="C18" t="inlineStr">
        <is>
          <t>DW68</t>
        </is>
      </c>
      <c r="D18" t="inlineStr">
        <is>
          <t>D242</t>
        </is>
      </c>
      <c r="E18" t="inlineStr">
        <is>
          <t>1</t>
        </is>
      </c>
      <c r="F18" t="inlineStr">
        <is>
          <t>10110630</t>
        </is>
      </c>
      <c r="H18" t="inlineStr"/>
      <c r="J18" t="n">
        <v>64.63</v>
      </c>
      <c r="K18" t="inlineStr"/>
      <c r="M18" t="inlineStr">
        <is>
          <t>TN</t>
        </is>
      </c>
      <c r="N18" t="inlineStr"/>
      <c r="P18" t="inlineStr">
        <is>
          <t>20210620</t>
        </is>
      </c>
      <c r="Q18" t="inlineStr">
        <is>
          <t>20251031</t>
        </is>
      </c>
    </row>
    <row r="19">
      <c r="A19" t="inlineStr">
        <is>
          <t>900000085DW68D24210141571</t>
        </is>
      </c>
      <c r="B19" t="inlineStr">
        <is>
          <t>900000085</t>
        </is>
      </c>
      <c r="C19" t="inlineStr">
        <is>
          <t>DW68</t>
        </is>
      </c>
      <c r="D19" t="inlineStr">
        <is>
          <t>D242</t>
        </is>
      </c>
      <c r="E19" t="inlineStr">
        <is>
          <t>1</t>
        </is>
      </c>
      <c r="F19" t="inlineStr">
        <is>
          <t>10141571</t>
        </is>
      </c>
      <c r="H19" t="inlineStr"/>
      <c r="J19" t="n">
        <v>64.63</v>
      </c>
      <c r="K19" t="inlineStr"/>
      <c r="M19" t="inlineStr">
        <is>
          <t>TN</t>
        </is>
      </c>
      <c r="N19" t="inlineStr"/>
      <c r="P19" t="inlineStr">
        <is>
          <t>20210620</t>
        </is>
      </c>
      <c r="Q19" t="inlineStr">
        <is>
          <t>20251031</t>
        </is>
      </c>
    </row>
    <row r="20">
      <c r="A20" t="inlineStr">
        <is>
          <t>900000085DW68D24710000191</t>
        </is>
      </c>
      <c r="B20" t="inlineStr">
        <is>
          <t>900000085</t>
        </is>
      </c>
      <c r="C20" t="inlineStr">
        <is>
          <t>DW68</t>
        </is>
      </c>
      <c r="D20" t="inlineStr">
        <is>
          <t>D247</t>
        </is>
      </c>
      <c r="E20" t="inlineStr">
        <is>
          <t>1</t>
        </is>
      </c>
      <c r="F20" t="inlineStr">
        <is>
          <t>10000191</t>
        </is>
      </c>
      <c r="H20" t="inlineStr"/>
      <c r="J20" t="n">
        <v>25.18</v>
      </c>
      <c r="K20" t="inlineStr"/>
      <c r="M20" t="inlineStr">
        <is>
          <t>TN</t>
        </is>
      </c>
      <c r="N20" t="inlineStr"/>
      <c r="P20" t="inlineStr">
        <is>
          <t>20210620</t>
        </is>
      </c>
      <c r="Q20" t="inlineStr">
        <is>
          <t>20251031</t>
        </is>
      </c>
    </row>
    <row r="21">
      <c r="A21" t="inlineStr">
        <is>
          <t>900000085DW68D24710110630</t>
        </is>
      </c>
      <c r="B21" t="inlineStr">
        <is>
          <t>900000085</t>
        </is>
      </c>
      <c r="C21" t="inlineStr">
        <is>
          <t>DW68</t>
        </is>
      </c>
      <c r="D21" t="inlineStr">
        <is>
          <t>D247</t>
        </is>
      </c>
      <c r="E21" t="inlineStr">
        <is>
          <t>1</t>
        </is>
      </c>
      <c r="F21" t="inlineStr">
        <is>
          <t>10110630</t>
        </is>
      </c>
      <c r="H21" t="inlineStr"/>
      <c r="J21" t="n">
        <v>25.05</v>
      </c>
      <c r="K21" t="inlineStr"/>
      <c r="M21" t="inlineStr">
        <is>
          <t>TN</t>
        </is>
      </c>
      <c r="N21" t="inlineStr"/>
      <c r="P21" t="inlineStr">
        <is>
          <t>20210620</t>
        </is>
      </c>
      <c r="Q21" t="inlineStr">
        <is>
          <t>20251031</t>
        </is>
      </c>
    </row>
    <row r="22">
      <c r="A22" t="inlineStr">
        <is>
          <t>900000085DW68D24710141571</t>
        </is>
      </c>
      <c r="B22" t="inlineStr">
        <is>
          <t>900000085</t>
        </is>
      </c>
      <c r="C22" t="inlineStr">
        <is>
          <t>DW68</t>
        </is>
      </c>
      <c r="D22" t="inlineStr">
        <is>
          <t>D247</t>
        </is>
      </c>
      <c r="E22" t="inlineStr">
        <is>
          <t>1</t>
        </is>
      </c>
      <c r="F22" t="inlineStr">
        <is>
          <t>10141571</t>
        </is>
      </c>
      <c r="H22" t="inlineStr"/>
      <c r="J22" t="n">
        <v>26.49</v>
      </c>
      <c r="K22" t="inlineStr"/>
      <c r="M22" t="inlineStr">
        <is>
          <t>TN</t>
        </is>
      </c>
      <c r="N22" t="inlineStr"/>
      <c r="P22" t="inlineStr">
        <is>
          <t>20210620</t>
        </is>
      </c>
      <c r="Q22" t="inlineStr">
        <is>
          <t>20251031</t>
        </is>
      </c>
    </row>
    <row r="23">
      <c r="A23" t="inlineStr">
        <is>
          <t>900000085DW68D25110000191</t>
        </is>
      </c>
      <c r="B23" t="inlineStr">
        <is>
          <t>900000085</t>
        </is>
      </c>
      <c r="C23" t="inlineStr">
        <is>
          <t>DW68</t>
        </is>
      </c>
      <c r="D23" t="inlineStr">
        <is>
          <t>D251</t>
        </is>
      </c>
      <c r="E23" t="inlineStr">
        <is>
          <t>1</t>
        </is>
      </c>
      <c r="F23" t="inlineStr">
        <is>
          <t>10000191</t>
        </is>
      </c>
      <c r="H23" t="inlineStr"/>
      <c r="J23" t="n">
        <v>29.06</v>
      </c>
      <c r="K23" t="inlineStr"/>
      <c r="M23" t="inlineStr">
        <is>
          <t>TN</t>
        </is>
      </c>
      <c r="N23" t="inlineStr"/>
      <c r="P23" t="inlineStr">
        <is>
          <t>20210620</t>
        </is>
      </c>
      <c r="Q23" t="inlineStr">
        <is>
          <t>20251031</t>
        </is>
      </c>
    </row>
    <row r="24">
      <c r="A24" t="inlineStr">
        <is>
          <t>900000085DW68D25110110630</t>
        </is>
      </c>
      <c r="B24" t="inlineStr">
        <is>
          <t>900000085</t>
        </is>
      </c>
      <c r="C24" t="inlineStr">
        <is>
          <t>DW68</t>
        </is>
      </c>
      <c r="D24" t="inlineStr">
        <is>
          <t>D251</t>
        </is>
      </c>
      <c r="E24" t="inlineStr">
        <is>
          <t>1</t>
        </is>
      </c>
      <c r="F24" t="inlineStr">
        <is>
          <t>10110630</t>
        </is>
      </c>
      <c r="H24" t="inlineStr"/>
      <c r="J24" t="n">
        <v>29.06</v>
      </c>
      <c r="K24" t="inlineStr"/>
      <c r="M24" t="inlineStr">
        <is>
          <t>TN</t>
        </is>
      </c>
      <c r="N24" t="inlineStr"/>
      <c r="P24" t="inlineStr">
        <is>
          <t>20210620</t>
        </is>
      </c>
      <c r="Q24" t="inlineStr">
        <is>
          <t>20251031</t>
        </is>
      </c>
    </row>
    <row r="25">
      <c r="A25" t="inlineStr">
        <is>
          <t>900000085DW68D25110141571</t>
        </is>
      </c>
      <c r="B25" t="inlineStr">
        <is>
          <t>900000085</t>
        </is>
      </c>
      <c r="C25" t="inlineStr">
        <is>
          <t>DW68</t>
        </is>
      </c>
      <c r="D25" t="inlineStr">
        <is>
          <t>D251</t>
        </is>
      </c>
      <c r="E25" t="inlineStr">
        <is>
          <t>1</t>
        </is>
      </c>
      <c r="F25" t="inlineStr">
        <is>
          <t>10141571</t>
        </is>
      </c>
      <c r="H25" t="inlineStr"/>
      <c r="J25" t="n">
        <v>29.06</v>
      </c>
      <c r="K25" t="inlineStr"/>
      <c r="M25" t="inlineStr">
        <is>
          <t>TN</t>
        </is>
      </c>
      <c r="N25" t="inlineStr"/>
      <c r="P25" t="inlineStr">
        <is>
          <t>20210620</t>
        </is>
      </c>
      <c r="Q25" t="inlineStr">
        <is>
          <t>20251031</t>
        </is>
      </c>
    </row>
    <row r="26">
      <c r="A26" t="inlineStr">
        <is>
          <t>900000085DW68D26410000191</t>
        </is>
      </c>
      <c r="B26" t="inlineStr">
        <is>
          <t>900000085</t>
        </is>
      </c>
      <c r="C26" t="inlineStr">
        <is>
          <t>DW68</t>
        </is>
      </c>
      <c r="D26" t="inlineStr">
        <is>
          <t>D264</t>
        </is>
      </c>
      <c r="E26" t="inlineStr">
        <is>
          <t>1</t>
        </is>
      </c>
      <c r="F26" t="inlineStr">
        <is>
          <t>10000191</t>
        </is>
      </c>
      <c r="H26" t="inlineStr"/>
      <c r="J26" t="n">
        <v>41.8</v>
      </c>
      <c r="K26" t="inlineStr"/>
      <c r="M26" t="inlineStr">
        <is>
          <t>TN</t>
        </is>
      </c>
      <c r="N26" t="inlineStr"/>
      <c r="P26" t="inlineStr">
        <is>
          <t>20210620</t>
        </is>
      </c>
      <c r="Q26" t="inlineStr">
        <is>
          <t>20251031</t>
        </is>
      </c>
    </row>
    <row r="27">
      <c r="A27" t="inlineStr">
        <is>
          <t>900000085DW68D26410110630</t>
        </is>
      </c>
      <c r="B27" t="inlineStr">
        <is>
          <t>900000085</t>
        </is>
      </c>
      <c r="C27" t="inlineStr">
        <is>
          <t>DW68</t>
        </is>
      </c>
      <c r="D27" t="inlineStr">
        <is>
          <t>D264</t>
        </is>
      </c>
      <c r="E27" t="inlineStr">
        <is>
          <t>1</t>
        </is>
      </c>
      <c r="F27" t="inlineStr">
        <is>
          <t>10110630</t>
        </is>
      </c>
      <c r="H27" t="inlineStr"/>
      <c r="J27" t="n">
        <v>41.8</v>
      </c>
      <c r="K27" t="inlineStr"/>
      <c r="M27" t="inlineStr">
        <is>
          <t>TN</t>
        </is>
      </c>
      <c r="N27" t="inlineStr"/>
      <c r="P27" t="inlineStr">
        <is>
          <t>20210620</t>
        </is>
      </c>
      <c r="Q27" t="inlineStr">
        <is>
          <t>20251031</t>
        </is>
      </c>
    </row>
    <row r="28">
      <c r="A28" t="inlineStr">
        <is>
          <t>900000085DW68D26410141571</t>
        </is>
      </c>
      <c r="B28" t="inlineStr">
        <is>
          <t>900000085</t>
        </is>
      </c>
      <c r="C28" t="inlineStr">
        <is>
          <t>DW68</t>
        </is>
      </c>
      <c r="D28" t="inlineStr">
        <is>
          <t>D264</t>
        </is>
      </c>
      <c r="E28" t="inlineStr">
        <is>
          <t>1</t>
        </is>
      </c>
      <c r="F28" t="inlineStr">
        <is>
          <t>10141571</t>
        </is>
      </c>
      <c r="H28" t="inlineStr"/>
      <c r="J28" t="n">
        <v>41.8</v>
      </c>
      <c r="K28" t="inlineStr"/>
      <c r="M28" t="inlineStr">
        <is>
          <t>TN</t>
        </is>
      </c>
      <c r="N28" t="inlineStr"/>
      <c r="P28" t="inlineStr">
        <is>
          <t>20210620</t>
        </is>
      </c>
      <c r="Q28" t="inlineStr">
        <is>
          <t>20251031</t>
        </is>
      </c>
    </row>
    <row r="29">
      <c r="A29" t="inlineStr">
        <is>
          <t>900000367DW68D04210000191</t>
        </is>
      </c>
      <c r="B29" t="inlineStr">
        <is>
          <t>900000367</t>
        </is>
      </c>
      <c r="C29" t="inlineStr">
        <is>
          <t>DW68</t>
        </is>
      </c>
      <c r="D29" t="inlineStr">
        <is>
          <t>D042</t>
        </is>
      </c>
      <c r="E29" t="inlineStr">
        <is>
          <t>1</t>
        </is>
      </c>
      <c r="F29" t="inlineStr">
        <is>
          <t>10000191</t>
        </is>
      </c>
      <c r="H29" t="inlineStr"/>
      <c r="J29" t="n">
        <v>47.96</v>
      </c>
      <c r="K29" t="inlineStr"/>
      <c r="M29" t="inlineStr">
        <is>
          <t>TN</t>
        </is>
      </c>
      <c r="N29" t="inlineStr"/>
      <c r="P29" t="inlineStr">
        <is>
          <t>20210620</t>
        </is>
      </c>
      <c r="Q29" t="inlineStr">
        <is>
          <t>20251031</t>
        </is>
      </c>
    </row>
    <row r="30">
      <c r="A30" t="inlineStr">
        <is>
          <t>900000367DW68D04210000726</t>
        </is>
      </c>
      <c r="B30" t="inlineStr">
        <is>
          <t>900000367</t>
        </is>
      </c>
      <c r="C30" t="inlineStr">
        <is>
          <t>DW68</t>
        </is>
      </c>
      <c r="D30" t="inlineStr">
        <is>
          <t>D042</t>
        </is>
      </c>
      <c r="E30" t="inlineStr">
        <is>
          <t>1</t>
        </is>
      </c>
      <c r="F30" t="inlineStr">
        <is>
          <t>10000726</t>
        </is>
      </c>
      <c r="H30" t="inlineStr"/>
      <c r="J30" t="n">
        <v>50.73</v>
      </c>
      <c r="K30" t="inlineStr"/>
      <c r="M30" t="inlineStr">
        <is>
          <t>TN</t>
        </is>
      </c>
      <c r="N30" t="inlineStr"/>
      <c r="P30" t="inlineStr">
        <is>
          <t>20210620</t>
        </is>
      </c>
      <c r="Q30" t="inlineStr">
        <is>
          <t>20251031</t>
        </is>
      </c>
    </row>
    <row r="31">
      <c r="A31" t="inlineStr">
        <is>
          <t>900000367DW68D20910000191</t>
        </is>
      </c>
      <c r="B31" t="inlineStr">
        <is>
          <t>900000367</t>
        </is>
      </c>
      <c r="C31" t="inlineStr">
        <is>
          <t>DW68</t>
        </is>
      </c>
      <c r="D31" t="inlineStr">
        <is>
          <t>D209</t>
        </is>
      </c>
      <c r="E31" t="inlineStr">
        <is>
          <t>1</t>
        </is>
      </c>
      <c r="F31" t="inlineStr">
        <is>
          <t>10000191</t>
        </is>
      </c>
      <c r="H31" t="inlineStr"/>
      <c r="J31" t="n">
        <v>41.87</v>
      </c>
      <c r="K31" t="inlineStr"/>
      <c r="M31" t="inlineStr">
        <is>
          <t>TN</t>
        </is>
      </c>
      <c r="N31" t="inlineStr"/>
      <c r="P31" t="inlineStr">
        <is>
          <t>20210620</t>
        </is>
      </c>
      <c r="Q31" t="inlineStr">
        <is>
          <t>20251031</t>
        </is>
      </c>
    </row>
    <row r="32">
      <c r="A32" t="inlineStr">
        <is>
          <t>900000367DW68D21110000191</t>
        </is>
      </c>
      <c r="B32" t="inlineStr">
        <is>
          <t>900000367</t>
        </is>
      </c>
      <c r="C32" t="inlineStr">
        <is>
          <t>DW68</t>
        </is>
      </c>
      <c r="D32" t="inlineStr">
        <is>
          <t>D211</t>
        </is>
      </c>
      <c r="E32" t="inlineStr">
        <is>
          <t>1</t>
        </is>
      </c>
      <c r="F32" t="inlineStr">
        <is>
          <t>10000191</t>
        </is>
      </c>
      <c r="H32" t="inlineStr"/>
      <c r="J32" t="n">
        <v>33.45</v>
      </c>
      <c r="K32" t="inlineStr"/>
      <c r="M32" t="inlineStr">
        <is>
          <t>TN</t>
        </is>
      </c>
      <c r="N32" t="inlineStr"/>
      <c r="P32" t="inlineStr">
        <is>
          <t>20210620</t>
        </is>
      </c>
      <c r="Q32" t="inlineStr">
        <is>
          <t>20251031</t>
        </is>
      </c>
    </row>
    <row r="33">
      <c r="A33" t="inlineStr">
        <is>
          <t>900000367DW68D21410000191</t>
        </is>
      </c>
      <c r="B33" t="inlineStr">
        <is>
          <t>900000367</t>
        </is>
      </c>
      <c r="C33" t="inlineStr">
        <is>
          <t>DW68</t>
        </is>
      </c>
      <c r="D33" t="inlineStr">
        <is>
          <t>D214</t>
        </is>
      </c>
      <c r="E33" t="inlineStr">
        <is>
          <t>1</t>
        </is>
      </c>
      <c r="F33" t="inlineStr">
        <is>
          <t>10000191</t>
        </is>
      </c>
      <c r="H33" t="inlineStr"/>
      <c r="J33" t="n">
        <v>69.69</v>
      </c>
      <c r="K33" t="inlineStr"/>
      <c r="M33" t="inlineStr">
        <is>
          <t>TN</t>
        </is>
      </c>
      <c r="N33" t="inlineStr"/>
      <c r="P33" t="inlineStr">
        <is>
          <t>20210620</t>
        </is>
      </c>
      <c r="Q33" t="inlineStr">
        <is>
          <t>20251031</t>
        </is>
      </c>
    </row>
    <row r="34">
      <c r="A34" t="inlineStr">
        <is>
          <t>900000367DW68D22810000191</t>
        </is>
      </c>
      <c r="B34" t="inlineStr">
        <is>
          <t>900000367</t>
        </is>
      </c>
      <c r="C34" t="inlineStr">
        <is>
          <t>DW68</t>
        </is>
      </c>
      <c r="D34" t="inlineStr">
        <is>
          <t>D228</t>
        </is>
      </c>
      <c r="E34" t="inlineStr">
        <is>
          <t>1</t>
        </is>
      </c>
      <c r="F34" t="inlineStr">
        <is>
          <t>10000191</t>
        </is>
      </c>
      <c r="H34" t="inlineStr"/>
      <c r="J34" t="n">
        <v>47.26</v>
      </c>
      <c r="K34" t="inlineStr"/>
      <c r="M34" t="inlineStr">
        <is>
          <t>TN</t>
        </is>
      </c>
      <c r="N34" t="inlineStr"/>
      <c r="P34" t="inlineStr">
        <is>
          <t>20210620</t>
        </is>
      </c>
      <c r="Q34" t="inlineStr">
        <is>
          <t>20251031</t>
        </is>
      </c>
    </row>
    <row r="35">
      <c r="A35" t="inlineStr">
        <is>
          <t>900000367DW68D22810000726</t>
        </is>
      </c>
      <c r="B35" t="inlineStr">
        <is>
          <t>900000367</t>
        </is>
      </c>
      <c r="C35" t="inlineStr">
        <is>
          <t>DW68</t>
        </is>
      </c>
      <c r="D35" t="inlineStr">
        <is>
          <t>D228</t>
        </is>
      </c>
      <c r="E35" t="inlineStr">
        <is>
          <t>1</t>
        </is>
      </c>
      <c r="F35" t="inlineStr">
        <is>
          <t>10000726</t>
        </is>
      </c>
      <c r="H35" t="inlineStr"/>
      <c r="J35" t="n">
        <v>71.67</v>
      </c>
      <c r="K35" t="inlineStr"/>
      <c r="M35" t="inlineStr">
        <is>
          <t>TN</t>
        </is>
      </c>
      <c r="N35" t="inlineStr"/>
      <c r="P35" t="inlineStr">
        <is>
          <t>20210620</t>
        </is>
      </c>
      <c r="Q35" t="inlineStr">
        <is>
          <t>20251031</t>
        </is>
      </c>
    </row>
    <row r="36">
      <c r="A36" t="inlineStr">
        <is>
          <t>900000367DW68D24210000191</t>
        </is>
      </c>
      <c r="B36" t="inlineStr">
        <is>
          <t>900000367</t>
        </is>
      </c>
      <c r="C36" t="inlineStr">
        <is>
          <t>DW68</t>
        </is>
      </c>
      <c r="D36" t="inlineStr">
        <is>
          <t>D242</t>
        </is>
      </c>
      <c r="E36" t="inlineStr">
        <is>
          <t>1</t>
        </is>
      </c>
      <c r="F36" t="inlineStr">
        <is>
          <t>10000191</t>
        </is>
      </c>
      <c r="H36" t="inlineStr"/>
      <c r="J36" t="n">
        <v>56.53</v>
      </c>
      <c r="K36" t="inlineStr"/>
      <c r="M36" t="inlineStr">
        <is>
          <t>TN</t>
        </is>
      </c>
      <c r="N36" t="inlineStr"/>
      <c r="P36" t="inlineStr">
        <is>
          <t>20210620</t>
        </is>
      </c>
      <c r="Q36" t="inlineStr">
        <is>
          <t>20251031</t>
        </is>
      </c>
    </row>
    <row r="37">
      <c r="A37" t="inlineStr">
        <is>
          <t>900000367DW68D25110000191</t>
        </is>
      </c>
      <c r="B37" t="inlineStr">
        <is>
          <t>900000367</t>
        </is>
      </c>
      <c r="C37" t="inlineStr">
        <is>
          <t>DW68</t>
        </is>
      </c>
      <c r="D37" t="inlineStr">
        <is>
          <t>D251</t>
        </is>
      </c>
      <c r="E37" t="inlineStr">
        <is>
          <t>1</t>
        </is>
      </c>
      <c r="F37" t="inlineStr">
        <is>
          <t>10000191</t>
        </is>
      </c>
      <c r="H37" t="inlineStr"/>
      <c r="J37" t="n">
        <v>46.9</v>
      </c>
      <c r="K37" t="inlineStr"/>
      <c r="M37" t="inlineStr">
        <is>
          <t>TN</t>
        </is>
      </c>
      <c r="N37" t="inlineStr"/>
      <c r="P37" t="inlineStr">
        <is>
          <t>20210620</t>
        </is>
      </c>
      <c r="Q37" t="inlineStr">
        <is>
          <t>20251031</t>
        </is>
      </c>
    </row>
    <row r="38">
      <c r="A38" t="inlineStr">
        <is>
          <t>900000367DW68D26410000191</t>
        </is>
      </c>
      <c r="B38" t="inlineStr">
        <is>
          <t>900000367</t>
        </is>
      </c>
      <c r="C38" t="inlineStr">
        <is>
          <t>DW68</t>
        </is>
      </c>
      <c r="D38" t="inlineStr">
        <is>
          <t>D264</t>
        </is>
      </c>
      <c r="E38" t="inlineStr">
        <is>
          <t>1</t>
        </is>
      </c>
      <c r="F38" t="inlineStr">
        <is>
          <t>10000191</t>
        </is>
      </c>
      <c r="H38" t="inlineStr"/>
      <c r="J38" t="n">
        <v>34.16</v>
      </c>
      <c r="K38" t="inlineStr"/>
      <c r="M38" t="inlineStr">
        <is>
          <t>TN</t>
        </is>
      </c>
      <c r="N38" t="inlineStr"/>
      <c r="P38" t="inlineStr">
        <is>
          <t>20210620</t>
        </is>
      </c>
      <c r="Q38" t="inlineStr">
        <is>
          <t>20251031</t>
        </is>
      </c>
    </row>
    <row r="39">
      <c r="A39" t="inlineStr">
        <is>
          <t>900000408DW68D22010000191</t>
        </is>
      </c>
      <c r="B39" t="inlineStr">
        <is>
          <t>900000408</t>
        </is>
      </c>
      <c r="C39" t="inlineStr">
        <is>
          <t>DW68</t>
        </is>
      </c>
      <c r="D39" t="inlineStr">
        <is>
          <t>D220</t>
        </is>
      </c>
      <c r="E39" t="inlineStr">
        <is>
          <t>1</t>
        </is>
      </c>
      <c r="F39" t="inlineStr">
        <is>
          <t>10000191</t>
        </is>
      </c>
      <c r="H39" t="inlineStr"/>
      <c r="J39" t="n">
        <v>66</v>
      </c>
      <c r="K39" t="inlineStr"/>
      <c r="M39" t="inlineStr">
        <is>
          <t>TN</t>
        </is>
      </c>
      <c r="N39" t="inlineStr"/>
      <c r="P39" t="inlineStr">
        <is>
          <t>20230203</t>
        </is>
      </c>
      <c r="Q39" t="inlineStr">
        <is>
          <t>20251031</t>
        </is>
      </c>
    </row>
    <row r="40">
      <c r="A40" t="inlineStr">
        <is>
          <t>900000408DW68D22010000388</t>
        </is>
      </c>
      <c r="B40" t="inlineStr">
        <is>
          <t>900000408</t>
        </is>
      </c>
      <c r="C40" t="inlineStr">
        <is>
          <t>DW68</t>
        </is>
      </c>
      <c r="D40" t="inlineStr">
        <is>
          <t>D220</t>
        </is>
      </c>
      <c r="E40" t="inlineStr">
        <is>
          <t>1</t>
        </is>
      </c>
      <c r="F40" t="inlineStr">
        <is>
          <t>10000388</t>
        </is>
      </c>
      <c r="H40" t="inlineStr"/>
      <c r="J40" t="n">
        <v>66</v>
      </c>
      <c r="K40" t="inlineStr"/>
      <c r="M40" t="inlineStr">
        <is>
          <t>TN</t>
        </is>
      </c>
      <c r="N40" t="inlineStr"/>
      <c r="P40" t="inlineStr">
        <is>
          <t>20230203</t>
        </is>
      </c>
      <c r="Q40" t="inlineStr">
        <is>
          <t>20251031</t>
        </is>
      </c>
    </row>
    <row r="41">
      <c r="A41" t="inlineStr">
        <is>
          <t>900000472DW68D04210000175</t>
        </is>
      </c>
      <c r="B41" t="inlineStr">
        <is>
          <t>900000472</t>
        </is>
      </c>
      <c r="C41" t="inlineStr">
        <is>
          <t>DW68</t>
        </is>
      </c>
      <c r="D41" t="inlineStr">
        <is>
          <t>D042</t>
        </is>
      </c>
      <c r="E41" t="inlineStr">
        <is>
          <t>4</t>
        </is>
      </c>
      <c r="F41" t="inlineStr">
        <is>
          <t>10000175</t>
        </is>
      </c>
      <c r="H41" t="inlineStr"/>
      <c r="J41" t="n">
        <v>800</v>
      </c>
      <c r="K41" t="inlineStr"/>
      <c r="M41" t="inlineStr">
        <is>
          <t>TN</t>
        </is>
      </c>
      <c r="N41" t="inlineStr"/>
      <c r="P41" t="inlineStr">
        <is>
          <t>20210620</t>
        </is>
      </c>
      <c r="Q41" t="inlineStr">
        <is>
          <t>20251031</t>
        </is>
      </c>
    </row>
    <row r="42">
      <c r="A42" t="inlineStr">
        <is>
          <t>900000472DW68D04210000624</t>
        </is>
      </c>
      <c r="B42" t="inlineStr">
        <is>
          <t>900000472</t>
        </is>
      </c>
      <c r="C42" t="inlineStr">
        <is>
          <t>DW68</t>
        </is>
      </c>
      <c r="D42" t="inlineStr">
        <is>
          <t>D042</t>
        </is>
      </c>
      <c r="E42" t="inlineStr">
        <is>
          <t>4</t>
        </is>
      </c>
      <c r="F42" t="inlineStr">
        <is>
          <t>10000624</t>
        </is>
      </c>
      <c r="H42" t="inlineStr"/>
      <c r="J42" t="n">
        <v>800</v>
      </c>
      <c r="K42" t="inlineStr"/>
      <c r="M42" t="inlineStr">
        <is>
          <t>TN</t>
        </is>
      </c>
      <c r="N42" t="inlineStr"/>
      <c r="P42" t="inlineStr">
        <is>
          <t>20210620</t>
        </is>
      </c>
      <c r="Q42" t="inlineStr">
        <is>
          <t>20251031</t>
        </is>
      </c>
    </row>
    <row r="43">
      <c r="A43" t="inlineStr">
        <is>
          <t>900000472DW68D04210000635</t>
        </is>
      </c>
      <c r="B43" t="inlineStr">
        <is>
          <t>900000472</t>
        </is>
      </c>
      <c r="C43" t="inlineStr">
        <is>
          <t>DW68</t>
        </is>
      </c>
      <c r="D43" t="inlineStr">
        <is>
          <t>D042</t>
        </is>
      </c>
      <c r="E43" t="inlineStr">
        <is>
          <t>4</t>
        </is>
      </c>
      <c r="F43" t="inlineStr">
        <is>
          <t>10000635</t>
        </is>
      </c>
      <c r="H43" t="inlineStr"/>
      <c r="J43" t="n">
        <v>1059.48</v>
      </c>
      <c r="K43" t="inlineStr"/>
      <c r="M43" t="inlineStr">
        <is>
          <t>TN</t>
        </is>
      </c>
      <c r="N43" t="inlineStr"/>
      <c r="P43" t="inlineStr">
        <is>
          <t>20250301</t>
        </is>
      </c>
      <c r="Q43" t="inlineStr">
        <is>
          <t>99991231</t>
        </is>
      </c>
    </row>
    <row r="44">
      <c r="A44" t="inlineStr">
        <is>
          <t>900000472DW68D04210000643</t>
        </is>
      </c>
      <c r="B44" t="inlineStr">
        <is>
          <t>900000472</t>
        </is>
      </c>
      <c r="C44" t="inlineStr">
        <is>
          <t>DW68</t>
        </is>
      </c>
      <c r="D44" t="inlineStr">
        <is>
          <t>D042</t>
        </is>
      </c>
      <c r="E44" t="inlineStr">
        <is>
          <t>4</t>
        </is>
      </c>
      <c r="F44" t="inlineStr">
        <is>
          <t>10000643</t>
        </is>
      </c>
      <c r="H44" t="inlineStr"/>
      <c r="J44" t="n">
        <v>1059.48</v>
      </c>
      <c r="K44" t="inlineStr"/>
      <c r="M44" t="inlineStr">
        <is>
          <t>TN</t>
        </is>
      </c>
      <c r="N44" t="inlineStr"/>
      <c r="P44" t="inlineStr">
        <is>
          <t>20250301</t>
        </is>
      </c>
      <c r="Q44" t="inlineStr">
        <is>
          <t>99991231</t>
        </is>
      </c>
    </row>
    <row r="45">
      <c r="A45" t="inlineStr">
        <is>
          <t>900000472DW68D04210000655</t>
        </is>
      </c>
      <c r="B45" t="inlineStr">
        <is>
          <t>900000472</t>
        </is>
      </c>
      <c r="C45" t="inlineStr">
        <is>
          <t>DW68</t>
        </is>
      </c>
      <c r="D45" t="inlineStr">
        <is>
          <t>D042</t>
        </is>
      </c>
      <c r="E45" t="inlineStr">
        <is>
          <t>4</t>
        </is>
      </c>
      <c r="F45" t="inlineStr">
        <is>
          <t>10000655</t>
        </is>
      </c>
      <c r="H45" t="inlineStr"/>
      <c r="J45" t="n">
        <v>1059.48</v>
      </c>
      <c r="K45" t="inlineStr"/>
      <c r="M45" t="inlineStr">
        <is>
          <t>TN</t>
        </is>
      </c>
      <c r="N45" t="inlineStr"/>
      <c r="P45" t="inlineStr">
        <is>
          <t>20250301</t>
        </is>
      </c>
      <c r="Q45" t="inlineStr">
        <is>
          <t>99991231</t>
        </is>
      </c>
    </row>
    <row r="46">
      <c r="A46" t="inlineStr">
        <is>
          <t>900000472DW68D04210000722</t>
        </is>
      </c>
      <c r="B46" t="inlineStr">
        <is>
          <t>900000472</t>
        </is>
      </c>
      <c r="C46" t="inlineStr">
        <is>
          <t>DW68</t>
        </is>
      </c>
      <c r="D46" t="inlineStr">
        <is>
          <t>D042</t>
        </is>
      </c>
      <c r="E46" t="inlineStr">
        <is>
          <t>4</t>
        </is>
      </c>
      <c r="F46" t="inlineStr">
        <is>
          <t>10000722</t>
        </is>
      </c>
      <c r="H46" t="inlineStr"/>
      <c r="J46" t="n">
        <v>800</v>
      </c>
      <c r="K46" t="inlineStr"/>
      <c r="M46" t="inlineStr">
        <is>
          <t>TN</t>
        </is>
      </c>
      <c r="N46" t="inlineStr"/>
      <c r="P46" t="inlineStr">
        <is>
          <t>20210620</t>
        </is>
      </c>
      <c r="Q46" t="inlineStr">
        <is>
          <t>20251031</t>
        </is>
      </c>
    </row>
    <row r="47">
      <c r="A47" t="inlineStr">
        <is>
          <t>900000472DW68D04210000735</t>
        </is>
      </c>
      <c r="B47" t="inlineStr">
        <is>
          <t>900000472</t>
        </is>
      </c>
      <c r="C47" t="inlineStr">
        <is>
          <t>DW68</t>
        </is>
      </c>
      <c r="D47" t="inlineStr">
        <is>
          <t>D042</t>
        </is>
      </c>
      <c r="E47" t="inlineStr">
        <is>
          <t>4</t>
        </is>
      </c>
      <c r="F47" t="inlineStr">
        <is>
          <t>10000735</t>
        </is>
      </c>
      <c r="H47" t="inlineStr"/>
      <c r="J47" t="n">
        <v>800</v>
      </c>
      <c r="K47" t="inlineStr"/>
      <c r="M47" t="inlineStr">
        <is>
          <t>TN</t>
        </is>
      </c>
      <c r="N47" t="inlineStr"/>
      <c r="P47" t="inlineStr">
        <is>
          <t>20210620</t>
        </is>
      </c>
      <c r="Q47" t="inlineStr">
        <is>
          <t>20251031</t>
        </is>
      </c>
    </row>
    <row r="48">
      <c r="A48" t="inlineStr">
        <is>
          <t>900000472DW68D04210001456</t>
        </is>
      </c>
      <c r="B48" t="inlineStr">
        <is>
          <t>900000472</t>
        </is>
      </c>
      <c r="C48" t="inlineStr">
        <is>
          <t>DW68</t>
        </is>
      </c>
      <c r="D48" t="inlineStr">
        <is>
          <t>D042</t>
        </is>
      </c>
      <c r="E48" t="inlineStr">
        <is>
          <t>4</t>
        </is>
      </c>
      <c r="F48" t="inlineStr">
        <is>
          <t>10001456</t>
        </is>
      </c>
      <c r="H48" t="inlineStr"/>
      <c r="J48" t="n">
        <v>1059.48</v>
      </c>
      <c r="K48" t="inlineStr"/>
      <c r="M48" t="inlineStr">
        <is>
          <t>TN</t>
        </is>
      </c>
      <c r="N48" t="inlineStr"/>
      <c r="P48" t="inlineStr">
        <is>
          <t>20250301</t>
        </is>
      </c>
      <c r="Q48" t="inlineStr">
        <is>
          <t>99991231</t>
        </is>
      </c>
    </row>
    <row r="49">
      <c r="A49" t="inlineStr">
        <is>
          <t>900000472DW68D04210004432</t>
        </is>
      </c>
      <c r="B49" t="inlineStr">
        <is>
          <t>900000472</t>
        </is>
      </c>
      <c r="C49" t="inlineStr">
        <is>
          <t>DW68</t>
        </is>
      </c>
      <c r="D49" t="inlineStr">
        <is>
          <t>D042</t>
        </is>
      </c>
      <c r="E49" t="inlineStr">
        <is>
          <t>4</t>
        </is>
      </c>
      <c r="F49" t="inlineStr">
        <is>
          <t>10004432</t>
        </is>
      </c>
      <c r="H49" t="inlineStr"/>
      <c r="J49" t="n">
        <v>1000</v>
      </c>
      <c r="K49" t="inlineStr"/>
      <c r="M49" t="inlineStr">
        <is>
          <t>TN</t>
        </is>
      </c>
      <c r="N49" t="inlineStr"/>
      <c r="P49" t="inlineStr">
        <is>
          <t>20210620</t>
        </is>
      </c>
      <c r="Q49" t="inlineStr">
        <is>
          <t>99991231</t>
        </is>
      </c>
    </row>
    <row r="50">
      <c r="A50" t="inlineStr">
        <is>
          <t>900000472DW68D04210112095</t>
        </is>
      </c>
      <c r="B50" t="inlineStr">
        <is>
          <t>900000472</t>
        </is>
      </c>
      <c r="C50" t="inlineStr">
        <is>
          <t>DW68</t>
        </is>
      </c>
      <c r="D50" t="inlineStr">
        <is>
          <t>D042</t>
        </is>
      </c>
      <c r="E50" t="inlineStr">
        <is>
          <t>4</t>
        </is>
      </c>
      <c r="F50" t="inlineStr">
        <is>
          <t>10112095</t>
        </is>
      </c>
      <c r="H50" t="inlineStr"/>
      <c r="J50" t="n">
        <v>1000</v>
      </c>
      <c r="K50" t="inlineStr"/>
      <c r="M50" t="inlineStr">
        <is>
          <t>TN</t>
        </is>
      </c>
      <c r="N50" t="inlineStr"/>
      <c r="P50" t="inlineStr">
        <is>
          <t>20210620</t>
        </is>
      </c>
      <c r="Q50" t="inlineStr">
        <is>
          <t>99991231</t>
        </is>
      </c>
    </row>
    <row r="51">
      <c r="A51" t="inlineStr">
        <is>
          <t>900000472DW68D20910004432</t>
        </is>
      </c>
      <c r="B51" t="inlineStr">
        <is>
          <t>900000472</t>
        </is>
      </c>
      <c r="C51" t="inlineStr">
        <is>
          <t>DW68</t>
        </is>
      </c>
      <c r="D51" t="inlineStr">
        <is>
          <t>D209</t>
        </is>
      </c>
      <c r="E51" t="inlineStr">
        <is>
          <t>4</t>
        </is>
      </c>
      <c r="F51" t="inlineStr">
        <is>
          <t>10004432</t>
        </is>
      </c>
      <c r="H51" t="inlineStr"/>
      <c r="J51" t="n">
        <v>1000</v>
      </c>
      <c r="K51" t="inlineStr"/>
      <c r="M51" t="inlineStr">
        <is>
          <t>TN</t>
        </is>
      </c>
      <c r="N51" t="inlineStr"/>
      <c r="P51" t="inlineStr">
        <is>
          <t>20210620</t>
        </is>
      </c>
      <c r="Q51" t="inlineStr">
        <is>
          <t>20251031</t>
        </is>
      </c>
    </row>
    <row r="52">
      <c r="A52" t="inlineStr">
        <is>
          <t>900000472DW68D20910112095</t>
        </is>
      </c>
      <c r="B52" t="inlineStr">
        <is>
          <t>900000472</t>
        </is>
      </c>
      <c r="C52" t="inlineStr">
        <is>
          <t>DW68</t>
        </is>
      </c>
      <c r="D52" t="inlineStr">
        <is>
          <t>D209</t>
        </is>
      </c>
      <c r="E52" t="inlineStr">
        <is>
          <t>4</t>
        </is>
      </c>
      <c r="F52" t="inlineStr">
        <is>
          <t>10112095</t>
        </is>
      </c>
      <c r="H52" t="inlineStr"/>
      <c r="J52" t="n">
        <v>1000</v>
      </c>
      <c r="K52" t="inlineStr"/>
      <c r="M52" t="inlineStr">
        <is>
          <t>TN</t>
        </is>
      </c>
      <c r="N52" t="inlineStr"/>
      <c r="P52" t="inlineStr">
        <is>
          <t>20210620</t>
        </is>
      </c>
      <c r="Q52" t="inlineStr">
        <is>
          <t>20251031</t>
        </is>
      </c>
    </row>
    <row r="53">
      <c r="A53" t="inlineStr">
        <is>
          <t>900000472DW68D24210000175</t>
        </is>
      </c>
      <c r="B53" t="inlineStr">
        <is>
          <t>900000472</t>
        </is>
      </c>
      <c r="C53" t="inlineStr">
        <is>
          <t>DW68</t>
        </is>
      </c>
      <c r="D53" t="inlineStr">
        <is>
          <t>D242</t>
        </is>
      </c>
      <c r="E53" t="inlineStr">
        <is>
          <t>4</t>
        </is>
      </c>
      <c r="F53" t="inlineStr">
        <is>
          <t>10000175</t>
        </is>
      </c>
      <c r="H53" t="inlineStr"/>
      <c r="J53" t="n">
        <v>800</v>
      </c>
      <c r="K53" t="inlineStr"/>
      <c r="M53" t="inlineStr">
        <is>
          <t>TN</t>
        </is>
      </c>
      <c r="N53" t="inlineStr"/>
      <c r="P53" t="inlineStr">
        <is>
          <t>20210620</t>
        </is>
      </c>
      <c r="Q53" t="inlineStr">
        <is>
          <t>20251031</t>
        </is>
      </c>
    </row>
    <row r="54">
      <c r="A54" t="inlineStr">
        <is>
          <t>900000472DW68D24210000624</t>
        </is>
      </c>
      <c r="B54" t="inlineStr">
        <is>
          <t>900000472</t>
        </is>
      </c>
      <c r="C54" t="inlineStr">
        <is>
          <t>DW68</t>
        </is>
      </c>
      <c r="D54" t="inlineStr">
        <is>
          <t>D242</t>
        </is>
      </c>
      <c r="E54" t="inlineStr">
        <is>
          <t>4</t>
        </is>
      </c>
      <c r="F54" t="inlineStr">
        <is>
          <t>10000624</t>
        </is>
      </c>
      <c r="H54" t="inlineStr"/>
      <c r="J54" t="n">
        <v>800</v>
      </c>
      <c r="K54" t="inlineStr"/>
      <c r="M54" t="inlineStr">
        <is>
          <t>TN</t>
        </is>
      </c>
      <c r="N54" t="inlineStr"/>
      <c r="P54" t="inlineStr">
        <is>
          <t>20210620</t>
        </is>
      </c>
      <c r="Q54" t="inlineStr">
        <is>
          <t>20251031</t>
        </is>
      </c>
    </row>
    <row r="55">
      <c r="A55" t="inlineStr">
        <is>
          <t>900000472DW68D24210000635</t>
        </is>
      </c>
      <c r="B55" t="inlineStr">
        <is>
          <t>900000472</t>
        </is>
      </c>
      <c r="C55" t="inlineStr">
        <is>
          <t>DW68</t>
        </is>
      </c>
      <c r="D55" t="inlineStr">
        <is>
          <t>D242</t>
        </is>
      </c>
      <c r="E55" t="inlineStr">
        <is>
          <t>4</t>
        </is>
      </c>
      <c r="F55" t="inlineStr">
        <is>
          <t>10000635</t>
        </is>
      </c>
      <c r="H55" t="inlineStr"/>
      <c r="J55" t="n">
        <v>1059.48</v>
      </c>
      <c r="K55" t="inlineStr"/>
      <c r="M55" t="inlineStr">
        <is>
          <t>TN</t>
        </is>
      </c>
      <c r="N55" t="inlineStr"/>
      <c r="P55" t="inlineStr">
        <is>
          <t>20250301</t>
        </is>
      </c>
      <c r="Q55" t="inlineStr">
        <is>
          <t>99991231</t>
        </is>
      </c>
    </row>
    <row r="56">
      <c r="A56" t="inlineStr">
        <is>
          <t>900000472DW68D24210000643</t>
        </is>
      </c>
      <c r="B56" t="inlineStr">
        <is>
          <t>900000472</t>
        </is>
      </c>
      <c r="C56" t="inlineStr">
        <is>
          <t>DW68</t>
        </is>
      </c>
      <c r="D56" t="inlineStr">
        <is>
          <t>D242</t>
        </is>
      </c>
      <c r="E56" t="inlineStr">
        <is>
          <t>4</t>
        </is>
      </c>
      <c r="F56" t="inlineStr">
        <is>
          <t>10000643</t>
        </is>
      </c>
      <c r="H56" t="inlineStr"/>
      <c r="J56" t="n">
        <v>1059.48</v>
      </c>
      <c r="K56" t="inlineStr"/>
      <c r="M56" t="inlineStr">
        <is>
          <t>TN</t>
        </is>
      </c>
      <c r="N56" t="inlineStr"/>
      <c r="P56" t="inlineStr">
        <is>
          <t>20250301</t>
        </is>
      </c>
      <c r="Q56" t="inlineStr">
        <is>
          <t>99991231</t>
        </is>
      </c>
    </row>
    <row r="57">
      <c r="A57" t="inlineStr">
        <is>
          <t>900000472DW68D24210000655</t>
        </is>
      </c>
      <c r="B57" t="inlineStr">
        <is>
          <t>900000472</t>
        </is>
      </c>
      <c r="C57" t="inlineStr">
        <is>
          <t>DW68</t>
        </is>
      </c>
      <c r="D57" t="inlineStr">
        <is>
          <t>D242</t>
        </is>
      </c>
      <c r="E57" t="inlineStr">
        <is>
          <t>4</t>
        </is>
      </c>
      <c r="F57" t="inlineStr">
        <is>
          <t>10000655</t>
        </is>
      </c>
      <c r="H57" t="inlineStr"/>
      <c r="J57" t="n">
        <v>1059.48</v>
      </c>
      <c r="K57" t="inlineStr"/>
      <c r="M57" t="inlineStr">
        <is>
          <t>TN</t>
        </is>
      </c>
      <c r="N57" t="inlineStr"/>
      <c r="P57" t="inlineStr">
        <is>
          <t>20250301</t>
        </is>
      </c>
      <c r="Q57" t="inlineStr">
        <is>
          <t>99991231</t>
        </is>
      </c>
    </row>
    <row r="58">
      <c r="A58" t="inlineStr">
        <is>
          <t>900000472DW68D24210000722</t>
        </is>
      </c>
      <c r="B58" t="inlineStr">
        <is>
          <t>900000472</t>
        </is>
      </c>
      <c r="C58" t="inlineStr">
        <is>
          <t>DW68</t>
        </is>
      </c>
      <c r="D58" t="inlineStr">
        <is>
          <t>D242</t>
        </is>
      </c>
      <c r="E58" t="inlineStr">
        <is>
          <t>4</t>
        </is>
      </c>
      <c r="F58" t="inlineStr">
        <is>
          <t>10000722</t>
        </is>
      </c>
      <c r="H58" t="inlineStr"/>
      <c r="J58" t="n">
        <v>800</v>
      </c>
      <c r="K58" t="inlineStr"/>
      <c r="M58" t="inlineStr">
        <is>
          <t>TN</t>
        </is>
      </c>
      <c r="N58" t="inlineStr"/>
      <c r="P58" t="inlineStr">
        <is>
          <t>20210620</t>
        </is>
      </c>
      <c r="Q58" t="inlineStr">
        <is>
          <t>20251031</t>
        </is>
      </c>
    </row>
    <row r="59">
      <c r="A59" t="inlineStr">
        <is>
          <t>900000472DW68D24210000735</t>
        </is>
      </c>
      <c r="B59" t="inlineStr">
        <is>
          <t>900000472</t>
        </is>
      </c>
      <c r="C59" t="inlineStr">
        <is>
          <t>DW68</t>
        </is>
      </c>
      <c r="D59" t="inlineStr">
        <is>
          <t>D242</t>
        </is>
      </c>
      <c r="E59" t="inlineStr">
        <is>
          <t>4</t>
        </is>
      </c>
      <c r="F59" t="inlineStr">
        <is>
          <t>10000735</t>
        </is>
      </c>
      <c r="H59" t="inlineStr"/>
      <c r="J59" t="n">
        <v>800</v>
      </c>
      <c r="K59" t="inlineStr"/>
      <c r="M59" t="inlineStr">
        <is>
          <t>TN</t>
        </is>
      </c>
      <c r="N59" t="inlineStr"/>
      <c r="P59" t="inlineStr">
        <is>
          <t>20210620</t>
        </is>
      </c>
      <c r="Q59" t="inlineStr">
        <is>
          <t>20251031</t>
        </is>
      </c>
    </row>
    <row r="60">
      <c r="A60" t="inlineStr">
        <is>
          <t>900000472DW68D24210001456</t>
        </is>
      </c>
      <c r="B60" t="inlineStr">
        <is>
          <t>900000472</t>
        </is>
      </c>
      <c r="C60" t="inlineStr">
        <is>
          <t>DW68</t>
        </is>
      </c>
      <c r="D60" t="inlineStr">
        <is>
          <t>D242</t>
        </is>
      </c>
      <c r="E60" t="inlineStr">
        <is>
          <t>4</t>
        </is>
      </c>
      <c r="F60" t="inlineStr">
        <is>
          <t>10001456</t>
        </is>
      </c>
      <c r="H60" t="inlineStr"/>
      <c r="J60" t="n">
        <v>1059.48</v>
      </c>
      <c r="K60" t="inlineStr"/>
      <c r="M60" t="inlineStr">
        <is>
          <t>TN</t>
        </is>
      </c>
      <c r="N60" t="inlineStr"/>
      <c r="P60" t="inlineStr">
        <is>
          <t>20250301</t>
        </is>
      </c>
      <c r="Q60" t="inlineStr">
        <is>
          <t>99991231</t>
        </is>
      </c>
    </row>
    <row r="61">
      <c r="A61" t="inlineStr">
        <is>
          <t>900000472DW68D26410000635</t>
        </is>
      </c>
      <c r="B61" t="inlineStr">
        <is>
          <t>900000472</t>
        </is>
      </c>
      <c r="C61" t="inlineStr">
        <is>
          <t>DW68</t>
        </is>
      </c>
      <c r="D61" t="inlineStr">
        <is>
          <t>D264</t>
        </is>
      </c>
      <c r="E61" t="inlineStr">
        <is>
          <t>4</t>
        </is>
      </c>
      <c r="F61" t="inlineStr">
        <is>
          <t>10000635</t>
        </is>
      </c>
      <c r="H61" t="inlineStr"/>
      <c r="J61" t="n">
        <v>1059.48</v>
      </c>
      <c r="K61" t="inlineStr"/>
      <c r="M61" t="inlineStr">
        <is>
          <t>TN</t>
        </is>
      </c>
      <c r="N61" t="inlineStr"/>
      <c r="P61" t="inlineStr">
        <is>
          <t>20250301</t>
        </is>
      </c>
      <c r="Q61" t="inlineStr">
        <is>
          <t>99991231</t>
        </is>
      </c>
    </row>
    <row r="62">
      <c r="A62" t="inlineStr">
        <is>
          <t>900000472DW68D26410000643</t>
        </is>
      </c>
      <c r="B62" t="inlineStr">
        <is>
          <t>900000472</t>
        </is>
      </c>
      <c r="C62" t="inlineStr">
        <is>
          <t>DW68</t>
        </is>
      </c>
      <c r="D62" t="inlineStr">
        <is>
          <t>D264</t>
        </is>
      </c>
      <c r="E62" t="inlineStr">
        <is>
          <t>4</t>
        </is>
      </c>
      <c r="F62" t="inlineStr">
        <is>
          <t>10000643</t>
        </is>
      </c>
      <c r="H62" t="inlineStr"/>
      <c r="J62" t="n">
        <v>1059.48</v>
      </c>
      <c r="K62" t="inlineStr"/>
      <c r="M62" t="inlineStr">
        <is>
          <t>TN</t>
        </is>
      </c>
      <c r="N62" t="inlineStr"/>
      <c r="P62" t="inlineStr">
        <is>
          <t>20250301</t>
        </is>
      </c>
      <c r="Q62" t="inlineStr">
        <is>
          <t>99991231</t>
        </is>
      </c>
    </row>
    <row r="63">
      <c r="A63" t="inlineStr">
        <is>
          <t>900000472DW68D26410000655</t>
        </is>
      </c>
      <c r="B63" t="inlineStr">
        <is>
          <t>900000472</t>
        </is>
      </c>
      <c r="C63" t="inlineStr">
        <is>
          <t>DW68</t>
        </is>
      </c>
      <c r="D63" t="inlineStr">
        <is>
          <t>D264</t>
        </is>
      </c>
      <c r="E63" t="inlineStr">
        <is>
          <t>4</t>
        </is>
      </c>
      <c r="F63" t="inlineStr">
        <is>
          <t>10000655</t>
        </is>
      </c>
      <c r="H63" t="inlineStr"/>
      <c r="J63" t="n">
        <v>1059.48</v>
      </c>
      <c r="K63" t="inlineStr"/>
      <c r="M63" t="inlineStr">
        <is>
          <t>TN</t>
        </is>
      </c>
      <c r="N63" t="inlineStr"/>
      <c r="P63" t="inlineStr">
        <is>
          <t>20250301</t>
        </is>
      </c>
      <c r="Q63" t="inlineStr">
        <is>
          <t>99991231</t>
        </is>
      </c>
    </row>
    <row r="64">
      <c r="A64" t="inlineStr">
        <is>
          <t>900000472DW68D26410001456</t>
        </is>
      </c>
      <c r="B64" t="inlineStr">
        <is>
          <t>900000472</t>
        </is>
      </c>
      <c r="C64" t="inlineStr">
        <is>
          <t>DW68</t>
        </is>
      </c>
      <c r="D64" t="inlineStr">
        <is>
          <t>D264</t>
        </is>
      </c>
      <c r="E64" t="inlineStr">
        <is>
          <t>4</t>
        </is>
      </c>
      <c r="F64" t="inlineStr">
        <is>
          <t>10001456</t>
        </is>
      </c>
      <c r="H64" t="inlineStr"/>
      <c r="J64" t="n">
        <v>1059.48</v>
      </c>
      <c r="K64" t="inlineStr"/>
      <c r="M64" t="inlineStr">
        <is>
          <t>TN</t>
        </is>
      </c>
      <c r="N64" t="inlineStr"/>
      <c r="P64" t="inlineStr">
        <is>
          <t>20250301</t>
        </is>
      </c>
      <c r="Q64" t="inlineStr">
        <is>
          <t>99991231</t>
        </is>
      </c>
    </row>
    <row r="65">
      <c r="A65" t="inlineStr">
        <is>
          <t>900000620DW68D57710000439</t>
        </is>
      </c>
      <c r="B65" t="inlineStr">
        <is>
          <t>900000620</t>
        </is>
      </c>
      <c r="C65" t="inlineStr">
        <is>
          <t>DW68</t>
        </is>
      </c>
      <c r="D65" t="inlineStr">
        <is>
          <t>D577</t>
        </is>
      </c>
      <c r="E65" t="inlineStr">
        <is>
          <t>4</t>
        </is>
      </c>
      <c r="F65" t="inlineStr">
        <is>
          <t>10000439</t>
        </is>
      </c>
      <c r="H65" t="inlineStr"/>
      <c r="J65" t="n">
        <v>0.01</v>
      </c>
      <c r="K65" t="inlineStr"/>
      <c r="M65" t="inlineStr">
        <is>
          <t>TN</t>
        </is>
      </c>
      <c r="N65" t="inlineStr"/>
      <c r="P65" t="inlineStr">
        <is>
          <t>20260407</t>
        </is>
      </c>
      <c r="Q65" t="inlineStr">
        <is>
          <t>99991231</t>
        </is>
      </c>
    </row>
    <row r="66">
      <c r="A66" t="inlineStr">
        <is>
          <t>900000620DW68D57710209065</t>
        </is>
      </c>
      <c r="B66" t="inlineStr">
        <is>
          <t>900000620</t>
        </is>
      </c>
      <c r="C66" t="inlineStr">
        <is>
          <t>DW68</t>
        </is>
      </c>
      <c r="D66" t="inlineStr">
        <is>
          <t>D577</t>
        </is>
      </c>
      <c r="E66" t="inlineStr">
        <is>
          <t>1</t>
        </is>
      </c>
      <c r="F66" t="inlineStr">
        <is>
          <t>10209065</t>
        </is>
      </c>
      <c r="H66" t="inlineStr"/>
      <c r="J66" t="n">
        <v>0.01</v>
      </c>
      <c r="K66" t="inlineStr"/>
      <c r="M66" t="inlineStr">
        <is>
          <t>TN</t>
        </is>
      </c>
      <c r="N66" t="inlineStr"/>
      <c r="P66" t="inlineStr">
        <is>
          <t>20260301</t>
        </is>
      </c>
      <c r="Q66" t="inlineStr">
        <is>
          <t>99991231</t>
        </is>
      </c>
    </row>
    <row r="67">
      <c r="A67" t="inlineStr">
        <is>
          <t>900000620DW68D57710209065</t>
        </is>
      </c>
      <c r="B67" t="inlineStr">
        <is>
          <t>900000620</t>
        </is>
      </c>
      <c r="C67" t="inlineStr">
        <is>
          <t>DW68</t>
        </is>
      </c>
      <c r="D67" t="inlineStr">
        <is>
          <t>D577</t>
        </is>
      </c>
      <c r="E67" t="inlineStr">
        <is>
          <t>4</t>
        </is>
      </c>
      <c r="F67" t="inlineStr">
        <is>
          <t>10209065</t>
        </is>
      </c>
      <c r="H67" t="inlineStr"/>
      <c r="J67" t="n">
        <v>0.01</v>
      </c>
      <c r="K67" t="inlineStr"/>
      <c r="M67" t="inlineStr">
        <is>
          <t>TN</t>
        </is>
      </c>
      <c r="N67" t="inlineStr"/>
      <c r="P67" t="inlineStr">
        <is>
          <t>20260301</t>
        </is>
      </c>
      <c r="Q67" t="inlineStr">
        <is>
          <t>99991231</t>
        </is>
      </c>
    </row>
    <row r="68">
      <c r="A68" t="inlineStr">
        <is>
          <t>900000620DW68D57710270898</t>
        </is>
      </c>
      <c r="B68" t="inlineStr">
        <is>
          <t>900000620</t>
        </is>
      </c>
      <c r="C68" t="inlineStr">
        <is>
          <t>DW68</t>
        </is>
      </c>
      <c r="D68" t="inlineStr">
        <is>
          <t>D577</t>
        </is>
      </c>
      <c r="E68" t="inlineStr">
        <is>
          <t>4</t>
        </is>
      </c>
      <c r="F68" t="inlineStr">
        <is>
          <t>10270898</t>
        </is>
      </c>
      <c r="H68" t="inlineStr"/>
      <c r="J68" t="n">
        <v>0.01</v>
      </c>
      <c r="K68" t="inlineStr"/>
      <c r="M68" t="inlineStr">
        <is>
          <t>TN</t>
        </is>
      </c>
      <c r="N68" t="inlineStr"/>
      <c r="P68" t="inlineStr">
        <is>
          <t>20260301</t>
        </is>
      </c>
      <c r="Q68" t="inlineStr">
        <is>
          <t>99991231</t>
        </is>
      </c>
    </row>
    <row r="69">
      <c r="A69" t="inlineStr">
        <is>
          <t>900000620DW68D57710270911</t>
        </is>
      </c>
      <c r="B69" t="inlineStr">
        <is>
          <t>900000620</t>
        </is>
      </c>
      <c r="C69" t="inlineStr">
        <is>
          <t>DW68</t>
        </is>
      </c>
      <c r="D69" t="inlineStr">
        <is>
          <t>D577</t>
        </is>
      </c>
      <c r="E69" t="inlineStr">
        <is>
          <t>4</t>
        </is>
      </c>
      <c r="F69" t="inlineStr">
        <is>
          <t>10270911</t>
        </is>
      </c>
      <c r="H69" t="inlineStr"/>
      <c r="J69" t="n">
        <v>0.01</v>
      </c>
      <c r="K69" t="inlineStr"/>
      <c r="M69" t="inlineStr">
        <is>
          <t>TN</t>
        </is>
      </c>
      <c r="N69" t="inlineStr"/>
      <c r="P69" t="inlineStr">
        <is>
          <t>20260326</t>
        </is>
      </c>
      <c r="Q69" t="inlineStr">
        <is>
          <t>99991231</t>
        </is>
      </c>
    </row>
    <row r="70">
      <c r="A70" t="inlineStr">
        <is>
          <t>900000620DW68D57710270912</t>
        </is>
      </c>
      <c r="B70" t="inlineStr">
        <is>
          <t>900000620</t>
        </is>
      </c>
      <c r="C70" t="inlineStr">
        <is>
          <t>DW68</t>
        </is>
      </c>
      <c r="D70" t="inlineStr">
        <is>
          <t>D577</t>
        </is>
      </c>
      <c r="E70" t="inlineStr">
        <is>
          <t>4</t>
        </is>
      </c>
      <c r="F70" t="inlineStr">
        <is>
          <t>10270912</t>
        </is>
      </c>
      <c r="H70" t="inlineStr"/>
      <c r="J70" t="n">
        <v>0.01</v>
      </c>
      <c r="K70" t="inlineStr"/>
      <c r="M70" t="inlineStr">
        <is>
          <t>TN</t>
        </is>
      </c>
      <c r="N70" t="inlineStr"/>
      <c r="P70" t="inlineStr">
        <is>
          <t>20260326</t>
        </is>
      </c>
      <c r="Q70" t="inlineStr">
        <is>
          <t>99991231</t>
        </is>
      </c>
    </row>
    <row r="71">
      <c r="A71" t="inlineStr">
        <is>
          <t>900000620DW68D57710270913</t>
        </is>
      </c>
      <c r="B71" t="inlineStr">
        <is>
          <t>900000620</t>
        </is>
      </c>
      <c r="C71" t="inlineStr">
        <is>
          <t>DW68</t>
        </is>
      </c>
      <c r="D71" t="inlineStr">
        <is>
          <t>D577</t>
        </is>
      </c>
      <c r="E71" t="inlineStr">
        <is>
          <t>4</t>
        </is>
      </c>
      <c r="F71" t="inlineStr">
        <is>
          <t>10270913</t>
        </is>
      </c>
      <c r="H71" t="inlineStr"/>
      <c r="J71" t="n">
        <v>0.01</v>
      </c>
      <c r="K71" t="inlineStr"/>
      <c r="M71" t="inlineStr">
        <is>
          <t>TN</t>
        </is>
      </c>
      <c r="N71" t="inlineStr"/>
      <c r="P71" t="inlineStr">
        <is>
          <t>20260326</t>
        </is>
      </c>
      <c r="Q71" t="inlineStr">
        <is>
          <t>99991231</t>
        </is>
      </c>
    </row>
    <row r="72">
      <c r="A72" t="inlineStr">
        <is>
          <t>900000620DW68ENEB10209065</t>
        </is>
      </c>
      <c r="B72" t="inlineStr">
        <is>
          <t>900000620</t>
        </is>
      </c>
      <c r="C72" t="inlineStr">
        <is>
          <t>DW68</t>
        </is>
      </c>
      <c r="D72" t="inlineStr">
        <is>
          <t>ENEB</t>
        </is>
      </c>
      <c r="E72" t="inlineStr">
        <is>
          <t>1</t>
        </is>
      </c>
      <c r="F72" t="inlineStr">
        <is>
          <t>10209065</t>
        </is>
      </c>
      <c r="H72" t="inlineStr"/>
      <c r="J72" t="n">
        <v>0.01</v>
      </c>
      <c r="K72" t="inlineStr"/>
      <c r="M72" t="inlineStr">
        <is>
          <t>TN</t>
        </is>
      </c>
      <c r="N72" t="inlineStr"/>
      <c r="P72" t="inlineStr">
        <is>
          <t>20260301</t>
        </is>
      </c>
      <c r="Q72" t="inlineStr">
        <is>
          <t>99991231</t>
        </is>
      </c>
    </row>
    <row r="73">
      <c r="A73" t="inlineStr">
        <is>
          <t>900000620DW68ENEB10209065</t>
        </is>
      </c>
      <c r="B73" t="inlineStr">
        <is>
          <t>900000620</t>
        </is>
      </c>
      <c r="C73" t="inlineStr">
        <is>
          <t>DW68</t>
        </is>
      </c>
      <c r="D73" t="inlineStr">
        <is>
          <t>ENEB</t>
        </is>
      </c>
      <c r="E73" t="inlineStr">
        <is>
          <t>4</t>
        </is>
      </c>
      <c r="F73" t="inlineStr">
        <is>
          <t>10209065</t>
        </is>
      </c>
      <c r="H73" t="inlineStr"/>
      <c r="J73" t="n">
        <v>0.01</v>
      </c>
      <c r="K73" t="inlineStr"/>
      <c r="M73" t="inlineStr">
        <is>
          <t>TN</t>
        </is>
      </c>
      <c r="N73" t="inlineStr"/>
      <c r="P73" t="inlineStr">
        <is>
          <t>20260301</t>
        </is>
      </c>
      <c r="Q73" t="inlineStr">
        <is>
          <t>99991231</t>
        </is>
      </c>
    </row>
    <row r="74">
      <c r="A74" t="inlineStr">
        <is>
          <t>900000620DW68ENL110000439</t>
        </is>
      </c>
      <c r="B74" t="inlineStr">
        <is>
          <t>900000620</t>
        </is>
      </c>
      <c r="C74" t="inlineStr">
        <is>
          <t>DW68</t>
        </is>
      </c>
      <c r="D74" t="inlineStr">
        <is>
          <t>ENL1</t>
        </is>
      </c>
      <c r="E74" t="inlineStr">
        <is>
          <t>4</t>
        </is>
      </c>
      <c r="F74" t="inlineStr">
        <is>
          <t>10000439</t>
        </is>
      </c>
      <c r="H74" t="inlineStr"/>
      <c r="J74" t="n">
        <v>0.01</v>
      </c>
      <c r="K74" t="inlineStr"/>
      <c r="M74" t="inlineStr">
        <is>
          <t>TN</t>
        </is>
      </c>
      <c r="N74" t="inlineStr"/>
      <c r="P74" t="inlineStr">
        <is>
          <t>20260126</t>
        </is>
      </c>
      <c r="Q74" t="inlineStr">
        <is>
          <t>20260326</t>
        </is>
      </c>
    </row>
    <row r="75">
      <c r="A75" t="inlineStr">
        <is>
          <t>900000620DW68ENL110209065</t>
        </is>
      </c>
      <c r="B75" t="inlineStr">
        <is>
          <t>900000620</t>
        </is>
      </c>
      <c r="C75" t="inlineStr">
        <is>
          <t>DW68</t>
        </is>
      </c>
      <c r="D75" t="inlineStr">
        <is>
          <t>ENL1</t>
        </is>
      </c>
      <c r="E75" t="inlineStr">
        <is>
          <t>1</t>
        </is>
      </c>
      <c r="F75" t="inlineStr">
        <is>
          <t>10209065</t>
        </is>
      </c>
      <c r="H75" t="inlineStr"/>
      <c r="J75" t="n">
        <v>0.01</v>
      </c>
      <c r="K75" t="inlineStr"/>
      <c r="M75" t="inlineStr">
        <is>
          <t>TN</t>
        </is>
      </c>
      <c r="N75" t="inlineStr"/>
      <c r="P75" t="inlineStr">
        <is>
          <t>20260301</t>
        </is>
      </c>
      <c r="Q75" t="inlineStr">
        <is>
          <t>99991231</t>
        </is>
      </c>
    </row>
    <row r="76">
      <c r="A76" t="inlineStr">
        <is>
          <t>900000620DW68ENL110209065</t>
        </is>
      </c>
      <c r="B76" t="inlineStr">
        <is>
          <t>900000620</t>
        </is>
      </c>
      <c r="C76" t="inlineStr">
        <is>
          <t>DW68</t>
        </is>
      </c>
      <c r="D76" t="inlineStr">
        <is>
          <t>ENL1</t>
        </is>
      </c>
      <c r="E76" t="inlineStr">
        <is>
          <t>4</t>
        </is>
      </c>
      <c r="F76" t="inlineStr">
        <is>
          <t>10209065</t>
        </is>
      </c>
      <c r="H76" t="inlineStr"/>
      <c r="J76" t="n">
        <v>0.01</v>
      </c>
      <c r="K76" t="inlineStr"/>
      <c r="M76" t="inlineStr">
        <is>
          <t>TN</t>
        </is>
      </c>
      <c r="N76" t="inlineStr"/>
      <c r="P76" t="inlineStr">
        <is>
          <t>20260301</t>
        </is>
      </c>
      <c r="Q76" t="inlineStr">
        <is>
          <t>99991231</t>
        </is>
      </c>
    </row>
    <row r="77">
      <c r="A77" t="inlineStr">
        <is>
          <t>900000620DW68ENL110270898</t>
        </is>
      </c>
      <c r="B77" t="inlineStr">
        <is>
          <t>900000620</t>
        </is>
      </c>
      <c r="C77" t="inlineStr">
        <is>
          <t>DW68</t>
        </is>
      </c>
      <c r="D77" t="inlineStr">
        <is>
          <t>ENL1</t>
        </is>
      </c>
      <c r="E77" t="inlineStr">
        <is>
          <t>4</t>
        </is>
      </c>
      <c r="F77" t="inlineStr">
        <is>
          <t>10270898</t>
        </is>
      </c>
      <c r="H77" t="inlineStr"/>
      <c r="J77" t="n">
        <v>0.01</v>
      </c>
      <c r="K77" t="inlineStr"/>
      <c r="M77" t="inlineStr">
        <is>
          <t>TN</t>
        </is>
      </c>
      <c r="N77" t="inlineStr"/>
      <c r="P77" t="inlineStr">
        <is>
          <t>20260301</t>
        </is>
      </c>
      <c r="Q77" t="inlineStr">
        <is>
          <t>99991231</t>
        </is>
      </c>
    </row>
    <row r="78">
      <c r="A78" t="inlineStr">
        <is>
          <t>900000620DW68ENL110270911</t>
        </is>
      </c>
      <c r="B78" t="inlineStr">
        <is>
          <t>900000620</t>
        </is>
      </c>
      <c r="C78" t="inlineStr">
        <is>
          <t>DW68</t>
        </is>
      </c>
      <c r="D78" t="inlineStr">
        <is>
          <t>ENL1</t>
        </is>
      </c>
      <c r="E78" t="inlineStr">
        <is>
          <t>4</t>
        </is>
      </c>
      <c r="F78" t="inlineStr">
        <is>
          <t>10270911</t>
        </is>
      </c>
      <c r="H78" t="inlineStr"/>
      <c r="J78" t="n">
        <v>0.01</v>
      </c>
      <c r="K78" t="inlineStr"/>
      <c r="M78" t="inlineStr">
        <is>
          <t>TN</t>
        </is>
      </c>
      <c r="N78" t="inlineStr"/>
      <c r="P78" t="inlineStr">
        <is>
          <t>20260126</t>
        </is>
      </c>
      <c r="Q78" t="inlineStr">
        <is>
          <t>99991231</t>
        </is>
      </c>
    </row>
    <row r="79">
      <c r="A79" t="inlineStr">
        <is>
          <t>900000620DW68ENL110270912</t>
        </is>
      </c>
      <c r="B79" t="inlineStr">
        <is>
          <t>900000620</t>
        </is>
      </c>
      <c r="C79" t="inlineStr">
        <is>
          <t>DW68</t>
        </is>
      </c>
      <c r="D79" t="inlineStr">
        <is>
          <t>ENL1</t>
        </is>
      </c>
      <c r="E79" t="inlineStr">
        <is>
          <t>4</t>
        </is>
      </c>
      <c r="F79" t="inlineStr">
        <is>
          <t>10270912</t>
        </is>
      </c>
      <c r="H79" t="inlineStr"/>
      <c r="J79" t="n">
        <v>0.01</v>
      </c>
      <c r="K79" t="inlineStr"/>
      <c r="M79" t="inlineStr">
        <is>
          <t>TN</t>
        </is>
      </c>
      <c r="N79" t="inlineStr"/>
      <c r="P79" t="inlineStr">
        <is>
          <t>20260301</t>
        </is>
      </c>
      <c r="Q79" t="inlineStr">
        <is>
          <t>99991231</t>
        </is>
      </c>
    </row>
    <row r="80">
      <c r="A80" t="inlineStr">
        <is>
          <t>900000620DW68ENL110270913</t>
        </is>
      </c>
      <c r="B80" t="inlineStr">
        <is>
          <t>900000620</t>
        </is>
      </c>
      <c r="C80" t="inlineStr">
        <is>
          <t>DW68</t>
        </is>
      </c>
      <c r="D80" t="inlineStr">
        <is>
          <t>ENL1</t>
        </is>
      </c>
      <c r="E80" t="inlineStr">
        <is>
          <t>4</t>
        </is>
      </c>
      <c r="F80" t="inlineStr">
        <is>
          <t>10270913</t>
        </is>
      </c>
      <c r="H80" t="inlineStr"/>
      <c r="J80" t="n">
        <v>0.01</v>
      </c>
      <c r="K80" t="inlineStr"/>
      <c r="M80" t="inlineStr">
        <is>
          <t>TN</t>
        </is>
      </c>
      <c r="N80" t="inlineStr"/>
      <c r="P80" t="inlineStr">
        <is>
          <t>20260301</t>
        </is>
      </c>
      <c r="Q80" t="inlineStr">
        <is>
          <t>99991231</t>
        </is>
      </c>
    </row>
    <row r="81">
      <c r="A81" t="inlineStr">
        <is>
          <t>900000620DW68ENV810209065</t>
        </is>
      </c>
      <c r="B81" t="inlineStr">
        <is>
          <t>900000620</t>
        </is>
      </c>
      <c r="C81" t="inlineStr">
        <is>
          <t>DW68</t>
        </is>
      </c>
      <c r="D81" t="inlineStr">
        <is>
          <t>ENV8</t>
        </is>
      </c>
      <c r="E81" t="inlineStr">
        <is>
          <t>1</t>
        </is>
      </c>
      <c r="F81" t="inlineStr">
        <is>
          <t>10209065</t>
        </is>
      </c>
      <c r="H81" t="inlineStr"/>
      <c r="J81" t="n">
        <v>0.01</v>
      </c>
      <c r="K81" t="inlineStr"/>
      <c r="M81" t="inlineStr">
        <is>
          <t>TN</t>
        </is>
      </c>
      <c r="N81" t="inlineStr"/>
      <c r="P81" t="inlineStr">
        <is>
          <t>20260301</t>
        </is>
      </c>
      <c r="Q81" t="inlineStr">
        <is>
          <t>99991231</t>
        </is>
      </c>
    </row>
    <row r="82">
      <c r="A82" t="inlineStr">
        <is>
          <t>900000620DW68ENV810209065</t>
        </is>
      </c>
      <c r="B82" t="inlineStr">
        <is>
          <t>900000620</t>
        </is>
      </c>
      <c r="C82" t="inlineStr">
        <is>
          <t>DW68</t>
        </is>
      </c>
      <c r="D82" t="inlineStr">
        <is>
          <t>ENV8</t>
        </is>
      </c>
      <c r="E82" t="inlineStr">
        <is>
          <t>4</t>
        </is>
      </c>
      <c r="F82" t="inlineStr">
        <is>
          <t>10209065</t>
        </is>
      </c>
      <c r="H82" t="inlineStr"/>
      <c r="J82" t="n">
        <v>0.01</v>
      </c>
      <c r="K82" t="inlineStr"/>
      <c r="M82" t="inlineStr">
        <is>
          <t>TN</t>
        </is>
      </c>
      <c r="N82" t="inlineStr"/>
      <c r="P82" t="inlineStr">
        <is>
          <t>20260301</t>
        </is>
      </c>
      <c r="Q82" t="inlineStr">
        <is>
          <t>99991231</t>
        </is>
      </c>
    </row>
    <row r="83">
      <c r="A83" t="inlineStr">
        <is>
          <t>900000620DW68ENV910000439</t>
        </is>
      </c>
      <c r="B83" t="inlineStr">
        <is>
          <t>900000620</t>
        </is>
      </c>
      <c r="C83" t="inlineStr">
        <is>
          <t>DW68</t>
        </is>
      </c>
      <c r="D83" t="inlineStr">
        <is>
          <t>ENV9</t>
        </is>
      </c>
      <c r="E83" t="inlineStr">
        <is>
          <t>4</t>
        </is>
      </c>
      <c r="F83" t="inlineStr">
        <is>
          <t>10000439</t>
        </is>
      </c>
      <c r="H83" t="inlineStr"/>
      <c r="J83" t="n">
        <v>0.01</v>
      </c>
      <c r="K83" t="inlineStr"/>
      <c r="M83" t="inlineStr">
        <is>
          <t>TN</t>
        </is>
      </c>
      <c r="N83" t="inlineStr"/>
      <c r="P83" t="inlineStr">
        <is>
          <t>20260126</t>
        </is>
      </c>
      <c r="Q83" t="inlineStr">
        <is>
          <t>20260326</t>
        </is>
      </c>
    </row>
    <row r="84">
      <c r="A84" t="inlineStr">
        <is>
          <t>900000620DW68ENV910209065</t>
        </is>
      </c>
      <c r="B84" t="inlineStr">
        <is>
          <t>900000620</t>
        </is>
      </c>
      <c r="C84" t="inlineStr">
        <is>
          <t>DW68</t>
        </is>
      </c>
      <c r="D84" t="inlineStr">
        <is>
          <t>ENV9</t>
        </is>
      </c>
      <c r="E84" t="inlineStr">
        <is>
          <t>1</t>
        </is>
      </c>
      <c r="F84" t="inlineStr">
        <is>
          <t>10209065</t>
        </is>
      </c>
      <c r="H84" t="inlineStr"/>
      <c r="J84" t="n">
        <v>0.01</v>
      </c>
      <c r="K84" t="inlineStr"/>
      <c r="M84" t="inlineStr">
        <is>
          <t>TN</t>
        </is>
      </c>
      <c r="N84" t="inlineStr"/>
      <c r="P84" t="inlineStr">
        <is>
          <t>20260301</t>
        </is>
      </c>
      <c r="Q84" t="inlineStr">
        <is>
          <t>99991231</t>
        </is>
      </c>
    </row>
    <row r="85">
      <c r="A85" t="inlineStr">
        <is>
          <t>900000620DW68ENV910209065</t>
        </is>
      </c>
      <c r="B85" t="inlineStr">
        <is>
          <t>900000620</t>
        </is>
      </c>
      <c r="C85" t="inlineStr">
        <is>
          <t>DW68</t>
        </is>
      </c>
      <c r="D85" t="inlineStr">
        <is>
          <t>ENV9</t>
        </is>
      </c>
      <c r="E85" t="inlineStr">
        <is>
          <t>4</t>
        </is>
      </c>
      <c r="F85" t="inlineStr">
        <is>
          <t>10209065</t>
        </is>
      </c>
      <c r="H85" t="inlineStr"/>
      <c r="J85" t="n">
        <v>0.01</v>
      </c>
      <c r="K85" t="inlineStr"/>
      <c r="M85" t="inlineStr">
        <is>
          <t>TN</t>
        </is>
      </c>
      <c r="N85" t="inlineStr"/>
      <c r="P85" t="inlineStr">
        <is>
          <t>20260301</t>
        </is>
      </c>
      <c r="Q85" t="inlineStr">
        <is>
          <t>99991231</t>
        </is>
      </c>
    </row>
    <row r="86">
      <c r="A86" t="inlineStr">
        <is>
          <t>900000620DW68ENV910270898</t>
        </is>
      </c>
      <c r="B86" t="inlineStr">
        <is>
          <t>900000620</t>
        </is>
      </c>
      <c r="C86" t="inlineStr">
        <is>
          <t>DW68</t>
        </is>
      </c>
      <c r="D86" t="inlineStr">
        <is>
          <t>ENV9</t>
        </is>
      </c>
      <c r="E86" t="inlineStr">
        <is>
          <t>4</t>
        </is>
      </c>
      <c r="F86" t="inlineStr">
        <is>
          <t>10270898</t>
        </is>
      </c>
      <c r="H86" t="inlineStr"/>
      <c r="J86" t="n">
        <v>0.01</v>
      </c>
      <c r="K86" t="inlineStr"/>
      <c r="M86" t="inlineStr">
        <is>
          <t>TN</t>
        </is>
      </c>
      <c r="N86" t="inlineStr"/>
      <c r="P86" t="inlineStr">
        <is>
          <t>20260301</t>
        </is>
      </c>
      <c r="Q86" t="inlineStr">
        <is>
          <t>99991231</t>
        </is>
      </c>
    </row>
    <row r="87">
      <c r="A87" t="inlineStr">
        <is>
          <t>900000620DW68ENV910270911</t>
        </is>
      </c>
      <c r="B87" t="inlineStr">
        <is>
          <t>900000620</t>
        </is>
      </c>
      <c r="C87" t="inlineStr">
        <is>
          <t>DW68</t>
        </is>
      </c>
      <c r="D87" t="inlineStr">
        <is>
          <t>ENV9</t>
        </is>
      </c>
      <c r="E87" t="inlineStr">
        <is>
          <t>4</t>
        </is>
      </c>
      <c r="F87" t="inlineStr">
        <is>
          <t>10270911</t>
        </is>
      </c>
      <c r="H87" t="inlineStr"/>
      <c r="J87" t="n">
        <v>0.01</v>
      </c>
      <c r="K87" t="inlineStr"/>
      <c r="M87" t="inlineStr">
        <is>
          <t>TN</t>
        </is>
      </c>
      <c r="N87" t="inlineStr"/>
      <c r="P87" t="inlineStr">
        <is>
          <t>20260301</t>
        </is>
      </c>
      <c r="Q87" t="inlineStr">
        <is>
          <t>99991231</t>
        </is>
      </c>
    </row>
    <row r="88">
      <c r="A88" t="inlineStr">
        <is>
          <t>900000620DW68ENV910270912</t>
        </is>
      </c>
      <c r="B88" t="inlineStr">
        <is>
          <t>900000620</t>
        </is>
      </c>
      <c r="C88" t="inlineStr">
        <is>
          <t>DW68</t>
        </is>
      </c>
      <c r="D88" t="inlineStr">
        <is>
          <t>ENV9</t>
        </is>
      </c>
      <c r="E88" t="inlineStr">
        <is>
          <t>4</t>
        </is>
      </c>
      <c r="F88" t="inlineStr">
        <is>
          <t>10270912</t>
        </is>
      </c>
      <c r="H88" t="inlineStr"/>
      <c r="J88" t="n">
        <v>0.01</v>
      </c>
      <c r="K88" t="inlineStr"/>
      <c r="M88" t="inlineStr">
        <is>
          <t>TN</t>
        </is>
      </c>
      <c r="N88" t="inlineStr"/>
      <c r="P88" t="inlineStr">
        <is>
          <t>20260301</t>
        </is>
      </c>
      <c r="Q88" t="inlineStr">
        <is>
          <t>99991231</t>
        </is>
      </c>
    </row>
    <row r="89">
      <c r="A89" t="inlineStr">
        <is>
          <t>900000620DW68ENV910270913</t>
        </is>
      </c>
      <c r="B89" t="inlineStr">
        <is>
          <t>900000620</t>
        </is>
      </c>
      <c r="C89" t="inlineStr">
        <is>
          <t>DW68</t>
        </is>
      </c>
      <c r="D89" t="inlineStr">
        <is>
          <t>ENV9</t>
        </is>
      </c>
      <c r="E89" t="inlineStr">
        <is>
          <t>4</t>
        </is>
      </c>
      <c r="F89" t="inlineStr">
        <is>
          <t>10270913</t>
        </is>
      </c>
      <c r="H89" t="inlineStr"/>
      <c r="J89" t="n">
        <v>0.01</v>
      </c>
      <c r="K89" t="inlineStr"/>
      <c r="M89" t="inlineStr">
        <is>
          <t>TN</t>
        </is>
      </c>
      <c r="N89" t="inlineStr"/>
      <c r="P89" t="inlineStr">
        <is>
          <t>20260301</t>
        </is>
      </c>
      <c r="Q89" t="inlineStr">
        <is>
          <t>99991231</t>
        </is>
      </c>
    </row>
    <row r="90">
      <c r="A90" t="inlineStr">
        <is>
          <t>900001405DW68D24210000586</t>
        </is>
      </c>
      <c r="B90" t="inlineStr">
        <is>
          <t>900001405</t>
        </is>
      </c>
      <c r="C90" t="inlineStr">
        <is>
          <t>DW68</t>
        </is>
      </c>
      <c r="D90" t="inlineStr">
        <is>
          <t>D242</t>
        </is>
      </c>
      <c r="E90" t="inlineStr">
        <is>
          <t>4</t>
        </is>
      </c>
      <c r="F90" t="inlineStr">
        <is>
          <t>10000586</t>
        </is>
      </c>
      <c r="H90" t="inlineStr"/>
      <c r="J90" t="n">
        <v>105</v>
      </c>
      <c r="K90" t="inlineStr"/>
      <c r="M90" t="inlineStr">
        <is>
          <t>TN</t>
        </is>
      </c>
      <c r="N90" t="inlineStr"/>
      <c r="P90" t="inlineStr">
        <is>
          <t>20210620</t>
        </is>
      </c>
      <c r="Q90" t="inlineStr">
        <is>
          <t>20251031</t>
        </is>
      </c>
    </row>
    <row r="91">
      <c r="A91" t="inlineStr">
        <is>
          <t>900001405DW68D24210001867</t>
        </is>
      </c>
      <c r="B91" t="inlineStr">
        <is>
          <t>900001405</t>
        </is>
      </c>
      <c r="C91" t="inlineStr">
        <is>
          <t>DW68</t>
        </is>
      </c>
      <c r="D91" t="inlineStr">
        <is>
          <t>D242</t>
        </is>
      </c>
      <c r="E91" t="inlineStr">
        <is>
          <t>4</t>
        </is>
      </c>
      <c r="F91" t="inlineStr">
        <is>
          <t>10001867</t>
        </is>
      </c>
      <c r="H91" t="inlineStr"/>
      <c r="J91" t="n">
        <v>200</v>
      </c>
      <c r="K91" t="inlineStr"/>
      <c r="M91" t="inlineStr">
        <is>
          <t>TN</t>
        </is>
      </c>
      <c r="N91" t="inlineStr"/>
      <c r="P91" t="inlineStr">
        <is>
          <t>20210620</t>
        </is>
      </c>
      <c r="Q91" t="inlineStr">
        <is>
          <t>20251031</t>
        </is>
      </c>
    </row>
    <row r="92">
      <c r="A92" t="inlineStr">
        <is>
          <t>900002068DW68D04210000835</t>
        </is>
      </c>
      <c r="B92" t="inlineStr">
        <is>
          <t>900002068</t>
        </is>
      </c>
      <c r="C92" t="inlineStr">
        <is>
          <t>DW68</t>
        </is>
      </c>
      <c r="D92" t="inlineStr">
        <is>
          <t>D042</t>
        </is>
      </c>
      <c r="E92" t="inlineStr">
        <is>
          <t>4</t>
        </is>
      </c>
      <c r="F92" t="inlineStr">
        <is>
          <t>10000835</t>
        </is>
      </c>
      <c r="H92" t="inlineStr"/>
      <c r="J92" t="n">
        <v>118.64</v>
      </c>
      <c r="K92" t="inlineStr"/>
      <c r="M92" t="inlineStr">
        <is>
          <t>TN</t>
        </is>
      </c>
      <c r="N92" t="inlineStr"/>
      <c r="P92" t="inlineStr">
        <is>
          <t>20250701</t>
        </is>
      </c>
      <c r="Q92" t="inlineStr">
        <is>
          <t>99991231</t>
        </is>
      </c>
    </row>
    <row r="93">
      <c r="A93" t="inlineStr">
        <is>
          <t>900002068DW68D20910000835</t>
        </is>
      </c>
      <c r="B93" t="inlineStr">
        <is>
          <t>900002068</t>
        </is>
      </c>
      <c r="C93" t="inlineStr">
        <is>
          <t>DW68</t>
        </is>
      </c>
      <c r="D93" t="inlineStr">
        <is>
          <t>D209</t>
        </is>
      </c>
      <c r="E93" t="inlineStr">
        <is>
          <t>4</t>
        </is>
      </c>
      <c r="F93" t="inlineStr">
        <is>
          <t>10000835</t>
        </is>
      </c>
      <c r="H93" t="inlineStr"/>
      <c r="J93" t="n">
        <v>119.64</v>
      </c>
      <c r="K93" t="inlineStr"/>
      <c r="M93" t="inlineStr">
        <is>
          <t>TN</t>
        </is>
      </c>
      <c r="N93" t="inlineStr"/>
      <c r="P93" t="inlineStr">
        <is>
          <t>20250701</t>
        </is>
      </c>
      <c r="Q93" t="inlineStr">
        <is>
          <t>99991231</t>
        </is>
      </c>
    </row>
    <row r="94">
      <c r="A94" t="inlineStr">
        <is>
          <t>900002068DW68D20910018375</t>
        </is>
      </c>
      <c r="B94" t="inlineStr">
        <is>
          <t>900002068</t>
        </is>
      </c>
      <c r="C94" t="inlineStr">
        <is>
          <t>DW68</t>
        </is>
      </c>
      <c r="D94" t="inlineStr">
        <is>
          <t>D209</t>
        </is>
      </c>
      <c r="E94" t="inlineStr">
        <is>
          <t>4</t>
        </is>
      </c>
      <c r="F94" t="inlineStr">
        <is>
          <t>10018375</t>
        </is>
      </c>
      <c r="H94" t="inlineStr"/>
      <c r="J94" t="n">
        <v>281.06</v>
      </c>
      <c r="K94" t="inlineStr"/>
      <c r="M94" t="inlineStr">
        <is>
          <t>TN</t>
        </is>
      </c>
      <c r="N94" t="inlineStr"/>
      <c r="P94" t="inlineStr">
        <is>
          <t>20210620</t>
        </is>
      </c>
      <c r="Q94" t="inlineStr">
        <is>
          <t>20251031</t>
        </is>
      </c>
    </row>
    <row r="95">
      <c r="A95" t="inlineStr">
        <is>
          <t>900002068DW68D21110000835</t>
        </is>
      </c>
      <c r="B95" t="inlineStr">
        <is>
          <t>900002068</t>
        </is>
      </c>
      <c r="C95" t="inlineStr">
        <is>
          <t>DW68</t>
        </is>
      </c>
      <c r="D95" t="inlineStr">
        <is>
          <t>D211</t>
        </is>
      </c>
      <c r="E95" t="inlineStr">
        <is>
          <t>4</t>
        </is>
      </c>
      <c r="F95" t="inlineStr">
        <is>
          <t>10000835</t>
        </is>
      </c>
      <c r="H95" t="inlineStr"/>
      <c r="J95" t="n">
        <v>102.36</v>
      </c>
      <c r="K95" t="inlineStr"/>
      <c r="M95" t="inlineStr">
        <is>
          <t>TN</t>
        </is>
      </c>
      <c r="N95" t="inlineStr"/>
      <c r="P95" t="inlineStr">
        <is>
          <t>20250701</t>
        </is>
      </c>
      <c r="Q95" t="inlineStr">
        <is>
          <t>99991231</t>
        </is>
      </c>
    </row>
    <row r="96">
      <c r="A96" t="inlineStr">
        <is>
          <t>900002068DW68D21110018375</t>
        </is>
      </c>
      <c r="B96" t="inlineStr">
        <is>
          <t>900002068</t>
        </is>
      </c>
      <c r="C96" t="inlineStr">
        <is>
          <t>DW68</t>
        </is>
      </c>
      <c r="D96" t="inlineStr">
        <is>
          <t>D211</t>
        </is>
      </c>
      <c r="E96" t="inlineStr">
        <is>
          <t>4</t>
        </is>
      </c>
      <c r="F96" t="inlineStr">
        <is>
          <t>10018375</t>
        </is>
      </c>
      <c r="H96" t="inlineStr"/>
      <c r="J96" t="n">
        <v>279.55</v>
      </c>
      <c r="K96" t="inlineStr"/>
      <c r="M96" t="inlineStr">
        <is>
          <t>TN</t>
        </is>
      </c>
      <c r="N96" t="inlineStr"/>
      <c r="P96" t="inlineStr">
        <is>
          <t>20210620</t>
        </is>
      </c>
      <c r="Q96" t="inlineStr">
        <is>
          <t>20251031</t>
        </is>
      </c>
    </row>
    <row r="97">
      <c r="A97" t="inlineStr">
        <is>
          <t>900002068DW68D21310000835</t>
        </is>
      </c>
      <c r="B97" t="inlineStr">
        <is>
          <t>900002068</t>
        </is>
      </c>
      <c r="C97" t="inlineStr">
        <is>
          <t>DW68</t>
        </is>
      </c>
      <c r="D97" t="inlineStr">
        <is>
          <t>D213</t>
        </is>
      </c>
      <c r="E97" t="inlineStr">
        <is>
          <t>4</t>
        </is>
      </c>
      <c r="F97" t="inlineStr">
        <is>
          <t>10000835</t>
        </is>
      </c>
      <c r="H97" t="inlineStr"/>
      <c r="J97" t="n">
        <v>208.55</v>
      </c>
      <c r="K97" t="inlineStr"/>
      <c r="M97" t="inlineStr">
        <is>
          <t>TN</t>
        </is>
      </c>
      <c r="N97" t="inlineStr"/>
      <c r="P97" t="inlineStr">
        <is>
          <t>20250701</t>
        </is>
      </c>
      <c r="Q97" t="inlineStr">
        <is>
          <t>99991231</t>
        </is>
      </c>
    </row>
    <row r="98">
      <c r="A98" t="inlineStr">
        <is>
          <t>900002068DW68D21310018375</t>
        </is>
      </c>
      <c r="B98" t="inlineStr">
        <is>
          <t>900002068</t>
        </is>
      </c>
      <c r="C98" t="inlineStr">
        <is>
          <t>DW68</t>
        </is>
      </c>
      <c r="D98" t="inlineStr">
        <is>
          <t>D213</t>
        </is>
      </c>
      <c r="E98" t="inlineStr">
        <is>
          <t>4</t>
        </is>
      </c>
      <c r="F98" t="inlineStr">
        <is>
          <t>10018375</t>
        </is>
      </c>
      <c r="H98" t="inlineStr"/>
      <c r="J98" t="n">
        <v>297.88</v>
      </c>
      <c r="K98" t="inlineStr"/>
      <c r="M98" t="inlineStr">
        <is>
          <t>TN</t>
        </is>
      </c>
      <c r="N98" t="inlineStr"/>
      <c r="P98" t="inlineStr">
        <is>
          <t>20210620</t>
        </is>
      </c>
      <c r="Q98" t="inlineStr">
        <is>
          <t>20251031</t>
        </is>
      </c>
    </row>
    <row r="99">
      <c r="A99" t="inlineStr">
        <is>
          <t>900002068DW68D21410000835</t>
        </is>
      </c>
      <c r="B99" t="inlineStr">
        <is>
          <t>900002068</t>
        </is>
      </c>
      <c r="C99" t="inlineStr">
        <is>
          <t>DW68</t>
        </is>
      </c>
      <c r="D99" t="inlineStr">
        <is>
          <t>D214</t>
        </is>
      </c>
      <c r="E99" t="inlineStr">
        <is>
          <t>4</t>
        </is>
      </c>
      <c r="F99" t="inlineStr">
        <is>
          <t>10000835</t>
        </is>
      </c>
      <c r="H99" t="inlineStr"/>
      <c r="J99" t="n">
        <v>106.38</v>
      </c>
      <c r="K99" t="inlineStr"/>
      <c r="M99" t="inlineStr">
        <is>
          <t>TN</t>
        </is>
      </c>
      <c r="N99" t="inlineStr"/>
      <c r="P99" t="inlineStr">
        <is>
          <t>20230202</t>
        </is>
      </c>
      <c r="Q99" t="inlineStr">
        <is>
          <t>99991231</t>
        </is>
      </c>
    </row>
    <row r="100">
      <c r="A100" t="inlineStr">
        <is>
          <t>900002068DW68D21410018375</t>
        </is>
      </c>
      <c r="B100" t="inlineStr">
        <is>
          <t>900002068</t>
        </is>
      </c>
      <c r="C100" t="inlineStr">
        <is>
          <t>DW68</t>
        </is>
      </c>
      <c r="D100" t="inlineStr">
        <is>
          <t>D214</t>
        </is>
      </c>
      <c r="E100" t="inlineStr">
        <is>
          <t>4</t>
        </is>
      </c>
      <c r="F100" t="inlineStr">
        <is>
          <t>10018375</t>
        </is>
      </c>
      <c r="H100" t="inlineStr"/>
      <c r="J100" t="n">
        <v>290.91</v>
      </c>
      <c r="K100" t="inlineStr"/>
      <c r="M100" t="inlineStr">
        <is>
          <t>TN</t>
        </is>
      </c>
      <c r="N100" t="inlineStr"/>
      <c r="P100" t="inlineStr">
        <is>
          <t>20210620</t>
        </is>
      </c>
      <c r="Q100" t="inlineStr">
        <is>
          <t>20251031</t>
        </is>
      </c>
    </row>
    <row r="101">
      <c r="A101" t="inlineStr">
        <is>
          <t>900002068DW68D22010000835</t>
        </is>
      </c>
      <c r="B101" t="inlineStr">
        <is>
          <t>900002068</t>
        </is>
      </c>
      <c r="C101" t="inlineStr">
        <is>
          <t>DW68</t>
        </is>
      </c>
      <c r="D101" t="inlineStr">
        <is>
          <t>D220</t>
        </is>
      </c>
      <c r="E101" t="inlineStr">
        <is>
          <t>4</t>
        </is>
      </c>
      <c r="F101" t="inlineStr">
        <is>
          <t>10000835</t>
        </is>
      </c>
      <c r="H101" t="inlineStr"/>
      <c r="J101" t="n">
        <v>239.79</v>
      </c>
      <c r="K101" t="inlineStr"/>
      <c r="M101" t="inlineStr">
        <is>
          <t>TN</t>
        </is>
      </c>
      <c r="N101" t="inlineStr"/>
      <c r="P101" t="inlineStr">
        <is>
          <t>20250701</t>
        </is>
      </c>
      <c r="Q101" t="inlineStr">
        <is>
          <t>99991231</t>
        </is>
      </c>
    </row>
    <row r="102">
      <c r="A102" t="inlineStr">
        <is>
          <t>900002068DW68D22010018375</t>
        </is>
      </c>
      <c r="B102" t="inlineStr">
        <is>
          <t>900002068</t>
        </is>
      </c>
      <c r="C102" t="inlineStr">
        <is>
          <t>DW68</t>
        </is>
      </c>
      <c r="D102" t="inlineStr">
        <is>
          <t>D220</t>
        </is>
      </c>
      <c r="E102" t="inlineStr">
        <is>
          <t>4</t>
        </is>
      </c>
      <c r="F102" t="inlineStr">
        <is>
          <t>10018375</t>
        </is>
      </c>
      <c r="H102" t="inlineStr"/>
      <c r="J102" t="n">
        <v>297.88</v>
      </c>
      <c r="K102" t="inlineStr"/>
      <c r="M102" t="inlineStr">
        <is>
          <t>TN</t>
        </is>
      </c>
      <c r="N102" t="inlineStr"/>
      <c r="P102" t="inlineStr">
        <is>
          <t>20210620</t>
        </is>
      </c>
      <c r="Q102" t="inlineStr">
        <is>
          <t>20251031</t>
        </is>
      </c>
    </row>
    <row r="103">
      <c r="A103" t="inlineStr">
        <is>
          <t>900002068DW68D22810000835</t>
        </is>
      </c>
      <c r="B103" t="inlineStr">
        <is>
          <t>900002068</t>
        </is>
      </c>
      <c r="C103" t="inlineStr">
        <is>
          <t>DW68</t>
        </is>
      </c>
      <c r="D103" t="inlineStr">
        <is>
          <t>D228</t>
        </is>
      </c>
      <c r="E103" t="inlineStr">
        <is>
          <t>4</t>
        </is>
      </c>
      <c r="F103" t="inlineStr">
        <is>
          <t>10000835</t>
        </is>
      </c>
      <c r="H103" t="inlineStr"/>
      <c r="J103" t="n">
        <v>97.45999999999999</v>
      </c>
      <c r="K103" t="inlineStr"/>
      <c r="M103" t="inlineStr">
        <is>
          <t>TN</t>
        </is>
      </c>
      <c r="N103" t="inlineStr"/>
      <c r="P103" t="inlineStr">
        <is>
          <t>20250701</t>
        </is>
      </c>
      <c r="Q103" t="inlineStr">
        <is>
          <t>99991231</t>
        </is>
      </c>
    </row>
    <row r="104">
      <c r="A104" t="inlineStr">
        <is>
          <t>900002068DW68D22810018375</t>
        </is>
      </c>
      <c r="B104" t="inlineStr">
        <is>
          <t>900002068</t>
        </is>
      </c>
      <c r="C104" t="inlineStr">
        <is>
          <t>DW68</t>
        </is>
      </c>
      <c r="D104" t="inlineStr">
        <is>
          <t>D228</t>
        </is>
      </c>
      <c r="E104" t="inlineStr">
        <is>
          <t>4</t>
        </is>
      </c>
      <c r="F104" t="inlineStr">
        <is>
          <t>10018375</t>
        </is>
      </c>
      <c r="H104" t="inlineStr"/>
      <c r="J104" t="n">
        <v>246.21</v>
      </c>
      <c r="K104" t="inlineStr"/>
      <c r="M104" t="inlineStr">
        <is>
          <t>TN</t>
        </is>
      </c>
      <c r="N104" t="inlineStr"/>
      <c r="P104" t="inlineStr">
        <is>
          <t>20210620</t>
        </is>
      </c>
      <c r="Q104" t="inlineStr">
        <is>
          <t>20251031</t>
        </is>
      </c>
    </row>
    <row r="105">
      <c r="A105" t="inlineStr">
        <is>
          <t>900002068DW68D24210000835</t>
        </is>
      </c>
      <c r="B105" t="inlineStr">
        <is>
          <t>900002068</t>
        </is>
      </c>
      <c r="C105" t="inlineStr">
        <is>
          <t>DW68</t>
        </is>
      </c>
      <c r="D105" t="inlineStr">
        <is>
          <t>D242</t>
        </is>
      </c>
      <c r="E105" t="inlineStr">
        <is>
          <t>4</t>
        </is>
      </c>
      <c r="F105" t="inlineStr">
        <is>
          <t>10000835</t>
        </is>
      </c>
      <c r="H105" t="inlineStr"/>
      <c r="J105" t="n">
        <v>117.03</v>
      </c>
      <c r="K105" t="inlineStr"/>
      <c r="M105" t="inlineStr">
        <is>
          <t>TN</t>
        </is>
      </c>
      <c r="N105" t="inlineStr"/>
      <c r="P105" t="inlineStr">
        <is>
          <t>20250701</t>
        </is>
      </c>
      <c r="Q105" t="inlineStr">
        <is>
          <t>99991231</t>
        </is>
      </c>
    </row>
    <row r="106">
      <c r="A106" t="inlineStr">
        <is>
          <t>900002068DW68D24210018375</t>
        </is>
      </c>
      <c r="B106" t="inlineStr">
        <is>
          <t>900002068</t>
        </is>
      </c>
      <c r="C106" t="inlineStr">
        <is>
          <t>DW68</t>
        </is>
      </c>
      <c r="D106" t="inlineStr">
        <is>
          <t>D242</t>
        </is>
      </c>
      <c r="E106" t="inlineStr">
        <is>
          <t>4</t>
        </is>
      </c>
      <c r="F106" t="inlineStr">
        <is>
          <t>10018375</t>
        </is>
      </c>
      <c r="H106" t="inlineStr"/>
      <c r="J106" t="n">
        <v>272.35</v>
      </c>
      <c r="K106" t="inlineStr"/>
      <c r="M106" t="inlineStr">
        <is>
          <t>TN</t>
        </is>
      </c>
      <c r="N106" t="inlineStr"/>
      <c r="P106" t="inlineStr">
        <is>
          <t>20210620</t>
        </is>
      </c>
      <c r="Q106" t="inlineStr">
        <is>
          <t>20251031</t>
        </is>
      </c>
    </row>
    <row r="107">
      <c r="A107" t="inlineStr">
        <is>
          <t>900002068DW68D24710000835</t>
        </is>
      </c>
      <c r="B107" t="inlineStr">
        <is>
          <t>900002068</t>
        </is>
      </c>
      <c r="C107" t="inlineStr">
        <is>
          <t>DW68</t>
        </is>
      </c>
      <c r="D107" t="inlineStr">
        <is>
          <t>D247</t>
        </is>
      </c>
      <c r="E107" t="inlineStr">
        <is>
          <t>4</t>
        </is>
      </c>
      <c r="F107" t="inlineStr">
        <is>
          <t>10000835</t>
        </is>
      </c>
      <c r="H107" t="inlineStr"/>
      <c r="J107" t="n">
        <v>171.01</v>
      </c>
      <c r="K107" t="inlineStr"/>
      <c r="M107" t="inlineStr">
        <is>
          <t>TN</t>
        </is>
      </c>
      <c r="N107" t="inlineStr"/>
      <c r="P107" t="inlineStr">
        <is>
          <t>20250701</t>
        </is>
      </c>
      <c r="Q107" t="inlineStr">
        <is>
          <t>99991231</t>
        </is>
      </c>
    </row>
    <row r="108">
      <c r="A108" t="inlineStr">
        <is>
          <t>900002068DW68D25110000835</t>
        </is>
      </c>
      <c r="B108" t="inlineStr">
        <is>
          <t>900002068</t>
        </is>
      </c>
      <c r="C108" t="inlineStr">
        <is>
          <t>DW68</t>
        </is>
      </c>
      <c r="D108" t="inlineStr">
        <is>
          <t>D251</t>
        </is>
      </c>
      <c r="E108" t="inlineStr">
        <is>
          <t>4</t>
        </is>
      </c>
      <c r="F108" t="inlineStr">
        <is>
          <t>10000835</t>
        </is>
      </c>
      <c r="H108" t="inlineStr"/>
      <c r="J108" t="n">
        <v>177.44</v>
      </c>
      <c r="K108" t="inlineStr"/>
      <c r="M108" t="inlineStr">
        <is>
          <t>TN</t>
        </is>
      </c>
      <c r="N108" t="inlineStr"/>
      <c r="P108" t="inlineStr">
        <is>
          <t>20250701</t>
        </is>
      </c>
      <c r="Q108" t="inlineStr">
        <is>
          <t>99991231</t>
        </is>
      </c>
    </row>
    <row r="109">
      <c r="A109" t="inlineStr">
        <is>
          <t>900002068DW68D26410000835</t>
        </is>
      </c>
      <c r="B109" t="inlineStr">
        <is>
          <t>900002068</t>
        </is>
      </c>
      <c r="C109" t="inlineStr">
        <is>
          <t>DW68</t>
        </is>
      </c>
      <c r="D109" t="inlineStr">
        <is>
          <t>D264</t>
        </is>
      </c>
      <c r="E109" t="inlineStr">
        <is>
          <t>4</t>
        </is>
      </c>
      <c r="F109" t="inlineStr">
        <is>
          <t>10000835</t>
        </is>
      </c>
      <c r="H109" t="inlineStr"/>
      <c r="J109" t="n">
        <v>134.58</v>
      </c>
      <c r="K109" t="inlineStr"/>
      <c r="M109" t="inlineStr">
        <is>
          <t>TN</t>
        </is>
      </c>
      <c r="N109" t="inlineStr"/>
      <c r="P109" t="inlineStr">
        <is>
          <t>20250701</t>
        </is>
      </c>
      <c r="Q109" t="inlineStr">
        <is>
          <t>99991231</t>
        </is>
      </c>
    </row>
    <row r="110">
      <c r="A110" t="inlineStr">
        <is>
          <t>900002068DW68D26410018375</t>
        </is>
      </c>
      <c r="B110" t="inlineStr">
        <is>
          <t>900002068</t>
        </is>
      </c>
      <c r="C110" t="inlineStr">
        <is>
          <t>DW68</t>
        </is>
      </c>
      <c r="D110" t="inlineStr">
        <is>
          <t>D264</t>
        </is>
      </c>
      <c r="E110" t="inlineStr">
        <is>
          <t>4</t>
        </is>
      </c>
      <c r="F110" t="inlineStr">
        <is>
          <t>10018375</t>
        </is>
      </c>
      <c r="H110" t="inlineStr"/>
      <c r="J110" t="n">
        <v>284.09</v>
      </c>
      <c r="K110" t="inlineStr"/>
      <c r="M110" t="inlineStr">
        <is>
          <t>TN</t>
        </is>
      </c>
      <c r="N110" t="inlineStr"/>
      <c r="P110" t="inlineStr">
        <is>
          <t>20210620</t>
        </is>
      </c>
      <c r="Q110" t="inlineStr">
        <is>
          <t>20251031</t>
        </is>
      </c>
    </row>
    <row r="111">
      <c r="A111" t="inlineStr">
        <is>
          <t>900002068DW68D26710000835</t>
        </is>
      </c>
      <c r="B111" t="inlineStr">
        <is>
          <t>900002068</t>
        </is>
      </c>
      <c r="C111" t="inlineStr">
        <is>
          <t>DW68</t>
        </is>
      </c>
      <c r="D111" t="inlineStr">
        <is>
          <t>D267</t>
        </is>
      </c>
      <c r="E111" t="inlineStr">
        <is>
          <t>4</t>
        </is>
      </c>
      <c r="F111" t="inlineStr">
        <is>
          <t>10000835</t>
        </is>
      </c>
      <c r="H111" t="inlineStr"/>
      <c r="J111" t="n">
        <v>173.95</v>
      </c>
      <c r="K111" t="inlineStr"/>
      <c r="M111" t="inlineStr">
        <is>
          <t>TN</t>
        </is>
      </c>
      <c r="N111" t="inlineStr"/>
      <c r="P111" t="inlineStr">
        <is>
          <t>20250701</t>
        </is>
      </c>
      <c r="Q111" t="inlineStr">
        <is>
          <t>99991231</t>
        </is>
      </c>
    </row>
    <row r="112">
      <c r="A112" t="inlineStr">
        <is>
          <t>900002068DW68D26810000835</t>
        </is>
      </c>
      <c r="B112" t="inlineStr">
        <is>
          <t>900002068</t>
        </is>
      </c>
      <c r="C112" t="inlineStr">
        <is>
          <t>DW68</t>
        </is>
      </c>
      <c r="D112" t="inlineStr">
        <is>
          <t>D268</t>
        </is>
      </c>
      <c r="E112" t="inlineStr">
        <is>
          <t>4</t>
        </is>
      </c>
      <c r="F112" t="inlineStr">
        <is>
          <t>10000835</t>
        </is>
      </c>
      <c r="H112" t="inlineStr"/>
      <c r="J112" t="n">
        <v>113.4</v>
      </c>
      <c r="K112" t="inlineStr"/>
      <c r="M112" t="inlineStr">
        <is>
          <t>TN</t>
        </is>
      </c>
      <c r="N112" t="inlineStr"/>
      <c r="P112" t="inlineStr">
        <is>
          <t>20250701</t>
        </is>
      </c>
      <c r="Q112" t="inlineStr">
        <is>
          <t>99991231</t>
        </is>
      </c>
    </row>
    <row r="113">
      <c r="A113" t="inlineStr">
        <is>
          <t>900002122DW68D25110000835</t>
        </is>
      </c>
      <c r="B113" t="inlineStr">
        <is>
          <t>900002122</t>
        </is>
      </c>
      <c r="C113" t="inlineStr">
        <is>
          <t>DW68</t>
        </is>
      </c>
      <c r="D113" t="inlineStr">
        <is>
          <t>D251</t>
        </is>
      </c>
      <c r="E113" t="inlineStr">
        <is>
          <t>1</t>
        </is>
      </c>
      <c r="F113" t="inlineStr">
        <is>
          <t>10000835</t>
        </is>
      </c>
      <c r="H113" t="inlineStr"/>
      <c r="J113" t="n">
        <v>83.09999999999999</v>
      </c>
      <c r="K113" t="inlineStr"/>
      <c r="M113" t="inlineStr">
        <is>
          <t>TN</t>
        </is>
      </c>
      <c r="N113" t="inlineStr"/>
      <c r="P113" t="inlineStr">
        <is>
          <t>20210620</t>
        </is>
      </c>
      <c r="Q113" t="inlineStr">
        <is>
          <t>20251031</t>
        </is>
      </c>
    </row>
    <row r="114">
      <c r="A114" t="inlineStr">
        <is>
          <t>900002733DW68D04210018375</t>
        </is>
      </c>
      <c r="B114" t="inlineStr">
        <is>
          <t>900002733</t>
        </is>
      </c>
      <c r="C114" t="inlineStr">
        <is>
          <t>DW68</t>
        </is>
      </c>
      <c r="D114" t="inlineStr">
        <is>
          <t>D042</t>
        </is>
      </c>
      <c r="E114" t="inlineStr">
        <is>
          <t>4</t>
        </is>
      </c>
      <c r="F114" t="inlineStr">
        <is>
          <t>10018375</t>
        </is>
      </c>
      <c r="H114" t="inlineStr"/>
      <c r="J114" t="n">
        <v>265.15</v>
      </c>
      <c r="K114" t="inlineStr"/>
      <c r="M114" t="inlineStr">
        <is>
          <t>TN</t>
        </is>
      </c>
      <c r="N114" t="inlineStr"/>
      <c r="P114" t="inlineStr">
        <is>
          <t>20220516</t>
        </is>
      </c>
      <c r="Q114" t="inlineStr">
        <is>
          <t>20251031</t>
        </is>
      </c>
    </row>
    <row r="115">
      <c r="A115" t="inlineStr">
        <is>
          <t>900002733DW68D20910018375</t>
        </is>
      </c>
      <c r="B115" t="inlineStr">
        <is>
          <t>900002733</t>
        </is>
      </c>
      <c r="C115" t="inlineStr">
        <is>
          <t>DW68</t>
        </is>
      </c>
      <c r="D115" t="inlineStr">
        <is>
          <t>D209</t>
        </is>
      </c>
      <c r="E115" t="inlineStr">
        <is>
          <t>4</t>
        </is>
      </c>
      <c r="F115" t="inlineStr">
        <is>
          <t>10018375</t>
        </is>
      </c>
      <c r="H115" t="inlineStr"/>
      <c r="J115" t="n">
        <v>287.88</v>
      </c>
      <c r="K115" t="inlineStr"/>
      <c r="M115" t="inlineStr">
        <is>
          <t>TN</t>
        </is>
      </c>
      <c r="N115" t="inlineStr"/>
      <c r="P115" t="inlineStr">
        <is>
          <t>20220516</t>
        </is>
      </c>
      <c r="Q115" t="inlineStr">
        <is>
          <t>20251031</t>
        </is>
      </c>
    </row>
    <row r="116">
      <c r="A116" t="inlineStr">
        <is>
          <t>900002733DW68D21110018375</t>
        </is>
      </c>
      <c r="B116" t="inlineStr">
        <is>
          <t>900002733</t>
        </is>
      </c>
      <c r="C116" t="inlineStr">
        <is>
          <t>DW68</t>
        </is>
      </c>
      <c r="D116" t="inlineStr">
        <is>
          <t>D211</t>
        </is>
      </c>
      <c r="E116" t="inlineStr">
        <is>
          <t>4</t>
        </is>
      </c>
      <c r="F116" t="inlineStr">
        <is>
          <t>10018375</t>
        </is>
      </c>
      <c r="H116" t="inlineStr"/>
      <c r="J116" t="n">
        <v>263.64</v>
      </c>
      <c r="K116" t="inlineStr"/>
      <c r="M116" t="inlineStr">
        <is>
          <t>TN</t>
        </is>
      </c>
      <c r="N116" t="inlineStr"/>
      <c r="P116" t="inlineStr">
        <is>
          <t>20220516</t>
        </is>
      </c>
      <c r="Q116" t="inlineStr">
        <is>
          <t>20251031</t>
        </is>
      </c>
    </row>
    <row r="117">
      <c r="A117" t="inlineStr">
        <is>
          <t>900002733DW68D21410018375</t>
        </is>
      </c>
      <c r="B117" t="inlineStr">
        <is>
          <t>900002733</t>
        </is>
      </c>
      <c r="C117" t="inlineStr">
        <is>
          <t>DW68</t>
        </is>
      </c>
      <c r="D117" t="inlineStr">
        <is>
          <t>D214</t>
        </is>
      </c>
      <c r="E117" t="inlineStr">
        <is>
          <t>4</t>
        </is>
      </c>
      <c r="F117" t="inlineStr">
        <is>
          <t>10018375</t>
        </is>
      </c>
      <c r="H117" t="inlineStr"/>
      <c r="J117" t="n">
        <v>276.52</v>
      </c>
      <c r="K117" t="inlineStr"/>
      <c r="M117" t="inlineStr">
        <is>
          <t>TN</t>
        </is>
      </c>
      <c r="N117" t="inlineStr"/>
      <c r="P117" t="inlineStr">
        <is>
          <t>20220516</t>
        </is>
      </c>
      <c r="Q117" t="inlineStr">
        <is>
          <t>20251031</t>
        </is>
      </c>
    </row>
    <row r="118">
      <c r="A118" t="inlineStr">
        <is>
          <t>900002733DW68D22810000857</t>
        </is>
      </c>
      <c r="B118" t="inlineStr">
        <is>
          <t>900002733</t>
        </is>
      </c>
      <c r="C118" t="inlineStr">
        <is>
          <t>DW68</t>
        </is>
      </c>
      <c r="D118" t="inlineStr">
        <is>
          <t>D228</t>
        </is>
      </c>
      <c r="E118" t="inlineStr">
        <is>
          <t>4</t>
        </is>
      </c>
      <c r="F118" t="inlineStr">
        <is>
          <t>10000857</t>
        </is>
      </c>
      <c r="H118" t="inlineStr"/>
      <c r="J118" t="n">
        <v>172.19</v>
      </c>
      <c r="K118" t="inlineStr"/>
      <c r="M118" t="inlineStr">
        <is>
          <t>TN</t>
        </is>
      </c>
      <c r="N118" t="inlineStr"/>
      <c r="P118" t="inlineStr">
        <is>
          <t>20220516</t>
        </is>
      </c>
      <c r="Q118" t="inlineStr">
        <is>
          <t>20251031</t>
        </is>
      </c>
    </row>
    <row r="119">
      <c r="A119" t="inlineStr">
        <is>
          <t>900002733DW68D22810018375</t>
        </is>
      </c>
      <c r="B119" t="inlineStr">
        <is>
          <t>900002733</t>
        </is>
      </c>
      <c r="C119" t="inlineStr">
        <is>
          <t>DW68</t>
        </is>
      </c>
      <c r="D119" t="inlineStr">
        <is>
          <t>D228</t>
        </is>
      </c>
      <c r="E119" t="inlineStr">
        <is>
          <t>4</t>
        </is>
      </c>
      <c r="F119" t="inlineStr">
        <is>
          <t>10018375</t>
        </is>
      </c>
      <c r="H119" t="inlineStr"/>
      <c r="J119" t="n">
        <v>242.42</v>
      </c>
      <c r="K119" t="inlineStr"/>
      <c r="M119" t="inlineStr">
        <is>
          <t>TN</t>
        </is>
      </c>
      <c r="N119" t="inlineStr"/>
      <c r="P119" t="inlineStr">
        <is>
          <t>20220516</t>
        </is>
      </c>
      <c r="Q119" t="inlineStr">
        <is>
          <t>20251031</t>
        </is>
      </c>
    </row>
    <row r="120">
      <c r="A120" t="inlineStr">
        <is>
          <t>900002733DW68D24210018375</t>
        </is>
      </c>
      <c r="B120" t="inlineStr">
        <is>
          <t>900002733</t>
        </is>
      </c>
      <c r="C120" t="inlineStr">
        <is>
          <t>DW68</t>
        </is>
      </c>
      <c r="D120" t="inlineStr">
        <is>
          <t>D242</t>
        </is>
      </c>
      <c r="E120" t="inlineStr">
        <is>
          <t>4</t>
        </is>
      </c>
      <c r="F120" t="inlineStr">
        <is>
          <t>10018375</t>
        </is>
      </c>
      <c r="H120" t="inlineStr"/>
      <c r="J120" t="n">
        <v>267.42</v>
      </c>
      <c r="K120" t="inlineStr"/>
      <c r="M120" t="inlineStr">
        <is>
          <t>TN</t>
        </is>
      </c>
      <c r="N120" t="inlineStr"/>
      <c r="P120" t="inlineStr">
        <is>
          <t>20220516</t>
        </is>
      </c>
      <c r="Q120" t="inlineStr">
        <is>
          <t>20251031</t>
        </is>
      </c>
    </row>
    <row r="121">
      <c r="A121" t="inlineStr">
        <is>
          <t>900002733DW68D25110018375</t>
        </is>
      </c>
      <c r="B121" t="inlineStr">
        <is>
          <t>900002733</t>
        </is>
      </c>
      <c r="C121" t="inlineStr">
        <is>
          <t>DW68</t>
        </is>
      </c>
      <c r="D121" t="inlineStr">
        <is>
          <t>D251</t>
        </is>
      </c>
      <c r="E121" t="inlineStr">
        <is>
          <t>4</t>
        </is>
      </c>
      <c r="F121" t="inlineStr">
        <is>
          <t>10018375</t>
        </is>
      </c>
      <c r="H121" t="inlineStr"/>
      <c r="J121" t="n">
        <v>306.13</v>
      </c>
      <c r="K121" t="inlineStr"/>
      <c r="M121" t="inlineStr">
        <is>
          <t>TN</t>
        </is>
      </c>
      <c r="N121" t="inlineStr"/>
      <c r="P121" t="inlineStr">
        <is>
          <t>20220516</t>
        </is>
      </c>
      <c r="Q121" t="inlineStr">
        <is>
          <t>20251031</t>
        </is>
      </c>
    </row>
    <row r="122">
      <c r="A122" t="inlineStr">
        <is>
          <t>900002733DW68D26410018375</t>
        </is>
      </c>
      <c r="B122" t="inlineStr">
        <is>
          <t>900002733</t>
        </is>
      </c>
      <c r="C122" t="inlineStr">
        <is>
          <t>DW68</t>
        </is>
      </c>
      <c r="D122" t="inlineStr">
        <is>
          <t>D264</t>
        </is>
      </c>
      <c r="E122" t="inlineStr">
        <is>
          <t>4</t>
        </is>
      </c>
      <c r="F122" t="inlineStr">
        <is>
          <t>10018375</t>
        </is>
      </c>
      <c r="H122" t="inlineStr"/>
      <c r="J122" t="n">
        <v>263.64</v>
      </c>
      <c r="K122" t="inlineStr"/>
      <c r="M122" t="inlineStr">
        <is>
          <t>TN</t>
        </is>
      </c>
      <c r="N122" t="inlineStr"/>
      <c r="P122" t="inlineStr">
        <is>
          <t>20220516</t>
        </is>
      </c>
      <c r="Q122" t="inlineStr">
        <is>
          <t>20251031</t>
        </is>
      </c>
    </row>
    <row r="123">
      <c r="A123" t="inlineStr">
        <is>
          <t>900002733DW68D26710018375</t>
        </is>
      </c>
      <c r="B123" t="inlineStr">
        <is>
          <t>900002733</t>
        </is>
      </c>
      <c r="C123" t="inlineStr">
        <is>
          <t>DW68</t>
        </is>
      </c>
      <c r="D123" t="inlineStr">
        <is>
          <t>D267</t>
        </is>
      </c>
      <c r="E123" t="inlineStr">
        <is>
          <t>4</t>
        </is>
      </c>
      <c r="F123" t="inlineStr">
        <is>
          <t>10018375</t>
        </is>
      </c>
      <c r="H123" t="inlineStr"/>
      <c r="J123" t="n">
        <v>287.88</v>
      </c>
      <c r="K123" t="inlineStr"/>
      <c r="M123" t="inlineStr">
        <is>
          <t>TN</t>
        </is>
      </c>
      <c r="N123" t="inlineStr"/>
      <c r="P123" t="inlineStr">
        <is>
          <t>20220516</t>
        </is>
      </c>
      <c r="Q123" t="inlineStr">
        <is>
          <t>20251031</t>
        </is>
      </c>
    </row>
    <row r="124">
      <c r="A124" t="inlineStr">
        <is>
          <t>900003794DW68D04210000144</t>
        </is>
      </c>
      <c r="B124" t="inlineStr">
        <is>
          <t>900003794</t>
        </is>
      </c>
      <c r="C124" t="inlineStr">
        <is>
          <t>DW68</t>
        </is>
      </c>
      <c r="D124" t="inlineStr">
        <is>
          <t>D042</t>
        </is>
      </c>
      <c r="E124" t="inlineStr">
        <is>
          <t>4</t>
        </is>
      </c>
      <c r="F124" t="inlineStr">
        <is>
          <t>10000144</t>
        </is>
      </c>
      <c r="H124" t="inlineStr"/>
      <c r="J124" t="n">
        <v>70.67</v>
      </c>
      <c r="K124" t="inlineStr"/>
      <c r="M124" t="inlineStr">
        <is>
          <t>TN</t>
        </is>
      </c>
      <c r="N124" t="inlineStr"/>
      <c r="P124" t="inlineStr">
        <is>
          <t>20231005</t>
        </is>
      </c>
      <c r="Q124" t="inlineStr">
        <is>
          <t>20251031</t>
        </is>
      </c>
    </row>
    <row r="125">
      <c r="A125" t="inlineStr">
        <is>
          <t>900003805DW68D04210018375</t>
        </is>
      </c>
      <c r="B125" t="inlineStr">
        <is>
          <t>900003805</t>
        </is>
      </c>
      <c r="C125" t="inlineStr">
        <is>
          <t>DW68</t>
        </is>
      </c>
      <c r="D125" t="inlineStr">
        <is>
          <t>D042</t>
        </is>
      </c>
      <c r="E125" t="inlineStr">
        <is>
          <t>4</t>
        </is>
      </c>
      <c r="F125" t="inlineStr">
        <is>
          <t>10018375</t>
        </is>
      </c>
      <c r="H125" t="inlineStr"/>
      <c r="J125" t="n">
        <v>265.15</v>
      </c>
      <c r="K125" t="inlineStr"/>
      <c r="M125" t="inlineStr">
        <is>
          <t>TN</t>
        </is>
      </c>
      <c r="N125" t="inlineStr"/>
      <c r="P125" t="inlineStr">
        <is>
          <t>20210620</t>
        </is>
      </c>
      <c r="Q125" t="inlineStr">
        <is>
          <t>99991231</t>
        </is>
      </c>
    </row>
    <row r="126">
      <c r="A126" t="inlineStr">
        <is>
          <t>900003805DW68D20910018375</t>
        </is>
      </c>
      <c r="B126" t="inlineStr">
        <is>
          <t>900003805</t>
        </is>
      </c>
      <c r="C126" t="inlineStr">
        <is>
          <t>DW68</t>
        </is>
      </c>
      <c r="D126" t="inlineStr">
        <is>
          <t>D209</t>
        </is>
      </c>
      <c r="E126" t="inlineStr">
        <is>
          <t>4</t>
        </is>
      </c>
      <c r="F126" t="inlineStr">
        <is>
          <t>10018375</t>
        </is>
      </c>
      <c r="H126" t="inlineStr"/>
      <c r="J126" t="n">
        <v>287.88</v>
      </c>
      <c r="K126" t="inlineStr"/>
      <c r="M126" t="inlineStr">
        <is>
          <t>TN</t>
        </is>
      </c>
      <c r="N126" t="inlineStr"/>
      <c r="P126" t="inlineStr">
        <is>
          <t>20210620</t>
        </is>
      </c>
      <c r="Q126" t="inlineStr">
        <is>
          <t>99991231</t>
        </is>
      </c>
    </row>
    <row r="127">
      <c r="A127" t="inlineStr">
        <is>
          <t>900003805DW68D21110018375</t>
        </is>
      </c>
      <c r="B127" t="inlineStr">
        <is>
          <t>900003805</t>
        </is>
      </c>
      <c r="C127" t="inlineStr">
        <is>
          <t>DW68</t>
        </is>
      </c>
      <c r="D127" t="inlineStr">
        <is>
          <t>D211</t>
        </is>
      </c>
      <c r="E127" t="inlineStr">
        <is>
          <t>4</t>
        </is>
      </c>
      <c r="F127" t="inlineStr">
        <is>
          <t>10018375</t>
        </is>
      </c>
      <c r="H127" t="inlineStr"/>
      <c r="J127" t="n">
        <v>263.64</v>
      </c>
      <c r="K127" t="inlineStr"/>
      <c r="M127" t="inlineStr">
        <is>
          <t>TN</t>
        </is>
      </c>
      <c r="N127" t="inlineStr"/>
      <c r="P127" t="inlineStr">
        <is>
          <t>20210620</t>
        </is>
      </c>
      <c r="Q127" t="inlineStr">
        <is>
          <t>99991231</t>
        </is>
      </c>
    </row>
    <row r="128">
      <c r="A128" t="inlineStr">
        <is>
          <t>900003805DW68D21410018375</t>
        </is>
      </c>
      <c r="B128" t="inlineStr">
        <is>
          <t>900003805</t>
        </is>
      </c>
      <c r="C128" t="inlineStr">
        <is>
          <t>DW68</t>
        </is>
      </c>
      <c r="D128" t="inlineStr">
        <is>
          <t>D214</t>
        </is>
      </c>
      <c r="E128" t="inlineStr">
        <is>
          <t>4</t>
        </is>
      </c>
      <c r="F128" t="inlineStr">
        <is>
          <t>10018375</t>
        </is>
      </c>
      <c r="H128" t="inlineStr"/>
      <c r="J128" t="n">
        <v>276.52</v>
      </c>
      <c r="K128" t="inlineStr"/>
      <c r="M128" t="inlineStr">
        <is>
          <t>TN</t>
        </is>
      </c>
      <c r="N128" t="inlineStr"/>
      <c r="P128" t="inlineStr">
        <is>
          <t>20210620</t>
        </is>
      </c>
      <c r="Q128" t="inlineStr">
        <is>
          <t>99991231</t>
        </is>
      </c>
    </row>
    <row r="129">
      <c r="A129" t="inlineStr">
        <is>
          <t>900003805DW68D22810018375</t>
        </is>
      </c>
      <c r="B129" t="inlineStr">
        <is>
          <t>900003805</t>
        </is>
      </c>
      <c r="C129" t="inlineStr">
        <is>
          <t>DW68</t>
        </is>
      </c>
      <c r="D129" t="inlineStr">
        <is>
          <t>D228</t>
        </is>
      </c>
      <c r="E129" t="inlineStr">
        <is>
          <t>4</t>
        </is>
      </c>
      <c r="F129" t="inlineStr">
        <is>
          <t>10018375</t>
        </is>
      </c>
      <c r="H129" t="inlineStr"/>
      <c r="J129" t="n">
        <v>242.42</v>
      </c>
      <c r="K129" t="inlineStr"/>
      <c r="M129" t="inlineStr">
        <is>
          <t>TN</t>
        </is>
      </c>
      <c r="N129" t="inlineStr"/>
      <c r="P129" t="inlineStr">
        <is>
          <t>20210620</t>
        </is>
      </c>
      <c r="Q129" t="inlineStr">
        <is>
          <t>99991231</t>
        </is>
      </c>
    </row>
    <row r="130">
      <c r="A130" t="inlineStr">
        <is>
          <t>900003805DW68D24210018375</t>
        </is>
      </c>
      <c r="B130" t="inlineStr">
        <is>
          <t>900003805</t>
        </is>
      </c>
      <c r="C130" t="inlineStr">
        <is>
          <t>DW68</t>
        </is>
      </c>
      <c r="D130" t="inlineStr">
        <is>
          <t>D242</t>
        </is>
      </c>
      <c r="E130" t="inlineStr">
        <is>
          <t>4</t>
        </is>
      </c>
      <c r="F130" t="inlineStr">
        <is>
          <t>10018375</t>
        </is>
      </c>
      <c r="H130" t="inlineStr"/>
      <c r="J130" t="n">
        <v>267.42</v>
      </c>
      <c r="K130" t="inlineStr"/>
      <c r="M130" t="inlineStr">
        <is>
          <t>TN</t>
        </is>
      </c>
      <c r="N130" t="inlineStr"/>
      <c r="P130" t="inlineStr">
        <is>
          <t>20210620</t>
        </is>
      </c>
      <c r="Q130" t="inlineStr">
        <is>
          <t>99991231</t>
        </is>
      </c>
    </row>
    <row r="131">
      <c r="A131" t="inlineStr">
        <is>
          <t>900003805DW68D25110018375</t>
        </is>
      </c>
      <c r="B131" t="inlineStr">
        <is>
          <t>900003805</t>
        </is>
      </c>
      <c r="C131" t="inlineStr">
        <is>
          <t>DW68</t>
        </is>
      </c>
      <c r="D131" t="inlineStr">
        <is>
          <t>D251</t>
        </is>
      </c>
      <c r="E131" t="inlineStr">
        <is>
          <t>4</t>
        </is>
      </c>
      <c r="F131" t="inlineStr">
        <is>
          <t>10018375</t>
        </is>
      </c>
      <c r="H131" t="inlineStr"/>
      <c r="J131" t="n">
        <v>306.13</v>
      </c>
      <c r="K131" t="inlineStr"/>
      <c r="M131" t="inlineStr">
        <is>
          <t>TN</t>
        </is>
      </c>
      <c r="N131" t="inlineStr"/>
      <c r="P131" t="inlineStr">
        <is>
          <t>20210620</t>
        </is>
      </c>
      <c r="Q131" t="inlineStr">
        <is>
          <t>99991231</t>
        </is>
      </c>
    </row>
    <row r="132">
      <c r="A132" t="inlineStr">
        <is>
          <t>900003805DW68D26410018375</t>
        </is>
      </c>
      <c r="B132" t="inlineStr">
        <is>
          <t>900003805</t>
        </is>
      </c>
      <c r="C132" t="inlineStr">
        <is>
          <t>DW68</t>
        </is>
      </c>
      <c r="D132" t="inlineStr">
        <is>
          <t>D264</t>
        </is>
      </c>
      <c r="E132" t="inlineStr">
        <is>
          <t>4</t>
        </is>
      </c>
      <c r="F132" t="inlineStr">
        <is>
          <t>10018375</t>
        </is>
      </c>
      <c r="H132" t="inlineStr"/>
      <c r="J132" t="n">
        <v>263.64</v>
      </c>
      <c r="K132" t="inlineStr"/>
      <c r="M132" t="inlineStr">
        <is>
          <t>TN</t>
        </is>
      </c>
      <c r="N132" t="inlineStr"/>
      <c r="P132" t="inlineStr">
        <is>
          <t>20210620</t>
        </is>
      </c>
      <c r="Q132" t="inlineStr">
        <is>
          <t>99991231</t>
        </is>
      </c>
    </row>
    <row r="133">
      <c r="A133" t="inlineStr">
        <is>
          <t>900003805DW68D26710018375</t>
        </is>
      </c>
      <c r="B133" t="inlineStr">
        <is>
          <t>900003805</t>
        </is>
      </c>
      <c r="C133" t="inlineStr">
        <is>
          <t>DW68</t>
        </is>
      </c>
      <c r="D133" t="inlineStr">
        <is>
          <t>D267</t>
        </is>
      </c>
      <c r="E133" t="inlineStr">
        <is>
          <t>4</t>
        </is>
      </c>
      <c r="F133" t="inlineStr">
        <is>
          <t>10018375</t>
        </is>
      </c>
      <c r="H133" t="inlineStr"/>
      <c r="J133" t="n">
        <v>287.88</v>
      </c>
      <c r="K133" t="inlineStr"/>
      <c r="M133" t="inlineStr">
        <is>
          <t>TN</t>
        </is>
      </c>
      <c r="N133" t="inlineStr"/>
      <c r="P133" t="inlineStr">
        <is>
          <t>20210620</t>
        </is>
      </c>
      <c r="Q133" t="inlineStr">
        <is>
          <t>99991231</t>
        </is>
      </c>
    </row>
    <row r="134">
      <c r="A134" t="inlineStr">
        <is>
          <t>900004065DW68D04210000320</t>
        </is>
      </c>
      <c r="B134" t="inlineStr">
        <is>
          <t>900004065</t>
        </is>
      </c>
      <c r="C134" t="inlineStr">
        <is>
          <t>DW68</t>
        </is>
      </c>
      <c r="D134" t="inlineStr">
        <is>
          <t>D042</t>
        </is>
      </c>
      <c r="E134" t="inlineStr">
        <is>
          <t>4</t>
        </is>
      </c>
      <c r="F134" t="inlineStr">
        <is>
          <t>10000320</t>
        </is>
      </c>
      <c r="H134" t="inlineStr"/>
      <c r="J134" t="n">
        <v>180.62</v>
      </c>
      <c r="K134" t="inlineStr"/>
      <c r="M134" t="inlineStr">
        <is>
          <t>TN</t>
        </is>
      </c>
      <c r="N134" t="inlineStr"/>
      <c r="P134" t="inlineStr">
        <is>
          <t>20260201</t>
        </is>
      </c>
      <c r="Q134" t="inlineStr">
        <is>
          <t>99991231</t>
        </is>
      </c>
    </row>
    <row r="135">
      <c r="A135" t="inlineStr">
        <is>
          <t>900004065DW68D04210031878</t>
        </is>
      </c>
      <c r="B135" t="inlineStr">
        <is>
          <t>900004065</t>
        </is>
      </c>
      <c r="C135" t="inlineStr">
        <is>
          <t>DW68</t>
        </is>
      </c>
      <c r="D135" t="inlineStr">
        <is>
          <t>D042</t>
        </is>
      </c>
      <c r="E135" t="inlineStr">
        <is>
          <t>4</t>
        </is>
      </c>
      <c r="F135" t="inlineStr">
        <is>
          <t>10031878</t>
        </is>
      </c>
      <c r="H135" t="inlineStr"/>
      <c r="J135" t="n">
        <v>180.62</v>
      </c>
      <c r="K135" t="inlineStr"/>
      <c r="M135" t="inlineStr">
        <is>
          <t>TN</t>
        </is>
      </c>
      <c r="N135" t="inlineStr"/>
      <c r="P135" t="inlineStr">
        <is>
          <t>20260201</t>
        </is>
      </c>
      <c r="Q135" t="inlineStr">
        <is>
          <t>99991231</t>
        </is>
      </c>
    </row>
    <row r="136">
      <c r="A136" t="inlineStr">
        <is>
          <t>900004065DW68D17510000320</t>
        </is>
      </c>
      <c r="B136" t="inlineStr">
        <is>
          <t>900004065</t>
        </is>
      </c>
      <c r="C136" t="inlineStr">
        <is>
          <t>DW68</t>
        </is>
      </c>
      <c r="D136" t="inlineStr">
        <is>
          <t>D175</t>
        </is>
      </c>
      <c r="E136" t="inlineStr">
        <is>
          <t>4</t>
        </is>
      </c>
      <c r="F136" t="inlineStr">
        <is>
          <t>10000320</t>
        </is>
      </c>
      <c r="H136" t="inlineStr"/>
      <c r="J136" t="n">
        <v>180.62</v>
      </c>
      <c r="K136" t="inlineStr"/>
      <c r="M136" t="inlineStr">
        <is>
          <t>TN</t>
        </is>
      </c>
      <c r="N136" t="inlineStr"/>
      <c r="P136" t="inlineStr">
        <is>
          <t>20260201</t>
        </is>
      </c>
      <c r="Q136" t="inlineStr">
        <is>
          <t>99991231</t>
        </is>
      </c>
    </row>
    <row r="137">
      <c r="A137" t="inlineStr">
        <is>
          <t>900004065DW68D17510031878</t>
        </is>
      </c>
      <c r="B137" t="inlineStr">
        <is>
          <t>900004065</t>
        </is>
      </c>
      <c r="C137" t="inlineStr">
        <is>
          <t>DW68</t>
        </is>
      </c>
      <c r="D137" t="inlineStr">
        <is>
          <t>D175</t>
        </is>
      </c>
      <c r="E137" t="inlineStr">
        <is>
          <t>4</t>
        </is>
      </c>
      <c r="F137" t="inlineStr">
        <is>
          <t>10031878</t>
        </is>
      </c>
      <c r="H137" t="inlineStr"/>
      <c r="J137" t="n">
        <v>180.62</v>
      </c>
      <c r="K137" t="inlineStr"/>
      <c r="M137" t="inlineStr">
        <is>
          <t>TN</t>
        </is>
      </c>
      <c r="N137" t="inlineStr"/>
      <c r="P137" t="inlineStr">
        <is>
          <t>20260201</t>
        </is>
      </c>
      <c r="Q137" t="inlineStr">
        <is>
          <t>99991231</t>
        </is>
      </c>
    </row>
    <row r="138">
      <c r="A138" t="inlineStr">
        <is>
          <t>900004065DW68D20910000320</t>
        </is>
      </c>
      <c r="B138" t="inlineStr">
        <is>
          <t>900004065</t>
        </is>
      </c>
      <c r="C138" t="inlineStr">
        <is>
          <t>DW68</t>
        </is>
      </c>
      <c r="D138" t="inlineStr">
        <is>
          <t>D209</t>
        </is>
      </c>
      <c r="E138" t="inlineStr">
        <is>
          <t>4</t>
        </is>
      </c>
      <c r="F138" t="inlineStr">
        <is>
          <t>10000320</t>
        </is>
      </c>
      <c r="H138" t="inlineStr"/>
      <c r="J138" t="n">
        <v>180.62</v>
      </c>
      <c r="K138" t="inlineStr"/>
      <c r="M138" t="inlineStr">
        <is>
          <t>TN</t>
        </is>
      </c>
      <c r="N138" t="inlineStr"/>
      <c r="P138" t="inlineStr">
        <is>
          <t>20260201</t>
        </is>
      </c>
      <c r="Q138" t="inlineStr">
        <is>
          <t>99991231</t>
        </is>
      </c>
    </row>
    <row r="139">
      <c r="A139" t="inlineStr">
        <is>
          <t>900004065DW68D20910031878</t>
        </is>
      </c>
      <c r="B139" t="inlineStr">
        <is>
          <t>900004065</t>
        </is>
      </c>
      <c r="C139" t="inlineStr">
        <is>
          <t>DW68</t>
        </is>
      </c>
      <c r="D139" t="inlineStr">
        <is>
          <t>D209</t>
        </is>
      </c>
      <c r="E139" t="inlineStr">
        <is>
          <t>4</t>
        </is>
      </c>
      <c r="F139" t="inlineStr">
        <is>
          <t>10031878</t>
        </is>
      </c>
      <c r="H139" t="inlineStr"/>
      <c r="J139" t="n">
        <v>180.62</v>
      </c>
      <c r="K139" t="inlineStr"/>
      <c r="M139" t="inlineStr">
        <is>
          <t>TN</t>
        </is>
      </c>
      <c r="N139" t="inlineStr"/>
      <c r="P139" t="inlineStr">
        <is>
          <t>20260201</t>
        </is>
      </c>
      <c r="Q139" t="inlineStr">
        <is>
          <t>99991231</t>
        </is>
      </c>
    </row>
    <row r="140">
      <c r="A140" t="inlineStr">
        <is>
          <t>900004065DW68D21110000320</t>
        </is>
      </c>
      <c r="B140" t="inlineStr">
        <is>
          <t>900004065</t>
        </is>
      </c>
      <c r="C140" t="inlineStr">
        <is>
          <t>DW68</t>
        </is>
      </c>
      <c r="D140" t="inlineStr">
        <is>
          <t>D211</t>
        </is>
      </c>
      <c r="E140" t="inlineStr">
        <is>
          <t>4</t>
        </is>
      </c>
      <c r="F140" t="inlineStr">
        <is>
          <t>10000320</t>
        </is>
      </c>
      <c r="H140" t="inlineStr"/>
      <c r="J140" t="n">
        <v>180.62</v>
      </c>
      <c r="K140" t="inlineStr"/>
      <c r="M140" t="inlineStr">
        <is>
          <t>TN</t>
        </is>
      </c>
      <c r="N140" t="inlineStr"/>
      <c r="P140" t="inlineStr">
        <is>
          <t>20260201</t>
        </is>
      </c>
      <c r="Q140" t="inlineStr">
        <is>
          <t>99991231</t>
        </is>
      </c>
    </row>
    <row r="141">
      <c r="A141" t="inlineStr">
        <is>
          <t>900004065DW68D21110031878</t>
        </is>
      </c>
      <c r="B141" t="inlineStr">
        <is>
          <t>900004065</t>
        </is>
      </c>
      <c r="C141" t="inlineStr">
        <is>
          <t>DW68</t>
        </is>
      </c>
      <c r="D141" t="inlineStr">
        <is>
          <t>D211</t>
        </is>
      </c>
      <c r="E141" t="inlineStr">
        <is>
          <t>4</t>
        </is>
      </c>
      <c r="F141" t="inlineStr">
        <is>
          <t>10031878</t>
        </is>
      </c>
      <c r="H141" t="inlineStr"/>
      <c r="J141" t="n">
        <v>180.62</v>
      </c>
      <c r="K141" t="inlineStr"/>
      <c r="M141" t="inlineStr">
        <is>
          <t>TN</t>
        </is>
      </c>
      <c r="N141" t="inlineStr"/>
      <c r="P141" t="inlineStr">
        <is>
          <t>20260201</t>
        </is>
      </c>
      <c r="Q141" t="inlineStr">
        <is>
          <t>99991231</t>
        </is>
      </c>
    </row>
    <row r="142">
      <c r="A142" t="inlineStr">
        <is>
          <t>900004065DW68D21310000320</t>
        </is>
      </c>
      <c r="B142" t="inlineStr">
        <is>
          <t>900004065</t>
        </is>
      </c>
      <c r="C142" t="inlineStr">
        <is>
          <t>DW68</t>
        </is>
      </c>
      <c r="D142" t="inlineStr">
        <is>
          <t>D213</t>
        </is>
      </c>
      <c r="E142" t="inlineStr">
        <is>
          <t>4</t>
        </is>
      </c>
      <c r="F142" t="inlineStr">
        <is>
          <t>10000320</t>
        </is>
      </c>
      <c r="H142" t="inlineStr"/>
      <c r="J142" t="n">
        <v>312.15</v>
      </c>
      <c r="K142" t="inlineStr"/>
      <c r="M142" t="inlineStr">
        <is>
          <t>TN</t>
        </is>
      </c>
      <c r="N142" t="inlineStr"/>
      <c r="P142" t="inlineStr">
        <is>
          <t>20260201</t>
        </is>
      </c>
      <c r="Q142" t="inlineStr">
        <is>
          <t>99991231</t>
        </is>
      </c>
    </row>
    <row r="143">
      <c r="A143" t="inlineStr">
        <is>
          <t>900004065DW68D21310031878</t>
        </is>
      </c>
      <c r="B143" t="inlineStr">
        <is>
          <t>900004065</t>
        </is>
      </c>
      <c r="C143" t="inlineStr">
        <is>
          <t>DW68</t>
        </is>
      </c>
      <c r="D143" t="inlineStr">
        <is>
          <t>D213</t>
        </is>
      </c>
      <c r="E143" t="inlineStr">
        <is>
          <t>4</t>
        </is>
      </c>
      <c r="F143" t="inlineStr">
        <is>
          <t>10031878</t>
        </is>
      </c>
      <c r="H143" t="inlineStr"/>
      <c r="J143" t="n">
        <v>312.15</v>
      </c>
      <c r="K143" t="inlineStr"/>
      <c r="M143" t="inlineStr">
        <is>
          <t>TN</t>
        </is>
      </c>
      <c r="N143" t="inlineStr"/>
      <c r="P143" t="inlineStr">
        <is>
          <t>20260201</t>
        </is>
      </c>
      <c r="Q143" t="inlineStr">
        <is>
          <t>99991231</t>
        </is>
      </c>
    </row>
    <row r="144">
      <c r="A144" t="inlineStr">
        <is>
          <t>900004065DW68D21410000320</t>
        </is>
      </c>
      <c r="B144" t="inlineStr">
        <is>
          <t>900004065</t>
        </is>
      </c>
      <c r="C144" t="inlineStr">
        <is>
          <t>DW68</t>
        </is>
      </c>
      <c r="D144" t="inlineStr">
        <is>
          <t>D214</t>
        </is>
      </c>
      <c r="E144" t="inlineStr">
        <is>
          <t>4</t>
        </is>
      </c>
      <c r="F144" t="inlineStr">
        <is>
          <t>10000320</t>
        </is>
      </c>
      <c r="H144" t="inlineStr"/>
      <c r="J144" t="n">
        <v>173.53</v>
      </c>
      <c r="K144" t="inlineStr"/>
      <c r="M144" t="inlineStr">
        <is>
          <t>TN</t>
        </is>
      </c>
      <c r="N144" t="inlineStr"/>
      <c r="P144" t="inlineStr">
        <is>
          <t>20220516</t>
        </is>
      </c>
      <c r="Q144" t="inlineStr">
        <is>
          <t>99991231</t>
        </is>
      </c>
    </row>
    <row r="145">
      <c r="A145" t="inlineStr">
        <is>
          <t>900004065DW68D22010000320</t>
        </is>
      </c>
      <c r="B145" t="inlineStr">
        <is>
          <t>900004065</t>
        </is>
      </c>
      <c r="C145" t="inlineStr">
        <is>
          <t>DW68</t>
        </is>
      </c>
      <c r="D145" t="inlineStr">
        <is>
          <t>D220</t>
        </is>
      </c>
      <c r="E145" t="inlineStr">
        <is>
          <t>4</t>
        </is>
      </c>
      <c r="F145" t="inlineStr">
        <is>
          <t>10000320</t>
        </is>
      </c>
      <c r="H145" t="inlineStr"/>
      <c r="J145" t="n">
        <v>277.59</v>
      </c>
      <c r="K145" t="inlineStr"/>
      <c r="M145" t="inlineStr">
        <is>
          <t>TN</t>
        </is>
      </c>
      <c r="N145" t="inlineStr"/>
      <c r="P145" t="inlineStr">
        <is>
          <t>20260709</t>
        </is>
      </c>
      <c r="Q145" t="inlineStr">
        <is>
          <t>99991231</t>
        </is>
      </c>
    </row>
    <row r="146">
      <c r="A146" t="inlineStr">
        <is>
          <t>900004065DW68D22810000320</t>
        </is>
      </c>
      <c r="B146" t="inlineStr">
        <is>
          <t>900004065</t>
        </is>
      </c>
      <c r="C146" t="inlineStr">
        <is>
          <t>DW68</t>
        </is>
      </c>
      <c r="D146" t="inlineStr">
        <is>
          <t>D228</t>
        </is>
      </c>
      <c r="E146" t="inlineStr">
        <is>
          <t>4</t>
        </is>
      </c>
      <c r="F146" t="inlineStr">
        <is>
          <t>10000320</t>
        </is>
      </c>
      <c r="H146" t="inlineStr"/>
      <c r="J146" t="n">
        <v>148.5</v>
      </c>
      <c r="K146" t="inlineStr"/>
      <c r="M146" t="inlineStr">
        <is>
          <t>TN</t>
        </is>
      </c>
      <c r="N146" t="inlineStr"/>
      <c r="P146" t="inlineStr">
        <is>
          <t>20260201</t>
        </is>
      </c>
      <c r="Q146" t="inlineStr">
        <is>
          <t>99991231</t>
        </is>
      </c>
    </row>
    <row r="147">
      <c r="A147" t="inlineStr">
        <is>
          <t>900004065DW68D22810031878</t>
        </is>
      </c>
      <c r="B147" t="inlineStr">
        <is>
          <t>900004065</t>
        </is>
      </c>
      <c r="C147" t="inlineStr">
        <is>
          <t>DW68</t>
        </is>
      </c>
      <c r="D147" t="inlineStr">
        <is>
          <t>D228</t>
        </is>
      </c>
      <c r="E147" t="inlineStr">
        <is>
          <t>4</t>
        </is>
      </c>
      <c r="F147" t="inlineStr">
        <is>
          <t>10031878</t>
        </is>
      </c>
      <c r="H147" t="inlineStr"/>
      <c r="J147" t="n">
        <v>148.5</v>
      </c>
      <c r="K147" t="inlineStr"/>
      <c r="M147" t="inlineStr">
        <is>
          <t>TN</t>
        </is>
      </c>
      <c r="N147" t="inlineStr"/>
      <c r="P147" t="inlineStr">
        <is>
          <t>20260201</t>
        </is>
      </c>
      <c r="Q147" t="inlineStr">
        <is>
          <t>99991231</t>
        </is>
      </c>
    </row>
    <row r="148">
      <c r="A148" t="inlineStr">
        <is>
          <t>900004065DW68D24210000320</t>
        </is>
      </c>
      <c r="B148" t="inlineStr">
        <is>
          <t>900004065</t>
        </is>
      </c>
      <c r="C148" t="inlineStr">
        <is>
          <t>DW68</t>
        </is>
      </c>
      <c r="D148" t="inlineStr">
        <is>
          <t>D242</t>
        </is>
      </c>
      <c r="E148" t="inlineStr">
        <is>
          <t>4</t>
        </is>
      </c>
      <c r="F148" t="inlineStr">
        <is>
          <t>10000320</t>
        </is>
      </c>
      <c r="H148" t="inlineStr"/>
      <c r="J148" t="n">
        <v>180.62</v>
      </c>
      <c r="K148" t="inlineStr"/>
      <c r="M148" t="inlineStr">
        <is>
          <t>TN</t>
        </is>
      </c>
      <c r="N148" t="inlineStr"/>
      <c r="P148" t="inlineStr">
        <is>
          <t>20260201</t>
        </is>
      </c>
      <c r="Q148" t="inlineStr">
        <is>
          <t>99991231</t>
        </is>
      </c>
    </row>
    <row r="149">
      <c r="A149" t="inlineStr">
        <is>
          <t>900004065DW68D24210031878</t>
        </is>
      </c>
      <c r="B149" t="inlineStr">
        <is>
          <t>900004065</t>
        </is>
      </c>
      <c r="C149" t="inlineStr">
        <is>
          <t>DW68</t>
        </is>
      </c>
      <c r="D149" t="inlineStr">
        <is>
          <t>D242</t>
        </is>
      </c>
      <c r="E149" t="inlineStr">
        <is>
          <t>4</t>
        </is>
      </c>
      <c r="F149" t="inlineStr">
        <is>
          <t>10031878</t>
        </is>
      </c>
      <c r="H149" t="inlineStr"/>
      <c r="J149" t="n">
        <v>180.62</v>
      </c>
      <c r="K149" t="inlineStr"/>
      <c r="M149" t="inlineStr">
        <is>
          <t>TN</t>
        </is>
      </c>
      <c r="N149" t="inlineStr"/>
      <c r="P149" t="inlineStr">
        <is>
          <t>20260201</t>
        </is>
      </c>
      <c r="Q149" t="inlineStr">
        <is>
          <t>99991231</t>
        </is>
      </c>
    </row>
    <row r="150">
      <c r="A150" t="inlineStr">
        <is>
          <t>900004065DW68D24710000320</t>
        </is>
      </c>
      <c r="B150" t="inlineStr">
        <is>
          <t>900004065</t>
        </is>
      </c>
      <c r="C150" t="inlineStr">
        <is>
          <t>DW68</t>
        </is>
      </c>
      <c r="D150" t="inlineStr">
        <is>
          <t>D247</t>
        </is>
      </c>
      <c r="E150" t="inlineStr">
        <is>
          <t>4</t>
        </is>
      </c>
      <c r="F150" t="inlineStr">
        <is>
          <t>10000320</t>
        </is>
      </c>
      <c r="H150" t="inlineStr"/>
      <c r="J150" t="n">
        <v>206.62</v>
      </c>
      <c r="K150" t="inlineStr"/>
      <c r="M150" t="inlineStr">
        <is>
          <t>TN</t>
        </is>
      </c>
      <c r="N150" t="inlineStr"/>
      <c r="P150" t="inlineStr">
        <is>
          <t>20260201</t>
        </is>
      </c>
      <c r="Q150" t="inlineStr">
        <is>
          <t>99991231</t>
        </is>
      </c>
    </row>
    <row r="151">
      <c r="A151" t="inlineStr">
        <is>
          <t>900004065DW68D24710031878</t>
        </is>
      </c>
      <c r="B151" t="inlineStr">
        <is>
          <t>900004065</t>
        </is>
      </c>
      <c r="C151" t="inlineStr">
        <is>
          <t>DW68</t>
        </is>
      </c>
      <c r="D151" t="inlineStr">
        <is>
          <t>D247</t>
        </is>
      </c>
      <c r="E151" t="inlineStr">
        <is>
          <t>4</t>
        </is>
      </c>
      <c r="F151" t="inlineStr">
        <is>
          <t>10031878</t>
        </is>
      </c>
      <c r="H151" t="inlineStr"/>
      <c r="J151" t="n">
        <v>206.62</v>
      </c>
      <c r="K151" t="inlineStr"/>
      <c r="M151" t="inlineStr">
        <is>
          <t>TN</t>
        </is>
      </c>
      <c r="N151" t="inlineStr"/>
      <c r="P151" t="inlineStr">
        <is>
          <t>20260201</t>
        </is>
      </c>
      <c r="Q151" t="inlineStr">
        <is>
          <t>99991231</t>
        </is>
      </c>
    </row>
    <row r="152">
      <c r="A152" t="inlineStr">
        <is>
          <t>900004065DW68D25110000320</t>
        </is>
      </c>
      <c r="B152" t="inlineStr">
        <is>
          <t>900004065</t>
        </is>
      </c>
      <c r="C152" t="inlineStr">
        <is>
          <t>DW68</t>
        </is>
      </c>
      <c r="D152" t="inlineStr">
        <is>
          <t>D251</t>
        </is>
      </c>
      <c r="E152" t="inlineStr">
        <is>
          <t>4</t>
        </is>
      </c>
      <c r="F152" t="inlineStr">
        <is>
          <t>10000320</t>
        </is>
      </c>
      <c r="H152" t="inlineStr"/>
      <c r="J152" t="n">
        <v>206.62</v>
      </c>
      <c r="K152" t="inlineStr"/>
      <c r="M152" t="inlineStr">
        <is>
          <t>TN</t>
        </is>
      </c>
      <c r="N152" t="inlineStr"/>
      <c r="P152" t="inlineStr">
        <is>
          <t>20260201</t>
        </is>
      </c>
      <c r="Q152" t="inlineStr">
        <is>
          <t>99991231</t>
        </is>
      </c>
    </row>
    <row r="153">
      <c r="A153" t="inlineStr">
        <is>
          <t>900004065DW68D25110031878</t>
        </is>
      </c>
      <c r="B153" t="inlineStr">
        <is>
          <t>900004065</t>
        </is>
      </c>
      <c r="C153" t="inlineStr">
        <is>
          <t>DW68</t>
        </is>
      </c>
      <c r="D153" t="inlineStr">
        <is>
          <t>D251</t>
        </is>
      </c>
      <c r="E153" t="inlineStr">
        <is>
          <t>4</t>
        </is>
      </c>
      <c r="F153" t="inlineStr">
        <is>
          <t>10031878</t>
        </is>
      </c>
      <c r="H153" t="inlineStr"/>
      <c r="J153" t="n">
        <v>206.62</v>
      </c>
      <c r="K153" t="inlineStr"/>
      <c r="M153" t="inlineStr">
        <is>
          <t>TN</t>
        </is>
      </c>
      <c r="N153" t="inlineStr"/>
      <c r="P153" t="inlineStr">
        <is>
          <t>20260201</t>
        </is>
      </c>
      <c r="Q153" t="inlineStr">
        <is>
          <t>99991231</t>
        </is>
      </c>
    </row>
    <row r="154">
      <c r="A154" t="inlineStr">
        <is>
          <t>900004065DW68D26410000320</t>
        </is>
      </c>
      <c r="B154" t="inlineStr">
        <is>
          <t>900004065</t>
        </is>
      </c>
      <c r="C154" t="inlineStr">
        <is>
          <t>DW68</t>
        </is>
      </c>
      <c r="D154" t="inlineStr">
        <is>
          <t>D264</t>
        </is>
      </c>
      <c r="E154" t="inlineStr">
        <is>
          <t>4</t>
        </is>
      </c>
      <c r="F154" t="inlineStr">
        <is>
          <t>10000320</t>
        </is>
      </c>
      <c r="H154" t="inlineStr"/>
      <c r="J154" t="n">
        <v>180.62</v>
      </c>
      <c r="K154" t="inlineStr"/>
      <c r="M154" t="inlineStr">
        <is>
          <t>TN</t>
        </is>
      </c>
      <c r="N154" t="inlineStr"/>
      <c r="P154" t="inlineStr">
        <is>
          <t>20260201</t>
        </is>
      </c>
      <c r="Q154" t="inlineStr">
        <is>
          <t>99991231</t>
        </is>
      </c>
    </row>
    <row r="155">
      <c r="A155" t="inlineStr">
        <is>
          <t>900004065DW68D26410031878</t>
        </is>
      </c>
      <c r="B155" t="inlineStr">
        <is>
          <t>900004065</t>
        </is>
      </c>
      <c r="C155" t="inlineStr">
        <is>
          <t>DW68</t>
        </is>
      </c>
      <c r="D155" t="inlineStr">
        <is>
          <t>D264</t>
        </is>
      </c>
      <c r="E155" t="inlineStr">
        <is>
          <t>4</t>
        </is>
      </c>
      <c r="F155" t="inlineStr">
        <is>
          <t>10031878</t>
        </is>
      </c>
      <c r="H155" t="inlineStr"/>
      <c r="J155" t="n">
        <v>180.62</v>
      </c>
      <c r="K155" t="inlineStr"/>
      <c r="M155" t="inlineStr">
        <is>
          <t>TN</t>
        </is>
      </c>
      <c r="N155" t="inlineStr"/>
      <c r="P155" t="inlineStr">
        <is>
          <t>20260201</t>
        </is>
      </c>
      <c r="Q155" t="inlineStr">
        <is>
          <t>99991231</t>
        </is>
      </c>
    </row>
    <row r="156">
      <c r="A156" t="inlineStr">
        <is>
          <t>900004065DW68D26810000320</t>
        </is>
      </c>
      <c r="B156" t="inlineStr">
        <is>
          <t>900004065</t>
        </is>
      </c>
      <c r="C156" t="inlineStr">
        <is>
          <t>DW68</t>
        </is>
      </c>
      <c r="D156" t="inlineStr">
        <is>
          <t>D268</t>
        </is>
      </c>
      <c r="E156" t="inlineStr">
        <is>
          <t>4</t>
        </is>
      </c>
      <c r="F156" t="inlineStr">
        <is>
          <t>10000320</t>
        </is>
      </c>
      <c r="H156" t="inlineStr"/>
      <c r="J156" t="n">
        <v>219.44</v>
      </c>
      <c r="K156" t="inlineStr"/>
      <c r="M156" t="inlineStr">
        <is>
          <t>TN</t>
        </is>
      </c>
      <c r="N156" t="inlineStr"/>
      <c r="P156" t="inlineStr">
        <is>
          <t>20260201</t>
        </is>
      </c>
      <c r="Q156" t="inlineStr">
        <is>
          <t>99991231</t>
        </is>
      </c>
    </row>
    <row r="157">
      <c r="A157" t="inlineStr">
        <is>
          <t>900004065DW68D26810031878</t>
        </is>
      </c>
      <c r="B157" t="inlineStr">
        <is>
          <t>900004065</t>
        </is>
      </c>
      <c r="C157" t="inlineStr">
        <is>
          <t>DW68</t>
        </is>
      </c>
      <c r="D157" t="inlineStr">
        <is>
          <t>D268</t>
        </is>
      </c>
      <c r="E157" t="inlineStr">
        <is>
          <t>4</t>
        </is>
      </c>
      <c r="F157" t="inlineStr">
        <is>
          <t>10031878</t>
        </is>
      </c>
      <c r="H157" t="inlineStr"/>
      <c r="J157" t="n">
        <v>219.44</v>
      </c>
      <c r="K157" t="inlineStr"/>
      <c r="M157" t="inlineStr">
        <is>
          <t>TN</t>
        </is>
      </c>
      <c r="N157" t="inlineStr"/>
      <c r="P157" t="inlineStr">
        <is>
          <t>20260201</t>
        </is>
      </c>
      <c r="Q157" t="inlineStr">
        <is>
          <t>99991231</t>
        </is>
      </c>
    </row>
    <row r="158">
      <c r="A158" t="inlineStr">
        <is>
          <t>900004153DW68D04210000144</t>
        </is>
      </c>
      <c r="B158" t="inlineStr">
        <is>
          <t>900004153</t>
        </is>
      </c>
      <c r="C158" t="inlineStr">
        <is>
          <t>DW68</t>
        </is>
      </c>
      <c r="D158" t="inlineStr">
        <is>
          <t>D042</t>
        </is>
      </c>
      <c r="E158" t="inlineStr">
        <is>
          <t>4</t>
        </is>
      </c>
      <c r="F158" t="inlineStr">
        <is>
          <t>10000144</t>
        </is>
      </c>
      <c r="H158" t="inlineStr"/>
      <c r="J158" t="n">
        <v>198.72</v>
      </c>
      <c r="K158" t="inlineStr"/>
      <c r="M158" t="inlineStr">
        <is>
          <t>TN</t>
        </is>
      </c>
      <c r="N158" t="inlineStr"/>
      <c r="P158" t="inlineStr">
        <is>
          <t>20260201</t>
        </is>
      </c>
      <c r="Q158" t="inlineStr">
        <is>
          <t>99991231</t>
        </is>
      </c>
    </row>
    <row r="159">
      <c r="A159" t="inlineStr">
        <is>
          <t>900004153DW68D04210000191</t>
        </is>
      </c>
      <c r="B159" t="inlineStr">
        <is>
          <t>900004153</t>
        </is>
      </c>
      <c r="C159" t="inlineStr">
        <is>
          <t>DW68</t>
        </is>
      </c>
      <c r="D159" t="inlineStr">
        <is>
          <t>D042</t>
        </is>
      </c>
      <c r="E159" t="inlineStr">
        <is>
          <t>4</t>
        </is>
      </c>
      <c r="F159" t="inlineStr">
        <is>
          <t>10000191</t>
        </is>
      </c>
      <c r="H159" t="inlineStr"/>
      <c r="J159" t="n">
        <v>194.4</v>
      </c>
      <c r="K159" t="inlineStr"/>
      <c r="M159" t="inlineStr">
        <is>
          <t>TN</t>
        </is>
      </c>
      <c r="N159" t="inlineStr"/>
      <c r="P159" t="inlineStr">
        <is>
          <t>20260201</t>
        </is>
      </c>
      <c r="Q159" t="inlineStr">
        <is>
          <t>99991231</t>
        </is>
      </c>
    </row>
    <row r="160">
      <c r="A160" t="inlineStr">
        <is>
          <t>900004153DW68D04210000384</t>
        </is>
      </c>
      <c r="B160" t="inlineStr">
        <is>
          <t>900004153</t>
        </is>
      </c>
      <c r="C160" t="inlineStr">
        <is>
          <t>DW68</t>
        </is>
      </c>
      <c r="D160" t="inlineStr">
        <is>
          <t>D042</t>
        </is>
      </c>
      <c r="E160" t="inlineStr">
        <is>
          <t>4</t>
        </is>
      </c>
      <c r="F160" t="inlineStr">
        <is>
          <t>10000384</t>
        </is>
      </c>
      <c r="H160" t="inlineStr"/>
      <c r="J160" t="n">
        <v>172.8</v>
      </c>
      <c r="K160" t="inlineStr"/>
      <c r="M160" t="inlineStr">
        <is>
          <t>TN</t>
        </is>
      </c>
      <c r="N160" t="inlineStr"/>
      <c r="P160" t="inlineStr">
        <is>
          <t>20260201</t>
        </is>
      </c>
      <c r="Q160" t="inlineStr">
        <is>
          <t>99991231</t>
        </is>
      </c>
    </row>
    <row r="161">
      <c r="A161" t="inlineStr">
        <is>
          <t>900004153DW68D04210000388</t>
        </is>
      </c>
      <c r="B161" t="inlineStr">
        <is>
          <t>900004153</t>
        </is>
      </c>
      <c r="C161" t="inlineStr">
        <is>
          <t>DW68</t>
        </is>
      </c>
      <c r="D161" t="inlineStr">
        <is>
          <t>D042</t>
        </is>
      </c>
      <c r="E161" t="inlineStr">
        <is>
          <t>4</t>
        </is>
      </c>
      <c r="F161" t="inlineStr">
        <is>
          <t>10000388</t>
        </is>
      </c>
      <c r="H161" t="inlineStr"/>
      <c r="J161" t="n">
        <v>203.04</v>
      </c>
      <c r="K161" t="inlineStr"/>
      <c r="M161" t="inlineStr">
        <is>
          <t>TN</t>
        </is>
      </c>
      <c r="N161" t="inlineStr"/>
      <c r="P161" t="inlineStr">
        <is>
          <t>20260201</t>
        </is>
      </c>
      <c r="Q161" t="inlineStr">
        <is>
          <t>99991231</t>
        </is>
      </c>
    </row>
    <row r="162">
      <c r="A162" t="inlineStr">
        <is>
          <t>900004153DW68D04210004258</t>
        </is>
      </c>
      <c r="B162" t="inlineStr">
        <is>
          <t>900004153</t>
        </is>
      </c>
      <c r="C162" t="inlineStr">
        <is>
          <t>DW68</t>
        </is>
      </c>
      <c r="D162" t="inlineStr">
        <is>
          <t>D042</t>
        </is>
      </c>
      <c r="E162" t="inlineStr">
        <is>
          <t>4</t>
        </is>
      </c>
      <c r="F162" t="inlineStr">
        <is>
          <t>10004258</t>
        </is>
      </c>
      <c r="H162" t="inlineStr"/>
      <c r="J162" t="n">
        <v>185.76</v>
      </c>
      <c r="K162" t="inlineStr"/>
      <c r="M162" t="inlineStr">
        <is>
          <t>TN</t>
        </is>
      </c>
      <c r="N162" t="inlineStr"/>
      <c r="P162" t="inlineStr">
        <is>
          <t>20260201</t>
        </is>
      </c>
      <c r="Q162" t="inlineStr">
        <is>
          <t>99991231</t>
        </is>
      </c>
    </row>
    <row r="163">
      <c r="A163" t="inlineStr">
        <is>
          <t>900004153DW68D20910000191</t>
        </is>
      </c>
      <c r="B163" t="inlineStr">
        <is>
          <t>900004153</t>
        </is>
      </c>
      <c r="C163" t="inlineStr">
        <is>
          <t>DW68</t>
        </is>
      </c>
      <c r="D163" t="inlineStr">
        <is>
          <t>D209</t>
        </is>
      </c>
      <c r="E163" t="inlineStr">
        <is>
          <t>4</t>
        </is>
      </c>
      <c r="F163" t="inlineStr">
        <is>
          <t>10000191</t>
        </is>
      </c>
      <c r="H163" t="inlineStr"/>
      <c r="J163" t="n">
        <v>166.32</v>
      </c>
      <c r="K163" t="inlineStr"/>
      <c r="M163" t="inlineStr">
        <is>
          <t>TN</t>
        </is>
      </c>
      <c r="N163" t="inlineStr"/>
      <c r="P163" t="inlineStr">
        <is>
          <t>20260201</t>
        </is>
      </c>
      <c r="Q163" t="inlineStr">
        <is>
          <t>99991231</t>
        </is>
      </c>
    </row>
    <row r="164">
      <c r="A164" t="inlineStr">
        <is>
          <t>900004153DW68D20910000384</t>
        </is>
      </c>
      <c r="B164" t="inlineStr">
        <is>
          <t>900004153</t>
        </is>
      </c>
      <c r="C164" t="inlineStr">
        <is>
          <t>DW68</t>
        </is>
      </c>
      <c r="D164" t="inlineStr">
        <is>
          <t>D209</t>
        </is>
      </c>
      <c r="E164" t="inlineStr">
        <is>
          <t>4</t>
        </is>
      </c>
      <c r="F164" t="inlineStr">
        <is>
          <t>10000384</t>
        </is>
      </c>
      <c r="H164" t="inlineStr"/>
      <c r="J164" t="n">
        <v>149.04</v>
      </c>
      <c r="K164" t="inlineStr"/>
      <c r="M164" t="inlineStr">
        <is>
          <t>TN</t>
        </is>
      </c>
      <c r="N164" t="inlineStr"/>
      <c r="P164" t="inlineStr">
        <is>
          <t>20260201</t>
        </is>
      </c>
      <c r="Q164" t="inlineStr">
        <is>
          <t>99991231</t>
        </is>
      </c>
    </row>
    <row r="165">
      <c r="A165" t="inlineStr">
        <is>
          <t>900004153DW68D20910000388</t>
        </is>
      </c>
      <c r="B165" t="inlineStr">
        <is>
          <t>900004153</t>
        </is>
      </c>
      <c r="C165" t="inlineStr">
        <is>
          <t>DW68</t>
        </is>
      </c>
      <c r="D165" t="inlineStr">
        <is>
          <t>D209</t>
        </is>
      </c>
      <c r="E165" t="inlineStr">
        <is>
          <t>4</t>
        </is>
      </c>
      <c r="F165" t="inlineStr">
        <is>
          <t>10000388</t>
        </is>
      </c>
      <c r="H165" t="inlineStr"/>
      <c r="J165" t="n">
        <v>172.8</v>
      </c>
      <c r="K165" t="inlineStr"/>
      <c r="M165" t="inlineStr">
        <is>
          <t>TN</t>
        </is>
      </c>
      <c r="N165" t="inlineStr"/>
      <c r="P165" t="inlineStr">
        <is>
          <t>20260201</t>
        </is>
      </c>
      <c r="Q165" t="inlineStr">
        <is>
          <t>99991231</t>
        </is>
      </c>
    </row>
    <row r="166">
      <c r="A166" t="inlineStr">
        <is>
          <t>900004153DW68D20910004258</t>
        </is>
      </c>
      <c r="B166" t="inlineStr">
        <is>
          <t>900004153</t>
        </is>
      </c>
      <c r="C166" t="inlineStr">
        <is>
          <t>DW68</t>
        </is>
      </c>
      <c r="D166" t="inlineStr">
        <is>
          <t>D209</t>
        </is>
      </c>
      <c r="E166" t="inlineStr">
        <is>
          <t>4</t>
        </is>
      </c>
      <c r="F166" t="inlineStr">
        <is>
          <t>10004258</t>
        </is>
      </c>
      <c r="H166" t="inlineStr"/>
      <c r="J166" t="n">
        <v>157.68</v>
      </c>
      <c r="K166" t="inlineStr"/>
      <c r="M166" t="inlineStr">
        <is>
          <t>TN</t>
        </is>
      </c>
      <c r="N166" t="inlineStr"/>
      <c r="P166" t="inlineStr">
        <is>
          <t>20260201</t>
        </is>
      </c>
      <c r="Q166" t="inlineStr">
        <is>
          <t>99991231</t>
        </is>
      </c>
    </row>
    <row r="167">
      <c r="A167" t="inlineStr">
        <is>
          <t>900004153DW68D21110000144</t>
        </is>
      </c>
      <c r="B167" t="inlineStr">
        <is>
          <t>900004153</t>
        </is>
      </c>
      <c r="C167" t="inlineStr">
        <is>
          <t>DW68</t>
        </is>
      </c>
      <c r="D167" t="inlineStr">
        <is>
          <t>D211</t>
        </is>
      </c>
      <c r="E167" t="inlineStr">
        <is>
          <t>4</t>
        </is>
      </c>
      <c r="F167" t="inlineStr">
        <is>
          <t>10000144</t>
        </is>
      </c>
      <c r="H167" t="inlineStr"/>
      <c r="J167" t="n">
        <v>166</v>
      </c>
      <c r="K167" t="inlineStr"/>
      <c r="M167" t="inlineStr">
        <is>
          <t>TN</t>
        </is>
      </c>
      <c r="N167" t="inlineStr"/>
      <c r="P167" t="inlineStr">
        <is>
          <t>20260413</t>
        </is>
      </c>
      <c r="Q167" t="inlineStr">
        <is>
          <t>99991231</t>
        </is>
      </c>
    </row>
    <row r="168">
      <c r="A168" t="inlineStr">
        <is>
          <t>900004153DW68D21110000191</t>
        </is>
      </c>
      <c r="B168" t="inlineStr">
        <is>
          <t>900004153</t>
        </is>
      </c>
      <c r="C168" t="inlineStr">
        <is>
          <t>DW68</t>
        </is>
      </c>
      <c r="D168" t="inlineStr">
        <is>
          <t>D211</t>
        </is>
      </c>
      <c r="E168" t="inlineStr">
        <is>
          <t>4</t>
        </is>
      </c>
      <c r="F168" t="inlineStr">
        <is>
          <t>10000191</t>
        </is>
      </c>
      <c r="H168" t="inlineStr"/>
      <c r="J168" t="n">
        <v>162</v>
      </c>
      <c r="K168" t="inlineStr"/>
      <c r="M168" t="inlineStr">
        <is>
          <t>TN</t>
        </is>
      </c>
      <c r="N168" t="inlineStr"/>
      <c r="P168" t="inlineStr">
        <is>
          <t>20260201</t>
        </is>
      </c>
      <c r="Q168" t="inlineStr">
        <is>
          <t>99991231</t>
        </is>
      </c>
    </row>
    <row r="169">
      <c r="A169" t="inlineStr">
        <is>
          <t>900004153DW68D21110000384</t>
        </is>
      </c>
      <c r="B169" t="inlineStr">
        <is>
          <t>900004153</t>
        </is>
      </c>
      <c r="C169" t="inlineStr">
        <is>
          <t>DW68</t>
        </is>
      </c>
      <c r="D169" t="inlineStr">
        <is>
          <t>D211</t>
        </is>
      </c>
      <c r="E169" t="inlineStr">
        <is>
          <t>4</t>
        </is>
      </c>
      <c r="F169" t="inlineStr">
        <is>
          <t>10000384</t>
        </is>
      </c>
      <c r="H169" t="inlineStr"/>
      <c r="J169" t="n">
        <v>144.72</v>
      </c>
      <c r="K169" t="inlineStr"/>
      <c r="M169" t="inlineStr">
        <is>
          <t>TN</t>
        </is>
      </c>
      <c r="N169" t="inlineStr"/>
      <c r="P169" t="inlineStr">
        <is>
          <t>20260201</t>
        </is>
      </c>
      <c r="Q169" t="inlineStr">
        <is>
          <t>99991231</t>
        </is>
      </c>
    </row>
    <row r="170">
      <c r="A170" t="inlineStr">
        <is>
          <t>900004153DW68D21110000388</t>
        </is>
      </c>
      <c r="B170" t="inlineStr">
        <is>
          <t>900004153</t>
        </is>
      </c>
      <c r="C170" t="inlineStr">
        <is>
          <t>DW68</t>
        </is>
      </c>
      <c r="D170" t="inlineStr">
        <is>
          <t>D211</t>
        </is>
      </c>
      <c r="E170" t="inlineStr">
        <is>
          <t>4</t>
        </is>
      </c>
      <c r="F170" t="inlineStr">
        <is>
          <t>10000388</t>
        </is>
      </c>
      <c r="H170" t="inlineStr"/>
      <c r="J170" t="n">
        <v>168.48</v>
      </c>
      <c r="K170" t="inlineStr"/>
      <c r="M170" t="inlineStr">
        <is>
          <t>TN</t>
        </is>
      </c>
      <c r="N170" t="inlineStr"/>
      <c r="P170" t="inlineStr">
        <is>
          <t>20260201</t>
        </is>
      </c>
      <c r="Q170" t="inlineStr">
        <is>
          <t>99991231</t>
        </is>
      </c>
    </row>
    <row r="171">
      <c r="A171" t="inlineStr">
        <is>
          <t>900004153DW68D21110004258</t>
        </is>
      </c>
      <c r="B171" t="inlineStr">
        <is>
          <t>900004153</t>
        </is>
      </c>
      <c r="C171" t="inlineStr">
        <is>
          <t>DW68</t>
        </is>
      </c>
      <c r="D171" t="inlineStr">
        <is>
          <t>D211</t>
        </is>
      </c>
      <c r="E171" t="inlineStr">
        <is>
          <t>4</t>
        </is>
      </c>
      <c r="F171" t="inlineStr">
        <is>
          <t>10004258</t>
        </is>
      </c>
      <c r="H171" t="inlineStr"/>
      <c r="J171" t="n">
        <v>153.36</v>
      </c>
      <c r="K171" t="inlineStr"/>
      <c r="M171" t="inlineStr">
        <is>
          <t>TN</t>
        </is>
      </c>
      <c r="N171" t="inlineStr"/>
      <c r="P171" t="inlineStr">
        <is>
          <t>20260201</t>
        </is>
      </c>
      <c r="Q171" t="inlineStr">
        <is>
          <t>99991231</t>
        </is>
      </c>
    </row>
    <row r="172">
      <c r="A172" t="inlineStr">
        <is>
          <t>900004153DW68D21310000191</t>
        </is>
      </c>
      <c r="B172" t="inlineStr">
        <is>
          <t>900004153</t>
        </is>
      </c>
      <c r="C172" t="inlineStr">
        <is>
          <t>DW68</t>
        </is>
      </c>
      <c r="D172" t="inlineStr">
        <is>
          <t>D213</t>
        </is>
      </c>
      <c r="E172" t="inlineStr">
        <is>
          <t>4</t>
        </is>
      </c>
      <c r="F172" t="inlineStr">
        <is>
          <t>10000191</t>
        </is>
      </c>
      <c r="H172" t="inlineStr"/>
      <c r="J172" t="n">
        <v>36.72</v>
      </c>
      <c r="K172" t="inlineStr"/>
      <c r="M172" t="inlineStr">
        <is>
          <t>TN</t>
        </is>
      </c>
      <c r="N172" t="inlineStr"/>
      <c r="P172" t="inlineStr">
        <is>
          <t>20260201</t>
        </is>
      </c>
      <c r="Q172" t="inlineStr">
        <is>
          <t>99991231</t>
        </is>
      </c>
    </row>
    <row r="173">
      <c r="A173" t="inlineStr">
        <is>
          <t>900004153DW68D21310000384</t>
        </is>
      </c>
      <c r="B173" t="inlineStr">
        <is>
          <t>900004153</t>
        </is>
      </c>
      <c r="C173" t="inlineStr">
        <is>
          <t>DW68</t>
        </is>
      </c>
      <c r="D173" t="inlineStr">
        <is>
          <t>D213</t>
        </is>
      </c>
      <c r="E173" t="inlineStr">
        <is>
          <t>4</t>
        </is>
      </c>
      <c r="F173" t="inlineStr">
        <is>
          <t>10000384</t>
        </is>
      </c>
      <c r="H173" t="inlineStr"/>
      <c r="J173" t="n">
        <v>32.4</v>
      </c>
      <c r="K173" t="inlineStr"/>
      <c r="M173" t="inlineStr">
        <is>
          <t>TN</t>
        </is>
      </c>
      <c r="N173" t="inlineStr"/>
      <c r="P173" t="inlineStr">
        <is>
          <t>20260201</t>
        </is>
      </c>
      <c r="Q173" t="inlineStr">
        <is>
          <t>99991231</t>
        </is>
      </c>
    </row>
    <row r="174">
      <c r="A174" t="inlineStr">
        <is>
          <t>900004153DW68D21310000388</t>
        </is>
      </c>
      <c r="B174" t="inlineStr">
        <is>
          <t>900004153</t>
        </is>
      </c>
      <c r="C174" t="inlineStr">
        <is>
          <t>DW68</t>
        </is>
      </c>
      <c r="D174" t="inlineStr">
        <is>
          <t>D213</t>
        </is>
      </c>
      <c r="E174" t="inlineStr">
        <is>
          <t>4</t>
        </is>
      </c>
      <c r="F174" t="inlineStr">
        <is>
          <t>10000388</t>
        </is>
      </c>
      <c r="H174" t="inlineStr"/>
      <c r="J174" t="n">
        <v>36.72</v>
      </c>
      <c r="K174" t="inlineStr"/>
      <c r="M174" t="inlineStr">
        <is>
          <t>TN</t>
        </is>
      </c>
      <c r="N174" t="inlineStr"/>
      <c r="P174" t="inlineStr">
        <is>
          <t>20260201</t>
        </is>
      </c>
      <c r="Q174" t="inlineStr">
        <is>
          <t>99991231</t>
        </is>
      </c>
    </row>
    <row r="175">
      <c r="A175" t="inlineStr">
        <is>
          <t>900004153DW68D21310004258</t>
        </is>
      </c>
      <c r="B175" t="inlineStr">
        <is>
          <t>900004153</t>
        </is>
      </c>
      <c r="C175" t="inlineStr">
        <is>
          <t>DW68</t>
        </is>
      </c>
      <c r="D175" t="inlineStr">
        <is>
          <t>D213</t>
        </is>
      </c>
      <c r="E175" t="inlineStr">
        <is>
          <t>4</t>
        </is>
      </c>
      <c r="F175" t="inlineStr">
        <is>
          <t>10004258</t>
        </is>
      </c>
      <c r="H175" t="inlineStr"/>
      <c r="J175" t="n">
        <v>34.56</v>
      </c>
      <c r="K175" t="inlineStr"/>
      <c r="M175" t="inlineStr">
        <is>
          <t>TN</t>
        </is>
      </c>
      <c r="N175" t="inlineStr"/>
      <c r="P175" t="inlineStr">
        <is>
          <t>20260201</t>
        </is>
      </c>
      <c r="Q175" t="inlineStr">
        <is>
          <t>99991231</t>
        </is>
      </c>
    </row>
    <row r="176">
      <c r="A176" t="inlineStr">
        <is>
          <t>900004153DW68D21410000191</t>
        </is>
      </c>
      <c r="B176" t="inlineStr">
        <is>
          <t>900004153</t>
        </is>
      </c>
      <c r="C176" t="inlineStr">
        <is>
          <t>DW68</t>
        </is>
      </c>
      <c r="D176" t="inlineStr">
        <is>
          <t>D214</t>
        </is>
      </c>
      <c r="E176" t="inlineStr">
        <is>
          <t>4</t>
        </is>
      </c>
      <c r="F176" t="inlineStr">
        <is>
          <t>10000191</t>
        </is>
      </c>
      <c r="H176" t="inlineStr"/>
      <c r="J176" t="n">
        <v>170.81</v>
      </c>
      <c r="K176" t="inlineStr"/>
      <c r="M176" t="inlineStr">
        <is>
          <t>TN</t>
        </is>
      </c>
      <c r="N176" t="inlineStr"/>
      <c r="P176" t="inlineStr">
        <is>
          <t>20220516</t>
        </is>
      </c>
      <c r="Q176" t="inlineStr">
        <is>
          <t>99991231</t>
        </is>
      </c>
    </row>
    <row r="177">
      <c r="A177" t="inlineStr">
        <is>
          <t>900004153DW68D21410000384</t>
        </is>
      </c>
      <c r="B177" t="inlineStr">
        <is>
          <t>900004153</t>
        </is>
      </c>
      <c r="C177" t="inlineStr">
        <is>
          <t>DW68</t>
        </is>
      </c>
      <c r="D177" t="inlineStr">
        <is>
          <t>D214</t>
        </is>
      </c>
      <c r="E177" t="inlineStr">
        <is>
          <t>4</t>
        </is>
      </c>
      <c r="F177" t="inlineStr">
        <is>
          <t>10000384</t>
        </is>
      </c>
      <c r="H177" t="inlineStr"/>
      <c r="J177" t="n">
        <v>149.21</v>
      </c>
      <c r="K177" t="inlineStr"/>
      <c r="M177" t="inlineStr">
        <is>
          <t>TN</t>
        </is>
      </c>
      <c r="N177" t="inlineStr"/>
      <c r="P177" t="inlineStr">
        <is>
          <t>20220516</t>
        </is>
      </c>
      <c r="Q177" t="inlineStr">
        <is>
          <t>99991231</t>
        </is>
      </c>
    </row>
    <row r="178">
      <c r="A178" t="inlineStr">
        <is>
          <t>900004153DW68D21410000388</t>
        </is>
      </c>
      <c r="B178" t="inlineStr">
        <is>
          <t>900004153</t>
        </is>
      </c>
      <c r="C178" t="inlineStr">
        <is>
          <t>DW68</t>
        </is>
      </c>
      <c r="D178" t="inlineStr">
        <is>
          <t>D214</t>
        </is>
      </c>
      <c r="E178" t="inlineStr">
        <is>
          <t>4</t>
        </is>
      </c>
      <c r="F178" t="inlineStr">
        <is>
          <t>10000388</t>
        </is>
      </c>
      <c r="H178" t="inlineStr"/>
      <c r="J178" t="n">
        <v>173.9</v>
      </c>
      <c r="K178" t="inlineStr"/>
      <c r="M178" t="inlineStr">
        <is>
          <t>TN</t>
        </is>
      </c>
      <c r="N178" t="inlineStr"/>
      <c r="P178" t="inlineStr">
        <is>
          <t>20220516</t>
        </is>
      </c>
      <c r="Q178" t="inlineStr">
        <is>
          <t>99991231</t>
        </is>
      </c>
    </row>
    <row r="179">
      <c r="A179" t="inlineStr">
        <is>
          <t>900004153DW68D21410004258</t>
        </is>
      </c>
      <c r="B179" t="inlineStr">
        <is>
          <t>900004153</t>
        </is>
      </c>
      <c r="C179" t="inlineStr">
        <is>
          <t>DW68</t>
        </is>
      </c>
      <c r="D179" t="inlineStr">
        <is>
          <t>D214</t>
        </is>
      </c>
      <c r="E179" t="inlineStr">
        <is>
          <t>4</t>
        </is>
      </c>
      <c r="F179" t="inlineStr">
        <is>
          <t>10004258</t>
        </is>
      </c>
      <c r="H179" t="inlineStr"/>
      <c r="J179" t="n">
        <v>164.64</v>
      </c>
      <c r="K179" t="inlineStr"/>
      <c r="M179" t="inlineStr">
        <is>
          <t>TN</t>
        </is>
      </c>
      <c r="N179" t="inlineStr"/>
      <c r="P179" t="inlineStr">
        <is>
          <t>20220516</t>
        </is>
      </c>
      <c r="Q179" t="inlineStr">
        <is>
          <t>99991231</t>
        </is>
      </c>
    </row>
    <row r="180">
      <c r="A180" t="inlineStr">
        <is>
          <t>900004153DW68D22010000191</t>
        </is>
      </c>
      <c r="B180" t="inlineStr">
        <is>
          <t>900004153</t>
        </is>
      </c>
      <c r="C180" t="inlineStr">
        <is>
          <t>DW68</t>
        </is>
      </c>
      <c r="D180" t="inlineStr">
        <is>
          <t>D220</t>
        </is>
      </c>
      <c r="E180" t="inlineStr">
        <is>
          <t>4</t>
        </is>
      </c>
      <c r="F180" t="inlineStr">
        <is>
          <t>10000191</t>
        </is>
      </c>
      <c r="H180" t="inlineStr"/>
      <c r="J180" t="n">
        <v>168.48</v>
      </c>
      <c r="K180" t="inlineStr"/>
      <c r="M180" t="inlineStr">
        <is>
          <t>TN</t>
        </is>
      </c>
      <c r="N180" t="inlineStr"/>
      <c r="P180" t="inlineStr">
        <is>
          <t>20260201</t>
        </is>
      </c>
      <c r="Q180" t="inlineStr">
        <is>
          <t>99991231</t>
        </is>
      </c>
    </row>
    <row r="181">
      <c r="A181" t="inlineStr">
        <is>
          <t>900004153DW68D22010000384</t>
        </is>
      </c>
      <c r="B181" t="inlineStr">
        <is>
          <t>900004153</t>
        </is>
      </c>
      <c r="C181" t="inlineStr">
        <is>
          <t>DW68</t>
        </is>
      </c>
      <c r="D181" t="inlineStr">
        <is>
          <t>D220</t>
        </is>
      </c>
      <c r="E181" t="inlineStr">
        <is>
          <t>4</t>
        </is>
      </c>
      <c r="F181" t="inlineStr">
        <is>
          <t>10000384</t>
        </is>
      </c>
      <c r="H181" t="inlineStr"/>
      <c r="J181" t="n">
        <v>151.2</v>
      </c>
      <c r="K181" t="inlineStr"/>
      <c r="M181" t="inlineStr">
        <is>
          <t>TN</t>
        </is>
      </c>
      <c r="N181" t="inlineStr"/>
      <c r="P181" t="inlineStr">
        <is>
          <t>20260201</t>
        </is>
      </c>
      <c r="Q181" t="inlineStr">
        <is>
          <t>99991231</t>
        </is>
      </c>
    </row>
    <row r="182">
      <c r="A182" t="inlineStr">
        <is>
          <t>900004153DW68D22010000388</t>
        </is>
      </c>
      <c r="B182" t="inlineStr">
        <is>
          <t>900004153</t>
        </is>
      </c>
      <c r="C182" t="inlineStr">
        <is>
          <t>DW68</t>
        </is>
      </c>
      <c r="D182" t="inlineStr">
        <is>
          <t>D220</t>
        </is>
      </c>
      <c r="E182" t="inlineStr">
        <is>
          <t>4</t>
        </is>
      </c>
      <c r="F182" t="inlineStr">
        <is>
          <t>10000388</t>
        </is>
      </c>
      <c r="H182" t="inlineStr"/>
      <c r="J182" t="n">
        <v>174.96</v>
      </c>
      <c r="K182" t="inlineStr"/>
      <c r="M182" t="inlineStr">
        <is>
          <t>TN</t>
        </is>
      </c>
      <c r="N182" t="inlineStr"/>
      <c r="P182" t="inlineStr">
        <is>
          <t>20260201</t>
        </is>
      </c>
      <c r="Q182" t="inlineStr">
        <is>
          <t>99991231</t>
        </is>
      </c>
    </row>
    <row r="183">
      <c r="A183" t="inlineStr">
        <is>
          <t>900004153DW68D22010004258</t>
        </is>
      </c>
      <c r="B183" t="inlineStr">
        <is>
          <t>900004153</t>
        </is>
      </c>
      <c r="C183" t="inlineStr">
        <is>
          <t>DW68</t>
        </is>
      </c>
      <c r="D183" t="inlineStr">
        <is>
          <t>D220</t>
        </is>
      </c>
      <c r="E183" t="inlineStr">
        <is>
          <t>4</t>
        </is>
      </c>
      <c r="F183" t="inlineStr">
        <is>
          <t>10004258</t>
        </is>
      </c>
      <c r="H183" t="inlineStr"/>
      <c r="J183" t="n">
        <v>159.84</v>
      </c>
      <c r="K183" t="inlineStr"/>
      <c r="M183" t="inlineStr">
        <is>
          <t>TN</t>
        </is>
      </c>
      <c r="N183" t="inlineStr"/>
      <c r="P183" t="inlineStr">
        <is>
          <t>20260201</t>
        </is>
      </c>
      <c r="Q183" t="inlineStr">
        <is>
          <t>99991231</t>
        </is>
      </c>
    </row>
    <row r="184">
      <c r="A184" t="inlineStr">
        <is>
          <t>900004153DW68D22810000191</t>
        </is>
      </c>
      <c r="B184" t="inlineStr">
        <is>
          <t>900004153</t>
        </is>
      </c>
      <c r="C184" t="inlineStr">
        <is>
          <t>DW68</t>
        </is>
      </c>
      <c r="D184" t="inlineStr">
        <is>
          <t>D228</t>
        </is>
      </c>
      <c r="E184" t="inlineStr">
        <is>
          <t>4</t>
        </is>
      </c>
      <c r="F184" t="inlineStr">
        <is>
          <t>10000191</t>
        </is>
      </c>
      <c r="H184" t="inlineStr"/>
      <c r="J184" t="n">
        <v>203.04</v>
      </c>
      <c r="K184" t="inlineStr"/>
      <c r="M184" t="inlineStr">
        <is>
          <t>TN</t>
        </is>
      </c>
      <c r="N184" t="inlineStr"/>
      <c r="P184" t="inlineStr">
        <is>
          <t>20260201</t>
        </is>
      </c>
      <c r="Q184" t="inlineStr">
        <is>
          <t>99991231</t>
        </is>
      </c>
    </row>
    <row r="185">
      <c r="A185" t="inlineStr">
        <is>
          <t>900004153DW68D22810000384</t>
        </is>
      </c>
      <c r="B185" t="inlineStr">
        <is>
          <t>900004153</t>
        </is>
      </c>
      <c r="C185" t="inlineStr">
        <is>
          <t>DW68</t>
        </is>
      </c>
      <c r="D185" t="inlineStr">
        <is>
          <t>D228</t>
        </is>
      </c>
      <c r="E185" t="inlineStr">
        <is>
          <t>4</t>
        </is>
      </c>
      <c r="F185" t="inlineStr">
        <is>
          <t>10000384</t>
        </is>
      </c>
      <c r="H185" t="inlineStr"/>
      <c r="J185" t="n">
        <v>181.44</v>
      </c>
      <c r="K185" t="inlineStr"/>
      <c r="M185" t="inlineStr">
        <is>
          <t>TN</t>
        </is>
      </c>
      <c r="N185" t="inlineStr"/>
      <c r="P185" t="inlineStr">
        <is>
          <t>20260201</t>
        </is>
      </c>
      <c r="Q185" t="inlineStr">
        <is>
          <t>99991231</t>
        </is>
      </c>
    </row>
    <row r="186">
      <c r="A186" t="inlineStr">
        <is>
          <t>900004153DW68D22810000388</t>
        </is>
      </c>
      <c r="B186" t="inlineStr">
        <is>
          <t>900004153</t>
        </is>
      </c>
      <c r="C186" t="inlineStr">
        <is>
          <t>DW68</t>
        </is>
      </c>
      <c r="D186" t="inlineStr">
        <is>
          <t>D228</t>
        </is>
      </c>
      <c r="E186" t="inlineStr">
        <is>
          <t>4</t>
        </is>
      </c>
      <c r="F186" t="inlineStr">
        <is>
          <t>10000388</t>
        </is>
      </c>
      <c r="H186" t="inlineStr"/>
      <c r="J186" t="n">
        <v>211.68</v>
      </c>
      <c r="K186" t="inlineStr"/>
      <c r="M186" t="inlineStr">
        <is>
          <t>TN</t>
        </is>
      </c>
      <c r="N186" t="inlineStr"/>
      <c r="P186" t="inlineStr">
        <is>
          <t>20260201</t>
        </is>
      </c>
      <c r="Q186" t="inlineStr">
        <is>
          <t>99991231</t>
        </is>
      </c>
    </row>
    <row r="187">
      <c r="A187" t="inlineStr">
        <is>
          <t>900004153DW68D22810004258</t>
        </is>
      </c>
      <c r="B187" t="inlineStr">
        <is>
          <t>900004153</t>
        </is>
      </c>
      <c r="C187" t="inlineStr">
        <is>
          <t>DW68</t>
        </is>
      </c>
      <c r="D187" t="inlineStr">
        <is>
          <t>D228</t>
        </is>
      </c>
      <c r="E187" t="inlineStr">
        <is>
          <t>4</t>
        </is>
      </c>
      <c r="F187" t="inlineStr">
        <is>
          <t>10004258</t>
        </is>
      </c>
      <c r="H187" t="inlineStr"/>
      <c r="J187" t="n">
        <v>192.24</v>
      </c>
      <c r="K187" t="inlineStr"/>
      <c r="M187" t="inlineStr">
        <is>
          <t>TN</t>
        </is>
      </c>
      <c r="N187" t="inlineStr"/>
      <c r="P187" t="inlineStr">
        <is>
          <t>20260201</t>
        </is>
      </c>
      <c r="Q187" t="inlineStr">
        <is>
          <t>99991231</t>
        </is>
      </c>
    </row>
    <row r="188">
      <c r="A188" t="inlineStr">
        <is>
          <t>900004153DW68D24210000191</t>
        </is>
      </c>
      <c r="B188" t="inlineStr">
        <is>
          <t>900004153</t>
        </is>
      </c>
      <c r="C188" t="inlineStr">
        <is>
          <t>DW68</t>
        </is>
      </c>
      <c r="D188" t="inlineStr">
        <is>
          <t>D242</t>
        </is>
      </c>
      <c r="E188" t="inlineStr">
        <is>
          <t>4</t>
        </is>
      </c>
      <c r="F188" t="inlineStr">
        <is>
          <t>10000191</t>
        </is>
      </c>
      <c r="H188" t="inlineStr"/>
      <c r="J188" t="n">
        <v>192.24</v>
      </c>
      <c r="K188" t="inlineStr"/>
      <c r="M188" t="inlineStr">
        <is>
          <t>TN</t>
        </is>
      </c>
      <c r="N188" t="inlineStr"/>
      <c r="P188" t="inlineStr">
        <is>
          <t>20260201</t>
        </is>
      </c>
      <c r="Q188" t="inlineStr">
        <is>
          <t>99991231</t>
        </is>
      </c>
    </row>
    <row r="189">
      <c r="A189" t="inlineStr">
        <is>
          <t>900004153DW68D24210000384</t>
        </is>
      </c>
      <c r="B189" t="inlineStr">
        <is>
          <t>900004153</t>
        </is>
      </c>
      <c r="C189" t="inlineStr">
        <is>
          <t>DW68</t>
        </is>
      </c>
      <c r="D189" t="inlineStr">
        <is>
          <t>D242</t>
        </is>
      </c>
      <c r="E189" t="inlineStr">
        <is>
          <t>4</t>
        </is>
      </c>
      <c r="F189" t="inlineStr">
        <is>
          <t>10000384</t>
        </is>
      </c>
      <c r="H189" t="inlineStr"/>
      <c r="J189" t="n">
        <v>170.64</v>
      </c>
      <c r="K189" t="inlineStr"/>
      <c r="M189" t="inlineStr">
        <is>
          <t>TN</t>
        </is>
      </c>
      <c r="N189" t="inlineStr"/>
      <c r="P189" t="inlineStr">
        <is>
          <t>20260201</t>
        </is>
      </c>
      <c r="Q189" t="inlineStr">
        <is>
          <t>99991231</t>
        </is>
      </c>
    </row>
    <row r="190">
      <c r="A190" t="inlineStr">
        <is>
          <t>900004153DW68D24210000388</t>
        </is>
      </c>
      <c r="B190" t="inlineStr">
        <is>
          <t>900004153</t>
        </is>
      </c>
      <c r="C190" t="inlineStr">
        <is>
          <t>DW68</t>
        </is>
      </c>
      <c r="D190" t="inlineStr">
        <is>
          <t>D242</t>
        </is>
      </c>
      <c r="E190" t="inlineStr">
        <is>
          <t>4</t>
        </is>
      </c>
      <c r="F190" t="inlineStr">
        <is>
          <t>10000388</t>
        </is>
      </c>
      <c r="H190" t="inlineStr"/>
      <c r="J190" t="n">
        <v>200.88</v>
      </c>
      <c r="K190" t="inlineStr"/>
      <c r="M190" t="inlineStr">
        <is>
          <t>TN</t>
        </is>
      </c>
      <c r="N190" t="inlineStr"/>
      <c r="P190" t="inlineStr">
        <is>
          <t>20260201</t>
        </is>
      </c>
      <c r="Q190" t="inlineStr">
        <is>
          <t>99991231</t>
        </is>
      </c>
    </row>
    <row r="191">
      <c r="A191" t="inlineStr">
        <is>
          <t>900004153DW68D24210004258</t>
        </is>
      </c>
      <c r="B191" t="inlineStr">
        <is>
          <t>900004153</t>
        </is>
      </c>
      <c r="C191" t="inlineStr">
        <is>
          <t>DW68</t>
        </is>
      </c>
      <c r="D191" t="inlineStr">
        <is>
          <t>D242</t>
        </is>
      </c>
      <c r="E191" t="inlineStr">
        <is>
          <t>4</t>
        </is>
      </c>
      <c r="F191" t="inlineStr">
        <is>
          <t>10004258</t>
        </is>
      </c>
      <c r="H191" t="inlineStr"/>
      <c r="J191" t="n">
        <v>183.6</v>
      </c>
      <c r="K191" t="inlineStr"/>
      <c r="M191" t="inlineStr">
        <is>
          <t>TN</t>
        </is>
      </c>
      <c r="N191" t="inlineStr"/>
      <c r="P191" t="inlineStr">
        <is>
          <t>20260201</t>
        </is>
      </c>
      <c r="Q191" t="inlineStr">
        <is>
          <t>99991231</t>
        </is>
      </c>
    </row>
    <row r="192">
      <c r="A192" t="inlineStr">
        <is>
          <t>900004153DW68D24710000191</t>
        </is>
      </c>
      <c r="B192" t="inlineStr">
        <is>
          <t>900004153</t>
        </is>
      </c>
      <c r="C192" t="inlineStr">
        <is>
          <t>DW68</t>
        </is>
      </c>
      <c r="D192" t="inlineStr">
        <is>
          <t>D247</t>
        </is>
      </c>
      <c r="E192" t="inlineStr">
        <is>
          <t>4</t>
        </is>
      </c>
      <c r="F192" t="inlineStr">
        <is>
          <t>10000191</t>
        </is>
      </c>
      <c r="H192" t="inlineStr"/>
      <c r="J192" t="n">
        <v>185.76</v>
      </c>
      <c r="K192" t="inlineStr"/>
      <c r="M192" t="inlineStr">
        <is>
          <t>TN</t>
        </is>
      </c>
      <c r="N192" t="inlineStr"/>
      <c r="P192" t="inlineStr">
        <is>
          <t>20260201</t>
        </is>
      </c>
      <c r="Q192" t="inlineStr">
        <is>
          <t>99991231</t>
        </is>
      </c>
    </row>
    <row r="193">
      <c r="A193" t="inlineStr">
        <is>
          <t>900004153DW68D24710000384</t>
        </is>
      </c>
      <c r="B193" t="inlineStr">
        <is>
          <t>900004153</t>
        </is>
      </c>
      <c r="C193" t="inlineStr">
        <is>
          <t>DW68</t>
        </is>
      </c>
      <c r="D193" t="inlineStr">
        <is>
          <t>D247</t>
        </is>
      </c>
      <c r="E193" t="inlineStr">
        <is>
          <t>4</t>
        </is>
      </c>
      <c r="F193" t="inlineStr">
        <is>
          <t>10000384</t>
        </is>
      </c>
      <c r="H193" t="inlineStr"/>
      <c r="J193" t="n">
        <v>166.32</v>
      </c>
      <c r="K193" t="inlineStr"/>
      <c r="M193" t="inlineStr">
        <is>
          <t>TN</t>
        </is>
      </c>
      <c r="N193" t="inlineStr"/>
      <c r="P193" t="inlineStr">
        <is>
          <t>20260201</t>
        </is>
      </c>
      <c r="Q193" t="inlineStr">
        <is>
          <t>99991231</t>
        </is>
      </c>
    </row>
    <row r="194">
      <c r="A194" t="inlineStr">
        <is>
          <t>900004153DW68D24710000388</t>
        </is>
      </c>
      <c r="B194" t="inlineStr">
        <is>
          <t>900004153</t>
        </is>
      </c>
      <c r="C194" t="inlineStr">
        <is>
          <t>DW68</t>
        </is>
      </c>
      <c r="D194" t="inlineStr">
        <is>
          <t>D247</t>
        </is>
      </c>
      <c r="E194" t="inlineStr">
        <is>
          <t>4</t>
        </is>
      </c>
      <c r="F194" t="inlineStr">
        <is>
          <t>10000388</t>
        </is>
      </c>
      <c r="H194" t="inlineStr"/>
      <c r="J194" t="n">
        <v>192.24</v>
      </c>
      <c r="K194" t="inlineStr"/>
      <c r="M194" t="inlineStr">
        <is>
          <t>TN</t>
        </is>
      </c>
      <c r="N194" t="inlineStr"/>
      <c r="P194" t="inlineStr">
        <is>
          <t>20260201</t>
        </is>
      </c>
      <c r="Q194" t="inlineStr">
        <is>
          <t>99991231</t>
        </is>
      </c>
    </row>
    <row r="195">
      <c r="A195" t="inlineStr">
        <is>
          <t>900004153DW68D24710004258</t>
        </is>
      </c>
      <c r="B195" t="inlineStr">
        <is>
          <t>900004153</t>
        </is>
      </c>
      <c r="C195" t="inlineStr">
        <is>
          <t>DW68</t>
        </is>
      </c>
      <c r="D195" t="inlineStr">
        <is>
          <t>D247</t>
        </is>
      </c>
      <c r="E195" t="inlineStr">
        <is>
          <t>4</t>
        </is>
      </c>
      <c r="F195" t="inlineStr">
        <is>
          <t>10004258</t>
        </is>
      </c>
      <c r="H195" t="inlineStr"/>
      <c r="J195" t="n">
        <v>177.12</v>
      </c>
      <c r="K195" t="inlineStr"/>
      <c r="M195" t="inlineStr">
        <is>
          <t>TN</t>
        </is>
      </c>
      <c r="N195" t="inlineStr"/>
      <c r="P195" t="inlineStr">
        <is>
          <t>20260201</t>
        </is>
      </c>
      <c r="Q195" t="inlineStr">
        <is>
          <t>99991231</t>
        </is>
      </c>
    </row>
    <row r="196">
      <c r="A196" t="inlineStr">
        <is>
          <t>900004153DW68D25110000191</t>
        </is>
      </c>
      <c r="B196" t="inlineStr">
        <is>
          <t>900004153</t>
        </is>
      </c>
      <c r="C196" t="inlineStr">
        <is>
          <t>DW68</t>
        </is>
      </c>
      <c r="D196" t="inlineStr">
        <is>
          <t>D251</t>
        </is>
      </c>
      <c r="E196" t="inlineStr">
        <is>
          <t>4</t>
        </is>
      </c>
      <c r="F196" t="inlineStr">
        <is>
          <t>10000191</t>
        </is>
      </c>
      <c r="H196" t="inlineStr"/>
      <c r="J196" t="n">
        <v>151.2</v>
      </c>
      <c r="K196" t="inlineStr"/>
      <c r="M196" t="inlineStr">
        <is>
          <t>TN</t>
        </is>
      </c>
      <c r="N196" t="inlineStr"/>
      <c r="P196" t="inlineStr">
        <is>
          <t>20260201</t>
        </is>
      </c>
      <c r="Q196" t="inlineStr">
        <is>
          <t>99991231</t>
        </is>
      </c>
    </row>
    <row r="197">
      <c r="A197" t="inlineStr">
        <is>
          <t>900004153DW68D25110000384</t>
        </is>
      </c>
      <c r="B197" t="inlineStr">
        <is>
          <t>900004153</t>
        </is>
      </c>
      <c r="C197" t="inlineStr">
        <is>
          <t>DW68</t>
        </is>
      </c>
      <c r="D197" t="inlineStr">
        <is>
          <t>D251</t>
        </is>
      </c>
      <c r="E197" t="inlineStr">
        <is>
          <t>4</t>
        </is>
      </c>
      <c r="F197" t="inlineStr">
        <is>
          <t>10000384</t>
        </is>
      </c>
      <c r="H197" t="inlineStr"/>
      <c r="J197" t="n">
        <v>133.92</v>
      </c>
      <c r="K197" t="inlineStr"/>
      <c r="M197" t="inlineStr">
        <is>
          <t>TN</t>
        </is>
      </c>
      <c r="N197" t="inlineStr"/>
      <c r="P197" t="inlineStr">
        <is>
          <t>20260201</t>
        </is>
      </c>
      <c r="Q197" t="inlineStr">
        <is>
          <t>99991231</t>
        </is>
      </c>
    </row>
    <row r="198">
      <c r="A198" t="inlineStr">
        <is>
          <t>900004153DW68D25110000388</t>
        </is>
      </c>
      <c r="B198" t="inlineStr">
        <is>
          <t>900004153</t>
        </is>
      </c>
      <c r="C198" t="inlineStr">
        <is>
          <t>DW68</t>
        </is>
      </c>
      <c r="D198" t="inlineStr">
        <is>
          <t>D251</t>
        </is>
      </c>
      <c r="E198" t="inlineStr">
        <is>
          <t>4</t>
        </is>
      </c>
      <c r="F198" t="inlineStr">
        <is>
          <t>10000388</t>
        </is>
      </c>
      <c r="H198" t="inlineStr"/>
      <c r="J198" t="n">
        <v>157.62</v>
      </c>
      <c r="K198" t="inlineStr"/>
      <c r="M198" t="inlineStr">
        <is>
          <t>TN</t>
        </is>
      </c>
      <c r="N198" t="inlineStr"/>
      <c r="P198" t="inlineStr">
        <is>
          <t>20260201</t>
        </is>
      </c>
      <c r="Q198" t="inlineStr">
        <is>
          <t>99991231</t>
        </is>
      </c>
    </row>
    <row r="199">
      <c r="A199" t="inlineStr">
        <is>
          <t>900004153DW68D25110004258</t>
        </is>
      </c>
      <c r="B199" t="inlineStr">
        <is>
          <t>900004153</t>
        </is>
      </c>
      <c r="C199" t="inlineStr">
        <is>
          <t>DW68</t>
        </is>
      </c>
      <c r="D199" t="inlineStr">
        <is>
          <t>D251</t>
        </is>
      </c>
      <c r="E199" t="inlineStr">
        <is>
          <t>4</t>
        </is>
      </c>
      <c r="F199" t="inlineStr">
        <is>
          <t>10004258</t>
        </is>
      </c>
      <c r="H199" t="inlineStr"/>
      <c r="J199" t="n">
        <v>144.72</v>
      </c>
      <c r="K199" t="inlineStr"/>
      <c r="M199" t="inlineStr">
        <is>
          <t>TN</t>
        </is>
      </c>
      <c r="N199" t="inlineStr"/>
      <c r="P199" t="inlineStr">
        <is>
          <t>20260201</t>
        </is>
      </c>
      <c r="Q199" t="inlineStr">
        <is>
          <t>99991231</t>
        </is>
      </c>
    </row>
    <row r="200">
      <c r="A200" t="inlineStr">
        <is>
          <t>900004153DW68D26410000191</t>
        </is>
      </c>
      <c r="B200" t="inlineStr">
        <is>
          <t>900004153</t>
        </is>
      </c>
      <c r="C200" t="inlineStr">
        <is>
          <t>DW68</t>
        </is>
      </c>
      <c r="D200" t="inlineStr">
        <is>
          <t>D264</t>
        </is>
      </c>
      <c r="E200" t="inlineStr">
        <is>
          <t>4</t>
        </is>
      </c>
      <c r="F200" t="inlineStr">
        <is>
          <t>10000191</t>
        </is>
      </c>
      <c r="H200" t="inlineStr"/>
      <c r="J200" t="n">
        <v>166.32</v>
      </c>
      <c r="K200" t="inlineStr"/>
      <c r="M200" t="inlineStr">
        <is>
          <t>TN</t>
        </is>
      </c>
      <c r="N200" t="inlineStr"/>
      <c r="P200" t="inlineStr">
        <is>
          <t>20260201</t>
        </is>
      </c>
      <c r="Q200" t="inlineStr">
        <is>
          <t>99991231</t>
        </is>
      </c>
    </row>
    <row r="201">
      <c r="A201" t="inlineStr">
        <is>
          <t>900004153DW68D26410000384</t>
        </is>
      </c>
      <c r="B201" t="inlineStr">
        <is>
          <t>900004153</t>
        </is>
      </c>
      <c r="C201" t="inlineStr">
        <is>
          <t>DW68</t>
        </is>
      </c>
      <c r="D201" t="inlineStr">
        <is>
          <t>D264</t>
        </is>
      </c>
      <c r="E201" t="inlineStr">
        <is>
          <t>4</t>
        </is>
      </c>
      <c r="F201" t="inlineStr">
        <is>
          <t>10000384</t>
        </is>
      </c>
      <c r="H201" t="inlineStr"/>
      <c r="J201" t="n">
        <v>149.04</v>
      </c>
      <c r="K201" t="inlineStr"/>
      <c r="M201" t="inlineStr">
        <is>
          <t>TN</t>
        </is>
      </c>
      <c r="N201" t="inlineStr"/>
      <c r="P201" t="inlineStr">
        <is>
          <t>20260201</t>
        </is>
      </c>
      <c r="Q201" t="inlineStr">
        <is>
          <t>99991231</t>
        </is>
      </c>
    </row>
    <row r="202">
      <c r="A202" t="inlineStr">
        <is>
          <t>900004153DW68D26410000388</t>
        </is>
      </c>
      <c r="B202" t="inlineStr">
        <is>
          <t>900004153</t>
        </is>
      </c>
      <c r="C202" t="inlineStr">
        <is>
          <t>DW68</t>
        </is>
      </c>
      <c r="D202" t="inlineStr">
        <is>
          <t>D264</t>
        </is>
      </c>
      <c r="E202" t="inlineStr">
        <is>
          <t>4</t>
        </is>
      </c>
      <c r="F202" t="inlineStr">
        <is>
          <t>10000388</t>
        </is>
      </c>
      <c r="H202" t="inlineStr"/>
      <c r="J202" t="n">
        <v>172.8</v>
      </c>
      <c r="K202" t="inlineStr"/>
      <c r="M202" t="inlineStr">
        <is>
          <t>TN</t>
        </is>
      </c>
      <c r="N202" t="inlineStr"/>
      <c r="P202" t="inlineStr">
        <is>
          <t>20260201</t>
        </is>
      </c>
      <c r="Q202" t="inlineStr">
        <is>
          <t>99991231</t>
        </is>
      </c>
    </row>
    <row r="203">
      <c r="A203" t="inlineStr">
        <is>
          <t>900004153DW68D26410004258</t>
        </is>
      </c>
      <c r="B203" t="inlineStr">
        <is>
          <t>900004153</t>
        </is>
      </c>
      <c r="C203" t="inlineStr">
        <is>
          <t>DW68</t>
        </is>
      </c>
      <c r="D203" t="inlineStr">
        <is>
          <t>D264</t>
        </is>
      </c>
      <c r="E203" t="inlineStr">
        <is>
          <t>4</t>
        </is>
      </c>
      <c r="F203" t="inlineStr">
        <is>
          <t>10004258</t>
        </is>
      </c>
      <c r="H203" t="inlineStr"/>
      <c r="J203" t="n">
        <v>157.68</v>
      </c>
      <c r="K203" t="inlineStr"/>
      <c r="M203" t="inlineStr">
        <is>
          <t>TN</t>
        </is>
      </c>
      <c r="N203" t="inlineStr"/>
      <c r="P203" t="inlineStr">
        <is>
          <t>20260201</t>
        </is>
      </c>
      <c r="Q203" t="inlineStr">
        <is>
          <t>99991231</t>
        </is>
      </c>
    </row>
    <row r="204">
      <c r="A204" t="inlineStr">
        <is>
          <t>900004153DW68D26710000191</t>
        </is>
      </c>
      <c r="B204" t="inlineStr">
        <is>
          <t>900004153</t>
        </is>
      </c>
      <c r="C204" t="inlineStr">
        <is>
          <t>DW68</t>
        </is>
      </c>
      <c r="D204" t="inlineStr">
        <is>
          <t>D267</t>
        </is>
      </c>
      <c r="E204" t="inlineStr">
        <is>
          <t>4</t>
        </is>
      </c>
      <c r="F204" t="inlineStr">
        <is>
          <t>10000191</t>
        </is>
      </c>
      <c r="H204" t="inlineStr"/>
      <c r="J204" t="n">
        <v>239.76</v>
      </c>
      <c r="K204" t="inlineStr"/>
      <c r="M204" t="inlineStr">
        <is>
          <t>TN</t>
        </is>
      </c>
      <c r="N204" t="inlineStr"/>
      <c r="P204" t="inlineStr">
        <is>
          <t>20260201</t>
        </is>
      </c>
      <c r="Q204" t="inlineStr">
        <is>
          <t>99991231</t>
        </is>
      </c>
    </row>
    <row r="205">
      <c r="A205" t="inlineStr">
        <is>
          <t>900004153DW68D26710000384</t>
        </is>
      </c>
      <c r="B205" t="inlineStr">
        <is>
          <t>900004153</t>
        </is>
      </c>
      <c r="C205" t="inlineStr">
        <is>
          <t>DW68</t>
        </is>
      </c>
      <c r="D205" t="inlineStr">
        <is>
          <t>D267</t>
        </is>
      </c>
      <c r="E205" t="inlineStr">
        <is>
          <t>4</t>
        </is>
      </c>
      <c r="F205" t="inlineStr">
        <is>
          <t>10000384</t>
        </is>
      </c>
      <c r="H205" t="inlineStr"/>
      <c r="J205" t="n">
        <v>213.84</v>
      </c>
      <c r="K205" t="inlineStr"/>
      <c r="M205" t="inlineStr">
        <is>
          <t>TN</t>
        </is>
      </c>
      <c r="N205" t="inlineStr"/>
      <c r="P205" t="inlineStr">
        <is>
          <t>20260201</t>
        </is>
      </c>
      <c r="Q205" t="inlineStr">
        <is>
          <t>99991231</t>
        </is>
      </c>
    </row>
    <row r="206">
      <c r="A206" t="inlineStr">
        <is>
          <t>900004153DW68D26710000388</t>
        </is>
      </c>
      <c r="B206" t="inlineStr">
        <is>
          <t>900004153</t>
        </is>
      </c>
      <c r="C206" t="inlineStr">
        <is>
          <t>DW68</t>
        </is>
      </c>
      <c r="D206" t="inlineStr">
        <is>
          <t>D267</t>
        </is>
      </c>
      <c r="E206" t="inlineStr">
        <is>
          <t>4</t>
        </is>
      </c>
      <c r="F206" t="inlineStr">
        <is>
          <t>10000388</t>
        </is>
      </c>
      <c r="H206" t="inlineStr"/>
      <c r="J206" t="n">
        <v>248.4</v>
      </c>
      <c r="K206" t="inlineStr"/>
      <c r="M206" t="inlineStr">
        <is>
          <t>TN</t>
        </is>
      </c>
      <c r="N206" t="inlineStr"/>
      <c r="P206" t="inlineStr">
        <is>
          <t>20260201</t>
        </is>
      </c>
      <c r="Q206" t="inlineStr">
        <is>
          <t>99991231</t>
        </is>
      </c>
    </row>
    <row r="207">
      <c r="A207" t="inlineStr">
        <is>
          <t>900004153DW68D26710004258</t>
        </is>
      </c>
      <c r="B207" t="inlineStr">
        <is>
          <t>900004153</t>
        </is>
      </c>
      <c r="C207" t="inlineStr">
        <is>
          <t>DW68</t>
        </is>
      </c>
      <c r="D207" t="inlineStr">
        <is>
          <t>D267</t>
        </is>
      </c>
      <c r="E207" t="inlineStr">
        <is>
          <t>4</t>
        </is>
      </c>
      <c r="F207" t="inlineStr">
        <is>
          <t>10004258</t>
        </is>
      </c>
      <c r="H207" t="inlineStr"/>
      <c r="J207" t="n">
        <v>226.8</v>
      </c>
      <c r="K207" t="inlineStr"/>
      <c r="M207" t="inlineStr">
        <is>
          <t>TN</t>
        </is>
      </c>
      <c r="N207" t="inlineStr"/>
      <c r="P207" t="inlineStr">
        <is>
          <t>20260201</t>
        </is>
      </c>
      <c r="Q207" t="inlineStr">
        <is>
          <t>99991231</t>
        </is>
      </c>
    </row>
    <row r="208">
      <c r="A208" t="inlineStr">
        <is>
          <t>900004166DW68D04210000384</t>
        </is>
      </c>
      <c r="B208" t="inlineStr">
        <is>
          <t>900004166</t>
        </is>
      </c>
      <c r="C208" t="inlineStr">
        <is>
          <t>DW68</t>
        </is>
      </c>
      <c r="D208" t="inlineStr">
        <is>
          <t>D042</t>
        </is>
      </c>
      <c r="E208" t="inlineStr">
        <is>
          <t>1</t>
        </is>
      </c>
      <c r="F208" t="inlineStr">
        <is>
          <t>10000384</t>
        </is>
      </c>
      <c r="H208" t="inlineStr"/>
      <c r="J208" t="n">
        <v>97.7</v>
      </c>
      <c r="K208" t="inlineStr"/>
      <c r="M208" t="inlineStr">
        <is>
          <t>TN</t>
        </is>
      </c>
      <c r="N208" t="inlineStr"/>
      <c r="P208" t="inlineStr">
        <is>
          <t>20230203</t>
        </is>
      </c>
      <c r="Q208" t="inlineStr">
        <is>
          <t>20251031</t>
        </is>
      </c>
    </row>
    <row r="209">
      <c r="A209" t="inlineStr">
        <is>
          <t>900004166DW68D04210004258</t>
        </is>
      </c>
      <c r="B209" t="inlineStr">
        <is>
          <t>900004166</t>
        </is>
      </c>
      <c r="C209" t="inlineStr">
        <is>
          <t>DW68</t>
        </is>
      </c>
      <c r="D209" t="inlineStr">
        <is>
          <t>D042</t>
        </is>
      </c>
      <c r="E209" t="inlineStr">
        <is>
          <t>1</t>
        </is>
      </c>
      <c r="F209" t="inlineStr">
        <is>
          <t>10004258</t>
        </is>
      </c>
      <c r="H209" t="inlineStr"/>
      <c r="J209" t="n">
        <v>97.7</v>
      </c>
      <c r="K209" t="inlineStr"/>
      <c r="M209" t="inlineStr">
        <is>
          <t>TN</t>
        </is>
      </c>
      <c r="N209" t="inlineStr"/>
      <c r="P209" t="inlineStr">
        <is>
          <t>20230203</t>
        </is>
      </c>
      <c r="Q209" t="inlineStr">
        <is>
          <t>20251031</t>
        </is>
      </c>
    </row>
    <row r="210">
      <c r="A210" t="inlineStr">
        <is>
          <t>900004166DW68D04210034701</t>
        </is>
      </c>
      <c r="B210" t="inlineStr">
        <is>
          <t>900004166</t>
        </is>
      </c>
      <c r="C210" t="inlineStr">
        <is>
          <t>DW68</t>
        </is>
      </c>
      <c r="D210" t="inlineStr">
        <is>
          <t>D042</t>
        </is>
      </c>
      <c r="E210" t="inlineStr">
        <is>
          <t>1</t>
        </is>
      </c>
      <c r="F210" t="inlineStr">
        <is>
          <t>10034701</t>
        </is>
      </c>
      <c r="H210" t="inlineStr"/>
      <c r="J210" t="n">
        <v>97.7</v>
      </c>
      <c r="K210" t="inlineStr"/>
      <c r="M210" t="inlineStr">
        <is>
          <t>TN</t>
        </is>
      </c>
      <c r="N210" t="inlineStr"/>
      <c r="P210" t="inlineStr">
        <is>
          <t>20230203</t>
        </is>
      </c>
      <c r="Q210" t="inlineStr">
        <is>
          <t>20251031</t>
        </is>
      </c>
    </row>
    <row r="211">
      <c r="A211" t="inlineStr">
        <is>
          <t>900004166DW68D04210035053</t>
        </is>
      </c>
      <c r="B211" t="inlineStr">
        <is>
          <t>900004166</t>
        </is>
      </c>
      <c r="C211" t="inlineStr">
        <is>
          <t>DW68</t>
        </is>
      </c>
      <c r="D211" t="inlineStr">
        <is>
          <t>D042</t>
        </is>
      </c>
      <c r="E211" t="inlineStr">
        <is>
          <t>1</t>
        </is>
      </c>
      <c r="F211" t="inlineStr">
        <is>
          <t>10035053</t>
        </is>
      </c>
      <c r="H211" t="inlineStr"/>
      <c r="J211" t="n">
        <v>97.7</v>
      </c>
      <c r="K211" t="inlineStr"/>
      <c r="M211" t="inlineStr">
        <is>
          <t>TN</t>
        </is>
      </c>
      <c r="N211" t="inlineStr"/>
      <c r="P211" t="inlineStr">
        <is>
          <t>20230203</t>
        </is>
      </c>
      <c r="Q211" t="inlineStr">
        <is>
          <t>20251031</t>
        </is>
      </c>
    </row>
    <row r="212">
      <c r="A212" t="inlineStr">
        <is>
          <t>900004166DW68D04210110630</t>
        </is>
      </c>
      <c r="B212" t="inlineStr">
        <is>
          <t>900004166</t>
        </is>
      </c>
      <c r="C212" t="inlineStr">
        <is>
          <t>DW68</t>
        </is>
      </c>
      <c r="D212" t="inlineStr">
        <is>
          <t>D042</t>
        </is>
      </c>
      <c r="E212" t="inlineStr">
        <is>
          <t>1</t>
        </is>
      </c>
      <c r="F212" t="inlineStr">
        <is>
          <t>10110630</t>
        </is>
      </c>
      <c r="H212" t="inlineStr"/>
      <c r="J212" t="n">
        <v>97.7</v>
      </c>
      <c r="K212" t="inlineStr"/>
      <c r="M212" t="inlineStr">
        <is>
          <t>TN</t>
        </is>
      </c>
      <c r="N212" t="inlineStr"/>
      <c r="P212" t="inlineStr">
        <is>
          <t>20230203</t>
        </is>
      </c>
      <c r="Q212" t="inlineStr">
        <is>
          <t>20251031</t>
        </is>
      </c>
    </row>
    <row r="213">
      <c r="A213" t="inlineStr">
        <is>
          <t>900004166DW68D04210132394</t>
        </is>
      </c>
      <c r="B213" t="inlineStr">
        <is>
          <t>900004166</t>
        </is>
      </c>
      <c r="C213" t="inlineStr">
        <is>
          <t>DW68</t>
        </is>
      </c>
      <c r="D213" t="inlineStr">
        <is>
          <t>D042</t>
        </is>
      </c>
      <c r="E213" t="inlineStr">
        <is>
          <t>1</t>
        </is>
      </c>
      <c r="F213" t="inlineStr">
        <is>
          <t>10132394</t>
        </is>
      </c>
      <c r="H213" t="inlineStr"/>
      <c r="J213" t="n">
        <v>97.7</v>
      </c>
      <c r="K213" t="inlineStr"/>
      <c r="M213" t="inlineStr">
        <is>
          <t>TN</t>
        </is>
      </c>
      <c r="N213" t="inlineStr"/>
      <c r="P213" t="inlineStr">
        <is>
          <t>20230203</t>
        </is>
      </c>
      <c r="Q213" t="inlineStr">
        <is>
          <t>20251031</t>
        </is>
      </c>
    </row>
    <row r="214">
      <c r="A214" t="inlineStr">
        <is>
          <t>900004166DW68D20910000384</t>
        </is>
      </c>
      <c r="B214" t="inlineStr">
        <is>
          <t>900004166</t>
        </is>
      </c>
      <c r="C214" t="inlineStr">
        <is>
          <t>DW68</t>
        </is>
      </c>
      <c r="D214" t="inlineStr">
        <is>
          <t>D209</t>
        </is>
      </c>
      <c r="E214" t="inlineStr">
        <is>
          <t>1</t>
        </is>
      </c>
      <c r="F214" t="inlineStr">
        <is>
          <t>10000384</t>
        </is>
      </c>
      <c r="H214" t="inlineStr"/>
      <c r="J214" t="n">
        <v>82.06</v>
      </c>
      <c r="K214" t="inlineStr"/>
      <c r="M214" t="inlineStr">
        <is>
          <t>TN</t>
        </is>
      </c>
      <c r="N214" t="inlineStr"/>
      <c r="P214" t="inlineStr">
        <is>
          <t>20230203</t>
        </is>
      </c>
      <c r="Q214" t="inlineStr">
        <is>
          <t>20251031</t>
        </is>
      </c>
    </row>
    <row r="215">
      <c r="A215" t="inlineStr">
        <is>
          <t>900004166DW68D20910004258</t>
        </is>
      </c>
      <c r="B215" t="inlineStr">
        <is>
          <t>900004166</t>
        </is>
      </c>
      <c r="C215" t="inlineStr">
        <is>
          <t>DW68</t>
        </is>
      </c>
      <c r="D215" t="inlineStr">
        <is>
          <t>D209</t>
        </is>
      </c>
      <c r="E215" t="inlineStr">
        <is>
          <t>1</t>
        </is>
      </c>
      <c r="F215" t="inlineStr">
        <is>
          <t>10004258</t>
        </is>
      </c>
      <c r="H215" t="inlineStr"/>
      <c r="J215" t="n">
        <v>86.34999999999999</v>
      </c>
      <c r="K215" t="inlineStr"/>
      <c r="M215" t="inlineStr">
        <is>
          <t>TN</t>
        </is>
      </c>
      <c r="N215" t="inlineStr"/>
      <c r="P215" t="inlineStr">
        <is>
          <t>20230203</t>
        </is>
      </c>
      <c r="Q215" t="inlineStr">
        <is>
          <t>20251031</t>
        </is>
      </c>
    </row>
    <row r="216">
      <c r="A216" t="inlineStr">
        <is>
          <t>900004166DW68D20910034701</t>
        </is>
      </c>
      <c r="B216" t="inlineStr">
        <is>
          <t>900004166</t>
        </is>
      </c>
      <c r="C216" t="inlineStr">
        <is>
          <t>DW68</t>
        </is>
      </c>
      <c r="D216" t="inlineStr">
        <is>
          <t>D209</t>
        </is>
      </c>
      <c r="E216" t="inlineStr">
        <is>
          <t>1</t>
        </is>
      </c>
      <c r="F216" t="inlineStr">
        <is>
          <t>10034701</t>
        </is>
      </c>
      <c r="H216" t="inlineStr"/>
      <c r="J216" t="n">
        <v>96.08</v>
      </c>
      <c r="K216" t="inlineStr"/>
      <c r="M216" t="inlineStr">
        <is>
          <t>TN</t>
        </is>
      </c>
      <c r="N216" t="inlineStr"/>
      <c r="P216" t="inlineStr">
        <is>
          <t>20230203</t>
        </is>
      </c>
      <c r="Q216" t="inlineStr">
        <is>
          <t>20251031</t>
        </is>
      </c>
    </row>
    <row r="217">
      <c r="A217" t="inlineStr">
        <is>
          <t>900004166DW68D20910035053</t>
        </is>
      </c>
      <c r="B217" t="inlineStr">
        <is>
          <t>900004166</t>
        </is>
      </c>
      <c r="C217" t="inlineStr">
        <is>
          <t>DW68</t>
        </is>
      </c>
      <c r="D217" t="inlineStr">
        <is>
          <t>D209</t>
        </is>
      </c>
      <c r="E217" t="inlineStr">
        <is>
          <t>1</t>
        </is>
      </c>
      <c r="F217" t="inlineStr">
        <is>
          <t>10035053</t>
        </is>
      </c>
      <c r="H217" t="inlineStr"/>
      <c r="J217" t="n">
        <v>84.95</v>
      </c>
      <c r="K217" t="inlineStr"/>
      <c r="M217" t="inlineStr">
        <is>
          <t>TN</t>
        </is>
      </c>
      <c r="N217" t="inlineStr"/>
      <c r="P217" t="inlineStr">
        <is>
          <t>20230203</t>
        </is>
      </c>
      <c r="Q217" t="inlineStr">
        <is>
          <t>20251031</t>
        </is>
      </c>
    </row>
    <row r="218">
      <c r="A218" t="inlineStr">
        <is>
          <t>900004166DW68D20910110630</t>
        </is>
      </c>
      <c r="B218" t="inlineStr">
        <is>
          <t>900004166</t>
        </is>
      </c>
      <c r="C218" t="inlineStr">
        <is>
          <t>DW68</t>
        </is>
      </c>
      <c r="D218" t="inlineStr">
        <is>
          <t>D209</t>
        </is>
      </c>
      <c r="E218" t="inlineStr">
        <is>
          <t>1</t>
        </is>
      </c>
      <c r="F218" t="inlineStr">
        <is>
          <t>10110630</t>
        </is>
      </c>
      <c r="H218" t="inlineStr"/>
      <c r="J218" t="n">
        <v>93.23</v>
      </c>
      <c r="K218" t="inlineStr"/>
      <c r="M218" t="inlineStr">
        <is>
          <t>TN</t>
        </is>
      </c>
      <c r="N218" t="inlineStr"/>
      <c r="P218" t="inlineStr">
        <is>
          <t>20230203</t>
        </is>
      </c>
      <c r="Q218" t="inlineStr">
        <is>
          <t>20251031</t>
        </is>
      </c>
    </row>
    <row r="219">
      <c r="A219" t="inlineStr">
        <is>
          <t>900004166DW68D20910132394</t>
        </is>
      </c>
      <c r="B219" t="inlineStr">
        <is>
          <t>900004166</t>
        </is>
      </c>
      <c r="C219" t="inlineStr">
        <is>
          <t>DW68</t>
        </is>
      </c>
      <c r="D219" t="inlineStr">
        <is>
          <t>D209</t>
        </is>
      </c>
      <c r="E219" t="inlineStr">
        <is>
          <t>1</t>
        </is>
      </c>
      <c r="F219" t="inlineStr">
        <is>
          <t>10132394</t>
        </is>
      </c>
      <c r="H219" t="inlineStr"/>
      <c r="J219" t="n">
        <v>84.95</v>
      </c>
      <c r="K219" t="inlineStr"/>
      <c r="M219" t="inlineStr">
        <is>
          <t>TN</t>
        </is>
      </c>
      <c r="N219" t="inlineStr"/>
      <c r="P219" t="inlineStr">
        <is>
          <t>20230203</t>
        </is>
      </c>
      <c r="Q219" t="inlineStr">
        <is>
          <t>20251031</t>
        </is>
      </c>
    </row>
    <row r="220">
      <c r="A220" t="inlineStr">
        <is>
          <t>900004166DW68D21110000384</t>
        </is>
      </c>
      <c r="B220" t="inlineStr">
        <is>
          <t>900004166</t>
        </is>
      </c>
      <c r="C220" t="inlineStr">
        <is>
          <t>DW68</t>
        </is>
      </c>
      <c r="D220" t="inlineStr">
        <is>
          <t>D211</t>
        </is>
      </c>
      <c r="E220" t="inlineStr">
        <is>
          <t>1</t>
        </is>
      </c>
      <c r="F220" t="inlineStr">
        <is>
          <t>10000384</t>
        </is>
      </c>
      <c r="H220" t="inlineStr"/>
      <c r="J220" t="n">
        <v>69.06</v>
      </c>
      <c r="K220" t="inlineStr"/>
      <c r="M220" t="inlineStr">
        <is>
          <t>TN</t>
        </is>
      </c>
      <c r="N220" t="inlineStr"/>
      <c r="P220" t="inlineStr">
        <is>
          <t>20230203</t>
        </is>
      </c>
      <c r="Q220" t="inlineStr">
        <is>
          <t>20251031</t>
        </is>
      </c>
    </row>
    <row r="221">
      <c r="A221" t="inlineStr">
        <is>
          <t>900004166DW68D21110004258</t>
        </is>
      </c>
      <c r="B221" t="inlineStr">
        <is>
          <t>900004166</t>
        </is>
      </c>
      <c r="C221" t="inlineStr">
        <is>
          <t>DW68</t>
        </is>
      </c>
      <c r="D221" t="inlineStr">
        <is>
          <t>D211</t>
        </is>
      </c>
      <c r="E221" t="inlineStr">
        <is>
          <t>1</t>
        </is>
      </c>
      <c r="F221" t="inlineStr">
        <is>
          <t>10004258</t>
        </is>
      </c>
      <c r="H221" t="inlineStr"/>
      <c r="J221" t="n">
        <v>72.67</v>
      </c>
      <c r="K221" t="inlineStr"/>
      <c r="M221" t="inlineStr">
        <is>
          <t>TN</t>
        </is>
      </c>
      <c r="N221" t="inlineStr"/>
      <c r="P221" t="inlineStr">
        <is>
          <t>20230203</t>
        </is>
      </c>
      <c r="Q221" t="inlineStr">
        <is>
          <t>20251031</t>
        </is>
      </c>
    </row>
    <row r="222">
      <c r="A222" t="inlineStr">
        <is>
          <t>900004166DW68D21110034701</t>
        </is>
      </c>
      <c r="B222" t="inlineStr">
        <is>
          <t>900004166</t>
        </is>
      </c>
      <c r="C222" t="inlineStr">
        <is>
          <t>DW68</t>
        </is>
      </c>
      <c r="D222" t="inlineStr">
        <is>
          <t>D211</t>
        </is>
      </c>
      <c r="E222" t="inlineStr">
        <is>
          <t>1</t>
        </is>
      </c>
      <c r="F222" t="inlineStr">
        <is>
          <t>10034701</t>
        </is>
      </c>
      <c r="H222" t="inlineStr"/>
      <c r="J222" t="n">
        <v>80.86</v>
      </c>
      <c r="K222" t="inlineStr"/>
      <c r="M222" t="inlineStr">
        <is>
          <t>TN</t>
        </is>
      </c>
      <c r="N222" t="inlineStr"/>
      <c r="P222" t="inlineStr">
        <is>
          <t>20230203</t>
        </is>
      </c>
      <c r="Q222" t="inlineStr">
        <is>
          <t>20251031</t>
        </is>
      </c>
    </row>
    <row r="223">
      <c r="A223" t="inlineStr">
        <is>
          <t>900004166DW68D21110035053</t>
        </is>
      </c>
      <c r="B223" t="inlineStr">
        <is>
          <t>900004166</t>
        </is>
      </c>
      <c r="C223" t="inlineStr">
        <is>
          <t>DW68</t>
        </is>
      </c>
      <c r="D223" t="inlineStr">
        <is>
          <t>D211</t>
        </is>
      </c>
      <c r="E223" t="inlineStr">
        <is>
          <t>1</t>
        </is>
      </c>
      <c r="F223" t="inlineStr">
        <is>
          <t>10035053</t>
        </is>
      </c>
      <c r="H223" t="inlineStr"/>
      <c r="J223" t="n">
        <v>76.70999999999999</v>
      </c>
      <c r="K223" t="inlineStr"/>
      <c r="M223" t="inlineStr">
        <is>
          <t>TN</t>
        </is>
      </c>
      <c r="N223" t="inlineStr"/>
      <c r="P223" t="inlineStr">
        <is>
          <t>20230203</t>
        </is>
      </c>
      <c r="Q223" t="inlineStr">
        <is>
          <t>20251031</t>
        </is>
      </c>
    </row>
    <row r="224">
      <c r="A224" t="inlineStr">
        <is>
          <t>900004166DW68D21110110630</t>
        </is>
      </c>
      <c r="B224" t="inlineStr">
        <is>
          <t>900004166</t>
        </is>
      </c>
      <c r="C224" t="inlineStr">
        <is>
          <t>DW68</t>
        </is>
      </c>
      <c r="D224" t="inlineStr">
        <is>
          <t>D211</t>
        </is>
      </c>
      <c r="E224" t="inlineStr">
        <is>
          <t>1</t>
        </is>
      </c>
      <c r="F224" t="inlineStr">
        <is>
          <t>10110630</t>
        </is>
      </c>
      <c r="H224" t="inlineStr"/>
      <c r="J224" t="n">
        <v>78.45999999999999</v>
      </c>
      <c r="K224" t="inlineStr"/>
      <c r="M224" t="inlineStr">
        <is>
          <t>TN</t>
        </is>
      </c>
      <c r="N224" t="inlineStr"/>
      <c r="P224" t="inlineStr">
        <is>
          <t>20230203</t>
        </is>
      </c>
      <c r="Q224" t="inlineStr">
        <is>
          <t>20251031</t>
        </is>
      </c>
    </row>
    <row r="225">
      <c r="A225" t="inlineStr">
        <is>
          <t>900004166DW68D21110132394</t>
        </is>
      </c>
      <c r="B225" t="inlineStr">
        <is>
          <t>900004166</t>
        </is>
      </c>
      <c r="C225" t="inlineStr">
        <is>
          <t>DW68</t>
        </is>
      </c>
      <c r="D225" t="inlineStr">
        <is>
          <t>D211</t>
        </is>
      </c>
      <c r="E225" t="inlineStr">
        <is>
          <t>1</t>
        </is>
      </c>
      <c r="F225" t="inlineStr">
        <is>
          <t>10132394</t>
        </is>
      </c>
      <c r="H225" t="inlineStr"/>
      <c r="J225" t="n">
        <v>76.70999999999999</v>
      </c>
      <c r="K225" t="inlineStr"/>
      <c r="M225" t="inlineStr">
        <is>
          <t>TN</t>
        </is>
      </c>
      <c r="N225" t="inlineStr"/>
      <c r="P225" t="inlineStr">
        <is>
          <t>20230203</t>
        </is>
      </c>
      <c r="Q225" t="inlineStr">
        <is>
          <t>20251031</t>
        </is>
      </c>
    </row>
    <row r="226">
      <c r="A226" t="inlineStr">
        <is>
          <t>900004166DW68D21410000384</t>
        </is>
      </c>
      <c r="B226" t="inlineStr">
        <is>
          <t>900004166</t>
        </is>
      </c>
      <c r="C226" t="inlineStr">
        <is>
          <t>DW68</t>
        </is>
      </c>
      <c r="D226" t="inlineStr">
        <is>
          <t>D214</t>
        </is>
      </c>
      <c r="E226" t="inlineStr">
        <is>
          <t>1</t>
        </is>
      </c>
      <c r="F226" t="inlineStr">
        <is>
          <t>10000384</t>
        </is>
      </c>
      <c r="H226" t="inlineStr"/>
      <c r="J226" t="n">
        <v>70.11</v>
      </c>
      <c r="K226" t="inlineStr"/>
      <c r="M226" t="inlineStr">
        <is>
          <t>TN</t>
        </is>
      </c>
      <c r="N226" t="inlineStr"/>
      <c r="P226" t="inlineStr">
        <is>
          <t>20230203</t>
        </is>
      </c>
      <c r="Q226" t="inlineStr">
        <is>
          <t>20251031</t>
        </is>
      </c>
    </row>
    <row r="227">
      <c r="A227" t="inlineStr">
        <is>
          <t>900004166DW68D21410004258</t>
        </is>
      </c>
      <c r="B227" t="inlineStr">
        <is>
          <t>900004166</t>
        </is>
      </c>
      <c r="C227" t="inlineStr">
        <is>
          <t>DW68</t>
        </is>
      </c>
      <c r="D227" t="inlineStr">
        <is>
          <t>D214</t>
        </is>
      </c>
      <c r="E227" t="inlineStr">
        <is>
          <t>1</t>
        </is>
      </c>
      <c r="F227" t="inlineStr">
        <is>
          <t>10004258</t>
        </is>
      </c>
      <c r="H227" t="inlineStr"/>
      <c r="J227" t="n">
        <v>75.59</v>
      </c>
      <c r="K227" t="inlineStr"/>
      <c r="M227" t="inlineStr">
        <is>
          <t>TN</t>
        </is>
      </c>
      <c r="N227" t="inlineStr"/>
      <c r="P227" t="inlineStr">
        <is>
          <t>20230203</t>
        </is>
      </c>
      <c r="Q227" t="inlineStr">
        <is>
          <t>20251031</t>
        </is>
      </c>
    </row>
    <row r="228">
      <c r="A228" t="inlineStr">
        <is>
          <t>900004166DW68D21410034701</t>
        </is>
      </c>
      <c r="B228" t="inlineStr">
        <is>
          <t>900004166</t>
        </is>
      </c>
      <c r="C228" t="inlineStr">
        <is>
          <t>DW68</t>
        </is>
      </c>
      <c r="D228" t="inlineStr">
        <is>
          <t>D214</t>
        </is>
      </c>
      <c r="E228" t="inlineStr">
        <is>
          <t>1</t>
        </is>
      </c>
      <c r="F228" t="inlineStr">
        <is>
          <t>10034701</t>
        </is>
      </c>
      <c r="H228" t="inlineStr"/>
      <c r="J228" t="n">
        <v>72.06999999999999</v>
      </c>
      <c r="K228" t="inlineStr"/>
      <c r="M228" t="inlineStr">
        <is>
          <t>TN</t>
        </is>
      </c>
      <c r="N228" t="inlineStr"/>
      <c r="P228" t="inlineStr">
        <is>
          <t>20230203</t>
        </is>
      </c>
      <c r="Q228" t="inlineStr">
        <is>
          <t>20251031</t>
        </is>
      </c>
    </row>
    <row r="229">
      <c r="A229" t="inlineStr">
        <is>
          <t>900004166DW68D21410035053</t>
        </is>
      </c>
      <c r="B229" t="inlineStr">
        <is>
          <t>900004166</t>
        </is>
      </c>
      <c r="C229" t="inlineStr">
        <is>
          <t>DW68</t>
        </is>
      </c>
      <c r="D229" t="inlineStr">
        <is>
          <t>D214</t>
        </is>
      </c>
      <c r="E229" t="inlineStr">
        <is>
          <t>1</t>
        </is>
      </c>
      <c r="F229" t="inlineStr">
        <is>
          <t>10035053</t>
        </is>
      </c>
      <c r="H229" t="inlineStr"/>
      <c r="J229" t="n">
        <v>72.06999999999999</v>
      </c>
      <c r="K229" t="inlineStr"/>
      <c r="M229" t="inlineStr">
        <is>
          <t>TN</t>
        </is>
      </c>
      <c r="N229" t="inlineStr"/>
      <c r="P229" t="inlineStr">
        <is>
          <t>20230203</t>
        </is>
      </c>
      <c r="Q229" t="inlineStr">
        <is>
          <t>20251031</t>
        </is>
      </c>
    </row>
    <row r="230">
      <c r="A230" t="inlineStr">
        <is>
          <t>900004166DW68D21410110630</t>
        </is>
      </c>
      <c r="B230" t="inlineStr">
        <is>
          <t>900004166</t>
        </is>
      </c>
      <c r="C230" t="inlineStr">
        <is>
          <t>DW68</t>
        </is>
      </c>
      <c r="D230" t="inlineStr">
        <is>
          <t>D214</t>
        </is>
      </c>
      <c r="E230" t="inlineStr">
        <is>
          <t>1</t>
        </is>
      </c>
      <c r="F230" t="inlineStr">
        <is>
          <t>10110630</t>
        </is>
      </c>
      <c r="H230" t="inlineStr"/>
      <c r="J230" t="n">
        <v>70.11</v>
      </c>
      <c r="K230" t="inlineStr"/>
      <c r="M230" t="inlineStr">
        <is>
          <t>TN</t>
        </is>
      </c>
      <c r="N230" t="inlineStr"/>
      <c r="P230" t="inlineStr">
        <is>
          <t>20230203</t>
        </is>
      </c>
      <c r="Q230" t="inlineStr">
        <is>
          <t>20251031</t>
        </is>
      </c>
    </row>
    <row r="231">
      <c r="A231" t="inlineStr">
        <is>
          <t>900004166DW68D21410132394</t>
        </is>
      </c>
      <c r="B231" t="inlineStr">
        <is>
          <t>900004166</t>
        </is>
      </c>
      <c r="C231" t="inlineStr">
        <is>
          <t>DW68</t>
        </is>
      </c>
      <c r="D231" t="inlineStr">
        <is>
          <t>D214</t>
        </is>
      </c>
      <c r="E231" t="inlineStr">
        <is>
          <t>1</t>
        </is>
      </c>
      <c r="F231" t="inlineStr">
        <is>
          <t>10132394</t>
        </is>
      </c>
      <c r="H231" t="inlineStr"/>
      <c r="J231" t="n">
        <v>70.11</v>
      </c>
      <c r="K231" t="inlineStr"/>
      <c r="M231" t="inlineStr">
        <is>
          <t>TN</t>
        </is>
      </c>
      <c r="N231" t="inlineStr"/>
      <c r="P231" t="inlineStr">
        <is>
          <t>20230203</t>
        </is>
      </c>
      <c r="Q231" t="inlineStr">
        <is>
          <t>20251031</t>
        </is>
      </c>
    </row>
    <row r="232">
      <c r="A232" t="inlineStr">
        <is>
          <t>900004166DW68D22810000384</t>
        </is>
      </c>
      <c r="B232" t="inlineStr">
        <is>
          <t>900004166</t>
        </is>
      </c>
      <c r="C232" t="inlineStr">
        <is>
          <t>DW68</t>
        </is>
      </c>
      <c r="D232" t="inlineStr">
        <is>
          <t>D228</t>
        </is>
      </c>
      <c r="E232" t="inlineStr">
        <is>
          <t>1</t>
        </is>
      </c>
      <c r="F232" t="inlineStr">
        <is>
          <t>10000384</t>
        </is>
      </c>
      <c r="H232" t="inlineStr"/>
      <c r="J232" t="n">
        <v>82.64</v>
      </c>
      <c r="K232" t="inlineStr"/>
      <c r="M232" t="inlineStr">
        <is>
          <t>TN</t>
        </is>
      </c>
      <c r="N232" t="inlineStr"/>
      <c r="P232" t="inlineStr">
        <is>
          <t>20230203</t>
        </is>
      </c>
      <c r="Q232" t="inlineStr">
        <is>
          <t>20251031</t>
        </is>
      </c>
    </row>
    <row r="233">
      <c r="A233" t="inlineStr">
        <is>
          <t>900004166DW68D22810004258</t>
        </is>
      </c>
      <c r="B233" t="inlineStr">
        <is>
          <t>900004166</t>
        </is>
      </c>
      <c r="C233" t="inlineStr">
        <is>
          <t>DW68</t>
        </is>
      </c>
      <c r="D233" t="inlineStr">
        <is>
          <t>D228</t>
        </is>
      </c>
      <c r="E233" t="inlineStr">
        <is>
          <t>1</t>
        </is>
      </c>
      <c r="F233" t="inlineStr">
        <is>
          <t>10004258</t>
        </is>
      </c>
      <c r="H233" t="inlineStr"/>
      <c r="J233" t="n">
        <v>82.64</v>
      </c>
      <c r="K233" t="inlineStr"/>
      <c r="M233" t="inlineStr">
        <is>
          <t>TN</t>
        </is>
      </c>
      <c r="N233" t="inlineStr"/>
      <c r="P233" t="inlineStr">
        <is>
          <t>20230203</t>
        </is>
      </c>
      <c r="Q233" t="inlineStr">
        <is>
          <t>20251031</t>
        </is>
      </c>
    </row>
    <row r="234">
      <c r="A234" t="inlineStr">
        <is>
          <t>900004166DW68D22810034701</t>
        </is>
      </c>
      <c r="B234" t="inlineStr">
        <is>
          <t>900004166</t>
        </is>
      </c>
      <c r="C234" t="inlineStr">
        <is>
          <t>DW68</t>
        </is>
      </c>
      <c r="D234" t="inlineStr">
        <is>
          <t>D228</t>
        </is>
      </c>
      <c r="E234" t="inlineStr">
        <is>
          <t>1</t>
        </is>
      </c>
      <c r="F234" t="inlineStr">
        <is>
          <t>10034701</t>
        </is>
      </c>
      <c r="H234" t="inlineStr"/>
      <c r="J234" t="n">
        <v>82.64</v>
      </c>
      <c r="K234" t="inlineStr"/>
      <c r="M234" t="inlineStr">
        <is>
          <t>TN</t>
        </is>
      </c>
      <c r="N234" t="inlineStr"/>
      <c r="P234" t="inlineStr">
        <is>
          <t>20230203</t>
        </is>
      </c>
      <c r="Q234" t="inlineStr">
        <is>
          <t>20251031</t>
        </is>
      </c>
    </row>
    <row r="235">
      <c r="A235" t="inlineStr">
        <is>
          <t>900004166DW68D22810035053</t>
        </is>
      </c>
      <c r="B235" t="inlineStr">
        <is>
          <t>900004166</t>
        </is>
      </c>
      <c r="C235" t="inlineStr">
        <is>
          <t>DW68</t>
        </is>
      </c>
      <c r="D235" t="inlineStr">
        <is>
          <t>D228</t>
        </is>
      </c>
      <c r="E235" t="inlineStr">
        <is>
          <t>1</t>
        </is>
      </c>
      <c r="F235" t="inlineStr">
        <is>
          <t>10035053</t>
        </is>
      </c>
      <c r="H235" t="inlineStr"/>
      <c r="J235" t="n">
        <v>82.64</v>
      </c>
      <c r="K235" t="inlineStr"/>
      <c r="M235" t="inlineStr">
        <is>
          <t>TN</t>
        </is>
      </c>
      <c r="N235" t="inlineStr"/>
      <c r="P235" t="inlineStr">
        <is>
          <t>20230203</t>
        </is>
      </c>
      <c r="Q235" t="inlineStr">
        <is>
          <t>20251031</t>
        </is>
      </c>
    </row>
    <row r="236">
      <c r="A236" t="inlineStr">
        <is>
          <t>900004166DW68D22810110630</t>
        </is>
      </c>
      <c r="B236" t="inlineStr">
        <is>
          <t>900004166</t>
        </is>
      </c>
      <c r="C236" t="inlineStr">
        <is>
          <t>DW68</t>
        </is>
      </c>
      <c r="D236" t="inlineStr">
        <is>
          <t>D228</t>
        </is>
      </c>
      <c r="E236" t="inlineStr">
        <is>
          <t>1</t>
        </is>
      </c>
      <c r="F236" t="inlineStr">
        <is>
          <t>10110630</t>
        </is>
      </c>
      <c r="H236" t="inlineStr"/>
      <c r="J236" t="n">
        <v>82.64</v>
      </c>
      <c r="K236" t="inlineStr"/>
      <c r="M236" t="inlineStr">
        <is>
          <t>TN</t>
        </is>
      </c>
      <c r="N236" t="inlineStr"/>
      <c r="P236" t="inlineStr">
        <is>
          <t>20230203</t>
        </is>
      </c>
      <c r="Q236" t="inlineStr">
        <is>
          <t>20251031</t>
        </is>
      </c>
    </row>
    <row r="237">
      <c r="A237" t="inlineStr">
        <is>
          <t>900004166DW68D22810132394</t>
        </is>
      </c>
      <c r="B237" t="inlineStr">
        <is>
          <t>900004166</t>
        </is>
      </c>
      <c r="C237" t="inlineStr">
        <is>
          <t>DW68</t>
        </is>
      </c>
      <c r="D237" t="inlineStr">
        <is>
          <t>D228</t>
        </is>
      </c>
      <c r="E237" t="inlineStr">
        <is>
          <t>1</t>
        </is>
      </c>
      <c r="F237" t="inlineStr">
        <is>
          <t>10132394</t>
        </is>
      </c>
      <c r="H237" t="inlineStr"/>
      <c r="J237" t="n">
        <v>82.64</v>
      </c>
      <c r="K237" t="inlineStr"/>
      <c r="M237" t="inlineStr">
        <is>
          <t>TN</t>
        </is>
      </c>
      <c r="N237" t="inlineStr"/>
      <c r="P237" t="inlineStr">
        <is>
          <t>20230203</t>
        </is>
      </c>
      <c r="Q237" t="inlineStr">
        <is>
          <t>20251031</t>
        </is>
      </c>
    </row>
    <row r="238">
      <c r="A238" t="inlineStr">
        <is>
          <t>900004166DW68D24210000384</t>
        </is>
      </c>
      <c r="B238" t="inlineStr">
        <is>
          <t>900004166</t>
        </is>
      </c>
      <c r="C238" t="inlineStr">
        <is>
          <t>DW68</t>
        </is>
      </c>
      <c r="D238" t="inlineStr">
        <is>
          <t>D242</t>
        </is>
      </c>
      <c r="E238" t="inlineStr">
        <is>
          <t>1</t>
        </is>
      </c>
      <c r="F238" t="inlineStr">
        <is>
          <t>10000384</t>
        </is>
      </c>
      <c r="H238" t="inlineStr"/>
      <c r="J238" t="n">
        <v>74.62</v>
      </c>
      <c r="K238" t="inlineStr"/>
      <c r="M238" t="inlineStr">
        <is>
          <t>TN</t>
        </is>
      </c>
      <c r="N238" t="inlineStr"/>
      <c r="P238" t="inlineStr">
        <is>
          <t>20230203</t>
        </is>
      </c>
      <c r="Q238" t="inlineStr">
        <is>
          <t>20251031</t>
        </is>
      </c>
    </row>
    <row r="239">
      <c r="A239" t="inlineStr">
        <is>
          <t>900004166DW68D24210004258</t>
        </is>
      </c>
      <c r="B239" t="inlineStr">
        <is>
          <t>900004166</t>
        </is>
      </c>
      <c r="C239" t="inlineStr">
        <is>
          <t>DW68</t>
        </is>
      </c>
      <c r="D239" t="inlineStr">
        <is>
          <t>D242</t>
        </is>
      </c>
      <c r="E239" t="inlineStr">
        <is>
          <t>1</t>
        </is>
      </c>
      <c r="F239" t="inlineStr">
        <is>
          <t>10004258</t>
        </is>
      </c>
      <c r="H239" t="inlineStr"/>
      <c r="J239" t="n">
        <v>74.62</v>
      </c>
      <c r="K239" t="inlineStr"/>
      <c r="M239" t="inlineStr">
        <is>
          <t>TN</t>
        </is>
      </c>
      <c r="N239" t="inlineStr"/>
      <c r="P239" t="inlineStr">
        <is>
          <t>20230203</t>
        </is>
      </c>
      <c r="Q239" t="inlineStr">
        <is>
          <t>20251031</t>
        </is>
      </c>
    </row>
    <row r="240">
      <c r="A240" t="inlineStr">
        <is>
          <t>900004166DW68D24210034701</t>
        </is>
      </c>
      <c r="B240" t="inlineStr">
        <is>
          <t>900004166</t>
        </is>
      </c>
      <c r="C240" t="inlineStr">
        <is>
          <t>DW68</t>
        </is>
      </c>
      <c r="D240" t="inlineStr">
        <is>
          <t>D242</t>
        </is>
      </c>
      <c r="E240" t="inlineStr">
        <is>
          <t>1</t>
        </is>
      </c>
      <c r="F240" t="inlineStr">
        <is>
          <t>10034701</t>
        </is>
      </c>
      <c r="H240" t="inlineStr"/>
      <c r="J240" t="n">
        <v>74.62</v>
      </c>
      <c r="K240" t="inlineStr"/>
      <c r="M240" t="inlineStr">
        <is>
          <t>TN</t>
        </is>
      </c>
      <c r="N240" t="inlineStr"/>
      <c r="P240" t="inlineStr">
        <is>
          <t>20230203</t>
        </is>
      </c>
      <c r="Q240" t="inlineStr">
        <is>
          <t>20251031</t>
        </is>
      </c>
    </row>
    <row r="241">
      <c r="A241" t="inlineStr">
        <is>
          <t>900004166DW68D24210035053</t>
        </is>
      </c>
      <c r="B241" t="inlineStr">
        <is>
          <t>900004166</t>
        </is>
      </c>
      <c r="C241" t="inlineStr">
        <is>
          <t>DW68</t>
        </is>
      </c>
      <c r="D241" t="inlineStr">
        <is>
          <t>D242</t>
        </is>
      </c>
      <c r="E241" t="inlineStr">
        <is>
          <t>1</t>
        </is>
      </c>
      <c r="F241" t="inlineStr">
        <is>
          <t>10035053</t>
        </is>
      </c>
      <c r="H241" t="inlineStr"/>
      <c r="J241" t="n">
        <v>74.62</v>
      </c>
      <c r="K241" t="inlineStr"/>
      <c r="M241" t="inlineStr">
        <is>
          <t>TN</t>
        </is>
      </c>
      <c r="N241" t="inlineStr"/>
      <c r="P241" t="inlineStr">
        <is>
          <t>20230203</t>
        </is>
      </c>
      <c r="Q241" t="inlineStr">
        <is>
          <t>20251031</t>
        </is>
      </c>
    </row>
    <row r="242">
      <c r="A242" t="inlineStr">
        <is>
          <t>900004166DW68D24210110630</t>
        </is>
      </c>
      <c r="B242" t="inlineStr">
        <is>
          <t>900004166</t>
        </is>
      </c>
      <c r="C242" t="inlineStr">
        <is>
          <t>DW68</t>
        </is>
      </c>
      <c r="D242" t="inlineStr">
        <is>
          <t>D242</t>
        </is>
      </c>
      <c r="E242" t="inlineStr">
        <is>
          <t>1</t>
        </is>
      </c>
      <c r="F242" t="inlineStr">
        <is>
          <t>10110630</t>
        </is>
      </c>
      <c r="H242" t="inlineStr"/>
      <c r="J242" t="n">
        <v>74.62</v>
      </c>
      <c r="K242" t="inlineStr"/>
      <c r="M242" t="inlineStr">
        <is>
          <t>TN</t>
        </is>
      </c>
      <c r="N242" t="inlineStr"/>
      <c r="P242" t="inlineStr">
        <is>
          <t>20230203</t>
        </is>
      </c>
      <c r="Q242" t="inlineStr">
        <is>
          <t>20251031</t>
        </is>
      </c>
    </row>
    <row r="243">
      <c r="A243" t="inlineStr">
        <is>
          <t>900004166DW68D24210132394</t>
        </is>
      </c>
      <c r="B243" t="inlineStr">
        <is>
          <t>900004166</t>
        </is>
      </c>
      <c r="C243" t="inlineStr">
        <is>
          <t>DW68</t>
        </is>
      </c>
      <c r="D243" t="inlineStr">
        <is>
          <t>D242</t>
        </is>
      </c>
      <c r="E243" t="inlineStr">
        <is>
          <t>1</t>
        </is>
      </c>
      <c r="F243" t="inlineStr">
        <is>
          <t>10132394</t>
        </is>
      </c>
      <c r="H243" t="inlineStr"/>
      <c r="J243" t="n">
        <v>74.62</v>
      </c>
      <c r="K243" t="inlineStr"/>
      <c r="M243" t="inlineStr">
        <is>
          <t>TN</t>
        </is>
      </c>
      <c r="N243" t="inlineStr"/>
      <c r="P243" t="inlineStr">
        <is>
          <t>20230203</t>
        </is>
      </c>
      <c r="Q243" t="inlineStr">
        <is>
          <t>20251031</t>
        </is>
      </c>
    </row>
    <row r="244">
      <c r="A244" t="inlineStr">
        <is>
          <t>900004166DW68D24710000384</t>
        </is>
      </c>
      <c r="B244" t="inlineStr">
        <is>
          <t>900004166</t>
        </is>
      </c>
      <c r="C244" t="inlineStr">
        <is>
          <t>DW68</t>
        </is>
      </c>
      <c r="D244" t="inlineStr">
        <is>
          <t>D247</t>
        </is>
      </c>
      <c r="E244" t="inlineStr">
        <is>
          <t>1</t>
        </is>
      </c>
      <c r="F244" t="inlineStr">
        <is>
          <t>10000384</t>
        </is>
      </c>
      <c r="H244" t="inlineStr"/>
      <c r="J244" t="n">
        <v>94.34</v>
      </c>
      <c r="K244" t="inlineStr"/>
      <c r="M244" t="inlineStr">
        <is>
          <t>TN</t>
        </is>
      </c>
      <c r="N244" t="inlineStr"/>
      <c r="P244" t="inlineStr">
        <is>
          <t>20230203</t>
        </is>
      </c>
      <c r="Q244" t="inlineStr">
        <is>
          <t>20251031</t>
        </is>
      </c>
    </row>
    <row r="245">
      <c r="A245" t="inlineStr">
        <is>
          <t>900004166DW68D24710004258</t>
        </is>
      </c>
      <c r="B245" t="inlineStr">
        <is>
          <t>900004166</t>
        </is>
      </c>
      <c r="C245" t="inlineStr">
        <is>
          <t>DW68</t>
        </is>
      </c>
      <c r="D245" t="inlineStr">
        <is>
          <t>D247</t>
        </is>
      </c>
      <c r="E245" t="inlineStr">
        <is>
          <t>1</t>
        </is>
      </c>
      <c r="F245" t="inlineStr">
        <is>
          <t>10004258</t>
        </is>
      </c>
      <c r="H245" t="inlineStr"/>
      <c r="J245" t="n">
        <v>99.27</v>
      </c>
      <c r="K245" t="inlineStr"/>
      <c r="M245" t="inlineStr">
        <is>
          <t>TN</t>
        </is>
      </c>
      <c r="N245" t="inlineStr"/>
      <c r="P245" t="inlineStr">
        <is>
          <t>20230203</t>
        </is>
      </c>
      <c r="Q245" t="inlineStr">
        <is>
          <t>20251031</t>
        </is>
      </c>
    </row>
    <row r="246">
      <c r="A246" t="inlineStr">
        <is>
          <t>900004166DW68D24710034701</t>
        </is>
      </c>
      <c r="B246" t="inlineStr">
        <is>
          <t>900004166</t>
        </is>
      </c>
      <c r="C246" t="inlineStr">
        <is>
          <t>DW68</t>
        </is>
      </c>
      <c r="D246" t="inlineStr">
        <is>
          <t>D247</t>
        </is>
      </c>
      <c r="E246" t="inlineStr">
        <is>
          <t>1</t>
        </is>
      </c>
      <c r="F246" t="inlineStr">
        <is>
          <t>10034701</t>
        </is>
      </c>
      <c r="H246" t="inlineStr"/>
      <c r="J246" t="n">
        <v>110.47</v>
      </c>
      <c r="K246" t="inlineStr"/>
      <c r="M246" t="inlineStr">
        <is>
          <t>TN</t>
        </is>
      </c>
      <c r="N246" t="inlineStr"/>
      <c r="P246" t="inlineStr">
        <is>
          <t>20230203</t>
        </is>
      </c>
      <c r="Q246" t="inlineStr">
        <is>
          <t>20251031</t>
        </is>
      </c>
    </row>
    <row r="247">
      <c r="A247" t="inlineStr">
        <is>
          <t>900004166DW68D24710110630</t>
        </is>
      </c>
      <c r="B247" t="inlineStr">
        <is>
          <t>900004166</t>
        </is>
      </c>
      <c r="C247" t="inlineStr">
        <is>
          <t>DW68</t>
        </is>
      </c>
      <c r="D247" t="inlineStr">
        <is>
          <t>D247</t>
        </is>
      </c>
      <c r="E247" t="inlineStr">
        <is>
          <t>1</t>
        </is>
      </c>
      <c r="F247" t="inlineStr">
        <is>
          <t>10110630</t>
        </is>
      </c>
      <c r="H247" t="inlineStr"/>
      <c r="J247" t="n">
        <v>107.19</v>
      </c>
      <c r="K247" t="inlineStr"/>
      <c r="M247" t="inlineStr">
        <is>
          <t>TN</t>
        </is>
      </c>
      <c r="N247" t="inlineStr"/>
      <c r="P247" t="inlineStr">
        <is>
          <t>20230203</t>
        </is>
      </c>
      <c r="Q247" t="inlineStr">
        <is>
          <t>20251031</t>
        </is>
      </c>
    </row>
    <row r="248">
      <c r="A248" t="inlineStr">
        <is>
          <t>900004166DW68D25110000384</t>
        </is>
      </c>
      <c r="B248" t="inlineStr">
        <is>
          <t>900004166</t>
        </is>
      </c>
      <c r="C248" t="inlineStr">
        <is>
          <t>DW68</t>
        </is>
      </c>
      <c r="D248" t="inlineStr">
        <is>
          <t>D251</t>
        </is>
      </c>
      <c r="E248" t="inlineStr">
        <is>
          <t>1</t>
        </is>
      </c>
      <c r="F248" t="inlineStr">
        <is>
          <t>10000384</t>
        </is>
      </c>
      <c r="H248" t="inlineStr"/>
      <c r="J248" t="n">
        <v>107.42</v>
      </c>
      <c r="K248" t="inlineStr"/>
      <c r="M248" t="inlineStr">
        <is>
          <t>TN</t>
        </is>
      </c>
      <c r="N248" t="inlineStr"/>
      <c r="P248" t="inlineStr">
        <is>
          <t>20230203</t>
        </is>
      </c>
      <c r="Q248" t="inlineStr">
        <is>
          <t>20251031</t>
        </is>
      </c>
    </row>
    <row r="249">
      <c r="A249" t="inlineStr">
        <is>
          <t>900004166DW68D25110004258</t>
        </is>
      </c>
      <c r="B249" t="inlineStr">
        <is>
          <t>900004166</t>
        </is>
      </c>
      <c r="C249" t="inlineStr">
        <is>
          <t>DW68</t>
        </is>
      </c>
      <c r="D249" t="inlineStr">
        <is>
          <t>D251</t>
        </is>
      </c>
      <c r="E249" t="inlineStr">
        <is>
          <t>1</t>
        </is>
      </c>
      <c r="F249" t="inlineStr">
        <is>
          <t>10004258</t>
        </is>
      </c>
      <c r="H249" t="inlineStr"/>
      <c r="J249" t="n">
        <v>113.03</v>
      </c>
      <c r="K249" t="inlineStr"/>
      <c r="M249" t="inlineStr">
        <is>
          <t>TN</t>
        </is>
      </c>
      <c r="N249" t="inlineStr"/>
      <c r="P249" t="inlineStr">
        <is>
          <t>20230203</t>
        </is>
      </c>
      <c r="Q249" t="inlineStr">
        <is>
          <t>20251031</t>
        </is>
      </c>
    </row>
    <row r="250">
      <c r="A250" t="inlineStr">
        <is>
          <t>900004166DW68D25110034701</t>
        </is>
      </c>
      <c r="B250" t="inlineStr">
        <is>
          <t>900004166</t>
        </is>
      </c>
      <c r="C250" t="inlineStr">
        <is>
          <t>DW68</t>
        </is>
      </c>
      <c r="D250" t="inlineStr">
        <is>
          <t>D251</t>
        </is>
      </c>
      <c r="E250" t="inlineStr">
        <is>
          <t>1</t>
        </is>
      </c>
      <c r="F250" t="inlineStr">
        <is>
          <t>10034701</t>
        </is>
      </c>
      <c r="H250" t="inlineStr"/>
      <c r="J250" t="n">
        <v>125.77</v>
      </c>
      <c r="K250" t="inlineStr"/>
      <c r="M250" t="inlineStr">
        <is>
          <t>TN</t>
        </is>
      </c>
      <c r="N250" t="inlineStr"/>
      <c r="P250" t="inlineStr">
        <is>
          <t>20230203</t>
        </is>
      </c>
      <c r="Q250" t="inlineStr">
        <is>
          <t>20251031</t>
        </is>
      </c>
    </row>
    <row r="251">
      <c r="A251" t="inlineStr">
        <is>
          <t>900004166DW68D25110035053</t>
        </is>
      </c>
      <c r="B251" t="inlineStr">
        <is>
          <t>900004166</t>
        </is>
      </c>
      <c r="C251" t="inlineStr">
        <is>
          <t>DW68</t>
        </is>
      </c>
      <c r="D251" t="inlineStr">
        <is>
          <t>D251</t>
        </is>
      </c>
      <c r="E251" t="inlineStr">
        <is>
          <t>1</t>
        </is>
      </c>
      <c r="F251" t="inlineStr">
        <is>
          <t>10035053</t>
        </is>
      </c>
      <c r="H251" t="inlineStr"/>
      <c r="J251" t="n">
        <v>103.45</v>
      </c>
      <c r="K251" t="inlineStr"/>
      <c r="M251" t="inlineStr">
        <is>
          <t>TN</t>
        </is>
      </c>
      <c r="N251" t="inlineStr"/>
      <c r="P251" t="inlineStr">
        <is>
          <t>20230203</t>
        </is>
      </c>
      <c r="Q251" t="inlineStr">
        <is>
          <t>20251031</t>
        </is>
      </c>
    </row>
    <row r="252">
      <c r="A252" t="inlineStr">
        <is>
          <t>900004166DW68D25110110630</t>
        </is>
      </c>
      <c r="B252" t="inlineStr">
        <is>
          <t>900004166</t>
        </is>
      </c>
      <c r="C252" t="inlineStr">
        <is>
          <t>DW68</t>
        </is>
      </c>
      <c r="D252" t="inlineStr">
        <is>
          <t>D251</t>
        </is>
      </c>
      <c r="E252" t="inlineStr">
        <is>
          <t>1</t>
        </is>
      </c>
      <c r="F252" t="inlineStr">
        <is>
          <t>10110630</t>
        </is>
      </c>
      <c r="H252" t="inlineStr"/>
      <c r="J252" t="n">
        <v>122.05</v>
      </c>
      <c r="K252" t="inlineStr"/>
      <c r="M252" t="inlineStr">
        <is>
          <t>TN</t>
        </is>
      </c>
      <c r="N252" t="inlineStr"/>
      <c r="P252" t="inlineStr">
        <is>
          <t>20230203</t>
        </is>
      </c>
      <c r="Q252" t="inlineStr">
        <is>
          <t>20251031</t>
        </is>
      </c>
    </row>
    <row r="253">
      <c r="A253" t="inlineStr">
        <is>
          <t>900004166DW68D25110132394</t>
        </is>
      </c>
      <c r="B253" t="inlineStr">
        <is>
          <t>900004166</t>
        </is>
      </c>
      <c r="C253" t="inlineStr">
        <is>
          <t>DW68</t>
        </is>
      </c>
      <c r="D253" t="inlineStr">
        <is>
          <t>D251</t>
        </is>
      </c>
      <c r="E253" t="inlineStr">
        <is>
          <t>1</t>
        </is>
      </c>
      <c r="F253" t="inlineStr">
        <is>
          <t>10132394</t>
        </is>
      </c>
      <c r="H253" t="inlineStr"/>
      <c r="J253" t="n">
        <v>106.35</v>
      </c>
      <c r="K253" t="inlineStr"/>
      <c r="M253" t="inlineStr">
        <is>
          <t>TN</t>
        </is>
      </c>
      <c r="N253" t="inlineStr"/>
      <c r="P253" t="inlineStr">
        <is>
          <t>20230203</t>
        </is>
      </c>
      <c r="Q253" t="inlineStr">
        <is>
          <t>20251031</t>
        </is>
      </c>
    </row>
    <row r="254">
      <c r="A254" t="inlineStr">
        <is>
          <t>900004166DW68D26410000384</t>
        </is>
      </c>
      <c r="B254" t="inlineStr">
        <is>
          <t>900004166</t>
        </is>
      </c>
      <c r="C254" t="inlineStr">
        <is>
          <t>DW68</t>
        </is>
      </c>
      <c r="D254" t="inlineStr">
        <is>
          <t>D264</t>
        </is>
      </c>
      <c r="E254" t="inlineStr">
        <is>
          <t>1</t>
        </is>
      </c>
      <c r="F254" t="inlineStr">
        <is>
          <t>10000384</t>
        </is>
      </c>
      <c r="H254" t="inlineStr"/>
      <c r="J254" t="n">
        <v>71.09</v>
      </c>
      <c r="K254" t="inlineStr"/>
      <c r="M254" t="inlineStr">
        <is>
          <t>TN</t>
        </is>
      </c>
      <c r="N254" t="inlineStr"/>
      <c r="P254" t="inlineStr">
        <is>
          <t>20230203</t>
        </is>
      </c>
      <c r="Q254" t="inlineStr">
        <is>
          <t>20251031</t>
        </is>
      </c>
    </row>
    <row r="255">
      <c r="A255" t="inlineStr">
        <is>
          <t>900004166DW68D26410004258</t>
        </is>
      </c>
      <c r="B255" t="inlineStr">
        <is>
          <t>900004166</t>
        </is>
      </c>
      <c r="C255" t="inlineStr">
        <is>
          <t>DW68</t>
        </is>
      </c>
      <c r="D255" t="inlineStr">
        <is>
          <t>D264</t>
        </is>
      </c>
      <c r="E255" t="inlineStr">
        <is>
          <t>1</t>
        </is>
      </c>
      <c r="F255" t="inlineStr">
        <is>
          <t>10004258</t>
        </is>
      </c>
      <c r="H255" t="inlineStr"/>
      <c r="J255" t="n">
        <v>74.8</v>
      </c>
      <c r="K255" t="inlineStr"/>
      <c r="M255" t="inlineStr">
        <is>
          <t>TN</t>
        </is>
      </c>
      <c r="N255" t="inlineStr"/>
      <c r="P255" t="inlineStr">
        <is>
          <t>20230203</t>
        </is>
      </c>
      <c r="Q255" t="inlineStr">
        <is>
          <t>20251031</t>
        </is>
      </c>
    </row>
    <row r="256">
      <c r="A256" t="inlineStr">
        <is>
          <t>900004166DW68D26410034701</t>
        </is>
      </c>
      <c r="B256" t="inlineStr">
        <is>
          <t>900004166</t>
        </is>
      </c>
      <c r="C256" t="inlineStr">
        <is>
          <t>DW68</t>
        </is>
      </c>
      <c r="D256" t="inlineStr">
        <is>
          <t>D264</t>
        </is>
      </c>
      <c r="E256" t="inlineStr">
        <is>
          <t>1</t>
        </is>
      </c>
      <c r="F256" t="inlineStr">
        <is>
          <t>10034701</t>
        </is>
      </c>
      <c r="H256" t="inlineStr"/>
      <c r="J256" t="n">
        <v>83.23999999999999</v>
      </c>
      <c r="K256" t="inlineStr"/>
      <c r="M256" t="inlineStr">
        <is>
          <t>TN</t>
        </is>
      </c>
      <c r="N256" t="inlineStr"/>
      <c r="P256" t="inlineStr">
        <is>
          <t>20230203</t>
        </is>
      </c>
      <c r="Q256" t="inlineStr">
        <is>
          <t>20251031</t>
        </is>
      </c>
    </row>
    <row r="257">
      <c r="A257" t="inlineStr">
        <is>
          <t>900004166DW68D26410035053</t>
        </is>
      </c>
      <c r="B257" t="inlineStr">
        <is>
          <t>900004166</t>
        </is>
      </c>
      <c r="C257" t="inlineStr">
        <is>
          <t>DW68</t>
        </is>
      </c>
      <c r="D257" t="inlineStr">
        <is>
          <t>D264</t>
        </is>
      </c>
      <c r="E257" t="inlineStr">
        <is>
          <t>1</t>
        </is>
      </c>
      <c r="F257" t="inlineStr">
        <is>
          <t>10035053</t>
        </is>
      </c>
      <c r="H257" t="inlineStr"/>
      <c r="J257" t="n">
        <v>79.29000000000001</v>
      </c>
      <c r="K257" t="inlineStr"/>
      <c r="M257" t="inlineStr">
        <is>
          <t>TN</t>
        </is>
      </c>
      <c r="N257" t="inlineStr"/>
      <c r="P257" t="inlineStr">
        <is>
          <t>20230203</t>
        </is>
      </c>
      <c r="Q257" t="inlineStr">
        <is>
          <t>20251031</t>
        </is>
      </c>
    </row>
    <row r="258">
      <c r="A258" t="inlineStr">
        <is>
          <t>900004166DW68D26410110630</t>
        </is>
      </c>
      <c r="B258" t="inlineStr">
        <is>
          <t>900004166</t>
        </is>
      </c>
      <c r="C258" t="inlineStr">
        <is>
          <t>DW68</t>
        </is>
      </c>
      <c r="D258" t="inlineStr">
        <is>
          <t>D264</t>
        </is>
      </c>
      <c r="E258" t="inlineStr">
        <is>
          <t>1</t>
        </is>
      </c>
      <c r="F258" t="inlineStr">
        <is>
          <t>10110630</t>
        </is>
      </c>
      <c r="H258" t="inlineStr"/>
      <c r="J258" t="n">
        <v>80.77</v>
      </c>
      <c r="K258" t="inlineStr"/>
      <c r="M258" t="inlineStr">
        <is>
          <t>TN</t>
        </is>
      </c>
      <c r="N258" t="inlineStr"/>
      <c r="P258" t="inlineStr">
        <is>
          <t>20230203</t>
        </is>
      </c>
      <c r="Q258" t="inlineStr">
        <is>
          <t>20251031</t>
        </is>
      </c>
    </row>
    <row r="259">
      <c r="A259" t="inlineStr">
        <is>
          <t>900004166DW68D26410132394</t>
        </is>
      </c>
      <c r="B259" t="inlineStr">
        <is>
          <t>900004166</t>
        </is>
      </c>
      <c r="C259" t="inlineStr">
        <is>
          <t>DW68</t>
        </is>
      </c>
      <c r="D259" t="inlineStr">
        <is>
          <t>D264</t>
        </is>
      </c>
      <c r="E259" t="inlineStr">
        <is>
          <t>1</t>
        </is>
      </c>
      <c r="F259" t="inlineStr">
        <is>
          <t>10132394</t>
        </is>
      </c>
      <c r="H259" t="inlineStr"/>
      <c r="J259" t="n">
        <v>79.29000000000001</v>
      </c>
      <c r="K259" t="inlineStr"/>
      <c r="M259" t="inlineStr">
        <is>
          <t>TN</t>
        </is>
      </c>
      <c r="N259" t="inlineStr"/>
      <c r="P259" t="inlineStr">
        <is>
          <t>20230203</t>
        </is>
      </c>
      <c r="Q259" t="inlineStr">
        <is>
          <t>20251031</t>
        </is>
      </c>
    </row>
    <row r="260">
      <c r="A260" t="inlineStr">
        <is>
          <t>900004166DW68D26710000384</t>
        </is>
      </c>
      <c r="B260" t="inlineStr">
        <is>
          <t>900004166</t>
        </is>
      </c>
      <c r="C260" t="inlineStr">
        <is>
          <t>DW68</t>
        </is>
      </c>
      <c r="D260" t="inlineStr">
        <is>
          <t>D267</t>
        </is>
      </c>
      <c r="E260" t="inlineStr">
        <is>
          <t>1</t>
        </is>
      </c>
      <c r="F260" t="inlineStr">
        <is>
          <t>10000384</t>
        </is>
      </c>
      <c r="H260" t="inlineStr"/>
      <c r="J260" t="n">
        <v>126.02</v>
      </c>
      <c r="K260" t="inlineStr"/>
      <c r="M260" t="inlineStr">
        <is>
          <t>TN</t>
        </is>
      </c>
      <c r="N260" t="inlineStr"/>
      <c r="P260" t="inlineStr">
        <is>
          <t>20230203</t>
        </is>
      </c>
      <c r="Q260" t="inlineStr">
        <is>
          <t>20251031</t>
        </is>
      </c>
    </row>
    <row r="261">
      <c r="A261" t="inlineStr">
        <is>
          <t>900004166DW68D26710004258</t>
        </is>
      </c>
      <c r="B261" t="inlineStr">
        <is>
          <t>900004166</t>
        </is>
      </c>
      <c r="C261" t="inlineStr">
        <is>
          <t>DW68</t>
        </is>
      </c>
      <c r="D261" t="inlineStr">
        <is>
          <t>D267</t>
        </is>
      </c>
      <c r="E261" t="inlineStr">
        <is>
          <t>1</t>
        </is>
      </c>
      <c r="F261" t="inlineStr">
        <is>
          <t>10004258</t>
        </is>
      </c>
      <c r="H261" t="inlineStr"/>
      <c r="J261" t="n">
        <v>126.02</v>
      </c>
      <c r="K261" t="inlineStr"/>
      <c r="M261" t="inlineStr">
        <is>
          <t>TN</t>
        </is>
      </c>
      <c r="N261" t="inlineStr"/>
      <c r="P261" t="inlineStr">
        <is>
          <t>20230203</t>
        </is>
      </c>
      <c r="Q261" t="inlineStr">
        <is>
          <t>20251031</t>
        </is>
      </c>
    </row>
    <row r="262">
      <c r="A262" t="inlineStr">
        <is>
          <t>900004166DW68D26710034701</t>
        </is>
      </c>
      <c r="B262" t="inlineStr">
        <is>
          <t>900004166</t>
        </is>
      </c>
      <c r="C262" t="inlineStr">
        <is>
          <t>DW68</t>
        </is>
      </c>
      <c r="D262" t="inlineStr">
        <is>
          <t>D267</t>
        </is>
      </c>
      <c r="E262" t="inlineStr">
        <is>
          <t>1</t>
        </is>
      </c>
      <c r="F262" t="inlineStr">
        <is>
          <t>10034701</t>
        </is>
      </c>
      <c r="H262" t="inlineStr"/>
      <c r="J262" t="n">
        <v>126.02</v>
      </c>
      <c r="K262" t="inlineStr"/>
      <c r="M262" t="inlineStr">
        <is>
          <t>TN</t>
        </is>
      </c>
      <c r="N262" t="inlineStr"/>
      <c r="P262" t="inlineStr">
        <is>
          <t>20230203</t>
        </is>
      </c>
      <c r="Q262" t="inlineStr">
        <is>
          <t>20251031</t>
        </is>
      </c>
    </row>
    <row r="263">
      <c r="A263" t="inlineStr">
        <is>
          <t>900004166DW68D26710035053</t>
        </is>
      </c>
      <c r="B263" t="inlineStr">
        <is>
          <t>900004166</t>
        </is>
      </c>
      <c r="C263" t="inlineStr">
        <is>
          <t>DW68</t>
        </is>
      </c>
      <c r="D263" t="inlineStr">
        <is>
          <t>D267</t>
        </is>
      </c>
      <c r="E263" t="inlineStr">
        <is>
          <t>1</t>
        </is>
      </c>
      <c r="F263" t="inlineStr">
        <is>
          <t>10035053</t>
        </is>
      </c>
      <c r="H263" t="inlineStr"/>
      <c r="J263" t="n">
        <v>126.02</v>
      </c>
      <c r="K263" t="inlineStr"/>
      <c r="M263" t="inlineStr">
        <is>
          <t>TN</t>
        </is>
      </c>
      <c r="N263" t="inlineStr"/>
      <c r="P263" t="inlineStr">
        <is>
          <t>20230203</t>
        </is>
      </c>
      <c r="Q263" t="inlineStr">
        <is>
          <t>20251031</t>
        </is>
      </c>
    </row>
    <row r="264">
      <c r="A264" t="inlineStr">
        <is>
          <t>900004166DW68D26710110630</t>
        </is>
      </c>
      <c r="B264" t="inlineStr">
        <is>
          <t>900004166</t>
        </is>
      </c>
      <c r="C264" t="inlineStr">
        <is>
          <t>DW68</t>
        </is>
      </c>
      <c r="D264" t="inlineStr">
        <is>
          <t>D267</t>
        </is>
      </c>
      <c r="E264" t="inlineStr">
        <is>
          <t>1</t>
        </is>
      </c>
      <c r="F264" t="inlineStr">
        <is>
          <t>10110630</t>
        </is>
      </c>
      <c r="H264" t="inlineStr"/>
      <c r="J264" t="n">
        <v>126.02</v>
      </c>
      <c r="K264" t="inlineStr"/>
      <c r="M264" t="inlineStr">
        <is>
          <t>TN</t>
        </is>
      </c>
      <c r="N264" t="inlineStr"/>
      <c r="P264" t="inlineStr">
        <is>
          <t>20230203</t>
        </is>
      </c>
      <c r="Q264" t="inlineStr">
        <is>
          <t>20251031</t>
        </is>
      </c>
    </row>
    <row r="265">
      <c r="A265" t="inlineStr">
        <is>
          <t>900004166DW68D26710132394</t>
        </is>
      </c>
      <c r="B265" t="inlineStr">
        <is>
          <t>900004166</t>
        </is>
      </c>
      <c r="C265" t="inlineStr">
        <is>
          <t>DW68</t>
        </is>
      </c>
      <c r="D265" t="inlineStr">
        <is>
          <t>D267</t>
        </is>
      </c>
      <c r="E265" t="inlineStr">
        <is>
          <t>1</t>
        </is>
      </c>
      <c r="F265" t="inlineStr">
        <is>
          <t>10132394</t>
        </is>
      </c>
      <c r="H265" t="inlineStr"/>
      <c r="J265" t="n">
        <v>126.02</v>
      </c>
      <c r="K265" t="inlineStr"/>
      <c r="M265" t="inlineStr">
        <is>
          <t>TN</t>
        </is>
      </c>
      <c r="N265" t="inlineStr"/>
      <c r="P265" t="inlineStr">
        <is>
          <t>20230203</t>
        </is>
      </c>
      <c r="Q265" t="inlineStr">
        <is>
          <t>20251031</t>
        </is>
      </c>
    </row>
    <row r="266">
      <c r="A266" t="inlineStr">
        <is>
          <t>900004166DW68DD5810000726</t>
        </is>
      </c>
      <c r="B266" t="inlineStr">
        <is>
          <t>900004166</t>
        </is>
      </c>
      <c r="C266" t="inlineStr">
        <is>
          <t>DW68</t>
        </is>
      </c>
      <c r="D266" t="inlineStr">
        <is>
          <t>DD58</t>
        </is>
      </c>
      <c r="E266" t="inlineStr">
        <is>
          <t>4</t>
        </is>
      </c>
      <c r="F266" t="inlineStr">
        <is>
          <t>10000726</t>
        </is>
      </c>
      <c r="H266" t="inlineStr"/>
      <c r="J266" t="n">
        <v>81.62</v>
      </c>
      <c r="K266" t="inlineStr"/>
      <c r="M266" t="inlineStr">
        <is>
          <t>TN</t>
        </is>
      </c>
      <c r="N266" t="inlineStr"/>
      <c r="P266" t="inlineStr">
        <is>
          <t>20230926</t>
        </is>
      </c>
      <c r="Q266" t="inlineStr">
        <is>
          <t>20230926</t>
        </is>
      </c>
    </row>
    <row r="267">
      <c r="A267" t="inlineStr">
        <is>
          <t>900004356DW68D04210000191</t>
        </is>
      </c>
      <c r="B267" t="inlineStr">
        <is>
          <t>900004356</t>
        </is>
      </c>
      <c r="C267" t="inlineStr">
        <is>
          <t>DW68</t>
        </is>
      </c>
      <c r="D267" t="inlineStr">
        <is>
          <t>D042</t>
        </is>
      </c>
      <c r="E267" t="inlineStr">
        <is>
          <t>1</t>
        </is>
      </c>
      <c r="F267" t="inlineStr">
        <is>
          <t>10000191</t>
        </is>
      </c>
      <c r="H267" t="inlineStr"/>
      <c r="J267" t="n">
        <v>64.18000000000001</v>
      </c>
      <c r="K267" t="inlineStr"/>
      <c r="M267" t="inlineStr">
        <is>
          <t>TN</t>
        </is>
      </c>
      <c r="N267" t="inlineStr"/>
      <c r="P267" t="inlineStr">
        <is>
          <t>20230203</t>
        </is>
      </c>
      <c r="Q267" t="inlineStr">
        <is>
          <t>20250219</t>
        </is>
      </c>
    </row>
    <row r="268">
      <c r="A268" t="inlineStr">
        <is>
          <t>900004356DW68D04210000388</t>
        </is>
      </c>
      <c r="B268" t="inlineStr">
        <is>
          <t>900004356</t>
        </is>
      </c>
      <c r="C268" t="inlineStr">
        <is>
          <t>DW68</t>
        </is>
      </c>
      <c r="D268" t="inlineStr">
        <is>
          <t>D042</t>
        </is>
      </c>
      <c r="E268" t="inlineStr">
        <is>
          <t>1</t>
        </is>
      </c>
      <c r="F268" t="inlineStr">
        <is>
          <t>10000388</t>
        </is>
      </c>
      <c r="H268" t="inlineStr"/>
      <c r="J268" t="n">
        <v>74.06999999999999</v>
      </c>
      <c r="K268" t="inlineStr"/>
      <c r="M268" t="inlineStr">
        <is>
          <t>TN</t>
        </is>
      </c>
      <c r="N268" t="inlineStr"/>
      <c r="P268" t="inlineStr">
        <is>
          <t>20250301</t>
        </is>
      </c>
      <c r="Q268" t="inlineStr">
        <is>
          <t>20250708</t>
        </is>
      </c>
    </row>
    <row r="269">
      <c r="A269" t="inlineStr">
        <is>
          <t>900004356DW68D04210000437</t>
        </is>
      </c>
      <c r="B269" t="inlineStr">
        <is>
          <t>900004356</t>
        </is>
      </c>
      <c r="C269" t="inlineStr">
        <is>
          <t>DW68</t>
        </is>
      </c>
      <c r="D269" t="inlineStr">
        <is>
          <t>D042</t>
        </is>
      </c>
      <c r="E269" t="inlineStr">
        <is>
          <t>1</t>
        </is>
      </c>
      <c r="F269" t="inlineStr">
        <is>
          <t>10000437</t>
        </is>
      </c>
      <c r="H269" t="inlineStr"/>
      <c r="J269" t="n">
        <v>72.08</v>
      </c>
      <c r="K269" t="inlineStr"/>
      <c r="M269" t="inlineStr">
        <is>
          <t>TN</t>
        </is>
      </c>
      <c r="N269" t="inlineStr"/>
      <c r="P269" t="inlineStr">
        <is>
          <t>20251014</t>
        </is>
      </c>
      <c r="Q269" t="inlineStr">
        <is>
          <t>20260506</t>
        </is>
      </c>
    </row>
    <row r="270">
      <c r="A270" t="inlineStr">
        <is>
          <t>900004356DW68D04210268650</t>
        </is>
      </c>
      <c r="B270" t="inlineStr">
        <is>
          <t>900004356</t>
        </is>
      </c>
      <c r="C270" t="inlineStr">
        <is>
          <t>DW68</t>
        </is>
      </c>
      <c r="D270" t="inlineStr">
        <is>
          <t>D042</t>
        </is>
      </c>
      <c r="E270" t="inlineStr">
        <is>
          <t>1</t>
        </is>
      </c>
      <c r="F270" t="inlineStr">
        <is>
          <t>10268650</t>
        </is>
      </c>
      <c r="H270" t="inlineStr"/>
      <c r="J270" t="n">
        <v>80.93000000000001</v>
      </c>
      <c r="K270" t="inlineStr"/>
      <c r="M270" t="inlineStr">
        <is>
          <t>TN</t>
        </is>
      </c>
      <c r="N270" t="inlineStr"/>
      <c r="P270" t="inlineStr">
        <is>
          <t>20260526</t>
        </is>
      </c>
      <c r="Q270" t="inlineStr">
        <is>
          <t>99991231</t>
        </is>
      </c>
    </row>
    <row r="271">
      <c r="A271" t="inlineStr">
        <is>
          <t>900004356DW68D20910000191</t>
        </is>
      </c>
      <c r="B271" t="inlineStr">
        <is>
          <t>900004356</t>
        </is>
      </c>
      <c r="C271" t="inlineStr">
        <is>
          <t>DW68</t>
        </is>
      </c>
      <c r="D271" t="inlineStr">
        <is>
          <t>D209</t>
        </is>
      </c>
      <c r="E271" t="inlineStr">
        <is>
          <t>1</t>
        </is>
      </c>
      <c r="F271" t="inlineStr">
        <is>
          <t>10000191</t>
        </is>
      </c>
      <c r="H271" t="inlineStr"/>
      <c r="J271" t="n">
        <v>51.87</v>
      </c>
      <c r="K271" t="inlineStr"/>
      <c r="M271" t="inlineStr">
        <is>
          <t>TN</t>
        </is>
      </c>
      <c r="N271" t="inlineStr"/>
      <c r="P271" t="inlineStr">
        <is>
          <t>20230203</t>
        </is>
      </c>
      <c r="Q271" t="inlineStr">
        <is>
          <t>20250219</t>
        </is>
      </c>
    </row>
    <row r="272">
      <c r="A272" t="inlineStr">
        <is>
          <t>900004356DW68D20910000388</t>
        </is>
      </c>
      <c r="B272" t="inlineStr">
        <is>
          <t>900004356</t>
        </is>
      </c>
      <c r="C272" t="inlineStr">
        <is>
          <t>DW68</t>
        </is>
      </c>
      <c r="D272" t="inlineStr">
        <is>
          <t>D209</t>
        </is>
      </c>
      <c r="E272" t="inlineStr">
        <is>
          <t>1</t>
        </is>
      </c>
      <c r="F272" t="inlineStr">
        <is>
          <t>10000388</t>
        </is>
      </c>
      <c r="H272" t="inlineStr"/>
      <c r="J272" t="n">
        <v>59.61</v>
      </c>
      <c r="K272" t="inlineStr"/>
      <c r="M272" t="inlineStr">
        <is>
          <t>TN</t>
        </is>
      </c>
      <c r="N272" t="inlineStr"/>
      <c r="P272" t="inlineStr">
        <is>
          <t>20250301</t>
        </is>
      </c>
      <c r="Q272" t="inlineStr">
        <is>
          <t>20250708</t>
        </is>
      </c>
    </row>
    <row r="273">
      <c r="A273" t="inlineStr">
        <is>
          <t>900004356DW68D20910000437</t>
        </is>
      </c>
      <c r="B273" t="inlineStr">
        <is>
          <t>900004356</t>
        </is>
      </c>
      <c r="C273" t="inlineStr">
        <is>
          <t>DW68</t>
        </is>
      </c>
      <c r="D273" t="inlineStr">
        <is>
          <t>D209</t>
        </is>
      </c>
      <c r="E273" t="inlineStr">
        <is>
          <t>1</t>
        </is>
      </c>
      <c r="F273" t="inlineStr">
        <is>
          <t>10000437</t>
        </is>
      </c>
      <c r="H273" t="inlineStr"/>
      <c r="J273" t="n">
        <v>58.02</v>
      </c>
      <c r="K273" t="inlineStr"/>
      <c r="M273" t="inlineStr">
        <is>
          <t>TN</t>
        </is>
      </c>
      <c r="N273" t="inlineStr"/>
      <c r="P273" t="inlineStr">
        <is>
          <t>20251014</t>
        </is>
      </c>
      <c r="Q273" t="inlineStr">
        <is>
          <t>20260506</t>
        </is>
      </c>
    </row>
    <row r="274">
      <c r="A274" t="inlineStr">
        <is>
          <t>900004356DW68D20910268650</t>
        </is>
      </c>
      <c r="B274" t="inlineStr">
        <is>
          <t>900004356</t>
        </is>
      </c>
      <c r="C274" t="inlineStr">
        <is>
          <t>DW68</t>
        </is>
      </c>
      <c r="D274" t="inlineStr">
        <is>
          <t>D209</t>
        </is>
      </c>
      <c r="E274" t="inlineStr">
        <is>
          <t>1</t>
        </is>
      </c>
      <c r="F274" t="inlineStr">
        <is>
          <t>10268650</t>
        </is>
      </c>
      <c r="H274" t="inlineStr"/>
      <c r="J274" t="n">
        <v>63.97</v>
      </c>
      <c r="K274" t="inlineStr"/>
      <c r="M274" t="inlineStr">
        <is>
          <t>TN</t>
        </is>
      </c>
      <c r="N274" t="inlineStr"/>
      <c r="P274" t="inlineStr">
        <is>
          <t>20260526</t>
        </is>
      </c>
      <c r="Q274" t="inlineStr">
        <is>
          <t>99991231</t>
        </is>
      </c>
    </row>
    <row r="275">
      <c r="A275" t="inlineStr">
        <is>
          <t>900004356DW68D21110000191</t>
        </is>
      </c>
      <c r="B275" t="inlineStr">
        <is>
          <t>900004356</t>
        </is>
      </c>
      <c r="C275" t="inlineStr">
        <is>
          <t>DW68</t>
        </is>
      </c>
      <c r="D275" t="inlineStr">
        <is>
          <t>D211</t>
        </is>
      </c>
      <c r="E275" t="inlineStr">
        <is>
          <t>1</t>
        </is>
      </c>
      <c r="F275" t="inlineStr">
        <is>
          <t>10000191</t>
        </is>
      </c>
      <c r="H275" t="inlineStr"/>
      <c r="J275" t="n">
        <v>63.79</v>
      </c>
      <c r="K275" t="inlineStr"/>
      <c r="M275" t="inlineStr">
        <is>
          <t>TN</t>
        </is>
      </c>
      <c r="N275" t="inlineStr"/>
      <c r="P275" t="inlineStr">
        <is>
          <t>20230203</t>
        </is>
      </c>
      <c r="Q275" t="inlineStr">
        <is>
          <t>20250219</t>
        </is>
      </c>
    </row>
    <row r="276">
      <c r="A276" t="inlineStr">
        <is>
          <t>900004356DW68D21110000388</t>
        </is>
      </c>
      <c r="B276" t="inlineStr">
        <is>
          <t>900004356</t>
        </is>
      </c>
      <c r="C276" t="inlineStr">
        <is>
          <t>DW68</t>
        </is>
      </c>
      <c r="D276" t="inlineStr">
        <is>
          <t>D211</t>
        </is>
      </c>
      <c r="E276" t="inlineStr">
        <is>
          <t>1</t>
        </is>
      </c>
      <c r="F276" t="inlineStr">
        <is>
          <t>10000388</t>
        </is>
      </c>
      <c r="H276" t="inlineStr"/>
      <c r="J276" t="n">
        <v>91.41</v>
      </c>
      <c r="K276" t="inlineStr"/>
      <c r="M276" t="inlineStr">
        <is>
          <t>TN</t>
        </is>
      </c>
      <c r="N276" t="inlineStr"/>
      <c r="P276" t="inlineStr">
        <is>
          <t>20250301</t>
        </is>
      </c>
      <c r="Q276" t="inlineStr">
        <is>
          <t>20250708</t>
        </is>
      </c>
    </row>
    <row r="277">
      <c r="A277" t="inlineStr">
        <is>
          <t>900004356DW68D21110000437</t>
        </is>
      </c>
      <c r="B277" t="inlineStr">
        <is>
          <t>900004356</t>
        </is>
      </c>
      <c r="C277" t="inlineStr">
        <is>
          <t>DW68</t>
        </is>
      </c>
      <c r="D277" t="inlineStr">
        <is>
          <t>D211</t>
        </is>
      </c>
      <c r="E277" t="inlineStr">
        <is>
          <t>1</t>
        </is>
      </c>
      <c r="F277" t="inlineStr">
        <is>
          <t>10000437</t>
        </is>
      </c>
      <c r="H277" t="inlineStr"/>
      <c r="J277" t="n">
        <v>88.94</v>
      </c>
      <c r="K277" t="inlineStr"/>
      <c r="M277" t="inlineStr">
        <is>
          <t>TN</t>
        </is>
      </c>
      <c r="N277" t="inlineStr"/>
      <c r="P277" t="inlineStr">
        <is>
          <t>20251014</t>
        </is>
      </c>
      <c r="Q277" t="inlineStr">
        <is>
          <t>20260506</t>
        </is>
      </c>
    </row>
    <row r="278">
      <c r="A278" t="inlineStr">
        <is>
          <t>900004356DW68D21110268650</t>
        </is>
      </c>
      <c r="B278" t="inlineStr">
        <is>
          <t>900004356</t>
        </is>
      </c>
      <c r="C278" t="inlineStr">
        <is>
          <t>DW68</t>
        </is>
      </c>
      <c r="D278" t="inlineStr">
        <is>
          <t>D211</t>
        </is>
      </c>
      <c r="E278" t="inlineStr">
        <is>
          <t>1</t>
        </is>
      </c>
      <c r="F278" t="inlineStr">
        <is>
          <t>10268650</t>
        </is>
      </c>
      <c r="H278" t="inlineStr"/>
      <c r="J278" t="n">
        <v>98.09</v>
      </c>
      <c r="K278" t="inlineStr"/>
      <c r="M278" t="inlineStr">
        <is>
          <t>TN</t>
        </is>
      </c>
      <c r="N278" t="inlineStr"/>
      <c r="P278" t="inlineStr">
        <is>
          <t>20260526</t>
        </is>
      </c>
      <c r="Q278" t="inlineStr">
        <is>
          <t>99991231</t>
        </is>
      </c>
    </row>
    <row r="279">
      <c r="A279" t="inlineStr">
        <is>
          <t>900004356DW68D21410000191</t>
        </is>
      </c>
      <c r="B279" t="inlineStr">
        <is>
          <t>900004356</t>
        </is>
      </c>
      <c r="C279" t="inlineStr">
        <is>
          <t>DW68</t>
        </is>
      </c>
      <c r="D279" t="inlineStr">
        <is>
          <t>D214</t>
        </is>
      </c>
      <c r="E279" t="inlineStr">
        <is>
          <t>1</t>
        </is>
      </c>
      <c r="F279" t="inlineStr">
        <is>
          <t>10000191</t>
        </is>
      </c>
      <c r="H279" t="inlineStr"/>
      <c r="J279" t="n">
        <v>54.52</v>
      </c>
      <c r="K279" t="inlineStr"/>
      <c r="M279" t="inlineStr">
        <is>
          <t>TN</t>
        </is>
      </c>
      <c r="N279" t="inlineStr"/>
      <c r="P279" t="inlineStr">
        <is>
          <t>20210620</t>
        </is>
      </c>
      <c r="Q279" t="inlineStr">
        <is>
          <t>20250219</t>
        </is>
      </c>
    </row>
    <row r="280">
      <c r="A280" t="inlineStr">
        <is>
          <t>900004356DW68D21410000388</t>
        </is>
      </c>
      <c r="B280" t="inlineStr">
        <is>
          <t>900004356</t>
        </is>
      </c>
      <c r="C280" t="inlineStr">
        <is>
          <t>DW68</t>
        </is>
      </c>
      <c r="D280" t="inlineStr">
        <is>
          <t>D214</t>
        </is>
      </c>
      <c r="E280" t="inlineStr">
        <is>
          <t>1</t>
        </is>
      </c>
      <c r="F280" t="inlineStr">
        <is>
          <t>10000388</t>
        </is>
      </c>
      <c r="H280" t="inlineStr"/>
      <c r="J280" t="n">
        <v>61.51</v>
      </c>
      <c r="K280" t="inlineStr"/>
      <c r="M280" t="inlineStr">
        <is>
          <t>TN</t>
        </is>
      </c>
      <c r="N280" t="inlineStr"/>
      <c r="P280" t="inlineStr">
        <is>
          <t>20250301</t>
        </is>
      </c>
      <c r="Q280" t="inlineStr">
        <is>
          <t>20250708</t>
        </is>
      </c>
    </row>
    <row r="281">
      <c r="A281" t="inlineStr">
        <is>
          <t>900004356DW68D21410268650</t>
        </is>
      </c>
      <c r="B281" t="inlineStr">
        <is>
          <t>900004356</t>
        </is>
      </c>
      <c r="C281" t="inlineStr">
        <is>
          <t>DW68</t>
        </is>
      </c>
      <c r="D281" t="inlineStr">
        <is>
          <t>D214</t>
        </is>
      </c>
      <c r="E281" t="inlineStr">
        <is>
          <t>1</t>
        </is>
      </c>
      <c r="F281" t="inlineStr">
        <is>
          <t>10268650</t>
        </is>
      </c>
      <c r="H281" t="inlineStr"/>
      <c r="J281" t="n">
        <v>66.01000000000001</v>
      </c>
      <c r="K281" t="inlineStr"/>
      <c r="M281" t="inlineStr">
        <is>
          <t>TN</t>
        </is>
      </c>
      <c r="N281" t="inlineStr"/>
      <c r="P281" t="inlineStr">
        <is>
          <t>20260526</t>
        </is>
      </c>
      <c r="Q281" t="inlineStr">
        <is>
          <t>99991231</t>
        </is>
      </c>
    </row>
    <row r="282">
      <c r="A282" t="inlineStr">
        <is>
          <t>900004356DW68D22810000191</t>
        </is>
      </c>
      <c r="B282" t="inlineStr">
        <is>
          <t>900004356</t>
        </is>
      </c>
      <c r="C282" t="inlineStr">
        <is>
          <t>DW68</t>
        </is>
      </c>
      <c r="D282" t="inlineStr">
        <is>
          <t>D228</t>
        </is>
      </c>
      <c r="E282" t="inlineStr">
        <is>
          <t>1</t>
        </is>
      </c>
      <c r="F282" t="inlineStr">
        <is>
          <t>10000191</t>
        </is>
      </c>
      <c r="H282" t="inlineStr"/>
      <c r="J282" t="n">
        <v>88.42</v>
      </c>
      <c r="K282" t="inlineStr"/>
      <c r="M282" t="inlineStr">
        <is>
          <t>TN</t>
        </is>
      </c>
      <c r="N282" t="inlineStr"/>
      <c r="P282" t="inlineStr">
        <is>
          <t>20230203</t>
        </is>
      </c>
      <c r="Q282" t="inlineStr">
        <is>
          <t>20250219</t>
        </is>
      </c>
    </row>
    <row r="283">
      <c r="A283" t="inlineStr">
        <is>
          <t>900004356DW68D22810000388</t>
        </is>
      </c>
      <c r="B283" t="inlineStr">
        <is>
          <t>900004356</t>
        </is>
      </c>
      <c r="C283" t="inlineStr">
        <is>
          <t>DW68</t>
        </is>
      </c>
      <c r="D283" t="inlineStr">
        <is>
          <t>D228</t>
        </is>
      </c>
      <c r="E283" t="inlineStr">
        <is>
          <t>1</t>
        </is>
      </c>
      <c r="F283" t="inlineStr">
        <is>
          <t>10000388</t>
        </is>
      </c>
      <c r="H283" t="inlineStr"/>
      <c r="J283" t="n">
        <v>101.16</v>
      </c>
      <c r="K283" t="inlineStr"/>
      <c r="M283" t="inlineStr">
        <is>
          <t>TN</t>
        </is>
      </c>
      <c r="N283" t="inlineStr"/>
      <c r="P283" t="inlineStr">
        <is>
          <t>20250301</t>
        </is>
      </c>
      <c r="Q283" t="inlineStr">
        <is>
          <t>20250708</t>
        </is>
      </c>
    </row>
    <row r="284">
      <c r="A284" t="inlineStr">
        <is>
          <t>900004356DW68D22810000437</t>
        </is>
      </c>
      <c r="B284" t="inlineStr">
        <is>
          <t>900004356</t>
        </is>
      </c>
      <c r="C284" t="inlineStr">
        <is>
          <t>DW68</t>
        </is>
      </c>
      <c r="D284" t="inlineStr">
        <is>
          <t>D228</t>
        </is>
      </c>
      <c r="E284" t="inlineStr">
        <is>
          <t>1</t>
        </is>
      </c>
      <c r="F284" t="inlineStr">
        <is>
          <t>10000437</t>
        </is>
      </c>
      <c r="H284" t="inlineStr"/>
      <c r="J284" t="n">
        <v>98.45999999999999</v>
      </c>
      <c r="K284" t="inlineStr"/>
      <c r="M284" t="inlineStr">
        <is>
          <t>TN</t>
        </is>
      </c>
      <c r="N284" t="inlineStr"/>
      <c r="P284" t="inlineStr">
        <is>
          <t>20251014</t>
        </is>
      </c>
      <c r="Q284" t="inlineStr">
        <is>
          <t>20260506</t>
        </is>
      </c>
    </row>
    <row r="285">
      <c r="A285" t="inlineStr">
        <is>
          <t>900004356DW68D22810268650</t>
        </is>
      </c>
      <c r="B285" t="inlineStr">
        <is>
          <t>900004356</t>
        </is>
      </c>
      <c r="C285" t="inlineStr">
        <is>
          <t>DW68</t>
        </is>
      </c>
      <c r="D285" t="inlineStr">
        <is>
          <t>D228</t>
        </is>
      </c>
      <c r="E285" t="inlineStr">
        <is>
          <t>1</t>
        </is>
      </c>
      <c r="F285" t="inlineStr">
        <is>
          <t>10268650</t>
        </is>
      </c>
      <c r="H285" t="inlineStr"/>
      <c r="J285" t="n">
        <v>108.55</v>
      </c>
      <c r="K285" t="inlineStr"/>
      <c r="M285" t="inlineStr">
        <is>
          <t>TN</t>
        </is>
      </c>
      <c r="N285" t="inlineStr"/>
      <c r="P285" t="inlineStr">
        <is>
          <t>20260526</t>
        </is>
      </c>
      <c r="Q285" t="inlineStr">
        <is>
          <t>99991231</t>
        </is>
      </c>
    </row>
    <row r="286">
      <c r="A286" t="inlineStr">
        <is>
          <t>900004356DW68D24210000191</t>
        </is>
      </c>
      <c r="B286" t="inlineStr">
        <is>
          <t>900004356</t>
        </is>
      </c>
      <c r="C286" t="inlineStr">
        <is>
          <t>DW68</t>
        </is>
      </c>
      <c r="D286" t="inlineStr">
        <is>
          <t>D242</t>
        </is>
      </c>
      <c r="E286" t="inlineStr">
        <is>
          <t>1</t>
        </is>
      </c>
      <c r="F286" t="inlineStr">
        <is>
          <t>10000191</t>
        </is>
      </c>
      <c r="H286" t="inlineStr"/>
      <c r="J286" t="n">
        <v>67.19</v>
      </c>
      <c r="K286" t="inlineStr"/>
      <c r="M286" t="inlineStr">
        <is>
          <t>TN</t>
        </is>
      </c>
      <c r="N286" t="inlineStr"/>
      <c r="P286" t="inlineStr">
        <is>
          <t>20230203</t>
        </is>
      </c>
      <c r="Q286" t="inlineStr">
        <is>
          <t>20250219</t>
        </is>
      </c>
    </row>
    <row r="287">
      <c r="A287" t="inlineStr">
        <is>
          <t>900004356DW68D24210000388</t>
        </is>
      </c>
      <c r="B287" t="inlineStr">
        <is>
          <t>900004356</t>
        </is>
      </c>
      <c r="C287" t="inlineStr">
        <is>
          <t>DW68</t>
        </is>
      </c>
      <c r="D287" t="inlineStr">
        <is>
          <t>D242</t>
        </is>
      </c>
      <c r="E287" t="inlineStr">
        <is>
          <t>1</t>
        </is>
      </c>
      <c r="F287" t="inlineStr">
        <is>
          <t>10000388</t>
        </is>
      </c>
      <c r="H287" t="inlineStr"/>
      <c r="J287" t="n">
        <v>77.45</v>
      </c>
      <c r="K287" t="inlineStr"/>
      <c r="M287" t="inlineStr">
        <is>
          <t>TN</t>
        </is>
      </c>
      <c r="N287" t="inlineStr"/>
      <c r="P287" t="inlineStr">
        <is>
          <t>20250301</t>
        </is>
      </c>
      <c r="Q287" t="inlineStr">
        <is>
          <t>20250708</t>
        </is>
      </c>
    </row>
    <row r="288">
      <c r="A288" t="inlineStr">
        <is>
          <t>900004356DW68D24210000437</t>
        </is>
      </c>
      <c r="B288" t="inlineStr">
        <is>
          <t>900004356</t>
        </is>
      </c>
      <c r="C288" t="inlineStr">
        <is>
          <t>DW68</t>
        </is>
      </c>
      <c r="D288" t="inlineStr">
        <is>
          <t>D242</t>
        </is>
      </c>
      <c r="E288" t="inlineStr">
        <is>
          <t>1</t>
        </is>
      </c>
      <c r="F288" t="inlineStr">
        <is>
          <t>10000437</t>
        </is>
      </c>
      <c r="H288" t="inlineStr"/>
      <c r="J288" t="n">
        <v>75.38</v>
      </c>
      <c r="K288" t="inlineStr"/>
      <c r="M288" t="inlineStr">
        <is>
          <t>TN</t>
        </is>
      </c>
      <c r="N288" t="inlineStr"/>
      <c r="P288" t="inlineStr">
        <is>
          <t>20251014</t>
        </is>
      </c>
      <c r="Q288" t="inlineStr">
        <is>
          <t>20260506</t>
        </is>
      </c>
    </row>
    <row r="289">
      <c r="A289" t="inlineStr">
        <is>
          <t>900004356DW68D24210268650</t>
        </is>
      </c>
      <c r="B289" t="inlineStr">
        <is>
          <t>900004356</t>
        </is>
      </c>
      <c r="C289" t="inlineStr">
        <is>
          <t>DW68</t>
        </is>
      </c>
      <c r="D289" t="inlineStr">
        <is>
          <t>D242</t>
        </is>
      </c>
      <c r="E289" t="inlineStr">
        <is>
          <t>1</t>
        </is>
      </c>
      <c r="F289" t="inlineStr">
        <is>
          <t>10268650</t>
        </is>
      </c>
      <c r="H289" t="inlineStr"/>
      <c r="J289" t="n">
        <v>83.11</v>
      </c>
      <c r="K289" t="inlineStr"/>
      <c r="M289" t="inlineStr">
        <is>
          <t>TN</t>
        </is>
      </c>
      <c r="N289" t="inlineStr"/>
      <c r="P289" t="inlineStr">
        <is>
          <t>20260526</t>
        </is>
      </c>
      <c r="Q289" t="inlineStr">
        <is>
          <t>99991231</t>
        </is>
      </c>
    </row>
    <row r="290">
      <c r="A290" t="inlineStr">
        <is>
          <t>900004356DW68D24710000191</t>
        </is>
      </c>
      <c r="B290" t="inlineStr">
        <is>
          <t>900004356</t>
        </is>
      </c>
      <c r="C290" t="inlineStr">
        <is>
          <t>DW68</t>
        </is>
      </c>
      <c r="D290" t="inlineStr">
        <is>
          <t>D247</t>
        </is>
      </c>
      <c r="E290" t="inlineStr">
        <is>
          <t>1</t>
        </is>
      </c>
      <c r="F290" t="inlineStr">
        <is>
          <t>10000191</t>
        </is>
      </c>
      <c r="H290" t="inlineStr"/>
      <c r="J290" t="n">
        <v>20.29</v>
      </c>
      <c r="K290" t="inlineStr"/>
      <c r="M290" t="inlineStr">
        <is>
          <t>TN</t>
        </is>
      </c>
      <c r="N290" t="inlineStr"/>
      <c r="P290" t="inlineStr">
        <is>
          <t>20230203</t>
        </is>
      </c>
      <c r="Q290" t="inlineStr">
        <is>
          <t>20250219</t>
        </is>
      </c>
    </row>
    <row r="291">
      <c r="A291" t="inlineStr">
        <is>
          <t>900004356DW68D24710000388</t>
        </is>
      </c>
      <c r="B291" t="inlineStr">
        <is>
          <t>900004356</t>
        </is>
      </c>
      <c r="C291" t="inlineStr">
        <is>
          <t>DW68</t>
        </is>
      </c>
      <c r="D291" t="inlineStr">
        <is>
          <t>D247</t>
        </is>
      </c>
      <c r="E291" t="inlineStr">
        <is>
          <t>1</t>
        </is>
      </c>
      <c r="F291" t="inlineStr">
        <is>
          <t>10000388</t>
        </is>
      </c>
      <c r="H291" t="inlineStr"/>
      <c r="J291" t="n">
        <v>22.14</v>
      </c>
      <c r="K291" t="inlineStr"/>
      <c r="M291" t="inlineStr">
        <is>
          <t>TN</t>
        </is>
      </c>
      <c r="N291" t="inlineStr"/>
      <c r="P291" t="inlineStr">
        <is>
          <t>20250301</t>
        </is>
      </c>
      <c r="Q291" t="inlineStr">
        <is>
          <t>20250708</t>
        </is>
      </c>
    </row>
    <row r="292">
      <c r="A292" t="inlineStr">
        <is>
          <t>900004356DW68D24710000437</t>
        </is>
      </c>
      <c r="B292" t="inlineStr">
        <is>
          <t>900004356</t>
        </is>
      </c>
      <c r="C292" t="inlineStr">
        <is>
          <t>DW68</t>
        </is>
      </c>
      <c r="D292" t="inlineStr">
        <is>
          <t>D247</t>
        </is>
      </c>
      <c r="E292" t="inlineStr">
        <is>
          <t>1</t>
        </is>
      </c>
      <c r="F292" t="inlineStr">
        <is>
          <t>10000437</t>
        </is>
      </c>
      <c r="H292" t="inlineStr"/>
      <c r="J292" t="n">
        <v>21.54</v>
      </c>
      <c r="K292" t="inlineStr"/>
      <c r="M292" t="inlineStr">
        <is>
          <t>TN</t>
        </is>
      </c>
      <c r="N292" t="inlineStr"/>
      <c r="P292" t="inlineStr">
        <is>
          <t>20251014</t>
        </is>
      </c>
      <c r="Q292" t="inlineStr">
        <is>
          <t>20260506</t>
        </is>
      </c>
    </row>
    <row r="293">
      <c r="A293" t="inlineStr">
        <is>
          <t>900004356DW68D24710268650</t>
        </is>
      </c>
      <c r="B293" t="inlineStr">
        <is>
          <t>900004356</t>
        </is>
      </c>
      <c r="C293" t="inlineStr">
        <is>
          <t>DW68</t>
        </is>
      </c>
      <c r="D293" t="inlineStr">
        <is>
          <t>D247</t>
        </is>
      </c>
      <c r="E293" t="inlineStr">
        <is>
          <t>1</t>
        </is>
      </c>
      <c r="F293" t="inlineStr">
        <is>
          <t>10268650</t>
        </is>
      </c>
      <c r="H293" t="inlineStr"/>
      <c r="J293" t="n">
        <v>23.76</v>
      </c>
      <c r="K293" t="inlineStr"/>
      <c r="M293" t="inlineStr">
        <is>
          <t>TN</t>
        </is>
      </c>
      <c r="N293" t="inlineStr"/>
      <c r="P293" t="inlineStr">
        <is>
          <t>20260526</t>
        </is>
      </c>
      <c r="Q293" t="inlineStr">
        <is>
          <t>99991231</t>
        </is>
      </c>
    </row>
    <row r="294">
      <c r="A294" t="inlineStr">
        <is>
          <t>900004356DW68D25110000191</t>
        </is>
      </c>
      <c r="B294" t="inlineStr">
        <is>
          <t>900004356</t>
        </is>
      </c>
      <c r="C294" t="inlineStr">
        <is>
          <t>DW68</t>
        </is>
      </c>
      <c r="D294" t="inlineStr">
        <is>
          <t>D251</t>
        </is>
      </c>
      <c r="E294" t="inlineStr">
        <is>
          <t>1</t>
        </is>
      </c>
      <c r="F294" t="inlineStr">
        <is>
          <t>10000191</t>
        </is>
      </c>
      <c r="H294" t="inlineStr"/>
      <c r="J294" t="n">
        <v>53.36</v>
      </c>
      <c r="K294" t="inlineStr"/>
      <c r="M294" t="inlineStr">
        <is>
          <t>TN</t>
        </is>
      </c>
      <c r="N294" t="inlineStr"/>
      <c r="P294" t="inlineStr">
        <is>
          <t>20230203</t>
        </is>
      </c>
      <c r="Q294" t="inlineStr">
        <is>
          <t>20250219</t>
        </is>
      </c>
    </row>
    <row r="295">
      <c r="A295" t="inlineStr">
        <is>
          <t>900004356DW68D25110000388</t>
        </is>
      </c>
      <c r="B295" t="inlineStr">
        <is>
          <t>900004356</t>
        </is>
      </c>
      <c r="C295" t="inlineStr">
        <is>
          <t>DW68</t>
        </is>
      </c>
      <c r="D295" t="inlineStr">
        <is>
          <t>D251</t>
        </is>
      </c>
      <c r="E295" t="inlineStr">
        <is>
          <t>1</t>
        </is>
      </c>
      <c r="F295" t="inlineStr">
        <is>
          <t>10000388</t>
        </is>
      </c>
      <c r="H295" t="inlineStr"/>
      <c r="J295" t="n">
        <v>61.51</v>
      </c>
      <c r="K295" t="inlineStr"/>
      <c r="M295" t="inlineStr">
        <is>
          <t>TN</t>
        </is>
      </c>
      <c r="N295" t="inlineStr"/>
      <c r="P295" t="inlineStr">
        <is>
          <t>20250301</t>
        </is>
      </c>
      <c r="Q295" t="inlineStr">
        <is>
          <t>20250708</t>
        </is>
      </c>
    </row>
    <row r="296">
      <c r="A296" t="inlineStr">
        <is>
          <t>900004356DW68D25110000437</t>
        </is>
      </c>
      <c r="B296" t="inlineStr">
        <is>
          <t>900004356</t>
        </is>
      </c>
      <c r="C296" t="inlineStr">
        <is>
          <t>DW68</t>
        </is>
      </c>
      <c r="D296" t="inlineStr">
        <is>
          <t>D251</t>
        </is>
      </c>
      <c r="E296" t="inlineStr">
        <is>
          <t>1</t>
        </is>
      </c>
      <c r="F296" t="inlineStr">
        <is>
          <t>10000437</t>
        </is>
      </c>
      <c r="H296" t="inlineStr"/>
      <c r="J296" t="n">
        <v>59.86</v>
      </c>
      <c r="K296" t="inlineStr"/>
      <c r="M296" t="inlineStr">
        <is>
          <t>TN</t>
        </is>
      </c>
      <c r="N296" t="inlineStr"/>
      <c r="P296" t="inlineStr">
        <is>
          <t>20251014</t>
        </is>
      </c>
      <c r="Q296" t="inlineStr">
        <is>
          <t>20260506</t>
        </is>
      </c>
    </row>
    <row r="297">
      <c r="A297" t="inlineStr">
        <is>
          <t>900004356DW68D25110268650</t>
        </is>
      </c>
      <c r="B297" t="inlineStr">
        <is>
          <t>900004356</t>
        </is>
      </c>
      <c r="C297" t="inlineStr">
        <is>
          <t>DW68</t>
        </is>
      </c>
      <c r="D297" t="inlineStr">
        <is>
          <t>D251</t>
        </is>
      </c>
      <c r="E297" t="inlineStr">
        <is>
          <t>1</t>
        </is>
      </c>
      <c r="F297" t="inlineStr">
        <is>
          <t>10268650</t>
        </is>
      </c>
      <c r="H297" t="inlineStr"/>
      <c r="J297" t="n">
        <v>66.01000000000001</v>
      </c>
      <c r="K297" t="inlineStr"/>
      <c r="M297" t="inlineStr">
        <is>
          <t>TN</t>
        </is>
      </c>
      <c r="N297" t="inlineStr"/>
      <c r="P297" t="inlineStr">
        <is>
          <t>20260526</t>
        </is>
      </c>
      <c r="Q297" t="inlineStr">
        <is>
          <t>99991231</t>
        </is>
      </c>
    </row>
    <row r="298">
      <c r="A298" t="inlineStr">
        <is>
          <t>900004356DW68D26410000191</t>
        </is>
      </c>
      <c r="B298" t="inlineStr">
        <is>
          <t>900004356</t>
        </is>
      </c>
      <c r="C298" t="inlineStr">
        <is>
          <t>DW68</t>
        </is>
      </c>
      <c r="D298" t="inlineStr">
        <is>
          <t>D264</t>
        </is>
      </c>
      <c r="E298" t="inlineStr">
        <is>
          <t>1</t>
        </is>
      </c>
      <c r="F298" t="inlineStr">
        <is>
          <t>10000191</t>
        </is>
      </c>
      <c r="H298" t="inlineStr"/>
      <c r="J298" t="n">
        <v>57.21</v>
      </c>
      <c r="K298" t="inlineStr"/>
      <c r="M298" t="inlineStr">
        <is>
          <t>TN</t>
        </is>
      </c>
      <c r="N298" t="inlineStr"/>
      <c r="P298" t="inlineStr">
        <is>
          <t>20230203</t>
        </is>
      </c>
      <c r="Q298" t="inlineStr">
        <is>
          <t>20250219</t>
        </is>
      </c>
    </row>
    <row r="299">
      <c r="A299" t="inlineStr">
        <is>
          <t>900004356DW68D26410000388</t>
        </is>
      </c>
      <c r="B299" t="inlineStr">
        <is>
          <t>900004356</t>
        </is>
      </c>
      <c r="C299" t="inlineStr">
        <is>
          <t>DW68</t>
        </is>
      </c>
      <c r="D299" t="inlineStr">
        <is>
          <t>D264</t>
        </is>
      </c>
      <c r="E299" t="inlineStr">
        <is>
          <t>1</t>
        </is>
      </c>
      <c r="F299" t="inlineStr">
        <is>
          <t>10000388</t>
        </is>
      </c>
      <c r="H299" t="inlineStr"/>
      <c r="J299" t="n">
        <v>65.63</v>
      </c>
      <c r="K299" t="inlineStr"/>
      <c r="M299" t="inlineStr">
        <is>
          <t>TN</t>
        </is>
      </c>
      <c r="N299" t="inlineStr"/>
      <c r="P299" t="inlineStr">
        <is>
          <t>20250301</t>
        </is>
      </c>
      <c r="Q299" t="inlineStr">
        <is>
          <t>20250708</t>
        </is>
      </c>
    </row>
    <row r="300">
      <c r="A300" t="inlineStr">
        <is>
          <t>900004356DW68D26410000437</t>
        </is>
      </c>
      <c r="B300" t="inlineStr">
        <is>
          <t>900004356</t>
        </is>
      </c>
      <c r="C300" t="inlineStr">
        <is>
          <t>DW68</t>
        </is>
      </c>
      <c r="D300" t="inlineStr">
        <is>
          <t>D264</t>
        </is>
      </c>
      <c r="E300" t="inlineStr">
        <is>
          <t>1</t>
        </is>
      </c>
      <c r="F300" t="inlineStr">
        <is>
          <t>10000437</t>
        </is>
      </c>
      <c r="H300" t="inlineStr"/>
      <c r="J300" t="n">
        <v>63.88</v>
      </c>
      <c r="K300" t="inlineStr"/>
      <c r="M300" t="inlineStr">
        <is>
          <t>TN</t>
        </is>
      </c>
      <c r="N300" t="inlineStr"/>
      <c r="P300" t="inlineStr">
        <is>
          <t>20251014</t>
        </is>
      </c>
      <c r="Q300" t="inlineStr">
        <is>
          <t>20260506</t>
        </is>
      </c>
    </row>
    <row r="301">
      <c r="A301" t="inlineStr">
        <is>
          <t>900004356DW68D26410268650</t>
        </is>
      </c>
      <c r="B301" t="inlineStr">
        <is>
          <t>900004356</t>
        </is>
      </c>
      <c r="C301" t="inlineStr">
        <is>
          <t>DW68</t>
        </is>
      </c>
      <c r="D301" t="inlineStr">
        <is>
          <t>D264</t>
        </is>
      </c>
      <c r="E301" t="inlineStr">
        <is>
          <t>1</t>
        </is>
      </c>
      <c r="F301" t="inlineStr">
        <is>
          <t>10268650</t>
        </is>
      </c>
      <c r="H301" t="inlineStr"/>
      <c r="J301" t="n">
        <v>70.43000000000001</v>
      </c>
      <c r="K301" t="inlineStr"/>
      <c r="M301" t="inlineStr">
        <is>
          <t>TN</t>
        </is>
      </c>
      <c r="N301" t="inlineStr"/>
      <c r="P301" t="inlineStr">
        <is>
          <t>20260526</t>
        </is>
      </c>
      <c r="Q301" t="inlineStr">
        <is>
          <t>99991231</t>
        </is>
      </c>
    </row>
    <row r="302">
      <c r="A302" t="inlineStr">
        <is>
          <t>900004356DW68D26710000191</t>
        </is>
      </c>
      <c r="B302" t="inlineStr">
        <is>
          <t>900004356</t>
        </is>
      </c>
      <c r="C302" t="inlineStr">
        <is>
          <t>DW68</t>
        </is>
      </c>
      <c r="D302" t="inlineStr">
        <is>
          <t>D267</t>
        </is>
      </c>
      <c r="E302" t="inlineStr">
        <is>
          <t>1</t>
        </is>
      </c>
      <c r="F302" t="inlineStr">
        <is>
          <t>10000191</t>
        </is>
      </c>
      <c r="H302" t="inlineStr"/>
      <c r="J302" t="n">
        <v>70.61</v>
      </c>
      <c r="K302" t="inlineStr"/>
      <c r="M302" t="inlineStr">
        <is>
          <t>TN</t>
        </is>
      </c>
      <c r="N302" t="inlineStr"/>
      <c r="P302" t="inlineStr">
        <is>
          <t>20230203</t>
        </is>
      </c>
      <c r="Q302" t="inlineStr">
        <is>
          <t>20250219</t>
        </is>
      </c>
    </row>
    <row r="303">
      <c r="A303" t="inlineStr">
        <is>
          <t>900004356DW68D26710000388</t>
        </is>
      </c>
      <c r="B303" t="inlineStr">
        <is>
          <t>900004356</t>
        </is>
      </c>
      <c r="C303" t="inlineStr">
        <is>
          <t>DW68</t>
        </is>
      </c>
      <c r="D303" t="inlineStr">
        <is>
          <t>D267</t>
        </is>
      </c>
      <c r="E303" t="inlineStr">
        <is>
          <t>1</t>
        </is>
      </c>
      <c r="F303" t="inlineStr">
        <is>
          <t>10000388</t>
        </is>
      </c>
      <c r="H303" t="inlineStr"/>
      <c r="J303" t="n">
        <v>80.08</v>
      </c>
      <c r="K303" t="inlineStr"/>
      <c r="M303" t="inlineStr">
        <is>
          <t>TN</t>
        </is>
      </c>
      <c r="N303" t="inlineStr"/>
      <c r="P303" t="inlineStr">
        <is>
          <t>20250301</t>
        </is>
      </c>
      <c r="Q303" t="inlineStr">
        <is>
          <t>20250708</t>
        </is>
      </c>
    </row>
    <row r="304">
      <c r="A304" t="inlineStr">
        <is>
          <t>900004356DW68D26710000437</t>
        </is>
      </c>
      <c r="B304" t="inlineStr">
        <is>
          <t>900004356</t>
        </is>
      </c>
      <c r="C304" t="inlineStr">
        <is>
          <t>DW68</t>
        </is>
      </c>
      <c r="D304" t="inlineStr">
        <is>
          <t>D267</t>
        </is>
      </c>
      <c r="E304" t="inlineStr">
        <is>
          <t>1</t>
        </is>
      </c>
      <c r="F304" t="inlineStr">
        <is>
          <t>10000437</t>
        </is>
      </c>
      <c r="H304" t="inlineStr"/>
      <c r="J304" t="n">
        <v>77.91</v>
      </c>
      <c r="K304" t="inlineStr"/>
      <c r="M304" t="inlineStr">
        <is>
          <t>TN</t>
        </is>
      </c>
      <c r="N304" t="inlineStr"/>
      <c r="P304" t="inlineStr">
        <is>
          <t>20251014</t>
        </is>
      </c>
      <c r="Q304" t="inlineStr">
        <is>
          <t>20260506</t>
        </is>
      </c>
    </row>
    <row r="305">
      <c r="A305" t="inlineStr">
        <is>
          <t>900004356DW68D26710268650</t>
        </is>
      </c>
      <c r="B305" t="inlineStr">
        <is>
          <t>900004356</t>
        </is>
      </c>
      <c r="C305" t="inlineStr">
        <is>
          <t>DW68</t>
        </is>
      </c>
      <c r="D305" t="inlineStr">
        <is>
          <t>D267</t>
        </is>
      </c>
      <c r="E305" t="inlineStr">
        <is>
          <t>1</t>
        </is>
      </c>
      <c r="F305" t="inlineStr">
        <is>
          <t>10268650</t>
        </is>
      </c>
      <c r="H305" t="inlineStr"/>
      <c r="J305" t="n">
        <v>85.93000000000001</v>
      </c>
      <c r="K305" t="inlineStr"/>
      <c r="M305" t="inlineStr">
        <is>
          <t>TN</t>
        </is>
      </c>
      <c r="N305" t="inlineStr"/>
      <c r="P305" t="inlineStr">
        <is>
          <t>20260526</t>
        </is>
      </c>
      <c r="Q305" t="inlineStr">
        <is>
          <t>99991231</t>
        </is>
      </c>
    </row>
    <row r="306">
      <c r="A306" t="inlineStr">
        <is>
          <t>900004356DW68D26810000388</t>
        </is>
      </c>
      <c r="B306" t="inlineStr">
        <is>
          <t>900004356</t>
        </is>
      </c>
      <c r="C306" t="inlineStr">
        <is>
          <t>DW68</t>
        </is>
      </c>
      <c r="D306" t="inlineStr">
        <is>
          <t>D268</t>
        </is>
      </c>
      <c r="E306" t="inlineStr">
        <is>
          <t>1</t>
        </is>
      </c>
      <c r="F306" t="inlineStr">
        <is>
          <t>10000388</t>
        </is>
      </c>
      <c r="H306" t="inlineStr"/>
      <c r="J306" t="n">
        <v>90.01000000000001</v>
      </c>
      <c r="K306" t="inlineStr"/>
      <c r="M306" t="inlineStr">
        <is>
          <t>TN</t>
        </is>
      </c>
      <c r="N306" t="inlineStr"/>
      <c r="P306" t="inlineStr">
        <is>
          <t>20250301</t>
        </is>
      </c>
      <c r="Q306" t="inlineStr">
        <is>
          <t>20250708</t>
        </is>
      </c>
    </row>
    <row r="307">
      <c r="A307" t="inlineStr">
        <is>
          <t>900004356DW68D26810268650</t>
        </is>
      </c>
      <c r="B307" t="inlineStr">
        <is>
          <t>900004356</t>
        </is>
      </c>
      <c r="C307" t="inlineStr">
        <is>
          <t>DW68</t>
        </is>
      </c>
      <c r="D307" t="inlineStr">
        <is>
          <t>D268</t>
        </is>
      </c>
      <c r="E307" t="inlineStr">
        <is>
          <t>1</t>
        </is>
      </c>
      <c r="F307" t="inlineStr">
        <is>
          <t>10268650</t>
        </is>
      </c>
      <c r="H307" t="inlineStr"/>
      <c r="J307" t="n">
        <v>96.59</v>
      </c>
      <c r="K307" t="inlineStr"/>
      <c r="M307" t="inlineStr">
        <is>
          <t>TN</t>
        </is>
      </c>
      <c r="N307" t="inlineStr"/>
      <c r="P307" t="inlineStr">
        <is>
          <t>20250708</t>
        </is>
      </c>
      <c r="Q307" t="inlineStr">
        <is>
          <t>20260215</t>
        </is>
      </c>
    </row>
    <row r="308">
      <c r="A308" t="inlineStr">
        <is>
          <t>900004700DW68D04210000191</t>
        </is>
      </c>
      <c r="B308" t="inlineStr">
        <is>
          <t>900004700</t>
        </is>
      </c>
      <c r="C308" t="inlineStr">
        <is>
          <t>DW68</t>
        </is>
      </c>
      <c r="D308" t="inlineStr">
        <is>
          <t>D042</t>
        </is>
      </c>
      <c r="E308" t="inlineStr">
        <is>
          <t>1</t>
        </is>
      </c>
      <c r="F308" t="inlineStr">
        <is>
          <t>10000191</t>
        </is>
      </c>
      <c r="H308" t="inlineStr"/>
      <c r="J308" t="n">
        <v>157.43</v>
      </c>
      <c r="K308" t="inlineStr"/>
      <c r="M308" t="inlineStr">
        <is>
          <t>TN</t>
        </is>
      </c>
      <c r="N308" t="inlineStr"/>
      <c r="P308" t="inlineStr">
        <is>
          <t>20230802</t>
        </is>
      </c>
      <c r="Q308" t="inlineStr">
        <is>
          <t>20251031</t>
        </is>
      </c>
    </row>
    <row r="309">
      <c r="A309" t="inlineStr">
        <is>
          <t>900004700DW68D04210000384</t>
        </is>
      </c>
      <c r="B309" t="inlineStr">
        <is>
          <t>900004700</t>
        </is>
      </c>
      <c r="C309" t="inlineStr">
        <is>
          <t>DW68</t>
        </is>
      </c>
      <c r="D309" t="inlineStr">
        <is>
          <t>D042</t>
        </is>
      </c>
      <c r="E309" t="inlineStr">
        <is>
          <t>1</t>
        </is>
      </c>
      <c r="F309" t="inlineStr">
        <is>
          <t>10000384</t>
        </is>
      </c>
      <c r="H309" t="inlineStr"/>
      <c r="J309" t="n">
        <v>157.43</v>
      </c>
      <c r="K309" t="inlineStr"/>
      <c r="M309" t="inlineStr">
        <is>
          <t>TN</t>
        </is>
      </c>
      <c r="N309" t="inlineStr"/>
      <c r="P309" t="inlineStr">
        <is>
          <t>20230802</t>
        </is>
      </c>
      <c r="Q309" t="inlineStr">
        <is>
          <t>20251031</t>
        </is>
      </c>
    </row>
    <row r="310">
      <c r="A310" t="inlineStr">
        <is>
          <t>900004700DW68D04210000388</t>
        </is>
      </c>
      <c r="B310" t="inlineStr">
        <is>
          <t>900004700</t>
        </is>
      </c>
      <c r="C310" t="inlineStr">
        <is>
          <t>DW68</t>
        </is>
      </c>
      <c r="D310" t="inlineStr">
        <is>
          <t>D042</t>
        </is>
      </c>
      <c r="E310" t="inlineStr">
        <is>
          <t>1</t>
        </is>
      </c>
      <c r="F310" t="inlineStr">
        <is>
          <t>10000388</t>
        </is>
      </c>
      <c r="H310" t="inlineStr"/>
      <c r="J310" t="n">
        <v>157.43</v>
      </c>
      <c r="K310" t="inlineStr"/>
      <c r="M310" t="inlineStr">
        <is>
          <t>TN</t>
        </is>
      </c>
      <c r="N310" t="inlineStr"/>
      <c r="P310" t="inlineStr">
        <is>
          <t>20230802</t>
        </is>
      </c>
      <c r="Q310" t="inlineStr">
        <is>
          <t>20251031</t>
        </is>
      </c>
    </row>
    <row r="311">
      <c r="A311" t="inlineStr">
        <is>
          <t>900004700DW68D04210004258</t>
        </is>
      </c>
      <c r="B311" t="inlineStr">
        <is>
          <t>900004700</t>
        </is>
      </c>
      <c r="C311" t="inlineStr">
        <is>
          <t>DW68</t>
        </is>
      </c>
      <c r="D311" t="inlineStr">
        <is>
          <t>D042</t>
        </is>
      </c>
      <c r="E311" t="inlineStr">
        <is>
          <t>1</t>
        </is>
      </c>
      <c r="F311" t="inlineStr">
        <is>
          <t>10004258</t>
        </is>
      </c>
      <c r="H311" t="inlineStr"/>
      <c r="J311" t="n">
        <v>157.43</v>
      </c>
      <c r="K311" t="inlineStr"/>
      <c r="M311" t="inlineStr">
        <is>
          <t>TN</t>
        </is>
      </c>
      <c r="N311" t="inlineStr"/>
      <c r="P311" t="inlineStr">
        <is>
          <t>20230802</t>
        </is>
      </c>
      <c r="Q311" t="inlineStr">
        <is>
          <t>20251031</t>
        </is>
      </c>
    </row>
    <row r="312">
      <c r="A312" t="inlineStr">
        <is>
          <t>900004700DW68D20910000191</t>
        </is>
      </c>
      <c r="B312" t="inlineStr">
        <is>
          <t>900004700</t>
        </is>
      </c>
      <c r="C312" t="inlineStr">
        <is>
          <t>DW68</t>
        </is>
      </c>
      <c r="D312" t="inlineStr">
        <is>
          <t>D209</t>
        </is>
      </c>
      <c r="E312" t="inlineStr">
        <is>
          <t>1</t>
        </is>
      </c>
      <c r="F312" t="inlineStr">
        <is>
          <t>10000191</t>
        </is>
      </c>
      <c r="H312" t="inlineStr"/>
      <c r="J312" t="n">
        <v>140.58</v>
      </c>
      <c r="K312" t="inlineStr"/>
      <c r="M312" t="inlineStr">
        <is>
          <t>TN</t>
        </is>
      </c>
      <c r="N312" t="inlineStr"/>
      <c r="P312" t="inlineStr">
        <is>
          <t>20230802</t>
        </is>
      </c>
      <c r="Q312" t="inlineStr">
        <is>
          <t>20251031</t>
        </is>
      </c>
    </row>
    <row r="313">
      <c r="A313" t="inlineStr">
        <is>
          <t>900004700DW68D20910000384</t>
        </is>
      </c>
      <c r="B313" t="inlineStr">
        <is>
          <t>900004700</t>
        </is>
      </c>
      <c r="C313" t="inlineStr">
        <is>
          <t>DW68</t>
        </is>
      </c>
      <c r="D313" t="inlineStr">
        <is>
          <t>D209</t>
        </is>
      </c>
      <c r="E313" t="inlineStr">
        <is>
          <t>1</t>
        </is>
      </c>
      <c r="F313" t="inlineStr">
        <is>
          <t>10000384</t>
        </is>
      </c>
      <c r="H313" t="inlineStr"/>
      <c r="J313" t="n">
        <v>140.58</v>
      </c>
      <c r="K313" t="inlineStr"/>
      <c r="M313" t="inlineStr">
        <is>
          <t>TN</t>
        </is>
      </c>
      <c r="N313" t="inlineStr"/>
      <c r="P313" t="inlineStr">
        <is>
          <t>20230802</t>
        </is>
      </c>
      <c r="Q313" t="inlineStr">
        <is>
          <t>20251031</t>
        </is>
      </c>
    </row>
    <row r="314">
      <c r="A314" t="inlineStr">
        <is>
          <t>900004700DW68D20910000388</t>
        </is>
      </c>
      <c r="B314" t="inlineStr">
        <is>
          <t>900004700</t>
        </is>
      </c>
      <c r="C314" t="inlineStr">
        <is>
          <t>DW68</t>
        </is>
      </c>
      <c r="D314" t="inlineStr">
        <is>
          <t>D209</t>
        </is>
      </c>
      <c r="E314" t="inlineStr">
        <is>
          <t>1</t>
        </is>
      </c>
      <c r="F314" t="inlineStr">
        <is>
          <t>10000388</t>
        </is>
      </c>
      <c r="H314" t="inlineStr"/>
      <c r="J314" t="n">
        <v>140.58</v>
      </c>
      <c r="K314" t="inlineStr"/>
      <c r="M314" t="inlineStr">
        <is>
          <t>TN</t>
        </is>
      </c>
      <c r="N314" t="inlineStr"/>
      <c r="P314" t="inlineStr">
        <is>
          <t>20230802</t>
        </is>
      </c>
      <c r="Q314" t="inlineStr">
        <is>
          <t>20251031</t>
        </is>
      </c>
    </row>
    <row r="315">
      <c r="A315" t="inlineStr">
        <is>
          <t>900004700DW68D20910004258</t>
        </is>
      </c>
      <c r="B315" t="inlineStr">
        <is>
          <t>900004700</t>
        </is>
      </c>
      <c r="C315" t="inlineStr">
        <is>
          <t>DW68</t>
        </is>
      </c>
      <c r="D315" t="inlineStr">
        <is>
          <t>D209</t>
        </is>
      </c>
      <c r="E315" t="inlineStr">
        <is>
          <t>1</t>
        </is>
      </c>
      <c r="F315" t="inlineStr">
        <is>
          <t>10004258</t>
        </is>
      </c>
      <c r="H315" t="inlineStr"/>
      <c r="J315" t="n">
        <v>140.58</v>
      </c>
      <c r="K315" t="inlineStr"/>
      <c r="M315" t="inlineStr">
        <is>
          <t>TN</t>
        </is>
      </c>
      <c r="N315" t="inlineStr"/>
      <c r="P315" t="inlineStr">
        <is>
          <t>20230802</t>
        </is>
      </c>
      <c r="Q315" t="inlineStr">
        <is>
          <t>20251031</t>
        </is>
      </c>
    </row>
    <row r="316">
      <c r="A316" t="inlineStr">
        <is>
          <t>900004700DW68D21110000191</t>
        </is>
      </c>
      <c r="B316" t="inlineStr">
        <is>
          <t>900004700</t>
        </is>
      </c>
      <c r="C316" t="inlineStr">
        <is>
          <t>DW68</t>
        </is>
      </c>
      <c r="D316" t="inlineStr">
        <is>
          <t>D211</t>
        </is>
      </c>
      <c r="E316" t="inlineStr">
        <is>
          <t>1</t>
        </is>
      </c>
      <c r="F316" t="inlineStr">
        <is>
          <t>10000191</t>
        </is>
      </c>
      <c r="H316" t="inlineStr"/>
      <c r="J316" t="n">
        <v>141.6</v>
      </c>
      <c r="K316" t="inlineStr"/>
      <c r="M316" t="inlineStr">
        <is>
          <t>TN</t>
        </is>
      </c>
      <c r="N316" t="inlineStr"/>
      <c r="P316" t="inlineStr">
        <is>
          <t>20230802</t>
        </is>
      </c>
      <c r="Q316" t="inlineStr">
        <is>
          <t>20251031</t>
        </is>
      </c>
    </row>
    <row r="317">
      <c r="A317" t="inlineStr">
        <is>
          <t>900004700DW68D21110000384</t>
        </is>
      </c>
      <c r="B317" t="inlineStr">
        <is>
          <t>900004700</t>
        </is>
      </c>
      <c r="C317" t="inlineStr">
        <is>
          <t>DW68</t>
        </is>
      </c>
      <c r="D317" t="inlineStr">
        <is>
          <t>D211</t>
        </is>
      </c>
      <c r="E317" t="inlineStr">
        <is>
          <t>1</t>
        </is>
      </c>
      <c r="F317" t="inlineStr">
        <is>
          <t>10000384</t>
        </is>
      </c>
      <c r="H317" t="inlineStr"/>
      <c r="J317" t="n">
        <v>141.6</v>
      </c>
      <c r="K317" t="inlineStr"/>
      <c r="M317" t="inlineStr">
        <is>
          <t>TN</t>
        </is>
      </c>
      <c r="N317" t="inlineStr"/>
      <c r="P317" t="inlineStr">
        <is>
          <t>20230802</t>
        </is>
      </c>
      <c r="Q317" t="inlineStr">
        <is>
          <t>20251031</t>
        </is>
      </c>
    </row>
    <row r="318">
      <c r="A318" t="inlineStr">
        <is>
          <t>900004700DW68D21110000388</t>
        </is>
      </c>
      <c r="B318" t="inlineStr">
        <is>
          <t>900004700</t>
        </is>
      </c>
      <c r="C318" t="inlineStr">
        <is>
          <t>DW68</t>
        </is>
      </c>
      <c r="D318" t="inlineStr">
        <is>
          <t>D211</t>
        </is>
      </c>
      <c r="E318" t="inlineStr">
        <is>
          <t>1</t>
        </is>
      </c>
      <c r="F318" t="inlineStr">
        <is>
          <t>10000388</t>
        </is>
      </c>
      <c r="H318" t="inlineStr"/>
      <c r="J318" t="n">
        <v>141.6</v>
      </c>
      <c r="K318" t="inlineStr"/>
      <c r="M318" t="inlineStr">
        <is>
          <t>TN</t>
        </is>
      </c>
      <c r="N318" t="inlineStr"/>
      <c r="P318" t="inlineStr">
        <is>
          <t>20230802</t>
        </is>
      </c>
      <c r="Q318" t="inlineStr">
        <is>
          <t>20251031</t>
        </is>
      </c>
    </row>
    <row r="319">
      <c r="A319" t="inlineStr">
        <is>
          <t>900004700DW68D21110004258</t>
        </is>
      </c>
      <c r="B319" t="inlineStr">
        <is>
          <t>900004700</t>
        </is>
      </c>
      <c r="C319" t="inlineStr">
        <is>
          <t>DW68</t>
        </is>
      </c>
      <c r="D319" t="inlineStr">
        <is>
          <t>D211</t>
        </is>
      </c>
      <c r="E319" t="inlineStr">
        <is>
          <t>1</t>
        </is>
      </c>
      <c r="F319" t="inlineStr">
        <is>
          <t>10004258</t>
        </is>
      </c>
      <c r="H319" t="inlineStr"/>
      <c r="J319" t="n">
        <v>141.6</v>
      </c>
      <c r="K319" t="inlineStr"/>
      <c r="M319" t="inlineStr">
        <is>
          <t>TN</t>
        </is>
      </c>
      <c r="N319" t="inlineStr"/>
      <c r="P319" t="inlineStr">
        <is>
          <t>20230802</t>
        </is>
      </c>
      <c r="Q319" t="inlineStr">
        <is>
          <t>20251031</t>
        </is>
      </c>
    </row>
    <row r="320">
      <c r="A320" t="inlineStr">
        <is>
          <t>900004700DW68D22010000191</t>
        </is>
      </c>
      <c r="B320" t="inlineStr">
        <is>
          <t>900004700</t>
        </is>
      </c>
      <c r="C320" t="inlineStr">
        <is>
          <t>DW68</t>
        </is>
      </c>
      <c r="D320" t="inlineStr">
        <is>
          <t>D220</t>
        </is>
      </c>
      <c r="E320" t="inlineStr">
        <is>
          <t>1</t>
        </is>
      </c>
      <c r="F320" t="inlineStr">
        <is>
          <t>10000191</t>
        </is>
      </c>
      <c r="H320" t="inlineStr"/>
      <c r="J320" t="n">
        <v>133.34</v>
      </c>
      <c r="K320" t="inlineStr"/>
      <c r="M320" t="inlineStr">
        <is>
          <t>TN</t>
        </is>
      </c>
      <c r="N320" t="inlineStr"/>
      <c r="P320" t="inlineStr">
        <is>
          <t>20230802</t>
        </is>
      </c>
      <c r="Q320" t="inlineStr">
        <is>
          <t>20251031</t>
        </is>
      </c>
    </row>
    <row r="321">
      <c r="A321" t="inlineStr">
        <is>
          <t>900004700DW68D22010000384</t>
        </is>
      </c>
      <c r="B321" t="inlineStr">
        <is>
          <t>900004700</t>
        </is>
      </c>
      <c r="C321" t="inlineStr">
        <is>
          <t>DW68</t>
        </is>
      </c>
      <c r="D321" t="inlineStr">
        <is>
          <t>D220</t>
        </is>
      </c>
      <c r="E321" t="inlineStr">
        <is>
          <t>1</t>
        </is>
      </c>
      <c r="F321" t="inlineStr">
        <is>
          <t>10000384</t>
        </is>
      </c>
      <c r="H321" t="inlineStr"/>
      <c r="J321" t="n">
        <v>133.34</v>
      </c>
      <c r="K321" t="inlineStr"/>
      <c r="M321" t="inlineStr">
        <is>
          <t>TN</t>
        </is>
      </c>
      <c r="N321" t="inlineStr"/>
      <c r="P321" t="inlineStr">
        <is>
          <t>20230802</t>
        </is>
      </c>
      <c r="Q321" t="inlineStr">
        <is>
          <t>20251031</t>
        </is>
      </c>
    </row>
    <row r="322">
      <c r="A322" t="inlineStr">
        <is>
          <t>900004700DW68D22010000388</t>
        </is>
      </c>
      <c r="B322" t="inlineStr">
        <is>
          <t>900004700</t>
        </is>
      </c>
      <c r="C322" t="inlineStr">
        <is>
          <t>DW68</t>
        </is>
      </c>
      <c r="D322" t="inlineStr">
        <is>
          <t>D220</t>
        </is>
      </c>
      <c r="E322" t="inlineStr">
        <is>
          <t>1</t>
        </is>
      </c>
      <c r="F322" t="inlineStr">
        <is>
          <t>10000388</t>
        </is>
      </c>
      <c r="H322" t="inlineStr"/>
      <c r="J322" t="n">
        <v>133.34</v>
      </c>
      <c r="K322" t="inlineStr"/>
      <c r="M322" t="inlineStr">
        <is>
          <t>TN</t>
        </is>
      </c>
      <c r="N322" t="inlineStr"/>
      <c r="P322" t="inlineStr">
        <is>
          <t>20230802</t>
        </is>
      </c>
      <c r="Q322" t="inlineStr">
        <is>
          <t>20251031</t>
        </is>
      </c>
    </row>
    <row r="323">
      <c r="A323" t="inlineStr">
        <is>
          <t>900004700DW68D22010004258</t>
        </is>
      </c>
      <c r="B323" t="inlineStr">
        <is>
          <t>900004700</t>
        </is>
      </c>
      <c r="C323" t="inlineStr">
        <is>
          <t>DW68</t>
        </is>
      </c>
      <c r="D323" t="inlineStr">
        <is>
          <t>D220</t>
        </is>
      </c>
      <c r="E323" t="inlineStr">
        <is>
          <t>1</t>
        </is>
      </c>
      <c r="F323" t="inlineStr">
        <is>
          <t>10004258</t>
        </is>
      </c>
      <c r="H323" t="inlineStr"/>
      <c r="J323" t="n">
        <v>133.34</v>
      </c>
      <c r="K323" t="inlineStr"/>
      <c r="M323" t="inlineStr">
        <is>
          <t>TN</t>
        </is>
      </c>
      <c r="N323" t="inlineStr"/>
      <c r="P323" t="inlineStr">
        <is>
          <t>20230802</t>
        </is>
      </c>
      <c r="Q323" t="inlineStr">
        <is>
          <t>20251031</t>
        </is>
      </c>
    </row>
    <row r="324">
      <c r="A324" t="inlineStr">
        <is>
          <t>900004700DW68D22810000191</t>
        </is>
      </c>
      <c r="B324" t="inlineStr">
        <is>
          <t>900004700</t>
        </is>
      </c>
      <c r="C324" t="inlineStr">
        <is>
          <t>DW68</t>
        </is>
      </c>
      <c r="D324" t="inlineStr">
        <is>
          <t>D228</t>
        </is>
      </c>
      <c r="E324" t="inlineStr">
        <is>
          <t>1</t>
        </is>
      </c>
      <c r="F324" t="inlineStr">
        <is>
          <t>10000191</t>
        </is>
      </c>
      <c r="H324" t="inlineStr"/>
      <c r="J324" t="n">
        <v>153.52</v>
      </c>
      <c r="K324" t="inlineStr"/>
      <c r="M324" t="inlineStr">
        <is>
          <t>TN</t>
        </is>
      </c>
      <c r="N324" t="inlineStr"/>
      <c r="P324" t="inlineStr">
        <is>
          <t>20230802</t>
        </is>
      </c>
      <c r="Q324" t="inlineStr">
        <is>
          <t>20251031</t>
        </is>
      </c>
    </row>
    <row r="325">
      <c r="A325" t="inlineStr">
        <is>
          <t>900004700DW68D22810000384</t>
        </is>
      </c>
      <c r="B325" t="inlineStr">
        <is>
          <t>900004700</t>
        </is>
      </c>
      <c r="C325" t="inlineStr">
        <is>
          <t>DW68</t>
        </is>
      </c>
      <c r="D325" t="inlineStr">
        <is>
          <t>D228</t>
        </is>
      </c>
      <c r="E325" t="inlineStr">
        <is>
          <t>1</t>
        </is>
      </c>
      <c r="F325" t="inlineStr">
        <is>
          <t>10000384</t>
        </is>
      </c>
      <c r="H325" t="inlineStr"/>
      <c r="J325" t="n">
        <v>153.52</v>
      </c>
      <c r="K325" t="inlineStr"/>
      <c r="M325" t="inlineStr">
        <is>
          <t>TN</t>
        </is>
      </c>
      <c r="N325" t="inlineStr"/>
      <c r="P325" t="inlineStr">
        <is>
          <t>20230802</t>
        </is>
      </c>
      <c r="Q325" t="inlineStr">
        <is>
          <t>20251031</t>
        </is>
      </c>
    </row>
    <row r="326">
      <c r="A326" t="inlineStr">
        <is>
          <t>900004700DW68D22810000388</t>
        </is>
      </c>
      <c r="B326" t="inlineStr">
        <is>
          <t>900004700</t>
        </is>
      </c>
      <c r="C326" t="inlineStr">
        <is>
          <t>DW68</t>
        </is>
      </c>
      <c r="D326" t="inlineStr">
        <is>
          <t>D228</t>
        </is>
      </c>
      <c r="E326" t="inlineStr">
        <is>
          <t>1</t>
        </is>
      </c>
      <c r="F326" t="inlineStr">
        <is>
          <t>10000388</t>
        </is>
      </c>
      <c r="H326" t="inlineStr"/>
      <c r="J326" t="n">
        <v>153.52</v>
      </c>
      <c r="K326" t="inlineStr"/>
      <c r="M326" t="inlineStr">
        <is>
          <t>TN</t>
        </is>
      </c>
      <c r="N326" t="inlineStr"/>
      <c r="P326" t="inlineStr">
        <is>
          <t>20230802</t>
        </is>
      </c>
      <c r="Q326" t="inlineStr">
        <is>
          <t>20251031</t>
        </is>
      </c>
    </row>
    <row r="327">
      <c r="A327" t="inlineStr">
        <is>
          <t>900004700DW68D22810004258</t>
        </is>
      </c>
      <c r="B327" t="inlineStr">
        <is>
          <t>900004700</t>
        </is>
      </c>
      <c r="C327" t="inlineStr">
        <is>
          <t>DW68</t>
        </is>
      </c>
      <c r="D327" t="inlineStr">
        <is>
          <t>D228</t>
        </is>
      </c>
      <c r="E327" t="inlineStr">
        <is>
          <t>1</t>
        </is>
      </c>
      <c r="F327" t="inlineStr">
        <is>
          <t>10004258</t>
        </is>
      </c>
      <c r="H327" t="inlineStr"/>
      <c r="J327" t="n">
        <v>153.52</v>
      </c>
      <c r="K327" t="inlineStr"/>
      <c r="M327" t="inlineStr">
        <is>
          <t>TN</t>
        </is>
      </c>
      <c r="N327" t="inlineStr"/>
      <c r="P327" t="inlineStr">
        <is>
          <t>20230802</t>
        </is>
      </c>
      <c r="Q327" t="inlineStr">
        <is>
          <t>20251031</t>
        </is>
      </c>
    </row>
    <row r="328">
      <c r="A328" t="inlineStr">
        <is>
          <t>900004700DW68D24210000191</t>
        </is>
      </c>
      <c r="B328" t="inlineStr">
        <is>
          <t>900004700</t>
        </is>
      </c>
      <c r="C328" t="inlineStr">
        <is>
          <t>DW68</t>
        </is>
      </c>
      <c r="D328" t="inlineStr">
        <is>
          <t>D242</t>
        </is>
      </c>
      <c r="E328" t="inlineStr">
        <is>
          <t>1</t>
        </is>
      </c>
      <c r="F328" t="inlineStr">
        <is>
          <t>10000191</t>
        </is>
      </c>
      <c r="H328" t="inlineStr"/>
      <c r="J328" t="n">
        <v>164.66</v>
      </c>
      <c r="K328" t="inlineStr"/>
      <c r="M328" t="inlineStr">
        <is>
          <t>TN</t>
        </is>
      </c>
      <c r="N328" t="inlineStr"/>
      <c r="P328" t="inlineStr">
        <is>
          <t>20230802</t>
        </is>
      </c>
      <c r="Q328" t="inlineStr">
        <is>
          <t>20251031</t>
        </is>
      </c>
    </row>
    <row r="329">
      <c r="A329" t="inlineStr">
        <is>
          <t>900004700DW68D24210000384</t>
        </is>
      </c>
      <c r="B329" t="inlineStr">
        <is>
          <t>900004700</t>
        </is>
      </c>
      <c r="C329" t="inlineStr">
        <is>
          <t>DW68</t>
        </is>
      </c>
      <c r="D329" t="inlineStr">
        <is>
          <t>D242</t>
        </is>
      </c>
      <c r="E329" t="inlineStr">
        <is>
          <t>1</t>
        </is>
      </c>
      <c r="F329" t="inlineStr">
        <is>
          <t>10000384</t>
        </is>
      </c>
      <c r="H329" t="inlineStr"/>
      <c r="J329" t="n">
        <v>164.66</v>
      </c>
      <c r="K329" t="inlineStr"/>
      <c r="M329" t="inlineStr">
        <is>
          <t>TN</t>
        </is>
      </c>
      <c r="N329" t="inlineStr"/>
      <c r="P329" t="inlineStr">
        <is>
          <t>20230802</t>
        </is>
      </c>
      <c r="Q329" t="inlineStr">
        <is>
          <t>20251031</t>
        </is>
      </c>
    </row>
    <row r="330">
      <c r="A330" t="inlineStr">
        <is>
          <t>900004700DW68D24210000388</t>
        </is>
      </c>
      <c r="B330" t="inlineStr">
        <is>
          <t>900004700</t>
        </is>
      </c>
      <c r="C330" t="inlineStr">
        <is>
          <t>DW68</t>
        </is>
      </c>
      <c r="D330" t="inlineStr">
        <is>
          <t>D242</t>
        </is>
      </c>
      <c r="E330" t="inlineStr">
        <is>
          <t>1</t>
        </is>
      </c>
      <c r="F330" t="inlineStr">
        <is>
          <t>10000388</t>
        </is>
      </c>
      <c r="H330" t="inlineStr"/>
      <c r="J330" t="n">
        <v>164.66</v>
      </c>
      <c r="K330" t="inlineStr"/>
      <c r="M330" t="inlineStr">
        <is>
          <t>TN</t>
        </is>
      </c>
      <c r="N330" t="inlineStr"/>
      <c r="P330" t="inlineStr">
        <is>
          <t>20230802</t>
        </is>
      </c>
      <c r="Q330" t="inlineStr">
        <is>
          <t>20251031</t>
        </is>
      </c>
    </row>
    <row r="331">
      <c r="A331" t="inlineStr">
        <is>
          <t>900004700DW68D24210004258</t>
        </is>
      </c>
      <c r="B331" t="inlineStr">
        <is>
          <t>900004700</t>
        </is>
      </c>
      <c r="C331" t="inlineStr">
        <is>
          <t>DW68</t>
        </is>
      </c>
      <c r="D331" t="inlineStr">
        <is>
          <t>D242</t>
        </is>
      </c>
      <c r="E331" t="inlineStr">
        <is>
          <t>1</t>
        </is>
      </c>
      <c r="F331" t="inlineStr">
        <is>
          <t>10004258</t>
        </is>
      </c>
      <c r="H331" t="inlineStr"/>
      <c r="J331" t="n">
        <v>164.66</v>
      </c>
      <c r="K331" t="inlineStr"/>
      <c r="M331" t="inlineStr">
        <is>
          <t>TN</t>
        </is>
      </c>
      <c r="N331" t="inlineStr"/>
      <c r="P331" t="inlineStr">
        <is>
          <t>20230802</t>
        </is>
      </c>
      <c r="Q331" t="inlineStr">
        <is>
          <t>20251031</t>
        </is>
      </c>
    </row>
    <row r="332">
      <c r="A332" t="inlineStr">
        <is>
          <t>900004700DW68D24710000191</t>
        </is>
      </c>
      <c r="B332" t="inlineStr">
        <is>
          <t>900004700</t>
        </is>
      </c>
      <c r="C332" t="inlineStr">
        <is>
          <t>DW68</t>
        </is>
      </c>
      <c r="D332" t="inlineStr">
        <is>
          <t>D247</t>
        </is>
      </c>
      <c r="E332" t="inlineStr">
        <is>
          <t>1</t>
        </is>
      </c>
      <c r="F332" t="inlineStr">
        <is>
          <t>10000191</t>
        </is>
      </c>
      <c r="H332" t="inlineStr"/>
      <c r="J332" t="n">
        <v>159.36</v>
      </c>
      <c r="K332" t="inlineStr"/>
      <c r="M332" t="inlineStr">
        <is>
          <t>TN</t>
        </is>
      </c>
      <c r="N332" t="inlineStr"/>
      <c r="P332" t="inlineStr">
        <is>
          <t>20230802</t>
        </is>
      </c>
      <c r="Q332" t="inlineStr">
        <is>
          <t>20251031</t>
        </is>
      </c>
    </row>
    <row r="333">
      <c r="A333" t="inlineStr">
        <is>
          <t>900004700DW68D24710000384</t>
        </is>
      </c>
      <c r="B333" t="inlineStr">
        <is>
          <t>900004700</t>
        </is>
      </c>
      <c r="C333" t="inlineStr">
        <is>
          <t>DW68</t>
        </is>
      </c>
      <c r="D333" t="inlineStr">
        <is>
          <t>D247</t>
        </is>
      </c>
      <c r="E333" t="inlineStr">
        <is>
          <t>1</t>
        </is>
      </c>
      <c r="F333" t="inlineStr">
        <is>
          <t>10000384</t>
        </is>
      </c>
      <c r="H333" t="inlineStr"/>
      <c r="J333" t="n">
        <v>159.36</v>
      </c>
      <c r="K333" t="inlineStr"/>
      <c r="M333" t="inlineStr">
        <is>
          <t>TN</t>
        </is>
      </c>
      <c r="N333" t="inlineStr"/>
      <c r="P333" t="inlineStr">
        <is>
          <t>20230802</t>
        </is>
      </c>
      <c r="Q333" t="inlineStr">
        <is>
          <t>20251031</t>
        </is>
      </c>
    </row>
    <row r="334">
      <c r="A334" t="inlineStr">
        <is>
          <t>900004700DW68D24710000388</t>
        </is>
      </c>
      <c r="B334" t="inlineStr">
        <is>
          <t>900004700</t>
        </is>
      </c>
      <c r="C334" t="inlineStr">
        <is>
          <t>DW68</t>
        </is>
      </c>
      <c r="D334" t="inlineStr">
        <is>
          <t>D247</t>
        </is>
      </c>
      <c r="E334" t="inlineStr">
        <is>
          <t>1</t>
        </is>
      </c>
      <c r="F334" t="inlineStr">
        <is>
          <t>10000388</t>
        </is>
      </c>
      <c r="H334" t="inlineStr"/>
      <c r="J334" t="n">
        <v>159.36</v>
      </c>
      <c r="K334" t="inlineStr"/>
      <c r="M334" t="inlineStr">
        <is>
          <t>TN</t>
        </is>
      </c>
      <c r="N334" t="inlineStr"/>
      <c r="P334" t="inlineStr">
        <is>
          <t>20230802</t>
        </is>
      </c>
      <c r="Q334" t="inlineStr">
        <is>
          <t>20251031</t>
        </is>
      </c>
    </row>
    <row r="335">
      <c r="A335" t="inlineStr">
        <is>
          <t>900004700DW68D24710004258</t>
        </is>
      </c>
      <c r="B335" t="inlineStr">
        <is>
          <t>900004700</t>
        </is>
      </c>
      <c r="C335" t="inlineStr">
        <is>
          <t>DW68</t>
        </is>
      </c>
      <c r="D335" t="inlineStr">
        <is>
          <t>D247</t>
        </is>
      </c>
      <c r="E335" t="inlineStr">
        <is>
          <t>1</t>
        </is>
      </c>
      <c r="F335" t="inlineStr">
        <is>
          <t>10004258</t>
        </is>
      </c>
      <c r="H335" t="inlineStr"/>
      <c r="J335" t="n">
        <v>159.36</v>
      </c>
      <c r="K335" t="inlineStr"/>
      <c r="M335" t="inlineStr">
        <is>
          <t>TN</t>
        </is>
      </c>
      <c r="N335" t="inlineStr"/>
      <c r="P335" t="inlineStr">
        <is>
          <t>20230802</t>
        </is>
      </c>
      <c r="Q335" t="inlineStr">
        <is>
          <t>20251031</t>
        </is>
      </c>
    </row>
    <row r="336">
      <c r="A336" t="inlineStr">
        <is>
          <t>900004700DW68D25110000191</t>
        </is>
      </c>
      <c r="B336" t="inlineStr">
        <is>
          <t>900004700</t>
        </is>
      </c>
      <c r="C336" t="inlineStr">
        <is>
          <t>DW68</t>
        </is>
      </c>
      <c r="D336" t="inlineStr">
        <is>
          <t>D251</t>
        </is>
      </c>
      <c r="E336" t="inlineStr">
        <is>
          <t>1</t>
        </is>
      </c>
      <c r="F336" t="inlineStr">
        <is>
          <t>10000191</t>
        </is>
      </c>
      <c r="H336" t="inlineStr"/>
      <c r="J336" t="n">
        <v>123.79</v>
      </c>
      <c r="K336" t="inlineStr"/>
      <c r="M336" t="inlineStr">
        <is>
          <t>TN</t>
        </is>
      </c>
      <c r="N336" t="inlineStr"/>
      <c r="P336" t="inlineStr">
        <is>
          <t>20230802</t>
        </is>
      </c>
      <c r="Q336" t="inlineStr">
        <is>
          <t>20251031</t>
        </is>
      </c>
    </row>
    <row r="337">
      <c r="A337" t="inlineStr">
        <is>
          <t>900004700DW68D25110000384</t>
        </is>
      </c>
      <c r="B337" t="inlineStr">
        <is>
          <t>900004700</t>
        </is>
      </c>
      <c r="C337" t="inlineStr">
        <is>
          <t>DW68</t>
        </is>
      </c>
      <c r="D337" t="inlineStr">
        <is>
          <t>D251</t>
        </is>
      </c>
      <c r="E337" t="inlineStr">
        <is>
          <t>1</t>
        </is>
      </c>
      <c r="F337" t="inlineStr">
        <is>
          <t>10000384</t>
        </is>
      </c>
      <c r="H337" t="inlineStr"/>
      <c r="J337" t="n">
        <v>123.79</v>
      </c>
      <c r="K337" t="inlineStr"/>
      <c r="M337" t="inlineStr">
        <is>
          <t>TN</t>
        </is>
      </c>
      <c r="N337" t="inlineStr"/>
      <c r="P337" t="inlineStr">
        <is>
          <t>20230802</t>
        </is>
      </c>
      <c r="Q337" t="inlineStr">
        <is>
          <t>20251031</t>
        </is>
      </c>
    </row>
    <row r="338">
      <c r="A338" t="inlineStr">
        <is>
          <t>900004700DW68D25110000388</t>
        </is>
      </c>
      <c r="B338" t="inlineStr">
        <is>
          <t>900004700</t>
        </is>
      </c>
      <c r="C338" t="inlineStr">
        <is>
          <t>DW68</t>
        </is>
      </c>
      <c r="D338" t="inlineStr">
        <is>
          <t>D251</t>
        </is>
      </c>
      <c r="E338" t="inlineStr">
        <is>
          <t>1</t>
        </is>
      </c>
      <c r="F338" t="inlineStr">
        <is>
          <t>10000388</t>
        </is>
      </c>
      <c r="H338" t="inlineStr"/>
      <c r="J338" t="n">
        <v>123.79</v>
      </c>
      <c r="K338" t="inlineStr"/>
      <c r="M338" t="inlineStr">
        <is>
          <t>TN</t>
        </is>
      </c>
      <c r="N338" t="inlineStr"/>
      <c r="P338" t="inlineStr">
        <is>
          <t>20230802</t>
        </is>
      </c>
      <c r="Q338" t="inlineStr">
        <is>
          <t>20251031</t>
        </is>
      </c>
    </row>
    <row r="339">
      <c r="A339" t="inlineStr">
        <is>
          <t>900004700DW68D25110004258</t>
        </is>
      </c>
      <c r="B339" t="inlineStr">
        <is>
          <t>900004700</t>
        </is>
      </c>
      <c r="C339" t="inlineStr">
        <is>
          <t>DW68</t>
        </is>
      </c>
      <c r="D339" t="inlineStr">
        <is>
          <t>D251</t>
        </is>
      </c>
      <c r="E339" t="inlineStr">
        <is>
          <t>1</t>
        </is>
      </c>
      <c r="F339" t="inlineStr">
        <is>
          <t>10004258</t>
        </is>
      </c>
      <c r="H339" t="inlineStr"/>
      <c r="J339" t="n">
        <v>123.79</v>
      </c>
      <c r="K339" t="inlineStr"/>
      <c r="M339" t="inlineStr">
        <is>
          <t>TN</t>
        </is>
      </c>
      <c r="N339" t="inlineStr"/>
      <c r="P339" t="inlineStr">
        <is>
          <t>20230802</t>
        </is>
      </c>
      <c r="Q339" t="inlineStr">
        <is>
          <t>20251031</t>
        </is>
      </c>
    </row>
    <row r="340">
      <c r="A340" t="inlineStr">
        <is>
          <t>900004700DW68D26410000191</t>
        </is>
      </c>
      <c r="B340" t="inlineStr">
        <is>
          <t>900004700</t>
        </is>
      </c>
      <c r="C340" t="inlineStr">
        <is>
          <t>DW68</t>
        </is>
      </c>
      <c r="D340" t="inlineStr">
        <is>
          <t>D264</t>
        </is>
      </c>
      <c r="E340" t="inlineStr">
        <is>
          <t>1</t>
        </is>
      </c>
      <c r="F340" t="inlineStr">
        <is>
          <t>10000191</t>
        </is>
      </c>
      <c r="H340" t="inlineStr"/>
      <c r="J340" t="n">
        <v>132.17</v>
      </c>
      <c r="K340" t="inlineStr"/>
      <c r="M340" t="inlineStr">
        <is>
          <t>TN</t>
        </is>
      </c>
      <c r="N340" t="inlineStr"/>
      <c r="P340" t="inlineStr">
        <is>
          <t>20230802</t>
        </is>
      </c>
      <c r="Q340" t="inlineStr">
        <is>
          <t>20251031</t>
        </is>
      </c>
    </row>
    <row r="341">
      <c r="A341" t="inlineStr">
        <is>
          <t>900004700DW68D26410000384</t>
        </is>
      </c>
      <c r="B341" t="inlineStr">
        <is>
          <t>900004700</t>
        </is>
      </c>
      <c r="C341" t="inlineStr">
        <is>
          <t>DW68</t>
        </is>
      </c>
      <c r="D341" t="inlineStr">
        <is>
          <t>D264</t>
        </is>
      </c>
      <c r="E341" t="inlineStr">
        <is>
          <t>1</t>
        </is>
      </c>
      <c r="F341" t="inlineStr">
        <is>
          <t>10000384</t>
        </is>
      </c>
      <c r="H341" t="inlineStr"/>
      <c r="J341" t="n">
        <v>132.17</v>
      </c>
      <c r="K341" t="inlineStr"/>
      <c r="M341" t="inlineStr">
        <is>
          <t>TN</t>
        </is>
      </c>
      <c r="N341" t="inlineStr"/>
      <c r="P341" t="inlineStr">
        <is>
          <t>20230802</t>
        </is>
      </c>
      <c r="Q341" t="inlineStr">
        <is>
          <t>20251031</t>
        </is>
      </c>
    </row>
    <row r="342">
      <c r="A342" t="inlineStr">
        <is>
          <t>900004700DW68D26410000388</t>
        </is>
      </c>
      <c r="B342" t="inlineStr">
        <is>
          <t>900004700</t>
        </is>
      </c>
      <c r="C342" t="inlineStr">
        <is>
          <t>DW68</t>
        </is>
      </c>
      <c r="D342" t="inlineStr">
        <is>
          <t>D264</t>
        </is>
      </c>
      <c r="E342" t="inlineStr">
        <is>
          <t>1</t>
        </is>
      </c>
      <c r="F342" t="inlineStr">
        <is>
          <t>10000388</t>
        </is>
      </c>
      <c r="H342" t="inlineStr"/>
      <c r="J342" t="n">
        <v>132.17</v>
      </c>
      <c r="K342" t="inlineStr"/>
      <c r="M342" t="inlineStr">
        <is>
          <t>TN</t>
        </is>
      </c>
      <c r="N342" t="inlineStr"/>
      <c r="P342" t="inlineStr">
        <is>
          <t>20230802</t>
        </is>
      </c>
      <c r="Q342" t="inlineStr">
        <is>
          <t>20251031</t>
        </is>
      </c>
    </row>
    <row r="343">
      <c r="A343" t="inlineStr">
        <is>
          <t>900004700DW68D26410004258</t>
        </is>
      </c>
      <c r="B343" t="inlineStr">
        <is>
          <t>900004700</t>
        </is>
      </c>
      <c r="C343" t="inlineStr">
        <is>
          <t>DW68</t>
        </is>
      </c>
      <c r="D343" t="inlineStr">
        <is>
          <t>D264</t>
        </is>
      </c>
      <c r="E343" t="inlineStr">
        <is>
          <t>1</t>
        </is>
      </c>
      <c r="F343" t="inlineStr">
        <is>
          <t>10004258</t>
        </is>
      </c>
      <c r="H343" t="inlineStr"/>
      <c r="J343" t="n">
        <v>132.17</v>
      </c>
      <c r="K343" t="inlineStr"/>
      <c r="M343" t="inlineStr">
        <is>
          <t>TN</t>
        </is>
      </c>
      <c r="N343" t="inlineStr"/>
      <c r="P343" t="inlineStr">
        <is>
          <t>20230802</t>
        </is>
      </c>
      <c r="Q343" t="inlineStr">
        <is>
          <t>20251031</t>
        </is>
      </c>
    </row>
    <row r="344">
      <c r="A344" t="inlineStr">
        <is>
          <t>900004700DW68D26710000191</t>
        </is>
      </c>
      <c r="B344" t="inlineStr">
        <is>
          <t>900004700</t>
        </is>
      </c>
      <c r="C344" t="inlineStr">
        <is>
          <t>DW68</t>
        </is>
      </c>
      <c r="D344" t="inlineStr">
        <is>
          <t>D267</t>
        </is>
      </c>
      <c r="E344" t="inlineStr">
        <is>
          <t>1</t>
        </is>
      </c>
      <c r="F344" t="inlineStr">
        <is>
          <t>10000191</t>
        </is>
      </c>
      <c r="H344" t="inlineStr"/>
      <c r="J344" t="n">
        <v>193.74</v>
      </c>
      <c r="K344" t="inlineStr"/>
      <c r="M344" t="inlineStr">
        <is>
          <t>TN</t>
        </is>
      </c>
      <c r="N344" t="inlineStr"/>
      <c r="P344" t="inlineStr">
        <is>
          <t>20230802</t>
        </is>
      </c>
      <c r="Q344" t="inlineStr">
        <is>
          <t>20251031</t>
        </is>
      </c>
    </row>
    <row r="345">
      <c r="A345" t="inlineStr">
        <is>
          <t>900004700DW68D26710000384</t>
        </is>
      </c>
      <c r="B345" t="inlineStr">
        <is>
          <t>900004700</t>
        </is>
      </c>
      <c r="C345" t="inlineStr">
        <is>
          <t>DW68</t>
        </is>
      </c>
      <c r="D345" t="inlineStr">
        <is>
          <t>D267</t>
        </is>
      </c>
      <c r="E345" t="inlineStr">
        <is>
          <t>1</t>
        </is>
      </c>
      <c r="F345" t="inlineStr">
        <is>
          <t>10000384</t>
        </is>
      </c>
      <c r="H345" t="inlineStr"/>
      <c r="J345" t="n">
        <v>193.74</v>
      </c>
      <c r="K345" t="inlineStr"/>
      <c r="M345" t="inlineStr">
        <is>
          <t>TN</t>
        </is>
      </c>
      <c r="N345" t="inlineStr"/>
      <c r="P345" t="inlineStr">
        <is>
          <t>20230802</t>
        </is>
      </c>
      <c r="Q345" t="inlineStr">
        <is>
          <t>20251031</t>
        </is>
      </c>
    </row>
    <row r="346">
      <c r="A346" t="inlineStr">
        <is>
          <t>900004700DW68D26710000388</t>
        </is>
      </c>
      <c r="B346" t="inlineStr">
        <is>
          <t>900004700</t>
        </is>
      </c>
      <c r="C346" t="inlineStr">
        <is>
          <t>DW68</t>
        </is>
      </c>
      <c r="D346" t="inlineStr">
        <is>
          <t>D267</t>
        </is>
      </c>
      <c r="E346" t="inlineStr">
        <is>
          <t>1</t>
        </is>
      </c>
      <c r="F346" t="inlineStr">
        <is>
          <t>10000388</t>
        </is>
      </c>
      <c r="H346" t="inlineStr"/>
      <c r="J346" t="n">
        <v>193.74</v>
      </c>
      <c r="K346" t="inlineStr"/>
      <c r="M346" t="inlineStr">
        <is>
          <t>TN</t>
        </is>
      </c>
      <c r="N346" t="inlineStr"/>
      <c r="P346" t="inlineStr">
        <is>
          <t>20230802</t>
        </is>
      </c>
      <c r="Q346" t="inlineStr">
        <is>
          <t>20251031</t>
        </is>
      </c>
    </row>
    <row r="347">
      <c r="A347" t="inlineStr">
        <is>
          <t>900004700DW68D26710004258</t>
        </is>
      </c>
      <c r="B347" t="inlineStr">
        <is>
          <t>900004700</t>
        </is>
      </c>
      <c r="C347" t="inlineStr">
        <is>
          <t>DW68</t>
        </is>
      </c>
      <c r="D347" t="inlineStr">
        <is>
          <t>D267</t>
        </is>
      </c>
      <c r="E347" t="inlineStr">
        <is>
          <t>1</t>
        </is>
      </c>
      <c r="F347" t="inlineStr">
        <is>
          <t>10004258</t>
        </is>
      </c>
      <c r="H347" t="inlineStr"/>
      <c r="J347" t="n">
        <v>193.74</v>
      </c>
      <c r="K347" t="inlineStr"/>
      <c r="M347" t="inlineStr">
        <is>
          <t>TN</t>
        </is>
      </c>
      <c r="N347" t="inlineStr"/>
      <c r="P347" t="inlineStr">
        <is>
          <t>20230802</t>
        </is>
      </c>
      <c r="Q347" t="inlineStr">
        <is>
          <t>20251031</t>
        </is>
      </c>
    </row>
    <row r="348">
      <c r="A348" t="inlineStr">
        <is>
          <t>900004885DW68D04210000191</t>
        </is>
      </c>
      <c r="B348" t="inlineStr">
        <is>
          <t>900004885</t>
        </is>
      </c>
      <c r="C348" t="inlineStr">
        <is>
          <t>DW68</t>
        </is>
      </c>
      <c r="D348" t="inlineStr">
        <is>
          <t>D042</t>
        </is>
      </c>
      <c r="E348" t="inlineStr">
        <is>
          <t>4</t>
        </is>
      </c>
      <c r="F348" t="inlineStr">
        <is>
          <t>10000191</t>
        </is>
      </c>
      <c r="H348" t="inlineStr"/>
      <c r="J348" t="n">
        <v>84.41</v>
      </c>
      <c r="K348" t="inlineStr"/>
      <c r="M348" t="inlineStr">
        <is>
          <t>TN</t>
        </is>
      </c>
      <c r="N348" t="inlineStr"/>
      <c r="P348" t="inlineStr">
        <is>
          <t>20220516</t>
        </is>
      </c>
      <c r="Q348" t="inlineStr">
        <is>
          <t>20251031</t>
        </is>
      </c>
    </row>
    <row r="349">
      <c r="A349" t="inlineStr">
        <is>
          <t>900004885DW68D04210000388</t>
        </is>
      </c>
      <c r="B349" t="inlineStr">
        <is>
          <t>900004885</t>
        </is>
      </c>
      <c r="C349" t="inlineStr">
        <is>
          <t>DW68</t>
        </is>
      </c>
      <c r="D349" t="inlineStr">
        <is>
          <t>D042</t>
        </is>
      </c>
      <c r="E349" t="inlineStr">
        <is>
          <t>4</t>
        </is>
      </c>
      <c r="F349" t="inlineStr">
        <is>
          <t>10000388</t>
        </is>
      </c>
      <c r="H349" t="inlineStr"/>
      <c r="J349" t="n">
        <v>85.31999999999999</v>
      </c>
      <c r="K349" t="inlineStr"/>
      <c r="M349" t="inlineStr">
        <is>
          <t>TN</t>
        </is>
      </c>
      <c r="N349" t="inlineStr"/>
      <c r="P349" t="inlineStr">
        <is>
          <t>20220516</t>
        </is>
      </c>
      <c r="Q349" t="inlineStr">
        <is>
          <t>20251031</t>
        </is>
      </c>
    </row>
    <row r="350">
      <c r="A350" t="inlineStr">
        <is>
          <t>900004885DW68D17510000191</t>
        </is>
      </c>
      <c r="B350" t="inlineStr">
        <is>
          <t>900004885</t>
        </is>
      </c>
      <c r="C350" t="inlineStr">
        <is>
          <t>DW68</t>
        </is>
      </c>
      <c r="D350" t="inlineStr">
        <is>
          <t>D175</t>
        </is>
      </c>
      <c r="E350" t="inlineStr">
        <is>
          <t>4</t>
        </is>
      </c>
      <c r="F350" t="inlineStr">
        <is>
          <t>10000191</t>
        </is>
      </c>
      <c r="H350" t="inlineStr"/>
      <c r="J350" t="n">
        <v>86.34</v>
      </c>
      <c r="K350" t="inlineStr"/>
      <c r="M350" t="inlineStr">
        <is>
          <t>TN</t>
        </is>
      </c>
      <c r="N350" t="inlineStr"/>
      <c r="P350" t="inlineStr">
        <is>
          <t>20220516</t>
        </is>
      </c>
      <c r="Q350" t="inlineStr">
        <is>
          <t>20251031</t>
        </is>
      </c>
    </row>
    <row r="351">
      <c r="A351" t="inlineStr">
        <is>
          <t>900004885DW68D17510000388</t>
        </is>
      </c>
      <c r="B351" t="inlineStr">
        <is>
          <t>900004885</t>
        </is>
      </c>
      <c r="C351" t="inlineStr">
        <is>
          <t>DW68</t>
        </is>
      </c>
      <c r="D351" t="inlineStr">
        <is>
          <t>D175</t>
        </is>
      </c>
      <c r="E351" t="inlineStr">
        <is>
          <t>4</t>
        </is>
      </c>
      <c r="F351" t="inlineStr">
        <is>
          <t>10000388</t>
        </is>
      </c>
      <c r="H351" t="inlineStr"/>
      <c r="J351" t="n">
        <v>87.27</v>
      </c>
      <c r="K351" t="inlineStr"/>
      <c r="M351" t="inlineStr">
        <is>
          <t>TN</t>
        </is>
      </c>
      <c r="N351" t="inlineStr"/>
      <c r="P351" t="inlineStr">
        <is>
          <t>20220516</t>
        </is>
      </c>
      <c r="Q351" t="inlineStr">
        <is>
          <t>20251031</t>
        </is>
      </c>
    </row>
    <row r="352">
      <c r="A352" t="inlineStr">
        <is>
          <t>900004885DW68D20910000191</t>
        </is>
      </c>
      <c r="B352" t="inlineStr">
        <is>
          <t>900004885</t>
        </is>
      </c>
      <c r="C352" t="inlineStr">
        <is>
          <t>DW68</t>
        </is>
      </c>
      <c r="D352" t="inlineStr">
        <is>
          <t>D209</t>
        </is>
      </c>
      <c r="E352" t="inlineStr">
        <is>
          <t>4</t>
        </is>
      </c>
      <c r="F352" t="inlineStr">
        <is>
          <t>10000191</t>
        </is>
      </c>
      <c r="H352" t="inlineStr"/>
      <c r="J352" t="n">
        <v>49.73</v>
      </c>
      <c r="K352" t="inlineStr"/>
      <c r="M352" t="inlineStr">
        <is>
          <t>TN</t>
        </is>
      </c>
      <c r="N352" t="inlineStr"/>
      <c r="P352" t="inlineStr">
        <is>
          <t>20220516</t>
        </is>
      </c>
      <c r="Q352" t="inlineStr">
        <is>
          <t>20251031</t>
        </is>
      </c>
    </row>
    <row r="353">
      <c r="A353" t="inlineStr">
        <is>
          <t>900004885DW68D20910000388</t>
        </is>
      </c>
      <c r="B353" t="inlineStr">
        <is>
          <t>900004885</t>
        </is>
      </c>
      <c r="C353" t="inlineStr">
        <is>
          <t>DW68</t>
        </is>
      </c>
      <c r="D353" t="inlineStr">
        <is>
          <t>D209</t>
        </is>
      </c>
      <c r="E353" t="inlineStr">
        <is>
          <t>4</t>
        </is>
      </c>
      <c r="F353" t="inlineStr">
        <is>
          <t>10000388</t>
        </is>
      </c>
      <c r="H353" t="inlineStr"/>
      <c r="J353" t="n">
        <v>50.27</v>
      </c>
      <c r="K353" t="inlineStr"/>
      <c r="M353" t="inlineStr">
        <is>
          <t>TN</t>
        </is>
      </c>
      <c r="N353" t="inlineStr"/>
      <c r="P353" t="inlineStr">
        <is>
          <t>20220516</t>
        </is>
      </c>
      <c r="Q353" t="inlineStr">
        <is>
          <t>20251031</t>
        </is>
      </c>
    </row>
    <row r="354">
      <c r="A354" t="inlineStr">
        <is>
          <t>900004885DW68D21110000191</t>
        </is>
      </c>
      <c r="B354" t="inlineStr">
        <is>
          <t>900004885</t>
        </is>
      </c>
      <c r="C354" t="inlineStr">
        <is>
          <t>DW68</t>
        </is>
      </c>
      <c r="D354" t="inlineStr">
        <is>
          <t>D211</t>
        </is>
      </c>
      <c r="E354" t="inlineStr">
        <is>
          <t>4</t>
        </is>
      </c>
      <c r="F354" t="inlineStr">
        <is>
          <t>10000191</t>
        </is>
      </c>
      <c r="H354" t="inlineStr"/>
      <c r="J354" t="n">
        <v>62.03</v>
      </c>
      <c r="K354" t="inlineStr"/>
      <c r="M354" t="inlineStr">
        <is>
          <t>TN</t>
        </is>
      </c>
      <c r="N354" t="inlineStr"/>
      <c r="P354" t="inlineStr">
        <is>
          <t>20220516</t>
        </is>
      </c>
      <c r="Q354" t="inlineStr">
        <is>
          <t>20251031</t>
        </is>
      </c>
    </row>
    <row r="355">
      <c r="A355" t="inlineStr">
        <is>
          <t>900004885DW68D21110000388</t>
        </is>
      </c>
      <c r="B355" t="inlineStr">
        <is>
          <t>900004885</t>
        </is>
      </c>
      <c r="C355" t="inlineStr">
        <is>
          <t>DW68</t>
        </is>
      </c>
      <c r="D355" t="inlineStr">
        <is>
          <t>D211</t>
        </is>
      </c>
      <c r="E355" t="inlineStr">
        <is>
          <t>4</t>
        </is>
      </c>
      <c r="F355" t="inlineStr">
        <is>
          <t>10000388</t>
        </is>
      </c>
      <c r="H355" t="inlineStr"/>
      <c r="J355" t="n">
        <v>62.7</v>
      </c>
      <c r="K355" t="inlineStr"/>
      <c r="M355" t="inlineStr">
        <is>
          <t>TN</t>
        </is>
      </c>
      <c r="N355" t="inlineStr"/>
      <c r="P355" t="inlineStr">
        <is>
          <t>20220516</t>
        </is>
      </c>
      <c r="Q355" t="inlineStr">
        <is>
          <t>20251031</t>
        </is>
      </c>
    </row>
    <row r="356">
      <c r="A356" t="inlineStr">
        <is>
          <t>900004885DW68D21410000191</t>
        </is>
      </c>
      <c r="B356" t="inlineStr">
        <is>
          <t>900004885</t>
        </is>
      </c>
      <c r="C356" t="inlineStr">
        <is>
          <t>DW68</t>
        </is>
      </c>
      <c r="D356" t="inlineStr">
        <is>
          <t>D214</t>
        </is>
      </c>
      <c r="E356" t="inlineStr">
        <is>
          <t>4</t>
        </is>
      </c>
      <c r="F356" t="inlineStr">
        <is>
          <t>10000191</t>
        </is>
      </c>
      <c r="H356" t="inlineStr"/>
      <c r="J356" t="n">
        <v>72.75</v>
      </c>
      <c r="K356" t="inlineStr"/>
      <c r="M356" t="inlineStr">
        <is>
          <t>TN</t>
        </is>
      </c>
      <c r="N356" t="inlineStr"/>
      <c r="P356" t="inlineStr">
        <is>
          <t>20220516</t>
        </is>
      </c>
      <c r="Q356" t="inlineStr">
        <is>
          <t>20251031</t>
        </is>
      </c>
    </row>
    <row r="357">
      <c r="A357" t="inlineStr">
        <is>
          <t>900004885DW68D21410000388</t>
        </is>
      </c>
      <c r="B357" t="inlineStr">
        <is>
          <t>900004885</t>
        </is>
      </c>
      <c r="C357" t="inlineStr">
        <is>
          <t>DW68</t>
        </is>
      </c>
      <c r="D357" t="inlineStr">
        <is>
          <t>D214</t>
        </is>
      </c>
      <c r="E357" t="inlineStr">
        <is>
          <t>4</t>
        </is>
      </c>
      <c r="F357" t="inlineStr">
        <is>
          <t>10000388</t>
        </is>
      </c>
      <c r="H357" t="inlineStr"/>
      <c r="J357" t="n">
        <v>73.53</v>
      </c>
      <c r="K357" t="inlineStr"/>
      <c r="M357" t="inlineStr">
        <is>
          <t>TN</t>
        </is>
      </c>
      <c r="N357" t="inlineStr"/>
      <c r="P357" t="inlineStr">
        <is>
          <t>20220516</t>
        </is>
      </c>
      <c r="Q357" t="inlineStr">
        <is>
          <t>20251031</t>
        </is>
      </c>
    </row>
    <row r="358">
      <c r="A358" t="inlineStr">
        <is>
          <t>900004885DW68D22010000191</t>
        </is>
      </c>
      <c r="B358" t="inlineStr">
        <is>
          <t>900004885</t>
        </is>
      </c>
      <c r="C358" t="inlineStr">
        <is>
          <t>DW68</t>
        </is>
      </c>
      <c r="D358" t="inlineStr">
        <is>
          <t>D220</t>
        </is>
      </c>
      <c r="E358" t="inlineStr">
        <is>
          <t>4</t>
        </is>
      </c>
      <c r="F358" t="inlineStr">
        <is>
          <t>10000191</t>
        </is>
      </c>
      <c r="H358" t="inlineStr"/>
      <c r="J358" t="n">
        <v>85.11</v>
      </c>
      <c r="K358" t="inlineStr"/>
      <c r="M358" t="inlineStr">
        <is>
          <t>TN</t>
        </is>
      </c>
      <c r="N358" t="inlineStr"/>
      <c r="P358" t="inlineStr">
        <is>
          <t>20220516</t>
        </is>
      </c>
      <c r="Q358" t="inlineStr">
        <is>
          <t>20251031</t>
        </is>
      </c>
    </row>
    <row r="359">
      <c r="A359" t="inlineStr">
        <is>
          <t>900004885DW68D22010000388</t>
        </is>
      </c>
      <c r="B359" t="inlineStr">
        <is>
          <t>900004885</t>
        </is>
      </c>
      <c r="C359" t="inlineStr">
        <is>
          <t>DW68</t>
        </is>
      </c>
      <c r="D359" t="inlineStr">
        <is>
          <t>D220</t>
        </is>
      </c>
      <c r="E359" t="inlineStr">
        <is>
          <t>4</t>
        </is>
      </c>
      <c r="F359" t="inlineStr">
        <is>
          <t>10000388</t>
        </is>
      </c>
      <c r="H359" t="inlineStr"/>
      <c r="J359" t="n">
        <v>86.02</v>
      </c>
      <c r="K359" t="inlineStr"/>
      <c r="M359" t="inlineStr">
        <is>
          <t>TN</t>
        </is>
      </c>
      <c r="N359" t="inlineStr"/>
      <c r="P359" t="inlineStr">
        <is>
          <t>20220516</t>
        </is>
      </c>
      <c r="Q359" t="inlineStr">
        <is>
          <t>20251031</t>
        </is>
      </c>
    </row>
    <row r="360">
      <c r="A360" t="inlineStr">
        <is>
          <t>900004885DW68D22810000191</t>
        </is>
      </c>
      <c r="B360" t="inlineStr">
        <is>
          <t>900004885</t>
        </is>
      </c>
      <c r="C360" t="inlineStr">
        <is>
          <t>DW68</t>
        </is>
      </c>
      <c r="D360" t="inlineStr">
        <is>
          <t>D228</t>
        </is>
      </c>
      <c r="E360" t="inlineStr">
        <is>
          <t>4</t>
        </is>
      </c>
      <c r="F360" t="inlineStr">
        <is>
          <t>10000191</t>
        </is>
      </c>
      <c r="H360" t="inlineStr"/>
      <c r="J360" t="n">
        <v>99.90000000000001</v>
      </c>
      <c r="K360" t="inlineStr"/>
      <c r="M360" t="inlineStr">
        <is>
          <t>TN</t>
        </is>
      </c>
      <c r="N360" t="inlineStr"/>
      <c r="P360" t="inlineStr">
        <is>
          <t>20220516</t>
        </is>
      </c>
      <c r="Q360" t="inlineStr">
        <is>
          <t>20251031</t>
        </is>
      </c>
    </row>
    <row r="361">
      <c r="A361" t="inlineStr">
        <is>
          <t>900004885DW68D22810000388</t>
        </is>
      </c>
      <c r="B361" t="inlineStr">
        <is>
          <t>900004885</t>
        </is>
      </c>
      <c r="C361" t="inlineStr">
        <is>
          <t>DW68</t>
        </is>
      </c>
      <c r="D361" t="inlineStr">
        <is>
          <t>D228</t>
        </is>
      </c>
      <c r="E361" t="inlineStr">
        <is>
          <t>4</t>
        </is>
      </c>
      <c r="F361" t="inlineStr">
        <is>
          <t>10000388</t>
        </is>
      </c>
      <c r="H361" t="inlineStr"/>
      <c r="J361" t="n">
        <v>100.97</v>
      </c>
      <c r="K361" t="inlineStr"/>
      <c r="M361" t="inlineStr">
        <is>
          <t>TN</t>
        </is>
      </c>
      <c r="N361" t="inlineStr"/>
      <c r="P361" t="inlineStr">
        <is>
          <t>20220516</t>
        </is>
      </c>
      <c r="Q361" t="inlineStr">
        <is>
          <t>20251031</t>
        </is>
      </c>
    </row>
    <row r="362">
      <c r="A362" t="inlineStr">
        <is>
          <t>900004885DW68D24210000191</t>
        </is>
      </c>
      <c r="B362" t="inlineStr">
        <is>
          <t>900004885</t>
        </is>
      </c>
      <c r="C362" t="inlineStr">
        <is>
          <t>DW68</t>
        </is>
      </c>
      <c r="D362" t="inlineStr">
        <is>
          <t>D242</t>
        </is>
      </c>
      <c r="E362" t="inlineStr">
        <is>
          <t>4</t>
        </is>
      </c>
      <c r="F362" t="inlineStr">
        <is>
          <t>10000191</t>
        </is>
      </c>
      <c r="H362" t="inlineStr"/>
      <c r="J362" t="n">
        <v>86.34</v>
      </c>
      <c r="K362" t="inlineStr"/>
      <c r="M362" t="inlineStr">
        <is>
          <t>TN</t>
        </is>
      </c>
      <c r="N362" t="inlineStr"/>
      <c r="P362" t="inlineStr">
        <is>
          <t>20220516</t>
        </is>
      </c>
      <c r="Q362" t="inlineStr">
        <is>
          <t>20251031</t>
        </is>
      </c>
    </row>
    <row r="363">
      <c r="A363" t="inlineStr">
        <is>
          <t>900004885DW68D24210000388</t>
        </is>
      </c>
      <c r="B363" t="inlineStr">
        <is>
          <t>900004885</t>
        </is>
      </c>
      <c r="C363" t="inlineStr">
        <is>
          <t>DW68</t>
        </is>
      </c>
      <c r="D363" t="inlineStr">
        <is>
          <t>D242</t>
        </is>
      </c>
      <c r="E363" t="inlineStr">
        <is>
          <t>4</t>
        </is>
      </c>
      <c r="F363" t="inlineStr">
        <is>
          <t>10000388</t>
        </is>
      </c>
      <c r="H363" t="inlineStr"/>
      <c r="J363" t="n">
        <v>87.27</v>
      </c>
      <c r="K363" t="inlineStr"/>
      <c r="M363" t="inlineStr">
        <is>
          <t>TN</t>
        </is>
      </c>
      <c r="N363" t="inlineStr"/>
      <c r="P363" t="inlineStr">
        <is>
          <t>20220516</t>
        </is>
      </c>
      <c r="Q363" t="inlineStr">
        <is>
          <t>20251031</t>
        </is>
      </c>
    </row>
    <row r="364">
      <c r="A364" t="inlineStr">
        <is>
          <t>900004885DW68D24710000191</t>
        </is>
      </c>
      <c r="B364" t="inlineStr">
        <is>
          <t>900004885</t>
        </is>
      </c>
      <c r="C364" t="inlineStr">
        <is>
          <t>DW68</t>
        </is>
      </c>
      <c r="D364" t="inlineStr">
        <is>
          <t>D247</t>
        </is>
      </c>
      <c r="E364" t="inlineStr">
        <is>
          <t>4</t>
        </is>
      </c>
      <c r="F364" t="inlineStr">
        <is>
          <t>10000191</t>
        </is>
      </c>
      <c r="H364" t="inlineStr"/>
      <c r="J364" t="n">
        <v>70.92</v>
      </c>
      <c r="K364" t="inlineStr"/>
      <c r="M364" t="inlineStr">
        <is>
          <t>TN</t>
        </is>
      </c>
      <c r="N364" t="inlineStr"/>
      <c r="P364" t="inlineStr">
        <is>
          <t>20220516</t>
        </is>
      </c>
      <c r="Q364" t="inlineStr">
        <is>
          <t>20251031</t>
        </is>
      </c>
    </row>
    <row r="365">
      <c r="A365" t="inlineStr">
        <is>
          <t>900004885DW68D24710000388</t>
        </is>
      </c>
      <c r="B365" t="inlineStr">
        <is>
          <t>900004885</t>
        </is>
      </c>
      <c r="C365" t="inlineStr">
        <is>
          <t>DW68</t>
        </is>
      </c>
      <c r="D365" t="inlineStr">
        <is>
          <t>D247</t>
        </is>
      </c>
      <c r="E365" t="inlineStr">
        <is>
          <t>4</t>
        </is>
      </c>
      <c r="F365" t="inlineStr">
        <is>
          <t>10000388</t>
        </is>
      </c>
      <c r="H365" t="inlineStr"/>
      <c r="J365" t="n">
        <v>71.68000000000001</v>
      </c>
      <c r="K365" t="inlineStr"/>
      <c r="M365" t="inlineStr">
        <is>
          <t>TN</t>
        </is>
      </c>
      <c r="N365" t="inlineStr"/>
      <c r="P365" t="inlineStr">
        <is>
          <t>20220516</t>
        </is>
      </c>
      <c r="Q365" t="inlineStr">
        <is>
          <t>20251031</t>
        </is>
      </c>
    </row>
    <row r="366">
      <c r="A366" t="inlineStr">
        <is>
          <t>900004885DW68D25110000191</t>
        </is>
      </c>
      <c r="B366" t="inlineStr">
        <is>
          <t>900004885</t>
        </is>
      </c>
      <c r="C366" t="inlineStr">
        <is>
          <t>DW68</t>
        </is>
      </c>
      <c r="D366" t="inlineStr">
        <is>
          <t>D251</t>
        </is>
      </c>
      <c r="E366" t="inlineStr">
        <is>
          <t>4</t>
        </is>
      </c>
      <c r="F366" t="inlineStr">
        <is>
          <t>10000191</t>
        </is>
      </c>
      <c r="H366" t="inlineStr"/>
      <c r="J366" t="n">
        <v>70.92</v>
      </c>
      <c r="K366" t="inlineStr"/>
      <c r="M366" t="inlineStr">
        <is>
          <t>TN</t>
        </is>
      </c>
      <c r="N366" t="inlineStr"/>
      <c r="P366" t="inlineStr">
        <is>
          <t>20220516</t>
        </is>
      </c>
      <c r="Q366" t="inlineStr">
        <is>
          <t>20251031</t>
        </is>
      </c>
    </row>
    <row r="367">
      <c r="A367" t="inlineStr">
        <is>
          <t>900004885DW68D25110000388</t>
        </is>
      </c>
      <c r="B367" t="inlineStr">
        <is>
          <t>900004885</t>
        </is>
      </c>
      <c r="C367" t="inlineStr">
        <is>
          <t>DW68</t>
        </is>
      </c>
      <c r="D367" t="inlineStr">
        <is>
          <t>D251</t>
        </is>
      </c>
      <c r="E367" t="inlineStr">
        <is>
          <t>4</t>
        </is>
      </c>
      <c r="F367" t="inlineStr">
        <is>
          <t>10000388</t>
        </is>
      </c>
      <c r="H367" t="inlineStr"/>
      <c r="J367" t="n">
        <v>71.68000000000001</v>
      </c>
      <c r="K367" t="inlineStr"/>
      <c r="M367" t="inlineStr">
        <is>
          <t>TN</t>
        </is>
      </c>
      <c r="N367" t="inlineStr"/>
      <c r="P367" t="inlineStr">
        <is>
          <t>20220516</t>
        </is>
      </c>
      <c r="Q367" t="inlineStr">
        <is>
          <t>20251031</t>
        </is>
      </c>
    </row>
    <row r="368">
      <c r="A368" t="inlineStr">
        <is>
          <t>900004885DW68D26410000191</t>
        </is>
      </c>
      <c r="B368" t="inlineStr">
        <is>
          <t>900004885</t>
        </is>
      </c>
      <c r="C368" t="inlineStr">
        <is>
          <t>DW68</t>
        </is>
      </c>
      <c r="D368" t="inlineStr">
        <is>
          <t>D264</t>
        </is>
      </c>
      <c r="E368" t="inlineStr">
        <is>
          <t>4</t>
        </is>
      </c>
      <c r="F368" t="inlineStr">
        <is>
          <t>10000191</t>
        </is>
      </c>
      <c r="H368" t="inlineStr"/>
      <c r="J368" t="n">
        <v>58.18</v>
      </c>
      <c r="K368" t="inlineStr"/>
      <c r="M368" t="inlineStr">
        <is>
          <t>TN</t>
        </is>
      </c>
      <c r="N368" t="inlineStr"/>
      <c r="P368" t="inlineStr">
        <is>
          <t>20220516</t>
        </is>
      </c>
      <c r="Q368" t="inlineStr">
        <is>
          <t>20251031</t>
        </is>
      </c>
    </row>
    <row r="369">
      <c r="A369" t="inlineStr">
        <is>
          <t>900004885DW68D26410000388</t>
        </is>
      </c>
      <c r="B369" t="inlineStr">
        <is>
          <t>900004885</t>
        </is>
      </c>
      <c r="C369" t="inlineStr">
        <is>
          <t>DW68</t>
        </is>
      </c>
      <c r="D369" t="inlineStr">
        <is>
          <t>D264</t>
        </is>
      </c>
      <c r="E369" t="inlineStr">
        <is>
          <t>4</t>
        </is>
      </c>
      <c r="F369" t="inlineStr">
        <is>
          <t>10000388</t>
        </is>
      </c>
      <c r="H369" t="inlineStr"/>
      <c r="J369" t="n">
        <v>58.8</v>
      </c>
      <c r="K369" t="inlineStr"/>
      <c r="M369" t="inlineStr">
        <is>
          <t>TN</t>
        </is>
      </c>
      <c r="N369" t="inlineStr"/>
      <c r="P369" t="inlineStr">
        <is>
          <t>20220516</t>
        </is>
      </c>
      <c r="Q369" t="inlineStr">
        <is>
          <t>20251031</t>
        </is>
      </c>
    </row>
    <row r="370">
      <c r="A370" t="inlineStr">
        <is>
          <t>900004885DW68D26710000191</t>
        </is>
      </c>
      <c r="B370" t="inlineStr">
        <is>
          <t>900004885</t>
        </is>
      </c>
      <c r="C370" t="inlineStr">
        <is>
          <t>DW68</t>
        </is>
      </c>
      <c r="D370" t="inlineStr">
        <is>
          <t>D267</t>
        </is>
      </c>
      <c r="E370" t="inlineStr">
        <is>
          <t>4</t>
        </is>
      </c>
      <c r="F370" t="inlineStr">
        <is>
          <t>10000191</t>
        </is>
      </c>
      <c r="H370" t="inlineStr"/>
      <c r="J370" t="n">
        <v>99.01000000000001</v>
      </c>
      <c r="K370" t="inlineStr"/>
      <c r="M370" t="inlineStr">
        <is>
          <t>TN</t>
        </is>
      </c>
      <c r="N370" t="inlineStr"/>
      <c r="P370" t="inlineStr">
        <is>
          <t>20220516</t>
        </is>
      </c>
      <c r="Q370" t="inlineStr">
        <is>
          <t>20251031</t>
        </is>
      </c>
    </row>
    <row r="371">
      <c r="A371" t="inlineStr">
        <is>
          <t>900004885DW68D26710000388</t>
        </is>
      </c>
      <c r="B371" t="inlineStr">
        <is>
          <t>900004885</t>
        </is>
      </c>
      <c r="C371" t="inlineStr">
        <is>
          <t>DW68</t>
        </is>
      </c>
      <c r="D371" t="inlineStr">
        <is>
          <t>D267</t>
        </is>
      </c>
      <c r="E371" t="inlineStr">
        <is>
          <t>4</t>
        </is>
      </c>
      <c r="F371" t="inlineStr">
        <is>
          <t>10000388</t>
        </is>
      </c>
      <c r="H371" t="inlineStr"/>
      <c r="J371" t="n">
        <v>100.08</v>
      </c>
      <c r="K371" t="inlineStr"/>
      <c r="M371" t="inlineStr">
        <is>
          <t>TN</t>
        </is>
      </c>
      <c r="N371" t="inlineStr"/>
      <c r="P371" t="inlineStr">
        <is>
          <t>20220516</t>
        </is>
      </c>
      <c r="Q371" t="inlineStr">
        <is>
          <t>20251031</t>
        </is>
      </c>
    </row>
    <row r="372">
      <c r="A372" t="inlineStr">
        <is>
          <t>900004995DW68D04210018375</t>
        </is>
      </c>
      <c r="B372" t="inlineStr">
        <is>
          <t>900004995</t>
        </is>
      </c>
      <c r="C372" t="inlineStr">
        <is>
          <t>DW68</t>
        </is>
      </c>
      <c r="D372" t="inlineStr">
        <is>
          <t>D042</t>
        </is>
      </c>
      <c r="E372" t="inlineStr">
        <is>
          <t>4</t>
        </is>
      </c>
      <c r="F372" t="inlineStr">
        <is>
          <t>10018375</t>
        </is>
      </c>
      <c r="H372" t="inlineStr"/>
      <c r="J372" t="n">
        <v>374.27</v>
      </c>
      <c r="K372" t="inlineStr"/>
      <c r="M372" t="inlineStr">
        <is>
          <t>TN</t>
        </is>
      </c>
      <c r="N372" t="inlineStr"/>
      <c r="P372" t="inlineStr">
        <is>
          <t>20260415</t>
        </is>
      </c>
      <c r="Q372" t="inlineStr">
        <is>
          <t>99991231</t>
        </is>
      </c>
    </row>
    <row r="373">
      <c r="A373" t="inlineStr">
        <is>
          <t>900004995DW68D20910000200</t>
        </is>
      </c>
      <c r="B373" t="inlineStr">
        <is>
          <t>900004995</t>
        </is>
      </c>
      <c r="C373" t="inlineStr">
        <is>
          <t>DW68</t>
        </is>
      </c>
      <c r="D373" t="inlineStr">
        <is>
          <t>D209</t>
        </is>
      </c>
      <c r="E373" t="inlineStr">
        <is>
          <t>4</t>
        </is>
      </c>
      <c r="F373" t="inlineStr">
        <is>
          <t>10000200</t>
        </is>
      </c>
      <c r="H373" t="inlineStr"/>
      <c r="J373" t="n">
        <v>144.07</v>
      </c>
      <c r="K373" t="inlineStr"/>
      <c r="M373" t="inlineStr">
        <is>
          <t>TN</t>
        </is>
      </c>
      <c r="N373" t="inlineStr"/>
      <c r="P373" t="inlineStr">
        <is>
          <t>20230203</t>
        </is>
      </c>
      <c r="Q373" t="inlineStr">
        <is>
          <t>20240201</t>
        </is>
      </c>
    </row>
    <row r="374">
      <c r="A374" t="inlineStr">
        <is>
          <t>900004995DW68D20910018375</t>
        </is>
      </c>
      <c r="B374" t="inlineStr">
        <is>
          <t>900004995</t>
        </is>
      </c>
      <c r="C374" t="inlineStr">
        <is>
          <t>DW68</t>
        </is>
      </c>
      <c r="D374" t="inlineStr">
        <is>
          <t>D209</t>
        </is>
      </c>
      <c r="E374" t="inlineStr">
        <is>
          <t>4</t>
        </is>
      </c>
      <c r="F374" t="inlineStr">
        <is>
          <t>10018375</t>
        </is>
      </c>
      <c r="H374" t="inlineStr"/>
      <c r="J374" t="n">
        <v>374.27</v>
      </c>
      <c r="K374" t="inlineStr"/>
      <c r="M374" t="inlineStr">
        <is>
          <t>TN</t>
        </is>
      </c>
      <c r="N374" t="inlineStr"/>
      <c r="P374" t="inlineStr">
        <is>
          <t>20260415</t>
        </is>
      </c>
      <c r="Q374" t="inlineStr">
        <is>
          <t>99991231</t>
        </is>
      </c>
    </row>
    <row r="375">
      <c r="A375" t="inlineStr">
        <is>
          <t>900004995DW68D21110000200</t>
        </is>
      </c>
      <c r="B375" t="inlineStr">
        <is>
          <t>900004995</t>
        </is>
      </c>
      <c r="C375" t="inlineStr">
        <is>
          <t>DW68</t>
        </is>
      </c>
      <c r="D375" t="inlineStr">
        <is>
          <t>D211</t>
        </is>
      </c>
      <c r="E375" t="inlineStr">
        <is>
          <t>4</t>
        </is>
      </c>
      <c r="F375" t="inlineStr">
        <is>
          <t>10000200</t>
        </is>
      </c>
      <c r="H375" t="inlineStr"/>
      <c r="J375" t="n">
        <v>118.64</v>
      </c>
      <c r="K375" t="inlineStr"/>
      <c r="M375" t="inlineStr">
        <is>
          <t>TN</t>
        </is>
      </c>
      <c r="N375" t="inlineStr"/>
      <c r="P375" t="inlineStr">
        <is>
          <t>20230203</t>
        </is>
      </c>
      <c r="Q375" t="inlineStr">
        <is>
          <t>20240201</t>
        </is>
      </c>
    </row>
    <row r="376">
      <c r="A376" t="inlineStr">
        <is>
          <t>900004995DW68D21110018375</t>
        </is>
      </c>
      <c r="B376" t="inlineStr">
        <is>
          <t>900004995</t>
        </is>
      </c>
      <c r="C376" t="inlineStr">
        <is>
          <t>DW68</t>
        </is>
      </c>
      <c r="D376" t="inlineStr">
        <is>
          <t>D211</t>
        </is>
      </c>
      <c r="E376" t="inlineStr">
        <is>
          <t>4</t>
        </is>
      </c>
      <c r="F376" t="inlineStr">
        <is>
          <t>10018375</t>
        </is>
      </c>
      <c r="H376" t="inlineStr"/>
      <c r="J376" t="n">
        <v>368.87</v>
      </c>
      <c r="K376" t="inlineStr"/>
      <c r="M376" t="inlineStr">
        <is>
          <t>TN</t>
        </is>
      </c>
      <c r="N376" t="inlineStr"/>
      <c r="P376" t="inlineStr">
        <is>
          <t>20260415</t>
        </is>
      </c>
      <c r="Q376" t="inlineStr">
        <is>
          <t>99991231</t>
        </is>
      </c>
    </row>
    <row r="377">
      <c r="A377" t="inlineStr">
        <is>
          <t>900004995DW68D21310018375</t>
        </is>
      </c>
      <c r="B377" t="inlineStr">
        <is>
          <t>900004995</t>
        </is>
      </c>
      <c r="C377" t="inlineStr">
        <is>
          <t>DW68</t>
        </is>
      </c>
      <c r="D377" t="inlineStr">
        <is>
          <t>D213</t>
        </is>
      </c>
      <c r="E377" t="inlineStr">
        <is>
          <t>4</t>
        </is>
      </c>
      <c r="F377" t="inlineStr">
        <is>
          <t>10018375</t>
        </is>
      </c>
      <c r="H377" t="inlineStr"/>
      <c r="J377" t="n">
        <v>507.42</v>
      </c>
      <c r="K377" t="inlineStr"/>
      <c r="M377" t="inlineStr">
        <is>
          <t>TN</t>
        </is>
      </c>
      <c r="N377" t="inlineStr"/>
      <c r="P377" t="inlineStr">
        <is>
          <t>20260415</t>
        </is>
      </c>
      <c r="Q377" t="inlineStr">
        <is>
          <t>99991231</t>
        </is>
      </c>
    </row>
    <row r="378">
      <c r="A378" t="inlineStr">
        <is>
          <t>900004995DW68D21410018375</t>
        </is>
      </c>
      <c r="B378" t="inlineStr">
        <is>
          <t>900004995</t>
        </is>
      </c>
      <c r="C378" t="inlineStr">
        <is>
          <t>DW68</t>
        </is>
      </c>
      <c r="D378" t="inlineStr">
        <is>
          <t>D214</t>
        </is>
      </c>
      <c r="E378" t="inlineStr">
        <is>
          <t>4</t>
        </is>
      </c>
      <c r="F378" t="inlineStr">
        <is>
          <t>10018375</t>
        </is>
      </c>
      <c r="H378" t="inlineStr"/>
      <c r="J378" t="n">
        <v>419.26</v>
      </c>
      <c r="K378" t="inlineStr"/>
      <c r="M378" t="inlineStr">
        <is>
          <t>TN</t>
        </is>
      </c>
      <c r="N378" t="inlineStr"/>
      <c r="P378" t="inlineStr">
        <is>
          <t>20260415</t>
        </is>
      </c>
      <c r="Q378" t="inlineStr">
        <is>
          <t>99991231</t>
        </is>
      </c>
    </row>
    <row r="379">
      <c r="A379" t="inlineStr">
        <is>
          <t>900004995DW68D22010018375</t>
        </is>
      </c>
      <c r="B379" t="inlineStr">
        <is>
          <t>900004995</t>
        </is>
      </c>
      <c r="C379" t="inlineStr">
        <is>
          <t>DW68</t>
        </is>
      </c>
      <c r="D379" t="inlineStr">
        <is>
          <t>D220</t>
        </is>
      </c>
      <c r="E379" t="inlineStr">
        <is>
          <t>4</t>
        </is>
      </c>
      <c r="F379" t="inlineStr">
        <is>
          <t>10018375</t>
        </is>
      </c>
      <c r="H379" t="inlineStr"/>
      <c r="J379" t="n">
        <v>505.63</v>
      </c>
      <c r="K379" t="inlineStr"/>
      <c r="M379" t="inlineStr">
        <is>
          <t>TN</t>
        </is>
      </c>
      <c r="N379" t="inlineStr"/>
      <c r="P379" t="inlineStr">
        <is>
          <t>20260415</t>
        </is>
      </c>
      <c r="Q379" t="inlineStr">
        <is>
          <t>99991231</t>
        </is>
      </c>
    </row>
    <row r="380">
      <c r="A380" t="inlineStr">
        <is>
          <t>900004995DW68D22710018375</t>
        </is>
      </c>
      <c r="B380" t="inlineStr">
        <is>
          <t>900004995</t>
        </is>
      </c>
      <c r="C380" t="inlineStr">
        <is>
          <t>DW68</t>
        </is>
      </c>
      <c r="D380" t="inlineStr">
        <is>
          <t>D227</t>
        </is>
      </c>
      <c r="E380" t="inlineStr">
        <is>
          <t>4</t>
        </is>
      </c>
      <c r="F380" t="inlineStr">
        <is>
          <t>10018375</t>
        </is>
      </c>
      <c r="H380" t="inlineStr"/>
      <c r="J380" t="n">
        <v>555.4</v>
      </c>
      <c r="K380" t="inlineStr"/>
      <c r="M380" t="inlineStr">
        <is>
          <t>TN</t>
        </is>
      </c>
      <c r="N380" t="inlineStr"/>
      <c r="P380" t="inlineStr">
        <is>
          <t>20250414</t>
        </is>
      </c>
      <c r="Q380" t="inlineStr">
        <is>
          <t>99991231</t>
        </is>
      </c>
    </row>
    <row r="381">
      <c r="A381" t="inlineStr">
        <is>
          <t>900004995DW68D22810018375</t>
        </is>
      </c>
      <c r="B381" t="inlineStr">
        <is>
          <t>900004995</t>
        </is>
      </c>
      <c r="C381" t="inlineStr">
        <is>
          <t>DW68</t>
        </is>
      </c>
      <c r="D381" t="inlineStr">
        <is>
          <t>D228</t>
        </is>
      </c>
      <c r="E381" t="inlineStr">
        <is>
          <t>4</t>
        </is>
      </c>
      <c r="F381" t="inlineStr">
        <is>
          <t>10018375</t>
        </is>
      </c>
      <c r="H381" t="inlineStr"/>
      <c r="J381" t="n">
        <v>327.48</v>
      </c>
      <c r="K381" t="inlineStr"/>
      <c r="M381" t="inlineStr">
        <is>
          <t>TN</t>
        </is>
      </c>
      <c r="N381" t="inlineStr"/>
      <c r="P381" t="inlineStr">
        <is>
          <t>20260415</t>
        </is>
      </c>
      <c r="Q381" t="inlineStr">
        <is>
          <t>99991231</t>
        </is>
      </c>
    </row>
    <row r="382">
      <c r="A382" t="inlineStr">
        <is>
          <t>900004995DW68D24210000200</t>
        </is>
      </c>
      <c r="B382" t="inlineStr">
        <is>
          <t>900004995</t>
        </is>
      </c>
      <c r="C382" t="inlineStr">
        <is>
          <t>DW68</t>
        </is>
      </c>
      <c r="D382" t="inlineStr">
        <is>
          <t>D242</t>
        </is>
      </c>
      <c r="E382" t="inlineStr">
        <is>
          <t>4</t>
        </is>
      </c>
      <c r="F382" t="inlineStr">
        <is>
          <t>10000200</t>
        </is>
      </c>
      <c r="H382" t="inlineStr"/>
      <c r="J382" t="n">
        <v>144.07</v>
      </c>
      <c r="K382" t="inlineStr"/>
      <c r="M382" t="inlineStr">
        <is>
          <t>TN</t>
        </is>
      </c>
      <c r="N382" t="inlineStr"/>
      <c r="P382" t="inlineStr">
        <is>
          <t>20230203</t>
        </is>
      </c>
      <c r="Q382" t="inlineStr">
        <is>
          <t>20240201</t>
        </is>
      </c>
    </row>
    <row r="383">
      <c r="A383" t="inlineStr">
        <is>
          <t>900004995DW68D24210018375</t>
        </is>
      </c>
      <c r="B383" t="inlineStr">
        <is>
          <t>900004995</t>
        </is>
      </c>
      <c r="C383" t="inlineStr">
        <is>
          <t>DW68</t>
        </is>
      </c>
      <c r="D383" t="inlineStr">
        <is>
          <t>D242</t>
        </is>
      </c>
      <c r="E383" t="inlineStr">
        <is>
          <t>4</t>
        </is>
      </c>
      <c r="F383" t="inlineStr">
        <is>
          <t>10018375</t>
        </is>
      </c>
      <c r="H383" t="inlineStr"/>
      <c r="J383" t="n">
        <v>377.87</v>
      </c>
      <c r="K383" t="inlineStr"/>
      <c r="M383" t="inlineStr">
        <is>
          <t>TN</t>
        </is>
      </c>
      <c r="N383" t="inlineStr"/>
      <c r="P383" t="inlineStr">
        <is>
          <t>20260415</t>
        </is>
      </c>
      <c r="Q383" t="inlineStr">
        <is>
          <t>99991231</t>
        </is>
      </c>
    </row>
    <row r="384">
      <c r="A384" t="inlineStr">
        <is>
          <t>900004995DW68D24710018375</t>
        </is>
      </c>
      <c r="B384" t="inlineStr">
        <is>
          <t>900004995</t>
        </is>
      </c>
      <c r="C384" t="inlineStr">
        <is>
          <t>DW68</t>
        </is>
      </c>
      <c r="D384" t="inlineStr">
        <is>
          <t>D247</t>
        </is>
      </c>
      <c r="E384" t="inlineStr">
        <is>
          <t>4</t>
        </is>
      </c>
      <c r="F384" t="inlineStr">
        <is>
          <t>10018375</t>
        </is>
      </c>
      <c r="H384" t="inlineStr"/>
      <c r="J384" t="n">
        <v>419.26</v>
      </c>
      <c r="K384" t="inlineStr"/>
      <c r="M384" t="inlineStr">
        <is>
          <t>TN</t>
        </is>
      </c>
      <c r="N384" t="inlineStr"/>
      <c r="P384" t="inlineStr">
        <is>
          <t>20260415</t>
        </is>
      </c>
      <c r="Q384" t="inlineStr">
        <is>
          <t>99991231</t>
        </is>
      </c>
    </row>
    <row r="385">
      <c r="A385" t="inlineStr">
        <is>
          <t>900004995DW68D25110018375</t>
        </is>
      </c>
      <c r="B385" t="inlineStr">
        <is>
          <t>900004995</t>
        </is>
      </c>
      <c r="C385" t="inlineStr">
        <is>
          <t>DW68</t>
        </is>
      </c>
      <c r="D385" t="inlineStr">
        <is>
          <t>D251</t>
        </is>
      </c>
      <c r="E385" t="inlineStr">
        <is>
          <t>4</t>
        </is>
      </c>
      <c r="F385" t="inlineStr">
        <is>
          <t>10018375</t>
        </is>
      </c>
      <c r="H385" t="inlineStr"/>
      <c r="J385" t="n">
        <v>419.26</v>
      </c>
      <c r="K385" t="inlineStr"/>
      <c r="M385" t="inlineStr">
        <is>
          <t>TN</t>
        </is>
      </c>
      <c r="N385" t="inlineStr"/>
      <c r="P385" t="inlineStr">
        <is>
          <t>20260415</t>
        </is>
      </c>
      <c r="Q385" t="inlineStr">
        <is>
          <t>99991231</t>
        </is>
      </c>
    </row>
    <row r="386">
      <c r="A386" t="inlineStr">
        <is>
          <t>900004995DW68D26410000200</t>
        </is>
      </c>
      <c r="B386" t="inlineStr">
        <is>
          <t>900004995</t>
        </is>
      </c>
      <c r="C386" t="inlineStr">
        <is>
          <t>DW68</t>
        </is>
      </c>
      <c r="D386" t="inlineStr">
        <is>
          <t>D264</t>
        </is>
      </c>
      <c r="E386" t="inlineStr">
        <is>
          <t>4</t>
        </is>
      </c>
      <c r="F386" t="inlineStr">
        <is>
          <t>10000200</t>
        </is>
      </c>
      <c r="H386" t="inlineStr"/>
      <c r="J386" t="n">
        <v>127.12</v>
      </c>
      <c r="K386" t="inlineStr"/>
      <c r="M386" t="inlineStr">
        <is>
          <t>TN</t>
        </is>
      </c>
      <c r="N386" t="inlineStr"/>
      <c r="P386" t="inlineStr">
        <is>
          <t>20230203</t>
        </is>
      </c>
      <c r="Q386" t="inlineStr">
        <is>
          <t>20240201</t>
        </is>
      </c>
    </row>
    <row r="387">
      <c r="A387" t="inlineStr">
        <is>
          <t>900004995DW68D26410018375</t>
        </is>
      </c>
      <c r="B387" t="inlineStr">
        <is>
          <t>900004995</t>
        </is>
      </c>
      <c r="C387" t="inlineStr">
        <is>
          <t>DW68</t>
        </is>
      </c>
      <c r="D387" t="inlineStr">
        <is>
          <t>D264</t>
        </is>
      </c>
      <c r="E387" t="inlineStr">
        <is>
          <t>4</t>
        </is>
      </c>
      <c r="F387" t="inlineStr">
        <is>
          <t>10018375</t>
        </is>
      </c>
      <c r="H387" t="inlineStr"/>
      <c r="J387" t="n">
        <v>372.47</v>
      </c>
      <c r="K387" t="inlineStr"/>
      <c r="M387" t="inlineStr">
        <is>
          <t>TN</t>
        </is>
      </c>
      <c r="N387" t="inlineStr"/>
      <c r="P387" t="inlineStr">
        <is>
          <t>20260415</t>
        </is>
      </c>
      <c r="Q387" t="inlineStr">
        <is>
          <t>99991231</t>
        </is>
      </c>
    </row>
    <row r="388">
      <c r="A388" t="inlineStr">
        <is>
          <t>900004995DW68D26710018375</t>
        </is>
      </c>
      <c r="B388" t="inlineStr">
        <is>
          <t>900004995</t>
        </is>
      </c>
      <c r="C388" t="inlineStr">
        <is>
          <t>DW68</t>
        </is>
      </c>
      <c r="D388" t="inlineStr">
        <is>
          <t>D267</t>
        </is>
      </c>
      <c r="E388" t="inlineStr">
        <is>
          <t>4</t>
        </is>
      </c>
      <c r="F388" t="inlineStr">
        <is>
          <t>10018375</t>
        </is>
      </c>
      <c r="H388" t="inlineStr"/>
      <c r="J388" t="n">
        <v>417.45</v>
      </c>
      <c r="K388" t="inlineStr"/>
      <c r="M388" t="inlineStr">
        <is>
          <t>TN</t>
        </is>
      </c>
      <c r="N388" t="inlineStr"/>
      <c r="P388" t="inlineStr">
        <is>
          <t>20260415</t>
        </is>
      </c>
      <c r="Q388" t="inlineStr">
        <is>
          <t>99991231</t>
        </is>
      </c>
    </row>
    <row r="389">
      <c r="A389" t="inlineStr">
        <is>
          <t>900004995DW68D26810018375</t>
        </is>
      </c>
      <c r="B389" t="inlineStr">
        <is>
          <t>900004995</t>
        </is>
      </c>
      <c r="C389" t="inlineStr">
        <is>
          <t>DW68</t>
        </is>
      </c>
      <c r="D389" t="inlineStr">
        <is>
          <t>D268</t>
        </is>
      </c>
      <c r="E389" t="inlineStr">
        <is>
          <t>4</t>
        </is>
      </c>
      <c r="F389" t="inlineStr">
        <is>
          <t>10018375</t>
        </is>
      </c>
      <c r="H389" t="inlineStr"/>
      <c r="J389" t="n">
        <v>401.26</v>
      </c>
      <c r="K389" t="inlineStr"/>
      <c r="M389" t="inlineStr">
        <is>
          <t>TN</t>
        </is>
      </c>
      <c r="N389" t="inlineStr"/>
      <c r="P389" t="inlineStr">
        <is>
          <t>20260415</t>
        </is>
      </c>
      <c r="Q389" t="inlineStr">
        <is>
          <t>99991231</t>
        </is>
      </c>
    </row>
    <row r="390">
      <c r="A390" t="inlineStr">
        <is>
          <t>900004995DW68D36510000200</t>
        </is>
      </c>
      <c r="B390" t="inlineStr">
        <is>
          <t>900004995</t>
        </is>
      </c>
      <c r="C390" t="inlineStr">
        <is>
          <t>DW68</t>
        </is>
      </c>
      <c r="D390" t="inlineStr">
        <is>
          <t>D365</t>
        </is>
      </c>
      <c r="E390" t="inlineStr">
        <is>
          <t>4</t>
        </is>
      </c>
      <c r="F390" t="inlineStr">
        <is>
          <t>10000200</t>
        </is>
      </c>
      <c r="H390" t="inlineStr"/>
      <c r="J390" t="n">
        <v>386.2</v>
      </c>
      <c r="K390" t="inlineStr"/>
      <c r="M390" t="inlineStr">
        <is>
          <t>TN</t>
        </is>
      </c>
      <c r="N390" t="inlineStr"/>
      <c r="P390" t="inlineStr">
        <is>
          <t>20230203</t>
        </is>
      </c>
      <c r="Q390" t="inlineStr">
        <is>
          <t>20240201</t>
        </is>
      </c>
    </row>
    <row r="391">
      <c r="A391" t="inlineStr">
        <is>
          <t>900004995DW68D57710270914</t>
        </is>
      </c>
      <c r="B391" t="inlineStr">
        <is>
          <t>900004995</t>
        </is>
      </c>
      <c r="C391" t="inlineStr">
        <is>
          <t>DW68</t>
        </is>
      </c>
      <c r="D391" t="inlineStr">
        <is>
          <t>D577</t>
        </is>
      </c>
      <c r="E391" t="inlineStr">
        <is>
          <t>4</t>
        </is>
      </c>
      <c r="F391" t="inlineStr">
        <is>
          <t>10270914</t>
        </is>
      </c>
      <c r="H391" t="inlineStr"/>
      <c r="J391" t="n">
        <v>337.65</v>
      </c>
      <c r="K391" t="inlineStr"/>
      <c r="M391" t="inlineStr">
        <is>
          <t>TN</t>
        </is>
      </c>
      <c r="N391" t="inlineStr"/>
      <c r="P391" t="inlineStr">
        <is>
          <t>20260401</t>
        </is>
      </c>
      <c r="Q391" t="inlineStr">
        <is>
          <t>99991231</t>
        </is>
      </c>
    </row>
    <row r="392">
      <c r="A392" t="inlineStr">
        <is>
          <t>900004995DW68ENL110270914</t>
        </is>
      </c>
      <c r="B392" t="inlineStr">
        <is>
          <t>900004995</t>
        </is>
      </c>
      <c r="C392" t="inlineStr">
        <is>
          <t>DW68</t>
        </is>
      </c>
      <c r="D392" t="inlineStr">
        <is>
          <t>ENL1</t>
        </is>
      </c>
      <c r="E392" t="inlineStr">
        <is>
          <t>4</t>
        </is>
      </c>
      <c r="F392" t="inlineStr">
        <is>
          <t>10270914</t>
        </is>
      </c>
      <c r="H392" t="inlineStr"/>
      <c r="J392" t="n">
        <v>337.65</v>
      </c>
      <c r="K392" t="inlineStr"/>
      <c r="M392" t="inlineStr">
        <is>
          <t>TN</t>
        </is>
      </c>
      <c r="N392" t="inlineStr"/>
      <c r="P392" t="inlineStr">
        <is>
          <t>20250915</t>
        </is>
      </c>
      <c r="Q392" t="inlineStr">
        <is>
          <t>99991231</t>
        </is>
      </c>
    </row>
    <row r="393">
      <c r="A393" t="inlineStr">
        <is>
          <t>900004995DW68ENV910270914</t>
        </is>
      </c>
      <c r="B393" t="inlineStr">
        <is>
          <t>900004995</t>
        </is>
      </c>
      <c r="C393" t="inlineStr">
        <is>
          <t>DW68</t>
        </is>
      </c>
      <c r="D393" t="inlineStr">
        <is>
          <t>ENV9</t>
        </is>
      </c>
      <c r="E393" t="inlineStr">
        <is>
          <t>4</t>
        </is>
      </c>
      <c r="F393" t="inlineStr">
        <is>
          <t>10270914</t>
        </is>
      </c>
      <c r="H393" t="inlineStr"/>
      <c r="J393" t="n">
        <v>337.65</v>
      </c>
      <c r="K393" t="inlineStr"/>
      <c r="M393" t="inlineStr">
        <is>
          <t>TN</t>
        </is>
      </c>
      <c r="N393" t="inlineStr"/>
      <c r="P393" t="inlineStr">
        <is>
          <t>20250917</t>
        </is>
      </c>
      <c r="Q393" t="inlineStr">
        <is>
          <t>99991231</t>
        </is>
      </c>
    </row>
    <row r="394">
      <c r="A394" t="inlineStr">
        <is>
          <t>900004996DW68D04210018375</t>
        </is>
      </c>
      <c r="B394" t="inlineStr">
        <is>
          <t>900004996</t>
        </is>
      </c>
      <c r="C394" t="inlineStr">
        <is>
          <t>DW68</t>
        </is>
      </c>
      <c r="D394" t="inlineStr">
        <is>
          <t>D042</t>
        </is>
      </c>
      <c r="E394" t="inlineStr">
        <is>
          <t>1</t>
        </is>
      </c>
      <c r="F394" t="inlineStr">
        <is>
          <t>10018375</t>
        </is>
      </c>
      <c r="H394" t="inlineStr"/>
      <c r="J394" t="n">
        <v>412.51</v>
      </c>
      <c r="K394" t="inlineStr"/>
      <c r="M394" t="inlineStr">
        <is>
          <t>TN</t>
        </is>
      </c>
      <c r="N394" t="inlineStr"/>
      <c r="P394" t="inlineStr">
        <is>
          <t>20250530</t>
        </is>
      </c>
      <c r="Q394" t="inlineStr">
        <is>
          <t>99991231</t>
        </is>
      </c>
    </row>
    <row r="395">
      <c r="A395" t="inlineStr">
        <is>
          <t>900004996DW68D05710018375</t>
        </is>
      </c>
      <c r="B395" t="inlineStr">
        <is>
          <t>900004996</t>
        </is>
      </c>
      <c r="C395" t="inlineStr">
        <is>
          <t>DW68</t>
        </is>
      </c>
      <c r="D395" t="inlineStr">
        <is>
          <t>D057</t>
        </is>
      </c>
      <c r="E395" t="inlineStr">
        <is>
          <t>1</t>
        </is>
      </c>
      <c r="F395" t="inlineStr">
        <is>
          <t>10018375</t>
        </is>
      </c>
      <c r="H395" t="inlineStr"/>
      <c r="J395" t="n">
        <v>182.93</v>
      </c>
      <c r="K395" t="inlineStr"/>
      <c r="M395" t="inlineStr">
        <is>
          <t>TN</t>
        </is>
      </c>
      <c r="N395" t="inlineStr"/>
      <c r="P395" t="inlineStr">
        <is>
          <t>20231001</t>
        </is>
      </c>
      <c r="Q395" t="inlineStr">
        <is>
          <t>99991231</t>
        </is>
      </c>
    </row>
    <row r="396">
      <c r="A396" t="inlineStr">
        <is>
          <t>900004996DW68D20910018375</t>
        </is>
      </c>
      <c r="B396" t="inlineStr">
        <is>
          <t>900004996</t>
        </is>
      </c>
      <c r="C396" t="inlineStr">
        <is>
          <t>DW68</t>
        </is>
      </c>
      <c r="D396" t="inlineStr">
        <is>
          <t>D209</t>
        </is>
      </c>
      <c r="E396" t="inlineStr">
        <is>
          <t>1</t>
        </is>
      </c>
      <c r="F396" t="inlineStr">
        <is>
          <t>10018375</t>
        </is>
      </c>
      <c r="H396" t="inlineStr"/>
      <c r="J396" t="n">
        <v>410.52</v>
      </c>
      <c r="K396" t="inlineStr"/>
      <c r="M396" t="inlineStr">
        <is>
          <t>TN</t>
        </is>
      </c>
      <c r="N396" t="inlineStr"/>
      <c r="P396" t="inlineStr">
        <is>
          <t>20240301</t>
        </is>
      </c>
      <c r="Q396" t="inlineStr">
        <is>
          <t>99991231</t>
        </is>
      </c>
    </row>
    <row r="397">
      <c r="A397" t="inlineStr">
        <is>
          <t>900004996DW68D21110018375</t>
        </is>
      </c>
      <c r="B397" t="inlineStr">
        <is>
          <t>900004996</t>
        </is>
      </c>
      <c r="C397" t="inlineStr">
        <is>
          <t>DW68</t>
        </is>
      </c>
      <c r="D397" t="inlineStr">
        <is>
          <t>D211</t>
        </is>
      </c>
      <c r="E397" t="inlineStr">
        <is>
          <t>1</t>
        </is>
      </c>
      <c r="F397" t="inlineStr">
        <is>
          <t>10018375</t>
        </is>
      </c>
      <c r="H397" t="inlineStr"/>
      <c r="J397" t="n">
        <v>387.69</v>
      </c>
      <c r="K397" t="inlineStr"/>
      <c r="M397" t="inlineStr">
        <is>
          <t>TN</t>
        </is>
      </c>
      <c r="N397" t="inlineStr"/>
      <c r="P397" t="inlineStr">
        <is>
          <t>20240301</t>
        </is>
      </c>
      <c r="Q397" t="inlineStr">
        <is>
          <t>99991231</t>
        </is>
      </c>
    </row>
    <row r="398">
      <c r="A398" t="inlineStr">
        <is>
          <t>900004996DW68D21310018375</t>
        </is>
      </c>
      <c r="B398" t="inlineStr">
        <is>
          <t>900004996</t>
        </is>
      </c>
      <c r="C398" t="inlineStr">
        <is>
          <t>DW68</t>
        </is>
      </c>
      <c r="D398" t="inlineStr">
        <is>
          <t>D213</t>
        </is>
      </c>
      <c r="E398" t="inlineStr">
        <is>
          <t>1</t>
        </is>
      </c>
      <c r="F398" t="inlineStr">
        <is>
          <t>10018375</t>
        </is>
      </c>
      <c r="H398" t="inlineStr"/>
      <c r="J398" t="n">
        <v>399.14</v>
      </c>
      <c r="K398" t="inlineStr"/>
      <c r="M398" t="inlineStr">
        <is>
          <t>TN</t>
        </is>
      </c>
      <c r="N398" t="inlineStr"/>
      <c r="P398" t="inlineStr">
        <is>
          <t>20240301</t>
        </is>
      </c>
      <c r="Q398" t="inlineStr">
        <is>
          <t>99991231</t>
        </is>
      </c>
    </row>
    <row r="399">
      <c r="A399" t="inlineStr">
        <is>
          <t>900004996DW68D21410018375</t>
        </is>
      </c>
      <c r="B399" t="inlineStr">
        <is>
          <t>900004996</t>
        </is>
      </c>
      <c r="C399" t="inlineStr">
        <is>
          <t>DW68</t>
        </is>
      </c>
      <c r="D399" t="inlineStr">
        <is>
          <t>D214</t>
        </is>
      </c>
      <c r="E399" t="inlineStr">
        <is>
          <t>1</t>
        </is>
      </c>
      <c r="F399" t="inlineStr">
        <is>
          <t>10018375</t>
        </is>
      </c>
      <c r="H399" t="inlineStr"/>
      <c r="J399" t="n">
        <v>399.14</v>
      </c>
      <c r="K399" t="inlineStr"/>
      <c r="M399" t="inlineStr">
        <is>
          <t>TN</t>
        </is>
      </c>
      <c r="N399" t="inlineStr"/>
      <c r="P399" t="inlineStr">
        <is>
          <t>20240301</t>
        </is>
      </c>
      <c r="Q399" t="inlineStr">
        <is>
          <t>99991231</t>
        </is>
      </c>
    </row>
    <row r="400">
      <c r="A400" t="inlineStr">
        <is>
          <t>900004996DW68D22010018375</t>
        </is>
      </c>
      <c r="B400" t="inlineStr">
        <is>
          <t>900004996</t>
        </is>
      </c>
      <c r="C400" t="inlineStr">
        <is>
          <t>DW68</t>
        </is>
      </c>
      <c r="D400" t="inlineStr">
        <is>
          <t>D220</t>
        </is>
      </c>
      <c r="E400" t="inlineStr">
        <is>
          <t>1</t>
        </is>
      </c>
      <c r="F400" t="inlineStr">
        <is>
          <t>10018375</t>
        </is>
      </c>
      <c r="H400" t="inlineStr"/>
      <c r="J400" t="n">
        <v>398.48</v>
      </c>
      <c r="K400" t="inlineStr"/>
      <c r="M400" t="inlineStr">
        <is>
          <t>TN</t>
        </is>
      </c>
      <c r="N400" t="inlineStr"/>
      <c r="P400" t="inlineStr">
        <is>
          <t>20240301</t>
        </is>
      </c>
      <c r="Q400" t="inlineStr">
        <is>
          <t>99991231</t>
        </is>
      </c>
    </row>
    <row r="401">
      <c r="A401" t="inlineStr">
        <is>
          <t>900004996DW68D22810018375</t>
        </is>
      </c>
      <c r="B401" t="inlineStr">
        <is>
          <t>900004996</t>
        </is>
      </c>
      <c r="C401" t="inlineStr">
        <is>
          <t>DW68</t>
        </is>
      </c>
      <c r="D401" t="inlineStr">
        <is>
          <t>D228</t>
        </is>
      </c>
      <c r="E401" t="inlineStr">
        <is>
          <t>1</t>
        </is>
      </c>
      <c r="F401" t="inlineStr">
        <is>
          <t>10018375</t>
        </is>
      </c>
      <c r="H401" t="inlineStr"/>
      <c r="J401" t="n">
        <v>329.46</v>
      </c>
      <c r="K401" t="inlineStr"/>
      <c r="M401" t="inlineStr">
        <is>
          <t>TN</t>
        </is>
      </c>
      <c r="N401" t="inlineStr"/>
      <c r="P401" t="inlineStr">
        <is>
          <t>20240301</t>
        </is>
      </c>
      <c r="Q401" t="inlineStr">
        <is>
          <t>99991231</t>
        </is>
      </c>
    </row>
    <row r="402">
      <c r="A402" t="inlineStr">
        <is>
          <t>900004996DW68D24210018375</t>
        </is>
      </c>
      <c r="B402" t="inlineStr">
        <is>
          <t>900004996</t>
        </is>
      </c>
      <c r="C402" t="inlineStr">
        <is>
          <t>DW68</t>
        </is>
      </c>
      <c r="D402" t="inlineStr">
        <is>
          <t>D242</t>
        </is>
      </c>
      <c r="E402" t="inlineStr">
        <is>
          <t>1</t>
        </is>
      </c>
      <c r="F402" t="inlineStr">
        <is>
          <t>10018375</t>
        </is>
      </c>
      <c r="H402" t="inlineStr"/>
      <c r="J402" t="n">
        <v>389.61</v>
      </c>
      <c r="K402" t="inlineStr"/>
      <c r="M402" t="inlineStr">
        <is>
          <t>TN</t>
        </is>
      </c>
      <c r="N402" t="inlineStr"/>
      <c r="P402" t="inlineStr">
        <is>
          <t>20240301</t>
        </is>
      </c>
      <c r="Q402" t="inlineStr">
        <is>
          <t>99991231</t>
        </is>
      </c>
    </row>
    <row r="403">
      <c r="A403" t="inlineStr">
        <is>
          <t>900004996DW68D24710018375</t>
        </is>
      </c>
      <c r="B403" t="inlineStr">
        <is>
          <t>900004996</t>
        </is>
      </c>
      <c r="C403" t="inlineStr">
        <is>
          <t>DW68</t>
        </is>
      </c>
      <c r="D403" t="inlineStr">
        <is>
          <t>D247</t>
        </is>
      </c>
      <c r="E403" t="inlineStr">
        <is>
          <t>1</t>
        </is>
      </c>
      <c r="F403" t="inlineStr">
        <is>
          <t>10018375</t>
        </is>
      </c>
      <c r="H403" t="inlineStr"/>
      <c r="J403" t="n">
        <v>307.54</v>
      </c>
      <c r="K403" t="inlineStr"/>
      <c r="M403" t="inlineStr">
        <is>
          <t>TN</t>
        </is>
      </c>
      <c r="N403" t="inlineStr"/>
      <c r="P403" t="inlineStr">
        <is>
          <t>20240301</t>
        </is>
      </c>
      <c r="Q403" t="inlineStr">
        <is>
          <t>99991231</t>
        </is>
      </c>
    </row>
    <row r="404">
      <c r="A404" t="inlineStr">
        <is>
          <t>900004996DW68D25110018375</t>
        </is>
      </c>
      <c r="B404" t="inlineStr">
        <is>
          <t>900004996</t>
        </is>
      </c>
      <c r="C404" t="inlineStr">
        <is>
          <t>DW68</t>
        </is>
      </c>
      <c r="D404" t="inlineStr">
        <is>
          <t>D251</t>
        </is>
      </c>
      <c r="E404" t="inlineStr">
        <is>
          <t>1</t>
        </is>
      </c>
      <c r="F404" t="inlineStr">
        <is>
          <t>10018375</t>
        </is>
      </c>
      <c r="H404" t="inlineStr"/>
      <c r="J404" t="n">
        <v>455.24</v>
      </c>
      <c r="K404" t="inlineStr"/>
      <c r="M404" t="inlineStr">
        <is>
          <t>TN</t>
        </is>
      </c>
      <c r="N404" t="inlineStr"/>
      <c r="P404" t="inlineStr">
        <is>
          <t>20240531</t>
        </is>
      </c>
      <c r="Q404" t="inlineStr">
        <is>
          <t>99991231</t>
        </is>
      </c>
    </row>
    <row r="405">
      <c r="A405" t="inlineStr">
        <is>
          <t>900004996DW68D26410018375</t>
        </is>
      </c>
      <c r="B405" t="inlineStr">
        <is>
          <t>900004996</t>
        </is>
      </c>
      <c r="C405" t="inlineStr">
        <is>
          <t>DW68</t>
        </is>
      </c>
      <c r="D405" t="inlineStr">
        <is>
          <t>D264</t>
        </is>
      </c>
      <c r="E405" t="inlineStr">
        <is>
          <t>1</t>
        </is>
      </c>
      <c r="F405" t="inlineStr">
        <is>
          <t>10018375</t>
        </is>
      </c>
      <c r="H405" t="inlineStr"/>
      <c r="J405" t="n">
        <v>287.9</v>
      </c>
      <c r="K405" t="inlineStr"/>
      <c r="M405" t="inlineStr">
        <is>
          <t>TN</t>
        </is>
      </c>
      <c r="N405" t="inlineStr"/>
      <c r="P405" t="inlineStr">
        <is>
          <t>20240301</t>
        </is>
      </c>
      <c r="Q405" t="inlineStr">
        <is>
          <t>99991231</t>
        </is>
      </c>
    </row>
    <row r="406">
      <c r="A406" t="inlineStr">
        <is>
          <t>900004996DW68D26710018375</t>
        </is>
      </c>
      <c r="B406" t="inlineStr">
        <is>
          <t>900004996</t>
        </is>
      </c>
      <c r="C406" t="inlineStr">
        <is>
          <t>DW68</t>
        </is>
      </c>
      <c r="D406" t="inlineStr">
        <is>
          <t>D267</t>
        </is>
      </c>
      <c r="E406" t="inlineStr">
        <is>
          <t>1</t>
        </is>
      </c>
      <c r="F406" t="inlineStr">
        <is>
          <t>10018375</t>
        </is>
      </c>
      <c r="H406" t="inlineStr"/>
      <c r="J406" t="n">
        <v>420.49</v>
      </c>
      <c r="K406" t="inlineStr"/>
      <c r="M406" t="inlineStr">
        <is>
          <t>TN</t>
        </is>
      </c>
      <c r="N406" t="inlineStr"/>
      <c r="P406" t="inlineStr">
        <is>
          <t>20240412</t>
        </is>
      </c>
      <c r="Q406" t="inlineStr">
        <is>
          <t>99991231</t>
        </is>
      </c>
    </row>
    <row r="407">
      <c r="A407" t="inlineStr">
        <is>
          <t>900004996DW68D26810018375</t>
        </is>
      </c>
      <c r="B407" t="inlineStr">
        <is>
          <t>900004996</t>
        </is>
      </c>
      <c r="C407" t="inlineStr">
        <is>
          <t>DW68</t>
        </is>
      </c>
      <c r="D407" t="inlineStr">
        <is>
          <t>D268</t>
        </is>
      </c>
      <c r="E407" t="inlineStr">
        <is>
          <t>1</t>
        </is>
      </c>
      <c r="F407" t="inlineStr">
        <is>
          <t>10018375</t>
        </is>
      </c>
      <c r="H407" t="inlineStr"/>
      <c r="J407" t="n">
        <v>406.38</v>
      </c>
      <c r="K407" t="inlineStr"/>
      <c r="M407" t="inlineStr">
        <is>
          <t>TN</t>
        </is>
      </c>
      <c r="N407" t="inlineStr"/>
      <c r="P407" t="inlineStr">
        <is>
          <t>20240412</t>
        </is>
      </c>
      <c r="Q407" t="inlineStr">
        <is>
          <t>99991231</t>
        </is>
      </c>
    </row>
    <row r="408">
      <c r="A408" t="inlineStr">
        <is>
          <t>900005508DW68D04210000191</t>
        </is>
      </c>
      <c r="B408" t="inlineStr">
        <is>
          <t>900005508</t>
        </is>
      </c>
      <c r="C408" t="inlineStr">
        <is>
          <t>DW68</t>
        </is>
      </c>
      <c r="D408" t="inlineStr">
        <is>
          <t>D042</t>
        </is>
      </c>
      <c r="E408" t="inlineStr">
        <is>
          <t>4</t>
        </is>
      </c>
      <c r="F408" t="inlineStr">
        <is>
          <t>10000191</t>
        </is>
      </c>
      <c r="H408" t="inlineStr"/>
      <c r="J408" t="n">
        <v>90.98999999999999</v>
      </c>
      <c r="K408" t="inlineStr"/>
      <c r="M408" t="inlineStr">
        <is>
          <t>TN</t>
        </is>
      </c>
      <c r="N408" t="inlineStr"/>
      <c r="P408" t="inlineStr">
        <is>
          <t>20220516</t>
        </is>
      </c>
      <c r="Q408" t="inlineStr">
        <is>
          <t>20251031</t>
        </is>
      </c>
    </row>
    <row r="409">
      <c r="A409" t="inlineStr">
        <is>
          <t>900005508DW68D04210000388</t>
        </is>
      </c>
      <c r="B409" t="inlineStr">
        <is>
          <t>900005508</t>
        </is>
      </c>
      <c r="C409" t="inlineStr">
        <is>
          <t>DW68</t>
        </is>
      </c>
      <c r="D409" t="inlineStr">
        <is>
          <t>D042</t>
        </is>
      </c>
      <c r="E409" t="inlineStr">
        <is>
          <t>4</t>
        </is>
      </c>
      <c r="F409" t="inlineStr">
        <is>
          <t>10000388</t>
        </is>
      </c>
      <c r="H409" t="inlineStr"/>
      <c r="J409" t="n">
        <v>92.47</v>
      </c>
      <c r="K409" t="inlineStr"/>
      <c r="M409" t="inlineStr">
        <is>
          <t>TN</t>
        </is>
      </c>
      <c r="N409" t="inlineStr"/>
      <c r="P409" t="inlineStr">
        <is>
          <t>20220516</t>
        </is>
      </c>
      <c r="Q409" t="inlineStr">
        <is>
          <t>20251031</t>
        </is>
      </c>
    </row>
    <row r="410">
      <c r="A410" t="inlineStr">
        <is>
          <t>900005508DW68D20910000191</t>
        </is>
      </c>
      <c r="B410" t="inlineStr">
        <is>
          <t>900005508</t>
        </is>
      </c>
      <c r="C410" t="inlineStr">
        <is>
          <t>DW68</t>
        </is>
      </c>
      <c r="D410" t="inlineStr">
        <is>
          <t>D209</t>
        </is>
      </c>
      <c r="E410" t="inlineStr">
        <is>
          <t>4</t>
        </is>
      </c>
      <c r="F410" t="inlineStr">
        <is>
          <t>10000191</t>
        </is>
      </c>
      <c r="H410" t="inlineStr"/>
      <c r="J410" t="n">
        <v>57.8</v>
      </c>
      <c r="K410" t="inlineStr"/>
      <c r="M410" t="inlineStr">
        <is>
          <t>TN</t>
        </is>
      </c>
      <c r="N410" t="inlineStr"/>
      <c r="P410" t="inlineStr">
        <is>
          <t>20220516</t>
        </is>
      </c>
      <c r="Q410" t="inlineStr">
        <is>
          <t>20251031</t>
        </is>
      </c>
    </row>
    <row r="411">
      <c r="A411" t="inlineStr">
        <is>
          <t>900005508DW68D20910000388</t>
        </is>
      </c>
      <c r="B411" t="inlineStr">
        <is>
          <t>900005508</t>
        </is>
      </c>
      <c r="C411" t="inlineStr">
        <is>
          <t>DW68</t>
        </is>
      </c>
      <c r="D411" t="inlineStr">
        <is>
          <t>D209</t>
        </is>
      </c>
      <c r="E411" t="inlineStr">
        <is>
          <t>4</t>
        </is>
      </c>
      <c r="F411" t="inlineStr">
        <is>
          <t>10000388</t>
        </is>
      </c>
      <c r="H411" t="inlineStr"/>
      <c r="J411" t="n">
        <v>73.84</v>
      </c>
      <c r="K411" t="inlineStr"/>
      <c r="M411" t="inlineStr">
        <is>
          <t>TN</t>
        </is>
      </c>
      <c r="N411" t="inlineStr"/>
      <c r="P411" t="inlineStr">
        <is>
          <t>20220516</t>
        </is>
      </c>
      <c r="Q411" t="inlineStr">
        <is>
          <t>20251031</t>
        </is>
      </c>
    </row>
    <row r="412">
      <c r="A412" t="inlineStr">
        <is>
          <t>900005508DW68D21110000191</t>
        </is>
      </c>
      <c r="B412" t="inlineStr">
        <is>
          <t>900005508</t>
        </is>
      </c>
      <c r="C412" t="inlineStr">
        <is>
          <t>DW68</t>
        </is>
      </c>
      <c r="D412" t="inlineStr">
        <is>
          <t>D211</t>
        </is>
      </c>
      <c r="E412" t="inlineStr">
        <is>
          <t>4</t>
        </is>
      </c>
      <c r="F412" t="inlineStr">
        <is>
          <t>10000191</t>
        </is>
      </c>
      <c r="H412" t="inlineStr"/>
      <c r="J412" t="n">
        <v>69.56999999999999</v>
      </c>
      <c r="K412" t="inlineStr"/>
      <c r="M412" t="inlineStr">
        <is>
          <t>TN</t>
        </is>
      </c>
      <c r="N412" t="inlineStr"/>
      <c r="P412" t="inlineStr">
        <is>
          <t>20220516</t>
        </is>
      </c>
      <c r="Q412" t="inlineStr">
        <is>
          <t>20251031</t>
        </is>
      </c>
    </row>
    <row r="413">
      <c r="A413" t="inlineStr">
        <is>
          <t>900005508DW68D21110000388</t>
        </is>
      </c>
      <c r="B413" t="inlineStr">
        <is>
          <t>900005508</t>
        </is>
      </c>
      <c r="C413" t="inlineStr">
        <is>
          <t>DW68</t>
        </is>
      </c>
      <c r="D413" t="inlineStr">
        <is>
          <t>D211</t>
        </is>
      </c>
      <c r="E413" t="inlineStr">
        <is>
          <t>4</t>
        </is>
      </c>
      <c r="F413" t="inlineStr">
        <is>
          <t>10000388</t>
        </is>
      </c>
      <c r="H413" t="inlineStr"/>
      <c r="J413" t="n">
        <v>86.42</v>
      </c>
      <c r="K413" t="inlineStr"/>
      <c r="M413" t="inlineStr">
        <is>
          <t>TN</t>
        </is>
      </c>
      <c r="N413" t="inlineStr"/>
      <c r="P413" t="inlineStr">
        <is>
          <t>20220516</t>
        </is>
      </c>
      <c r="Q413" t="inlineStr">
        <is>
          <t>20251031</t>
        </is>
      </c>
    </row>
    <row r="414">
      <c r="A414" t="inlineStr">
        <is>
          <t>900005508DW68D21410000191</t>
        </is>
      </c>
      <c r="B414" t="inlineStr">
        <is>
          <t>900005508</t>
        </is>
      </c>
      <c r="C414" t="inlineStr">
        <is>
          <t>DW68</t>
        </is>
      </c>
      <c r="D414" t="inlineStr">
        <is>
          <t>D214</t>
        </is>
      </c>
      <c r="E414" t="inlineStr">
        <is>
          <t>4</t>
        </is>
      </c>
      <c r="F414" t="inlineStr">
        <is>
          <t>10000191</t>
        </is>
      </c>
      <c r="H414" t="inlineStr"/>
      <c r="J414" t="n">
        <v>79.83</v>
      </c>
      <c r="K414" t="inlineStr"/>
      <c r="M414" t="inlineStr">
        <is>
          <t>TN</t>
        </is>
      </c>
      <c r="N414" t="inlineStr"/>
      <c r="P414" t="inlineStr">
        <is>
          <t>20220516</t>
        </is>
      </c>
      <c r="Q414" t="inlineStr">
        <is>
          <t>20251031</t>
        </is>
      </c>
    </row>
    <row r="415">
      <c r="A415" t="inlineStr">
        <is>
          <t>900005508DW68D21410000388</t>
        </is>
      </c>
      <c r="B415" t="inlineStr">
        <is>
          <t>900005508</t>
        </is>
      </c>
      <c r="C415" t="inlineStr">
        <is>
          <t>DW68</t>
        </is>
      </c>
      <c r="D415" t="inlineStr">
        <is>
          <t>D214</t>
        </is>
      </c>
      <c r="E415" t="inlineStr">
        <is>
          <t>4</t>
        </is>
      </c>
      <c r="F415" t="inlineStr">
        <is>
          <t>10000388</t>
        </is>
      </c>
      <c r="H415" t="inlineStr"/>
      <c r="J415" t="n">
        <v>80.69</v>
      </c>
      <c r="K415" t="inlineStr"/>
      <c r="M415" t="inlineStr">
        <is>
          <t>TN</t>
        </is>
      </c>
      <c r="N415" t="inlineStr"/>
      <c r="P415" t="inlineStr">
        <is>
          <t>20220516</t>
        </is>
      </c>
      <c r="Q415" t="inlineStr">
        <is>
          <t>20251031</t>
        </is>
      </c>
    </row>
    <row r="416">
      <c r="A416" t="inlineStr">
        <is>
          <t>900005508DW68D22810000191</t>
        </is>
      </c>
      <c r="B416" t="inlineStr">
        <is>
          <t>900005508</t>
        </is>
      </c>
      <c r="C416" t="inlineStr">
        <is>
          <t>DW68</t>
        </is>
      </c>
      <c r="D416" t="inlineStr">
        <is>
          <t>D228</t>
        </is>
      </c>
      <c r="E416" t="inlineStr">
        <is>
          <t>4</t>
        </is>
      </c>
      <c r="F416" t="inlineStr">
        <is>
          <t>10000191</t>
        </is>
      </c>
      <c r="H416" t="inlineStr"/>
      <c r="J416" t="n">
        <v>105.82</v>
      </c>
      <c r="K416" t="inlineStr"/>
      <c r="M416" t="inlineStr">
        <is>
          <t>TN</t>
        </is>
      </c>
      <c r="N416" t="inlineStr"/>
      <c r="P416" t="inlineStr">
        <is>
          <t>20220516</t>
        </is>
      </c>
      <c r="Q416" t="inlineStr">
        <is>
          <t>20251031</t>
        </is>
      </c>
    </row>
    <row r="417">
      <c r="A417" t="inlineStr">
        <is>
          <t>900005508DW68D22810000388</t>
        </is>
      </c>
      <c r="B417" t="inlineStr">
        <is>
          <t>900005508</t>
        </is>
      </c>
      <c r="C417" t="inlineStr">
        <is>
          <t>DW68</t>
        </is>
      </c>
      <c r="D417" t="inlineStr">
        <is>
          <t>D228</t>
        </is>
      </c>
      <c r="E417" t="inlineStr">
        <is>
          <t>4</t>
        </is>
      </c>
      <c r="F417" t="inlineStr">
        <is>
          <t>10000388</t>
        </is>
      </c>
      <c r="H417" t="inlineStr"/>
      <c r="J417" t="n">
        <v>106.95</v>
      </c>
      <c r="K417" t="inlineStr"/>
      <c r="M417" t="inlineStr">
        <is>
          <t>TN</t>
        </is>
      </c>
      <c r="N417" t="inlineStr"/>
      <c r="P417" t="inlineStr">
        <is>
          <t>20220516</t>
        </is>
      </c>
      <c r="Q417" t="inlineStr">
        <is>
          <t>20251031</t>
        </is>
      </c>
    </row>
    <row r="418">
      <c r="A418" t="inlineStr">
        <is>
          <t>900005508DW68D24210000191</t>
        </is>
      </c>
      <c r="B418" t="inlineStr">
        <is>
          <t>900005508</t>
        </is>
      </c>
      <c r="C418" t="inlineStr">
        <is>
          <t>DW68</t>
        </is>
      </c>
      <c r="D418" t="inlineStr">
        <is>
          <t>D242</t>
        </is>
      </c>
      <c r="E418" t="inlineStr">
        <is>
          <t>4</t>
        </is>
      </c>
      <c r="F418" t="inlineStr">
        <is>
          <t>10000191</t>
        </is>
      </c>
      <c r="H418" t="inlineStr"/>
      <c r="J418" t="n">
        <v>92.84</v>
      </c>
      <c r="K418" t="inlineStr"/>
      <c r="M418" t="inlineStr">
        <is>
          <t>TN</t>
        </is>
      </c>
      <c r="N418" t="inlineStr"/>
      <c r="P418" t="inlineStr">
        <is>
          <t>20220516</t>
        </is>
      </c>
      <c r="Q418" t="inlineStr">
        <is>
          <t>20251031</t>
        </is>
      </c>
    </row>
    <row r="419">
      <c r="A419" t="inlineStr">
        <is>
          <t>900005508DW68D24210000388</t>
        </is>
      </c>
      <c r="B419" t="inlineStr">
        <is>
          <t>900005508</t>
        </is>
      </c>
      <c r="C419" t="inlineStr">
        <is>
          <t>DW68</t>
        </is>
      </c>
      <c r="D419" t="inlineStr">
        <is>
          <t>D242</t>
        </is>
      </c>
      <c r="E419" t="inlineStr">
        <is>
          <t>4</t>
        </is>
      </c>
      <c r="F419" t="inlineStr">
        <is>
          <t>10000388</t>
        </is>
      </c>
      <c r="H419" t="inlineStr"/>
      <c r="J419" t="n">
        <v>101.08</v>
      </c>
      <c r="K419" t="inlineStr"/>
      <c r="M419" t="inlineStr">
        <is>
          <t>TN</t>
        </is>
      </c>
      <c r="N419" t="inlineStr"/>
      <c r="P419" t="inlineStr">
        <is>
          <t>20220516</t>
        </is>
      </c>
      <c r="Q419" t="inlineStr">
        <is>
          <t>20251031</t>
        </is>
      </c>
    </row>
    <row r="420">
      <c r="A420" t="inlineStr">
        <is>
          <t>900005508DW68D25110000191</t>
        </is>
      </c>
      <c r="B420" t="inlineStr">
        <is>
          <t>900005508</t>
        </is>
      </c>
      <c r="C420" t="inlineStr">
        <is>
          <t>DW68</t>
        </is>
      </c>
      <c r="D420" t="inlineStr">
        <is>
          <t>D251</t>
        </is>
      </c>
      <c r="E420" t="inlineStr">
        <is>
          <t>4</t>
        </is>
      </c>
      <c r="F420" t="inlineStr">
        <is>
          <t>10000191</t>
        </is>
      </c>
      <c r="H420" t="inlineStr"/>
      <c r="J420" t="n">
        <v>58.87</v>
      </c>
      <c r="K420" t="inlineStr"/>
      <c r="M420" t="inlineStr">
        <is>
          <t>TN</t>
        </is>
      </c>
      <c r="N420" t="inlineStr"/>
      <c r="P420" t="inlineStr">
        <is>
          <t>20220516</t>
        </is>
      </c>
      <c r="Q420" t="inlineStr">
        <is>
          <t>20251031</t>
        </is>
      </c>
    </row>
    <row r="421">
      <c r="A421" t="inlineStr">
        <is>
          <t>900005508DW68D25110000388</t>
        </is>
      </c>
      <c r="B421" t="inlineStr">
        <is>
          <t>900005508</t>
        </is>
      </c>
      <c r="C421" t="inlineStr">
        <is>
          <t>DW68</t>
        </is>
      </c>
      <c r="D421" t="inlineStr">
        <is>
          <t>D251</t>
        </is>
      </c>
      <c r="E421" t="inlineStr">
        <is>
          <t>4</t>
        </is>
      </c>
      <c r="F421" t="inlineStr">
        <is>
          <t>10000388</t>
        </is>
      </c>
      <c r="H421" t="inlineStr"/>
      <c r="J421" t="n">
        <v>73.12</v>
      </c>
      <c r="K421" t="inlineStr"/>
      <c r="M421" t="inlineStr">
        <is>
          <t>TN</t>
        </is>
      </c>
      <c r="N421" t="inlineStr"/>
      <c r="P421" t="inlineStr">
        <is>
          <t>20220516</t>
        </is>
      </c>
      <c r="Q421" t="inlineStr">
        <is>
          <t>20251031</t>
        </is>
      </c>
    </row>
    <row r="422">
      <c r="A422" t="inlineStr">
        <is>
          <t>900005508DW68D26410000191</t>
        </is>
      </c>
      <c r="B422" t="inlineStr">
        <is>
          <t>900005508</t>
        </is>
      </c>
      <c r="C422" t="inlineStr">
        <is>
          <t>DW68</t>
        </is>
      </c>
      <c r="D422" t="inlineStr">
        <is>
          <t>D264</t>
        </is>
      </c>
      <c r="E422" t="inlineStr">
        <is>
          <t>4</t>
        </is>
      </c>
      <c r="F422" t="inlineStr">
        <is>
          <t>10000191</t>
        </is>
      </c>
      <c r="H422" t="inlineStr"/>
      <c r="J422" t="n">
        <v>65.89</v>
      </c>
      <c r="K422" t="inlineStr"/>
      <c r="M422" t="inlineStr">
        <is>
          <t>TN</t>
        </is>
      </c>
      <c r="N422" t="inlineStr"/>
      <c r="P422" t="inlineStr">
        <is>
          <t>20220516</t>
        </is>
      </c>
      <c r="Q422" t="inlineStr">
        <is>
          <t>20251031</t>
        </is>
      </c>
    </row>
    <row r="423">
      <c r="A423" t="inlineStr">
        <is>
          <t>900005508DW68D26410000388</t>
        </is>
      </c>
      <c r="B423" t="inlineStr">
        <is>
          <t>900005508</t>
        </is>
      </c>
      <c r="C423" t="inlineStr">
        <is>
          <t>DW68</t>
        </is>
      </c>
      <c r="D423" t="inlineStr">
        <is>
          <t>D264</t>
        </is>
      </c>
      <c r="E423" t="inlineStr">
        <is>
          <t>4</t>
        </is>
      </c>
      <c r="F423" t="inlineStr">
        <is>
          <t>10000388</t>
        </is>
      </c>
      <c r="H423" t="inlineStr"/>
      <c r="J423" t="n">
        <v>83.87</v>
      </c>
      <c r="K423" t="inlineStr"/>
      <c r="M423" t="inlineStr">
        <is>
          <t>TN</t>
        </is>
      </c>
      <c r="N423" t="inlineStr"/>
      <c r="P423" t="inlineStr">
        <is>
          <t>20220516</t>
        </is>
      </c>
      <c r="Q423" t="inlineStr">
        <is>
          <t>20251031</t>
        </is>
      </c>
    </row>
    <row r="424">
      <c r="A424" t="inlineStr">
        <is>
          <t>900005508DW68D26710000191</t>
        </is>
      </c>
      <c r="B424" t="inlineStr">
        <is>
          <t>900005508</t>
        </is>
      </c>
      <c r="C424" t="inlineStr">
        <is>
          <t>DW68</t>
        </is>
      </c>
      <c r="D424" t="inlineStr">
        <is>
          <t>D267</t>
        </is>
      </c>
      <c r="E424" t="inlineStr">
        <is>
          <t>4</t>
        </is>
      </c>
      <c r="F424" t="inlineStr">
        <is>
          <t>10000191</t>
        </is>
      </c>
      <c r="H424" t="inlineStr"/>
      <c r="J424" t="n">
        <v>104.96</v>
      </c>
      <c r="K424" t="inlineStr"/>
      <c r="M424" t="inlineStr">
        <is>
          <t>TN</t>
        </is>
      </c>
      <c r="N424" t="inlineStr"/>
      <c r="P424" t="inlineStr">
        <is>
          <t>20220516</t>
        </is>
      </c>
      <c r="Q424" t="inlineStr">
        <is>
          <t>20251031</t>
        </is>
      </c>
    </row>
    <row r="425">
      <c r="A425" t="inlineStr">
        <is>
          <t>900005508DW68D26710000388</t>
        </is>
      </c>
      <c r="B425" t="inlineStr">
        <is>
          <t>900005508</t>
        </is>
      </c>
      <c r="C425" t="inlineStr">
        <is>
          <t>DW68</t>
        </is>
      </c>
      <c r="D425" t="inlineStr">
        <is>
          <t>D267</t>
        </is>
      </c>
      <c r="E425" t="inlineStr">
        <is>
          <t>4</t>
        </is>
      </c>
      <c r="F425" t="inlineStr">
        <is>
          <t>10000388</t>
        </is>
      </c>
      <c r="H425" t="inlineStr"/>
      <c r="J425" t="n">
        <v>109.93</v>
      </c>
      <c r="K425" t="inlineStr"/>
      <c r="M425" t="inlineStr">
        <is>
          <t>TN</t>
        </is>
      </c>
      <c r="N425" t="inlineStr"/>
      <c r="P425" t="inlineStr">
        <is>
          <t>20220516</t>
        </is>
      </c>
      <c r="Q425" t="inlineStr">
        <is>
          <t>20251031</t>
        </is>
      </c>
    </row>
    <row r="426">
      <c r="A426" t="inlineStr">
        <is>
          <t>900005508DW68D26810000388</t>
        </is>
      </c>
      <c r="B426" t="inlineStr">
        <is>
          <t>900005508</t>
        </is>
      </c>
      <c r="C426" t="inlineStr">
        <is>
          <t>DW68</t>
        </is>
      </c>
      <c r="D426" t="inlineStr">
        <is>
          <t>D268</t>
        </is>
      </c>
      <c r="E426" t="inlineStr">
        <is>
          <t>4</t>
        </is>
      </c>
      <c r="F426" t="inlineStr">
        <is>
          <t>10000388</t>
        </is>
      </c>
      <c r="H426" t="inlineStr"/>
      <c r="J426" t="n">
        <v>100.36</v>
      </c>
      <c r="K426" t="inlineStr"/>
      <c r="M426" t="inlineStr">
        <is>
          <t>TN</t>
        </is>
      </c>
      <c r="N426" t="inlineStr"/>
      <c r="P426" t="inlineStr">
        <is>
          <t>20220516</t>
        </is>
      </c>
      <c r="Q426" t="inlineStr">
        <is>
          <t>20251031</t>
        </is>
      </c>
    </row>
    <row r="427">
      <c r="A427" t="inlineStr">
        <is>
          <t>900005660DW68D04210000320</t>
        </is>
      </c>
      <c r="B427" t="inlineStr">
        <is>
          <t>900005660</t>
        </is>
      </c>
      <c r="C427" t="inlineStr">
        <is>
          <t>DW68</t>
        </is>
      </c>
      <c r="D427" t="inlineStr">
        <is>
          <t>D042</t>
        </is>
      </c>
      <c r="E427" t="inlineStr">
        <is>
          <t>4</t>
        </is>
      </c>
      <c r="F427" t="inlineStr">
        <is>
          <t>10000320</t>
        </is>
      </c>
      <c r="H427" t="inlineStr"/>
      <c r="J427" t="n">
        <v>210</v>
      </c>
      <c r="K427" t="inlineStr"/>
      <c r="M427" t="inlineStr">
        <is>
          <t>TN</t>
        </is>
      </c>
      <c r="N427" t="inlineStr"/>
      <c r="P427" t="inlineStr">
        <is>
          <t>20220516</t>
        </is>
      </c>
      <c r="Q427" t="inlineStr">
        <is>
          <t>20251031</t>
        </is>
      </c>
    </row>
    <row r="428">
      <c r="A428" t="inlineStr">
        <is>
          <t>900005660DW68D20910000320</t>
        </is>
      </c>
      <c r="B428" t="inlineStr">
        <is>
          <t>900005660</t>
        </is>
      </c>
      <c r="C428" t="inlineStr">
        <is>
          <t>DW68</t>
        </is>
      </c>
      <c r="D428" t="inlineStr">
        <is>
          <t>D209</t>
        </is>
      </c>
      <c r="E428" t="inlineStr">
        <is>
          <t>4</t>
        </is>
      </c>
      <c r="F428" t="inlineStr">
        <is>
          <t>10000320</t>
        </is>
      </c>
      <c r="H428" t="inlineStr"/>
      <c r="J428" t="n">
        <v>200</v>
      </c>
      <c r="K428" t="inlineStr"/>
      <c r="M428" t="inlineStr">
        <is>
          <t>TN</t>
        </is>
      </c>
      <c r="N428" t="inlineStr"/>
      <c r="P428" t="inlineStr">
        <is>
          <t>20220516</t>
        </is>
      </c>
      <c r="Q428" t="inlineStr">
        <is>
          <t>20251031</t>
        </is>
      </c>
    </row>
    <row r="429">
      <c r="A429" t="inlineStr">
        <is>
          <t>900005660DW68D21110000320</t>
        </is>
      </c>
      <c r="B429" t="inlineStr">
        <is>
          <t>900005660</t>
        </is>
      </c>
      <c r="C429" t="inlineStr">
        <is>
          <t>DW68</t>
        </is>
      </c>
      <c r="D429" t="inlineStr">
        <is>
          <t>D211</t>
        </is>
      </c>
      <c r="E429" t="inlineStr">
        <is>
          <t>4</t>
        </is>
      </c>
      <c r="F429" t="inlineStr">
        <is>
          <t>10000320</t>
        </is>
      </c>
      <c r="H429" t="inlineStr"/>
      <c r="J429" t="n">
        <v>200</v>
      </c>
      <c r="K429" t="inlineStr"/>
      <c r="M429" t="inlineStr">
        <is>
          <t>TN</t>
        </is>
      </c>
      <c r="N429" t="inlineStr"/>
      <c r="P429" t="inlineStr">
        <is>
          <t>20220516</t>
        </is>
      </c>
      <c r="Q429" t="inlineStr">
        <is>
          <t>20251031</t>
        </is>
      </c>
    </row>
    <row r="430">
      <c r="A430" t="inlineStr">
        <is>
          <t>900005660DW68D21310000320</t>
        </is>
      </c>
      <c r="B430" t="inlineStr">
        <is>
          <t>900005660</t>
        </is>
      </c>
      <c r="C430" t="inlineStr">
        <is>
          <t>DW68</t>
        </is>
      </c>
      <c r="D430" t="inlineStr">
        <is>
          <t>D213</t>
        </is>
      </c>
      <c r="E430" t="inlineStr">
        <is>
          <t>4</t>
        </is>
      </c>
      <c r="F430" t="inlineStr">
        <is>
          <t>10000320</t>
        </is>
      </c>
      <c r="H430" t="inlineStr"/>
      <c r="J430" t="n">
        <v>240</v>
      </c>
      <c r="K430" t="inlineStr"/>
      <c r="M430" t="inlineStr">
        <is>
          <t>TN</t>
        </is>
      </c>
      <c r="N430" t="inlineStr"/>
      <c r="P430" t="inlineStr">
        <is>
          <t>20220516</t>
        </is>
      </c>
      <c r="Q430" t="inlineStr">
        <is>
          <t>20251031</t>
        </is>
      </c>
    </row>
    <row r="431">
      <c r="A431" t="inlineStr">
        <is>
          <t>900005660DW68D21410000320</t>
        </is>
      </c>
      <c r="B431" t="inlineStr">
        <is>
          <t>900005660</t>
        </is>
      </c>
      <c r="C431" t="inlineStr">
        <is>
          <t>DW68</t>
        </is>
      </c>
      <c r="D431" t="inlineStr">
        <is>
          <t>D214</t>
        </is>
      </c>
      <c r="E431" t="inlineStr">
        <is>
          <t>4</t>
        </is>
      </c>
      <c r="F431" t="inlineStr">
        <is>
          <t>10000320</t>
        </is>
      </c>
      <c r="H431" t="inlineStr"/>
      <c r="J431" t="n">
        <v>220</v>
      </c>
      <c r="K431" t="inlineStr"/>
      <c r="M431" t="inlineStr">
        <is>
          <t>TN</t>
        </is>
      </c>
      <c r="N431" t="inlineStr"/>
      <c r="P431" t="inlineStr">
        <is>
          <t>20220516</t>
        </is>
      </c>
      <c r="Q431" t="inlineStr">
        <is>
          <t>20251031</t>
        </is>
      </c>
    </row>
    <row r="432">
      <c r="A432" t="inlineStr">
        <is>
          <t>900005660DW68D22810000320</t>
        </is>
      </c>
      <c r="B432" t="inlineStr">
        <is>
          <t>900005660</t>
        </is>
      </c>
      <c r="C432" t="inlineStr">
        <is>
          <t>DW68</t>
        </is>
      </c>
      <c r="D432" t="inlineStr">
        <is>
          <t>D228</t>
        </is>
      </c>
      <c r="E432" t="inlineStr">
        <is>
          <t>4</t>
        </is>
      </c>
      <c r="F432" t="inlineStr">
        <is>
          <t>10000320</t>
        </is>
      </c>
      <c r="H432" t="inlineStr"/>
      <c r="J432" t="n">
        <v>200</v>
      </c>
      <c r="K432" t="inlineStr"/>
      <c r="M432" t="inlineStr">
        <is>
          <t>TN</t>
        </is>
      </c>
      <c r="N432" t="inlineStr"/>
      <c r="P432" t="inlineStr">
        <is>
          <t>20220516</t>
        </is>
      </c>
      <c r="Q432" t="inlineStr">
        <is>
          <t>20251031</t>
        </is>
      </c>
    </row>
    <row r="433">
      <c r="A433" t="inlineStr">
        <is>
          <t>900005660DW68D24210000320</t>
        </is>
      </c>
      <c r="B433" t="inlineStr">
        <is>
          <t>900005660</t>
        </is>
      </c>
      <c r="C433" t="inlineStr">
        <is>
          <t>DW68</t>
        </is>
      </c>
      <c r="D433" t="inlineStr">
        <is>
          <t>D242</t>
        </is>
      </c>
      <c r="E433" t="inlineStr">
        <is>
          <t>4</t>
        </is>
      </c>
      <c r="F433" t="inlineStr">
        <is>
          <t>10000320</t>
        </is>
      </c>
      <c r="H433" t="inlineStr"/>
      <c r="J433" t="n">
        <v>200</v>
      </c>
      <c r="K433" t="inlineStr"/>
      <c r="M433" t="inlineStr">
        <is>
          <t>TN</t>
        </is>
      </c>
      <c r="N433" t="inlineStr"/>
      <c r="P433" t="inlineStr">
        <is>
          <t>20220516</t>
        </is>
      </c>
      <c r="Q433" t="inlineStr">
        <is>
          <t>20251031</t>
        </is>
      </c>
    </row>
    <row r="434">
      <c r="A434" t="inlineStr">
        <is>
          <t>900005660DW68D25110000320</t>
        </is>
      </c>
      <c r="B434" t="inlineStr">
        <is>
          <t>900005660</t>
        </is>
      </c>
      <c r="C434" t="inlineStr">
        <is>
          <t>DW68</t>
        </is>
      </c>
      <c r="D434" t="inlineStr">
        <is>
          <t>D251</t>
        </is>
      </c>
      <c r="E434" t="inlineStr">
        <is>
          <t>4</t>
        </is>
      </c>
      <c r="F434" t="inlineStr">
        <is>
          <t>10000320</t>
        </is>
      </c>
      <c r="H434" t="inlineStr"/>
      <c r="J434" t="n">
        <v>220</v>
      </c>
      <c r="K434" t="inlineStr"/>
      <c r="M434" t="inlineStr">
        <is>
          <t>TN</t>
        </is>
      </c>
      <c r="N434" t="inlineStr"/>
      <c r="P434" t="inlineStr">
        <is>
          <t>20220516</t>
        </is>
      </c>
      <c r="Q434" t="inlineStr">
        <is>
          <t>20251031</t>
        </is>
      </c>
    </row>
    <row r="435">
      <c r="A435" t="inlineStr">
        <is>
          <t>900005660DW68D26410000320</t>
        </is>
      </c>
      <c r="B435" t="inlineStr">
        <is>
          <t>900005660</t>
        </is>
      </c>
      <c r="C435" t="inlineStr">
        <is>
          <t>DW68</t>
        </is>
      </c>
      <c r="D435" t="inlineStr">
        <is>
          <t>D264</t>
        </is>
      </c>
      <c r="E435" t="inlineStr">
        <is>
          <t>4</t>
        </is>
      </c>
      <c r="F435" t="inlineStr">
        <is>
          <t>10000320</t>
        </is>
      </c>
      <c r="H435" t="inlineStr"/>
      <c r="J435" t="n">
        <v>200</v>
      </c>
      <c r="K435" t="inlineStr"/>
      <c r="M435" t="inlineStr">
        <is>
          <t>TN</t>
        </is>
      </c>
      <c r="N435" t="inlineStr"/>
      <c r="P435" t="inlineStr">
        <is>
          <t>20220516</t>
        </is>
      </c>
      <c r="Q435" t="inlineStr">
        <is>
          <t>20251031</t>
        </is>
      </c>
    </row>
    <row r="436">
      <c r="A436" t="inlineStr">
        <is>
          <t>900005660DW68D26710000320</t>
        </is>
      </c>
      <c r="B436" t="inlineStr">
        <is>
          <t>900005660</t>
        </is>
      </c>
      <c r="C436" t="inlineStr">
        <is>
          <t>DW68</t>
        </is>
      </c>
      <c r="D436" t="inlineStr">
        <is>
          <t>D267</t>
        </is>
      </c>
      <c r="E436" t="inlineStr">
        <is>
          <t>4</t>
        </is>
      </c>
      <c r="F436" t="inlineStr">
        <is>
          <t>10000320</t>
        </is>
      </c>
      <c r="H436" t="inlineStr"/>
      <c r="J436" t="n">
        <v>220</v>
      </c>
      <c r="K436" t="inlineStr"/>
      <c r="M436" t="inlineStr">
        <is>
          <t>TN</t>
        </is>
      </c>
      <c r="N436" t="inlineStr"/>
      <c r="P436" t="inlineStr">
        <is>
          <t>20220516</t>
        </is>
      </c>
      <c r="Q436" t="inlineStr">
        <is>
          <t>20251031</t>
        </is>
      </c>
    </row>
    <row r="437">
      <c r="A437" t="inlineStr">
        <is>
          <t>900006441DW68D04210000191</t>
        </is>
      </c>
      <c r="B437" t="inlineStr">
        <is>
          <t>900006441</t>
        </is>
      </c>
      <c r="C437" t="inlineStr">
        <is>
          <t>DW68</t>
        </is>
      </c>
      <c r="D437" t="inlineStr">
        <is>
          <t>D042</t>
        </is>
      </c>
      <c r="E437" t="inlineStr">
        <is>
          <t>4</t>
        </is>
      </c>
      <c r="F437" t="inlineStr">
        <is>
          <t>10000191</t>
        </is>
      </c>
      <c r="H437" t="inlineStr"/>
      <c r="J437" t="n">
        <v>124.11</v>
      </c>
      <c r="K437" t="inlineStr"/>
      <c r="M437" t="inlineStr">
        <is>
          <t>TN</t>
        </is>
      </c>
      <c r="N437" t="inlineStr"/>
      <c r="P437" t="inlineStr">
        <is>
          <t>20220516</t>
        </is>
      </c>
      <c r="Q437" t="inlineStr">
        <is>
          <t>20251031</t>
        </is>
      </c>
    </row>
    <row r="438">
      <c r="A438" t="inlineStr">
        <is>
          <t>900006441DW68D20910000191</t>
        </is>
      </c>
      <c r="B438" t="inlineStr">
        <is>
          <t>900006441</t>
        </is>
      </c>
      <c r="C438" t="inlineStr">
        <is>
          <t>DW68</t>
        </is>
      </c>
      <c r="D438" t="inlineStr">
        <is>
          <t>D209</t>
        </is>
      </c>
      <c r="E438" t="inlineStr">
        <is>
          <t>4</t>
        </is>
      </c>
      <c r="F438" t="inlineStr">
        <is>
          <t>10000191</t>
        </is>
      </c>
      <c r="H438" t="inlineStr"/>
      <c r="J438" t="n">
        <v>117.02</v>
      </c>
      <c r="K438" t="inlineStr"/>
      <c r="M438" t="inlineStr">
        <is>
          <t>TN</t>
        </is>
      </c>
      <c r="N438" t="inlineStr"/>
      <c r="P438" t="inlineStr">
        <is>
          <t>20220516</t>
        </is>
      </c>
      <c r="Q438" t="inlineStr">
        <is>
          <t>20251031</t>
        </is>
      </c>
    </row>
    <row r="439">
      <c r="A439" t="inlineStr">
        <is>
          <t>900006441DW68D21110000191</t>
        </is>
      </c>
      <c r="B439" t="inlineStr">
        <is>
          <t>900006441</t>
        </is>
      </c>
      <c r="C439" t="inlineStr">
        <is>
          <t>DW68</t>
        </is>
      </c>
      <c r="D439" t="inlineStr">
        <is>
          <t>D211</t>
        </is>
      </c>
      <c r="E439" t="inlineStr">
        <is>
          <t>4</t>
        </is>
      </c>
      <c r="F439" t="inlineStr">
        <is>
          <t>10000191</t>
        </is>
      </c>
      <c r="H439" t="inlineStr"/>
      <c r="J439" t="n">
        <v>117.02</v>
      </c>
      <c r="K439" t="inlineStr"/>
      <c r="M439" t="inlineStr">
        <is>
          <t>TN</t>
        </is>
      </c>
      <c r="N439" t="inlineStr"/>
      <c r="P439" t="inlineStr">
        <is>
          <t>20220516</t>
        </is>
      </c>
      <c r="Q439" t="inlineStr">
        <is>
          <t>20251031</t>
        </is>
      </c>
    </row>
    <row r="440">
      <c r="A440" t="inlineStr">
        <is>
          <t>900006441DW68D21410000191</t>
        </is>
      </c>
      <c r="B440" t="inlineStr">
        <is>
          <t>900006441</t>
        </is>
      </c>
      <c r="C440" t="inlineStr">
        <is>
          <t>DW68</t>
        </is>
      </c>
      <c r="D440" t="inlineStr">
        <is>
          <t>D214</t>
        </is>
      </c>
      <c r="E440" t="inlineStr">
        <is>
          <t>4</t>
        </is>
      </c>
      <c r="F440" t="inlineStr">
        <is>
          <t>10000191</t>
        </is>
      </c>
      <c r="H440" t="inlineStr"/>
      <c r="J440" t="n">
        <v>131.21</v>
      </c>
      <c r="K440" t="inlineStr"/>
      <c r="M440" t="inlineStr">
        <is>
          <t>TN</t>
        </is>
      </c>
      <c r="N440" t="inlineStr"/>
      <c r="P440" t="inlineStr">
        <is>
          <t>20220516</t>
        </is>
      </c>
      <c r="Q440" t="inlineStr">
        <is>
          <t>20251031</t>
        </is>
      </c>
    </row>
    <row r="441">
      <c r="A441" t="inlineStr">
        <is>
          <t>900006441DW68D22810000191</t>
        </is>
      </c>
      <c r="B441" t="inlineStr">
        <is>
          <t>900006441</t>
        </is>
      </c>
      <c r="C441" t="inlineStr">
        <is>
          <t>DW68</t>
        </is>
      </c>
      <c r="D441" t="inlineStr">
        <is>
          <t>D228</t>
        </is>
      </c>
      <c r="E441" t="inlineStr">
        <is>
          <t>4</t>
        </is>
      </c>
      <c r="F441" t="inlineStr">
        <is>
          <t>10000191</t>
        </is>
      </c>
      <c r="H441" t="inlineStr"/>
      <c r="J441" t="n">
        <v>88.65000000000001</v>
      </c>
      <c r="K441" t="inlineStr"/>
      <c r="M441" t="inlineStr">
        <is>
          <t>TN</t>
        </is>
      </c>
      <c r="N441" t="inlineStr"/>
      <c r="P441" t="inlineStr">
        <is>
          <t>20220516</t>
        </is>
      </c>
      <c r="Q441" t="inlineStr">
        <is>
          <t>20251031</t>
        </is>
      </c>
    </row>
    <row r="442">
      <c r="A442" t="inlineStr">
        <is>
          <t>900006441DW68D24210000191</t>
        </is>
      </c>
      <c r="B442" t="inlineStr">
        <is>
          <t>900006441</t>
        </is>
      </c>
      <c r="C442" t="inlineStr">
        <is>
          <t>DW68</t>
        </is>
      </c>
      <c r="D442" t="inlineStr">
        <is>
          <t>D242</t>
        </is>
      </c>
      <c r="E442" t="inlineStr">
        <is>
          <t>4</t>
        </is>
      </c>
      <c r="F442" t="inlineStr">
        <is>
          <t>10000191</t>
        </is>
      </c>
      <c r="H442" t="inlineStr"/>
      <c r="J442" t="n">
        <v>124.11</v>
      </c>
      <c r="K442" t="inlineStr"/>
      <c r="M442" t="inlineStr">
        <is>
          <t>TN</t>
        </is>
      </c>
      <c r="N442" t="inlineStr"/>
      <c r="P442" t="inlineStr">
        <is>
          <t>20220516</t>
        </is>
      </c>
      <c r="Q442" t="inlineStr">
        <is>
          <t>20251031</t>
        </is>
      </c>
    </row>
    <row r="443">
      <c r="A443" t="inlineStr">
        <is>
          <t>900006441DW68D25110000191</t>
        </is>
      </c>
      <c r="B443" t="inlineStr">
        <is>
          <t>900006441</t>
        </is>
      </c>
      <c r="C443" t="inlineStr">
        <is>
          <t>DW68</t>
        </is>
      </c>
      <c r="D443" t="inlineStr">
        <is>
          <t>D251</t>
        </is>
      </c>
      <c r="E443" t="inlineStr">
        <is>
          <t>4</t>
        </is>
      </c>
      <c r="F443" t="inlineStr">
        <is>
          <t>10000191</t>
        </is>
      </c>
      <c r="H443" t="inlineStr"/>
      <c r="J443" t="n">
        <v>109.93</v>
      </c>
      <c r="K443" t="inlineStr"/>
      <c r="M443" t="inlineStr">
        <is>
          <t>TN</t>
        </is>
      </c>
      <c r="N443" t="inlineStr"/>
      <c r="P443" t="inlineStr">
        <is>
          <t>20220516</t>
        </is>
      </c>
      <c r="Q443" t="inlineStr">
        <is>
          <t>20251031</t>
        </is>
      </c>
    </row>
    <row r="444">
      <c r="A444" t="inlineStr">
        <is>
          <t>900006441DW68D26410000191</t>
        </is>
      </c>
      <c r="B444" t="inlineStr">
        <is>
          <t>900006441</t>
        </is>
      </c>
      <c r="C444" t="inlineStr">
        <is>
          <t>DW68</t>
        </is>
      </c>
      <c r="D444" t="inlineStr">
        <is>
          <t>D264</t>
        </is>
      </c>
      <c r="E444" t="inlineStr">
        <is>
          <t>4</t>
        </is>
      </c>
      <c r="F444" t="inlineStr">
        <is>
          <t>10000191</t>
        </is>
      </c>
      <c r="H444" t="inlineStr"/>
      <c r="J444" t="n">
        <v>120.57</v>
      </c>
      <c r="K444" t="inlineStr"/>
      <c r="M444" t="inlineStr">
        <is>
          <t>TN</t>
        </is>
      </c>
      <c r="N444" t="inlineStr"/>
      <c r="P444" t="inlineStr">
        <is>
          <t>20220516</t>
        </is>
      </c>
      <c r="Q444" t="inlineStr">
        <is>
          <t>20251031</t>
        </is>
      </c>
    </row>
    <row r="445">
      <c r="A445" t="inlineStr">
        <is>
          <t>900006441DW68D26710000191</t>
        </is>
      </c>
      <c r="B445" t="inlineStr">
        <is>
          <t>900006441</t>
        </is>
      </c>
      <c r="C445" t="inlineStr">
        <is>
          <t>DW68</t>
        </is>
      </c>
      <c r="D445" t="inlineStr">
        <is>
          <t>D267</t>
        </is>
      </c>
      <c r="E445" t="inlineStr">
        <is>
          <t>4</t>
        </is>
      </c>
      <c r="F445" t="inlineStr">
        <is>
          <t>10000191</t>
        </is>
      </c>
      <c r="H445" t="inlineStr"/>
      <c r="J445" t="n">
        <v>138.3</v>
      </c>
      <c r="K445" t="inlineStr"/>
      <c r="M445" t="inlineStr">
        <is>
          <t>TN</t>
        </is>
      </c>
      <c r="N445" t="inlineStr"/>
      <c r="P445" t="inlineStr">
        <is>
          <t>20220516</t>
        </is>
      </c>
      <c r="Q445" t="inlineStr">
        <is>
          <t>20251031</t>
        </is>
      </c>
    </row>
    <row r="446">
      <c r="A446" t="inlineStr">
        <is>
          <t>900007315DW68D04210000200</t>
        </is>
      </c>
      <c r="B446" t="inlineStr">
        <is>
          <t>900007315</t>
        </is>
      </c>
      <c r="C446" t="inlineStr">
        <is>
          <t>DW68</t>
        </is>
      </c>
      <c r="D446" t="inlineStr">
        <is>
          <t>D042</t>
        </is>
      </c>
      <c r="E446" t="inlineStr">
        <is>
          <t>4</t>
        </is>
      </c>
      <c r="F446" t="inlineStr">
        <is>
          <t>10000200</t>
        </is>
      </c>
      <c r="H446" t="inlineStr"/>
      <c r="J446" t="n">
        <v>195.4</v>
      </c>
      <c r="K446" t="inlineStr"/>
      <c r="M446" t="inlineStr">
        <is>
          <t>TN</t>
        </is>
      </c>
      <c r="N446" t="inlineStr"/>
      <c r="P446" t="inlineStr">
        <is>
          <t>20250801</t>
        </is>
      </c>
      <c r="Q446" t="inlineStr">
        <is>
          <t>99991231</t>
        </is>
      </c>
    </row>
    <row r="447">
      <c r="A447" t="inlineStr">
        <is>
          <t>900007315DW68D04210018375</t>
        </is>
      </c>
      <c r="B447" t="inlineStr">
        <is>
          <t>900007315</t>
        </is>
      </c>
      <c r="C447" t="inlineStr">
        <is>
          <t>DW68</t>
        </is>
      </c>
      <c r="D447" t="inlineStr">
        <is>
          <t>D042</t>
        </is>
      </c>
      <c r="E447" t="inlineStr">
        <is>
          <t>4</t>
        </is>
      </c>
      <c r="F447" t="inlineStr">
        <is>
          <t>10018375</t>
        </is>
      </c>
      <c r="H447" t="inlineStr"/>
      <c r="J447" t="n">
        <v>250</v>
      </c>
      <c r="K447" t="inlineStr"/>
      <c r="M447" t="inlineStr">
        <is>
          <t>TN</t>
        </is>
      </c>
      <c r="N447" t="inlineStr"/>
      <c r="P447" t="inlineStr">
        <is>
          <t>20220516</t>
        </is>
      </c>
      <c r="Q447" t="inlineStr">
        <is>
          <t>20250731</t>
        </is>
      </c>
    </row>
    <row r="448">
      <c r="A448" t="inlineStr">
        <is>
          <t>900007315DW68D20910000200</t>
        </is>
      </c>
      <c r="B448" t="inlineStr">
        <is>
          <t>900007315</t>
        </is>
      </c>
      <c r="C448" t="inlineStr">
        <is>
          <t>DW68</t>
        </is>
      </c>
      <c r="D448" t="inlineStr">
        <is>
          <t>D209</t>
        </is>
      </c>
      <c r="E448" t="inlineStr">
        <is>
          <t>4</t>
        </is>
      </c>
      <c r="F448" t="inlineStr">
        <is>
          <t>10000200</t>
        </is>
      </c>
      <c r="H448" t="inlineStr"/>
      <c r="J448" t="n">
        <v>195.4</v>
      </c>
      <c r="K448" t="inlineStr"/>
      <c r="M448" t="inlineStr">
        <is>
          <t>TN</t>
        </is>
      </c>
      <c r="N448" t="inlineStr"/>
      <c r="P448" t="inlineStr">
        <is>
          <t>20250801</t>
        </is>
      </c>
      <c r="Q448" t="inlineStr">
        <is>
          <t>99991231</t>
        </is>
      </c>
    </row>
    <row r="449">
      <c r="A449" t="inlineStr">
        <is>
          <t>900007315DW68D20910018375</t>
        </is>
      </c>
      <c r="B449" t="inlineStr">
        <is>
          <t>900007315</t>
        </is>
      </c>
      <c r="C449" t="inlineStr">
        <is>
          <t>DW68</t>
        </is>
      </c>
      <c r="D449" t="inlineStr">
        <is>
          <t>D209</t>
        </is>
      </c>
      <c r="E449" t="inlineStr">
        <is>
          <t>4</t>
        </is>
      </c>
      <c r="F449" t="inlineStr">
        <is>
          <t>10018375</t>
        </is>
      </c>
      <c r="H449" t="inlineStr"/>
      <c r="J449" t="n">
        <v>272.73</v>
      </c>
      <c r="K449" t="inlineStr"/>
      <c r="M449" t="inlineStr">
        <is>
          <t>TN</t>
        </is>
      </c>
      <c r="N449" t="inlineStr"/>
      <c r="P449" t="inlineStr">
        <is>
          <t>20220516</t>
        </is>
      </c>
      <c r="Q449" t="inlineStr">
        <is>
          <t>20250731</t>
        </is>
      </c>
    </row>
    <row r="450">
      <c r="A450" t="inlineStr">
        <is>
          <t>900007315DW68D21110000200</t>
        </is>
      </c>
      <c r="B450" t="inlineStr">
        <is>
          <t>900007315</t>
        </is>
      </c>
      <c r="C450" t="inlineStr">
        <is>
          <t>DW68</t>
        </is>
      </c>
      <c r="D450" t="inlineStr">
        <is>
          <t>D211</t>
        </is>
      </c>
      <c r="E450" t="inlineStr">
        <is>
          <t>4</t>
        </is>
      </c>
      <c r="F450" t="inlineStr">
        <is>
          <t>10000200</t>
        </is>
      </c>
      <c r="H450" t="inlineStr"/>
      <c r="J450" t="n">
        <v>158.8</v>
      </c>
      <c r="K450" t="inlineStr"/>
      <c r="M450" t="inlineStr">
        <is>
          <t>TN</t>
        </is>
      </c>
      <c r="N450" t="inlineStr"/>
      <c r="P450" t="inlineStr">
        <is>
          <t>20250801</t>
        </is>
      </c>
      <c r="Q450" t="inlineStr">
        <is>
          <t>99991231</t>
        </is>
      </c>
    </row>
    <row r="451">
      <c r="A451" t="inlineStr">
        <is>
          <t>900007315DW68D21110018375</t>
        </is>
      </c>
      <c r="B451" t="inlineStr">
        <is>
          <t>900007315</t>
        </is>
      </c>
      <c r="C451" t="inlineStr">
        <is>
          <t>DW68</t>
        </is>
      </c>
      <c r="D451" t="inlineStr">
        <is>
          <t>D211</t>
        </is>
      </c>
      <c r="E451" t="inlineStr">
        <is>
          <t>4</t>
        </is>
      </c>
      <c r="F451" t="inlineStr">
        <is>
          <t>10018375</t>
        </is>
      </c>
      <c r="H451" t="inlineStr"/>
      <c r="J451" t="n">
        <v>248.48</v>
      </c>
      <c r="K451" t="inlineStr"/>
      <c r="M451" t="inlineStr">
        <is>
          <t>TN</t>
        </is>
      </c>
      <c r="N451" t="inlineStr"/>
      <c r="P451" t="inlineStr">
        <is>
          <t>20220516</t>
        </is>
      </c>
      <c r="Q451" t="inlineStr">
        <is>
          <t>20250731</t>
        </is>
      </c>
    </row>
    <row r="452">
      <c r="A452" t="inlineStr">
        <is>
          <t>900007315DW68D21310000200</t>
        </is>
      </c>
      <c r="B452" t="inlineStr">
        <is>
          <t>900007315</t>
        </is>
      </c>
      <c r="C452" t="inlineStr">
        <is>
          <t>DW68</t>
        </is>
      </c>
      <c r="D452" t="inlineStr">
        <is>
          <t>D213</t>
        </is>
      </c>
      <c r="E452" t="inlineStr">
        <is>
          <t>4</t>
        </is>
      </c>
      <c r="F452" t="inlineStr">
        <is>
          <t>10000200</t>
        </is>
      </c>
      <c r="H452" t="inlineStr"/>
      <c r="J452" t="n">
        <v>305.22</v>
      </c>
      <c r="K452" t="inlineStr"/>
      <c r="M452" t="inlineStr">
        <is>
          <t>TN</t>
        </is>
      </c>
      <c r="N452" t="inlineStr"/>
      <c r="P452" t="inlineStr">
        <is>
          <t>20250801</t>
        </is>
      </c>
      <c r="Q452" t="inlineStr">
        <is>
          <t>99991231</t>
        </is>
      </c>
    </row>
    <row r="453">
      <c r="A453" t="inlineStr">
        <is>
          <t>900007315DW68D21410000200</t>
        </is>
      </c>
      <c r="B453" t="inlineStr">
        <is>
          <t>900007315</t>
        </is>
      </c>
      <c r="C453" t="inlineStr">
        <is>
          <t>DW68</t>
        </is>
      </c>
      <c r="D453" t="inlineStr">
        <is>
          <t>D214</t>
        </is>
      </c>
      <c r="E453" t="inlineStr">
        <is>
          <t>4</t>
        </is>
      </c>
      <c r="F453" t="inlineStr">
        <is>
          <t>10000200</t>
        </is>
      </c>
      <c r="H453" t="inlineStr"/>
      <c r="J453" t="n">
        <v>264.04</v>
      </c>
      <c r="K453" t="inlineStr"/>
      <c r="M453" t="inlineStr">
        <is>
          <t>TN</t>
        </is>
      </c>
      <c r="N453" t="inlineStr"/>
      <c r="P453" t="inlineStr">
        <is>
          <t>20250801</t>
        </is>
      </c>
      <c r="Q453" t="inlineStr">
        <is>
          <t>99991231</t>
        </is>
      </c>
    </row>
    <row r="454">
      <c r="A454" t="inlineStr">
        <is>
          <t>900007315DW68D21410018375</t>
        </is>
      </c>
      <c r="B454" t="inlineStr">
        <is>
          <t>900007315</t>
        </is>
      </c>
      <c r="C454" t="inlineStr">
        <is>
          <t>DW68</t>
        </is>
      </c>
      <c r="D454" t="inlineStr">
        <is>
          <t>D214</t>
        </is>
      </c>
      <c r="E454" t="inlineStr">
        <is>
          <t>4</t>
        </is>
      </c>
      <c r="F454" t="inlineStr">
        <is>
          <t>10018375</t>
        </is>
      </c>
      <c r="H454" t="inlineStr"/>
      <c r="J454" t="n">
        <v>261.36</v>
      </c>
      <c r="K454" t="inlineStr"/>
      <c r="M454" t="inlineStr">
        <is>
          <t>TN</t>
        </is>
      </c>
      <c r="N454" t="inlineStr"/>
      <c r="P454" t="inlineStr">
        <is>
          <t>20220516</t>
        </is>
      </c>
      <c r="Q454" t="inlineStr">
        <is>
          <t>20250731</t>
        </is>
      </c>
    </row>
    <row r="455">
      <c r="A455" t="inlineStr">
        <is>
          <t>900007315DW68D22010000200</t>
        </is>
      </c>
      <c r="B455" t="inlineStr">
        <is>
          <t>900007315</t>
        </is>
      </c>
      <c r="C455" t="inlineStr">
        <is>
          <t>DW68</t>
        </is>
      </c>
      <c r="D455" t="inlineStr">
        <is>
          <t>D220</t>
        </is>
      </c>
      <c r="E455" t="inlineStr">
        <is>
          <t>4</t>
        </is>
      </c>
      <c r="F455" t="inlineStr">
        <is>
          <t>10000200</t>
        </is>
      </c>
      <c r="H455" t="inlineStr"/>
      <c r="J455" t="n">
        <v>338.99</v>
      </c>
      <c r="K455" t="inlineStr"/>
      <c r="M455" t="inlineStr">
        <is>
          <t>TN</t>
        </is>
      </c>
      <c r="N455" t="inlineStr"/>
      <c r="P455" t="inlineStr">
        <is>
          <t>20250801</t>
        </is>
      </c>
      <c r="Q455" t="inlineStr">
        <is>
          <t>99991231</t>
        </is>
      </c>
    </row>
    <row r="456">
      <c r="A456" t="inlineStr">
        <is>
          <t>900007315DW68D22810000200</t>
        </is>
      </c>
      <c r="B456" t="inlineStr">
        <is>
          <t>900007315</t>
        </is>
      </c>
      <c r="C456" t="inlineStr">
        <is>
          <t>DW68</t>
        </is>
      </c>
      <c r="D456" t="inlineStr">
        <is>
          <t>D228</t>
        </is>
      </c>
      <c r="E456" t="inlineStr">
        <is>
          <t>4</t>
        </is>
      </c>
      <c r="F456" t="inlineStr">
        <is>
          <t>10000200</t>
        </is>
      </c>
      <c r="H456" t="inlineStr"/>
      <c r="J456" t="n">
        <v>76.44</v>
      </c>
      <c r="K456" t="inlineStr"/>
      <c r="M456" t="inlineStr">
        <is>
          <t>TN</t>
        </is>
      </c>
      <c r="N456" t="inlineStr"/>
      <c r="P456" t="inlineStr">
        <is>
          <t>20250801</t>
        </is>
      </c>
      <c r="Q456" t="inlineStr">
        <is>
          <t>99991231</t>
        </is>
      </c>
    </row>
    <row r="457">
      <c r="A457" t="inlineStr">
        <is>
          <t>900007315DW68D22810018375</t>
        </is>
      </c>
      <c r="B457" t="inlineStr">
        <is>
          <t>900007315</t>
        </is>
      </c>
      <c r="C457" t="inlineStr">
        <is>
          <t>DW68</t>
        </is>
      </c>
      <c r="D457" t="inlineStr">
        <is>
          <t>D228</t>
        </is>
      </c>
      <c r="E457" t="inlineStr">
        <is>
          <t>4</t>
        </is>
      </c>
      <c r="F457" t="inlineStr">
        <is>
          <t>10018375</t>
        </is>
      </c>
      <c r="H457" t="inlineStr"/>
      <c r="J457" t="n">
        <v>227.27</v>
      </c>
      <c r="K457" t="inlineStr"/>
      <c r="M457" t="inlineStr">
        <is>
          <t>TN</t>
        </is>
      </c>
      <c r="N457" t="inlineStr"/>
      <c r="P457" t="inlineStr">
        <is>
          <t>20220516</t>
        </is>
      </c>
      <c r="Q457" t="inlineStr">
        <is>
          <t>20250731</t>
        </is>
      </c>
    </row>
    <row r="458">
      <c r="A458" t="inlineStr">
        <is>
          <t>900007315DW68D24210000200</t>
        </is>
      </c>
      <c r="B458" t="inlineStr">
        <is>
          <t>900007315</t>
        </is>
      </c>
      <c r="C458" t="inlineStr">
        <is>
          <t>DW68</t>
        </is>
      </c>
      <c r="D458" t="inlineStr">
        <is>
          <t>D242</t>
        </is>
      </c>
      <c r="E458" t="inlineStr">
        <is>
          <t>4</t>
        </is>
      </c>
      <c r="F458" t="inlineStr">
        <is>
          <t>10000200</t>
        </is>
      </c>
      <c r="H458" t="inlineStr"/>
      <c r="J458" t="n">
        <v>195.4</v>
      </c>
      <c r="K458" t="inlineStr"/>
      <c r="M458" t="inlineStr">
        <is>
          <t>TN</t>
        </is>
      </c>
      <c r="N458" t="inlineStr"/>
      <c r="P458" t="inlineStr">
        <is>
          <t>20250801</t>
        </is>
      </c>
      <c r="Q458" t="inlineStr">
        <is>
          <t>99991231</t>
        </is>
      </c>
    </row>
    <row r="459">
      <c r="A459" t="inlineStr">
        <is>
          <t>900007315DW68D24210018375</t>
        </is>
      </c>
      <c r="B459" t="inlineStr">
        <is>
          <t>900007315</t>
        </is>
      </c>
      <c r="C459" t="inlineStr">
        <is>
          <t>DW68</t>
        </is>
      </c>
      <c r="D459" t="inlineStr">
        <is>
          <t>D242</t>
        </is>
      </c>
      <c r="E459" t="inlineStr">
        <is>
          <t>4</t>
        </is>
      </c>
      <c r="F459" t="inlineStr">
        <is>
          <t>10018375</t>
        </is>
      </c>
      <c r="H459" t="inlineStr"/>
      <c r="J459" t="n">
        <v>252.27</v>
      </c>
      <c r="K459" t="inlineStr"/>
      <c r="M459" t="inlineStr">
        <is>
          <t>TN</t>
        </is>
      </c>
      <c r="N459" t="inlineStr"/>
      <c r="P459" t="inlineStr">
        <is>
          <t>20220516</t>
        </is>
      </c>
      <c r="Q459" t="inlineStr">
        <is>
          <t>20250731</t>
        </is>
      </c>
    </row>
    <row r="460">
      <c r="A460" t="inlineStr">
        <is>
          <t>900007315DW68D24710000200</t>
        </is>
      </c>
      <c r="B460" t="inlineStr">
        <is>
          <t>900007315</t>
        </is>
      </c>
      <c r="C460" t="inlineStr">
        <is>
          <t>DW68</t>
        </is>
      </c>
      <c r="D460" t="inlineStr">
        <is>
          <t>D247</t>
        </is>
      </c>
      <c r="E460" t="inlineStr">
        <is>
          <t>4</t>
        </is>
      </c>
      <c r="F460" t="inlineStr">
        <is>
          <t>10000200</t>
        </is>
      </c>
      <c r="H460" t="inlineStr"/>
      <c r="J460" t="n">
        <v>264.04</v>
      </c>
      <c r="K460" t="inlineStr"/>
      <c r="M460" t="inlineStr">
        <is>
          <t>TN</t>
        </is>
      </c>
      <c r="N460" t="inlineStr"/>
      <c r="P460" t="inlineStr">
        <is>
          <t>20250801</t>
        </is>
      </c>
      <c r="Q460" t="inlineStr">
        <is>
          <t>99991231</t>
        </is>
      </c>
    </row>
    <row r="461">
      <c r="A461" t="inlineStr">
        <is>
          <t>900007315DW68D24710018375</t>
        </is>
      </c>
      <c r="B461" t="inlineStr">
        <is>
          <t>900007315</t>
        </is>
      </c>
      <c r="C461" t="inlineStr">
        <is>
          <t>DW68</t>
        </is>
      </c>
      <c r="D461" t="inlineStr">
        <is>
          <t>D247</t>
        </is>
      </c>
      <c r="E461" t="inlineStr">
        <is>
          <t>4</t>
        </is>
      </c>
      <c r="F461" t="inlineStr">
        <is>
          <t>10018375</t>
        </is>
      </c>
      <c r="H461" t="inlineStr"/>
      <c r="J461" t="n">
        <v>301.52</v>
      </c>
      <c r="K461" t="inlineStr"/>
      <c r="M461" t="inlineStr">
        <is>
          <t>TN</t>
        </is>
      </c>
      <c r="N461" t="inlineStr"/>
      <c r="P461" t="inlineStr">
        <is>
          <t>20220516</t>
        </is>
      </c>
      <c r="Q461" t="inlineStr">
        <is>
          <t>20250731</t>
        </is>
      </c>
    </row>
    <row r="462">
      <c r="A462" t="inlineStr">
        <is>
          <t>900007315DW68D26410000200</t>
        </is>
      </c>
      <c r="B462" t="inlineStr">
        <is>
          <t>900007315</t>
        </is>
      </c>
      <c r="C462" t="inlineStr">
        <is>
          <t>DW68</t>
        </is>
      </c>
      <c r="D462" t="inlineStr">
        <is>
          <t>D264</t>
        </is>
      </c>
      <c r="E462" t="inlineStr">
        <is>
          <t>4</t>
        </is>
      </c>
      <c r="F462" t="inlineStr">
        <is>
          <t>10000200</t>
        </is>
      </c>
      <c r="H462" t="inlineStr"/>
      <c r="J462" t="n">
        <v>174.05</v>
      </c>
      <c r="K462" t="inlineStr"/>
      <c r="M462" t="inlineStr">
        <is>
          <t>TN</t>
        </is>
      </c>
      <c r="N462" t="inlineStr"/>
      <c r="P462" t="inlineStr">
        <is>
          <t>20250801</t>
        </is>
      </c>
      <c r="Q462" t="inlineStr">
        <is>
          <t>99991231</t>
        </is>
      </c>
    </row>
    <row r="463">
      <c r="A463" t="inlineStr">
        <is>
          <t>900007315DW68D26410018375</t>
        </is>
      </c>
      <c r="B463" t="inlineStr">
        <is>
          <t>900007315</t>
        </is>
      </c>
      <c r="C463" t="inlineStr">
        <is>
          <t>DW68</t>
        </is>
      </c>
      <c r="D463" t="inlineStr">
        <is>
          <t>D264</t>
        </is>
      </c>
      <c r="E463" t="inlineStr">
        <is>
          <t>4</t>
        </is>
      </c>
      <c r="F463" t="inlineStr">
        <is>
          <t>10018375</t>
        </is>
      </c>
      <c r="H463" t="inlineStr"/>
      <c r="J463" t="n">
        <v>248.48</v>
      </c>
      <c r="K463" t="inlineStr"/>
      <c r="M463" t="inlineStr">
        <is>
          <t>TN</t>
        </is>
      </c>
      <c r="N463" t="inlineStr"/>
      <c r="P463" t="inlineStr">
        <is>
          <t>20220516</t>
        </is>
      </c>
      <c r="Q463" t="inlineStr">
        <is>
          <t>20250731</t>
        </is>
      </c>
    </row>
    <row r="464">
      <c r="A464" t="inlineStr">
        <is>
          <t>900007315DW68D26710000200</t>
        </is>
      </c>
      <c r="B464" t="inlineStr">
        <is>
          <t>900007315</t>
        </is>
      </c>
      <c r="C464" t="inlineStr">
        <is>
          <t>DW68</t>
        </is>
      </c>
      <c r="D464" t="inlineStr">
        <is>
          <t>D267</t>
        </is>
      </c>
      <c r="E464" t="inlineStr">
        <is>
          <t>4</t>
        </is>
      </c>
      <c r="F464" t="inlineStr">
        <is>
          <t>10000200</t>
        </is>
      </c>
      <c r="H464" t="inlineStr"/>
      <c r="J464" t="n">
        <v>267.08</v>
      </c>
      <c r="K464" t="inlineStr"/>
      <c r="M464" t="inlineStr">
        <is>
          <t>TN</t>
        </is>
      </c>
      <c r="N464" t="inlineStr"/>
      <c r="P464" t="inlineStr">
        <is>
          <t>20250801</t>
        </is>
      </c>
      <c r="Q464" t="inlineStr">
        <is>
          <t>99991231</t>
        </is>
      </c>
    </row>
    <row r="465">
      <c r="A465" t="inlineStr">
        <is>
          <t>900007315DW68D26710018375</t>
        </is>
      </c>
      <c r="B465" t="inlineStr">
        <is>
          <t>900007315</t>
        </is>
      </c>
      <c r="C465" t="inlineStr">
        <is>
          <t>DW68</t>
        </is>
      </c>
      <c r="D465" t="inlineStr">
        <is>
          <t>D267</t>
        </is>
      </c>
      <c r="E465" t="inlineStr">
        <is>
          <t>4</t>
        </is>
      </c>
      <c r="F465" t="inlineStr">
        <is>
          <t>10018375</t>
        </is>
      </c>
      <c r="H465" t="inlineStr"/>
      <c r="J465" t="n">
        <v>272.73</v>
      </c>
      <c r="K465" t="inlineStr"/>
      <c r="M465" t="inlineStr">
        <is>
          <t>TN</t>
        </is>
      </c>
      <c r="N465" t="inlineStr"/>
      <c r="P465" t="inlineStr">
        <is>
          <t>20220516</t>
        </is>
      </c>
      <c r="Q465" t="inlineStr">
        <is>
          <t>20250731</t>
        </is>
      </c>
    </row>
    <row r="466">
      <c r="A466" t="inlineStr">
        <is>
          <t>900007515DW68D26810000191</t>
        </is>
      </c>
      <c r="B466" t="inlineStr">
        <is>
          <t>900007515</t>
        </is>
      </c>
      <c r="C466" t="inlineStr">
        <is>
          <t>DW68</t>
        </is>
      </c>
      <c r="D466" t="inlineStr">
        <is>
          <t>D268</t>
        </is>
      </c>
      <c r="E466" t="inlineStr">
        <is>
          <t>4</t>
        </is>
      </c>
      <c r="F466" t="inlineStr">
        <is>
          <t>10000191</t>
        </is>
      </c>
      <c r="H466" t="inlineStr"/>
      <c r="J466" t="n">
        <v>100.8</v>
      </c>
      <c r="K466" t="inlineStr"/>
      <c r="M466" t="inlineStr">
        <is>
          <t>TN</t>
        </is>
      </c>
      <c r="N466" t="inlineStr"/>
      <c r="P466" t="inlineStr">
        <is>
          <t>20220516</t>
        </is>
      </c>
      <c r="Q466" t="inlineStr">
        <is>
          <t>20251031</t>
        </is>
      </c>
    </row>
    <row r="467">
      <c r="A467" t="inlineStr">
        <is>
          <t>900007515DW68D26810000384</t>
        </is>
      </c>
      <c r="B467" t="inlineStr">
        <is>
          <t>900007515</t>
        </is>
      </c>
      <c r="C467" t="inlineStr">
        <is>
          <t>DW68</t>
        </is>
      </c>
      <c r="D467" t="inlineStr">
        <is>
          <t>D268</t>
        </is>
      </c>
      <c r="E467" t="inlineStr">
        <is>
          <t>4</t>
        </is>
      </c>
      <c r="F467" t="inlineStr">
        <is>
          <t>10000384</t>
        </is>
      </c>
      <c r="H467" t="inlineStr"/>
      <c r="J467" t="n">
        <v>100.8</v>
      </c>
      <c r="K467" t="inlineStr"/>
      <c r="M467" t="inlineStr">
        <is>
          <t>TN</t>
        </is>
      </c>
      <c r="N467" t="inlineStr"/>
      <c r="P467" t="inlineStr">
        <is>
          <t>20220516</t>
        </is>
      </c>
      <c r="Q467" t="inlineStr">
        <is>
          <t>20251031</t>
        </is>
      </c>
    </row>
    <row r="468">
      <c r="A468" t="inlineStr">
        <is>
          <t>900007515DW68D26810000388</t>
        </is>
      </c>
      <c r="B468" t="inlineStr">
        <is>
          <t>900007515</t>
        </is>
      </c>
      <c r="C468" t="inlineStr">
        <is>
          <t>DW68</t>
        </is>
      </c>
      <c r="D468" t="inlineStr">
        <is>
          <t>D268</t>
        </is>
      </c>
      <c r="E468" t="inlineStr">
        <is>
          <t>4</t>
        </is>
      </c>
      <c r="F468" t="inlineStr">
        <is>
          <t>10000388</t>
        </is>
      </c>
      <c r="H468" t="inlineStr"/>
      <c r="J468" t="n">
        <v>58.21</v>
      </c>
      <c r="K468" t="inlineStr"/>
      <c r="M468" t="inlineStr">
        <is>
          <t>TN</t>
        </is>
      </c>
      <c r="N468" t="inlineStr"/>
      <c r="P468" t="inlineStr">
        <is>
          <t>20220516</t>
        </is>
      </c>
      <c r="Q468" t="inlineStr">
        <is>
          <t>20251031</t>
        </is>
      </c>
    </row>
    <row r="469">
      <c r="A469" t="inlineStr">
        <is>
          <t>900007515DW68D26810004258</t>
        </is>
      </c>
      <c r="B469" t="inlineStr">
        <is>
          <t>900007515</t>
        </is>
      </c>
      <c r="C469" t="inlineStr">
        <is>
          <t>DW68</t>
        </is>
      </c>
      <c r="D469" t="inlineStr">
        <is>
          <t>D268</t>
        </is>
      </c>
      <c r="E469" t="inlineStr">
        <is>
          <t>4</t>
        </is>
      </c>
      <c r="F469" t="inlineStr">
        <is>
          <t>10004258</t>
        </is>
      </c>
      <c r="H469" t="inlineStr"/>
      <c r="J469" t="n">
        <v>100.8</v>
      </c>
      <c r="K469" t="inlineStr"/>
      <c r="M469" t="inlineStr">
        <is>
          <t>TN</t>
        </is>
      </c>
      <c r="N469" t="inlineStr"/>
      <c r="P469" t="inlineStr">
        <is>
          <t>20220516</t>
        </is>
      </c>
      <c r="Q469" t="inlineStr">
        <is>
          <t>20251031</t>
        </is>
      </c>
    </row>
    <row r="470">
      <c r="A470" t="inlineStr">
        <is>
          <t>900007868DW68D04210000191</t>
        </is>
      </c>
      <c r="B470" t="inlineStr">
        <is>
          <t>900007868</t>
        </is>
      </c>
      <c r="C470" t="inlineStr">
        <is>
          <t>DW68</t>
        </is>
      </c>
      <c r="D470" t="inlineStr">
        <is>
          <t>D042</t>
        </is>
      </c>
      <c r="E470" t="inlineStr">
        <is>
          <t>1</t>
        </is>
      </c>
      <c r="F470" t="inlineStr">
        <is>
          <t>10000191</t>
        </is>
      </c>
      <c r="H470" t="inlineStr"/>
      <c r="J470" t="n">
        <v>124.97</v>
      </c>
      <c r="K470" t="inlineStr"/>
      <c r="M470" t="inlineStr">
        <is>
          <t>TN</t>
        </is>
      </c>
      <c r="N470" t="inlineStr"/>
      <c r="P470" t="inlineStr">
        <is>
          <t>20221207</t>
        </is>
      </c>
      <c r="Q470" t="inlineStr">
        <is>
          <t>99991231</t>
        </is>
      </c>
    </row>
    <row r="471">
      <c r="A471" t="inlineStr">
        <is>
          <t>900007868DW68D04210000384</t>
        </is>
      </c>
      <c r="B471" t="inlineStr">
        <is>
          <t>900007868</t>
        </is>
      </c>
      <c r="C471" t="inlineStr">
        <is>
          <t>DW68</t>
        </is>
      </c>
      <c r="D471" t="inlineStr">
        <is>
          <t>D042</t>
        </is>
      </c>
      <c r="E471" t="inlineStr">
        <is>
          <t>1</t>
        </is>
      </c>
      <c r="F471" t="inlineStr">
        <is>
          <t>10000384</t>
        </is>
      </c>
      <c r="H471" t="inlineStr"/>
      <c r="J471" t="n">
        <v>124.97</v>
      </c>
      <c r="K471" t="inlineStr"/>
      <c r="M471" t="inlineStr">
        <is>
          <t>TN</t>
        </is>
      </c>
      <c r="N471" t="inlineStr"/>
      <c r="P471" t="inlineStr">
        <is>
          <t>20221207</t>
        </is>
      </c>
      <c r="Q471" t="inlineStr">
        <is>
          <t>99991231</t>
        </is>
      </c>
    </row>
    <row r="472">
      <c r="A472" t="inlineStr">
        <is>
          <t>900007868DW68D04210000388</t>
        </is>
      </c>
      <c r="B472" t="inlineStr">
        <is>
          <t>900007868</t>
        </is>
      </c>
      <c r="C472" t="inlineStr">
        <is>
          <t>DW68</t>
        </is>
      </c>
      <c r="D472" t="inlineStr">
        <is>
          <t>D042</t>
        </is>
      </c>
      <c r="E472" t="inlineStr">
        <is>
          <t>1</t>
        </is>
      </c>
      <c r="F472" t="inlineStr">
        <is>
          <t>10000388</t>
        </is>
      </c>
      <c r="H472" t="inlineStr"/>
      <c r="J472" t="n">
        <v>124.97</v>
      </c>
      <c r="K472" t="inlineStr"/>
      <c r="M472" t="inlineStr">
        <is>
          <t>TN</t>
        </is>
      </c>
      <c r="N472" t="inlineStr"/>
      <c r="P472" t="inlineStr">
        <is>
          <t>20221207</t>
        </is>
      </c>
      <c r="Q472" t="inlineStr">
        <is>
          <t>99991231</t>
        </is>
      </c>
    </row>
    <row r="473">
      <c r="A473" t="inlineStr">
        <is>
          <t>900007868DW68D04210004258</t>
        </is>
      </c>
      <c r="B473" t="inlineStr">
        <is>
          <t>900007868</t>
        </is>
      </c>
      <c r="C473" t="inlineStr">
        <is>
          <t>DW68</t>
        </is>
      </c>
      <c r="D473" t="inlineStr">
        <is>
          <t>D042</t>
        </is>
      </c>
      <c r="E473" t="inlineStr">
        <is>
          <t>1</t>
        </is>
      </c>
      <c r="F473" t="inlineStr">
        <is>
          <t>10004258</t>
        </is>
      </c>
      <c r="H473" t="inlineStr"/>
      <c r="J473" t="n">
        <v>124.97</v>
      </c>
      <c r="K473" t="inlineStr"/>
      <c r="M473" t="inlineStr">
        <is>
          <t>TN</t>
        </is>
      </c>
      <c r="N473" t="inlineStr"/>
      <c r="P473" t="inlineStr">
        <is>
          <t>20221207</t>
        </is>
      </c>
      <c r="Q473" t="inlineStr">
        <is>
          <t>99991231</t>
        </is>
      </c>
    </row>
    <row r="474">
      <c r="A474" t="inlineStr">
        <is>
          <t>900007868DW68D20910000191</t>
        </is>
      </c>
      <c r="B474" t="inlineStr">
        <is>
          <t>900007868</t>
        </is>
      </c>
      <c r="C474" t="inlineStr">
        <is>
          <t>DW68</t>
        </is>
      </c>
      <c r="D474" t="inlineStr">
        <is>
          <t>D209</t>
        </is>
      </c>
      <c r="E474" t="inlineStr">
        <is>
          <t>1</t>
        </is>
      </c>
      <c r="F474" t="inlineStr">
        <is>
          <t>10000191</t>
        </is>
      </c>
      <c r="H474" t="inlineStr"/>
      <c r="J474" t="n">
        <v>151.82</v>
      </c>
      <c r="K474" t="inlineStr"/>
      <c r="M474" t="inlineStr">
        <is>
          <t>TN</t>
        </is>
      </c>
      <c r="N474" t="inlineStr"/>
      <c r="P474" t="inlineStr">
        <is>
          <t>20221207</t>
        </is>
      </c>
      <c r="Q474" t="inlineStr">
        <is>
          <t>99991231</t>
        </is>
      </c>
    </row>
    <row r="475">
      <c r="A475" t="inlineStr">
        <is>
          <t>900007868DW68D20910000384</t>
        </is>
      </c>
      <c r="B475" t="inlineStr">
        <is>
          <t>900007868</t>
        </is>
      </c>
      <c r="C475" t="inlineStr">
        <is>
          <t>DW68</t>
        </is>
      </c>
      <c r="D475" t="inlineStr">
        <is>
          <t>D209</t>
        </is>
      </c>
      <c r="E475" t="inlineStr">
        <is>
          <t>1</t>
        </is>
      </c>
      <c r="F475" t="inlineStr">
        <is>
          <t>10000384</t>
        </is>
      </c>
      <c r="H475" t="inlineStr"/>
      <c r="J475" t="n">
        <v>151.82</v>
      </c>
      <c r="K475" t="inlineStr"/>
      <c r="M475" t="inlineStr">
        <is>
          <t>TN</t>
        </is>
      </c>
      <c r="N475" t="inlineStr"/>
      <c r="P475" t="inlineStr">
        <is>
          <t>20221207</t>
        </is>
      </c>
      <c r="Q475" t="inlineStr">
        <is>
          <t>99991231</t>
        </is>
      </c>
    </row>
    <row r="476">
      <c r="A476" t="inlineStr">
        <is>
          <t>900007868DW68D20910000388</t>
        </is>
      </c>
      <c r="B476" t="inlineStr">
        <is>
          <t>900007868</t>
        </is>
      </c>
      <c r="C476" t="inlineStr">
        <is>
          <t>DW68</t>
        </is>
      </c>
      <c r="D476" t="inlineStr">
        <is>
          <t>D209</t>
        </is>
      </c>
      <c r="E476" t="inlineStr">
        <is>
          <t>1</t>
        </is>
      </c>
      <c r="F476" t="inlineStr">
        <is>
          <t>10000388</t>
        </is>
      </c>
      <c r="H476" t="inlineStr"/>
      <c r="J476" t="n">
        <v>151.82</v>
      </c>
      <c r="K476" t="inlineStr"/>
      <c r="M476" t="inlineStr">
        <is>
          <t>TN</t>
        </is>
      </c>
      <c r="N476" t="inlineStr"/>
      <c r="P476" t="inlineStr">
        <is>
          <t>20221207</t>
        </is>
      </c>
      <c r="Q476" t="inlineStr">
        <is>
          <t>99991231</t>
        </is>
      </c>
    </row>
    <row r="477">
      <c r="A477" t="inlineStr">
        <is>
          <t>900007868DW68D20910004258</t>
        </is>
      </c>
      <c r="B477" t="inlineStr">
        <is>
          <t>900007868</t>
        </is>
      </c>
      <c r="C477" t="inlineStr">
        <is>
          <t>DW68</t>
        </is>
      </c>
      <c r="D477" t="inlineStr">
        <is>
          <t>D209</t>
        </is>
      </c>
      <c r="E477" t="inlineStr">
        <is>
          <t>1</t>
        </is>
      </c>
      <c r="F477" t="inlineStr">
        <is>
          <t>10004258</t>
        </is>
      </c>
      <c r="H477" t="inlineStr"/>
      <c r="J477" t="n">
        <v>151.82</v>
      </c>
      <c r="K477" t="inlineStr"/>
      <c r="M477" t="inlineStr">
        <is>
          <t>TN</t>
        </is>
      </c>
      <c r="N477" t="inlineStr"/>
      <c r="P477" t="inlineStr">
        <is>
          <t>20221207</t>
        </is>
      </c>
      <c r="Q477" t="inlineStr">
        <is>
          <t>99991231</t>
        </is>
      </c>
    </row>
    <row r="478">
      <c r="A478" t="inlineStr">
        <is>
          <t>900007868DW68D21110000191</t>
        </is>
      </c>
      <c r="B478" t="inlineStr">
        <is>
          <t>900007868</t>
        </is>
      </c>
      <c r="C478" t="inlineStr">
        <is>
          <t>DW68</t>
        </is>
      </c>
      <c r="D478" t="inlineStr">
        <is>
          <t>D211</t>
        </is>
      </c>
      <c r="E478" t="inlineStr">
        <is>
          <t>1</t>
        </is>
      </c>
      <c r="F478" t="inlineStr">
        <is>
          <t>10000191</t>
        </is>
      </c>
      <c r="H478" t="inlineStr"/>
      <c r="J478" t="n">
        <v>146.5</v>
      </c>
      <c r="K478" t="inlineStr"/>
      <c r="M478" t="inlineStr">
        <is>
          <t>TN</t>
        </is>
      </c>
      <c r="N478" t="inlineStr"/>
      <c r="P478" t="inlineStr">
        <is>
          <t>20221207</t>
        </is>
      </c>
      <c r="Q478" t="inlineStr">
        <is>
          <t>99991231</t>
        </is>
      </c>
    </row>
    <row r="479">
      <c r="A479" t="inlineStr">
        <is>
          <t>900007868DW68D21110000384</t>
        </is>
      </c>
      <c r="B479" t="inlineStr">
        <is>
          <t>900007868</t>
        </is>
      </c>
      <c r="C479" t="inlineStr">
        <is>
          <t>DW68</t>
        </is>
      </c>
      <c r="D479" t="inlineStr">
        <is>
          <t>D211</t>
        </is>
      </c>
      <c r="E479" t="inlineStr">
        <is>
          <t>1</t>
        </is>
      </c>
      <c r="F479" t="inlineStr">
        <is>
          <t>10000384</t>
        </is>
      </c>
      <c r="H479" t="inlineStr"/>
      <c r="J479" t="n">
        <v>146.5</v>
      </c>
      <c r="K479" t="inlineStr"/>
      <c r="M479" t="inlineStr">
        <is>
          <t>TN</t>
        </is>
      </c>
      <c r="N479" t="inlineStr"/>
      <c r="P479" t="inlineStr">
        <is>
          <t>20221207</t>
        </is>
      </c>
      <c r="Q479" t="inlineStr">
        <is>
          <t>99991231</t>
        </is>
      </c>
    </row>
    <row r="480">
      <c r="A480" t="inlineStr">
        <is>
          <t>900007868DW68D21110000388</t>
        </is>
      </c>
      <c r="B480" t="inlineStr">
        <is>
          <t>900007868</t>
        </is>
      </c>
      <c r="C480" t="inlineStr">
        <is>
          <t>DW68</t>
        </is>
      </c>
      <c r="D480" t="inlineStr">
        <is>
          <t>D211</t>
        </is>
      </c>
      <c r="E480" t="inlineStr">
        <is>
          <t>1</t>
        </is>
      </c>
      <c r="F480" t="inlineStr">
        <is>
          <t>10000388</t>
        </is>
      </c>
      <c r="H480" t="inlineStr"/>
      <c r="J480" t="n">
        <v>146.5</v>
      </c>
      <c r="K480" t="inlineStr"/>
      <c r="M480" t="inlineStr">
        <is>
          <t>TN</t>
        </is>
      </c>
      <c r="N480" t="inlineStr"/>
      <c r="P480" t="inlineStr">
        <is>
          <t>20221207</t>
        </is>
      </c>
      <c r="Q480" t="inlineStr">
        <is>
          <t>99991231</t>
        </is>
      </c>
    </row>
    <row r="481">
      <c r="A481" t="inlineStr">
        <is>
          <t>900007868DW68D21110004258</t>
        </is>
      </c>
      <c r="B481" t="inlineStr">
        <is>
          <t>900007868</t>
        </is>
      </c>
      <c r="C481" t="inlineStr">
        <is>
          <t>DW68</t>
        </is>
      </c>
      <c r="D481" t="inlineStr">
        <is>
          <t>D211</t>
        </is>
      </c>
      <c r="E481" t="inlineStr">
        <is>
          <t>1</t>
        </is>
      </c>
      <c r="F481" t="inlineStr">
        <is>
          <t>10004258</t>
        </is>
      </c>
      <c r="H481" t="inlineStr"/>
      <c r="J481" t="n">
        <v>146.5</v>
      </c>
      <c r="K481" t="inlineStr"/>
      <c r="M481" t="inlineStr">
        <is>
          <t>TN</t>
        </is>
      </c>
      <c r="N481" t="inlineStr"/>
      <c r="P481" t="inlineStr">
        <is>
          <t>20221207</t>
        </is>
      </c>
      <c r="Q481" t="inlineStr">
        <is>
          <t>99991231</t>
        </is>
      </c>
    </row>
    <row r="482">
      <c r="A482" t="inlineStr">
        <is>
          <t>900007868DW68D22810000191</t>
        </is>
      </c>
      <c r="B482" t="inlineStr">
        <is>
          <t>900007868</t>
        </is>
      </c>
      <c r="C482" t="inlineStr">
        <is>
          <t>DW68</t>
        </is>
      </c>
      <c r="D482" t="inlineStr">
        <is>
          <t>D228</t>
        </is>
      </c>
      <c r="E482" t="inlineStr">
        <is>
          <t>1</t>
        </is>
      </c>
      <c r="F482" t="inlineStr">
        <is>
          <t>10000191</t>
        </is>
      </c>
      <c r="H482" t="inlineStr"/>
      <c r="J482" t="n">
        <v>65.39</v>
      </c>
      <c r="K482" t="inlineStr"/>
      <c r="M482" t="inlineStr">
        <is>
          <t>TN</t>
        </is>
      </c>
      <c r="N482" t="inlineStr"/>
      <c r="P482" t="inlineStr">
        <is>
          <t>20221207</t>
        </is>
      </c>
      <c r="Q482" t="inlineStr">
        <is>
          <t>99991231</t>
        </is>
      </c>
    </row>
    <row r="483">
      <c r="A483" t="inlineStr">
        <is>
          <t>900007868DW68D22810000384</t>
        </is>
      </c>
      <c r="B483" t="inlineStr">
        <is>
          <t>900007868</t>
        </is>
      </c>
      <c r="C483" t="inlineStr">
        <is>
          <t>DW68</t>
        </is>
      </c>
      <c r="D483" t="inlineStr">
        <is>
          <t>D228</t>
        </is>
      </c>
      <c r="E483" t="inlineStr">
        <is>
          <t>1</t>
        </is>
      </c>
      <c r="F483" t="inlineStr">
        <is>
          <t>10000384</t>
        </is>
      </c>
      <c r="H483" t="inlineStr"/>
      <c r="J483" t="n">
        <v>65.39</v>
      </c>
      <c r="K483" t="inlineStr"/>
      <c r="M483" t="inlineStr">
        <is>
          <t>TN</t>
        </is>
      </c>
      <c r="N483" t="inlineStr"/>
      <c r="P483" t="inlineStr">
        <is>
          <t>20221207</t>
        </is>
      </c>
      <c r="Q483" t="inlineStr">
        <is>
          <t>99991231</t>
        </is>
      </c>
    </row>
    <row r="484">
      <c r="A484" t="inlineStr">
        <is>
          <t>900007868DW68D22810000388</t>
        </is>
      </c>
      <c r="B484" t="inlineStr">
        <is>
          <t>900007868</t>
        </is>
      </c>
      <c r="C484" t="inlineStr">
        <is>
          <t>DW68</t>
        </is>
      </c>
      <c r="D484" t="inlineStr">
        <is>
          <t>D228</t>
        </is>
      </c>
      <c r="E484" t="inlineStr">
        <is>
          <t>1</t>
        </is>
      </c>
      <c r="F484" t="inlineStr">
        <is>
          <t>10000388</t>
        </is>
      </c>
      <c r="H484" t="inlineStr"/>
      <c r="J484" t="n">
        <v>50.55</v>
      </c>
      <c r="K484" t="inlineStr"/>
      <c r="M484" t="inlineStr">
        <is>
          <t>TN</t>
        </is>
      </c>
      <c r="N484" t="inlineStr"/>
      <c r="P484" t="inlineStr">
        <is>
          <t>20250530</t>
        </is>
      </c>
      <c r="Q484" t="inlineStr">
        <is>
          <t>99991231</t>
        </is>
      </c>
    </row>
    <row r="485">
      <c r="A485" t="inlineStr">
        <is>
          <t>900007868DW68D22810004258</t>
        </is>
      </c>
      <c r="B485" t="inlineStr">
        <is>
          <t>900007868</t>
        </is>
      </c>
      <c r="C485" t="inlineStr">
        <is>
          <t>DW68</t>
        </is>
      </c>
      <c r="D485" t="inlineStr">
        <is>
          <t>D228</t>
        </is>
      </c>
      <c r="E485" t="inlineStr">
        <is>
          <t>1</t>
        </is>
      </c>
      <c r="F485" t="inlineStr">
        <is>
          <t>10004258</t>
        </is>
      </c>
      <c r="H485" t="inlineStr"/>
      <c r="J485" t="n">
        <v>65.39</v>
      </c>
      <c r="K485" t="inlineStr"/>
      <c r="M485" t="inlineStr">
        <is>
          <t>TN</t>
        </is>
      </c>
      <c r="N485" t="inlineStr"/>
      <c r="P485" t="inlineStr">
        <is>
          <t>20221207</t>
        </is>
      </c>
      <c r="Q485" t="inlineStr">
        <is>
          <t>99991231</t>
        </is>
      </c>
    </row>
    <row r="486">
      <c r="A486" t="inlineStr">
        <is>
          <t>900007868DW68D24210000191</t>
        </is>
      </c>
      <c r="B486" t="inlineStr">
        <is>
          <t>900007868</t>
        </is>
      </c>
      <c r="C486" t="inlineStr">
        <is>
          <t>DW68</t>
        </is>
      </c>
      <c r="D486" t="inlineStr">
        <is>
          <t>D242</t>
        </is>
      </c>
      <c r="E486" t="inlineStr">
        <is>
          <t>1</t>
        </is>
      </c>
      <c r="F486" t="inlineStr">
        <is>
          <t>10000191</t>
        </is>
      </c>
      <c r="H486" t="inlineStr"/>
      <c r="J486" t="n">
        <v>124.97</v>
      </c>
      <c r="K486" t="inlineStr"/>
      <c r="M486" t="inlineStr">
        <is>
          <t>TN</t>
        </is>
      </c>
      <c r="N486" t="inlineStr"/>
      <c r="P486" t="inlineStr">
        <is>
          <t>20221207</t>
        </is>
      </c>
      <c r="Q486" t="inlineStr">
        <is>
          <t>99991231</t>
        </is>
      </c>
    </row>
    <row r="487">
      <c r="A487" t="inlineStr">
        <is>
          <t>900007868DW68D24210000384</t>
        </is>
      </c>
      <c r="B487" t="inlineStr">
        <is>
          <t>900007868</t>
        </is>
      </c>
      <c r="C487" t="inlineStr">
        <is>
          <t>DW68</t>
        </is>
      </c>
      <c r="D487" t="inlineStr">
        <is>
          <t>D242</t>
        </is>
      </c>
      <c r="E487" t="inlineStr">
        <is>
          <t>1</t>
        </is>
      </c>
      <c r="F487" t="inlineStr">
        <is>
          <t>10000384</t>
        </is>
      </c>
      <c r="H487" t="inlineStr"/>
      <c r="J487" t="n">
        <v>124.97</v>
      </c>
      <c r="K487" t="inlineStr"/>
      <c r="M487" t="inlineStr">
        <is>
          <t>TN</t>
        </is>
      </c>
      <c r="N487" t="inlineStr"/>
      <c r="P487" t="inlineStr">
        <is>
          <t>20221207</t>
        </is>
      </c>
      <c r="Q487" t="inlineStr">
        <is>
          <t>99991231</t>
        </is>
      </c>
    </row>
    <row r="488">
      <c r="A488" t="inlineStr">
        <is>
          <t>900007868DW68D24210000388</t>
        </is>
      </c>
      <c r="B488" t="inlineStr">
        <is>
          <t>900007868</t>
        </is>
      </c>
      <c r="C488" t="inlineStr">
        <is>
          <t>DW68</t>
        </is>
      </c>
      <c r="D488" t="inlineStr">
        <is>
          <t>D242</t>
        </is>
      </c>
      <c r="E488" t="inlineStr">
        <is>
          <t>1</t>
        </is>
      </c>
      <c r="F488" t="inlineStr">
        <is>
          <t>10000388</t>
        </is>
      </c>
      <c r="H488" t="inlineStr"/>
      <c r="J488" t="n">
        <v>124.97</v>
      </c>
      <c r="K488" t="inlineStr"/>
      <c r="M488" t="inlineStr">
        <is>
          <t>TN</t>
        </is>
      </c>
      <c r="N488" t="inlineStr"/>
      <c r="P488" t="inlineStr">
        <is>
          <t>20221207</t>
        </is>
      </c>
      <c r="Q488" t="inlineStr">
        <is>
          <t>99991231</t>
        </is>
      </c>
    </row>
    <row r="489">
      <c r="A489" t="inlineStr">
        <is>
          <t>900007868DW68D24210004258</t>
        </is>
      </c>
      <c r="B489" t="inlineStr">
        <is>
          <t>900007868</t>
        </is>
      </c>
      <c r="C489" t="inlineStr">
        <is>
          <t>DW68</t>
        </is>
      </c>
      <c r="D489" t="inlineStr">
        <is>
          <t>D242</t>
        </is>
      </c>
      <c r="E489" t="inlineStr">
        <is>
          <t>1</t>
        </is>
      </c>
      <c r="F489" t="inlineStr">
        <is>
          <t>10004258</t>
        </is>
      </c>
      <c r="H489" t="inlineStr"/>
      <c r="J489" t="n">
        <v>124.97</v>
      </c>
      <c r="K489" t="inlineStr"/>
      <c r="M489" t="inlineStr">
        <is>
          <t>TN</t>
        </is>
      </c>
      <c r="N489" t="inlineStr"/>
      <c r="P489" t="inlineStr">
        <is>
          <t>20221207</t>
        </is>
      </c>
      <c r="Q489" t="inlineStr">
        <is>
          <t>99991231</t>
        </is>
      </c>
    </row>
    <row r="490">
      <c r="A490" t="inlineStr">
        <is>
          <t>900007868DW68D24710000191</t>
        </is>
      </c>
      <c r="B490" t="inlineStr">
        <is>
          <t>900007868</t>
        </is>
      </c>
      <c r="C490" t="inlineStr">
        <is>
          <t>DW68</t>
        </is>
      </c>
      <c r="D490" t="inlineStr">
        <is>
          <t>D247</t>
        </is>
      </c>
      <c r="E490" t="inlineStr">
        <is>
          <t>1</t>
        </is>
      </c>
      <c r="F490" t="inlineStr">
        <is>
          <t>10000191</t>
        </is>
      </c>
      <c r="H490" t="inlineStr"/>
      <c r="J490" t="n">
        <v>167.7</v>
      </c>
      <c r="K490" t="inlineStr"/>
      <c r="M490" t="inlineStr">
        <is>
          <t>TN</t>
        </is>
      </c>
      <c r="N490" t="inlineStr"/>
      <c r="P490" t="inlineStr">
        <is>
          <t>20221207</t>
        </is>
      </c>
      <c r="Q490" t="inlineStr">
        <is>
          <t>99991231</t>
        </is>
      </c>
    </row>
    <row r="491">
      <c r="A491" t="inlineStr">
        <is>
          <t>900007868DW68D24710000384</t>
        </is>
      </c>
      <c r="B491" t="inlineStr">
        <is>
          <t>900007868</t>
        </is>
      </c>
      <c r="C491" t="inlineStr">
        <is>
          <t>DW68</t>
        </is>
      </c>
      <c r="D491" t="inlineStr">
        <is>
          <t>D247</t>
        </is>
      </c>
      <c r="E491" t="inlineStr">
        <is>
          <t>1</t>
        </is>
      </c>
      <c r="F491" t="inlineStr">
        <is>
          <t>10000384</t>
        </is>
      </c>
      <c r="H491" t="inlineStr"/>
      <c r="J491" t="n">
        <v>167.7</v>
      </c>
      <c r="K491" t="inlineStr"/>
      <c r="M491" t="inlineStr">
        <is>
          <t>TN</t>
        </is>
      </c>
      <c r="N491" t="inlineStr"/>
      <c r="P491" t="inlineStr">
        <is>
          <t>20221207</t>
        </is>
      </c>
      <c r="Q491" t="inlineStr">
        <is>
          <t>99991231</t>
        </is>
      </c>
    </row>
    <row r="492">
      <c r="A492" t="inlineStr">
        <is>
          <t>900007868DW68D24710000388</t>
        </is>
      </c>
      <c r="B492" t="inlineStr">
        <is>
          <t>900007868</t>
        </is>
      </c>
      <c r="C492" t="inlineStr">
        <is>
          <t>DW68</t>
        </is>
      </c>
      <c r="D492" t="inlineStr">
        <is>
          <t>D247</t>
        </is>
      </c>
      <c r="E492" t="inlineStr">
        <is>
          <t>1</t>
        </is>
      </c>
      <c r="F492" t="inlineStr">
        <is>
          <t>10000388</t>
        </is>
      </c>
      <c r="H492" t="inlineStr"/>
      <c r="J492" t="n">
        <v>167.7</v>
      </c>
      <c r="K492" t="inlineStr"/>
      <c r="M492" t="inlineStr">
        <is>
          <t>TN</t>
        </is>
      </c>
      <c r="N492" t="inlineStr"/>
      <c r="P492" t="inlineStr">
        <is>
          <t>20221207</t>
        </is>
      </c>
      <c r="Q492" t="inlineStr">
        <is>
          <t>99991231</t>
        </is>
      </c>
    </row>
    <row r="493">
      <c r="A493" t="inlineStr">
        <is>
          <t>900007868DW68D24710004258</t>
        </is>
      </c>
      <c r="B493" t="inlineStr">
        <is>
          <t>900007868</t>
        </is>
      </c>
      <c r="C493" t="inlineStr">
        <is>
          <t>DW68</t>
        </is>
      </c>
      <c r="D493" t="inlineStr">
        <is>
          <t>D247</t>
        </is>
      </c>
      <c r="E493" t="inlineStr">
        <is>
          <t>1</t>
        </is>
      </c>
      <c r="F493" t="inlineStr">
        <is>
          <t>10004258</t>
        </is>
      </c>
      <c r="H493" t="inlineStr"/>
      <c r="J493" t="n">
        <v>167.7</v>
      </c>
      <c r="K493" t="inlineStr"/>
      <c r="M493" t="inlineStr">
        <is>
          <t>TN</t>
        </is>
      </c>
      <c r="N493" t="inlineStr"/>
      <c r="P493" t="inlineStr">
        <is>
          <t>20221207</t>
        </is>
      </c>
      <c r="Q493" t="inlineStr">
        <is>
          <t>99991231</t>
        </is>
      </c>
    </row>
    <row r="494">
      <c r="A494" t="inlineStr">
        <is>
          <t>900007868DW68D25110000191</t>
        </is>
      </c>
      <c r="B494" t="inlineStr">
        <is>
          <t>900007868</t>
        </is>
      </c>
      <c r="C494" t="inlineStr">
        <is>
          <t>DW68</t>
        </is>
      </c>
      <c r="D494" t="inlineStr">
        <is>
          <t>D251</t>
        </is>
      </c>
      <c r="E494" t="inlineStr">
        <is>
          <t>1</t>
        </is>
      </c>
      <c r="F494" t="inlineStr">
        <is>
          <t>10000191</t>
        </is>
      </c>
      <c r="H494" t="inlineStr"/>
      <c r="J494" t="n">
        <v>127.41</v>
      </c>
      <c r="K494" t="inlineStr"/>
      <c r="M494" t="inlineStr">
        <is>
          <t>TN</t>
        </is>
      </c>
      <c r="N494" t="inlineStr"/>
      <c r="P494" t="inlineStr">
        <is>
          <t>20221207</t>
        </is>
      </c>
      <c r="Q494" t="inlineStr">
        <is>
          <t>99991231</t>
        </is>
      </c>
    </row>
    <row r="495">
      <c r="A495" t="inlineStr">
        <is>
          <t>900007868DW68D25110000384</t>
        </is>
      </c>
      <c r="B495" t="inlineStr">
        <is>
          <t>900007868</t>
        </is>
      </c>
      <c r="C495" t="inlineStr">
        <is>
          <t>DW68</t>
        </is>
      </c>
      <c r="D495" t="inlineStr">
        <is>
          <t>D251</t>
        </is>
      </c>
      <c r="E495" t="inlineStr">
        <is>
          <t>1</t>
        </is>
      </c>
      <c r="F495" t="inlineStr">
        <is>
          <t>10000384</t>
        </is>
      </c>
      <c r="H495" t="inlineStr"/>
      <c r="J495" t="n">
        <v>127.41</v>
      </c>
      <c r="K495" t="inlineStr"/>
      <c r="M495" t="inlineStr">
        <is>
          <t>TN</t>
        </is>
      </c>
      <c r="N495" t="inlineStr"/>
      <c r="P495" t="inlineStr">
        <is>
          <t>20221207</t>
        </is>
      </c>
      <c r="Q495" t="inlineStr">
        <is>
          <t>99991231</t>
        </is>
      </c>
    </row>
    <row r="496">
      <c r="A496" t="inlineStr">
        <is>
          <t>900007868DW68D25110000388</t>
        </is>
      </c>
      <c r="B496" t="inlineStr">
        <is>
          <t>900007868</t>
        </is>
      </c>
      <c r="C496" t="inlineStr">
        <is>
          <t>DW68</t>
        </is>
      </c>
      <c r="D496" t="inlineStr">
        <is>
          <t>D251</t>
        </is>
      </c>
      <c r="E496" t="inlineStr">
        <is>
          <t>1</t>
        </is>
      </c>
      <c r="F496" t="inlineStr">
        <is>
          <t>10000388</t>
        </is>
      </c>
      <c r="H496" t="inlineStr"/>
      <c r="J496" t="n">
        <v>127.41</v>
      </c>
      <c r="K496" t="inlineStr"/>
      <c r="M496" t="inlineStr">
        <is>
          <t>TN</t>
        </is>
      </c>
      <c r="N496" t="inlineStr"/>
      <c r="P496" t="inlineStr">
        <is>
          <t>20221207</t>
        </is>
      </c>
      <c r="Q496" t="inlineStr">
        <is>
          <t>99991231</t>
        </is>
      </c>
    </row>
    <row r="497">
      <c r="A497" t="inlineStr">
        <is>
          <t>900007868DW68D25110004258</t>
        </is>
      </c>
      <c r="B497" t="inlineStr">
        <is>
          <t>900007868</t>
        </is>
      </c>
      <c r="C497" t="inlineStr">
        <is>
          <t>DW68</t>
        </is>
      </c>
      <c r="D497" t="inlineStr">
        <is>
          <t>D251</t>
        </is>
      </c>
      <c r="E497" t="inlineStr">
        <is>
          <t>1</t>
        </is>
      </c>
      <c r="F497" t="inlineStr">
        <is>
          <t>10004258</t>
        </is>
      </c>
      <c r="H497" t="inlineStr"/>
      <c r="J497" t="n">
        <v>127.41</v>
      </c>
      <c r="K497" t="inlineStr"/>
      <c r="M497" t="inlineStr">
        <is>
          <t>TN</t>
        </is>
      </c>
      <c r="N497" t="inlineStr"/>
      <c r="P497" t="inlineStr">
        <is>
          <t>20221207</t>
        </is>
      </c>
      <c r="Q497" t="inlineStr">
        <is>
          <t>99991231</t>
        </is>
      </c>
    </row>
    <row r="498">
      <c r="A498" t="inlineStr">
        <is>
          <t>900007868DW68D26410000191</t>
        </is>
      </c>
      <c r="B498" t="inlineStr">
        <is>
          <t>900007868</t>
        </is>
      </c>
      <c r="C498" t="inlineStr">
        <is>
          <t>DW68</t>
        </is>
      </c>
      <c r="D498" t="inlineStr">
        <is>
          <t>D264</t>
        </is>
      </c>
      <c r="E498" t="inlineStr">
        <is>
          <t>1</t>
        </is>
      </c>
      <c r="F498" t="inlineStr">
        <is>
          <t>10000191</t>
        </is>
      </c>
      <c r="H498" t="inlineStr"/>
      <c r="J498" t="n">
        <v>164.63</v>
      </c>
      <c r="K498" t="inlineStr"/>
      <c r="M498" t="inlineStr">
        <is>
          <t>TN</t>
        </is>
      </c>
      <c r="N498" t="inlineStr"/>
      <c r="P498" t="inlineStr">
        <is>
          <t>20221207</t>
        </is>
      </c>
      <c r="Q498" t="inlineStr">
        <is>
          <t>99991231</t>
        </is>
      </c>
    </row>
    <row r="499">
      <c r="A499" t="inlineStr">
        <is>
          <t>900007868DW68D26410000384</t>
        </is>
      </c>
      <c r="B499" t="inlineStr">
        <is>
          <t>900007868</t>
        </is>
      </c>
      <c r="C499" t="inlineStr">
        <is>
          <t>DW68</t>
        </is>
      </c>
      <c r="D499" t="inlineStr">
        <is>
          <t>D264</t>
        </is>
      </c>
      <c r="E499" t="inlineStr">
        <is>
          <t>1</t>
        </is>
      </c>
      <c r="F499" t="inlineStr">
        <is>
          <t>10000384</t>
        </is>
      </c>
      <c r="H499" t="inlineStr"/>
      <c r="J499" t="n">
        <v>164.63</v>
      </c>
      <c r="K499" t="inlineStr"/>
      <c r="M499" t="inlineStr">
        <is>
          <t>TN</t>
        </is>
      </c>
      <c r="N499" t="inlineStr"/>
      <c r="P499" t="inlineStr">
        <is>
          <t>20221207</t>
        </is>
      </c>
      <c r="Q499" t="inlineStr">
        <is>
          <t>99991231</t>
        </is>
      </c>
    </row>
    <row r="500">
      <c r="A500" t="inlineStr">
        <is>
          <t>900007868DW68D26410000388</t>
        </is>
      </c>
      <c r="B500" t="inlineStr">
        <is>
          <t>900007868</t>
        </is>
      </c>
      <c r="C500" t="inlineStr">
        <is>
          <t>DW68</t>
        </is>
      </c>
      <c r="D500" t="inlineStr">
        <is>
          <t>D264</t>
        </is>
      </c>
      <c r="E500" t="inlineStr">
        <is>
          <t>1</t>
        </is>
      </c>
      <c r="F500" t="inlineStr">
        <is>
          <t>10000388</t>
        </is>
      </c>
      <c r="H500" t="inlineStr"/>
      <c r="J500" t="n">
        <v>164.63</v>
      </c>
      <c r="K500" t="inlineStr"/>
      <c r="M500" t="inlineStr">
        <is>
          <t>TN</t>
        </is>
      </c>
      <c r="N500" t="inlineStr"/>
      <c r="P500" t="inlineStr">
        <is>
          <t>20221207</t>
        </is>
      </c>
      <c r="Q500" t="inlineStr">
        <is>
          <t>99991231</t>
        </is>
      </c>
    </row>
    <row r="501">
      <c r="A501" t="inlineStr">
        <is>
          <t>900007868DW68D26410004258</t>
        </is>
      </c>
      <c r="B501" t="inlineStr">
        <is>
          <t>900007868</t>
        </is>
      </c>
      <c r="C501" t="inlineStr">
        <is>
          <t>DW68</t>
        </is>
      </c>
      <c r="D501" t="inlineStr">
        <is>
          <t>D264</t>
        </is>
      </c>
      <c r="E501" t="inlineStr">
        <is>
          <t>1</t>
        </is>
      </c>
      <c r="F501" t="inlineStr">
        <is>
          <t>10004258</t>
        </is>
      </c>
      <c r="H501" t="inlineStr"/>
      <c r="J501" t="n">
        <v>164.63</v>
      </c>
      <c r="K501" t="inlineStr"/>
      <c r="M501" t="inlineStr">
        <is>
          <t>TN</t>
        </is>
      </c>
      <c r="N501" t="inlineStr"/>
      <c r="P501" t="inlineStr">
        <is>
          <t>20221207</t>
        </is>
      </c>
      <c r="Q501" t="inlineStr">
        <is>
          <t>99991231</t>
        </is>
      </c>
    </row>
    <row r="502">
      <c r="A502" t="inlineStr">
        <is>
          <t>900007868DW68D26710000191</t>
        </is>
      </c>
      <c r="B502" t="inlineStr">
        <is>
          <t>900007868</t>
        </is>
      </c>
      <c r="C502" t="inlineStr">
        <is>
          <t>DW68</t>
        </is>
      </c>
      <c r="D502" t="inlineStr">
        <is>
          <t>D267</t>
        </is>
      </c>
      <c r="E502" t="inlineStr">
        <is>
          <t>1</t>
        </is>
      </c>
      <c r="F502" t="inlineStr">
        <is>
          <t>10000191</t>
        </is>
      </c>
      <c r="H502" t="inlineStr"/>
      <c r="J502" t="n">
        <v>132.15</v>
      </c>
      <c r="K502" t="inlineStr"/>
      <c r="M502" t="inlineStr">
        <is>
          <t>TN</t>
        </is>
      </c>
      <c r="N502" t="inlineStr"/>
      <c r="P502" t="inlineStr">
        <is>
          <t>20240412</t>
        </is>
      </c>
      <c r="Q502" t="inlineStr">
        <is>
          <t>99991231</t>
        </is>
      </c>
    </row>
    <row r="503">
      <c r="A503" t="inlineStr">
        <is>
          <t>900007868DW68D26710000384</t>
        </is>
      </c>
      <c r="B503" t="inlineStr">
        <is>
          <t>900007868</t>
        </is>
      </c>
      <c r="C503" t="inlineStr">
        <is>
          <t>DW68</t>
        </is>
      </c>
      <c r="D503" t="inlineStr">
        <is>
          <t>D267</t>
        </is>
      </c>
      <c r="E503" t="inlineStr">
        <is>
          <t>1</t>
        </is>
      </c>
      <c r="F503" t="inlineStr">
        <is>
          <t>10000384</t>
        </is>
      </c>
      <c r="H503" t="inlineStr"/>
      <c r="J503" t="n">
        <v>108.83</v>
      </c>
      <c r="K503" t="inlineStr"/>
      <c r="M503" t="inlineStr">
        <is>
          <t>TN</t>
        </is>
      </c>
      <c r="N503" t="inlineStr"/>
      <c r="P503" t="inlineStr">
        <is>
          <t>20230804</t>
        </is>
      </c>
      <c r="Q503" t="inlineStr">
        <is>
          <t>99991231</t>
        </is>
      </c>
    </row>
    <row r="504">
      <c r="A504" t="inlineStr">
        <is>
          <t>900007868DW68D26710000388</t>
        </is>
      </c>
      <c r="B504" t="inlineStr">
        <is>
          <t>900007868</t>
        </is>
      </c>
      <c r="C504" t="inlineStr">
        <is>
          <t>DW68</t>
        </is>
      </c>
      <c r="D504" t="inlineStr">
        <is>
          <t>D267</t>
        </is>
      </c>
      <c r="E504" t="inlineStr">
        <is>
          <t>1</t>
        </is>
      </c>
      <c r="F504" t="inlineStr">
        <is>
          <t>10000388</t>
        </is>
      </c>
      <c r="H504" t="inlineStr"/>
      <c r="J504" t="n">
        <v>125.61</v>
      </c>
      <c r="K504" t="inlineStr"/>
      <c r="M504" t="inlineStr">
        <is>
          <t>TN</t>
        </is>
      </c>
      <c r="N504" t="inlineStr"/>
      <c r="P504" t="inlineStr">
        <is>
          <t>20230804</t>
        </is>
      </c>
      <c r="Q504" t="inlineStr">
        <is>
          <t>99991231</t>
        </is>
      </c>
    </row>
    <row r="505">
      <c r="A505" t="inlineStr">
        <is>
          <t>900007868DW68D26710004258</t>
        </is>
      </c>
      <c r="B505" t="inlineStr">
        <is>
          <t>900007868</t>
        </is>
      </c>
      <c r="C505" t="inlineStr">
        <is>
          <t>DW68</t>
        </is>
      </c>
      <c r="D505" t="inlineStr">
        <is>
          <t>D267</t>
        </is>
      </c>
      <c r="E505" t="inlineStr">
        <is>
          <t>1</t>
        </is>
      </c>
      <c r="F505" t="inlineStr">
        <is>
          <t>10004258</t>
        </is>
      </c>
      <c r="H505" t="inlineStr"/>
      <c r="J505" t="n">
        <v>114.52</v>
      </c>
      <c r="K505" t="inlineStr"/>
      <c r="M505" t="inlineStr">
        <is>
          <t>TN</t>
        </is>
      </c>
      <c r="N505" t="inlineStr"/>
      <c r="P505" t="inlineStr">
        <is>
          <t>20230804</t>
        </is>
      </c>
      <c r="Q505" t="inlineStr">
        <is>
          <t>99991231</t>
        </is>
      </c>
    </row>
    <row r="506">
      <c r="A506" t="inlineStr">
        <is>
          <t>900008211DW68D04210000384</t>
        </is>
      </c>
      <c r="B506" t="inlineStr">
        <is>
          <t>900008211</t>
        </is>
      </c>
      <c r="C506" t="inlineStr">
        <is>
          <t>DW68</t>
        </is>
      </c>
      <c r="D506" t="inlineStr">
        <is>
          <t>D042</t>
        </is>
      </c>
      <c r="E506" t="inlineStr">
        <is>
          <t>4</t>
        </is>
      </c>
      <c r="F506" t="inlineStr">
        <is>
          <t>10000384</t>
        </is>
      </c>
      <c r="H506" t="inlineStr"/>
      <c r="J506" t="n">
        <v>75.31</v>
      </c>
      <c r="K506" t="inlineStr"/>
      <c r="M506" t="inlineStr">
        <is>
          <t>TN</t>
        </is>
      </c>
      <c r="N506" t="inlineStr"/>
      <c r="P506" t="inlineStr">
        <is>
          <t>20240201</t>
        </is>
      </c>
      <c r="Q506" t="inlineStr">
        <is>
          <t>20251031</t>
        </is>
      </c>
    </row>
    <row r="507">
      <c r="A507" t="inlineStr">
        <is>
          <t>900008211DW68D20910000384</t>
        </is>
      </c>
      <c r="B507" t="inlineStr">
        <is>
          <t>900008211</t>
        </is>
      </c>
      <c r="C507" t="inlineStr">
        <is>
          <t>DW68</t>
        </is>
      </c>
      <c r="D507" t="inlineStr">
        <is>
          <t>D209</t>
        </is>
      </c>
      <c r="E507" t="inlineStr">
        <is>
          <t>4</t>
        </is>
      </c>
      <c r="F507" t="inlineStr">
        <is>
          <t>10000384</t>
        </is>
      </c>
      <c r="H507" t="inlineStr"/>
      <c r="J507" t="n">
        <v>39.29</v>
      </c>
      <c r="K507" t="inlineStr"/>
      <c r="M507" t="inlineStr">
        <is>
          <t>TN</t>
        </is>
      </c>
      <c r="N507" t="inlineStr"/>
      <c r="P507" t="inlineStr">
        <is>
          <t>20240201</t>
        </is>
      </c>
      <c r="Q507" t="inlineStr">
        <is>
          <t>20251031</t>
        </is>
      </c>
    </row>
    <row r="508">
      <c r="A508" t="inlineStr">
        <is>
          <t>900008211DW68D21110000384</t>
        </is>
      </c>
      <c r="B508" t="inlineStr">
        <is>
          <t>900008211</t>
        </is>
      </c>
      <c r="C508" t="inlineStr">
        <is>
          <t>DW68</t>
        </is>
      </c>
      <c r="D508" t="inlineStr">
        <is>
          <t>D211</t>
        </is>
      </c>
      <c r="E508" t="inlineStr">
        <is>
          <t>4</t>
        </is>
      </c>
      <c r="F508" t="inlineStr">
        <is>
          <t>10000384</t>
        </is>
      </c>
      <c r="H508" t="inlineStr"/>
      <c r="J508" t="n">
        <v>42.39</v>
      </c>
      <c r="K508" t="inlineStr"/>
      <c r="M508" t="inlineStr">
        <is>
          <t>TN</t>
        </is>
      </c>
      <c r="N508" t="inlineStr"/>
      <c r="P508" t="inlineStr">
        <is>
          <t>20240201</t>
        </is>
      </c>
      <c r="Q508" t="inlineStr">
        <is>
          <t>20251031</t>
        </is>
      </c>
    </row>
    <row r="509">
      <c r="A509" t="inlineStr">
        <is>
          <t>900008211DW68D21310000384</t>
        </is>
      </c>
      <c r="B509" t="inlineStr">
        <is>
          <t>900008211</t>
        </is>
      </c>
      <c r="C509" t="inlineStr">
        <is>
          <t>DW68</t>
        </is>
      </c>
      <c r="D509" t="inlineStr">
        <is>
          <t>D213</t>
        </is>
      </c>
      <c r="E509" t="inlineStr">
        <is>
          <t>4</t>
        </is>
      </c>
      <c r="F509" t="inlineStr">
        <is>
          <t>10000384</t>
        </is>
      </c>
      <c r="H509" t="inlineStr"/>
      <c r="J509" t="n">
        <v>59.78</v>
      </c>
      <c r="K509" t="inlineStr"/>
      <c r="M509" t="inlineStr">
        <is>
          <t>TN</t>
        </is>
      </c>
      <c r="N509" t="inlineStr"/>
      <c r="P509" t="inlineStr">
        <is>
          <t>20240201</t>
        </is>
      </c>
      <c r="Q509" t="inlineStr">
        <is>
          <t>20251031</t>
        </is>
      </c>
    </row>
    <row r="510">
      <c r="A510" t="inlineStr">
        <is>
          <t>900008211DW68D22010000384</t>
        </is>
      </c>
      <c r="B510" t="inlineStr">
        <is>
          <t>900008211</t>
        </is>
      </c>
      <c r="C510" t="inlineStr">
        <is>
          <t>DW68</t>
        </is>
      </c>
      <c r="D510" t="inlineStr">
        <is>
          <t>D220</t>
        </is>
      </c>
      <c r="E510" t="inlineStr">
        <is>
          <t>4</t>
        </is>
      </c>
      <c r="F510" t="inlineStr">
        <is>
          <t>10000384</t>
        </is>
      </c>
      <c r="H510" t="inlineStr"/>
      <c r="J510" t="n">
        <v>59.78</v>
      </c>
      <c r="K510" t="inlineStr"/>
      <c r="M510" t="inlineStr">
        <is>
          <t>TN</t>
        </is>
      </c>
      <c r="N510" t="inlineStr"/>
      <c r="P510" t="inlineStr">
        <is>
          <t>20240201</t>
        </is>
      </c>
      <c r="Q510" t="inlineStr">
        <is>
          <t>20251031</t>
        </is>
      </c>
    </row>
    <row r="511">
      <c r="A511" t="inlineStr">
        <is>
          <t>900008211DW68D22810000384</t>
        </is>
      </c>
      <c r="B511" t="inlineStr">
        <is>
          <t>900008211</t>
        </is>
      </c>
      <c r="C511" t="inlineStr">
        <is>
          <t>DW68</t>
        </is>
      </c>
      <c r="D511" t="inlineStr">
        <is>
          <t>D228</t>
        </is>
      </c>
      <c r="E511" t="inlineStr">
        <is>
          <t>4</t>
        </is>
      </c>
      <c r="F511" t="inlineStr">
        <is>
          <t>10000384</t>
        </is>
      </c>
      <c r="H511" t="inlineStr"/>
      <c r="J511" t="n">
        <v>82.14</v>
      </c>
      <c r="K511" t="inlineStr"/>
      <c r="M511" t="inlineStr">
        <is>
          <t>TN</t>
        </is>
      </c>
      <c r="N511" t="inlineStr"/>
      <c r="P511" t="inlineStr">
        <is>
          <t>20240201</t>
        </is>
      </c>
      <c r="Q511" t="inlineStr">
        <is>
          <t>20251031</t>
        </is>
      </c>
    </row>
    <row r="512">
      <c r="A512" t="inlineStr">
        <is>
          <t>900008211DW68D24210000384</t>
        </is>
      </c>
      <c r="B512" t="inlineStr">
        <is>
          <t>900008211</t>
        </is>
      </c>
      <c r="C512" t="inlineStr">
        <is>
          <t>DW68</t>
        </is>
      </c>
      <c r="D512" t="inlineStr">
        <is>
          <t>D242</t>
        </is>
      </c>
      <c r="E512" t="inlineStr">
        <is>
          <t>4</t>
        </is>
      </c>
      <c r="F512" t="inlineStr">
        <is>
          <t>10000384</t>
        </is>
      </c>
      <c r="H512" t="inlineStr"/>
      <c r="J512" t="n">
        <v>63.51</v>
      </c>
      <c r="K512" t="inlineStr"/>
      <c r="M512" t="inlineStr">
        <is>
          <t>TN</t>
        </is>
      </c>
      <c r="N512" t="inlineStr"/>
      <c r="P512" t="inlineStr">
        <is>
          <t>20240201</t>
        </is>
      </c>
      <c r="Q512" t="inlineStr">
        <is>
          <t>20251031</t>
        </is>
      </c>
    </row>
    <row r="513">
      <c r="A513" t="inlineStr">
        <is>
          <t>900008211DW68D24710000384</t>
        </is>
      </c>
      <c r="B513" t="inlineStr">
        <is>
          <t>900008211</t>
        </is>
      </c>
      <c r="C513" t="inlineStr">
        <is>
          <t>DW68</t>
        </is>
      </c>
      <c r="D513" t="inlineStr">
        <is>
          <t>D247</t>
        </is>
      </c>
      <c r="E513" t="inlineStr">
        <is>
          <t>4</t>
        </is>
      </c>
      <c r="F513" t="inlineStr">
        <is>
          <t>10000384</t>
        </is>
      </c>
      <c r="H513" t="inlineStr"/>
      <c r="J513" t="n">
        <v>59.78</v>
      </c>
      <c r="K513" t="inlineStr"/>
      <c r="M513" t="inlineStr">
        <is>
          <t>TN</t>
        </is>
      </c>
      <c r="N513" t="inlineStr"/>
      <c r="P513" t="inlineStr">
        <is>
          <t>20240201</t>
        </is>
      </c>
      <c r="Q513" t="inlineStr">
        <is>
          <t>20251031</t>
        </is>
      </c>
    </row>
    <row r="514">
      <c r="A514" t="inlineStr">
        <is>
          <t>900008211DW68D25110000384</t>
        </is>
      </c>
      <c r="B514" t="inlineStr">
        <is>
          <t>900008211</t>
        </is>
      </c>
      <c r="C514" t="inlineStr">
        <is>
          <t>DW68</t>
        </is>
      </c>
      <c r="D514" t="inlineStr">
        <is>
          <t>D251</t>
        </is>
      </c>
      <c r="E514" t="inlineStr">
        <is>
          <t>4</t>
        </is>
      </c>
      <c r="F514" t="inlineStr">
        <is>
          <t>10000384</t>
        </is>
      </c>
      <c r="H514" t="inlineStr"/>
      <c r="J514" t="n">
        <v>33.07</v>
      </c>
      <c r="K514" t="inlineStr"/>
      <c r="M514" t="inlineStr">
        <is>
          <t>TN</t>
        </is>
      </c>
      <c r="N514" t="inlineStr"/>
      <c r="P514" t="inlineStr">
        <is>
          <t>20240201</t>
        </is>
      </c>
      <c r="Q514" t="inlineStr">
        <is>
          <t>20251031</t>
        </is>
      </c>
    </row>
    <row r="515">
      <c r="A515" t="inlineStr">
        <is>
          <t>900008211DW68D26410000384</t>
        </is>
      </c>
      <c r="B515" t="inlineStr">
        <is>
          <t>900008211</t>
        </is>
      </c>
      <c r="C515" t="inlineStr">
        <is>
          <t>DW68</t>
        </is>
      </c>
      <c r="D515" t="inlineStr">
        <is>
          <t>D264</t>
        </is>
      </c>
      <c r="E515" t="inlineStr">
        <is>
          <t>4</t>
        </is>
      </c>
      <c r="F515" t="inlineStr">
        <is>
          <t>10000384</t>
        </is>
      </c>
      <c r="H515" t="inlineStr"/>
      <c r="J515" t="n">
        <v>46.12</v>
      </c>
      <c r="K515" t="inlineStr"/>
      <c r="M515" t="inlineStr">
        <is>
          <t>TN</t>
        </is>
      </c>
      <c r="N515" t="inlineStr"/>
      <c r="P515" t="inlineStr">
        <is>
          <t>20240201</t>
        </is>
      </c>
      <c r="Q515" t="inlineStr">
        <is>
          <t>20251031</t>
        </is>
      </c>
    </row>
    <row r="516">
      <c r="A516" t="inlineStr">
        <is>
          <t>900008211DW68D26710000384</t>
        </is>
      </c>
      <c r="B516" t="inlineStr">
        <is>
          <t>900008211</t>
        </is>
      </c>
      <c r="C516" t="inlineStr">
        <is>
          <t>DW68</t>
        </is>
      </c>
      <c r="D516" t="inlineStr">
        <is>
          <t>D267</t>
        </is>
      </c>
      <c r="E516" t="inlineStr">
        <is>
          <t>4</t>
        </is>
      </c>
      <c r="F516" t="inlineStr">
        <is>
          <t>10000384</t>
        </is>
      </c>
      <c r="H516" t="inlineStr"/>
      <c r="J516" t="n">
        <v>76.55</v>
      </c>
      <c r="K516" t="inlineStr"/>
      <c r="M516" t="inlineStr">
        <is>
          <t>TN</t>
        </is>
      </c>
      <c r="N516" t="inlineStr"/>
      <c r="P516" t="inlineStr">
        <is>
          <t>20240201</t>
        </is>
      </c>
      <c r="Q516" t="inlineStr">
        <is>
          <t>20251031</t>
        </is>
      </c>
    </row>
    <row r="517">
      <c r="A517" t="inlineStr">
        <is>
          <t>900008250DW68D04210000191</t>
        </is>
      </c>
      <c r="B517" t="inlineStr">
        <is>
          <t>900008250</t>
        </is>
      </c>
      <c r="C517" t="inlineStr">
        <is>
          <t>DW68</t>
        </is>
      </c>
      <c r="D517" t="inlineStr">
        <is>
          <t>D042</t>
        </is>
      </c>
      <c r="E517" t="inlineStr">
        <is>
          <t>4</t>
        </is>
      </c>
      <c r="F517" t="inlineStr">
        <is>
          <t>10000191</t>
        </is>
      </c>
      <c r="H517" t="inlineStr"/>
      <c r="J517" t="n">
        <v>83.40000000000001</v>
      </c>
      <c r="K517" t="inlineStr"/>
      <c r="M517" t="inlineStr">
        <is>
          <t>TN</t>
        </is>
      </c>
      <c r="N517" t="inlineStr"/>
      <c r="P517" t="inlineStr">
        <is>
          <t>20230704</t>
        </is>
      </c>
      <c r="Q517" t="inlineStr">
        <is>
          <t>20260215</t>
        </is>
      </c>
    </row>
    <row r="518">
      <c r="A518" t="inlineStr">
        <is>
          <t>900008250DW68D04210000388</t>
        </is>
      </c>
      <c r="B518" t="inlineStr">
        <is>
          <t>900008250</t>
        </is>
      </c>
      <c r="C518" t="inlineStr">
        <is>
          <t>DW68</t>
        </is>
      </c>
      <c r="D518" t="inlineStr">
        <is>
          <t>D042</t>
        </is>
      </c>
      <c r="E518" t="inlineStr">
        <is>
          <t>4</t>
        </is>
      </c>
      <c r="F518" t="inlineStr">
        <is>
          <t>10000388</t>
        </is>
      </c>
      <c r="H518" t="inlineStr"/>
      <c r="J518" t="n">
        <v>84.3</v>
      </c>
      <c r="K518" t="inlineStr"/>
      <c r="M518" t="inlineStr">
        <is>
          <t>TN</t>
        </is>
      </c>
      <c r="N518" t="inlineStr"/>
      <c r="P518" t="inlineStr">
        <is>
          <t>20230704</t>
        </is>
      </c>
      <c r="Q518" t="inlineStr">
        <is>
          <t>20260215</t>
        </is>
      </c>
    </row>
    <row r="519">
      <c r="A519" t="inlineStr">
        <is>
          <t>900008250DW68D04210004258</t>
        </is>
      </c>
      <c r="B519" t="inlineStr">
        <is>
          <t>900008250</t>
        </is>
      </c>
      <c r="C519" t="inlineStr">
        <is>
          <t>DW68</t>
        </is>
      </c>
      <c r="D519" t="inlineStr">
        <is>
          <t>D042</t>
        </is>
      </c>
      <c r="E519" t="inlineStr">
        <is>
          <t>4</t>
        </is>
      </c>
      <c r="F519" t="inlineStr">
        <is>
          <t>10004258</t>
        </is>
      </c>
      <c r="H519" t="inlineStr"/>
      <c r="J519" t="n">
        <v>76.86</v>
      </c>
      <c r="K519" t="inlineStr"/>
      <c r="M519" t="inlineStr">
        <is>
          <t>TN</t>
        </is>
      </c>
      <c r="N519" t="inlineStr"/>
      <c r="P519" t="inlineStr">
        <is>
          <t>20230704</t>
        </is>
      </c>
      <c r="Q519" t="inlineStr">
        <is>
          <t>20260215</t>
        </is>
      </c>
    </row>
    <row r="520">
      <c r="A520" t="inlineStr">
        <is>
          <t>900008250DW68D04210148454</t>
        </is>
      </c>
      <c r="B520" t="inlineStr">
        <is>
          <t>900008250</t>
        </is>
      </c>
      <c r="C520" t="inlineStr">
        <is>
          <t>DW68</t>
        </is>
      </c>
      <c r="D520" t="inlineStr">
        <is>
          <t>D042</t>
        </is>
      </c>
      <c r="E520" t="inlineStr">
        <is>
          <t>4</t>
        </is>
      </c>
      <c r="F520" t="inlineStr">
        <is>
          <t>10148454</t>
        </is>
      </c>
      <c r="H520" t="inlineStr"/>
      <c r="J520" t="n">
        <v>81.67</v>
      </c>
      <c r="K520" t="inlineStr"/>
      <c r="M520" t="inlineStr">
        <is>
          <t>TN</t>
        </is>
      </c>
      <c r="N520" t="inlineStr"/>
      <c r="P520" t="inlineStr">
        <is>
          <t>20230704</t>
        </is>
      </c>
      <c r="Q520" t="inlineStr">
        <is>
          <t>20260215</t>
        </is>
      </c>
    </row>
    <row r="521">
      <c r="A521" t="inlineStr">
        <is>
          <t>900008250DW68D20910000191</t>
        </is>
      </c>
      <c r="B521" t="inlineStr">
        <is>
          <t>900008250</t>
        </is>
      </c>
      <c r="C521" t="inlineStr">
        <is>
          <t>DW68</t>
        </is>
      </c>
      <c r="D521" t="inlineStr">
        <is>
          <t>D209</t>
        </is>
      </c>
      <c r="E521" t="inlineStr">
        <is>
          <t>4</t>
        </is>
      </c>
      <c r="F521" t="inlineStr">
        <is>
          <t>10000191</t>
        </is>
      </c>
      <c r="H521" t="inlineStr"/>
      <c r="J521" t="n">
        <v>73.48</v>
      </c>
      <c r="K521" t="inlineStr"/>
      <c r="M521" t="inlineStr">
        <is>
          <t>TN</t>
        </is>
      </c>
      <c r="N521" t="inlineStr"/>
      <c r="P521" t="inlineStr">
        <is>
          <t>20230704</t>
        </is>
      </c>
      <c r="Q521" t="inlineStr">
        <is>
          <t>20260215</t>
        </is>
      </c>
    </row>
    <row r="522">
      <c r="A522" t="inlineStr">
        <is>
          <t>900008250DW68D20910000388</t>
        </is>
      </c>
      <c r="B522" t="inlineStr">
        <is>
          <t>900008250</t>
        </is>
      </c>
      <c r="C522" t="inlineStr">
        <is>
          <t>DW68</t>
        </is>
      </c>
      <c r="D522" t="inlineStr">
        <is>
          <t>D209</t>
        </is>
      </c>
      <c r="E522" t="inlineStr">
        <is>
          <t>4</t>
        </is>
      </c>
      <c r="F522" t="inlineStr">
        <is>
          <t>10000388</t>
        </is>
      </c>
      <c r="H522" t="inlineStr"/>
      <c r="J522" t="n">
        <v>74.27</v>
      </c>
      <c r="K522" t="inlineStr"/>
      <c r="M522" t="inlineStr">
        <is>
          <t>TN</t>
        </is>
      </c>
      <c r="N522" t="inlineStr"/>
      <c r="P522" t="inlineStr">
        <is>
          <t>20230704</t>
        </is>
      </c>
      <c r="Q522" t="inlineStr">
        <is>
          <t>20260215</t>
        </is>
      </c>
    </row>
    <row r="523">
      <c r="A523" t="inlineStr">
        <is>
          <t>900008250DW68D20910004258</t>
        </is>
      </c>
      <c r="B523" t="inlineStr">
        <is>
          <t>900008250</t>
        </is>
      </c>
      <c r="C523" t="inlineStr">
        <is>
          <t>DW68</t>
        </is>
      </c>
      <c r="D523" t="inlineStr">
        <is>
          <t>D209</t>
        </is>
      </c>
      <c r="E523" t="inlineStr">
        <is>
          <t>4</t>
        </is>
      </c>
      <c r="F523" t="inlineStr">
        <is>
          <t>10004258</t>
        </is>
      </c>
      <c r="H523" t="inlineStr"/>
      <c r="J523" t="n">
        <v>67.70999999999999</v>
      </c>
      <c r="K523" t="inlineStr"/>
      <c r="M523" t="inlineStr">
        <is>
          <t>TN</t>
        </is>
      </c>
      <c r="N523" t="inlineStr"/>
      <c r="P523" t="inlineStr">
        <is>
          <t>20230704</t>
        </is>
      </c>
      <c r="Q523" t="inlineStr">
        <is>
          <t>20260215</t>
        </is>
      </c>
    </row>
    <row r="524">
      <c r="A524" t="inlineStr">
        <is>
          <t>900008250DW68D20910148454</t>
        </is>
      </c>
      <c r="B524" t="inlineStr">
        <is>
          <t>900008250</t>
        </is>
      </c>
      <c r="C524" t="inlineStr">
        <is>
          <t>DW68</t>
        </is>
      </c>
      <c r="D524" t="inlineStr">
        <is>
          <t>D209</t>
        </is>
      </c>
      <c r="E524" t="inlineStr">
        <is>
          <t>4</t>
        </is>
      </c>
      <c r="F524" t="inlineStr">
        <is>
          <t>10148454</t>
        </is>
      </c>
      <c r="H524" t="inlineStr"/>
      <c r="J524" t="n">
        <v>71.94</v>
      </c>
      <c r="K524" t="inlineStr"/>
      <c r="M524" t="inlineStr">
        <is>
          <t>TN</t>
        </is>
      </c>
      <c r="N524" t="inlineStr"/>
      <c r="P524" t="inlineStr">
        <is>
          <t>20230704</t>
        </is>
      </c>
      <c r="Q524" t="inlineStr">
        <is>
          <t>20260215</t>
        </is>
      </c>
    </row>
    <row r="525">
      <c r="A525" t="inlineStr">
        <is>
          <t>900008250DW68D21110000191</t>
        </is>
      </c>
      <c r="B525" t="inlineStr">
        <is>
          <t>900008250</t>
        </is>
      </c>
      <c r="C525" t="inlineStr">
        <is>
          <t>DW68</t>
        </is>
      </c>
      <c r="D525" t="inlineStr">
        <is>
          <t>D211</t>
        </is>
      </c>
      <c r="E525" t="inlineStr">
        <is>
          <t>4</t>
        </is>
      </c>
      <c r="F525" t="inlineStr">
        <is>
          <t>10000191</t>
        </is>
      </c>
      <c r="H525" t="inlineStr"/>
      <c r="J525" t="n">
        <v>69.5</v>
      </c>
      <c r="K525" t="inlineStr"/>
      <c r="M525" t="inlineStr">
        <is>
          <t>TN</t>
        </is>
      </c>
      <c r="N525" t="inlineStr"/>
      <c r="P525" t="inlineStr">
        <is>
          <t>20230704</t>
        </is>
      </c>
      <c r="Q525" t="inlineStr">
        <is>
          <t>20260215</t>
        </is>
      </c>
    </row>
    <row r="526">
      <c r="A526" t="inlineStr">
        <is>
          <t>900008250DW68D21110000388</t>
        </is>
      </c>
      <c r="B526" t="inlineStr">
        <is>
          <t>900008250</t>
        </is>
      </c>
      <c r="C526" t="inlineStr">
        <is>
          <t>DW68</t>
        </is>
      </c>
      <c r="D526" t="inlineStr">
        <is>
          <t>D211</t>
        </is>
      </c>
      <c r="E526" t="inlineStr">
        <is>
          <t>4</t>
        </is>
      </c>
      <c r="F526" t="inlineStr">
        <is>
          <t>10000388</t>
        </is>
      </c>
      <c r="H526" t="inlineStr"/>
      <c r="J526" t="n">
        <v>70.25</v>
      </c>
      <c r="K526" t="inlineStr"/>
      <c r="M526" t="inlineStr">
        <is>
          <t>TN</t>
        </is>
      </c>
      <c r="N526" t="inlineStr"/>
      <c r="P526" t="inlineStr">
        <is>
          <t>20230704</t>
        </is>
      </c>
      <c r="Q526" t="inlineStr">
        <is>
          <t>20260215</t>
        </is>
      </c>
    </row>
    <row r="527">
      <c r="A527" t="inlineStr">
        <is>
          <t>900008250DW68D21110004258</t>
        </is>
      </c>
      <c r="B527" t="inlineStr">
        <is>
          <t>900008250</t>
        </is>
      </c>
      <c r="C527" t="inlineStr">
        <is>
          <t>DW68</t>
        </is>
      </c>
      <c r="D527" t="inlineStr">
        <is>
          <t>D211</t>
        </is>
      </c>
      <c r="E527" t="inlineStr">
        <is>
          <t>4</t>
        </is>
      </c>
      <c r="F527" t="inlineStr">
        <is>
          <t>10004258</t>
        </is>
      </c>
      <c r="H527" t="inlineStr"/>
      <c r="J527" t="n">
        <v>64.05</v>
      </c>
      <c r="K527" t="inlineStr"/>
      <c r="M527" t="inlineStr">
        <is>
          <t>TN</t>
        </is>
      </c>
      <c r="N527" t="inlineStr"/>
      <c r="P527" t="inlineStr">
        <is>
          <t>20230704</t>
        </is>
      </c>
      <c r="Q527" t="inlineStr">
        <is>
          <t>20260215</t>
        </is>
      </c>
    </row>
    <row r="528">
      <c r="A528" t="inlineStr">
        <is>
          <t>900008250DW68D21110148454</t>
        </is>
      </c>
      <c r="B528" t="inlineStr">
        <is>
          <t>900008250</t>
        </is>
      </c>
      <c r="C528" t="inlineStr">
        <is>
          <t>DW68</t>
        </is>
      </c>
      <c r="D528" t="inlineStr">
        <is>
          <t>D211</t>
        </is>
      </c>
      <c r="E528" t="inlineStr">
        <is>
          <t>4</t>
        </is>
      </c>
      <c r="F528" t="inlineStr">
        <is>
          <t>10148454</t>
        </is>
      </c>
      <c r="H528" t="inlineStr"/>
      <c r="J528" t="n">
        <v>68.06</v>
      </c>
      <c r="K528" t="inlineStr"/>
      <c r="M528" t="inlineStr">
        <is>
          <t>TN</t>
        </is>
      </c>
      <c r="N528" t="inlineStr"/>
      <c r="P528" t="inlineStr">
        <is>
          <t>20230704</t>
        </is>
      </c>
      <c r="Q528" t="inlineStr">
        <is>
          <t>20260215</t>
        </is>
      </c>
    </row>
    <row r="529">
      <c r="A529" t="inlineStr">
        <is>
          <t>900008250DW68D22810000191</t>
        </is>
      </c>
      <c r="B529" t="inlineStr">
        <is>
          <t>900008250</t>
        </is>
      </c>
      <c r="C529" t="inlineStr">
        <is>
          <t>DW68</t>
        </is>
      </c>
      <c r="D529" t="inlineStr">
        <is>
          <t>D228</t>
        </is>
      </c>
      <c r="E529" t="inlineStr">
        <is>
          <t>4</t>
        </is>
      </c>
      <c r="F529" t="inlineStr">
        <is>
          <t>10000191</t>
        </is>
      </c>
      <c r="H529" t="inlineStr"/>
      <c r="J529" t="n">
        <v>115.18</v>
      </c>
      <c r="K529" t="inlineStr"/>
      <c r="M529" t="inlineStr">
        <is>
          <t>TN</t>
        </is>
      </c>
      <c r="N529" t="inlineStr"/>
      <c r="P529" t="inlineStr">
        <is>
          <t>20230704</t>
        </is>
      </c>
      <c r="Q529" t="inlineStr">
        <is>
          <t>20260215</t>
        </is>
      </c>
    </row>
    <row r="530">
      <c r="A530" t="inlineStr">
        <is>
          <t>900008250DW68D22810000388</t>
        </is>
      </c>
      <c r="B530" t="inlineStr">
        <is>
          <t>900008250</t>
        </is>
      </c>
      <c r="C530" t="inlineStr">
        <is>
          <t>DW68</t>
        </is>
      </c>
      <c r="D530" t="inlineStr">
        <is>
          <t>D228</t>
        </is>
      </c>
      <c r="E530" t="inlineStr">
        <is>
          <t>4</t>
        </is>
      </c>
      <c r="F530" t="inlineStr">
        <is>
          <t>10000388</t>
        </is>
      </c>
      <c r="H530" t="inlineStr"/>
      <c r="J530" t="n">
        <v>116.42</v>
      </c>
      <c r="K530" t="inlineStr"/>
      <c r="M530" t="inlineStr">
        <is>
          <t>TN</t>
        </is>
      </c>
      <c r="N530" t="inlineStr"/>
      <c r="P530" t="inlineStr">
        <is>
          <t>20230704</t>
        </is>
      </c>
      <c r="Q530" t="inlineStr">
        <is>
          <t>20260215</t>
        </is>
      </c>
    </row>
    <row r="531">
      <c r="A531" t="inlineStr">
        <is>
          <t>900008250DW68D22810004258</t>
        </is>
      </c>
      <c r="B531" t="inlineStr">
        <is>
          <t>900008250</t>
        </is>
      </c>
      <c r="C531" t="inlineStr">
        <is>
          <t>DW68</t>
        </is>
      </c>
      <c r="D531" t="inlineStr">
        <is>
          <t>D228</t>
        </is>
      </c>
      <c r="E531" t="inlineStr">
        <is>
          <t>4</t>
        </is>
      </c>
      <c r="F531" t="inlineStr">
        <is>
          <t>10004258</t>
        </is>
      </c>
      <c r="H531" t="inlineStr"/>
      <c r="J531" t="n">
        <v>106.14</v>
      </c>
      <c r="K531" t="inlineStr"/>
      <c r="M531" t="inlineStr">
        <is>
          <t>TN</t>
        </is>
      </c>
      <c r="N531" t="inlineStr"/>
      <c r="P531" t="inlineStr">
        <is>
          <t>20230704</t>
        </is>
      </c>
      <c r="Q531" t="inlineStr">
        <is>
          <t>20260215</t>
        </is>
      </c>
    </row>
    <row r="532">
      <c r="A532" t="inlineStr">
        <is>
          <t>900008250DW68D22810148454</t>
        </is>
      </c>
      <c r="B532" t="inlineStr">
        <is>
          <t>900008250</t>
        </is>
      </c>
      <c r="C532" t="inlineStr">
        <is>
          <t>DW68</t>
        </is>
      </c>
      <c r="D532" t="inlineStr">
        <is>
          <t>D228</t>
        </is>
      </c>
      <c r="E532" t="inlineStr">
        <is>
          <t>4</t>
        </is>
      </c>
      <c r="F532" t="inlineStr">
        <is>
          <t>10148454</t>
        </is>
      </c>
      <c r="H532" t="inlineStr"/>
      <c r="J532" t="n">
        <v>112.78</v>
      </c>
      <c r="K532" t="inlineStr"/>
      <c r="M532" t="inlineStr">
        <is>
          <t>TN</t>
        </is>
      </c>
      <c r="N532" t="inlineStr"/>
      <c r="P532" t="inlineStr">
        <is>
          <t>20230704</t>
        </is>
      </c>
      <c r="Q532" t="inlineStr">
        <is>
          <t>20260215</t>
        </is>
      </c>
    </row>
    <row r="533">
      <c r="A533" t="inlineStr">
        <is>
          <t>900008250DW68D24210000191</t>
        </is>
      </c>
      <c r="B533" t="inlineStr">
        <is>
          <t>900008250</t>
        </is>
      </c>
      <c r="C533" t="inlineStr">
        <is>
          <t>DW68</t>
        </is>
      </c>
      <c r="D533" t="inlineStr">
        <is>
          <t>D242</t>
        </is>
      </c>
      <c r="E533" t="inlineStr">
        <is>
          <t>4</t>
        </is>
      </c>
      <c r="F533" t="inlineStr">
        <is>
          <t>10000191</t>
        </is>
      </c>
      <c r="H533" t="inlineStr"/>
      <c r="J533" t="n">
        <v>87.38</v>
      </c>
      <c r="K533" t="inlineStr"/>
      <c r="M533" t="inlineStr">
        <is>
          <t>TN</t>
        </is>
      </c>
      <c r="N533" t="inlineStr"/>
      <c r="P533" t="inlineStr">
        <is>
          <t>20230704</t>
        </is>
      </c>
      <c r="Q533" t="inlineStr">
        <is>
          <t>20260215</t>
        </is>
      </c>
    </row>
    <row r="534">
      <c r="A534" t="inlineStr">
        <is>
          <t>900008250DW68D24210000388</t>
        </is>
      </c>
      <c r="B534" t="inlineStr">
        <is>
          <t>900008250</t>
        </is>
      </c>
      <c r="C534" t="inlineStr">
        <is>
          <t>DW68</t>
        </is>
      </c>
      <c r="D534" t="inlineStr">
        <is>
          <t>D242</t>
        </is>
      </c>
      <c r="E534" t="inlineStr">
        <is>
          <t>4</t>
        </is>
      </c>
      <c r="F534" t="inlineStr">
        <is>
          <t>10000388</t>
        </is>
      </c>
      <c r="H534" t="inlineStr"/>
      <c r="J534" t="n">
        <v>88.31999999999999</v>
      </c>
      <c r="K534" t="inlineStr"/>
      <c r="M534" t="inlineStr">
        <is>
          <t>TN</t>
        </is>
      </c>
      <c r="N534" t="inlineStr"/>
      <c r="P534" t="inlineStr">
        <is>
          <t>20230704</t>
        </is>
      </c>
      <c r="Q534" t="inlineStr">
        <is>
          <t>20260215</t>
        </is>
      </c>
    </row>
    <row r="535">
      <c r="A535" t="inlineStr">
        <is>
          <t>900008250DW68D24210004258</t>
        </is>
      </c>
      <c r="B535" t="inlineStr">
        <is>
          <t>900008250</t>
        </is>
      </c>
      <c r="C535" t="inlineStr">
        <is>
          <t>DW68</t>
        </is>
      </c>
      <c r="D535" t="inlineStr">
        <is>
          <t>D242</t>
        </is>
      </c>
      <c r="E535" t="inlineStr">
        <is>
          <t>4</t>
        </is>
      </c>
      <c r="F535" t="inlineStr">
        <is>
          <t>10004258</t>
        </is>
      </c>
      <c r="H535" t="inlineStr"/>
      <c r="J535" t="n">
        <v>80.52</v>
      </c>
      <c r="K535" t="inlineStr"/>
      <c r="M535" t="inlineStr">
        <is>
          <t>TN</t>
        </is>
      </c>
      <c r="N535" t="inlineStr"/>
      <c r="P535" t="inlineStr">
        <is>
          <t>20230704</t>
        </is>
      </c>
      <c r="Q535" t="inlineStr">
        <is>
          <t>20260215</t>
        </is>
      </c>
    </row>
    <row r="536">
      <c r="A536" t="inlineStr">
        <is>
          <t>900008250DW68D24210148454</t>
        </is>
      </c>
      <c r="B536" t="inlineStr">
        <is>
          <t>900008250</t>
        </is>
      </c>
      <c r="C536" t="inlineStr">
        <is>
          <t>DW68</t>
        </is>
      </c>
      <c r="D536" t="inlineStr">
        <is>
          <t>D242</t>
        </is>
      </c>
      <c r="E536" t="inlineStr">
        <is>
          <t>4</t>
        </is>
      </c>
      <c r="F536" t="inlineStr">
        <is>
          <t>10148454</t>
        </is>
      </c>
      <c r="H536" t="inlineStr"/>
      <c r="J536" t="n">
        <v>85.56</v>
      </c>
      <c r="K536" t="inlineStr"/>
      <c r="M536" t="inlineStr">
        <is>
          <t>TN</t>
        </is>
      </c>
      <c r="N536" t="inlineStr"/>
      <c r="P536" t="inlineStr">
        <is>
          <t>20230704</t>
        </is>
      </c>
      <c r="Q536" t="inlineStr">
        <is>
          <t>20260215</t>
        </is>
      </c>
    </row>
    <row r="537">
      <c r="A537" t="inlineStr">
        <is>
          <t>900008250DW68D24710000191</t>
        </is>
      </c>
      <c r="B537" t="inlineStr">
        <is>
          <t>900008250</t>
        </is>
      </c>
      <c r="C537" t="inlineStr">
        <is>
          <t>DW68</t>
        </is>
      </c>
      <c r="D537" t="inlineStr">
        <is>
          <t>D247</t>
        </is>
      </c>
      <c r="E537" t="inlineStr">
        <is>
          <t>4</t>
        </is>
      </c>
      <c r="F537" t="inlineStr">
        <is>
          <t>10000191</t>
        </is>
      </c>
      <c r="H537" t="inlineStr"/>
      <c r="J537" t="n">
        <v>27.8</v>
      </c>
      <c r="K537" t="inlineStr"/>
      <c r="M537" t="inlineStr">
        <is>
          <t>TN</t>
        </is>
      </c>
      <c r="N537" t="inlineStr"/>
      <c r="P537" t="inlineStr">
        <is>
          <t>20230704</t>
        </is>
      </c>
      <c r="Q537" t="inlineStr">
        <is>
          <t>20260215</t>
        </is>
      </c>
    </row>
    <row r="538">
      <c r="A538" t="inlineStr">
        <is>
          <t>900008250DW68D24710000388</t>
        </is>
      </c>
      <c r="B538" t="inlineStr">
        <is>
          <t>900008250</t>
        </is>
      </c>
      <c r="C538" t="inlineStr">
        <is>
          <t>DW68</t>
        </is>
      </c>
      <c r="D538" t="inlineStr">
        <is>
          <t>D247</t>
        </is>
      </c>
      <c r="E538" t="inlineStr">
        <is>
          <t>4</t>
        </is>
      </c>
      <c r="F538" t="inlineStr">
        <is>
          <t>10000388</t>
        </is>
      </c>
      <c r="H538" t="inlineStr"/>
      <c r="J538" t="n">
        <v>28.1</v>
      </c>
      <c r="K538" t="inlineStr"/>
      <c r="M538" t="inlineStr">
        <is>
          <t>TN</t>
        </is>
      </c>
      <c r="N538" t="inlineStr"/>
      <c r="P538" t="inlineStr">
        <is>
          <t>20230704</t>
        </is>
      </c>
      <c r="Q538" t="inlineStr">
        <is>
          <t>20260215</t>
        </is>
      </c>
    </row>
    <row r="539">
      <c r="A539" t="inlineStr">
        <is>
          <t>900008250DW68D24710004258</t>
        </is>
      </c>
      <c r="B539" t="inlineStr">
        <is>
          <t>900008250</t>
        </is>
      </c>
      <c r="C539" t="inlineStr">
        <is>
          <t>DW68</t>
        </is>
      </c>
      <c r="D539" t="inlineStr">
        <is>
          <t>D247</t>
        </is>
      </c>
      <c r="E539" t="inlineStr">
        <is>
          <t>4</t>
        </is>
      </c>
      <c r="F539" t="inlineStr">
        <is>
          <t>10004258</t>
        </is>
      </c>
      <c r="H539" t="inlineStr"/>
      <c r="J539" t="n">
        <v>25.62</v>
      </c>
      <c r="K539" t="inlineStr"/>
      <c r="M539" t="inlineStr">
        <is>
          <t>TN</t>
        </is>
      </c>
      <c r="N539" t="inlineStr"/>
      <c r="P539" t="inlineStr">
        <is>
          <t>20230704</t>
        </is>
      </c>
      <c r="Q539" t="inlineStr">
        <is>
          <t>20260215</t>
        </is>
      </c>
    </row>
    <row r="540">
      <c r="A540" t="inlineStr">
        <is>
          <t>900008250DW68D24710148454</t>
        </is>
      </c>
      <c r="B540" t="inlineStr">
        <is>
          <t>900008250</t>
        </is>
      </c>
      <c r="C540" t="inlineStr">
        <is>
          <t>DW68</t>
        </is>
      </c>
      <c r="D540" t="inlineStr">
        <is>
          <t>D247</t>
        </is>
      </c>
      <c r="E540" t="inlineStr">
        <is>
          <t>4</t>
        </is>
      </c>
      <c r="F540" t="inlineStr">
        <is>
          <t>10148454</t>
        </is>
      </c>
      <c r="H540" t="inlineStr"/>
      <c r="J540" t="n">
        <v>27.22</v>
      </c>
      <c r="K540" t="inlineStr"/>
      <c r="M540" t="inlineStr">
        <is>
          <t>TN</t>
        </is>
      </c>
      <c r="N540" t="inlineStr"/>
      <c r="P540" t="inlineStr">
        <is>
          <t>20230704</t>
        </is>
      </c>
      <c r="Q540" t="inlineStr">
        <is>
          <t>20260215</t>
        </is>
      </c>
    </row>
    <row r="541">
      <c r="A541" t="inlineStr">
        <is>
          <t>900008250DW68D25110000191</t>
        </is>
      </c>
      <c r="B541" t="inlineStr">
        <is>
          <t>900008250</t>
        </is>
      </c>
      <c r="C541" t="inlineStr">
        <is>
          <t>DW68</t>
        </is>
      </c>
      <c r="D541" t="inlineStr">
        <is>
          <t>D251</t>
        </is>
      </c>
      <c r="E541" t="inlineStr">
        <is>
          <t>4</t>
        </is>
      </c>
      <c r="F541" t="inlineStr">
        <is>
          <t>10000191</t>
        </is>
      </c>
      <c r="H541" t="inlineStr"/>
      <c r="J541" t="n">
        <v>35.74</v>
      </c>
      <c r="K541" t="inlineStr"/>
      <c r="M541" t="inlineStr">
        <is>
          <t>TN</t>
        </is>
      </c>
      <c r="N541" t="inlineStr"/>
      <c r="P541" t="inlineStr">
        <is>
          <t>20230704</t>
        </is>
      </c>
      <c r="Q541" t="inlineStr">
        <is>
          <t>20260215</t>
        </is>
      </c>
    </row>
    <row r="542">
      <c r="A542" t="inlineStr">
        <is>
          <t>900008250DW68D25110000388</t>
        </is>
      </c>
      <c r="B542" t="inlineStr">
        <is>
          <t>900008250</t>
        </is>
      </c>
      <c r="C542" t="inlineStr">
        <is>
          <t>DW68</t>
        </is>
      </c>
      <c r="D542" t="inlineStr">
        <is>
          <t>D251</t>
        </is>
      </c>
      <c r="E542" t="inlineStr">
        <is>
          <t>4</t>
        </is>
      </c>
      <c r="F542" t="inlineStr">
        <is>
          <t>10000388</t>
        </is>
      </c>
      <c r="H542" t="inlineStr"/>
      <c r="J542" t="n">
        <v>36.13</v>
      </c>
      <c r="K542" t="inlineStr"/>
      <c r="M542" t="inlineStr">
        <is>
          <t>TN</t>
        </is>
      </c>
      <c r="N542" t="inlineStr"/>
      <c r="P542" t="inlineStr">
        <is>
          <t>20230704</t>
        </is>
      </c>
      <c r="Q542" t="inlineStr">
        <is>
          <t>20260215</t>
        </is>
      </c>
    </row>
    <row r="543">
      <c r="A543" t="inlineStr">
        <is>
          <t>900008250DW68D25110004258</t>
        </is>
      </c>
      <c r="B543" t="inlineStr">
        <is>
          <t>900008250</t>
        </is>
      </c>
      <c r="C543" t="inlineStr">
        <is>
          <t>DW68</t>
        </is>
      </c>
      <c r="D543" t="inlineStr">
        <is>
          <t>D251</t>
        </is>
      </c>
      <c r="E543" t="inlineStr">
        <is>
          <t>4</t>
        </is>
      </c>
      <c r="F543" t="inlineStr">
        <is>
          <t>10004258</t>
        </is>
      </c>
      <c r="H543" t="inlineStr"/>
      <c r="J543" t="n">
        <v>32.94</v>
      </c>
      <c r="K543" t="inlineStr"/>
      <c r="M543" t="inlineStr">
        <is>
          <t>TN</t>
        </is>
      </c>
      <c r="N543" t="inlineStr"/>
      <c r="P543" t="inlineStr">
        <is>
          <t>20230704</t>
        </is>
      </c>
      <c r="Q543" t="inlineStr">
        <is>
          <t>20260215</t>
        </is>
      </c>
    </row>
    <row r="544">
      <c r="A544" t="inlineStr">
        <is>
          <t>900008250DW68D25110148454</t>
        </is>
      </c>
      <c r="B544" t="inlineStr">
        <is>
          <t>900008250</t>
        </is>
      </c>
      <c r="C544" t="inlineStr">
        <is>
          <t>DW68</t>
        </is>
      </c>
      <c r="D544" t="inlineStr">
        <is>
          <t>D251</t>
        </is>
      </c>
      <c r="E544" t="inlineStr">
        <is>
          <t>4</t>
        </is>
      </c>
      <c r="F544" t="inlineStr">
        <is>
          <t>10148454</t>
        </is>
      </c>
      <c r="H544" t="inlineStr"/>
      <c r="J544" t="n">
        <v>35</v>
      </c>
      <c r="K544" t="inlineStr"/>
      <c r="M544" t="inlineStr">
        <is>
          <t>TN</t>
        </is>
      </c>
      <c r="N544" t="inlineStr"/>
      <c r="P544" t="inlineStr">
        <is>
          <t>20230704</t>
        </is>
      </c>
      <c r="Q544" t="inlineStr">
        <is>
          <t>20260215</t>
        </is>
      </c>
    </row>
    <row r="545">
      <c r="A545" t="inlineStr">
        <is>
          <t>900008250DW68D26410000191</t>
        </is>
      </c>
      <c r="B545" t="inlineStr">
        <is>
          <t>900008250</t>
        </is>
      </c>
      <c r="C545" t="inlineStr">
        <is>
          <t>DW68</t>
        </is>
      </c>
      <c r="D545" t="inlineStr">
        <is>
          <t>D264</t>
        </is>
      </c>
      <c r="E545" t="inlineStr">
        <is>
          <t>4</t>
        </is>
      </c>
      <c r="F545" t="inlineStr">
        <is>
          <t>10000191</t>
        </is>
      </c>
      <c r="H545" t="inlineStr"/>
      <c r="J545" t="n">
        <v>63.55</v>
      </c>
      <c r="K545" t="inlineStr"/>
      <c r="M545" t="inlineStr">
        <is>
          <t>TN</t>
        </is>
      </c>
      <c r="N545" t="inlineStr"/>
      <c r="P545" t="inlineStr">
        <is>
          <t>20230704</t>
        </is>
      </c>
      <c r="Q545" t="inlineStr">
        <is>
          <t>20260215</t>
        </is>
      </c>
    </row>
    <row r="546">
      <c r="A546" t="inlineStr">
        <is>
          <t>900008250DW68D26410000388</t>
        </is>
      </c>
      <c r="B546" t="inlineStr">
        <is>
          <t>900008250</t>
        </is>
      </c>
      <c r="C546" t="inlineStr">
        <is>
          <t>DW68</t>
        </is>
      </c>
      <c r="D546" t="inlineStr">
        <is>
          <t>D264</t>
        </is>
      </c>
      <c r="E546" t="inlineStr">
        <is>
          <t>4</t>
        </is>
      </c>
      <c r="F546" t="inlineStr">
        <is>
          <t>10000388</t>
        </is>
      </c>
      <c r="H546" t="inlineStr"/>
      <c r="J546" t="n">
        <v>64.23</v>
      </c>
      <c r="K546" t="inlineStr"/>
      <c r="M546" t="inlineStr">
        <is>
          <t>TN</t>
        </is>
      </c>
      <c r="N546" t="inlineStr"/>
      <c r="P546" t="inlineStr">
        <is>
          <t>20230704</t>
        </is>
      </c>
      <c r="Q546" t="inlineStr">
        <is>
          <t>20260215</t>
        </is>
      </c>
    </row>
    <row r="547">
      <c r="A547" t="inlineStr">
        <is>
          <t>900008250DW68D26410004258</t>
        </is>
      </c>
      <c r="B547" t="inlineStr">
        <is>
          <t>900008250</t>
        </is>
      </c>
      <c r="C547" t="inlineStr">
        <is>
          <t>DW68</t>
        </is>
      </c>
      <c r="D547" t="inlineStr">
        <is>
          <t>D264</t>
        </is>
      </c>
      <c r="E547" t="inlineStr">
        <is>
          <t>4</t>
        </is>
      </c>
      <c r="F547" t="inlineStr">
        <is>
          <t>10004258</t>
        </is>
      </c>
      <c r="H547" t="inlineStr"/>
      <c r="J547" t="n">
        <v>58.56</v>
      </c>
      <c r="K547" t="inlineStr"/>
      <c r="M547" t="inlineStr">
        <is>
          <t>TN</t>
        </is>
      </c>
      <c r="N547" t="inlineStr"/>
      <c r="P547" t="inlineStr">
        <is>
          <t>20230704</t>
        </is>
      </c>
      <c r="Q547" t="inlineStr">
        <is>
          <t>20260215</t>
        </is>
      </c>
    </row>
    <row r="548">
      <c r="A548" t="inlineStr">
        <is>
          <t>900008250DW68D26410148454</t>
        </is>
      </c>
      <c r="B548" t="inlineStr">
        <is>
          <t>900008250</t>
        </is>
      </c>
      <c r="C548" t="inlineStr">
        <is>
          <t>DW68</t>
        </is>
      </c>
      <c r="D548" t="inlineStr">
        <is>
          <t>D264</t>
        </is>
      </c>
      <c r="E548" t="inlineStr">
        <is>
          <t>4</t>
        </is>
      </c>
      <c r="F548" t="inlineStr">
        <is>
          <t>10148454</t>
        </is>
      </c>
      <c r="H548" t="inlineStr"/>
      <c r="J548" t="n">
        <v>62.22</v>
      </c>
      <c r="K548" t="inlineStr"/>
      <c r="M548" t="inlineStr">
        <is>
          <t>TN</t>
        </is>
      </c>
      <c r="N548" t="inlineStr"/>
      <c r="P548" t="inlineStr">
        <is>
          <t>20230704</t>
        </is>
      </c>
      <c r="Q548" t="inlineStr">
        <is>
          <t>20260215</t>
        </is>
      </c>
    </row>
    <row r="549">
      <c r="A549" t="inlineStr">
        <is>
          <t>900008250DW68D26710000191</t>
        </is>
      </c>
      <c r="B549" t="inlineStr">
        <is>
          <t>900008250</t>
        </is>
      </c>
      <c r="C549" t="inlineStr">
        <is>
          <t>DW68</t>
        </is>
      </c>
      <c r="D549" t="inlineStr">
        <is>
          <t>D267</t>
        </is>
      </c>
      <c r="E549" t="inlineStr">
        <is>
          <t>4</t>
        </is>
      </c>
      <c r="F549" t="inlineStr">
        <is>
          <t>10000191</t>
        </is>
      </c>
      <c r="H549" t="inlineStr"/>
      <c r="J549" t="n">
        <v>93.33</v>
      </c>
      <c r="K549" t="inlineStr"/>
      <c r="M549" t="inlineStr">
        <is>
          <t>TN</t>
        </is>
      </c>
      <c r="N549" t="inlineStr"/>
      <c r="P549" t="inlineStr">
        <is>
          <t>20230704</t>
        </is>
      </c>
      <c r="Q549" t="inlineStr">
        <is>
          <t>20260215</t>
        </is>
      </c>
    </row>
    <row r="550">
      <c r="A550" t="inlineStr">
        <is>
          <t>900008250DW68D26710000388</t>
        </is>
      </c>
      <c r="B550" t="inlineStr">
        <is>
          <t>900008250</t>
        </is>
      </c>
      <c r="C550" t="inlineStr">
        <is>
          <t>DW68</t>
        </is>
      </c>
      <c r="D550" t="inlineStr">
        <is>
          <t>D267</t>
        </is>
      </c>
      <c r="E550" t="inlineStr">
        <is>
          <t>4</t>
        </is>
      </c>
      <c r="F550" t="inlineStr">
        <is>
          <t>10000388</t>
        </is>
      </c>
      <c r="H550" t="inlineStr"/>
      <c r="J550" t="n">
        <v>94.34</v>
      </c>
      <c r="K550" t="inlineStr"/>
      <c r="M550" t="inlineStr">
        <is>
          <t>TN</t>
        </is>
      </c>
      <c r="N550" t="inlineStr"/>
      <c r="P550" t="inlineStr">
        <is>
          <t>20230704</t>
        </is>
      </c>
      <c r="Q550" t="inlineStr">
        <is>
          <t>20260215</t>
        </is>
      </c>
    </row>
    <row r="551">
      <c r="A551" t="inlineStr">
        <is>
          <t>900008250DW68D26710004258</t>
        </is>
      </c>
      <c r="B551" t="inlineStr">
        <is>
          <t>900008250</t>
        </is>
      </c>
      <c r="C551" t="inlineStr">
        <is>
          <t>DW68</t>
        </is>
      </c>
      <c r="D551" t="inlineStr">
        <is>
          <t>D267</t>
        </is>
      </c>
      <c r="E551" t="inlineStr">
        <is>
          <t>4</t>
        </is>
      </c>
      <c r="F551" t="inlineStr">
        <is>
          <t>10004258</t>
        </is>
      </c>
      <c r="H551" t="inlineStr"/>
      <c r="J551" t="n">
        <v>86.01000000000001</v>
      </c>
      <c r="K551" t="inlineStr"/>
      <c r="M551" t="inlineStr">
        <is>
          <t>TN</t>
        </is>
      </c>
      <c r="N551" t="inlineStr"/>
      <c r="P551" t="inlineStr">
        <is>
          <t>20230704</t>
        </is>
      </c>
      <c r="Q551" t="inlineStr">
        <is>
          <t>20260215</t>
        </is>
      </c>
    </row>
    <row r="552">
      <c r="A552" t="inlineStr">
        <is>
          <t>900008250DW68D26710148454</t>
        </is>
      </c>
      <c r="B552" t="inlineStr">
        <is>
          <t>900008250</t>
        </is>
      </c>
      <c r="C552" t="inlineStr">
        <is>
          <t>DW68</t>
        </is>
      </c>
      <c r="D552" t="inlineStr">
        <is>
          <t>D267</t>
        </is>
      </c>
      <c r="E552" t="inlineStr">
        <is>
          <t>4</t>
        </is>
      </c>
      <c r="F552" t="inlineStr">
        <is>
          <t>10148454</t>
        </is>
      </c>
      <c r="H552" t="inlineStr"/>
      <c r="J552" t="n">
        <v>91.39</v>
      </c>
      <c r="K552" t="inlineStr"/>
      <c r="M552" t="inlineStr">
        <is>
          <t>TN</t>
        </is>
      </c>
      <c r="N552" t="inlineStr"/>
      <c r="P552" t="inlineStr">
        <is>
          <t>20230704</t>
        </is>
      </c>
      <c r="Q552" t="inlineStr">
        <is>
          <t>20260215</t>
        </is>
      </c>
    </row>
    <row r="553">
      <c r="A553" t="inlineStr">
        <is>
          <t>900008251DW68D04210000191</t>
        </is>
      </c>
      <c r="B553" t="inlineStr">
        <is>
          <t>900008251</t>
        </is>
      </c>
      <c r="C553" t="inlineStr">
        <is>
          <t>DW68</t>
        </is>
      </c>
      <c r="D553" t="inlineStr">
        <is>
          <t>D042</t>
        </is>
      </c>
      <c r="E553" t="inlineStr">
        <is>
          <t>4</t>
        </is>
      </c>
      <c r="F553" t="inlineStr">
        <is>
          <t>10000191</t>
        </is>
      </c>
      <c r="H553" t="inlineStr"/>
      <c r="J553" t="n">
        <v>107.23</v>
      </c>
      <c r="K553" t="inlineStr"/>
      <c r="M553" t="inlineStr">
        <is>
          <t>TN</t>
        </is>
      </c>
      <c r="N553" t="inlineStr"/>
      <c r="P553" t="inlineStr">
        <is>
          <t>20240601</t>
        </is>
      </c>
      <c r="Q553" t="inlineStr">
        <is>
          <t>99991231</t>
        </is>
      </c>
    </row>
    <row r="554">
      <c r="A554" t="inlineStr">
        <is>
          <t>900008251DW68D04210000384</t>
        </is>
      </c>
      <c r="B554" t="inlineStr">
        <is>
          <t>900008251</t>
        </is>
      </c>
      <c r="C554" t="inlineStr">
        <is>
          <t>DW68</t>
        </is>
      </c>
      <c r="D554" t="inlineStr">
        <is>
          <t>D042</t>
        </is>
      </c>
      <c r="E554" t="inlineStr">
        <is>
          <t>4</t>
        </is>
      </c>
      <c r="F554" t="inlineStr">
        <is>
          <t>10000384</t>
        </is>
      </c>
      <c r="H554" t="inlineStr"/>
      <c r="J554" t="n">
        <v>93.91</v>
      </c>
      <c r="K554" t="inlineStr"/>
      <c r="M554" t="inlineStr">
        <is>
          <t>TN</t>
        </is>
      </c>
      <c r="N554" t="inlineStr"/>
      <c r="P554" t="inlineStr">
        <is>
          <t>20240601</t>
        </is>
      </c>
      <c r="Q554" t="inlineStr">
        <is>
          <t>99991231</t>
        </is>
      </c>
    </row>
    <row r="555">
      <c r="A555" t="inlineStr">
        <is>
          <t>900008251DW68D04210000388</t>
        </is>
      </c>
      <c r="B555" t="inlineStr">
        <is>
          <t>900008251</t>
        </is>
      </c>
      <c r="C555" t="inlineStr">
        <is>
          <t>DW68</t>
        </is>
      </c>
      <c r="D555" t="inlineStr">
        <is>
          <t>D042</t>
        </is>
      </c>
      <c r="E555" t="inlineStr">
        <is>
          <t>4</t>
        </is>
      </c>
      <c r="F555" t="inlineStr">
        <is>
          <t>10000388</t>
        </is>
      </c>
      <c r="H555" t="inlineStr"/>
      <c r="J555" t="n">
        <v>108.39</v>
      </c>
      <c r="K555" t="inlineStr"/>
      <c r="M555" t="inlineStr">
        <is>
          <t>TN</t>
        </is>
      </c>
      <c r="N555" t="inlineStr"/>
      <c r="P555" t="inlineStr">
        <is>
          <t>20240601</t>
        </is>
      </c>
      <c r="Q555" t="inlineStr">
        <is>
          <t>99991231</t>
        </is>
      </c>
    </row>
    <row r="556">
      <c r="A556" t="inlineStr">
        <is>
          <t>900008251DW68D04210000726</t>
        </is>
      </c>
      <c r="B556" t="inlineStr">
        <is>
          <t>900008251</t>
        </is>
      </c>
      <c r="C556" t="inlineStr">
        <is>
          <t>DW68</t>
        </is>
      </c>
      <c r="D556" t="inlineStr">
        <is>
          <t>D042</t>
        </is>
      </c>
      <c r="E556" t="inlineStr">
        <is>
          <t>4</t>
        </is>
      </c>
      <c r="F556" t="inlineStr">
        <is>
          <t>10000726</t>
        </is>
      </c>
      <c r="H556" t="inlineStr"/>
      <c r="J556" t="n">
        <v>81.62</v>
      </c>
      <c r="K556" t="inlineStr"/>
      <c r="M556" t="inlineStr">
        <is>
          <t>TN</t>
        </is>
      </c>
      <c r="N556" t="inlineStr"/>
      <c r="P556" t="inlineStr">
        <is>
          <t>20231005</t>
        </is>
      </c>
      <c r="Q556" t="inlineStr">
        <is>
          <t>99991231</t>
        </is>
      </c>
    </row>
    <row r="557">
      <c r="A557" t="inlineStr">
        <is>
          <t>900008251DW68D04210004258</t>
        </is>
      </c>
      <c r="B557" t="inlineStr">
        <is>
          <t>900008251</t>
        </is>
      </c>
      <c r="C557" t="inlineStr">
        <is>
          <t>DW68</t>
        </is>
      </c>
      <c r="D557" t="inlineStr">
        <is>
          <t>D042</t>
        </is>
      </c>
      <c r="E557" t="inlineStr">
        <is>
          <t>4</t>
        </is>
      </c>
      <c r="F557" t="inlineStr">
        <is>
          <t>10004258</t>
        </is>
      </c>
      <c r="H557" t="inlineStr"/>
      <c r="J557" t="n">
        <v>98.81999999999999</v>
      </c>
      <c r="K557" t="inlineStr"/>
      <c r="M557" t="inlineStr">
        <is>
          <t>TN</t>
        </is>
      </c>
      <c r="N557" t="inlineStr"/>
      <c r="P557" t="inlineStr">
        <is>
          <t>20240601</t>
        </is>
      </c>
      <c r="Q557" t="inlineStr">
        <is>
          <t>99991231</t>
        </is>
      </c>
    </row>
    <row r="558">
      <c r="A558" t="inlineStr">
        <is>
          <t>900008251DW68D20910000191</t>
        </is>
      </c>
      <c r="B558" t="inlineStr">
        <is>
          <t>900008251</t>
        </is>
      </c>
      <c r="C558" t="inlineStr">
        <is>
          <t>DW68</t>
        </is>
      </c>
      <c r="D558" t="inlineStr">
        <is>
          <t>D209</t>
        </is>
      </c>
      <c r="E558" t="inlineStr">
        <is>
          <t>4</t>
        </is>
      </c>
      <c r="F558" t="inlineStr">
        <is>
          <t>10000191</t>
        </is>
      </c>
      <c r="H558" t="inlineStr"/>
      <c r="J558" t="n">
        <v>154.42</v>
      </c>
      <c r="K558" t="inlineStr"/>
      <c r="M558" t="inlineStr">
        <is>
          <t>TN</t>
        </is>
      </c>
      <c r="N558" t="inlineStr"/>
      <c r="P558" t="inlineStr">
        <is>
          <t>20240601</t>
        </is>
      </c>
      <c r="Q558" t="inlineStr">
        <is>
          <t>99991231</t>
        </is>
      </c>
    </row>
    <row r="559">
      <c r="A559" t="inlineStr">
        <is>
          <t>900008251DW68D20910000384</t>
        </is>
      </c>
      <c r="B559" t="inlineStr">
        <is>
          <t>900008251</t>
        </is>
      </c>
      <c r="C559" t="inlineStr">
        <is>
          <t>DW68</t>
        </is>
      </c>
      <c r="D559" t="inlineStr">
        <is>
          <t>D209</t>
        </is>
      </c>
      <c r="E559" t="inlineStr">
        <is>
          <t>4</t>
        </is>
      </c>
      <c r="F559" t="inlineStr">
        <is>
          <t>10000384</t>
        </is>
      </c>
      <c r="H559" t="inlineStr"/>
      <c r="J559" t="n">
        <v>135.24</v>
      </c>
      <c r="K559" t="inlineStr"/>
      <c r="M559" t="inlineStr">
        <is>
          <t>TN</t>
        </is>
      </c>
      <c r="N559" t="inlineStr"/>
      <c r="P559" t="inlineStr">
        <is>
          <t>20240601</t>
        </is>
      </c>
      <c r="Q559" t="inlineStr">
        <is>
          <t>99991231</t>
        </is>
      </c>
    </row>
    <row r="560">
      <c r="A560" t="inlineStr">
        <is>
          <t>900008251DW68D20910000388</t>
        </is>
      </c>
      <c r="B560" t="inlineStr">
        <is>
          <t>900008251</t>
        </is>
      </c>
      <c r="C560" t="inlineStr">
        <is>
          <t>DW68</t>
        </is>
      </c>
      <c r="D560" t="inlineStr">
        <is>
          <t>D209</t>
        </is>
      </c>
      <c r="E560" t="inlineStr">
        <is>
          <t>4</t>
        </is>
      </c>
      <c r="F560" t="inlineStr">
        <is>
          <t>10000388</t>
        </is>
      </c>
      <c r="H560" t="inlineStr"/>
      <c r="J560" t="n">
        <v>156.08</v>
      </c>
      <c r="K560" t="inlineStr"/>
      <c r="M560" t="inlineStr">
        <is>
          <t>TN</t>
        </is>
      </c>
      <c r="N560" t="inlineStr"/>
      <c r="P560" t="inlineStr">
        <is>
          <t>20240601</t>
        </is>
      </c>
      <c r="Q560" t="inlineStr">
        <is>
          <t>99991231</t>
        </is>
      </c>
    </row>
    <row r="561">
      <c r="A561" t="inlineStr">
        <is>
          <t>900008251DW68D20910004258</t>
        </is>
      </c>
      <c r="B561" t="inlineStr">
        <is>
          <t>900008251</t>
        </is>
      </c>
      <c r="C561" t="inlineStr">
        <is>
          <t>DW68</t>
        </is>
      </c>
      <c r="D561" t="inlineStr">
        <is>
          <t>D209</t>
        </is>
      </c>
      <c r="E561" t="inlineStr">
        <is>
          <t>4</t>
        </is>
      </c>
      <c r="F561" t="inlineStr">
        <is>
          <t>10004258</t>
        </is>
      </c>
      <c r="H561" t="inlineStr"/>
      <c r="J561" t="n">
        <v>142.3</v>
      </c>
      <c r="K561" t="inlineStr"/>
      <c r="M561" t="inlineStr">
        <is>
          <t>TN</t>
        </is>
      </c>
      <c r="N561" t="inlineStr"/>
      <c r="P561" t="inlineStr">
        <is>
          <t>20240601</t>
        </is>
      </c>
      <c r="Q561" t="inlineStr">
        <is>
          <t>99991231</t>
        </is>
      </c>
    </row>
    <row r="562">
      <c r="A562" t="inlineStr">
        <is>
          <t>900008251DW68D21110000191</t>
        </is>
      </c>
      <c r="B562" t="inlineStr">
        <is>
          <t>900008251</t>
        </is>
      </c>
      <c r="C562" t="inlineStr">
        <is>
          <t>DW68</t>
        </is>
      </c>
      <c r="D562" t="inlineStr">
        <is>
          <t>D211</t>
        </is>
      </c>
      <c r="E562" t="inlineStr">
        <is>
          <t>4</t>
        </is>
      </c>
      <c r="F562" t="inlineStr">
        <is>
          <t>10000191</t>
        </is>
      </c>
      <c r="H562" t="inlineStr"/>
      <c r="J562" t="n">
        <v>143.69</v>
      </c>
      <c r="K562" t="inlineStr"/>
      <c r="M562" t="inlineStr">
        <is>
          <t>TN</t>
        </is>
      </c>
      <c r="N562" t="inlineStr"/>
      <c r="P562" t="inlineStr">
        <is>
          <t>20240601</t>
        </is>
      </c>
      <c r="Q562" t="inlineStr">
        <is>
          <t>99991231</t>
        </is>
      </c>
    </row>
    <row r="563">
      <c r="A563" t="inlineStr">
        <is>
          <t>900008251DW68D21110000384</t>
        </is>
      </c>
      <c r="B563" t="inlineStr">
        <is>
          <t>900008251</t>
        </is>
      </c>
      <c r="C563" t="inlineStr">
        <is>
          <t>DW68</t>
        </is>
      </c>
      <c r="D563" t="inlineStr">
        <is>
          <t>D211</t>
        </is>
      </c>
      <c r="E563" t="inlineStr">
        <is>
          <t>4</t>
        </is>
      </c>
      <c r="F563" t="inlineStr">
        <is>
          <t>10000384</t>
        </is>
      </c>
      <c r="H563" t="inlineStr"/>
      <c r="J563" t="n">
        <v>125.84</v>
      </c>
      <c r="K563" t="inlineStr"/>
      <c r="M563" t="inlineStr">
        <is>
          <t>TN</t>
        </is>
      </c>
      <c r="N563" t="inlineStr"/>
      <c r="P563" t="inlineStr">
        <is>
          <t>20240601</t>
        </is>
      </c>
      <c r="Q563" t="inlineStr">
        <is>
          <t>99991231</t>
        </is>
      </c>
    </row>
    <row r="564">
      <c r="A564" t="inlineStr">
        <is>
          <t>900008251DW68D21110000388</t>
        </is>
      </c>
      <c r="B564" t="inlineStr">
        <is>
          <t>900008251</t>
        </is>
      </c>
      <c r="C564" t="inlineStr">
        <is>
          <t>DW68</t>
        </is>
      </c>
      <c r="D564" t="inlineStr">
        <is>
          <t>D211</t>
        </is>
      </c>
      <c r="E564" t="inlineStr">
        <is>
          <t>4</t>
        </is>
      </c>
      <c r="F564" t="inlineStr">
        <is>
          <t>10000388</t>
        </is>
      </c>
      <c r="H564" t="inlineStr"/>
      <c r="J564" t="n">
        <v>145.24</v>
      </c>
      <c r="K564" t="inlineStr"/>
      <c r="M564" t="inlineStr">
        <is>
          <t>TN</t>
        </is>
      </c>
      <c r="N564" t="inlineStr"/>
      <c r="P564" t="inlineStr">
        <is>
          <t>20240601</t>
        </is>
      </c>
      <c r="Q564" t="inlineStr">
        <is>
          <t>99991231</t>
        </is>
      </c>
    </row>
    <row r="565">
      <c r="A565" t="inlineStr">
        <is>
          <t>900008251DW68D21110004258</t>
        </is>
      </c>
      <c r="B565" t="inlineStr">
        <is>
          <t>900008251</t>
        </is>
      </c>
      <c r="C565" t="inlineStr">
        <is>
          <t>DW68</t>
        </is>
      </c>
      <c r="D565" t="inlineStr">
        <is>
          <t>D211</t>
        </is>
      </c>
      <c r="E565" t="inlineStr">
        <is>
          <t>4</t>
        </is>
      </c>
      <c r="F565" t="inlineStr">
        <is>
          <t>10004258</t>
        </is>
      </c>
      <c r="H565" t="inlineStr"/>
      <c r="J565" t="n">
        <v>132.42</v>
      </c>
      <c r="K565" t="inlineStr"/>
      <c r="M565" t="inlineStr">
        <is>
          <t>TN</t>
        </is>
      </c>
      <c r="N565" t="inlineStr"/>
      <c r="P565" t="inlineStr">
        <is>
          <t>20240601</t>
        </is>
      </c>
      <c r="Q565" t="inlineStr">
        <is>
          <t>99991231</t>
        </is>
      </c>
    </row>
    <row r="566">
      <c r="A566" t="inlineStr">
        <is>
          <t>900008251DW68D22810000191</t>
        </is>
      </c>
      <c r="B566" t="inlineStr">
        <is>
          <t>900008251</t>
        </is>
      </c>
      <c r="C566" t="inlineStr">
        <is>
          <t>DW68</t>
        </is>
      </c>
      <c r="D566" t="inlineStr">
        <is>
          <t>D228</t>
        </is>
      </c>
      <c r="E566" t="inlineStr">
        <is>
          <t>4</t>
        </is>
      </c>
      <c r="F566" t="inlineStr">
        <is>
          <t>10000191</t>
        </is>
      </c>
      <c r="H566" t="inlineStr"/>
      <c r="J566" t="n">
        <v>109.38</v>
      </c>
      <c r="K566" t="inlineStr"/>
      <c r="M566" t="inlineStr">
        <is>
          <t>TN</t>
        </is>
      </c>
      <c r="N566" t="inlineStr"/>
      <c r="P566" t="inlineStr">
        <is>
          <t>20240601</t>
        </is>
      </c>
      <c r="Q566" t="inlineStr">
        <is>
          <t>99991231</t>
        </is>
      </c>
    </row>
    <row r="567">
      <c r="A567" t="inlineStr">
        <is>
          <t>900008251DW68D22810000384</t>
        </is>
      </c>
      <c r="B567" t="inlineStr">
        <is>
          <t>900008251</t>
        </is>
      </c>
      <c r="C567" t="inlineStr">
        <is>
          <t>DW68</t>
        </is>
      </c>
      <c r="D567" t="inlineStr">
        <is>
          <t>D228</t>
        </is>
      </c>
      <c r="E567" t="inlineStr">
        <is>
          <t>4</t>
        </is>
      </c>
      <c r="F567" t="inlineStr">
        <is>
          <t>10000384</t>
        </is>
      </c>
      <c r="H567" t="inlineStr"/>
      <c r="J567" t="n">
        <v>95.79000000000001</v>
      </c>
      <c r="K567" t="inlineStr"/>
      <c r="M567" t="inlineStr">
        <is>
          <t>TN</t>
        </is>
      </c>
      <c r="N567" t="inlineStr"/>
      <c r="P567" t="inlineStr">
        <is>
          <t>20240601</t>
        </is>
      </c>
      <c r="Q567" t="inlineStr">
        <is>
          <t>99991231</t>
        </is>
      </c>
    </row>
    <row r="568">
      <c r="A568" t="inlineStr">
        <is>
          <t>900008251DW68D22810000388</t>
        </is>
      </c>
      <c r="B568" t="inlineStr">
        <is>
          <t>900008251</t>
        </is>
      </c>
      <c r="C568" t="inlineStr">
        <is>
          <t>DW68</t>
        </is>
      </c>
      <c r="D568" t="inlineStr">
        <is>
          <t>D228</t>
        </is>
      </c>
      <c r="E568" t="inlineStr">
        <is>
          <t>4</t>
        </is>
      </c>
      <c r="F568" t="inlineStr">
        <is>
          <t>10000388</t>
        </is>
      </c>
      <c r="H568" t="inlineStr"/>
      <c r="J568" t="n">
        <v>110.55</v>
      </c>
      <c r="K568" t="inlineStr"/>
      <c r="M568" t="inlineStr">
        <is>
          <t>TN</t>
        </is>
      </c>
      <c r="N568" t="inlineStr"/>
      <c r="P568" t="inlineStr">
        <is>
          <t>20240601</t>
        </is>
      </c>
      <c r="Q568" t="inlineStr">
        <is>
          <t>99991231</t>
        </is>
      </c>
    </row>
    <row r="569">
      <c r="A569" t="inlineStr">
        <is>
          <t>900008251DW68D22810004258</t>
        </is>
      </c>
      <c r="B569" t="inlineStr">
        <is>
          <t>900008251</t>
        </is>
      </c>
      <c r="C569" t="inlineStr">
        <is>
          <t>DW68</t>
        </is>
      </c>
      <c r="D569" t="inlineStr">
        <is>
          <t>D228</t>
        </is>
      </c>
      <c r="E569" t="inlineStr">
        <is>
          <t>4</t>
        </is>
      </c>
      <c r="F569" t="inlineStr">
        <is>
          <t>10004258</t>
        </is>
      </c>
      <c r="H569" t="inlineStr"/>
      <c r="J569" t="n">
        <v>100.79</v>
      </c>
      <c r="K569" t="inlineStr"/>
      <c r="M569" t="inlineStr">
        <is>
          <t>TN</t>
        </is>
      </c>
      <c r="N569" t="inlineStr"/>
      <c r="P569" t="inlineStr">
        <is>
          <t>20240601</t>
        </is>
      </c>
      <c r="Q569" t="inlineStr">
        <is>
          <t>99991231</t>
        </is>
      </c>
    </row>
    <row r="570">
      <c r="A570" t="inlineStr">
        <is>
          <t>900008251DW68D24210000191</t>
        </is>
      </c>
      <c r="B570" t="inlineStr">
        <is>
          <t>900008251</t>
        </is>
      </c>
      <c r="C570" t="inlineStr">
        <is>
          <t>DW68</t>
        </is>
      </c>
      <c r="D570" t="inlineStr">
        <is>
          <t>D242</t>
        </is>
      </c>
      <c r="E570" t="inlineStr">
        <is>
          <t>4</t>
        </is>
      </c>
      <c r="F570" t="inlineStr">
        <is>
          <t>10000191</t>
        </is>
      </c>
      <c r="H570" t="inlineStr"/>
      <c r="J570" t="n">
        <v>98.66</v>
      </c>
      <c r="K570" t="inlineStr"/>
      <c r="M570" t="inlineStr">
        <is>
          <t>TN</t>
        </is>
      </c>
      <c r="N570" t="inlineStr"/>
      <c r="P570" t="inlineStr">
        <is>
          <t>20240601</t>
        </is>
      </c>
      <c r="Q570" t="inlineStr">
        <is>
          <t>99991231</t>
        </is>
      </c>
    </row>
    <row r="571">
      <c r="A571" t="inlineStr">
        <is>
          <t>900008251DW68D24210000384</t>
        </is>
      </c>
      <c r="B571" t="inlineStr">
        <is>
          <t>900008251</t>
        </is>
      </c>
      <c r="C571" t="inlineStr">
        <is>
          <t>DW68</t>
        </is>
      </c>
      <c r="D571" t="inlineStr">
        <is>
          <t>D242</t>
        </is>
      </c>
      <c r="E571" t="inlineStr">
        <is>
          <t>4</t>
        </is>
      </c>
      <c r="F571" t="inlineStr">
        <is>
          <t>10000384</t>
        </is>
      </c>
      <c r="H571" t="inlineStr"/>
      <c r="J571" t="n">
        <v>86.40000000000001</v>
      </c>
      <c r="K571" t="inlineStr"/>
      <c r="M571" t="inlineStr">
        <is>
          <t>TN</t>
        </is>
      </c>
      <c r="N571" t="inlineStr"/>
      <c r="P571" t="inlineStr">
        <is>
          <t>20240601</t>
        </is>
      </c>
      <c r="Q571" t="inlineStr">
        <is>
          <t>99991231</t>
        </is>
      </c>
    </row>
    <row r="572">
      <c r="A572" t="inlineStr">
        <is>
          <t>900008251DW68D24210000388</t>
        </is>
      </c>
      <c r="B572" t="inlineStr">
        <is>
          <t>900008251</t>
        </is>
      </c>
      <c r="C572" t="inlineStr">
        <is>
          <t>DW68</t>
        </is>
      </c>
      <c r="D572" t="inlineStr">
        <is>
          <t>D242</t>
        </is>
      </c>
      <c r="E572" t="inlineStr">
        <is>
          <t>4</t>
        </is>
      </c>
      <c r="F572" t="inlineStr">
        <is>
          <t>10000388</t>
        </is>
      </c>
      <c r="H572" t="inlineStr"/>
      <c r="J572" t="n">
        <v>99.70999999999999</v>
      </c>
      <c r="K572" t="inlineStr"/>
      <c r="M572" t="inlineStr">
        <is>
          <t>TN</t>
        </is>
      </c>
      <c r="N572" t="inlineStr"/>
      <c r="P572" t="inlineStr">
        <is>
          <t>20240601</t>
        </is>
      </c>
      <c r="Q572" t="inlineStr">
        <is>
          <t>99991231</t>
        </is>
      </c>
    </row>
    <row r="573">
      <c r="A573" t="inlineStr">
        <is>
          <t>900008251DW68D24210000726</t>
        </is>
      </c>
      <c r="B573" t="inlineStr">
        <is>
          <t>900008251</t>
        </is>
      </c>
      <c r="C573" t="inlineStr">
        <is>
          <t>DW68</t>
        </is>
      </c>
      <c r="D573" t="inlineStr">
        <is>
          <t>D242</t>
        </is>
      </c>
      <c r="E573" t="inlineStr">
        <is>
          <t>4</t>
        </is>
      </c>
      <c r="F573" t="inlineStr">
        <is>
          <t>10000726</t>
        </is>
      </c>
      <c r="H573" t="inlineStr"/>
      <c r="J573" t="n">
        <v>81.62</v>
      </c>
      <c r="K573" t="inlineStr"/>
      <c r="M573" t="inlineStr">
        <is>
          <t>TN</t>
        </is>
      </c>
      <c r="N573" t="inlineStr"/>
      <c r="P573" t="inlineStr">
        <is>
          <t>20230926</t>
        </is>
      </c>
      <c r="Q573" t="inlineStr">
        <is>
          <t>99991231</t>
        </is>
      </c>
    </row>
    <row r="574">
      <c r="A574" t="inlineStr">
        <is>
          <t>900008251DW68D24210004258</t>
        </is>
      </c>
      <c r="B574" t="inlineStr">
        <is>
          <t>900008251</t>
        </is>
      </c>
      <c r="C574" t="inlineStr">
        <is>
          <t>DW68</t>
        </is>
      </c>
      <c r="D574" t="inlineStr">
        <is>
          <t>D242</t>
        </is>
      </c>
      <c r="E574" t="inlineStr">
        <is>
          <t>4</t>
        </is>
      </c>
      <c r="F574" t="inlineStr">
        <is>
          <t>10004258</t>
        </is>
      </c>
      <c r="H574" t="inlineStr"/>
      <c r="J574" t="n">
        <v>90.91</v>
      </c>
      <c r="K574" t="inlineStr"/>
      <c r="M574" t="inlineStr">
        <is>
          <t>TN</t>
        </is>
      </c>
      <c r="N574" t="inlineStr"/>
      <c r="P574" t="inlineStr">
        <is>
          <t>20240601</t>
        </is>
      </c>
      <c r="Q574" t="inlineStr">
        <is>
          <t>99991231</t>
        </is>
      </c>
    </row>
    <row r="575">
      <c r="A575" t="inlineStr">
        <is>
          <t>900008251DW68D24710000191</t>
        </is>
      </c>
      <c r="B575" t="inlineStr">
        <is>
          <t>900008251</t>
        </is>
      </c>
      <c r="C575" t="inlineStr">
        <is>
          <t>DW68</t>
        </is>
      </c>
      <c r="D575" t="inlineStr">
        <is>
          <t>D247</t>
        </is>
      </c>
      <c r="E575" t="inlineStr">
        <is>
          <t>4</t>
        </is>
      </c>
      <c r="F575" t="inlineStr">
        <is>
          <t>10000191</t>
        </is>
      </c>
      <c r="H575" t="inlineStr"/>
      <c r="J575" t="n">
        <v>160.85</v>
      </c>
      <c r="K575" t="inlineStr"/>
      <c r="M575" t="inlineStr">
        <is>
          <t>TN</t>
        </is>
      </c>
      <c r="N575" t="inlineStr"/>
      <c r="P575" t="inlineStr">
        <is>
          <t>20240601</t>
        </is>
      </c>
      <c r="Q575" t="inlineStr">
        <is>
          <t>99991231</t>
        </is>
      </c>
    </row>
    <row r="576">
      <c r="A576" t="inlineStr">
        <is>
          <t>900008251DW68D24710000384</t>
        </is>
      </c>
      <c r="B576" t="inlineStr">
        <is>
          <t>900008251</t>
        </is>
      </c>
      <c r="C576" t="inlineStr">
        <is>
          <t>DW68</t>
        </is>
      </c>
      <c r="D576" t="inlineStr">
        <is>
          <t>D247</t>
        </is>
      </c>
      <c r="E576" t="inlineStr">
        <is>
          <t>4</t>
        </is>
      </c>
      <c r="F576" t="inlineStr">
        <is>
          <t>10000384</t>
        </is>
      </c>
      <c r="H576" t="inlineStr"/>
      <c r="J576" t="n">
        <v>140.87</v>
      </c>
      <c r="K576" t="inlineStr"/>
      <c r="M576" t="inlineStr">
        <is>
          <t>TN</t>
        </is>
      </c>
      <c r="N576" t="inlineStr"/>
      <c r="P576" t="inlineStr">
        <is>
          <t>20240601</t>
        </is>
      </c>
      <c r="Q576" t="inlineStr">
        <is>
          <t>99991231</t>
        </is>
      </c>
    </row>
    <row r="577">
      <c r="A577" t="inlineStr">
        <is>
          <t>900008251DW68D24710000388</t>
        </is>
      </c>
      <c r="B577" t="inlineStr">
        <is>
          <t>900008251</t>
        </is>
      </c>
      <c r="C577" t="inlineStr">
        <is>
          <t>DW68</t>
        </is>
      </c>
      <c r="D577" t="inlineStr">
        <is>
          <t>D247</t>
        </is>
      </c>
      <c r="E577" t="inlineStr">
        <is>
          <t>4</t>
        </is>
      </c>
      <c r="F577" t="inlineStr">
        <is>
          <t>10000388</t>
        </is>
      </c>
      <c r="H577" t="inlineStr"/>
      <c r="J577" t="n">
        <v>162.58</v>
      </c>
      <c r="K577" t="inlineStr"/>
      <c r="M577" t="inlineStr">
        <is>
          <t>TN</t>
        </is>
      </c>
      <c r="N577" t="inlineStr"/>
      <c r="P577" t="inlineStr">
        <is>
          <t>20240601</t>
        </is>
      </c>
      <c r="Q577" t="inlineStr">
        <is>
          <t>99991231</t>
        </is>
      </c>
    </row>
    <row r="578">
      <c r="A578" t="inlineStr">
        <is>
          <t>900008251DW68D24710004258</t>
        </is>
      </c>
      <c r="B578" t="inlineStr">
        <is>
          <t>900008251</t>
        </is>
      </c>
      <c r="C578" t="inlineStr">
        <is>
          <t>DW68</t>
        </is>
      </c>
      <c r="D578" t="inlineStr">
        <is>
          <t>D247</t>
        </is>
      </c>
      <c r="E578" t="inlineStr">
        <is>
          <t>4</t>
        </is>
      </c>
      <c r="F578" t="inlineStr">
        <is>
          <t>10004258</t>
        </is>
      </c>
      <c r="H578" t="inlineStr"/>
      <c r="J578" t="n">
        <v>148.23</v>
      </c>
      <c r="K578" t="inlineStr"/>
      <c r="M578" t="inlineStr">
        <is>
          <t>TN</t>
        </is>
      </c>
      <c r="N578" t="inlineStr"/>
      <c r="P578" t="inlineStr">
        <is>
          <t>20240601</t>
        </is>
      </c>
      <c r="Q578" t="inlineStr">
        <is>
          <t>99991231</t>
        </is>
      </c>
    </row>
    <row r="579">
      <c r="A579" t="inlineStr">
        <is>
          <t>900008251DW68D25110000191</t>
        </is>
      </c>
      <c r="B579" t="inlineStr">
        <is>
          <t>900008251</t>
        </is>
      </c>
      <c r="C579" t="inlineStr">
        <is>
          <t>DW68</t>
        </is>
      </c>
      <c r="D579" t="inlineStr">
        <is>
          <t>D251</t>
        </is>
      </c>
      <c r="E579" t="inlineStr">
        <is>
          <t>4</t>
        </is>
      </c>
      <c r="F579" t="inlineStr">
        <is>
          <t>10000191</t>
        </is>
      </c>
      <c r="H579" t="inlineStr"/>
      <c r="J579" t="n">
        <v>186.59</v>
      </c>
      <c r="K579" t="inlineStr"/>
      <c r="M579" t="inlineStr">
        <is>
          <t>TN</t>
        </is>
      </c>
      <c r="N579" t="inlineStr"/>
      <c r="P579" t="inlineStr">
        <is>
          <t>20240601</t>
        </is>
      </c>
      <c r="Q579" t="inlineStr">
        <is>
          <t>99991231</t>
        </is>
      </c>
    </row>
    <row r="580">
      <c r="A580" t="inlineStr">
        <is>
          <t>900008251DW68D25110000384</t>
        </is>
      </c>
      <c r="B580" t="inlineStr">
        <is>
          <t>900008251</t>
        </is>
      </c>
      <c r="C580" t="inlineStr">
        <is>
          <t>DW68</t>
        </is>
      </c>
      <c r="D580" t="inlineStr">
        <is>
          <t>D251</t>
        </is>
      </c>
      <c r="E580" t="inlineStr">
        <is>
          <t>4</t>
        </is>
      </c>
      <c r="F580" t="inlineStr">
        <is>
          <t>10000384</t>
        </is>
      </c>
      <c r="H580" t="inlineStr"/>
      <c r="J580" t="n">
        <v>163.41</v>
      </c>
      <c r="K580" t="inlineStr"/>
      <c r="M580" t="inlineStr">
        <is>
          <t>TN</t>
        </is>
      </c>
      <c r="N580" t="inlineStr"/>
      <c r="P580" t="inlineStr">
        <is>
          <t>20240601</t>
        </is>
      </c>
      <c r="Q580" t="inlineStr">
        <is>
          <t>99991231</t>
        </is>
      </c>
    </row>
    <row r="581">
      <c r="A581" t="inlineStr">
        <is>
          <t>900008251DW68D25110000388</t>
        </is>
      </c>
      <c r="B581" t="inlineStr">
        <is>
          <t>900008251</t>
        </is>
      </c>
      <c r="C581" t="inlineStr">
        <is>
          <t>DW68</t>
        </is>
      </c>
      <c r="D581" t="inlineStr">
        <is>
          <t>D251</t>
        </is>
      </c>
      <c r="E581" t="inlineStr">
        <is>
          <t>4</t>
        </is>
      </c>
      <c r="F581" t="inlineStr">
        <is>
          <t>10000388</t>
        </is>
      </c>
      <c r="H581" t="inlineStr"/>
      <c r="J581" t="n">
        <v>188.59</v>
      </c>
      <c r="K581" t="inlineStr"/>
      <c r="M581" t="inlineStr">
        <is>
          <t>TN</t>
        </is>
      </c>
      <c r="N581" t="inlineStr"/>
      <c r="P581" t="inlineStr">
        <is>
          <t>20240601</t>
        </is>
      </c>
      <c r="Q581" t="inlineStr">
        <is>
          <t>99991231</t>
        </is>
      </c>
    </row>
    <row r="582">
      <c r="A582" t="inlineStr">
        <is>
          <t>900008251DW68D25110004258</t>
        </is>
      </c>
      <c r="B582" t="inlineStr">
        <is>
          <t>900008251</t>
        </is>
      </c>
      <c r="C582" t="inlineStr">
        <is>
          <t>DW68</t>
        </is>
      </c>
      <c r="D582" t="inlineStr">
        <is>
          <t>D251</t>
        </is>
      </c>
      <c r="E582" t="inlineStr">
        <is>
          <t>4</t>
        </is>
      </c>
      <c r="F582" t="inlineStr">
        <is>
          <t>10004258</t>
        </is>
      </c>
      <c r="H582" t="inlineStr"/>
      <c r="J582" t="n">
        <v>171.95</v>
      </c>
      <c r="K582" t="inlineStr"/>
      <c r="M582" t="inlineStr">
        <is>
          <t>TN</t>
        </is>
      </c>
      <c r="N582" t="inlineStr"/>
      <c r="P582" t="inlineStr">
        <is>
          <t>20240601</t>
        </is>
      </c>
      <c r="Q582" t="inlineStr">
        <is>
          <t>99991231</t>
        </is>
      </c>
    </row>
    <row r="583">
      <c r="A583" t="inlineStr">
        <is>
          <t>900008251DW68D26410000191</t>
        </is>
      </c>
      <c r="B583" t="inlineStr">
        <is>
          <t>900008251</t>
        </is>
      </c>
      <c r="C583" t="inlineStr">
        <is>
          <t>DW68</t>
        </is>
      </c>
      <c r="D583" t="inlineStr">
        <is>
          <t>D264</t>
        </is>
      </c>
      <c r="E583" t="inlineStr">
        <is>
          <t>4</t>
        </is>
      </c>
      <c r="F583" t="inlineStr">
        <is>
          <t>10000191</t>
        </is>
      </c>
      <c r="H583" t="inlineStr"/>
      <c r="J583" t="n">
        <v>162.99</v>
      </c>
      <c r="K583" t="inlineStr"/>
      <c r="M583" t="inlineStr">
        <is>
          <t>TN</t>
        </is>
      </c>
      <c r="N583" t="inlineStr"/>
      <c r="P583" t="inlineStr">
        <is>
          <t>20240601</t>
        </is>
      </c>
      <c r="Q583" t="inlineStr">
        <is>
          <t>99991231</t>
        </is>
      </c>
    </row>
    <row r="584">
      <c r="A584" t="inlineStr">
        <is>
          <t>900008251DW68D26410000384</t>
        </is>
      </c>
      <c r="B584" t="inlineStr">
        <is>
          <t>900008251</t>
        </is>
      </c>
      <c r="C584" t="inlineStr">
        <is>
          <t>DW68</t>
        </is>
      </c>
      <c r="D584" t="inlineStr">
        <is>
          <t>D264</t>
        </is>
      </c>
      <c r="E584" t="inlineStr">
        <is>
          <t>4</t>
        </is>
      </c>
      <c r="F584" t="inlineStr">
        <is>
          <t>10000384</t>
        </is>
      </c>
      <c r="H584" t="inlineStr"/>
      <c r="J584" t="n">
        <v>142.74</v>
      </c>
      <c r="K584" t="inlineStr"/>
      <c r="M584" t="inlineStr">
        <is>
          <t>TN</t>
        </is>
      </c>
      <c r="N584" t="inlineStr"/>
      <c r="P584" t="inlineStr">
        <is>
          <t>20240601</t>
        </is>
      </c>
      <c r="Q584" t="inlineStr">
        <is>
          <t>99991231</t>
        </is>
      </c>
    </row>
    <row r="585">
      <c r="A585" t="inlineStr">
        <is>
          <t>900008251DW68D26410000388</t>
        </is>
      </c>
      <c r="B585" t="inlineStr">
        <is>
          <t>900008251</t>
        </is>
      </c>
      <c r="C585" t="inlineStr">
        <is>
          <t>DW68</t>
        </is>
      </c>
      <c r="D585" t="inlineStr">
        <is>
          <t>D264</t>
        </is>
      </c>
      <c r="E585" t="inlineStr">
        <is>
          <t>4</t>
        </is>
      </c>
      <c r="F585" t="inlineStr">
        <is>
          <t>10000388</t>
        </is>
      </c>
      <c r="H585" t="inlineStr"/>
      <c r="J585" t="n">
        <v>164.74</v>
      </c>
      <c r="K585" t="inlineStr"/>
      <c r="M585" t="inlineStr">
        <is>
          <t>TN</t>
        </is>
      </c>
      <c r="N585" t="inlineStr"/>
      <c r="P585" t="inlineStr">
        <is>
          <t>20240601</t>
        </is>
      </c>
      <c r="Q585" t="inlineStr">
        <is>
          <t>99991231</t>
        </is>
      </c>
    </row>
    <row r="586">
      <c r="A586" t="inlineStr">
        <is>
          <t>900008251DW68D26410004258</t>
        </is>
      </c>
      <c r="B586" t="inlineStr">
        <is>
          <t>900008251</t>
        </is>
      </c>
      <c r="C586" t="inlineStr">
        <is>
          <t>DW68</t>
        </is>
      </c>
      <c r="D586" t="inlineStr">
        <is>
          <t>D264</t>
        </is>
      </c>
      <c r="E586" t="inlineStr">
        <is>
          <t>4</t>
        </is>
      </c>
      <c r="F586" t="inlineStr">
        <is>
          <t>10004258</t>
        </is>
      </c>
      <c r="H586" t="inlineStr"/>
      <c r="J586" t="n">
        <v>150.21</v>
      </c>
      <c r="K586" t="inlineStr"/>
      <c r="M586" t="inlineStr">
        <is>
          <t>TN</t>
        </is>
      </c>
      <c r="N586" t="inlineStr"/>
      <c r="P586" t="inlineStr">
        <is>
          <t>20240601</t>
        </is>
      </c>
      <c r="Q586" t="inlineStr">
        <is>
          <t>99991231</t>
        </is>
      </c>
    </row>
    <row r="587">
      <c r="A587" t="inlineStr">
        <is>
          <t>900008251DW68D26710000191</t>
        </is>
      </c>
      <c r="B587" t="inlineStr">
        <is>
          <t>900008251</t>
        </is>
      </c>
      <c r="C587" t="inlineStr">
        <is>
          <t>DW68</t>
        </is>
      </c>
      <c r="D587" t="inlineStr">
        <is>
          <t>D267</t>
        </is>
      </c>
      <c r="E587" t="inlineStr">
        <is>
          <t>4</t>
        </is>
      </c>
      <c r="F587" t="inlineStr">
        <is>
          <t>10000191</t>
        </is>
      </c>
      <c r="H587" t="inlineStr"/>
      <c r="J587" t="n">
        <v>156.56</v>
      </c>
      <c r="K587" t="inlineStr"/>
      <c r="M587" t="inlineStr">
        <is>
          <t>TN</t>
        </is>
      </c>
      <c r="N587" t="inlineStr"/>
      <c r="P587" t="inlineStr">
        <is>
          <t>20240601</t>
        </is>
      </c>
      <c r="Q587" t="inlineStr">
        <is>
          <t>99991231</t>
        </is>
      </c>
    </row>
    <row r="588">
      <c r="A588" t="inlineStr">
        <is>
          <t>900008251DW68D26710000384</t>
        </is>
      </c>
      <c r="B588" t="inlineStr">
        <is>
          <t>900008251</t>
        </is>
      </c>
      <c r="C588" t="inlineStr">
        <is>
          <t>DW68</t>
        </is>
      </c>
      <c r="D588" t="inlineStr">
        <is>
          <t>D267</t>
        </is>
      </c>
      <c r="E588" t="inlineStr">
        <is>
          <t>4</t>
        </is>
      </c>
      <c r="F588" t="inlineStr">
        <is>
          <t>10000384</t>
        </is>
      </c>
      <c r="H588" t="inlineStr"/>
      <c r="J588" t="n">
        <v>137.11</v>
      </c>
      <c r="K588" t="inlineStr"/>
      <c r="M588" t="inlineStr">
        <is>
          <t>TN</t>
        </is>
      </c>
      <c r="N588" t="inlineStr"/>
      <c r="P588" t="inlineStr">
        <is>
          <t>20240601</t>
        </is>
      </c>
      <c r="Q588" t="inlineStr">
        <is>
          <t>99991231</t>
        </is>
      </c>
    </row>
    <row r="589">
      <c r="A589" t="inlineStr">
        <is>
          <t>900008251DW68D26710000388</t>
        </is>
      </c>
      <c r="B589" t="inlineStr">
        <is>
          <t>900008251</t>
        </is>
      </c>
      <c r="C589" t="inlineStr">
        <is>
          <t>DW68</t>
        </is>
      </c>
      <c r="D589" t="inlineStr">
        <is>
          <t>D267</t>
        </is>
      </c>
      <c r="E589" t="inlineStr">
        <is>
          <t>4</t>
        </is>
      </c>
      <c r="F589" t="inlineStr">
        <is>
          <t>10000388</t>
        </is>
      </c>
      <c r="H589" t="inlineStr"/>
      <c r="J589" t="n">
        <v>158.24</v>
      </c>
      <c r="K589" t="inlineStr"/>
      <c r="M589" t="inlineStr">
        <is>
          <t>TN</t>
        </is>
      </c>
      <c r="N589" t="inlineStr"/>
      <c r="P589" t="inlineStr">
        <is>
          <t>20240601</t>
        </is>
      </c>
      <c r="Q589" t="inlineStr">
        <is>
          <t>99991231</t>
        </is>
      </c>
    </row>
    <row r="590">
      <c r="A590" t="inlineStr">
        <is>
          <t>900008251DW68D26710004258</t>
        </is>
      </c>
      <c r="B590" t="inlineStr">
        <is>
          <t>900008251</t>
        </is>
      </c>
      <c r="C590" t="inlineStr">
        <is>
          <t>DW68</t>
        </is>
      </c>
      <c r="D590" t="inlineStr">
        <is>
          <t>D267</t>
        </is>
      </c>
      <c r="E590" t="inlineStr">
        <is>
          <t>4</t>
        </is>
      </c>
      <c r="F590" t="inlineStr">
        <is>
          <t>10004258</t>
        </is>
      </c>
      <c r="H590" t="inlineStr"/>
      <c r="J590" t="n">
        <v>144.28</v>
      </c>
      <c r="K590" t="inlineStr"/>
      <c r="M590" t="inlineStr">
        <is>
          <t>TN</t>
        </is>
      </c>
      <c r="N590" t="inlineStr"/>
      <c r="P590" t="inlineStr">
        <is>
          <t>20240601</t>
        </is>
      </c>
      <c r="Q590" t="inlineStr">
        <is>
          <t>99991231</t>
        </is>
      </c>
    </row>
    <row r="591">
      <c r="A591" t="inlineStr">
        <is>
          <t>900008251DW68DD5810000726</t>
        </is>
      </c>
      <c r="B591" t="inlineStr">
        <is>
          <t>900008251</t>
        </is>
      </c>
      <c r="C591" t="inlineStr">
        <is>
          <t>DW68</t>
        </is>
      </c>
      <c r="D591" t="inlineStr">
        <is>
          <t>DD58</t>
        </is>
      </c>
      <c r="E591" t="inlineStr">
        <is>
          <t>4</t>
        </is>
      </c>
      <c r="F591" t="inlineStr">
        <is>
          <t>10000726</t>
        </is>
      </c>
      <c r="H591" t="inlineStr"/>
      <c r="J591" t="n">
        <v>81.62</v>
      </c>
      <c r="K591" t="inlineStr"/>
      <c r="M591" t="inlineStr">
        <is>
          <t>TN</t>
        </is>
      </c>
      <c r="N591" t="inlineStr"/>
      <c r="P591" t="inlineStr">
        <is>
          <t>20230927</t>
        </is>
      </c>
      <c r="Q591" t="inlineStr">
        <is>
          <t>20260215</t>
        </is>
      </c>
    </row>
    <row r="592">
      <c r="A592" t="inlineStr">
        <is>
          <t>900008826DW68D22010000191</t>
        </is>
      </c>
      <c r="B592" t="inlineStr">
        <is>
          <t>900008826</t>
        </is>
      </c>
      <c r="C592" t="inlineStr">
        <is>
          <t>DW68</t>
        </is>
      </c>
      <c r="D592" t="inlineStr">
        <is>
          <t>D220</t>
        </is>
      </c>
      <c r="E592" t="inlineStr">
        <is>
          <t>1</t>
        </is>
      </c>
      <c r="F592" t="inlineStr">
        <is>
          <t>10000191</t>
        </is>
      </c>
      <c r="H592" t="inlineStr"/>
      <c r="J592" t="n">
        <v>66</v>
      </c>
      <c r="K592" t="inlineStr"/>
      <c r="M592" t="inlineStr">
        <is>
          <t>TN</t>
        </is>
      </c>
      <c r="N592" t="inlineStr"/>
      <c r="P592" t="inlineStr">
        <is>
          <t>20240528</t>
        </is>
      </c>
      <c r="Q592" t="inlineStr">
        <is>
          <t>99991231</t>
        </is>
      </c>
    </row>
    <row r="593">
      <c r="A593" t="inlineStr">
        <is>
          <t>900008826DW68D22010000388</t>
        </is>
      </c>
      <c r="B593" t="inlineStr">
        <is>
          <t>900008826</t>
        </is>
      </c>
      <c r="C593" t="inlineStr">
        <is>
          <t>DW68</t>
        </is>
      </c>
      <c r="D593" t="inlineStr">
        <is>
          <t>D220</t>
        </is>
      </c>
      <c r="E593" t="inlineStr">
        <is>
          <t>1</t>
        </is>
      </c>
      <c r="F593" t="inlineStr">
        <is>
          <t>10000388</t>
        </is>
      </c>
      <c r="H593" t="inlineStr"/>
      <c r="J593" t="n">
        <v>66</v>
      </c>
      <c r="K593" t="inlineStr"/>
      <c r="M593" t="inlineStr">
        <is>
          <t>TN</t>
        </is>
      </c>
      <c r="N593" t="inlineStr"/>
      <c r="P593" t="inlineStr">
        <is>
          <t>20240528</t>
        </is>
      </c>
      <c r="Q593" t="inlineStr">
        <is>
          <t>99991231</t>
        </is>
      </c>
    </row>
    <row r="594">
      <c r="A594" t="inlineStr">
        <is>
          <t>900008842DW68D04210000191</t>
        </is>
      </c>
      <c r="B594" t="inlineStr">
        <is>
          <t>900008842</t>
        </is>
      </c>
      <c r="C594" t="inlineStr">
        <is>
          <t>DW68</t>
        </is>
      </c>
      <c r="D594" t="inlineStr">
        <is>
          <t>D042</t>
        </is>
      </c>
      <c r="E594" t="inlineStr">
        <is>
          <t>1</t>
        </is>
      </c>
      <c r="F594" t="inlineStr">
        <is>
          <t>10000191</t>
        </is>
      </c>
      <c r="H594" t="inlineStr"/>
      <c r="J594" t="n">
        <v>160.77</v>
      </c>
      <c r="K594" t="inlineStr"/>
      <c r="M594" t="inlineStr">
        <is>
          <t>TN</t>
        </is>
      </c>
      <c r="N594" t="inlineStr"/>
      <c r="P594" t="inlineStr">
        <is>
          <t>20240624</t>
        </is>
      </c>
      <c r="Q594" t="inlineStr">
        <is>
          <t>20251031</t>
        </is>
      </c>
    </row>
    <row r="595">
      <c r="A595" t="inlineStr">
        <is>
          <t>900008842DW68D04210000384</t>
        </is>
      </c>
      <c r="B595" t="inlineStr">
        <is>
          <t>900008842</t>
        </is>
      </c>
      <c r="C595" t="inlineStr">
        <is>
          <t>DW68</t>
        </is>
      </c>
      <c r="D595" t="inlineStr">
        <is>
          <t>D042</t>
        </is>
      </c>
      <c r="E595" t="inlineStr">
        <is>
          <t>1</t>
        </is>
      </c>
      <c r="F595" t="inlineStr">
        <is>
          <t>10000384</t>
        </is>
      </c>
      <c r="H595" t="inlineStr"/>
      <c r="J595" t="n">
        <v>160.77</v>
      </c>
      <c r="K595" t="inlineStr"/>
      <c r="M595" t="inlineStr">
        <is>
          <t>TN</t>
        </is>
      </c>
      <c r="N595" t="inlineStr"/>
      <c r="P595" t="inlineStr">
        <is>
          <t>20240624</t>
        </is>
      </c>
      <c r="Q595" t="inlineStr">
        <is>
          <t>20251031</t>
        </is>
      </c>
    </row>
    <row r="596">
      <c r="A596" t="inlineStr">
        <is>
          <t>900008842DW68D04210000388</t>
        </is>
      </c>
      <c r="B596" t="inlineStr">
        <is>
          <t>900008842</t>
        </is>
      </c>
      <c r="C596" t="inlineStr">
        <is>
          <t>DW68</t>
        </is>
      </c>
      <c r="D596" t="inlineStr">
        <is>
          <t>D042</t>
        </is>
      </c>
      <c r="E596" t="inlineStr">
        <is>
          <t>1</t>
        </is>
      </c>
      <c r="F596" t="inlineStr">
        <is>
          <t>10000388</t>
        </is>
      </c>
      <c r="H596" t="inlineStr"/>
      <c r="J596" t="n">
        <v>160.77</v>
      </c>
      <c r="K596" t="inlineStr"/>
      <c r="M596" t="inlineStr">
        <is>
          <t>TN</t>
        </is>
      </c>
      <c r="N596" t="inlineStr"/>
      <c r="P596" t="inlineStr">
        <is>
          <t>20240624</t>
        </is>
      </c>
      <c r="Q596" t="inlineStr">
        <is>
          <t>20251031</t>
        </is>
      </c>
    </row>
    <row r="597">
      <c r="A597" t="inlineStr">
        <is>
          <t>900008842DW68D04210004258</t>
        </is>
      </c>
      <c r="B597" t="inlineStr">
        <is>
          <t>900008842</t>
        </is>
      </c>
      <c r="C597" t="inlineStr">
        <is>
          <t>DW68</t>
        </is>
      </c>
      <c r="D597" t="inlineStr">
        <is>
          <t>D042</t>
        </is>
      </c>
      <c r="E597" t="inlineStr">
        <is>
          <t>1</t>
        </is>
      </c>
      <c r="F597" t="inlineStr">
        <is>
          <t>10004258</t>
        </is>
      </c>
      <c r="H597" t="inlineStr"/>
      <c r="J597" t="n">
        <v>160.77</v>
      </c>
      <c r="K597" t="inlineStr"/>
      <c r="M597" t="inlineStr">
        <is>
          <t>TN</t>
        </is>
      </c>
      <c r="N597" t="inlineStr"/>
      <c r="P597" t="inlineStr">
        <is>
          <t>20240624</t>
        </is>
      </c>
      <c r="Q597" t="inlineStr">
        <is>
          <t>20251031</t>
        </is>
      </c>
    </row>
    <row r="598">
      <c r="A598" t="inlineStr">
        <is>
          <t>900008842DW68D20910000191</t>
        </is>
      </c>
      <c r="B598" t="inlineStr">
        <is>
          <t>900008842</t>
        </is>
      </c>
      <c r="C598" t="inlineStr">
        <is>
          <t>DW68</t>
        </is>
      </c>
      <c r="D598" t="inlineStr">
        <is>
          <t>D209</t>
        </is>
      </c>
      <c r="E598" t="inlineStr">
        <is>
          <t>1</t>
        </is>
      </c>
      <c r="F598" t="inlineStr">
        <is>
          <t>10000191</t>
        </is>
      </c>
      <c r="H598" t="inlineStr"/>
      <c r="J598" t="n">
        <v>131.72</v>
      </c>
      <c r="K598" t="inlineStr"/>
      <c r="M598" t="inlineStr">
        <is>
          <t>TN</t>
        </is>
      </c>
      <c r="N598" t="inlineStr"/>
      <c r="P598" t="inlineStr">
        <is>
          <t>20240624</t>
        </is>
      </c>
      <c r="Q598" t="inlineStr">
        <is>
          <t>20251031</t>
        </is>
      </c>
    </row>
    <row r="599">
      <c r="A599" t="inlineStr">
        <is>
          <t>900008842DW68D20910000384</t>
        </is>
      </c>
      <c r="B599" t="inlineStr">
        <is>
          <t>900008842</t>
        </is>
      </c>
      <c r="C599" t="inlineStr">
        <is>
          <t>DW68</t>
        </is>
      </c>
      <c r="D599" t="inlineStr">
        <is>
          <t>D209</t>
        </is>
      </c>
      <c r="E599" t="inlineStr">
        <is>
          <t>1</t>
        </is>
      </c>
      <c r="F599" t="inlineStr">
        <is>
          <t>10000384</t>
        </is>
      </c>
      <c r="H599" t="inlineStr"/>
      <c r="J599" t="n">
        <v>131.72</v>
      </c>
      <c r="K599" t="inlineStr"/>
      <c r="M599" t="inlineStr">
        <is>
          <t>TN</t>
        </is>
      </c>
      <c r="N599" t="inlineStr"/>
      <c r="P599" t="inlineStr">
        <is>
          <t>20240624</t>
        </is>
      </c>
      <c r="Q599" t="inlineStr">
        <is>
          <t>20251031</t>
        </is>
      </c>
    </row>
    <row r="600">
      <c r="A600" t="inlineStr">
        <is>
          <t>900008842DW68D20910000388</t>
        </is>
      </c>
      <c r="B600" t="inlineStr">
        <is>
          <t>900008842</t>
        </is>
      </c>
      <c r="C600" t="inlineStr">
        <is>
          <t>DW68</t>
        </is>
      </c>
      <c r="D600" t="inlineStr">
        <is>
          <t>D209</t>
        </is>
      </c>
      <c r="E600" t="inlineStr">
        <is>
          <t>1</t>
        </is>
      </c>
      <c r="F600" t="inlineStr">
        <is>
          <t>10000388</t>
        </is>
      </c>
      <c r="H600" t="inlineStr"/>
      <c r="J600" t="n">
        <v>131.72</v>
      </c>
      <c r="K600" t="inlineStr"/>
      <c r="M600" t="inlineStr">
        <is>
          <t>TN</t>
        </is>
      </c>
      <c r="N600" t="inlineStr"/>
      <c r="P600" t="inlineStr">
        <is>
          <t>20240624</t>
        </is>
      </c>
      <c r="Q600" t="inlineStr">
        <is>
          <t>20251031</t>
        </is>
      </c>
    </row>
    <row r="601">
      <c r="A601" t="inlineStr">
        <is>
          <t>900008842DW68D20910004258</t>
        </is>
      </c>
      <c r="B601" t="inlineStr">
        <is>
          <t>900008842</t>
        </is>
      </c>
      <c r="C601" t="inlineStr">
        <is>
          <t>DW68</t>
        </is>
      </c>
      <c r="D601" t="inlineStr">
        <is>
          <t>D209</t>
        </is>
      </c>
      <c r="E601" t="inlineStr">
        <is>
          <t>1</t>
        </is>
      </c>
      <c r="F601" t="inlineStr">
        <is>
          <t>10004258</t>
        </is>
      </c>
      <c r="H601" t="inlineStr"/>
      <c r="J601" t="n">
        <v>131.72</v>
      </c>
      <c r="K601" t="inlineStr"/>
      <c r="M601" t="inlineStr">
        <is>
          <t>TN</t>
        </is>
      </c>
      <c r="N601" t="inlineStr"/>
      <c r="P601" t="inlineStr">
        <is>
          <t>20240624</t>
        </is>
      </c>
      <c r="Q601" t="inlineStr">
        <is>
          <t>20251031</t>
        </is>
      </c>
    </row>
    <row r="602">
      <c r="A602" t="inlineStr">
        <is>
          <t>900008842DW68D21110000191</t>
        </is>
      </c>
      <c r="B602" t="inlineStr">
        <is>
          <t>900008842</t>
        </is>
      </c>
      <c r="C602" t="inlineStr">
        <is>
          <t>DW68</t>
        </is>
      </c>
      <c r="D602" t="inlineStr">
        <is>
          <t>D211</t>
        </is>
      </c>
      <c r="E602" t="inlineStr">
        <is>
          <t>1</t>
        </is>
      </c>
      <c r="F602" t="inlineStr">
        <is>
          <t>10000191</t>
        </is>
      </c>
      <c r="H602" t="inlineStr"/>
      <c r="J602" t="n">
        <v>139.66</v>
      </c>
      <c r="K602" t="inlineStr"/>
      <c r="M602" t="inlineStr">
        <is>
          <t>TN</t>
        </is>
      </c>
      <c r="N602" t="inlineStr"/>
      <c r="P602" t="inlineStr">
        <is>
          <t>20240624</t>
        </is>
      </c>
      <c r="Q602" t="inlineStr">
        <is>
          <t>20251031</t>
        </is>
      </c>
    </row>
    <row r="603">
      <c r="A603" t="inlineStr">
        <is>
          <t>900008842DW68D21110000384</t>
        </is>
      </c>
      <c r="B603" t="inlineStr">
        <is>
          <t>900008842</t>
        </is>
      </c>
      <c r="C603" t="inlineStr">
        <is>
          <t>DW68</t>
        </is>
      </c>
      <c r="D603" t="inlineStr">
        <is>
          <t>D211</t>
        </is>
      </c>
      <c r="E603" t="inlineStr">
        <is>
          <t>1</t>
        </is>
      </c>
      <c r="F603" t="inlineStr">
        <is>
          <t>10000384</t>
        </is>
      </c>
      <c r="H603" t="inlineStr"/>
      <c r="J603" t="n">
        <v>139.66</v>
      </c>
      <c r="K603" t="inlineStr"/>
      <c r="M603" t="inlineStr">
        <is>
          <t>TN</t>
        </is>
      </c>
      <c r="N603" t="inlineStr"/>
      <c r="P603" t="inlineStr">
        <is>
          <t>20240624</t>
        </is>
      </c>
      <c r="Q603" t="inlineStr">
        <is>
          <t>20251031</t>
        </is>
      </c>
    </row>
    <row r="604">
      <c r="A604" t="inlineStr">
        <is>
          <t>900008842DW68D21110000388</t>
        </is>
      </c>
      <c r="B604" t="inlineStr">
        <is>
          <t>900008842</t>
        </is>
      </c>
      <c r="C604" t="inlineStr">
        <is>
          <t>DW68</t>
        </is>
      </c>
      <c r="D604" t="inlineStr">
        <is>
          <t>D211</t>
        </is>
      </c>
      <c r="E604" t="inlineStr">
        <is>
          <t>1</t>
        </is>
      </c>
      <c r="F604" t="inlineStr">
        <is>
          <t>10000388</t>
        </is>
      </c>
      <c r="H604" t="inlineStr"/>
      <c r="J604" t="n">
        <v>139.66</v>
      </c>
      <c r="K604" t="inlineStr"/>
      <c r="M604" t="inlineStr">
        <is>
          <t>TN</t>
        </is>
      </c>
      <c r="N604" t="inlineStr"/>
      <c r="P604" t="inlineStr">
        <is>
          <t>20240624</t>
        </is>
      </c>
      <c r="Q604" t="inlineStr">
        <is>
          <t>20251031</t>
        </is>
      </c>
    </row>
    <row r="605">
      <c r="A605" t="inlineStr">
        <is>
          <t>900008842DW68D21110004258</t>
        </is>
      </c>
      <c r="B605" t="inlineStr">
        <is>
          <t>900008842</t>
        </is>
      </c>
      <c r="C605" t="inlineStr">
        <is>
          <t>DW68</t>
        </is>
      </c>
      <c r="D605" t="inlineStr">
        <is>
          <t>D211</t>
        </is>
      </c>
      <c r="E605" t="inlineStr">
        <is>
          <t>1</t>
        </is>
      </c>
      <c r="F605" t="inlineStr">
        <is>
          <t>10004258</t>
        </is>
      </c>
      <c r="H605" t="inlineStr"/>
      <c r="J605" t="n">
        <v>139.66</v>
      </c>
      <c r="K605" t="inlineStr"/>
      <c r="M605" t="inlineStr">
        <is>
          <t>TN</t>
        </is>
      </c>
      <c r="N605" t="inlineStr"/>
      <c r="P605" t="inlineStr">
        <is>
          <t>20240624</t>
        </is>
      </c>
      <c r="Q605" t="inlineStr">
        <is>
          <t>20251031</t>
        </is>
      </c>
    </row>
    <row r="606">
      <c r="A606" t="inlineStr">
        <is>
          <t>900008842DW68D21310000191</t>
        </is>
      </c>
      <c r="B606" t="inlineStr">
        <is>
          <t>900008842</t>
        </is>
      </c>
      <c r="C606" t="inlineStr">
        <is>
          <t>DW68</t>
        </is>
      </c>
      <c r="D606" t="inlineStr">
        <is>
          <t>D213</t>
        </is>
      </c>
      <c r="E606" t="inlineStr">
        <is>
          <t>1</t>
        </is>
      </c>
      <c r="F606" t="inlineStr">
        <is>
          <t>10000191</t>
        </is>
      </c>
      <c r="H606" t="inlineStr"/>
      <c r="J606" t="n">
        <v>35.81</v>
      </c>
      <c r="K606" t="inlineStr"/>
      <c r="M606" t="inlineStr">
        <is>
          <t>TN</t>
        </is>
      </c>
      <c r="N606" t="inlineStr"/>
      <c r="P606" t="inlineStr">
        <is>
          <t>20240624</t>
        </is>
      </c>
      <c r="Q606" t="inlineStr">
        <is>
          <t>20251031</t>
        </is>
      </c>
    </row>
    <row r="607">
      <c r="A607" t="inlineStr">
        <is>
          <t>900008842DW68D21310000384</t>
        </is>
      </c>
      <c r="B607" t="inlineStr">
        <is>
          <t>900008842</t>
        </is>
      </c>
      <c r="C607" t="inlineStr">
        <is>
          <t>DW68</t>
        </is>
      </c>
      <c r="D607" t="inlineStr">
        <is>
          <t>D213</t>
        </is>
      </c>
      <c r="E607" t="inlineStr">
        <is>
          <t>1</t>
        </is>
      </c>
      <c r="F607" t="inlineStr">
        <is>
          <t>10000384</t>
        </is>
      </c>
      <c r="H607" t="inlineStr"/>
      <c r="J607" t="n">
        <v>35.81</v>
      </c>
      <c r="K607" t="inlineStr"/>
      <c r="M607" t="inlineStr">
        <is>
          <t>TN</t>
        </is>
      </c>
      <c r="N607" t="inlineStr"/>
      <c r="P607" t="inlineStr">
        <is>
          <t>20240624</t>
        </is>
      </c>
      <c r="Q607" t="inlineStr">
        <is>
          <t>20251031</t>
        </is>
      </c>
    </row>
    <row r="608">
      <c r="A608" t="inlineStr">
        <is>
          <t>900008842DW68D21310000388</t>
        </is>
      </c>
      <c r="B608" t="inlineStr">
        <is>
          <t>900008842</t>
        </is>
      </c>
      <c r="C608" t="inlineStr">
        <is>
          <t>DW68</t>
        </is>
      </c>
      <c r="D608" t="inlineStr">
        <is>
          <t>D213</t>
        </is>
      </c>
      <c r="E608" t="inlineStr">
        <is>
          <t>1</t>
        </is>
      </c>
      <c r="F608" t="inlineStr">
        <is>
          <t>10000388</t>
        </is>
      </c>
      <c r="H608" t="inlineStr"/>
      <c r="J608" t="n">
        <v>35.81</v>
      </c>
      <c r="K608" t="inlineStr"/>
      <c r="M608" t="inlineStr">
        <is>
          <t>TN</t>
        </is>
      </c>
      <c r="N608" t="inlineStr"/>
      <c r="P608" t="inlineStr">
        <is>
          <t>20240624</t>
        </is>
      </c>
      <c r="Q608" t="inlineStr">
        <is>
          <t>20251031</t>
        </is>
      </c>
    </row>
    <row r="609">
      <c r="A609" t="inlineStr">
        <is>
          <t>900008842DW68D21310004258</t>
        </is>
      </c>
      <c r="B609" t="inlineStr">
        <is>
          <t>900008842</t>
        </is>
      </c>
      <c r="C609" t="inlineStr">
        <is>
          <t>DW68</t>
        </is>
      </c>
      <c r="D609" t="inlineStr">
        <is>
          <t>D213</t>
        </is>
      </c>
      <c r="E609" t="inlineStr">
        <is>
          <t>1</t>
        </is>
      </c>
      <c r="F609" t="inlineStr">
        <is>
          <t>10004258</t>
        </is>
      </c>
      <c r="H609" t="inlineStr"/>
      <c r="J609" t="n">
        <v>35.81</v>
      </c>
      <c r="K609" t="inlineStr"/>
      <c r="M609" t="inlineStr">
        <is>
          <t>TN</t>
        </is>
      </c>
      <c r="N609" t="inlineStr"/>
      <c r="P609" t="inlineStr">
        <is>
          <t>20240624</t>
        </is>
      </c>
      <c r="Q609" t="inlineStr">
        <is>
          <t>20251031</t>
        </is>
      </c>
    </row>
    <row r="610">
      <c r="A610" t="inlineStr">
        <is>
          <t>900008842DW68D22010000191</t>
        </is>
      </c>
      <c r="B610" t="inlineStr">
        <is>
          <t>900008842</t>
        </is>
      </c>
      <c r="C610" t="inlineStr">
        <is>
          <t>DW68</t>
        </is>
      </c>
      <c r="D610" t="inlineStr">
        <is>
          <t>D220</t>
        </is>
      </c>
      <c r="E610" t="inlineStr">
        <is>
          <t>1</t>
        </is>
      </c>
      <c r="F610" t="inlineStr">
        <is>
          <t>10000191</t>
        </is>
      </c>
      <c r="H610" t="inlineStr"/>
      <c r="J610" t="n">
        <v>218.29</v>
      </c>
      <c r="K610" t="inlineStr"/>
      <c r="M610" t="inlineStr">
        <is>
          <t>TN</t>
        </is>
      </c>
      <c r="N610" t="inlineStr"/>
      <c r="P610" t="inlineStr">
        <is>
          <t>20240624</t>
        </is>
      </c>
      <c r="Q610" t="inlineStr">
        <is>
          <t>20251031</t>
        </is>
      </c>
    </row>
    <row r="611">
      <c r="A611" t="inlineStr">
        <is>
          <t>900008842DW68D22010000384</t>
        </is>
      </c>
      <c r="B611" t="inlineStr">
        <is>
          <t>900008842</t>
        </is>
      </c>
      <c r="C611" t="inlineStr">
        <is>
          <t>DW68</t>
        </is>
      </c>
      <c r="D611" t="inlineStr">
        <is>
          <t>D220</t>
        </is>
      </c>
      <c r="E611" t="inlineStr">
        <is>
          <t>1</t>
        </is>
      </c>
      <c r="F611" t="inlineStr">
        <is>
          <t>10000384</t>
        </is>
      </c>
      <c r="H611" t="inlineStr"/>
      <c r="J611" t="n">
        <v>218.29</v>
      </c>
      <c r="K611" t="inlineStr"/>
      <c r="M611" t="inlineStr">
        <is>
          <t>TN</t>
        </is>
      </c>
      <c r="N611" t="inlineStr"/>
      <c r="P611" t="inlineStr">
        <is>
          <t>20240624</t>
        </is>
      </c>
      <c r="Q611" t="inlineStr">
        <is>
          <t>20251031</t>
        </is>
      </c>
    </row>
    <row r="612">
      <c r="A612" t="inlineStr">
        <is>
          <t>900008842DW68D22010000388</t>
        </is>
      </c>
      <c r="B612" t="inlineStr">
        <is>
          <t>900008842</t>
        </is>
      </c>
      <c r="C612" t="inlineStr">
        <is>
          <t>DW68</t>
        </is>
      </c>
      <c r="D612" t="inlineStr">
        <is>
          <t>D220</t>
        </is>
      </c>
      <c r="E612" t="inlineStr">
        <is>
          <t>1</t>
        </is>
      </c>
      <c r="F612" t="inlineStr">
        <is>
          <t>10000388</t>
        </is>
      </c>
      <c r="H612" t="inlineStr"/>
      <c r="J612" t="n">
        <v>218.29</v>
      </c>
      <c r="K612" t="inlineStr"/>
      <c r="M612" t="inlineStr">
        <is>
          <t>TN</t>
        </is>
      </c>
      <c r="N612" t="inlineStr"/>
      <c r="P612" t="inlineStr">
        <is>
          <t>20240624</t>
        </is>
      </c>
      <c r="Q612" t="inlineStr">
        <is>
          <t>20251031</t>
        </is>
      </c>
    </row>
    <row r="613">
      <c r="A613" t="inlineStr">
        <is>
          <t>900008842DW68D22010004258</t>
        </is>
      </c>
      <c r="B613" t="inlineStr">
        <is>
          <t>900008842</t>
        </is>
      </c>
      <c r="C613" t="inlineStr">
        <is>
          <t>DW68</t>
        </is>
      </c>
      <c r="D613" t="inlineStr">
        <is>
          <t>D220</t>
        </is>
      </c>
      <c r="E613" t="inlineStr">
        <is>
          <t>1</t>
        </is>
      </c>
      <c r="F613" t="inlineStr">
        <is>
          <t>10004258</t>
        </is>
      </c>
      <c r="H613" t="inlineStr"/>
      <c r="J613" t="n">
        <v>218.29</v>
      </c>
      <c r="K613" t="inlineStr"/>
      <c r="M613" t="inlineStr">
        <is>
          <t>TN</t>
        </is>
      </c>
      <c r="N613" t="inlineStr"/>
      <c r="P613" t="inlineStr">
        <is>
          <t>20240624</t>
        </is>
      </c>
      <c r="Q613" t="inlineStr">
        <is>
          <t>20251031</t>
        </is>
      </c>
    </row>
    <row r="614">
      <c r="A614" t="inlineStr">
        <is>
          <t>900008842DW68D22810000191</t>
        </is>
      </c>
      <c r="B614" t="inlineStr">
        <is>
          <t>900008842</t>
        </is>
      </c>
      <c r="C614" t="inlineStr">
        <is>
          <t>DW68</t>
        </is>
      </c>
      <c r="D614" t="inlineStr">
        <is>
          <t>D228</t>
        </is>
      </c>
      <c r="E614" t="inlineStr">
        <is>
          <t>1</t>
        </is>
      </c>
      <c r="F614" t="inlineStr">
        <is>
          <t>10000191</t>
        </is>
      </c>
      <c r="H614" t="inlineStr"/>
      <c r="J614" t="n">
        <v>163.47</v>
      </c>
      <c r="K614" t="inlineStr"/>
      <c r="M614" t="inlineStr">
        <is>
          <t>TN</t>
        </is>
      </c>
      <c r="N614" t="inlineStr"/>
      <c r="P614" t="inlineStr">
        <is>
          <t>20240624</t>
        </is>
      </c>
      <c r="Q614" t="inlineStr">
        <is>
          <t>20251031</t>
        </is>
      </c>
    </row>
    <row r="615">
      <c r="A615" t="inlineStr">
        <is>
          <t>900008842DW68D22810000384</t>
        </is>
      </c>
      <c r="B615" t="inlineStr">
        <is>
          <t>900008842</t>
        </is>
      </c>
      <c r="C615" t="inlineStr">
        <is>
          <t>DW68</t>
        </is>
      </c>
      <c r="D615" t="inlineStr">
        <is>
          <t>D228</t>
        </is>
      </c>
      <c r="E615" t="inlineStr">
        <is>
          <t>1</t>
        </is>
      </c>
      <c r="F615" t="inlineStr">
        <is>
          <t>10000384</t>
        </is>
      </c>
      <c r="H615" t="inlineStr"/>
      <c r="J615" t="n">
        <v>163.47</v>
      </c>
      <c r="K615" t="inlineStr"/>
      <c r="M615" t="inlineStr">
        <is>
          <t>TN</t>
        </is>
      </c>
      <c r="N615" t="inlineStr"/>
      <c r="P615" t="inlineStr">
        <is>
          <t>20240624</t>
        </is>
      </c>
      <c r="Q615" t="inlineStr">
        <is>
          <t>20251031</t>
        </is>
      </c>
    </row>
    <row r="616">
      <c r="A616" t="inlineStr">
        <is>
          <t>900008842DW68D22810000388</t>
        </is>
      </c>
      <c r="B616" t="inlineStr">
        <is>
          <t>900008842</t>
        </is>
      </c>
      <c r="C616" t="inlineStr">
        <is>
          <t>DW68</t>
        </is>
      </c>
      <c r="D616" t="inlineStr">
        <is>
          <t>D228</t>
        </is>
      </c>
      <c r="E616" t="inlineStr">
        <is>
          <t>1</t>
        </is>
      </c>
      <c r="F616" t="inlineStr">
        <is>
          <t>10000388</t>
        </is>
      </c>
      <c r="H616" t="inlineStr"/>
      <c r="J616" t="n">
        <v>163.47</v>
      </c>
      <c r="K616" t="inlineStr"/>
      <c r="M616" t="inlineStr">
        <is>
          <t>TN</t>
        </is>
      </c>
      <c r="N616" t="inlineStr"/>
      <c r="P616" t="inlineStr">
        <is>
          <t>20240624</t>
        </is>
      </c>
      <c r="Q616" t="inlineStr">
        <is>
          <t>20251031</t>
        </is>
      </c>
    </row>
    <row r="617">
      <c r="A617" t="inlineStr">
        <is>
          <t>900008842DW68D22810004258</t>
        </is>
      </c>
      <c r="B617" t="inlineStr">
        <is>
          <t>900008842</t>
        </is>
      </c>
      <c r="C617" t="inlineStr">
        <is>
          <t>DW68</t>
        </is>
      </c>
      <c r="D617" t="inlineStr">
        <is>
          <t>D228</t>
        </is>
      </c>
      <c r="E617" t="inlineStr">
        <is>
          <t>1</t>
        </is>
      </c>
      <c r="F617" t="inlineStr">
        <is>
          <t>10004258</t>
        </is>
      </c>
      <c r="H617" t="inlineStr"/>
      <c r="J617" t="n">
        <v>163.47</v>
      </c>
      <c r="K617" t="inlineStr"/>
      <c r="M617" t="inlineStr">
        <is>
          <t>TN</t>
        </is>
      </c>
      <c r="N617" t="inlineStr"/>
      <c r="P617" t="inlineStr">
        <is>
          <t>20240624</t>
        </is>
      </c>
      <c r="Q617" t="inlineStr">
        <is>
          <t>20251031</t>
        </is>
      </c>
    </row>
    <row r="618">
      <c r="A618" t="inlineStr">
        <is>
          <t>900008842DW68D24210000191</t>
        </is>
      </c>
      <c r="B618" t="inlineStr">
        <is>
          <t>900008842</t>
        </is>
      </c>
      <c r="C618" t="inlineStr">
        <is>
          <t>DW68</t>
        </is>
      </c>
      <c r="D618" t="inlineStr">
        <is>
          <t>D242</t>
        </is>
      </c>
      <c r="E618" t="inlineStr">
        <is>
          <t>1</t>
        </is>
      </c>
      <c r="F618" t="inlineStr">
        <is>
          <t>10000191</t>
        </is>
      </c>
      <c r="H618" t="inlineStr"/>
      <c r="J618" t="n">
        <v>163.3</v>
      </c>
      <c r="K618" t="inlineStr"/>
      <c r="M618" t="inlineStr">
        <is>
          <t>TN</t>
        </is>
      </c>
      <c r="N618" t="inlineStr"/>
      <c r="P618" t="inlineStr">
        <is>
          <t>20240624</t>
        </is>
      </c>
      <c r="Q618" t="inlineStr">
        <is>
          <t>20251031</t>
        </is>
      </c>
    </row>
    <row r="619">
      <c r="A619" t="inlineStr">
        <is>
          <t>900008842DW68D24210000384</t>
        </is>
      </c>
      <c r="B619" t="inlineStr">
        <is>
          <t>900008842</t>
        </is>
      </c>
      <c r="C619" t="inlineStr">
        <is>
          <t>DW68</t>
        </is>
      </c>
      <c r="D619" t="inlineStr">
        <is>
          <t>D242</t>
        </is>
      </c>
      <c r="E619" t="inlineStr">
        <is>
          <t>1</t>
        </is>
      </c>
      <c r="F619" t="inlineStr">
        <is>
          <t>10000384</t>
        </is>
      </c>
      <c r="H619" t="inlineStr"/>
      <c r="J619" t="n">
        <v>163.3</v>
      </c>
      <c r="K619" t="inlineStr"/>
      <c r="M619" t="inlineStr">
        <is>
          <t>TN</t>
        </is>
      </c>
      <c r="N619" t="inlineStr"/>
      <c r="P619" t="inlineStr">
        <is>
          <t>20240624</t>
        </is>
      </c>
      <c r="Q619" t="inlineStr">
        <is>
          <t>20251031</t>
        </is>
      </c>
    </row>
    <row r="620">
      <c r="A620" t="inlineStr">
        <is>
          <t>900008842DW68D24210000388</t>
        </is>
      </c>
      <c r="B620" t="inlineStr">
        <is>
          <t>900008842</t>
        </is>
      </c>
      <c r="C620" t="inlineStr">
        <is>
          <t>DW68</t>
        </is>
      </c>
      <c r="D620" t="inlineStr">
        <is>
          <t>D242</t>
        </is>
      </c>
      <c r="E620" t="inlineStr">
        <is>
          <t>1</t>
        </is>
      </c>
      <c r="F620" t="inlineStr">
        <is>
          <t>10000388</t>
        </is>
      </c>
      <c r="H620" t="inlineStr"/>
      <c r="J620" t="n">
        <v>163.3</v>
      </c>
      <c r="K620" t="inlineStr"/>
      <c r="M620" t="inlineStr">
        <is>
          <t>TN</t>
        </is>
      </c>
      <c r="N620" t="inlineStr"/>
      <c r="P620" t="inlineStr">
        <is>
          <t>20240624</t>
        </is>
      </c>
      <c r="Q620" t="inlineStr">
        <is>
          <t>20251031</t>
        </is>
      </c>
    </row>
    <row r="621">
      <c r="A621" t="inlineStr">
        <is>
          <t>900008842DW68D24210004258</t>
        </is>
      </c>
      <c r="B621" t="inlineStr">
        <is>
          <t>900008842</t>
        </is>
      </c>
      <c r="C621" t="inlineStr">
        <is>
          <t>DW68</t>
        </is>
      </c>
      <c r="D621" t="inlineStr">
        <is>
          <t>D242</t>
        </is>
      </c>
      <c r="E621" t="inlineStr">
        <is>
          <t>1</t>
        </is>
      </c>
      <c r="F621" t="inlineStr">
        <is>
          <t>10004258</t>
        </is>
      </c>
      <c r="H621" t="inlineStr"/>
      <c r="J621" t="n">
        <v>163.3</v>
      </c>
      <c r="K621" t="inlineStr"/>
      <c r="M621" t="inlineStr">
        <is>
          <t>TN</t>
        </is>
      </c>
      <c r="N621" t="inlineStr"/>
      <c r="P621" t="inlineStr">
        <is>
          <t>20240624</t>
        </is>
      </c>
      <c r="Q621" t="inlineStr">
        <is>
          <t>20251031</t>
        </is>
      </c>
    </row>
    <row r="622">
      <c r="A622" t="inlineStr">
        <is>
          <t>900008842DW68D24710000191</t>
        </is>
      </c>
      <c r="B622" t="inlineStr">
        <is>
          <t>900008842</t>
        </is>
      </c>
      <c r="C622" t="inlineStr">
        <is>
          <t>DW68</t>
        </is>
      </c>
      <c r="D622" t="inlineStr">
        <is>
          <t>D247</t>
        </is>
      </c>
      <c r="E622" t="inlineStr">
        <is>
          <t>1</t>
        </is>
      </c>
      <c r="F622" t="inlineStr">
        <is>
          <t>10000191</t>
        </is>
      </c>
      <c r="H622" t="inlineStr"/>
      <c r="J622" t="n">
        <v>157.16</v>
      </c>
      <c r="K622" t="inlineStr"/>
      <c r="M622" t="inlineStr">
        <is>
          <t>TN</t>
        </is>
      </c>
      <c r="N622" t="inlineStr"/>
      <c r="P622" t="inlineStr">
        <is>
          <t>20240624</t>
        </is>
      </c>
      <c r="Q622" t="inlineStr">
        <is>
          <t>20251031</t>
        </is>
      </c>
    </row>
    <row r="623">
      <c r="A623" t="inlineStr">
        <is>
          <t>900008842DW68D24710000384</t>
        </is>
      </c>
      <c r="B623" t="inlineStr">
        <is>
          <t>900008842</t>
        </is>
      </c>
      <c r="C623" t="inlineStr">
        <is>
          <t>DW68</t>
        </is>
      </c>
      <c r="D623" t="inlineStr">
        <is>
          <t>D247</t>
        </is>
      </c>
      <c r="E623" t="inlineStr">
        <is>
          <t>1</t>
        </is>
      </c>
      <c r="F623" t="inlineStr">
        <is>
          <t>10000384</t>
        </is>
      </c>
      <c r="H623" t="inlineStr"/>
      <c r="J623" t="n">
        <v>157.16</v>
      </c>
      <c r="K623" t="inlineStr"/>
      <c r="M623" t="inlineStr">
        <is>
          <t>TN</t>
        </is>
      </c>
      <c r="N623" t="inlineStr"/>
      <c r="P623" t="inlineStr">
        <is>
          <t>20240624</t>
        </is>
      </c>
      <c r="Q623" t="inlineStr">
        <is>
          <t>20251031</t>
        </is>
      </c>
    </row>
    <row r="624">
      <c r="A624" t="inlineStr">
        <is>
          <t>900008842DW68D24710000388</t>
        </is>
      </c>
      <c r="B624" t="inlineStr">
        <is>
          <t>900008842</t>
        </is>
      </c>
      <c r="C624" t="inlineStr">
        <is>
          <t>DW68</t>
        </is>
      </c>
      <c r="D624" t="inlineStr">
        <is>
          <t>D247</t>
        </is>
      </c>
      <c r="E624" t="inlineStr">
        <is>
          <t>1</t>
        </is>
      </c>
      <c r="F624" t="inlineStr">
        <is>
          <t>10000388</t>
        </is>
      </c>
      <c r="H624" t="inlineStr"/>
      <c r="J624" t="n">
        <v>157.16</v>
      </c>
      <c r="K624" t="inlineStr"/>
      <c r="M624" t="inlineStr">
        <is>
          <t>TN</t>
        </is>
      </c>
      <c r="N624" t="inlineStr"/>
      <c r="P624" t="inlineStr">
        <is>
          <t>20240624</t>
        </is>
      </c>
      <c r="Q624" t="inlineStr">
        <is>
          <t>20251031</t>
        </is>
      </c>
    </row>
    <row r="625">
      <c r="A625" t="inlineStr">
        <is>
          <t>900008842DW68D24710004258</t>
        </is>
      </c>
      <c r="B625" t="inlineStr">
        <is>
          <t>900008842</t>
        </is>
      </c>
      <c r="C625" t="inlineStr">
        <is>
          <t>DW68</t>
        </is>
      </c>
      <c r="D625" t="inlineStr">
        <is>
          <t>D247</t>
        </is>
      </c>
      <c r="E625" t="inlineStr">
        <is>
          <t>1</t>
        </is>
      </c>
      <c r="F625" t="inlineStr">
        <is>
          <t>10004258</t>
        </is>
      </c>
      <c r="H625" t="inlineStr"/>
      <c r="J625" t="n">
        <v>157.16</v>
      </c>
      <c r="K625" t="inlineStr"/>
      <c r="M625" t="inlineStr">
        <is>
          <t>TN</t>
        </is>
      </c>
      <c r="N625" t="inlineStr"/>
      <c r="P625" t="inlineStr">
        <is>
          <t>20240624</t>
        </is>
      </c>
      <c r="Q625" t="inlineStr">
        <is>
          <t>20251031</t>
        </is>
      </c>
    </row>
    <row r="626">
      <c r="A626" t="inlineStr">
        <is>
          <t>900008842DW68D25110000191</t>
        </is>
      </c>
      <c r="B626" t="inlineStr">
        <is>
          <t>900008842</t>
        </is>
      </c>
      <c r="C626" t="inlineStr">
        <is>
          <t>DW68</t>
        </is>
      </c>
      <c r="D626" t="inlineStr">
        <is>
          <t>D251</t>
        </is>
      </c>
      <c r="E626" t="inlineStr">
        <is>
          <t>1</t>
        </is>
      </c>
      <c r="F626" t="inlineStr">
        <is>
          <t>10000191</t>
        </is>
      </c>
      <c r="H626" t="inlineStr"/>
      <c r="J626" t="n">
        <v>121.07</v>
      </c>
      <c r="K626" t="inlineStr"/>
      <c r="M626" t="inlineStr">
        <is>
          <t>TN</t>
        </is>
      </c>
      <c r="N626" t="inlineStr"/>
      <c r="P626" t="inlineStr">
        <is>
          <t>20240624</t>
        </is>
      </c>
      <c r="Q626" t="inlineStr">
        <is>
          <t>20251031</t>
        </is>
      </c>
    </row>
    <row r="627">
      <c r="A627" t="inlineStr">
        <is>
          <t>900008842DW68D25110000384</t>
        </is>
      </c>
      <c r="B627" t="inlineStr">
        <is>
          <t>900008842</t>
        </is>
      </c>
      <c r="C627" t="inlineStr">
        <is>
          <t>DW68</t>
        </is>
      </c>
      <c r="D627" t="inlineStr">
        <is>
          <t>D251</t>
        </is>
      </c>
      <c r="E627" t="inlineStr">
        <is>
          <t>1</t>
        </is>
      </c>
      <c r="F627" t="inlineStr">
        <is>
          <t>10000384</t>
        </is>
      </c>
      <c r="H627" t="inlineStr"/>
      <c r="J627" t="n">
        <v>121.07</v>
      </c>
      <c r="K627" t="inlineStr"/>
      <c r="M627" t="inlineStr">
        <is>
          <t>TN</t>
        </is>
      </c>
      <c r="N627" t="inlineStr"/>
      <c r="P627" t="inlineStr">
        <is>
          <t>20240624</t>
        </is>
      </c>
      <c r="Q627" t="inlineStr">
        <is>
          <t>20251031</t>
        </is>
      </c>
    </row>
    <row r="628">
      <c r="A628" t="inlineStr">
        <is>
          <t>900008842DW68D25110000388</t>
        </is>
      </c>
      <c r="B628" t="inlineStr">
        <is>
          <t>900008842</t>
        </is>
      </c>
      <c r="C628" t="inlineStr">
        <is>
          <t>DW68</t>
        </is>
      </c>
      <c r="D628" t="inlineStr">
        <is>
          <t>D251</t>
        </is>
      </c>
      <c r="E628" t="inlineStr">
        <is>
          <t>1</t>
        </is>
      </c>
      <c r="F628" t="inlineStr">
        <is>
          <t>10000388</t>
        </is>
      </c>
      <c r="H628" t="inlineStr"/>
      <c r="J628" t="n">
        <v>121.07</v>
      </c>
      <c r="K628" t="inlineStr"/>
      <c r="M628" t="inlineStr">
        <is>
          <t>TN</t>
        </is>
      </c>
      <c r="N628" t="inlineStr"/>
      <c r="P628" t="inlineStr">
        <is>
          <t>20240624</t>
        </is>
      </c>
      <c r="Q628" t="inlineStr">
        <is>
          <t>20251031</t>
        </is>
      </c>
    </row>
    <row r="629">
      <c r="A629" t="inlineStr">
        <is>
          <t>900008842DW68D25110004258</t>
        </is>
      </c>
      <c r="B629" t="inlineStr">
        <is>
          <t>900008842</t>
        </is>
      </c>
      <c r="C629" t="inlineStr">
        <is>
          <t>DW68</t>
        </is>
      </c>
      <c r="D629" t="inlineStr">
        <is>
          <t>D251</t>
        </is>
      </c>
      <c r="E629" t="inlineStr">
        <is>
          <t>1</t>
        </is>
      </c>
      <c r="F629" t="inlineStr">
        <is>
          <t>10004258</t>
        </is>
      </c>
      <c r="H629" t="inlineStr"/>
      <c r="J629" t="n">
        <v>121.07</v>
      </c>
      <c r="K629" t="inlineStr"/>
      <c r="M629" t="inlineStr">
        <is>
          <t>TN</t>
        </is>
      </c>
      <c r="N629" t="inlineStr"/>
      <c r="P629" t="inlineStr">
        <is>
          <t>20240624</t>
        </is>
      </c>
      <c r="Q629" t="inlineStr">
        <is>
          <t>20251031</t>
        </is>
      </c>
    </row>
    <row r="630">
      <c r="A630" t="inlineStr">
        <is>
          <t>900008842DW68D26410000191</t>
        </is>
      </c>
      <c r="B630" t="inlineStr">
        <is>
          <t>900008842</t>
        </is>
      </c>
      <c r="C630" t="inlineStr">
        <is>
          <t>DW68</t>
        </is>
      </c>
      <c r="D630" t="inlineStr">
        <is>
          <t>D264</t>
        </is>
      </c>
      <c r="E630" t="inlineStr">
        <is>
          <t>1</t>
        </is>
      </c>
      <c r="F630" t="inlineStr">
        <is>
          <t>10000191</t>
        </is>
      </c>
      <c r="H630" t="inlineStr"/>
      <c r="J630" t="n">
        <v>121.05</v>
      </c>
      <c r="K630" t="inlineStr"/>
      <c r="M630" t="inlineStr">
        <is>
          <t>TN</t>
        </is>
      </c>
      <c r="N630" t="inlineStr"/>
      <c r="P630" t="inlineStr">
        <is>
          <t>20240624</t>
        </is>
      </c>
      <c r="Q630" t="inlineStr">
        <is>
          <t>20251031</t>
        </is>
      </c>
    </row>
    <row r="631">
      <c r="A631" t="inlineStr">
        <is>
          <t>900008842DW68D26410000384</t>
        </is>
      </c>
      <c r="B631" t="inlineStr">
        <is>
          <t>900008842</t>
        </is>
      </c>
      <c r="C631" t="inlineStr">
        <is>
          <t>DW68</t>
        </is>
      </c>
      <c r="D631" t="inlineStr">
        <is>
          <t>D264</t>
        </is>
      </c>
      <c r="E631" t="inlineStr">
        <is>
          <t>1</t>
        </is>
      </c>
      <c r="F631" t="inlineStr">
        <is>
          <t>10000384</t>
        </is>
      </c>
      <c r="H631" t="inlineStr"/>
      <c r="J631" t="n">
        <v>121.05</v>
      </c>
      <c r="K631" t="inlineStr"/>
      <c r="M631" t="inlineStr">
        <is>
          <t>TN</t>
        </is>
      </c>
      <c r="N631" t="inlineStr"/>
      <c r="P631" t="inlineStr">
        <is>
          <t>20240624</t>
        </is>
      </c>
      <c r="Q631" t="inlineStr">
        <is>
          <t>20251031</t>
        </is>
      </c>
    </row>
    <row r="632">
      <c r="A632" t="inlineStr">
        <is>
          <t>900008842DW68D26410000388</t>
        </is>
      </c>
      <c r="B632" t="inlineStr">
        <is>
          <t>900008842</t>
        </is>
      </c>
      <c r="C632" t="inlineStr">
        <is>
          <t>DW68</t>
        </is>
      </c>
      <c r="D632" t="inlineStr">
        <is>
          <t>D264</t>
        </is>
      </c>
      <c r="E632" t="inlineStr">
        <is>
          <t>1</t>
        </is>
      </c>
      <c r="F632" t="inlineStr">
        <is>
          <t>10000388</t>
        </is>
      </c>
      <c r="H632" t="inlineStr"/>
      <c r="J632" t="n">
        <v>121.05</v>
      </c>
      <c r="K632" t="inlineStr"/>
      <c r="M632" t="inlineStr">
        <is>
          <t>TN</t>
        </is>
      </c>
      <c r="N632" t="inlineStr"/>
      <c r="P632" t="inlineStr">
        <is>
          <t>20240624</t>
        </is>
      </c>
      <c r="Q632" t="inlineStr">
        <is>
          <t>20251031</t>
        </is>
      </c>
    </row>
    <row r="633">
      <c r="A633" t="inlineStr">
        <is>
          <t>900008842DW68D26410004258</t>
        </is>
      </c>
      <c r="B633" t="inlineStr">
        <is>
          <t>900008842</t>
        </is>
      </c>
      <c r="C633" t="inlineStr">
        <is>
          <t>DW68</t>
        </is>
      </c>
      <c r="D633" t="inlineStr">
        <is>
          <t>D264</t>
        </is>
      </c>
      <c r="E633" t="inlineStr">
        <is>
          <t>1</t>
        </is>
      </c>
      <c r="F633" t="inlineStr">
        <is>
          <t>10004258</t>
        </is>
      </c>
      <c r="H633" t="inlineStr"/>
      <c r="J633" t="n">
        <v>121.05</v>
      </c>
      <c r="K633" t="inlineStr"/>
      <c r="M633" t="inlineStr">
        <is>
          <t>TN</t>
        </is>
      </c>
      <c r="N633" t="inlineStr"/>
      <c r="P633" t="inlineStr">
        <is>
          <t>20240624</t>
        </is>
      </c>
      <c r="Q633" t="inlineStr">
        <is>
          <t>20251031</t>
        </is>
      </c>
    </row>
    <row r="634">
      <c r="A634" t="inlineStr">
        <is>
          <t>900008842DW68D26710000191</t>
        </is>
      </c>
      <c r="B634" t="inlineStr">
        <is>
          <t>900008842</t>
        </is>
      </c>
      <c r="C634" t="inlineStr">
        <is>
          <t>DW68</t>
        </is>
      </c>
      <c r="D634" t="inlineStr">
        <is>
          <t>D267</t>
        </is>
      </c>
      <c r="E634" t="inlineStr">
        <is>
          <t>1</t>
        </is>
      </c>
      <c r="F634" t="inlineStr">
        <is>
          <t>10000191</t>
        </is>
      </c>
      <c r="H634" t="inlineStr"/>
      <c r="J634" t="n">
        <v>199.74</v>
      </c>
      <c r="K634" t="inlineStr"/>
      <c r="M634" t="inlineStr">
        <is>
          <t>TN</t>
        </is>
      </c>
      <c r="N634" t="inlineStr"/>
      <c r="P634" t="inlineStr">
        <is>
          <t>20240624</t>
        </is>
      </c>
      <c r="Q634" t="inlineStr">
        <is>
          <t>20251031</t>
        </is>
      </c>
    </row>
    <row r="635">
      <c r="A635" t="inlineStr">
        <is>
          <t>900008842DW68D26710000384</t>
        </is>
      </c>
      <c r="B635" t="inlineStr">
        <is>
          <t>900008842</t>
        </is>
      </c>
      <c r="C635" t="inlineStr">
        <is>
          <t>DW68</t>
        </is>
      </c>
      <c r="D635" t="inlineStr">
        <is>
          <t>D267</t>
        </is>
      </c>
      <c r="E635" t="inlineStr">
        <is>
          <t>1</t>
        </is>
      </c>
      <c r="F635" t="inlineStr">
        <is>
          <t>10000384</t>
        </is>
      </c>
      <c r="H635" t="inlineStr"/>
      <c r="J635" t="n">
        <v>199.74</v>
      </c>
      <c r="K635" t="inlineStr"/>
      <c r="M635" t="inlineStr">
        <is>
          <t>TN</t>
        </is>
      </c>
      <c r="N635" t="inlineStr"/>
      <c r="P635" t="inlineStr">
        <is>
          <t>20240624</t>
        </is>
      </c>
      <c r="Q635" t="inlineStr">
        <is>
          <t>20251031</t>
        </is>
      </c>
    </row>
    <row r="636">
      <c r="A636" t="inlineStr">
        <is>
          <t>900008842DW68D26710000388</t>
        </is>
      </c>
      <c r="B636" t="inlineStr">
        <is>
          <t>900008842</t>
        </is>
      </c>
      <c r="C636" t="inlineStr">
        <is>
          <t>DW68</t>
        </is>
      </c>
      <c r="D636" t="inlineStr">
        <is>
          <t>D267</t>
        </is>
      </c>
      <c r="E636" t="inlineStr">
        <is>
          <t>1</t>
        </is>
      </c>
      <c r="F636" t="inlineStr">
        <is>
          <t>10000388</t>
        </is>
      </c>
      <c r="H636" t="inlineStr"/>
      <c r="J636" t="n">
        <v>199.74</v>
      </c>
      <c r="K636" t="inlineStr"/>
      <c r="M636" t="inlineStr">
        <is>
          <t>TN</t>
        </is>
      </c>
      <c r="N636" t="inlineStr"/>
      <c r="P636" t="inlineStr">
        <is>
          <t>20240624</t>
        </is>
      </c>
      <c r="Q636" t="inlineStr">
        <is>
          <t>20251031</t>
        </is>
      </c>
    </row>
    <row r="637">
      <c r="A637" t="inlineStr">
        <is>
          <t>900008842DW68D26710004258</t>
        </is>
      </c>
      <c r="B637" t="inlineStr">
        <is>
          <t>900008842</t>
        </is>
      </c>
      <c r="C637" t="inlineStr">
        <is>
          <t>DW68</t>
        </is>
      </c>
      <c r="D637" t="inlineStr">
        <is>
          <t>D267</t>
        </is>
      </c>
      <c r="E637" t="inlineStr">
        <is>
          <t>1</t>
        </is>
      </c>
      <c r="F637" t="inlineStr">
        <is>
          <t>10004258</t>
        </is>
      </c>
      <c r="H637" t="inlineStr"/>
      <c r="J637" t="n">
        <v>199.74</v>
      </c>
      <c r="K637" t="inlineStr"/>
      <c r="M637" t="inlineStr">
        <is>
          <t>TN</t>
        </is>
      </c>
      <c r="N637" t="inlineStr"/>
      <c r="P637" t="inlineStr">
        <is>
          <t>20240624</t>
        </is>
      </c>
      <c r="Q637" t="inlineStr">
        <is>
          <t>20251031</t>
        </is>
      </c>
    </row>
    <row r="638">
      <c r="A638" t="inlineStr">
        <is>
          <t>900009220DW68D04210000437</t>
        </is>
      </c>
      <c r="B638" t="inlineStr">
        <is>
          <t>900009220</t>
        </is>
      </c>
      <c r="C638" t="inlineStr">
        <is>
          <t>DW68</t>
        </is>
      </c>
      <c r="D638" t="inlineStr">
        <is>
          <t>D042</t>
        </is>
      </c>
      <c r="E638" t="inlineStr">
        <is>
          <t>4</t>
        </is>
      </c>
      <c r="F638" t="inlineStr">
        <is>
          <t>10000437</t>
        </is>
      </c>
      <c r="H638" t="inlineStr"/>
      <c r="J638" t="n">
        <v>72.08</v>
      </c>
      <c r="K638" t="inlineStr"/>
      <c r="M638" t="inlineStr">
        <is>
          <t>TN</t>
        </is>
      </c>
      <c r="N638" t="inlineStr"/>
      <c r="P638" t="inlineStr">
        <is>
          <t>20250507</t>
        </is>
      </c>
      <c r="Q638" t="inlineStr">
        <is>
          <t>20260215</t>
        </is>
      </c>
    </row>
    <row r="639">
      <c r="A639" t="inlineStr">
        <is>
          <t>900009220DW68D20910000437</t>
        </is>
      </c>
      <c r="B639" t="inlineStr">
        <is>
          <t>900009220</t>
        </is>
      </c>
      <c r="C639" t="inlineStr">
        <is>
          <t>DW68</t>
        </is>
      </c>
      <c r="D639" t="inlineStr">
        <is>
          <t>D209</t>
        </is>
      </c>
      <c r="E639" t="inlineStr">
        <is>
          <t>4</t>
        </is>
      </c>
      <c r="F639" t="inlineStr">
        <is>
          <t>10000437</t>
        </is>
      </c>
      <c r="H639" t="inlineStr"/>
      <c r="J639" t="n">
        <v>58.02</v>
      </c>
      <c r="K639" t="inlineStr"/>
      <c r="M639" t="inlineStr">
        <is>
          <t>TN</t>
        </is>
      </c>
      <c r="N639" t="inlineStr"/>
      <c r="P639" t="inlineStr">
        <is>
          <t>20250507</t>
        </is>
      </c>
      <c r="Q639" t="inlineStr">
        <is>
          <t>20260215</t>
        </is>
      </c>
    </row>
    <row r="640">
      <c r="A640" t="inlineStr">
        <is>
          <t>900009220DW68D21110000437</t>
        </is>
      </c>
      <c r="B640" t="inlineStr">
        <is>
          <t>900009220</t>
        </is>
      </c>
      <c r="C640" t="inlineStr">
        <is>
          <t>DW68</t>
        </is>
      </c>
      <c r="D640" t="inlineStr">
        <is>
          <t>D211</t>
        </is>
      </c>
      <c r="E640" t="inlineStr">
        <is>
          <t>4</t>
        </is>
      </c>
      <c r="F640" t="inlineStr">
        <is>
          <t>10000437</t>
        </is>
      </c>
      <c r="H640" t="inlineStr"/>
      <c r="J640" t="n">
        <v>88.94</v>
      </c>
      <c r="K640" t="inlineStr"/>
      <c r="M640" t="inlineStr">
        <is>
          <t>TN</t>
        </is>
      </c>
      <c r="N640" t="inlineStr"/>
      <c r="P640" t="inlineStr">
        <is>
          <t>20250507</t>
        </is>
      </c>
      <c r="Q640" t="inlineStr">
        <is>
          <t>20260215</t>
        </is>
      </c>
    </row>
    <row r="641">
      <c r="A641" t="inlineStr">
        <is>
          <t>900009220DW68D22810000437</t>
        </is>
      </c>
      <c r="B641" t="inlineStr">
        <is>
          <t>900009220</t>
        </is>
      </c>
      <c r="C641" t="inlineStr">
        <is>
          <t>DW68</t>
        </is>
      </c>
      <c r="D641" t="inlineStr">
        <is>
          <t>D228</t>
        </is>
      </c>
      <c r="E641" t="inlineStr">
        <is>
          <t>4</t>
        </is>
      </c>
      <c r="F641" t="inlineStr">
        <is>
          <t>10000437</t>
        </is>
      </c>
      <c r="H641" t="inlineStr"/>
      <c r="J641" t="n">
        <v>98.45999999999999</v>
      </c>
      <c r="K641" t="inlineStr"/>
      <c r="M641" t="inlineStr">
        <is>
          <t>TN</t>
        </is>
      </c>
      <c r="N641" t="inlineStr"/>
      <c r="P641" t="inlineStr">
        <is>
          <t>20250507</t>
        </is>
      </c>
      <c r="Q641" t="inlineStr">
        <is>
          <t>20260215</t>
        </is>
      </c>
    </row>
    <row r="642">
      <c r="A642" t="inlineStr">
        <is>
          <t>900009220DW68D24210000437</t>
        </is>
      </c>
      <c r="B642" t="inlineStr">
        <is>
          <t>900009220</t>
        </is>
      </c>
      <c r="C642" t="inlineStr">
        <is>
          <t>DW68</t>
        </is>
      </c>
      <c r="D642" t="inlineStr">
        <is>
          <t>D242</t>
        </is>
      </c>
      <c r="E642" t="inlineStr">
        <is>
          <t>4</t>
        </is>
      </c>
      <c r="F642" t="inlineStr">
        <is>
          <t>10000437</t>
        </is>
      </c>
      <c r="H642" t="inlineStr"/>
      <c r="J642" t="n">
        <v>75.38</v>
      </c>
      <c r="K642" t="inlineStr"/>
      <c r="M642" t="inlineStr">
        <is>
          <t>TN</t>
        </is>
      </c>
      <c r="N642" t="inlineStr"/>
      <c r="P642" t="inlineStr">
        <is>
          <t>20250507</t>
        </is>
      </c>
      <c r="Q642" t="inlineStr">
        <is>
          <t>20260215</t>
        </is>
      </c>
    </row>
    <row r="643">
      <c r="A643" t="inlineStr">
        <is>
          <t>900009220DW68D24710000437</t>
        </is>
      </c>
      <c r="B643" t="inlineStr">
        <is>
          <t>900009220</t>
        </is>
      </c>
      <c r="C643" t="inlineStr">
        <is>
          <t>DW68</t>
        </is>
      </c>
      <c r="D643" t="inlineStr">
        <is>
          <t>D247</t>
        </is>
      </c>
      <c r="E643" t="inlineStr">
        <is>
          <t>4</t>
        </is>
      </c>
      <c r="F643" t="inlineStr">
        <is>
          <t>10000437</t>
        </is>
      </c>
      <c r="H643" t="inlineStr"/>
      <c r="J643" t="n">
        <v>21.54</v>
      </c>
      <c r="K643" t="inlineStr"/>
      <c r="M643" t="inlineStr">
        <is>
          <t>TN</t>
        </is>
      </c>
      <c r="N643" t="inlineStr"/>
      <c r="P643" t="inlineStr">
        <is>
          <t>20250507</t>
        </is>
      </c>
      <c r="Q643" t="inlineStr">
        <is>
          <t>20260506</t>
        </is>
      </c>
    </row>
    <row r="644">
      <c r="A644" t="inlineStr">
        <is>
          <t>900009220DW68D25110000437</t>
        </is>
      </c>
      <c r="B644" t="inlineStr">
        <is>
          <t>900009220</t>
        </is>
      </c>
      <c r="C644" t="inlineStr">
        <is>
          <t>DW68</t>
        </is>
      </c>
      <c r="D644" t="inlineStr">
        <is>
          <t>D251</t>
        </is>
      </c>
      <c r="E644" t="inlineStr">
        <is>
          <t>4</t>
        </is>
      </c>
      <c r="F644" t="inlineStr">
        <is>
          <t>10000437</t>
        </is>
      </c>
      <c r="H644" t="inlineStr"/>
      <c r="J644" t="n">
        <v>59.86</v>
      </c>
      <c r="K644" t="inlineStr"/>
      <c r="M644" t="inlineStr">
        <is>
          <t>TN</t>
        </is>
      </c>
      <c r="N644" t="inlineStr"/>
      <c r="P644" t="inlineStr">
        <is>
          <t>20250507</t>
        </is>
      </c>
      <c r="Q644" t="inlineStr">
        <is>
          <t>20260215</t>
        </is>
      </c>
    </row>
    <row r="645">
      <c r="A645" t="inlineStr">
        <is>
          <t>900009220DW68D26410000437</t>
        </is>
      </c>
      <c r="B645" t="inlineStr">
        <is>
          <t>900009220</t>
        </is>
      </c>
      <c r="C645" t="inlineStr">
        <is>
          <t>DW68</t>
        </is>
      </c>
      <c r="D645" t="inlineStr">
        <is>
          <t>D264</t>
        </is>
      </c>
      <c r="E645" t="inlineStr">
        <is>
          <t>4</t>
        </is>
      </c>
      <c r="F645" t="inlineStr">
        <is>
          <t>10000437</t>
        </is>
      </c>
      <c r="H645" t="inlineStr"/>
      <c r="J645" t="n">
        <v>63.88</v>
      </c>
      <c r="K645" t="inlineStr"/>
      <c r="M645" t="inlineStr">
        <is>
          <t>TN</t>
        </is>
      </c>
      <c r="N645" t="inlineStr"/>
      <c r="P645" t="inlineStr">
        <is>
          <t>20250507</t>
        </is>
      </c>
      <c r="Q645" t="inlineStr">
        <is>
          <t>20260215</t>
        </is>
      </c>
    </row>
    <row r="646">
      <c r="A646" t="inlineStr">
        <is>
          <t>900009220DW68D26710000437</t>
        </is>
      </c>
      <c r="B646" t="inlineStr">
        <is>
          <t>900009220</t>
        </is>
      </c>
      <c r="C646" t="inlineStr">
        <is>
          <t>DW68</t>
        </is>
      </c>
      <c r="D646" t="inlineStr">
        <is>
          <t>D267</t>
        </is>
      </c>
      <c r="E646" t="inlineStr">
        <is>
          <t>4</t>
        </is>
      </c>
      <c r="F646" t="inlineStr">
        <is>
          <t>10000437</t>
        </is>
      </c>
      <c r="H646" t="inlineStr"/>
      <c r="J646" t="n">
        <v>77.91</v>
      </c>
      <c r="K646" t="inlineStr"/>
      <c r="M646" t="inlineStr">
        <is>
          <t>TN</t>
        </is>
      </c>
      <c r="N646" t="inlineStr"/>
      <c r="P646" t="inlineStr">
        <is>
          <t>20250507</t>
        </is>
      </c>
      <c r="Q646" t="inlineStr">
        <is>
          <t>20260215</t>
        </is>
      </c>
    </row>
    <row r="647">
      <c r="A647" t="inlineStr">
        <is>
          <t>900009233DW68D04210270911</t>
        </is>
      </c>
      <c r="B647" t="inlineStr">
        <is>
          <t>900009233</t>
        </is>
      </c>
      <c r="C647" t="inlineStr">
        <is>
          <t>DW68</t>
        </is>
      </c>
      <c r="D647" t="inlineStr">
        <is>
          <t>D042</t>
        </is>
      </c>
      <c r="E647" t="inlineStr">
        <is>
          <t>4</t>
        </is>
      </c>
      <c r="F647" t="inlineStr">
        <is>
          <t>10270911</t>
        </is>
      </c>
      <c r="H647" t="inlineStr"/>
      <c r="J647" t="n">
        <v>155.88</v>
      </c>
      <c r="K647" t="inlineStr"/>
      <c r="M647" t="inlineStr">
        <is>
          <t>TN</t>
        </is>
      </c>
      <c r="N647" t="inlineStr"/>
      <c r="P647" t="inlineStr">
        <is>
          <t>20260701</t>
        </is>
      </c>
      <c r="Q647" t="inlineStr">
        <is>
          <t>99991231</t>
        </is>
      </c>
    </row>
    <row r="648">
      <c r="A648" t="inlineStr">
        <is>
          <t>900009233DW68D20910270911</t>
        </is>
      </c>
      <c r="B648" t="inlineStr">
        <is>
          <t>900009233</t>
        </is>
      </c>
      <c r="C648" t="inlineStr">
        <is>
          <t>DW68</t>
        </is>
      </c>
      <c r="D648" t="inlineStr">
        <is>
          <t>D209</t>
        </is>
      </c>
      <c r="E648" t="inlineStr">
        <is>
          <t>4</t>
        </is>
      </c>
      <c r="F648" t="inlineStr">
        <is>
          <t>10270911</t>
        </is>
      </c>
      <c r="H648" t="inlineStr"/>
      <c r="J648" t="n">
        <v>102.94</v>
      </c>
      <c r="K648" t="inlineStr"/>
      <c r="M648" t="inlineStr">
        <is>
          <t>TN</t>
        </is>
      </c>
      <c r="N648" t="inlineStr"/>
      <c r="P648" t="inlineStr">
        <is>
          <t>20260701</t>
        </is>
      </c>
      <c r="Q648" t="inlineStr">
        <is>
          <t>99991231</t>
        </is>
      </c>
    </row>
    <row r="649">
      <c r="A649" t="inlineStr">
        <is>
          <t>900009233DW68D21110270911</t>
        </is>
      </c>
      <c r="B649" t="inlineStr">
        <is>
          <t>900009233</t>
        </is>
      </c>
      <c r="C649" t="inlineStr">
        <is>
          <t>DW68</t>
        </is>
      </c>
      <c r="D649" t="inlineStr">
        <is>
          <t>D211</t>
        </is>
      </c>
      <c r="E649" t="inlineStr">
        <is>
          <t>4</t>
        </is>
      </c>
      <c r="F649" t="inlineStr">
        <is>
          <t>10270911</t>
        </is>
      </c>
      <c r="H649" t="inlineStr"/>
      <c r="J649" t="n">
        <v>111.76</v>
      </c>
      <c r="K649" t="inlineStr"/>
      <c r="M649" t="inlineStr">
        <is>
          <t>TN</t>
        </is>
      </c>
      <c r="N649" t="inlineStr"/>
      <c r="P649" t="inlineStr">
        <is>
          <t>20260701</t>
        </is>
      </c>
      <c r="Q649" t="inlineStr">
        <is>
          <t>99991231</t>
        </is>
      </c>
    </row>
    <row r="650">
      <c r="A650" t="inlineStr">
        <is>
          <t>900009233DW68D22810270911</t>
        </is>
      </c>
      <c r="B650" t="inlineStr">
        <is>
          <t>900009233</t>
        </is>
      </c>
      <c r="C650" t="inlineStr">
        <is>
          <t>DW68</t>
        </is>
      </c>
      <c r="D650" t="inlineStr">
        <is>
          <t>D228</t>
        </is>
      </c>
      <c r="E650" t="inlineStr">
        <is>
          <t>4</t>
        </is>
      </c>
      <c r="F650" t="inlineStr">
        <is>
          <t>10270911</t>
        </is>
      </c>
      <c r="H650" t="inlineStr"/>
      <c r="J650" t="n">
        <v>102.94</v>
      </c>
      <c r="K650" t="inlineStr"/>
      <c r="M650" t="inlineStr">
        <is>
          <t>TN</t>
        </is>
      </c>
      <c r="N650" t="inlineStr"/>
      <c r="P650" t="inlineStr">
        <is>
          <t>20260701</t>
        </is>
      </c>
      <c r="Q650" t="inlineStr">
        <is>
          <t>99991231</t>
        </is>
      </c>
    </row>
    <row r="651">
      <c r="A651" t="inlineStr">
        <is>
          <t>900009233DW68D24210270911</t>
        </is>
      </c>
      <c r="B651" t="inlineStr">
        <is>
          <t>900009233</t>
        </is>
      </c>
      <c r="C651" t="inlineStr">
        <is>
          <t>DW68</t>
        </is>
      </c>
      <c r="D651" t="inlineStr">
        <is>
          <t>D242</t>
        </is>
      </c>
      <c r="E651" t="inlineStr">
        <is>
          <t>4</t>
        </is>
      </c>
      <c r="F651" t="inlineStr">
        <is>
          <t>10270911</t>
        </is>
      </c>
      <c r="H651" t="inlineStr"/>
      <c r="J651" t="n">
        <v>158.82</v>
      </c>
      <c r="K651" t="inlineStr"/>
      <c r="M651" t="inlineStr">
        <is>
          <t>TN</t>
        </is>
      </c>
      <c r="N651" t="inlineStr"/>
      <c r="P651" t="inlineStr">
        <is>
          <t>20260701</t>
        </is>
      </c>
      <c r="Q651" t="inlineStr">
        <is>
          <t>99991231</t>
        </is>
      </c>
    </row>
    <row r="652">
      <c r="A652" t="inlineStr">
        <is>
          <t>900009233DW68D24710270911</t>
        </is>
      </c>
      <c r="B652" t="inlineStr">
        <is>
          <t>900009233</t>
        </is>
      </c>
      <c r="C652" t="inlineStr">
        <is>
          <t>DW68</t>
        </is>
      </c>
      <c r="D652" t="inlineStr">
        <is>
          <t>D247</t>
        </is>
      </c>
      <c r="E652" t="inlineStr">
        <is>
          <t>4</t>
        </is>
      </c>
      <c r="F652" t="inlineStr">
        <is>
          <t>10270911</t>
        </is>
      </c>
      <c r="H652" t="inlineStr"/>
      <c r="J652" t="n">
        <v>141.18</v>
      </c>
      <c r="K652" t="inlineStr"/>
      <c r="M652" t="inlineStr">
        <is>
          <t>TN</t>
        </is>
      </c>
      <c r="N652" t="inlineStr"/>
      <c r="P652" t="inlineStr">
        <is>
          <t>20260701</t>
        </is>
      </c>
      <c r="Q652" t="inlineStr">
        <is>
          <t>99991231</t>
        </is>
      </c>
    </row>
    <row r="653">
      <c r="A653" t="inlineStr">
        <is>
          <t>900009233DW68D25110270911</t>
        </is>
      </c>
      <c r="B653" t="inlineStr">
        <is>
          <t>900009233</t>
        </is>
      </c>
      <c r="C653" t="inlineStr">
        <is>
          <t>DW68</t>
        </is>
      </c>
      <c r="D653" t="inlineStr">
        <is>
          <t>D251</t>
        </is>
      </c>
      <c r="E653" t="inlineStr">
        <is>
          <t>4</t>
        </is>
      </c>
      <c r="F653" t="inlineStr">
        <is>
          <t>10270911</t>
        </is>
      </c>
      <c r="H653" t="inlineStr"/>
      <c r="J653" t="n">
        <v>79.41</v>
      </c>
      <c r="K653" t="inlineStr"/>
      <c r="M653" t="inlineStr">
        <is>
          <t>TN</t>
        </is>
      </c>
      <c r="N653" t="inlineStr"/>
      <c r="P653" t="inlineStr">
        <is>
          <t>20260701</t>
        </is>
      </c>
      <c r="Q653" t="inlineStr">
        <is>
          <t>99991231</t>
        </is>
      </c>
    </row>
    <row r="654">
      <c r="A654" t="inlineStr">
        <is>
          <t>900009233DW68D26410270911</t>
        </is>
      </c>
      <c r="B654" t="inlineStr">
        <is>
          <t>900009233</t>
        </is>
      </c>
      <c r="C654" t="inlineStr">
        <is>
          <t>DW68</t>
        </is>
      </c>
      <c r="D654" t="inlineStr">
        <is>
          <t>D264</t>
        </is>
      </c>
      <c r="E654" t="inlineStr">
        <is>
          <t>4</t>
        </is>
      </c>
      <c r="F654" t="inlineStr">
        <is>
          <t>10270911</t>
        </is>
      </c>
      <c r="H654" t="inlineStr"/>
      <c r="J654" t="n">
        <v>100</v>
      </c>
      <c r="K654" t="inlineStr"/>
      <c r="M654" t="inlineStr">
        <is>
          <t>TN</t>
        </is>
      </c>
      <c r="N654" t="inlineStr"/>
      <c r="P654" t="inlineStr">
        <is>
          <t>20260701</t>
        </is>
      </c>
      <c r="Q654" t="inlineStr">
        <is>
          <t>99991231</t>
        </is>
      </c>
    </row>
    <row r="655">
      <c r="A655" t="inlineStr">
        <is>
          <t>900009233DW68D26710270911</t>
        </is>
      </c>
      <c r="B655" t="inlineStr">
        <is>
          <t>900009233</t>
        </is>
      </c>
      <c r="C655" t="inlineStr">
        <is>
          <t>DW68</t>
        </is>
      </c>
      <c r="D655" t="inlineStr">
        <is>
          <t>D267</t>
        </is>
      </c>
      <c r="E655" t="inlineStr">
        <is>
          <t>4</t>
        </is>
      </c>
      <c r="F655" t="inlineStr">
        <is>
          <t>10270911</t>
        </is>
      </c>
      <c r="H655" t="inlineStr"/>
      <c r="J655" t="n">
        <v>211.76</v>
      </c>
      <c r="K655" t="inlineStr"/>
      <c r="M655" t="inlineStr">
        <is>
          <t>TN</t>
        </is>
      </c>
      <c r="N655" t="inlineStr"/>
      <c r="P655" t="inlineStr">
        <is>
          <t>20260701</t>
        </is>
      </c>
      <c r="Q655" t="inlineStr">
        <is>
          <t>99991231</t>
        </is>
      </c>
    </row>
    <row r="656">
      <c r="A656" t="inlineStr">
        <is>
          <t>900009396DW68D57710209065</t>
        </is>
      </c>
      <c r="B656" t="inlineStr">
        <is>
          <t>900009396</t>
        </is>
      </c>
      <c r="C656" t="inlineStr">
        <is>
          <t>DW68</t>
        </is>
      </c>
      <c r="D656" t="inlineStr">
        <is>
          <t>D577</t>
        </is>
      </c>
      <c r="E656" t="inlineStr">
        <is>
          <t>4</t>
        </is>
      </c>
      <c r="F656" t="inlineStr">
        <is>
          <t>10209065</t>
        </is>
      </c>
      <c r="H656" t="inlineStr"/>
      <c r="J656" t="n">
        <v>0.01</v>
      </c>
      <c r="K656" t="inlineStr"/>
      <c r="M656" t="inlineStr">
        <is>
          <t>TN</t>
        </is>
      </c>
      <c r="N656" t="inlineStr"/>
      <c r="P656" t="inlineStr">
        <is>
          <t>20260401</t>
        </is>
      </c>
      <c r="Q656" t="inlineStr">
        <is>
          <t>99991231</t>
        </is>
      </c>
    </row>
    <row r="657">
      <c r="A657" t="inlineStr">
        <is>
          <t>900009396DW68D57710270898</t>
        </is>
      </c>
      <c r="B657" t="inlineStr">
        <is>
          <t>900009396</t>
        </is>
      </c>
      <c r="C657" t="inlineStr">
        <is>
          <t>DW68</t>
        </is>
      </c>
      <c r="D657" t="inlineStr">
        <is>
          <t>D577</t>
        </is>
      </c>
      <c r="E657" t="inlineStr">
        <is>
          <t>4</t>
        </is>
      </c>
      <c r="F657" t="inlineStr">
        <is>
          <t>10270898</t>
        </is>
      </c>
      <c r="H657" t="inlineStr"/>
      <c r="J657" t="n">
        <v>0.01</v>
      </c>
      <c r="K657" t="inlineStr"/>
      <c r="M657" t="inlineStr">
        <is>
          <t>TN</t>
        </is>
      </c>
      <c r="N657" t="inlineStr"/>
      <c r="P657" t="inlineStr">
        <is>
          <t>20260401</t>
        </is>
      </c>
      <c r="Q657" t="inlineStr">
        <is>
          <t>99991231</t>
        </is>
      </c>
    </row>
    <row r="658">
      <c r="A658" t="inlineStr">
        <is>
          <t>900009396DW68ENEB10209065</t>
        </is>
      </c>
      <c r="B658" t="inlineStr">
        <is>
          <t>900009396</t>
        </is>
      </c>
      <c r="C658" t="inlineStr">
        <is>
          <t>DW68</t>
        </is>
      </c>
      <c r="D658" t="inlineStr">
        <is>
          <t>ENEB</t>
        </is>
      </c>
      <c r="E658" t="inlineStr">
        <is>
          <t>4</t>
        </is>
      </c>
      <c r="F658" t="inlineStr">
        <is>
          <t>10209065</t>
        </is>
      </c>
      <c r="H658" t="inlineStr"/>
      <c r="J658" t="n">
        <v>0.01</v>
      </c>
      <c r="K658" t="inlineStr"/>
      <c r="M658" t="inlineStr">
        <is>
          <t>TN</t>
        </is>
      </c>
      <c r="N658" t="inlineStr"/>
      <c r="P658" t="inlineStr">
        <is>
          <t>20260126</t>
        </is>
      </c>
      <c r="Q658" t="inlineStr">
        <is>
          <t>99991231</t>
        </is>
      </c>
    </row>
    <row r="659">
      <c r="A659" t="inlineStr">
        <is>
          <t>900009396DW68ENL110209065</t>
        </is>
      </c>
      <c r="B659" t="inlineStr">
        <is>
          <t>900009396</t>
        </is>
      </c>
      <c r="C659" t="inlineStr">
        <is>
          <t>DW68</t>
        </is>
      </c>
      <c r="D659" t="inlineStr">
        <is>
          <t>ENL1</t>
        </is>
      </c>
      <c r="E659" t="inlineStr">
        <is>
          <t>4</t>
        </is>
      </c>
      <c r="F659" t="inlineStr">
        <is>
          <t>10209065</t>
        </is>
      </c>
      <c r="H659" t="inlineStr"/>
      <c r="J659" t="n">
        <v>0.01</v>
      </c>
      <c r="K659" t="inlineStr"/>
      <c r="M659" t="inlineStr">
        <is>
          <t>TN</t>
        </is>
      </c>
      <c r="N659" t="inlineStr"/>
      <c r="P659" t="inlineStr">
        <is>
          <t>20260126</t>
        </is>
      </c>
      <c r="Q659" t="inlineStr">
        <is>
          <t>99991231</t>
        </is>
      </c>
    </row>
    <row r="660">
      <c r="A660" t="inlineStr">
        <is>
          <t>900009396DW68ENL110270898</t>
        </is>
      </c>
      <c r="B660" t="inlineStr">
        <is>
          <t>900009396</t>
        </is>
      </c>
      <c r="C660" t="inlineStr">
        <is>
          <t>DW68</t>
        </is>
      </c>
      <c r="D660" t="inlineStr">
        <is>
          <t>ENL1</t>
        </is>
      </c>
      <c r="E660" t="inlineStr">
        <is>
          <t>4</t>
        </is>
      </c>
      <c r="F660" t="inlineStr">
        <is>
          <t>10270898</t>
        </is>
      </c>
      <c r="H660" t="inlineStr"/>
      <c r="J660" t="n">
        <v>0.01</v>
      </c>
      <c r="K660" t="inlineStr"/>
      <c r="M660" t="inlineStr">
        <is>
          <t>TN</t>
        </is>
      </c>
      <c r="N660" t="inlineStr"/>
      <c r="P660" t="inlineStr">
        <is>
          <t>20260126</t>
        </is>
      </c>
      <c r="Q660" t="inlineStr">
        <is>
          <t>99991231</t>
        </is>
      </c>
    </row>
    <row r="661">
      <c r="A661" t="inlineStr">
        <is>
          <t>900009396DW68ENV810209065</t>
        </is>
      </c>
      <c r="B661" t="inlineStr">
        <is>
          <t>900009396</t>
        </is>
      </c>
      <c r="C661" t="inlineStr">
        <is>
          <t>DW68</t>
        </is>
      </c>
      <c r="D661" t="inlineStr">
        <is>
          <t>ENV8</t>
        </is>
      </c>
      <c r="E661" t="inlineStr">
        <is>
          <t>4</t>
        </is>
      </c>
      <c r="F661" t="inlineStr">
        <is>
          <t>10209065</t>
        </is>
      </c>
      <c r="H661" t="inlineStr"/>
      <c r="J661" t="n">
        <v>0.01</v>
      </c>
      <c r="K661" t="inlineStr"/>
      <c r="M661" t="inlineStr">
        <is>
          <t>TN</t>
        </is>
      </c>
      <c r="N661" t="inlineStr"/>
      <c r="P661" t="inlineStr">
        <is>
          <t>20260401</t>
        </is>
      </c>
      <c r="Q661" t="inlineStr">
        <is>
          <t>99991231</t>
        </is>
      </c>
    </row>
    <row r="662">
      <c r="A662" t="inlineStr">
        <is>
          <t>900009396DW68ENV910209065</t>
        </is>
      </c>
      <c r="B662" t="inlineStr">
        <is>
          <t>900009396</t>
        </is>
      </c>
      <c r="C662" t="inlineStr">
        <is>
          <t>DW68</t>
        </is>
      </c>
      <c r="D662" t="inlineStr">
        <is>
          <t>ENV9</t>
        </is>
      </c>
      <c r="E662" t="inlineStr">
        <is>
          <t>4</t>
        </is>
      </c>
      <c r="F662" t="inlineStr">
        <is>
          <t>10209065</t>
        </is>
      </c>
      <c r="H662" t="inlineStr"/>
      <c r="J662" t="n">
        <v>0.01</v>
      </c>
      <c r="K662" t="inlineStr"/>
      <c r="M662" t="inlineStr">
        <is>
          <t>TN</t>
        </is>
      </c>
      <c r="N662" t="inlineStr"/>
      <c r="P662" t="inlineStr">
        <is>
          <t>20260126</t>
        </is>
      </c>
      <c r="Q662" t="inlineStr">
        <is>
          <t>99991231</t>
        </is>
      </c>
    </row>
    <row r="663">
      <c r="A663" t="inlineStr">
        <is>
          <t>900009396DW68ENV910270898</t>
        </is>
      </c>
      <c r="B663" t="inlineStr">
        <is>
          <t>900009396</t>
        </is>
      </c>
      <c r="C663" t="inlineStr">
        <is>
          <t>DW68</t>
        </is>
      </c>
      <c r="D663" t="inlineStr">
        <is>
          <t>ENV9</t>
        </is>
      </c>
      <c r="E663" t="inlineStr">
        <is>
          <t>4</t>
        </is>
      </c>
      <c r="F663" t="inlineStr">
        <is>
          <t>10270898</t>
        </is>
      </c>
      <c r="H663" t="inlineStr"/>
      <c r="J663" t="n">
        <v>0.01</v>
      </c>
      <c r="K663" t="inlineStr"/>
      <c r="M663" t="inlineStr">
        <is>
          <t>TN</t>
        </is>
      </c>
      <c r="N663" t="inlineStr"/>
      <c r="P663" t="inlineStr">
        <is>
          <t>20260126</t>
        </is>
      </c>
      <c r="Q663" t="inlineStr">
        <is>
          <t>99991231</t>
        </is>
      </c>
    </row>
    <row r="664">
      <c r="A664" t="inlineStr">
        <is>
          <t>900009399DW68D04210000191</t>
        </is>
      </c>
      <c r="B664" t="inlineStr">
        <is>
          <t>900009399</t>
        </is>
      </c>
      <c r="C664" t="inlineStr">
        <is>
          <t>DW68</t>
        </is>
      </c>
      <c r="D664" t="inlineStr">
        <is>
          <t>D042</t>
        </is>
      </c>
      <c r="E664" t="inlineStr">
        <is>
          <t>1</t>
        </is>
      </c>
      <c r="F664" t="inlineStr">
        <is>
          <t>10000191</t>
        </is>
      </c>
      <c r="H664" t="inlineStr"/>
      <c r="J664" t="n">
        <v>80.98999999999999</v>
      </c>
      <c r="K664" t="inlineStr"/>
      <c r="M664" t="inlineStr">
        <is>
          <t>TN</t>
        </is>
      </c>
      <c r="N664" t="inlineStr"/>
      <c r="P664" t="inlineStr">
        <is>
          <t>20260410</t>
        </is>
      </c>
      <c r="Q664" t="inlineStr">
        <is>
          <t>99991231</t>
        </is>
      </c>
    </row>
    <row r="665">
      <c r="A665" t="inlineStr">
        <is>
          <t>900009399DW68D04210003240</t>
        </is>
      </c>
      <c r="B665" t="inlineStr">
        <is>
          <t>900009399</t>
        </is>
      </c>
      <c r="C665" t="inlineStr">
        <is>
          <t>DW68</t>
        </is>
      </c>
      <c r="D665" t="inlineStr">
        <is>
          <t>D042</t>
        </is>
      </c>
      <c r="E665" t="inlineStr">
        <is>
          <t>1</t>
        </is>
      </c>
      <c r="F665" t="inlineStr">
        <is>
          <t>10003240</t>
        </is>
      </c>
      <c r="H665" t="inlineStr"/>
      <c r="J665" t="n">
        <v>81.22</v>
      </c>
      <c r="K665" t="inlineStr"/>
      <c r="M665" t="inlineStr">
        <is>
          <t>TN</t>
        </is>
      </c>
      <c r="N665" t="inlineStr"/>
      <c r="P665" t="inlineStr">
        <is>
          <t>20260706</t>
        </is>
      </c>
      <c r="Q665" t="inlineStr">
        <is>
          <t>99991231</t>
        </is>
      </c>
    </row>
    <row r="666">
      <c r="A666" t="inlineStr">
        <is>
          <t>900009399DW68D20910000191</t>
        </is>
      </c>
      <c r="B666" t="inlineStr">
        <is>
          <t>900009399</t>
        </is>
      </c>
      <c r="C666" t="inlineStr">
        <is>
          <t>DW68</t>
        </is>
      </c>
      <c r="D666" t="inlineStr">
        <is>
          <t>D209</t>
        </is>
      </c>
      <c r="E666" t="inlineStr">
        <is>
          <t>1</t>
        </is>
      </c>
      <c r="F666" t="inlineStr">
        <is>
          <t>10000191</t>
        </is>
      </c>
      <c r="H666" t="inlineStr"/>
      <c r="J666" t="n">
        <v>144.88</v>
      </c>
      <c r="K666" t="inlineStr"/>
      <c r="M666" t="inlineStr">
        <is>
          <t>TN</t>
        </is>
      </c>
      <c r="N666" t="inlineStr"/>
      <c r="P666" t="inlineStr">
        <is>
          <t>20260410</t>
        </is>
      </c>
      <c r="Q666" t="inlineStr">
        <is>
          <t>99991231</t>
        </is>
      </c>
    </row>
    <row r="667">
      <c r="A667" t="inlineStr">
        <is>
          <t>900009399DW68D20910003240</t>
        </is>
      </c>
      <c r="B667" t="inlineStr">
        <is>
          <t>900009399</t>
        </is>
      </c>
      <c r="C667" t="inlineStr">
        <is>
          <t>DW68</t>
        </is>
      </c>
      <c r="D667" t="inlineStr">
        <is>
          <t>D209</t>
        </is>
      </c>
      <c r="E667" t="inlineStr">
        <is>
          <t>1</t>
        </is>
      </c>
      <c r="F667" t="inlineStr">
        <is>
          <t>10003240</t>
        </is>
      </c>
      <c r="H667" t="inlineStr"/>
      <c r="J667" t="n">
        <v>145.29</v>
      </c>
      <c r="K667" t="inlineStr"/>
      <c r="M667" t="inlineStr">
        <is>
          <t>TN</t>
        </is>
      </c>
      <c r="N667" t="inlineStr"/>
      <c r="P667" t="inlineStr">
        <is>
          <t>20260706</t>
        </is>
      </c>
      <c r="Q667" t="inlineStr">
        <is>
          <t>99991231</t>
        </is>
      </c>
    </row>
    <row r="668">
      <c r="A668" t="inlineStr">
        <is>
          <t>900009399DW68D21110000191</t>
        </is>
      </c>
      <c r="B668" t="inlineStr">
        <is>
          <t>900009399</t>
        </is>
      </c>
      <c r="C668" t="inlineStr">
        <is>
          <t>DW68</t>
        </is>
      </c>
      <c r="D668" t="inlineStr">
        <is>
          <t>D211</t>
        </is>
      </c>
      <c r="E668" t="inlineStr">
        <is>
          <t>1</t>
        </is>
      </c>
      <c r="F668" t="inlineStr">
        <is>
          <t>10000191</t>
        </is>
      </c>
      <c r="H668" t="inlineStr"/>
      <c r="J668" t="n">
        <v>125.98</v>
      </c>
      <c r="K668" t="inlineStr"/>
      <c r="M668" t="inlineStr">
        <is>
          <t>TN</t>
        </is>
      </c>
      <c r="N668" t="inlineStr"/>
      <c r="P668" t="inlineStr">
        <is>
          <t>20260410</t>
        </is>
      </c>
      <c r="Q668" t="inlineStr">
        <is>
          <t>99991231</t>
        </is>
      </c>
    </row>
    <row r="669">
      <c r="A669" t="inlineStr">
        <is>
          <t>900009399DW68D21110003240</t>
        </is>
      </c>
      <c r="B669" t="inlineStr">
        <is>
          <t>900009399</t>
        </is>
      </c>
      <c r="C669" t="inlineStr">
        <is>
          <t>DW68</t>
        </is>
      </c>
      <c r="D669" t="inlineStr">
        <is>
          <t>D211</t>
        </is>
      </c>
      <c r="E669" t="inlineStr">
        <is>
          <t>1</t>
        </is>
      </c>
      <c r="F669" t="inlineStr">
        <is>
          <t>10003240</t>
        </is>
      </c>
      <c r="H669" t="inlineStr"/>
      <c r="J669" t="n">
        <v>126.34</v>
      </c>
      <c r="K669" t="inlineStr"/>
      <c r="M669" t="inlineStr">
        <is>
          <t>TN</t>
        </is>
      </c>
      <c r="N669" t="inlineStr"/>
      <c r="P669" t="inlineStr">
        <is>
          <t>20260706</t>
        </is>
      </c>
      <c r="Q669" t="inlineStr">
        <is>
          <t>99991231</t>
        </is>
      </c>
    </row>
    <row r="670">
      <c r="A670" t="inlineStr">
        <is>
          <t>900009399DW68D22810000191</t>
        </is>
      </c>
      <c r="B670" t="inlineStr">
        <is>
          <t>900009399</t>
        </is>
      </c>
      <c r="C670" t="inlineStr">
        <is>
          <t>DW68</t>
        </is>
      </c>
      <c r="D670" t="inlineStr">
        <is>
          <t>D228</t>
        </is>
      </c>
      <c r="E670" t="inlineStr">
        <is>
          <t>1</t>
        </is>
      </c>
      <c r="F670" t="inlineStr">
        <is>
          <t>10000191</t>
        </is>
      </c>
      <c r="H670" t="inlineStr"/>
      <c r="J670" t="n">
        <v>134.18</v>
      </c>
      <c r="K670" t="inlineStr"/>
      <c r="M670" t="inlineStr">
        <is>
          <t>TN</t>
        </is>
      </c>
      <c r="N670" t="inlineStr"/>
      <c r="P670" t="inlineStr">
        <is>
          <t>20260410</t>
        </is>
      </c>
      <c r="Q670" t="inlineStr">
        <is>
          <t>99991231</t>
        </is>
      </c>
    </row>
    <row r="671">
      <c r="A671" t="inlineStr">
        <is>
          <t>900009399DW68D22810003240</t>
        </is>
      </c>
      <c r="B671" t="inlineStr">
        <is>
          <t>900009399</t>
        </is>
      </c>
      <c r="C671" t="inlineStr">
        <is>
          <t>DW68</t>
        </is>
      </c>
      <c r="D671" t="inlineStr">
        <is>
          <t>D228</t>
        </is>
      </c>
      <c r="E671" t="inlineStr">
        <is>
          <t>1</t>
        </is>
      </c>
      <c r="F671" t="inlineStr">
        <is>
          <t>10003240</t>
        </is>
      </c>
      <c r="H671" t="inlineStr"/>
      <c r="J671" t="n">
        <v>134.56</v>
      </c>
      <c r="K671" t="inlineStr"/>
      <c r="M671" t="inlineStr">
        <is>
          <t>TN</t>
        </is>
      </c>
      <c r="N671" t="inlineStr"/>
      <c r="P671" t="inlineStr">
        <is>
          <t>20260706</t>
        </is>
      </c>
      <c r="Q671" t="inlineStr">
        <is>
          <t>99991231</t>
        </is>
      </c>
    </row>
    <row r="672">
      <c r="A672" t="inlineStr">
        <is>
          <t>900009399DW68D24210000191</t>
        </is>
      </c>
      <c r="B672" t="inlineStr">
        <is>
          <t>900009399</t>
        </is>
      </c>
      <c r="C672" t="inlineStr">
        <is>
          <t>DW68</t>
        </is>
      </c>
      <c r="D672" t="inlineStr">
        <is>
          <t>D242</t>
        </is>
      </c>
      <c r="E672" t="inlineStr">
        <is>
          <t>1</t>
        </is>
      </c>
      <c r="F672" t="inlineStr">
        <is>
          <t>10000191</t>
        </is>
      </c>
      <c r="H672" t="inlineStr"/>
      <c r="J672" t="n">
        <v>74.09</v>
      </c>
      <c r="K672" t="inlineStr"/>
      <c r="M672" t="inlineStr">
        <is>
          <t>TN</t>
        </is>
      </c>
      <c r="N672" t="inlineStr"/>
      <c r="P672" t="inlineStr">
        <is>
          <t>20260410</t>
        </is>
      </c>
      <c r="Q672" t="inlineStr">
        <is>
          <t>99991231</t>
        </is>
      </c>
    </row>
    <row r="673">
      <c r="A673" t="inlineStr">
        <is>
          <t>900009399DW68D24210003240</t>
        </is>
      </c>
      <c r="B673" t="inlineStr">
        <is>
          <t>900009399</t>
        </is>
      </c>
      <c r="C673" t="inlineStr">
        <is>
          <t>DW68</t>
        </is>
      </c>
      <c r="D673" t="inlineStr">
        <is>
          <t>D242</t>
        </is>
      </c>
      <c r="E673" t="inlineStr">
        <is>
          <t>1</t>
        </is>
      </c>
      <c r="F673" t="inlineStr">
        <is>
          <t>10003240</t>
        </is>
      </c>
      <c r="H673" t="inlineStr"/>
      <c r="J673" t="n">
        <v>74.3</v>
      </c>
      <c r="K673" t="inlineStr"/>
      <c r="M673" t="inlineStr">
        <is>
          <t>TN</t>
        </is>
      </c>
      <c r="N673" t="inlineStr"/>
      <c r="P673" t="inlineStr">
        <is>
          <t>20260706</t>
        </is>
      </c>
      <c r="Q673" t="inlineStr">
        <is>
          <t>99991231</t>
        </is>
      </c>
    </row>
    <row r="674">
      <c r="A674" t="inlineStr">
        <is>
          <t>900009399DW68D24710000191</t>
        </is>
      </c>
      <c r="B674" t="inlineStr">
        <is>
          <t>900009399</t>
        </is>
      </c>
      <c r="C674" t="inlineStr">
        <is>
          <t>DW68</t>
        </is>
      </c>
      <c r="D674" t="inlineStr">
        <is>
          <t>D247</t>
        </is>
      </c>
      <c r="E674" t="inlineStr">
        <is>
          <t>1</t>
        </is>
      </c>
      <c r="F674" t="inlineStr">
        <is>
          <t>10000191</t>
        </is>
      </c>
      <c r="H674" t="inlineStr"/>
      <c r="J674" t="n">
        <v>133.76</v>
      </c>
      <c r="K674" t="inlineStr"/>
      <c r="M674" t="inlineStr">
        <is>
          <t>TN</t>
        </is>
      </c>
      <c r="N674" t="inlineStr"/>
      <c r="P674" t="inlineStr">
        <is>
          <t>20260410</t>
        </is>
      </c>
      <c r="Q674" t="inlineStr">
        <is>
          <t>99991231</t>
        </is>
      </c>
    </row>
    <row r="675">
      <c r="A675" t="inlineStr">
        <is>
          <t>900009399DW68D24710003240</t>
        </is>
      </c>
      <c r="B675" t="inlineStr">
        <is>
          <t>900009399</t>
        </is>
      </c>
      <c r="C675" t="inlineStr">
        <is>
          <t>DW68</t>
        </is>
      </c>
      <c r="D675" t="inlineStr">
        <is>
          <t>D247</t>
        </is>
      </c>
      <c r="E675" t="inlineStr">
        <is>
          <t>1</t>
        </is>
      </c>
      <c r="F675" t="inlineStr">
        <is>
          <t>10003240</t>
        </is>
      </c>
      <c r="H675" t="inlineStr"/>
      <c r="J675" t="n">
        <v>134.14</v>
      </c>
      <c r="K675" t="inlineStr"/>
      <c r="M675" t="inlineStr">
        <is>
          <t>TN</t>
        </is>
      </c>
      <c r="N675" t="inlineStr"/>
      <c r="P675" t="inlineStr">
        <is>
          <t>20260706</t>
        </is>
      </c>
      <c r="Q675" t="inlineStr">
        <is>
          <t>99991231</t>
        </is>
      </c>
    </row>
    <row r="676">
      <c r="A676" t="inlineStr">
        <is>
          <t>900009399DW68D25110000191</t>
        </is>
      </c>
      <c r="B676" t="inlineStr">
        <is>
          <t>900009399</t>
        </is>
      </c>
      <c r="C676" t="inlineStr">
        <is>
          <t>DW68</t>
        </is>
      </c>
      <c r="D676" t="inlineStr">
        <is>
          <t>D251</t>
        </is>
      </c>
      <c r="E676" t="inlineStr">
        <is>
          <t>1</t>
        </is>
      </c>
      <c r="F676" t="inlineStr">
        <is>
          <t>10000191</t>
        </is>
      </c>
      <c r="H676" t="inlineStr"/>
      <c r="J676" t="n">
        <v>178.22</v>
      </c>
      <c r="K676" t="inlineStr"/>
      <c r="M676" t="inlineStr">
        <is>
          <t>TN</t>
        </is>
      </c>
      <c r="N676" t="inlineStr"/>
      <c r="P676" t="inlineStr">
        <is>
          <t>20260410</t>
        </is>
      </c>
      <c r="Q676" t="inlineStr">
        <is>
          <t>99991231</t>
        </is>
      </c>
    </row>
    <row r="677">
      <c r="A677" t="inlineStr">
        <is>
          <t>900009399DW68D25110003240</t>
        </is>
      </c>
      <c r="B677" t="inlineStr">
        <is>
          <t>900009399</t>
        </is>
      </c>
      <c r="C677" t="inlineStr">
        <is>
          <t>DW68</t>
        </is>
      </c>
      <c r="D677" t="inlineStr">
        <is>
          <t>D251</t>
        </is>
      </c>
      <c r="E677" t="inlineStr">
        <is>
          <t>1</t>
        </is>
      </c>
      <c r="F677" t="inlineStr">
        <is>
          <t>10003240</t>
        </is>
      </c>
      <c r="H677" t="inlineStr"/>
      <c r="J677" t="n">
        <v>178.73</v>
      </c>
      <c r="K677" t="inlineStr"/>
      <c r="M677" t="inlineStr">
        <is>
          <t>TN</t>
        </is>
      </c>
      <c r="N677" t="inlineStr"/>
      <c r="P677" t="inlineStr">
        <is>
          <t>20260706</t>
        </is>
      </c>
      <c r="Q677" t="inlineStr">
        <is>
          <t>99991231</t>
        </is>
      </c>
    </row>
    <row r="678">
      <c r="A678" t="inlineStr">
        <is>
          <t>900009399DW68D26410000191</t>
        </is>
      </c>
      <c r="B678" t="inlineStr">
        <is>
          <t>900009399</t>
        </is>
      </c>
      <c r="C678" t="inlineStr">
        <is>
          <t>DW68</t>
        </is>
      </c>
      <c r="D678" t="inlineStr">
        <is>
          <t>D264</t>
        </is>
      </c>
      <c r="E678" t="inlineStr">
        <is>
          <t>1</t>
        </is>
      </c>
      <c r="F678" t="inlineStr">
        <is>
          <t>10000191</t>
        </is>
      </c>
      <c r="H678" t="inlineStr"/>
      <c r="J678" t="n">
        <v>129.56</v>
      </c>
      <c r="K678" t="inlineStr"/>
      <c r="M678" t="inlineStr">
        <is>
          <t>TN</t>
        </is>
      </c>
      <c r="N678" t="inlineStr"/>
      <c r="P678" t="inlineStr">
        <is>
          <t>20260410</t>
        </is>
      </c>
      <c r="Q678" t="inlineStr">
        <is>
          <t>99991231</t>
        </is>
      </c>
    </row>
    <row r="679">
      <c r="A679" t="inlineStr">
        <is>
          <t>900009399DW68D26410003240</t>
        </is>
      </c>
      <c r="B679" t="inlineStr">
        <is>
          <t>900009399</t>
        </is>
      </c>
      <c r="C679" t="inlineStr">
        <is>
          <t>DW68</t>
        </is>
      </c>
      <c r="D679" t="inlineStr">
        <is>
          <t>D264</t>
        </is>
      </c>
      <c r="E679" t="inlineStr">
        <is>
          <t>1</t>
        </is>
      </c>
      <c r="F679" t="inlineStr">
        <is>
          <t>10003240</t>
        </is>
      </c>
      <c r="H679" t="inlineStr"/>
      <c r="J679" t="n">
        <v>129.93</v>
      </c>
      <c r="K679" t="inlineStr"/>
      <c r="M679" t="inlineStr">
        <is>
          <t>TN</t>
        </is>
      </c>
      <c r="N679" t="inlineStr"/>
      <c r="P679" t="inlineStr">
        <is>
          <t>20260706</t>
        </is>
      </c>
      <c r="Q679" t="inlineStr">
        <is>
          <t>99991231</t>
        </is>
      </c>
    </row>
    <row r="680">
      <c r="A680" t="inlineStr">
        <is>
          <t>900009399DW68D26710000191</t>
        </is>
      </c>
      <c r="B680" t="inlineStr">
        <is>
          <t>900009399</t>
        </is>
      </c>
      <c r="C680" t="inlineStr">
        <is>
          <t>DW68</t>
        </is>
      </c>
      <c r="D680" t="inlineStr">
        <is>
          <t>D267</t>
        </is>
      </c>
      <c r="E680" t="inlineStr">
        <is>
          <t>1</t>
        </is>
      </c>
      <c r="F680" t="inlineStr">
        <is>
          <t>10000191</t>
        </is>
      </c>
      <c r="H680" t="inlineStr"/>
      <c r="J680" t="n">
        <v>48.75</v>
      </c>
      <c r="K680" t="inlineStr"/>
      <c r="M680" t="inlineStr">
        <is>
          <t>TN</t>
        </is>
      </c>
      <c r="N680" t="inlineStr"/>
      <c r="P680" t="inlineStr">
        <is>
          <t>20260410</t>
        </is>
      </c>
      <c r="Q680" t="inlineStr">
        <is>
          <t>99991231</t>
        </is>
      </c>
    </row>
    <row r="681">
      <c r="A681" t="inlineStr">
        <is>
          <t>900009399DW68D26710000439</t>
        </is>
      </c>
      <c r="B681" t="inlineStr">
        <is>
          <t>900009399</t>
        </is>
      </c>
      <c r="C681" t="inlineStr">
        <is>
          <t>DW68</t>
        </is>
      </c>
      <c r="D681" t="inlineStr">
        <is>
          <t>D267</t>
        </is>
      </c>
      <c r="E681" t="inlineStr">
        <is>
          <t>1</t>
        </is>
      </c>
      <c r="F681" t="inlineStr">
        <is>
          <t>10000439</t>
        </is>
      </c>
      <c r="H681" t="inlineStr"/>
      <c r="J681" t="n">
        <v>47.83</v>
      </c>
      <c r="K681" t="inlineStr"/>
      <c r="M681" t="inlineStr">
        <is>
          <t>TN</t>
        </is>
      </c>
      <c r="N681" t="inlineStr"/>
      <c r="P681" t="inlineStr">
        <is>
          <t>20260706</t>
        </is>
      </c>
      <c r="Q681" t="inlineStr">
        <is>
          <t>99991231</t>
        </is>
      </c>
    </row>
    <row r="682">
      <c r="A682" t="inlineStr">
        <is>
          <t>900009399DW68D26710003240</t>
        </is>
      </c>
      <c r="B682" t="inlineStr">
        <is>
          <t>900009399</t>
        </is>
      </c>
      <c r="C682" t="inlineStr">
        <is>
          <t>DW68</t>
        </is>
      </c>
      <c r="D682" t="inlineStr">
        <is>
          <t>D267</t>
        </is>
      </c>
      <c r="E682" t="inlineStr">
        <is>
          <t>1</t>
        </is>
      </c>
      <c r="F682" t="inlineStr">
        <is>
          <t>10003240</t>
        </is>
      </c>
      <c r="H682" t="inlineStr"/>
      <c r="J682" t="n">
        <v>48.89</v>
      </c>
      <c r="K682" t="inlineStr"/>
      <c r="M682" t="inlineStr">
        <is>
          <t>TN</t>
        </is>
      </c>
      <c r="N682" t="inlineStr"/>
      <c r="P682" t="inlineStr">
        <is>
          <t>20260706</t>
        </is>
      </c>
      <c r="Q682" t="inlineStr">
        <is>
          <t>99991231</t>
        </is>
      </c>
    </row>
    <row r="683">
      <c r="A683" t="inlineStr">
        <is>
          <t>900009419DW68D04210270911</t>
        </is>
      </c>
      <c r="B683" t="inlineStr">
        <is>
          <t>900009419</t>
        </is>
      </c>
      <c r="C683" t="inlineStr">
        <is>
          <t>DW68</t>
        </is>
      </c>
      <c r="D683" t="inlineStr">
        <is>
          <t>D042</t>
        </is>
      </c>
      <c r="E683" t="inlineStr">
        <is>
          <t>1</t>
        </is>
      </c>
      <c r="F683" t="inlineStr">
        <is>
          <t>10270911</t>
        </is>
      </c>
      <c r="H683" t="inlineStr"/>
      <c r="J683" t="n">
        <v>130.46</v>
      </c>
      <c r="K683" t="inlineStr"/>
      <c r="M683" t="inlineStr">
        <is>
          <t>TN</t>
        </is>
      </c>
      <c r="N683" t="inlineStr"/>
      <c r="P683" t="inlineStr">
        <is>
          <t>20260430</t>
        </is>
      </c>
      <c r="Q683" t="inlineStr">
        <is>
          <t>20260705</t>
        </is>
      </c>
    </row>
    <row r="684">
      <c r="A684" t="inlineStr">
        <is>
          <t>900009419DW68D20910270911</t>
        </is>
      </c>
      <c r="B684" t="inlineStr">
        <is>
          <t>900009419</t>
        </is>
      </c>
      <c r="C684" t="inlineStr">
        <is>
          <t>DW68</t>
        </is>
      </c>
      <c r="D684" t="inlineStr">
        <is>
          <t>D209</t>
        </is>
      </c>
      <c r="E684" t="inlineStr">
        <is>
          <t>1</t>
        </is>
      </c>
      <c r="F684" t="inlineStr">
        <is>
          <t>10270911</t>
        </is>
      </c>
      <c r="H684" t="inlineStr"/>
      <c r="J684" t="n">
        <v>94.77</v>
      </c>
      <c r="K684" t="inlineStr"/>
      <c r="M684" t="inlineStr">
        <is>
          <t>TN</t>
        </is>
      </c>
      <c r="N684" t="inlineStr"/>
      <c r="P684" t="inlineStr">
        <is>
          <t>20260430</t>
        </is>
      </c>
      <c r="Q684" t="inlineStr">
        <is>
          <t>20260705</t>
        </is>
      </c>
    </row>
    <row r="685">
      <c r="A685" t="inlineStr">
        <is>
          <t>900009419DW68D21110270911</t>
        </is>
      </c>
      <c r="B685" t="inlineStr">
        <is>
          <t>900009419</t>
        </is>
      </c>
      <c r="C685" t="inlineStr">
        <is>
          <t>DW68</t>
        </is>
      </c>
      <c r="D685" t="inlineStr">
        <is>
          <t>D211</t>
        </is>
      </c>
      <c r="E685" t="inlineStr">
        <is>
          <t>1</t>
        </is>
      </c>
      <c r="F685" t="inlineStr">
        <is>
          <t>10270911</t>
        </is>
      </c>
      <c r="H685" t="inlineStr"/>
      <c r="J685" t="n">
        <v>95.36</v>
      </c>
      <c r="K685" t="inlineStr"/>
      <c r="M685" t="inlineStr">
        <is>
          <t>TN</t>
        </is>
      </c>
      <c r="N685" t="inlineStr"/>
      <c r="P685" t="inlineStr">
        <is>
          <t>20260430</t>
        </is>
      </c>
      <c r="Q685" t="inlineStr">
        <is>
          <t>20260705</t>
        </is>
      </c>
    </row>
    <row r="686">
      <c r="A686" t="inlineStr">
        <is>
          <t>900009419DW68D22810270911</t>
        </is>
      </c>
      <c r="B686" t="inlineStr">
        <is>
          <t>900009419</t>
        </is>
      </c>
      <c r="C686" t="inlineStr">
        <is>
          <t>DW68</t>
        </is>
      </c>
      <c r="D686" t="inlineStr">
        <is>
          <t>D228</t>
        </is>
      </c>
      <c r="E686" t="inlineStr">
        <is>
          <t>1</t>
        </is>
      </c>
      <c r="F686" t="inlineStr">
        <is>
          <t>10270911</t>
        </is>
      </c>
      <c r="H686" t="inlineStr"/>
      <c r="J686" t="n">
        <v>85.18000000000001</v>
      </c>
      <c r="K686" t="inlineStr"/>
      <c r="M686" t="inlineStr">
        <is>
          <t>TN</t>
        </is>
      </c>
      <c r="N686" t="inlineStr"/>
      <c r="P686" t="inlineStr">
        <is>
          <t>20260430</t>
        </is>
      </c>
      <c r="Q686" t="inlineStr">
        <is>
          <t>20260705</t>
        </is>
      </c>
    </row>
    <row r="687">
      <c r="A687" t="inlineStr">
        <is>
          <t>900009419DW68D24210270911</t>
        </is>
      </c>
      <c r="B687" t="inlineStr">
        <is>
          <t>900009419</t>
        </is>
      </c>
      <c r="C687" t="inlineStr">
        <is>
          <t>DW68</t>
        </is>
      </c>
      <c r="D687" t="inlineStr">
        <is>
          <t>D242</t>
        </is>
      </c>
      <c r="E687" t="inlineStr">
        <is>
          <t>1</t>
        </is>
      </c>
      <c r="F687" t="inlineStr">
        <is>
          <t>10270911</t>
        </is>
      </c>
      <c r="H687" t="inlineStr"/>
      <c r="J687" t="n">
        <v>138.16</v>
      </c>
      <c r="K687" t="inlineStr"/>
      <c r="M687" t="inlineStr">
        <is>
          <t>TN</t>
        </is>
      </c>
      <c r="N687" t="inlineStr"/>
      <c r="P687" t="inlineStr">
        <is>
          <t>20260430</t>
        </is>
      </c>
      <c r="Q687" t="inlineStr">
        <is>
          <t>20260705</t>
        </is>
      </c>
    </row>
    <row r="688">
      <c r="A688" t="inlineStr">
        <is>
          <t>900009419DW68D24710270911</t>
        </is>
      </c>
      <c r="B688" t="inlineStr">
        <is>
          <t>900009419</t>
        </is>
      </c>
      <c r="C688" t="inlineStr">
        <is>
          <t>DW68</t>
        </is>
      </c>
      <c r="D688" t="inlineStr">
        <is>
          <t>D247</t>
        </is>
      </c>
      <c r="E688" t="inlineStr">
        <is>
          <t>1</t>
        </is>
      </c>
      <c r="F688" t="inlineStr">
        <is>
          <t>10270911</t>
        </is>
      </c>
      <c r="H688" t="inlineStr"/>
      <c r="J688" t="n">
        <v>102.88</v>
      </c>
      <c r="K688" t="inlineStr"/>
      <c r="M688" t="inlineStr">
        <is>
          <t>TN</t>
        </is>
      </c>
      <c r="N688" t="inlineStr"/>
      <c r="P688" t="inlineStr">
        <is>
          <t>20260430</t>
        </is>
      </c>
      <c r="Q688" t="inlineStr">
        <is>
          <t>20260705</t>
        </is>
      </c>
    </row>
    <row r="689">
      <c r="A689" t="inlineStr">
        <is>
          <t>900009419DW68D25110270911</t>
        </is>
      </c>
      <c r="B689" t="inlineStr">
        <is>
          <t>900009419</t>
        </is>
      </c>
      <c r="C689" t="inlineStr">
        <is>
          <t>DW68</t>
        </is>
      </c>
      <c r="D689" t="inlineStr">
        <is>
          <t>D251</t>
        </is>
      </c>
      <c r="E689" t="inlineStr">
        <is>
          <t>1</t>
        </is>
      </c>
      <c r="F689" t="inlineStr">
        <is>
          <t>10270911</t>
        </is>
      </c>
      <c r="H689" t="inlineStr"/>
      <c r="J689" t="n">
        <v>73.63</v>
      </c>
      <c r="K689" t="inlineStr"/>
      <c r="M689" t="inlineStr">
        <is>
          <t>TN</t>
        </is>
      </c>
      <c r="N689" t="inlineStr"/>
      <c r="P689" t="inlineStr">
        <is>
          <t>20260413</t>
        </is>
      </c>
      <c r="Q689" t="inlineStr">
        <is>
          <t>20260705</t>
        </is>
      </c>
    </row>
    <row r="690">
      <c r="A690" t="inlineStr">
        <is>
          <t>900009419DW68D26410270911</t>
        </is>
      </c>
      <c r="B690" t="inlineStr">
        <is>
          <t>900009419</t>
        </is>
      </c>
      <c r="C690" t="inlineStr">
        <is>
          <t>DW68</t>
        </is>
      </c>
      <c r="D690" t="inlineStr">
        <is>
          <t>D264</t>
        </is>
      </c>
      <c r="E690" t="inlineStr">
        <is>
          <t>1</t>
        </is>
      </c>
      <c r="F690" t="inlineStr">
        <is>
          <t>10270911</t>
        </is>
      </c>
      <c r="H690" t="inlineStr"/>
      <c r="J690" t="n">
        <v>92.69</v>
      </c>
      <c r="K690" t="inlineStr"/>
      <c r="M690" t="inlineStr">
        <is>
          <t>TN</t>
        </is>
      </c>
      <c r="N690" t="inlineStr"/>
      <c r="P690" t="inlineStr">
        <is>
          <t>20260430</t>
        </is>
      </c>
      <c r="Q690" t="inlineStr">
        <is>
          <t>20260705</t>
        </is>
      </c>
    </row>
    <row r="691">
      <c r="A691" t="inlineStr">
        <is>
          <t>900009419DW68D26710270911</t>
        </is>
      </c>
      <c r="B691" t="inlineStr">
        <is>
          <t>900009419</t>
        </is>
      </c>
      <c r="C691" t="inlineStr">
        <is>
          <t>DW68</t>
        </is>
      </c>
      <c r="D691" t="inlineStr">
        <is>
          <t>D267</t>
        </is>
      </c>
      <c r="E691" t="inlineStr">
        <is>
          <t>1</t>
        </is>
      </c>
      <c r="F691" t="inlineStr">
        <is>
          <t>10270911</t>
        </is>
      </c>
      <c r="H691" t="inlineStr"/>
      <c r="J691" t="n">
        <v>168.07</v>
      </c>
      <c r="K691" t="inlineStr"/>
      <c r="M691" t="inlineStr">
        <is>
          <t>TN</t>
        </is>
      </c>
      <c r="N691" t="inlineStr"/>
      <c r="P691" t="inlineStr">
        <is>
          <t>20260430</t>
        </is>
      </c>
      <c r="Q691" t="inlineStr">
        <is>
          <t>20260705</t>
        </is>
      </c>
    </row>
    <row r="692">
      <c r="A692" t="inlineStr">
        <is>
          <t>900009420DW68D57710000439</t>
        </is>
      </c>
      <c r="B692" t="inlineStr">
        <is>
          <t>900009420</t>
        </is>
      </c>
      <c r="C692" t="inlineStr">
        <is>
          <t>DW68</t>
        </is>
      </c>
      <c r="D692" t="inlineStr">
        <is>
          <t>D577</t>
        </is>
      </c>
      <c r="E692" t="inlineStr">
        <is>
          <t>4</t>
        </is>
      </c>
      <c r="F692" t="inlineStr">
        <is>
          <t>10000439</t>
        </is>
      </c>
      <c r="H692" t="inlineStr"/>
      <c r="J692" t="n">
        <v>0.01</v>
      </c>
      <c r="K692" t="inlineStr"/>
      <c r="M692" t="inlineStr">
        <is>
          <t>TN</t>
        </is>
      </c>
      <c r="N692" t="inlineStr"/>
      <c r="P692" t="inlineStr">
        <is>
          <t>20260401</t>
        </is>
      </c>
      <c r="Q692" t="inlineStr">
        <is>
          <t>99991231</t>
        </is>
      </c>
    </row>
    <row r="693">
      <c r="A693" t="inlineStr">
        <is>
          <t>900009420DW68D57710209065</t>
        </is>
      </c>
      <c r="B693" t="inlineStr">
        <is>
          <t>900009420</t>
        </is>
      </c>
      <c r="C693" t="inlineStr">
        <is>
          <t>DW68</t>
        </is>
      </c>
      <c r="D693" t="inlineStr">
        <is>
          <t>D577</t>
        </is>
      </c>
      <c r="E693" t="inlineStr">
        <is>
          <t>4</t>
        </is>
      </c>
      <c r="F693" t="inlineStr">
        <is>
          <t>10209065</t>
        </is>
      </c>
      <c r="H693" t="inlineStr"/>
      <c r="J693" t="n">
        <v>0.01</v>
      </c>
      <c r="K693" t="inlineStr"/>
      <c r="M693" t="inlineStr">
        <is>
          <t>TN</t>
        </is>
      </c>
      <c r="N693" t="inlineStr"/>
      <c r="P693" t="inlineStr">
        <is>
          <t>20260401</t>
        </is>
      </c>
      <c r="Q693" t="inlineStr">
        <is>
          <t>99991231</t>
        </is>
      </c>
    </row>
    <row r="694">
      <c r="A694" t="inlineStr">
        <is>
          <t>900009420DW68D57710251385</t>
        </is>
      </c>
      <c r="B694" t="inlineStr">
        <is>
          <t>900009420</t>
        </is>
      </c>
      <c r="C694" t="inlineStr">
        <is>
          <t>DW68</t>
        </is>
      </c>
      <c r="D694" t="inlineStr">
        <is>
          <t>D577</t>
        </is>
      </c>
      <c r="E694" t="inlineStr">
        <is>
          <t>4</t>
        </is>
      </c>
      <c r="F694" t="inlineStr">
        <is>
          <t>10251385</t>
        </is>
      </c>
      <c r="H694" t="inlineStr"/>
      <c r="J694" t="n">
        <v>0.01</v>
      </c>
      <c r="K694" t="inlineStr"/>
      <c r="M694" t="inlineStr">
        <is>
          <t>TN</t>
        </is>
      </c>
      <c r="N694" t="inlineStr"/>
      <c r="P694" t="inlineStr">
        <is>
          <t>20260401</t>
        </is>
      </c>
      <c r="Q694" t="inlineStr">
        <is>
          <t>99991231</t>
        </is>
      </c>
    </row>
    <row r="695">
      <c r="A695" t="inlineStr">
        <is>
          <t>900009420DW68D57710270911</t>
        </is>
      </c>
      <c r="B695" t="inlineStr">
        <is>
          <t>900009420</t>
        </is>
      </c>
      <c r="C695" t="inlineStr">
        <is>
          <t>DW68</t>
        </is>
      </c>
      <c r="D695" t="inlineStr">
        <is>
          <t>D577</t>
        </is>
      </c>
      <c r="E695" t="inlineStr">
        <is>
          <t>4</t>
        </is>
      </c>
      <c r="F695" t="inlineStr">
        <is>
          <t>10270911</t>
        </is>
      </c>
      <c r="H695" t="inlineStr"/>
      <c r="J695" t="n">
        <v>0.01</v>
      </c>
      <c r="K695" t="inlineStr"/>
      <c r="M695" t="inlineStr">
        <is>
          <t>TN</t>
        </is>
      </c>
      <c r="N695" t="inlineStr"/>
      <c r="P695" t="inlineStr">
        <is>
          <t>20260401</t>
        </is>
      </c>
      <c r="Q695" t="inlineStr">
        <is>
          <t>20260705</t>
        </is>
      </c>
    </row>
    <row r="696">
      <c r="A696" t="inlineStr">
        <is>
          <t>900009420DW68D57710270912</t>
        </is>
      </c>
      <c r="B696" t="inlineStr">
        <is>
          <t>900009420</t>
        </is>
      </c>
      <c r="C696" t="inlineStr">
        <is>
          <t>DW68</t>
        </is>
      </c>
      <c r="D696" t="inlineStr">
        <is>
          <t>D577</t>
        </is>
      </c>
      <c r="E696" t="inlineStr">
        <is>
          <t>4</t>
        </is>
      </c>
      <c r="F696" t="inlineStr">
        <is>
          <t>10270912</t>
        </is>
      </c>
      <c r="H696" t="inlineStr"/>
      <c r="J696" t="n">
        <v>0.01</v>
      </c>
      <c r="K696" t="inlineStr"/>
      <c r="M696" t="inlineStr">
        <is>
          <t>TN</t>
        </is>
      </c>
      <c r="N696" t="inlineStr"/>
      <c r="P696" t="inlineStr">
        <is>
          <t>20260401</t>
        </is>
      </c>
      <c r="Q696" t="inlineStr">
        <is>
          <t>99991231</t>
        </is>
      </c>
    </row>
    <row r="697">
      <c r="A697" t="inlineStr">
        <is>
          <t>900009420DW68D57710270913</t>
        </is>
      </c>
      <c r="B697" t="inlineStr">
        <is>
          <t>900009420</t>
        </is>
      </c>
      <c r="C697" t="inlineStr">
        <is>
          <t>DW68</t>
        </is>
      </c>
      <c r="D697" t="inlineStr">
        <is>
          <t>D577</t>
        </is>
      </c>
      <c r="E697" t="inlineStr">
        <is>
          <t>4</t>
        </is>
      </c>
      <c r="F697" t="inlineStr">
        <is>
          <t>10270913</t>
        </is>
      </c>
      <c r="H697" t="inlineStr"/>
      <c r="J697" t="n">
        <v>0.01</v>
      </c>
      <c r="K697" t="inlineStr"/>
      <c r="M697" t="inlineStr">
        <is>
          <t>TN</t>
        </is>
      </c>
      <c r="N697" t="inlineStr"/>
      <c r="P697" t="inlineStr">
        <is>
          <t>20260401</t>
        </is>
      </c>
      <c r="Q697" t="inlineStr">
        <is>
          <t>99991231</t>
        </is>
      </c>
    </row>
    <row r="698">
      <c r="A698" t="inlineStr">
        <is>
          <t>900009420DW68ENEB10000439</t>
        </is>
      </c>
      <c r="B698" t="inlineStr">
        <is>
          <t>900009420</t>
        </is>
      </c>
      <c r="C698" t="inlineStr">
        <is>
          <t>DW68</t>
        </is>
      </c>
      <c r="D698" t="inlineStr">
        <is>
          <t>ENEB</t>
        </is>
      </c>
      <c r="E698" t="inlineStr">
        <is>
          <t>4</t>
        </is>
      </c>
      <c r="F698" t="inlineStr">
        <is>
          <t>10000439</t>
        </is>
      </c>
      <c r="H698" t="inlineStr"/>
      <c r="J698" t="n">
        <v>0.01</v>
      </c>
      <c r="K698" t="inlineStr"/>
      <c r="M698" t="inlineStr">
        <is>
          <t>TN</t>
        </is>
      </c>
      <c r="N698" t="inlineStr"/>
      <c r="P698" t="inlineStr">
        <is>
          <t>20260126</t>
        </is>
      </c>
      <c r="Q698" t="inlineStr">
        <is>
          <t>99991231</t>
        </is>
      </c>
    </row>
    <row r="699">
      <c r="A699" t="inlineStr">
        <is>
          <t>900009420DW68ENEB10209065</t>
        </is>
      </c>
      <c r="B699" t="inlineStr">
        <is>
          <t>900009420</t>
        </is>
      </c>
      <c r="C699" t="inlineStr">
        <is>
          <t>DW68</t>
        </is>
      </c>
      <c r="D699" t="inlineStr">
        <is>
          <t>ENEB</t>
        </is>
      </c>
      <c r="E699" t="inlineStr">
        <is>
          <t>4</t>
        </is>
      </c>
      <c r="F699" t="inlineStr">
        <is>
          <t>10209065</t>
        </is>
      </c>
      <c r="H699" t="inlineStr"/>
      <c r="J699" t="n">
        <v>0.01</v>
      </c>
      <c r="K699" t="inlineStr"/>
      <c r="M699" t="inlineStr">
        <is>
          <t>TN</t>
        </is>
      </c>
      <c r="N699" t="inlineStr"/>
      <c r="P699" t="inlineStr">
        <is>
          <t>20260126</t>
        </is>
      </c>
      <c r="Q699" t="inlineStr">
        <is>
          <t>99991231</t>
        </is>
      </c>
    </row>
    <row r="700">
      <c r="A700" t="inlineStr">
        <is>
          <t>900009420DW68ENEB10251385</t>
        </is>
      </c>
      <c r="B700" t="inlineStr">
        <is>
          <t>900009420</t>
        </is>
      </c>
      <c r="C700" t="inlineStr">
        <is>
          <t>DW68</t>
        </is>
      </c>
      <c r="D700" t="inlineStr">
        <is>
          <t>ENEB</t>
        </is>
      </c>
      <c r="E700" t="inlineStr">
        <is>
          <t>4</t>
        </is>
      </c>
      <c r="F700" t="inlineStr">
        <is>
          <t>10251385</t>
        </is>
      </c>
      <c r="H700" t="inlineStr"/>
      <c r="J700" t="n">
        <v>0.01</v>
      </c>
      <c r="K700" t="inlineStr"/>
      <c r="M700" t="inlineStr">
        <is>
          <t>TN</t>
        </is>
      </c>
      <c r="N700" t="inlineStr"/>
      <c r="P700" t="inlineStr">
        <is>
          <t>20260126</t>
        </is>
      </c>
      <c r="Q700" t="inlineStr">
        <is>
          <t>99991231</t>
        </is>
      </c>
    </row>
    <row r="701">
      <c r="A701" t="inlineStr">
        <is>
          <t>900009420DW68ENEB10270911</t>
        </is>
      </c>
      <c r="B701" t="inlineStr">
        <is>
          <t>900009420</t>
        </is>
      </c>
      <c r="C701" t="inlineStr">
        <is>
          <t>DW68</t>
        </is>
      </c>
      <c r="D701" t="inlineStr">
        <is>
          <t>ENEB</t>
        </is>
      </c>
      <c r="E701" t="inlineStr">
        <is>
          <t>2</t>
        </is>
      </c>
      <c r="F701" t="inlineStr">
        <is>
          <t>10270911</t>
        </is>
      </c>
      <c r="H701" t="inlineStr"/>
      <c r="J701" t="n">
        <v>0.01</v>
      </c>
      <c r="K701" t="inlineStr"/>
      <c r="M701" t="inlineStr">
        <is>
          <t>TN</t>
        </is>
      </c>
      <c r="N701" t="inlineStr"/>
      <c r="P701" t="inlineStr">
        <is>
          <t>20260201</t>
        </is>
      </c>
      <c r="Q701" t="inlineStr">
        <is>
          <t>20260310</t>
        </is>
      </c>
    </row>
    <row r="702">
      <c r="A702" t="inlineStr">
        <is>
          <t>900009420DW68ENEB10270911</t>
        </is>
      </c>
      <c r="B702" t="inlineStr">
        <is>
          <t>900009420</t>
        </is>
      </c>
      <c r="C702" t="inlineStr">
        <is>
          <t>DW68</t>
        </is>
      </c>
      <c r="D702" t="inlineStr">
        <is>
          <t>ENEB</t>
        </is>
      </c>
      <c r="E702" t="inlineStr">
        <is>
          <t>4</t>
        </is>
      </c>
      <c r="F702" t="inlineStr">
        <is>
          <t>10270911</t>
        </is>
      </c>
      <c r="H702" t="inlineStr"/>
      <c r="J702" t="n">
        <v>0.01</v>
      </c>
      <c r="K702" t="inlineStr"/>
      <c r="M702" t="inlineStr">
        <is>
          <t>TN</t>
        </is>
      </c>
      <c r="N702" t="inlineStr"/>
      <c r="P702" t="inlineStr">
        <is>
          <t>20260126</t>
        </is>
      </c>
      <c r="Q702" t="inlineStr">
        <is>
          <t>20260705</t>
        </is>
      </c>
    </row>
    <row r="703">
      <c r="A703" t="inlineStr">
        <is>
          <t>900009420DW68ENEB10270912</t>
        </is>
      </c>
      <c r="B703" t="inlineStr">
        <is>
          <t>900009420</t>
        </is>
      </c>
      <c r="C703" t="inlineStr">
        <is>
          <t>DW68</t>
        </is>
      </c>
      <c r="D703" t="inlineStr">
        <is>
          <t>ENEB</t>
        </is>
      </c>
      <c r="E703" t="inlineStr">
        <is>
          <t>4</t>
        </is>
      </c>
      <c r="F703" t="inlineStr">
        <is>
          <t>10270912</t>
        </is>
      </c>
      <c r="H703" t="inlineStr"/>
      <c r="J703" t="n">
        <v>0.01</v>
      </c>
      <c r="K703" t="inlineStr"/>
      <c r="M703" t="inlineStr">
        <is>
          <t>TN</t>
        </is>
      </c>
      <c r="N703" t="inlineStr"/>
      <c r="P703" t="inlineStr">
        <is>
          <t>20260126</t>
        </is>
      </c>
      <c r="Q703" t="inlineStr">
        <is>
          <t>99991231</t>
        </is>
      </c>
    </row>
    <row r="704">
      <c r="A704" t="inlineStr">
        <is>
          <t>900009420DW68ENEB10270913</t>
        </is>
      </c>
      <c r="B704" t="inlineStr">
        <is>
          <t>900009420</t>
        </is>
      </c>
      <c r="C704" t="inlineStr">
        <is>
          <t>DW68</t>
        </is>
      </c>
      <c r="D704" t="inlineStr">
        <is>
          <t>ENEB</t>
        </is>
      </c>
      <c r="E704" t="inlineStr">
        <is>
          <t>4</t>
        </is>
      </c>
      <c r="F704" t="inlineStr">
        <is>
          <t>10270913</t>
        </is>
      </c>
      <c r="H704" t="inlineStr"/>
      <c r="J704" t="n">
        <v>0.01</v>
      </c>
      <c r="K704" t="inlineStr"/>
      <c r="M704" t="inlineStr">
        <is>
          <t>TN</t>
        </is>
      </c>
      <c r="N704" t="inlineStr"/>
      <c r="P704" t="inlineStr">
        <is>
          <t>20260126</t>
        </is>
      </c>
      <c r="Q704" t="inlineStr">
        <is>
          <t>99991231</t>
        </is>
      </c>
    </row>
    <row r="705">
      <c r="A705" t="inlineStr">
        <is>
          <t>900009420DW68ENL110000439</t>
        </is>
      </c>
      <c r="B705" t="inlineStr">
        <is>
          <t>900009420</t>
        </is>
      </c>
      <c r="C705" t="inlineStr">
        <is>
          <t>DW68</t>
        </is>
      </c>
      <c r="D705" t="inlineStr">
        <is>
          <t>ENL1</t>
        </is>
      </c>
      <c r="E705" t="inlineStr">
        <is>
          <t>4</t>
        </is>
      </c>
      <c r="F705" t="inlineStr">
        <is>
          <t>10000439</t>
        </is>
      </c>
      <c r="H705" t="inlineStr"/>
      <c r="J705" t="n">
        <v>0.01</v>
      </c>
      <c r="K705" t="inlineStr"/>
      <c r="M705" t="inlineStr">
        <is>
          <t>TN</t>
        </is>
      </c>
      <c r="N705" t="inlineStr"/>
      <c r="P705" t="inlineStr">
        <is>
          <t>20260126</t>
        </is>
      </c>
      <c r="Q705" t="inlineStr">
        <is>
          <t>99991231</t>
        </is>
      </c>
    </row>
    <row r="706">
      <c r="A706" t="inlineStr">
        <is>
          <t>900009420DW68ENL110209065</t>
        </is>
      </c>
      <c r="B706" t="inlineStr">
        <is>
          <t>900009420</t>
        </is>
      </c>
      <c r="C706" t="inlineStr">
        <is>
          <t>DW68</t>
        </is>
      </c>
      <c r="D706" t="inlineStr">
        <is>
          <t>ENL1</t>
        </is>
      </c>
      <c r="E706" t="inlineStr">
        <is>
          <t>4</t>
        </is>
      </c>
      <c r="F706" t="inlineStr">
        <is>
          <t>10209065</t>
        </is>
      </c>
      <c r="H706" t="inlineStr"/>
      <c r="J706" t="n">
        <v>0.01</v>
      </c>
      <c r="K706" t="inlineStr"/>
      <c r="M706" t="inlineStr">
        <is>
          <t>TN</t>
        </is>
      </c>
      <c r="N706" t="inlineStr"/>
      <c r="P706" t="inlineStr">
        <is>
          <t>20260126</t>
        </is>
      </c>
      <c r="Q706" t="inlineStr">
        <is>
          <t>99991231</t>
        </is>
      </c>
    </row>
    <row r="707">
      <c r="A707" t="inlineStr">
        <is>
          <t>900009420DW68ENL110251385</t>
        </is>
      </c>
      <c r="B707" t="inlineStr">
        <is>
          <t>900009420</t>
        </is>
      </c>
      <c r="C707" t="inlineStr">
        <is>
          <t>DW68</t>
        </is>
      </c>
      <c r="D707" t="inlineStr">
        <is>
          <t>ENL1</t>
        </is>
      </c>
      <c r="E707" t="inlineStr">
        <is>
          <t>4</t>
        </is>
      </c>
      <c r="F707" t="inlineStr">
        <is>
          <t>10251385</t>
        </is>
      </c>
      <c r="H707" t="inlineStr"/>
      <c r="J707" t="n">
        <v>0.01</v>
      </c>
      <c r="K707" t="inlineStr"/>
      <c r="M707" t="inlineStr">
        <is>
          <t>TN</t>
        </is>
      </c>
      <c r="N707" t="inlineStr"/>
      <c r="P707" t="inlineStr">
        <is>
          <t>20260126</t>
        </is>
      </c>
      <c r="Q707" t="inlineStr">
        <is>
          <t>99991231</t>
        </is>
      </c>
    </row>
    <row r="708">
      <c r="A708" t="inlineStr">
        <is>
          <t>900009420DW68ENL110270911</t>
        </is>
      </c>
      <c r="B708" t="inlineStr">
        <is>
          <t>900009420</t>
        </is>
      </c>
      <c r="C708" t="inlineStr">
        <is>
          <t>DW68</t>
        </is>
      </c>
      <c r="D708" t="inlineStr">
        <is>
          <t>ENL1</t>
        </is>
      </c>
      <c r="E708" t="inlineStr">
        <is>
          <t>2</t>
        </is>
      </c>
      <c r="F708" t="inlineStr">
        <is>
          <t>10270911</t>
        </is>
      </c>
      <c r="H708" t="inlineStr"/>
      <c r="J708" t="n">
        <v>0.01</v>
      </c>
      <c r="K708" t="inlineStr"/>
      <c r="M708" t="inlineStr">
        <is>
          <t>TN</t>
        </is>
      </c>
      <c r="N708" t="inlineStr"/>
      <c r="P708" t="inlineStr">
        <is>
          <t>20260201</t>
        </is>
      </c>
      <c r="Q708" t="inlineStr">
        <is>
          <t>20260310</t>
        </is>
      </c>
    </row>
    <row r="709">
      <c r="A709" t="inlineStr">
        <is>
          <t>900009420DW68ENL110270911</t>
        </is>
      </c>
      <c r="B709" t="inlineStr">
        <is>
          <t>900009420</t>
        </is>
      </c>
      <c r="C709" t="inlineStr">
        <is>
          <t>DW68</t>
        </is>
      </c>
      <c r="D709" t="inlineStr">
        <is>
          <t>ENL1</t>
        </is>
      </c>
      <c r="E709" t="inlineStr">
        <is>
          <t>4</t>
        </is>
      </c>
      <c r="F709" t="inlineStr">
        <is>
          <t>10270911</t>
        </is>
      </c>
      <c r="H709" t="inlineStr"/>
      <c r="J709" t="n">
        <v>0.01</v>
      </c>
      <c r="K709" t="inlineStr"/>
      <c r="M709" t="inlineStr">
        <is>
          <t>TN</t>
        </is>
      </c>
      <c r="N709" t="inlineStr"/>
      <c r="P709" t="inlineStr">
        <is>
          <t>20260126</t>
        </is>
      </c>
      <c r="Q709" t="inlineStr">
        <is>
          <t>20260705</t>
        </is>
      </c>
    </row>
    <row r="710">
      <c r="A710" t="inlineStr">
        <is>
          <t>900009420DW68ENL110270912</t>
        </is>
      </c>
      <c r="B710" t="inlineStr">
        <is>
          <t>900009420</t>
        </is>
      </c>
      <c r="C710" t="inlineStr">
        <is>
          <t>DW68</t>
        </is>
      </c>
      <c r="D710" t="inlineStr">
        <is>
          <t>ENL1</t>
        </is>
      </c>
      <c r="E710" t="inlineStr">
        <is>
          <t>4</t>
        </is>
      </c>
      <c r="F710" t="inlineStr">
        <is>
          <t>10270912</t>
        </is>
      </c>
      <c r="H710" t="inlineStr"/>
      <c r="J710" t="n">
        <v>0.01</v>
      </c>
      <c r="K710" t="inlineStr"/>
      <c r="M710" t="inlineStr">
        <is>
          <t>TN</t>
        </is>
      </c>
      <c r="N710" t="inlineStr"/>
      <c r="P710" t="inlineStr">
        <is>
          <t>20260126</t>
        </is>
      </c>
      <c r="Q710" t="inlineStr">
        <is>
          <t>99991231</t>
        </is>
      </c>
    </row>
    <row r="711">
      <c r="A711" t="inlineStr">
        <is>
          <t>900009420DW68ENL110270913</t>
        </is>
      </c>
      <c r="B711" t="inlineStr">
        <is>
          <t>900009420</t>
        </is>
      </c>
      <c r="C711" t="inlineStr">
        <is>
          <t>DW68</t>
        </is>
      </c>
      <c r="D711" t="inlineStr">
        <is>
          <t>ENL1</t>
        </is>
      </c>
      <c r="E711" t="inlineStr">
        <is>
          <t>4</t>
        </is>
      </c>
      <c r="F711" t="inlineStr">
        <is>
          <t>10270913</t>
        </is>
      </c>
      <c r="H711" t="inlineStr"/>
      <c r="J711" t="n">
        <v>0.01</v>
      </c>
      <c r="K711" t="inlineStr"/>
      <c r="M711" t="inlineStr">
        <is>
          <t>TN</t>
        </is>
      </c>
      <c r="N711" t="inlineStr"/>
      <c r="P711" t="inlineStr">
        <is>
          <t>20260126</t>
        </is>
      </c>
      <c r="Q711" t="inlineStr">
        <is>
          <t>99991231</t>
        </is>
      </c>
    </row>
    <row r="712">
      <c r="A712" t="inlineStr">
        <is>
          <t>900009420DW68ENV810000439</t>
        </is>
      </c>
      <c r="B712" t="inlineStr">
        <is>
          <t>900009420</t>
        </is>
      </c>
      <c r="C712" t="inlineStr">
        <is>
          <t>DW68</t>
        </is>
      </c>
      <c r="D712" t="inlineStr">
        <is>
          <t>ENV8</t>
        </is>
      </c>
      <c r="E712" t="inlineStr">
        <is>
          <t>4</t>
        </is>
      </c>
      <c r="F712" t="inlineStr">
        <is>
          <t>10000439</t>
        </is>
      </c>
      <c r="H712" t="inlineStr"/>
      <c r="J712" t="n">
        <v>0.01</v>
      </c>
      <c r="K712" t="inlineStr"/>
      <c r="M712" t="inlineStr">
        <is>
          <t>TN</t>
        </is>
      </c>
      <c r="N712" t="inlineStr"/>
      <c r="P712" t="inlineStr">
        <is>
          <t>20260126</t>
        </is>
      </c>
      <c r="Q712" t="inlineStr">
        <is>
          <t>99991231</t>
        </is>
      </c>
    </row>
    <row r="713">
      <c r="A713" t="inlineStr">
        <is>
          <t>900009420DW68ENV810209065</t>
        </is>
      </c>
      <c r="B713" t="inlineStr">
        <is>
          <t>900009420</t>
        </is>
      </c>
      <c r="C713" t="inlineStr">
        <is>
          <t>DW68</t>
        </is>
      </c>
      <c r="D713" t="inlineStr">
        <is>
          <t>ENV8</t>
        </is>
      </c>
      <c r="E713" t="inlineStr">
        <is>
          <t>4</t>
        </is>
      </c>
      <c r="F713" t="inlineStr">
        <is>
          <t>10209065</t>
        </is>
      </c>
      <c r="H713" t="inlineStr"/>
      <c r="J713" t="n">
        <v>0.01</v>
      </c>
      <c r="K713" t="inlineStr"/>
      <c r="M713" t="inlineStr">
        <is>
          <t>TN</t>
        </is>
      </c>
      <c r="N713" t="inlineStr"/>
      <c r="P713" t="inlineStr">
        <is>
          <t>20260126</t>
        </is>
      </c>
      <c r="Q713" t="inlineStr">
        <is>
          <t>99991231</t>
        </is>
      </c>
    </row>
    <row r="714">
      <c r="A714" t="inlineStr">
        <is>
          <t>900009420DW68ENV810251385</t>
        </is>
      </c>
      <c r="B714" t="inlineStr">
        <is>
          <t>900009420</t>
        </is>
      </c>
      <c r="C714" t="inlineStr">
        <is>
          <t>DW68</t>
        </is>
      </c>
      <c r="D714" t="inlineStr">
        <is>
          <t>ENV8</t>
        </is>
      </c>
      <c r="E714" t="inlineStr">
        <is>
          <t>4</t>
        </is>
      </c>
      <c r="F714" t="inlineStr">
        <is>
          <t>10251385</t>
        </is>
      </c>
      <c r="H714" t="inlineStr"/>
      <c r="J714" t="n">
        <v>0.01</v>
      </c>
      <c r="K714" t="inlineStr"/>
      <c r="M714" t="inlineStr">
        <is>
          <t>TN</t>
        </is>
      </c>
      <c r="N714" t="inlineStr"/>
      <c r="P714" t="inlineStr">
        <is>
          <t>20260126</t>
        </is>
      </c>
      <c r="Q714" t="inlineStr">
        <is>
          <t>99991231</t>
        </is>
      </c>
    </row>
    <row r="715">
      <c r="A715" t="inlineStr">
        <is>
          <t>900009420DW68ENV810270911</t>
        </is>
      </c>
      <c r="B715" t="inlineStr">
        <is>
          <t>900009420</t>
        </is>
      </c>
      <c r="C715" t="inlineStr">
        <is>
          <t>DW68</t>
        </is>
      </c>
      <c r="D715" t="inlineStr">
        <is>
          <t>ENV8</t>
        </is>
      </c>
      <c r="E715" t="inlineStr">
        <is>
          <t>2</t>
        </is>
      </c>
      <c r="F715" t="inlineStr">
        <is>
          <t>10270911</t>
        </is>
      </c>
      <c r="H715" t="inlineStr"/>
      <c r="J715" t="n">
        <v>0.01</v>
      </c>
      <c r="K715" t="inlineStr"/>
      <c r="M715" t="inlineStr">
        <is>
          <t>TN</t>
        </is>
      </c>
      <c r="N715" t="inlineStr"/>
      <c r="P715" t="inlineStr">
        <is>
          <t>20260201</t>
        </is>
      </c>
      <c r="Q715" t="inlineStr">
        <is>
          <t>20260310</t>
        </is>
      </c>
    </row>
    <row r="716">
      <c r="A716" t="inlineStr">
        <is>
          <t>900009420DW68ENV810270911</t>
        </is>
      </c>
      <c r="B716" t="inlineStr">
        <is>
          <t>900009420</t>
        </is>
      </c>
      <c r="C716" t="inlineStr">
        <is>
          <t>DW68</t>
        </is>
      </c>
      <c r="D716" t="inlineStr">
        <is>
          <t>ENV8</t>
        </is>
      </c>
      <c r="E716" t="inlineStr">
        <is>
          <t>4</t>
        </is>
      </c>
      <c r="F716" t="inlineStr">
        <is>
          <t>10270911</t>
        </is>
      </c>
      <c r="H716" t="inlineStr"/>
      <c r="J716" t="n">
        <v>0.01</v>
      </c>
      <c r="K716" t="inlineStr"/>
      <c r="M716" t="inlineStr">
        <is>
          <t>TN</t>
        </is>
      </c>
      <c r="N716" t="inlineStr"/>
      <c r="P716" t="inlineStr">
        <is>
          <t>20260126</t>
        </is>
      </c>
      <c r="Q716" t="inlineStr">
        <is>
          <t>20260705</t>
        </is>
      </c>
    </row>
    <row r="717">
      <c r="A717" t="inlineStr">
        <is>
          <t>900009420DW68ENV810270912</t>
        </is>
      </c>
      <c r="B717" t="inlineStr">
        <is>
          <t>900009420</t>
        </is>
      </c>
      <c r="C717" t="inlineStr">
        <is>
          <t>DW68</t>
        </is>
      </c>
      <c r="D717" t="inlineStr">
        <is>
          <t>ENV8</t>
        </is>
      </c>
      <c r="E717" t="inlineStr">
        <is>
          <t>4</t>
        </is>
      </c>
      <c r="F717" t="inlineStr">
        <is>
          <t>10270912</t>
        </is>
      </c>
      <c r="H717" t="inlineStr"/>
      <c r="J717" t="n">
        <v>0.01</v>
      </c>
      <c r="K717" t="inlineStr"/>
      <c r="M717" t="inlineStr">
        <is>
          <t>TN</t>
        </is>
      </c>
      <c r="N717" t="inlineStr"/>
      <c r="P717" t="inlineStr">
        <is>
          <t>20260126</t>
        </is>
      </c>
      <c r="Q717" t="inlineStr">
        <is>
          <t>99991231</t>
        </is>
      </c>
    </row>
    <row r="718">
      <c r="A718" t="inlineStr">
        <is>
          <t>900009420DW68ENV810270913</t>
        </is>
      </c>
      <c r="B718" t="inlineStr">
        <is>
          <t>900009420</t>
        </is>
      </c>
      <c r="C718" t="inlineStr">
        <is>
          <t>DW68</t>
        </is>
      </c>
      <c r="D718" t="inlineStr">
        <is>
          <t>ENV8</t>
        </is>
      </c>
      <c r="E718" t="inlineStr">
        <is>
          <t>4</t>
        </is>
      </c>
      <c r="F718" t="inlineStr">
        <is>
          <t>10270913</t>
        </is>
      </c>
      <c r="H718" t="inlineStr"/>
      <c r="J718" t="n">
        <v>0.01</v>
      </c>
      <c r="K718" t="inlineStr"/>
      <c r="M718" t="inlineStr">
        <is>
          <t>TN</t>
        </is>
      </c>
      <c r="N718" t="inlineStr"/>
      <c r="P718" t="inlineStr">
        <is>
          <t>20260126</t>
        </is>
      </c>
      <c r="Q718" t="inlineStr">
        <is>
          <t>99991231</t>
        </is>
      </c>
    </row>
    <row r="719">
      <c r="A719" t="inlineStr">
        <is>
          <t>900009420DW68ENV910000439</t>
        </is>
      </c>
      <c r="B719" t="inlineStr">
        <is>
          <t>900009420</t>
        </is>
      </c>
      <c r="C719" t="inlineStr">
        <is>
          <t>DW68</t>
        </is>
      </c>
      <c r="D719" t="inlineStr">
        <is>
          <t>ENV9</t>
        </is>
      </c>
      <c r="E719" t="inlineStr">
        <is>
          <t>4</t>
        </is>
      </c>
      <c r="F719" t="inlineStr">
        <is>
          <t>10000439</t>
        </is>
      </c>
      <c r="H719" t="inlineStr"/>
      <c r="J719" t="n">
        <v>0.01</v>
      </c>
      <c r="K719" t="inlineStr"/>
      <c r="M719" t="inlineStr">
        <is>
          <t>TN</t>
        </is>
      </c>
      <c r="N719" t="inlineStr"/>
      <c r="P719" t="inlineStr">
        <is>
          <t>20260126</t>
        </is>
      </c>
      <c r="Q719" t="inlineStr">
        <is>
          <t>99991231</t>
        </is>
      </c>
    </row>
    <row r="720">
      <c r="A720" t="inlineStr">
        <is>
          <t>900009420DW68ENV910209065</t>
        </is>
      </c>
      <c r="B720" t="inlineStr">
        <is>
          <t>900009420</t>
        </is>
      </c>
      <c r="C720" t="inlineStr">
        <is>
          <t>DW68</t>
        </is>
      </c>
      <c r="D720" t="inlineStr">
        <is>
          <t>ENV9</t>
        </is>
      </c>
      <c r="E720" t="inlineStr">
        <is>
          <t>4</t>
        </is>
      </c>
      <c r="F720" t="inlineStr">
        <is>
          <t>10209065</t>
        </is>
      </c>
      <c r="H720" t="inlineStr"/>
      <c r="J720" t="n">
        <v>0.01</v>
      </c>
      <c r="K720" t="inlineStr"/>
      <c r="M720" t="inlineStr">
        <is>
          <t>TN</t>
        </is>
      </c>
      <c r="N720" t="inlineStr"/>
      <c r="P720" t="inlineStr">
        <is>
          <t>20260126</t>
        </is>
      </c>
      <c r="Q720" t="inlineStr">
        <is>
          <t>99991231</t>
        </is>
      </c>
    </row>
    <row r="721">
      <c r="A721" t="inlineStr">
        <is>
          <t>900009420DW68ENV910251385</t>
        </is>
      </c>
      <c r="B721" t="inlineStr">
        <is>
          <t>900009420</t>
        </is>
      </c>
      <c r="C721" t="inlineStr">
        <is>
          <t>DW68</t>
        </is>
      </c>
      <c r="D721" t="inlineStr">
        <is>
          <t>ENV9</t>
        </is>
      </c>
      <c r="E721" t="inlineStr">
        <is>
          <t>4</t>
        </is>
      </c>
      <c r="F721" t="inlineStr">
        <is>
          <t>10251385</t>
        </is>
      </c>
      <c r="H721" t="inlineStr"/>
      <c r="J721" t="n">
        <v>0.01</v>
      </c>
      <c r="K721" t="inlineStr"/>
      <c r="M721" t="inlineStr">
        <is>
          <t>TN</t>
        </is>
      </c>
      <c r="N721" t="inlineStr"/>
      <c r="P721" t="inlineStr">
        <is>
          <t>20260126</t>
        </is>
      </c>
      <c r="Q721" t="inlineStr">
        <is>
          <t>99991231</t>
        </is>
      </c>
    </row>
    <row r="722">
      <c r="A722" t="inlineStr">
        <is>
          <t>900009420DW68ENV910270911</t>
        </is>
      </c>
      <c r="B722" t="inlineStr">
        <is>
          <t>900009420</t>
        </is>
      </c>
      <c r="C722" t="inlineStr">
        <is>
          <t>DW68</t>
        </is>
      </c>
      <c r="D722" t="inlineStr">
        <is>
          <t>ENV9</t>
        </is>
      </c>
      <c r="E722" t="inlineStr">
        <is>
          <t>2</t>
        </is>
      </c>
      <c r="F722" t="inlineStr">
        <is>
          <t>10270911</t>
        </is>
      </c>
      <c r="H722" t="inlineStr"/>
      <c r="J722" t="n">
        <v>0.01</v>
      </c>
      <c r="K722" t="inlineStr"/>
      <c r="M722" t="inlineStr">
        <is>
          <t>TN</t>
        </is>
      </c>
      <c r="N722" t="inlineStr"/>
      <c r="P722" t="inlineStr">
        <is>
          <t>20260201</t>
        </is>
      </c>
      <c r="Q722" t="inlineStr">
        <is>
          <t>20260310</t>
        </is>
      </c>
    </row>
    <row r="723">
      <c r="A723" t="inlineStr">
        <is>
          <t>900009420DW68ENV910270911</t>
        </is>
      </c>
      <c r="B723" t="inlineStr">
        <is>
          <t>900009420</t>
        </is>
      </c>
      <c r="C723" t="inlineStr">
        <is>
          <t>DW68</t>
        </is>
      </c>
      <c r="D723" t="inlineStr">
        <is>
          <t>ENV9</t>
        </is>
      </c>
      <c r="E723" t="inlineStr">
        <is>
          <t>4</t>
        </is>
      </c>
      <c r="F723" t="inlineStr">
        <is>
          <t>10270911</t>
        </is>
      </c>
      <c r="H723" t="inlineStr"/>
      <c r="J723" t="n">
        <v>0.01</v>
      </c>
      <c r="K723" t="inlineStr"/>
      <c r="M723" t="inlineStr">
        <is>
          <t>TN</t>
        </is>
      </c>
      <c r="N723" t="inlineStr"/>
      <c r="P723" t="inlineStr">
        <is>
          <t>20260126</t>
        </is>
      </c>
      <c r="Q723" t="inlineStr">
        <is>
          <t>20260705</t>
        </is>
      </c>
    </row>
    <row r="724">
      <c r="A724" t="inlineStr">
        <is>
          <t>900009420DW68ENV910270912</t>
        </is>
      </c>
      <c r="B724" t="inlineStr">
        <is>
          <t>900009420</t>
        </is>
      </c>
      <c r="C724" t="inlineStr">
        <is>
          <t>DW68</t>
        </is>
      </c>
      <c r="D724" t="inlineStr">
        <is>
          <t>ENV9</t>
        </is>
      </c>
      <c r="E724" t="inlineStr">
        <is>
          <t>4</t>
        </is>
      </c>
      <c r="F724" t="inlineStr">
        <is>
          <t>10270912</t>
        </is>
      </c>
      <c r="H724" t="inlineStr"/>
      <c r="J724" t="n">
        <v>0.01</v>
      </c>
      <c r="K724" t="inlineStr"/>
      <c r="M724" t="inlineStr">
        <is>
          <t>TN</t>
        </is>
      </c>
      <c r="N724" t="inlineStr"/>
      <c r="P724" t="inlineStr">
        <is>
          <t>20260126</t>
        </is>
      </c>
      <c r="Q724" t="inlineStr">
        <is>
          <t>99991231</t>
        </is>
      </c>
    </row>
    <row r="725">
      <c r="A725" t="inlineStr">
        <is>
          <t>900009420DW68ENV910270913</t>
        </is>
      </c>
      <c r="B725" t="inlineStr">
        <is>
          <t>900009420</t>
        </is>
      </c>
      <c r="C725" t="inlineStr">
        <is>
          <t>DW68</t>
        </is>
      </c>
      <c r="D725" t="inlineStr">
        <is>
          <t>ENV9</t>
        </is>
      </c>
      <c r="E725" t="inlineStr">
        <is>
          <t>4</t>
        </is>
      </c>
      <c r="F725" t="inlineStr">
        <is>
          <t>10270913</t>
        </is>
      </c>
      <c r="H725" t="inlineStr"/>
      <c r="J725" t="n">
        <v>0.01</v>
      </c>
      <c r="K725" t="inlineStr"/>
      <c r="M725" t="inlineStr">
        <is>
          <t>TN</t>
        </is>
      </c>
      <c r="N725" t="inlineStr"/>
      <c r="P725" t="inlineStr">
        <is>
          <t>20260126</t>
        </is>
      </c>
      <c r="Q725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4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900004065DW68D22010000320</t>
        </is>
      </c>
      <c r="B2" t="inlineStr">
        <is>
          <t>4600050428-240</t>
        </is>
      </c>
      <c r="C2" t="n">
        <v>4600050428</v>
      </c>
      <c r="D2" t="n">
        <v>240</v>
      </c>
      <c r="E2" t="inlineStr">
        <is>
          <t>MXPO</t>
        </is>
      </c>
      <c r="F2" t="inlineStr">
        <is>
          <t>MXL</t>
        </is>
      </c>
      <c r="G2" t="n">
        <v>900004065</v>
      </c>
      <c r="H2" t="inlineStr">
        <is>
          <t>TC-ED CALIDRA</t>
        </is>
      </c>
      <c r="I2" t="n">
        <v>5002756</v>
      </c>
      <c r="J2" t="inlineStr">
        <is>
          <t>CALIDRA DE OCCIDENTE SA DE CV</t>
        </is>
      </c>
      <c r="K2" t="inlineStr">
        <is>
          <t>Z07</t>
        </is>
      </c>
      <c r="L2" t="inlineStr">
        <is>
          <t>(AP) 60 Dias</t>
        </is>
      </c>
      <c r="M2" t="n">
        <v>10000320</v>
      </c>
      <c r="N2" t="inlineStr">
        <is>
          <t>Arena Triturada Caliza Malla 4</t>
        </is>
      </c>
      <c r="O2" t="inlineStr">
        <is>
          <t>DW68</t>
        </is>
      </c>
      <c r="P2" t="inlineStr">
        <is>
          <t>MX-CED. GUADALAJARA</t>
        </is>
      </c>
      <c r="Q2" t="n">
        <v>20210801</v>
      </c>
      <c r="R2" t="n">
        <v>20281231</v>
      </c>
      <c r="S2" t="n">
        <v>20260709</v>
      </c>
      <c r="T2" t="n">
        <v>20301231</v>
      </c>
      <c r="U2" t="n">
        <v>386.79</v>
      </c>
      <c r="V2" t="inlineStr">
        <is>
          <t>MXN</t>
        </is>
      </c>
      <c r="W2" t="inlineStr">
        <is>
          <t>TN</t>
        </is>
      </c>
      <c r="X2" t="n">
        <v>277.59</v>
      </c>
      <c r="Y2" t="inlineStr">
        <is>
          <t>MXN</t>
        </is>
      </c>
      <c r="Z2" t="inlineStr">
        <is>
          <t>TN</t>
        </is>
      </c>
      <c r="AA2" t="inlineStr">
        <is>
          <t>D220</t>
        </is>
      </c>
      <c r="AB2" t="inlineStr">
        <is>
          <t>PD0131 TEPATITLAN</t>
        </is>
      </c>
      <c r="AC2" t="n">
        <v>56103638</v>
      </c>
      <c r="AD2" t="n">
        <v>6644241540</v>
      </c>
      <c r="AE2" t="n">
        <v>4</v>
      </c>
      <c r="AF2" t="inlineStr">
        <is>
          <t>ENTREGA DIRECTA</t>
        </is>
      </c>
      <c r="AG2" t="n">
        <v>1</v>
      </c>
      <c r="AH2" t="inlineStr">
        <is>
          <t>TO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20260713</v>
      </c>
      <c r="AM2" t="inlineStr">
        <is>
          <t>DW68-900004065-D220-10000320-4</t>
        </is>
      </c>
    </row>
    <row r="3">
      <c r="A3" t="inlineStr">
        <is>
          <t>900009399DW6810000439</t>
        </is>
      </c>
      <c r="B3" t="inlineStr">
        <is>
          <t>4600071814-20</t>
        </is>
      </c>
      <c r="C3" t="n">
        <v>4600071814</v>
      </c>
      <c r="D3" t="n">
        <v>20</v>
      </c>
      <c r="E3" t="inlineStr">
        <is>
          <t>MXPO</t>
        </is>
      </c>
      <c r="F3" t="inlineStr">
        <is>
          <t>MXL</t>
        </is>
      </c>
      <c r="G3" t="n">
        <v>900009399</v>
      </c>
      <c r="H3" t="inlineStr">
        <is>
          <t>SF TC – NOE TESISTAN</t>
        </is>
      </c>
      <c r="I3" t="n">
        <v>5003391</v>
      </c>
      <c r="J3" t="inlineStr">
        <is>
          <t>MENDOZA VELAZQUEZ NOE</t>
        </is>
      </c>
      <c r="K3" t="inlineStr">
        <is>
          <t>E60</t>
        </is>
      </c>
      <c r="L3" t="inlineStr">
        <is>
          <t>(AP) E-FACTOR 60 Dias</t>
        </is>
      </c>
      <c r="M3" t="n">
        <v>10000439</v>
      </c>
      <c r="N3" t="inlineStr">
        <is>
          <t>Grava Triturada Basalto 10 mm - 3/8"</t>
        </is>
      </c>
      <c r="O3" t="inlineStr">
        <is>
          <t>DW68</t>
        </is>
      </c>
      <c r="P3" t="inlineStr">
        <is>
          <t>MX-CED. GUADALAJARA</t>
        </is>
      </c>
      <c r="Q3" t="n">
        <v>20251201</v>
      </c>
      <c r="R3" t="n">
        <v>20301231</v>
      </c>
      <c r="S3" t="n">
        <v>20260706</v>
      </c>
      <c r="T3" t="n">
        <v>20301231</v>
      </c>
      <c r="U3" t="n">
        <v>390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56103637</v>
      </c>
      <c r="AD3" t="n">
        <v>6644241540</v>
      </c>
      <c r="AE3" t="n">
        <v>1</v>
      </c>
      <c r="AF3" t="inlineStr">
        <is>
          <t>ENTREGADO</t>
        </is>
      </c>
      <c r="AG3" t="n">
        <v>1.437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20260710</v>
      </c>
      <c r="AM3" t="inlineStr">
        <is>
          <t>DW68-900009399-10000439</t>
        </is>
      </c>
    </row>
    <row r="4">
      <c r="A4" t="inlineStr">
        <is>
          <t>900009233DW68D21110270911</t>
        </is>
      </c>
      <c r="B4" t="inlineStr">
        <is>
          <t>4600072356-30</t>
        </is>
      </c>
      <c r="C4" t="n">
        <v>4600072356</v>
      </c>
      <c r="D4" t="n">
        <v>30</v>
      </c>
      <c r="E4" t="inlineStr">
        <is>
          <t>MXPO</t>
        </is>
      </c>
      <c r="F4" t="inlineStr">
        <is>
          <t>MXL</t>
        </is>
      </c>
      <c r="G4" t="n">
        <v>900009233</v>
      </c>
      <c r="H4" t="inlineStr">
        <is>
          <t>SF TC–ED GYB BURRITOS</t>
        </is>
      </c>
      <c r="I4" t="n">
        <v>5098612</v>
      </c>
      <c r="J4" t="inlineStr">
        <is>
          <t>URBANIZACIONES G Y B SA DE CV</t>
        </is>
      </c>
      <c r="K4" t="inlineStr">
        <is>
          <t>Z09</t>
        </is>
      </c>
      <c r="L4" t="inlineStr">
        <is>
          <t>(AP) 90 Dias</t>
        </is>
      </c>
      <c r="M4" t="n">
        <v>10270911</v>
      </c>
      <c r="N4" t="inlineStr">
        <is>
          <t>MP GRAVA TRIT. BASALTO 40 MM - 1 1/2"</t>
        </is>
      </c>
      <c r="O4" t="inlineStr">
        <is>
          <t>DW68</t>
        </is>
      </c>
      <c r="P4" t="inlineStr">
        <is>
          <t>MX-CED. GUADALAJARA</t>
        </is>
      </c>
      <c r="Q4" t="n">
        <v>20260701</v>
      </c>
      <c r="R4" t="n">
        <v>20301231</v>
      </c>
      <c r="S4" t="n">
        <v>20260701</v>
      </c>
      <c r="T4" t="n">
        <v>20301231</v>
      </c>
      <c r="U4" t="n">
        <v>412</v>
      </c>
      <c r="V4" t="inlineStr">
        <is>
          <t>MXN</t>
        </is>
      </c>
      <c r="W4" t="inlineStr">
        <is>
          <t>M3</t>
        </is>
      </c>
      <c r="X4" t="n">
        <v>152</v>
      </c>
      <c r="Y4" t="inlineStr">
        <is>
          <t>MXN</t>
        </is>
      </c>
      <c r="Z4" t="inlineStr">
        <is>
          <t>M3</t>
        </is>
      </c>
      <c r="AA4" t="inlineStr">
        <is>
          <t>D211</t>
        </is>
      </c>
      <c r="AB4" t="inlineStr">
        <is>
          <t>PD0149 GDL. MATRIZ</t>
        </is>
      </c>
      <c r="AC4" t="n">
        <v>56103637</v>
      </c>
      <c r="AD4" t="n">
        <v>6644241540</v>
      </c>
      <c r="AE4" t="n">
        <v>4</v>
      </c>
      <c r="AF4" t="inlineStr">
        <is>
          <t>ENTREGA DIRECTA</t>
        </is>
      </c>
      <c r="AG4" t="n">
        <v>1.36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20260722</v>
      </c>
      <c r="AM4" t="inlineStr">
        <is>
          <t>DW68-900009233-D211-10270911-4</t>
        </is>
      </c>
    </row>
    <row r="5">
      <c r="A5" t="inlineStr">
        <is>
          <t>900009233DW68D20910270911</t>
        </is>
      </c>
      <c r="B5" t="inlineStr">
        <is>
          <t>4600072356-20</t>
        </is>
      </c>
      <c r="C5" t="n">
        <v>4600072356</v>
      </c>
      <c r="D5" t="n">
        <v>20</v>
      </c>
      <c r="E5" t="inlineStr">
        <is>
          <t>MXPO</t>
        </is>
      </c>
      <c r="F5" t="inlineStr">
        <is>
          <t>MXL</t>
        </is>
      </c>
      <c r="G5" t="n">
        <v>900009233</v>
      </c>
      <c r="H5" t="inlineStr">
        <is>
          <t>SF TC–ED GYB BURRITOS</t>
        </is>
      </c>
      <c r="I5" t="n">
        <v>5098612</v>
      </c>
      <c r="J5" t="inlineStr">
        <is>
          <t>URBANIZACIONES G Y B SA DE CV</t>
        </is>
      </c>
      <c r="K5" t="inlineStr">
        <is>
          <t>Z09</t>
        </is>
      </c>
      <c r="L5" t="inlineStr">
        <is>
          <t>(AP) 90 Dias</t>
        </is>
      </c>
      <c r="M5" t="n">
        <v>10270911</v>
      </c>
      <c r="N5" t="inlineStr">
        <is>
          <t>MP GRAVA TRIT. BASALTO 40 MM - 1 1/2"</t>
        </is>
      </c>
      <c r="O5" t="inlineStr">
        <is>
          <t>DW68</t>
        </is>
      </c>
      <c r="P5" t="inlineStr">
        <is>
          <t>MX-CED. GUADALAJARA</t>
        </is>
      </c>
      <c r="Q5" t="n">
        <v>20260701</v>
      </c>
      <c r="R5" t="n">
        <v>20301231</v>
      </c>
      <c r="S5" t="n">
        <v>20260701</v>
      </c>
      <c r="T5" t="n">
        <v>20301231</v>
      </c>
      <c r="U5" t="n">
        <v>400</v>
      </c>
      <c r="V5" t="inlineStr">
        <is>
          <t>MXN</t>
        </is>
      </c>
      <c r="W5" t="inlineStr">
        <is>
          <t>M3</t>
        </is>
      </c>
      <c r="X5" t="n">
        <v>140</v>
      </c>
      <c r="Y5" t="inlineStr">
        <is>
          <t>MXN</t>
        </is>
      </c>
      <c r="Z5" t="inlineStr">
        <is>
          <t>M3</t>
        </is>
      </c>
      <c r="AA5" t="inlineStr">
        <is>
          <t>D209</t>
        </is>
      </c>
      <c r="AB5" t="inlineStr">
        <is>
          <t>PD0127 MANANTIAL</t>
        </is>
      </c>
      <c r="AC5" t="n">
        <v>56103637</v>
      </c>
      <c r="AD5" t="n">
        <v>6644241540</v>
      </c>
      <c r="AE5" t="n">
        <v>4</v>
      </c>
      <c r="AF5" t="inlineStr">
        <is>
          <t>ENTREGA DIRECTA</t>
        </is>
      </c>
      <c r="AG5" t="n">
        <v>1.36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20260722</v>
      </c>
      <c r="AM5" t="inlineStr">
        <is>
          <t>DW68-900009233-D209-10270911-4</t>
        </is>
      </c>
    </row>
    <row r="6">
      <c r="A6" t="inlineStr">
        <is>
          <t>900009233DW68D24710270911</t>
        </is>
      </c>
      <c r="B6" t="inlineStr">
        <is>
          <t>4600072356-60</t>
        </is>
      </c>
      <c r="C6" t="n">
        <v>4600072356</v>
      </c>
      <c r="D6" t="n">
        <v>60</v>
      </c>
      <c r="E6" t="inlineStr">
        <is>
          <t>MXPO</t>
        </is>
      </c>
      <c r="F6" t="inlineStr">
        <is>
          <t>MXL</t>
        </is>
      </c>
      <c r="G6" t="n">
        <v>900009233</v>
      </c>
      <c r="H6" t="inlineStr">
        <is>
          <t>SF TC–ED GYB BURRITOS</t>
        </is>
      </c>
      <c r="I6" t="n">
        <v>5098612</v>
      </c>
      <c r="J6" t="inlineStr">
        <is>
          <t>URBANIZACIONES G Y B SA DE CV</t>
        </is>
      </c>
      <c r="K6" t="inlineStr">
        <is>
          <t>Z09</t>
        </is>
      </c>
      <c r="L6" t="inlineStr">
        <is>
          <t>(AP) 90 Dias</t>
        </is>
      </c>
      <c r="M6" t="n">
        <v>10270911</v>
      </c>
      <c r="N6" t="inlineStr">
        <is>
          <t>MP GRAVA TRIT. BASALTO 40 MM - 1 1/2"</t>
        </is>
      </c>
      <c r="O6" t="inlineStr">
        <is>
          <t>DW68</t>
        </is>
      </c>
      <c r="P6" t="inlineStr">
        <is>
          <t>MX-CED. GUADALAJARA</t>
        </is>
      </c>
      <c r="Q6" t="n">
        <v>20260701</v>
      </c>
      <c r="R6" t="n">
        <v>20301231</v>
      </c>
      <c r="S6" t="n">
        <v>20260701</v>
      </c>
      <c r="T6" t="n">
        <v>20301231</v>
      </c>
      <c r="U6" t="n">
        <v>452</v>
      </c>
      <c r="V6" t="inlineStr">
        <is>
          <t>MXN</t>
        </is>
      </c>
      <c r="W6" t="inlineStr">
        <is>
          <t>M3</t>
        </is>
      </c>
      <c r="X6" t="n">
        <v>192</v>
      </c>
      <c r="Y6" t="inlineStr">
        <is>
          <t>MXN</t>
        </is>
      </c>
      <c r="Z6" t="inlineStr">
        <is>
          <t>M3</t>
        </is>
      </c>
      <c r="AA6" t="inlineStr">
        <is>
          <t>D247</t>
        </is>
      </c>
      <c r="AB6" t="inlineStr">
        <is>
          <t>PD0518 TONALA</t>
        </is>
      </c>
      <c r="AC6" t="n">
        <v>56103637</v>
      </c>
      <c r="AD6" t="n">
        <v>6644241540</v>
      </c>
      <c r="AE6" t="n">
        <v>4</v>
      </c>
      <c r="AF6" t="inlineStr">
        <is>
          <t>ENTREGA DIRECTA</t>
        </is>
      </c>
      <c r="AG6" t="n">
        <v>1.36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20260722</v>
      </c>
      <c r="AM6" t="inlineStr">
        <is>
          <t>DW68-900009233-D247-10270911-4</t>
        </is>
      </c>
    </row>
    <row r="7">
      <c r="A7" t="inlineStr">
        <is>
          <t>900009233DW68D24210270911</t>
        </is>
      </c>
      <c r="B7" t="inlineStr">
        <is>
          <t>4600072356-50</t>
        </is>
      </c>
      <c r="C7" t="n">
        <v>4600072356</v>
      </c>
      <c r="D7" t="n">
        <v>50</v>
      </c>
      <c r="E7" t="inlineStr">
        <is>
          <t>MXPO</t>
        </is>
      </c>
      <c r="F7" t="inlineStr">
        <is>
          <t>MXL</t>
        </is>
      </c>
      <c r="G7" t="n">
        <v>900009233</v>
      </c>
      <c r="H7" t="inlineStr">
        <is>
          <t>SF TC–ED GYB BURRITOS</t>
        </is>
      </c>
      <c r="I7" t="n">
        <v>5098612</v>
      </c>
      <c r="J7" t="inlineStr">
        <is>
          <t>URBANIZACIONES G Y B SA DE CV</t>
        </is>
      </c>
      <c r="K7" t="inlineStr">
        <is>
          <t>Z09</t>
        </is>
      </c>
      <c r="L7" t="inlineStr">
        <is>
          <t>(AP) 90 Dias</t>
        </is>
      </c>
      <c r="M7" t="n">
        <v>10270911</v>
      </c>
      <c r="N7" t="inlineStr">
        <is>
          <t>MP GRAVA TRIT. BASALTO 40 MM - 1 1/2"</t>
        </is>
      </c>
      <c r="O7" t="inlineStr">
        <is>
          <t>DW68</t>
        </is>
      </c>
      <c r="P7" t="inlineStr">
        <is>
          <t>MX-CED. GUADALAJARA</t>
        </is>
      </c>
      <c r="Q7" t="n">
        <v>20260701</v>
      </c>
      <c r="R7" t="n">
        <v>20301231</v>
      </c>
      <c r="S7" t="n">
        <v>20260701</v>
      </c>
      <c r="T7" t="n">
        <v>20301231</v>
      </c>
      <c r="U7" t="n">
        <v>476</v>
      </c>
      <c r="V7" t="inlineStr">
        <is>
          <t>MXN</t>
        </is>
      </c>
      <c r="W7" t="inlineStr">
        <is>
          <t>M3</t>
        </is>
      </c>
      <c r="X7" t="n">
        <v>216</v>
      </c>
      <c r="Y7" t="inlineStr">
        <is>
          <t>MXN</t>
        </is>
      </c>
      <c r="Z7" t="inlineStr">
        <is>
          <t>M3</t>
        </is>
      </c>
      <c r="AA7" t="inlineStr">
        <is>
          <t>D242</t>
        </is>
      </c>
      <c r="AB7" t="inlineStr">
        <is>
          <t>PD0454 CD. LA GRANJA II</t>
        </is>
      </c>
      <c r="AC7" t="n">
        <v>56103637</v>
      </c>
      <c r="AD7" t="n">
        <v>6644241540</v>
      </c>
      <c r="AE7" t="n">
        <v>4</v>
      </c>
      <c r="AF7" t="inlineStr">
        <is>
          <t>ENTREGA DIRECTA</t>
        </is>
      </c>
      <c r="AG7" t="n">
        <v>1.36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20260722</v>
      </c>
      <c r="AM7" t="inlineStr">
        <is>
          <t>DW68-900009233-D242-10270911-4</t>
        </is>
      </c>
    </row>
    <row r="8">
      <c r="A8" t="inlineStr">
        <is>
          <t>900009233DW68D26710270911</t>
        </is>
      </c>
      <c r="B8" t="inlineStr">
        <is>
          <t>4600072356-90</t>
        </is>
      </c>
      <c r="C8" t="n">
        <v>4600072356</v>
      </c>
      <c r="D8" t="n">
        <v>90</v>
      </c>
      <c r="E8" t="inlineStr">
        <is>
          <t>MXPO</t>
        </is>
      </c>
      <c r="F8" t="inlineStr">
        <is>
          <t>MXL</t>
        </is>
      </c>
      <c r="G8" t="n">
        <v>900009233</v>
      </c>
      <c r="H8" t="inlineStr">
        <is>
          <t>SF TC–ED GYB BURRITOS</t>
        </is>
      </c>
      <c r="I8" t="n">
        <v>5098612</v>
      </c>
      <c r="J8" t="inlineStr">
        <is>
          <t>URBANIZACIONES G Y B SA DE CV</t>
        </is>
      </c>
      <c r="K8" t="inlineStr">
        <is>
          <t>Z09</t>
        </is>
      </c>
      <c r="L8" t="inlineStr">
        <is>
          <t>(AP) 90 Dias</t>
        </is>
      </c>
      <c r="M8" t="n">
        <v>10270911</v>
      </c>
      <c r="N8" t="inlineStr">
        <is>
          <t>MP GRAVA TRIT. BASALTO 40 MM - 1 1/2"</t>
        </is>
      </c>
      <c r="O8" t="inlineStr">
        <is>
          <t>DW68</t>
        </is>
      </c>
      <c r="P8" t="inlineStr">
        <is>
          <t>MX-CED. GUADALAJARA</t>
        </is>
      </c>
      <c r="Q8" t="n">
        <v>20260701</v>
      </c>
      <c r="R8" t="n">
        <v>20301231</v>
      </c>
      <c r="S8" t="n">
        <v>20260701</v>
      </c>
      <c r="T8" t="n">
        <v>20301231</v>
      </c>
      <c r="U8" t="n">
        <v>548</v>
      </c>
      <c r="V8" t="inlineStr">
        <is>
          <t>MXN</t>
        </is>
      </c>
      <c r="W8" t="inlineStr">
        <is>
          <t>M3</t>
        </is>
      </c>
      <c r="X8" t="n">
        <v>288</v>
      </c>
      <c r="Y8" t="inlineStr">
        <is>
          <t>MXN</t>
        </is>
      </c>
      <c r="Z8" t="inlineStr">
        <is>
          <t>M3</t>
        </is>
      </c>
      <c r="AA8" t="inlineStr">
        <is>
          <t>D267</t>
        </is>
      </c>
      <c r="AB8" t="inlineStr">
        <is>
          <t>PD0280 PLANTA COLOTLAN</t>
        </is>
      </c>
      <c r="AC8" t="n">
        <v>56103637</v>
      </c>
      <c r="AD8" t="n">
        <v>6644241540</v>
      </c>
      <c r="AE8" t="n">
        <v>4</v>
      </c>
      <c r="AF8" t="inlineStr">
        <is>
          <t>ENTREGA DIRECTA</t>
        </is>
      </c>
      <c r="AG8" t="n">
        <v>1.36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20260722</v>
      </c>
      <c r="AM8" t="inlineStr">
        <is>
          <t>DW68-900009233-D267-10270911-4</t>
        </is>
      </c>
    </row>
    <row r="9">
      <c r="A9" t="inlineStr">
        <is>
          <t>900009233DW68D25110270911</t>
        </is>
      </c>
      <c r="B9" t="inlineStr">
        <is>
          <t>4600072356-70</t>
        </is>
      </c>
      <c r="C9" t="n">
        <v>4600072356</v>
      </c>
      <c r="D9" t="n">
        <v>70</v>
      </c>
      <c r="E9" t="inlineStr">
        <is>
          <t>MXPO</t>
        </is>
      </c>
      <c r="F9" t="inlineStr">
        <is>
          <t>MXL</t>
        </is>
      </c>
      <c r="G9" t="n">
        <v>900009233</v>
      </c>
      <c r="H9" t="inlineStr">
        <is>
          <t>SF TC–ED GYB BURRITOS</t>
        </is>
      </c>
      <c r="I9" t="n">
        <v>5098612</v>
      </c>
      <c r="J9" t="inlineStr">
        <is>
          <t>URBANIZACIONES G Y B SA DE CV</t>
        </is>
      </c>
      <c r="K9" t="inlineStr">
        <is>
          <t>Z09</t>
        </is>
      </c>
      <c r="L9" t="inlineStr">
        <is>
          <t>(AP) 90 Dias</t>
        </is>
      </c>
      <c r="M9" t="n">
        <v>10270911</v>
      </c>
      <c r="N9" t="inlineStr">
        <is>
          <t>MP GRAVA TRIT. BASALTO 40 MM - 1 1/2"</t>
        </is>
      </c>
      <c r="O9" t="inlineStr">
        <is>
          <t>DW68</t>
        </is>
      </c>
      <c r="P9" t="inlineStr">
        <is>
          <t>MX-CED. GUADALAJARA</t>
        </is>
      </c>
      <c r="Q9" t="n">
        <v>20260701</v>
      </c>
      <c r="R9" t="n">
        <v>20301231</v>
      </c>
      <c r="S9" t="n">
        <v>20260701</v>
      </c>
      <c r="T9" t="n">
        <v>20301231</v>
      </c>
      <c r="U9" t="n">
        <v>368</v>
      </c>
      <c r="V9" t="inlineStr">
        <is>
          <t>MXN</t>
        </is>
      </c>
      <c r="W9" t="inlineStr">
        <is>
          <t>M3</t>
        </is>
      </c>
      <c r="X9" t="n">
        <v>108</v>
      </c>
      <c r="Y9" t="inlineStr">
        <is>
          <t>MXN</t>
        </is>
      </c>
      <c r="Z9" t="inlineStr">
        <is>
          <t>M3</t>
        </is>
      </c>
      <c r="AA9" t="inlineStr">
        <is>
          <t>D251</t>
        </is>
      </c>
      <c r="AB9" t="inlineStr">
        <is>
          <t>PD0339 EL SALTO</t>
        </is>
      </c>
      <c r="AC9" t="n">
        <v>56103637</v>
      </c>
      <c r="AD9" t="n">
        <v>6644241540</v>
      </c>
      <c r="AE9" t="n">
        <v>4</v>
      </c>
      <c r="AF9" t="inlineStr">
        <is>
          <t>ENTREGA DIRECTA</t>
        </is>
      </c>
      <c r="AG9" t="n">
        <v>1.36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20260722</v>
      </c>
      <c r="AM9" t="inlineStr">
        <is>
          <t>DW68-900009233-D251-10270911-4</t>
        </is>
      </c>
    </row>
    <row r="10">
      <c r="A10" t="inlineStr">
        <is>
          <t>900009233DW68D04210270911</t>
        </is>
      </c>
      <c r="B10" t="inlineStr">
        <is>
          <t>4600072356-10</t>
        </is>
      </c>
      <c r="C10" t="n">
        <v>4600072356</v>
      </c>
      <c r="D10" t="n">
        <v>10</v>
      </c>
      <c r="E10" t="inlineStr">
        <is>
          <t>MXPO</t>
        </is>
      </c>
      <c r="F10" t="inlineStr">
        <is>
          <t>MXL</t>
        </is>
      </c>
      <c r="G10" t="n">
        <v>900009233</v>
      </c>
      <c r="H10" t="inlineStr">
        <is>
          <t>SF TC–ED GYB BURRITOS</t>
        </is>
      </c>
      <c r="I10" t="n">
        <v>5098612</v>
      </c>
      <c r="J10" t="inlineStr">
        <is>
          <t>URBANIZACIONES G Y B SA DE CV</t>
        </is>
      </c>
      <c r="K10" t="inlineStr">
        <is>
          <t>Z09</t>
        </is>
      </c>
      <c r="L10" t="inlineStr">
        <is>
          <t>(AP) 90 Dias</t>
        </is>
      </c>
      <c r="M10" t="n">
        <v>10270911</v>
      </c>
      <c r="N10" t="inlineStr">
        <is>
          <t>MP GRAVA TRIT. BASALTO 40 MM - 1 1/2"</t>
        </is>
      </c>
      <c r="O10" t="inlineStr">
        <is>
          <t>DW68</t>
        </is>
      </c>
      <c r="P10" t="inlineStr">
        <is>
          <t>MX-CED. GUADALAJARA</t>
        </is>
      </c>
      <c r="Q10" t="n">
        <v>20260701</v>
      </c>
      <c r="R10" t="n">
        <v>20301231</v>
      </c>
      <c r="S10" t="n">
        <v>20260701</v>
      </c>
      <c r="T10" t="n">
        <v>20301231</v>
      </c>
      <c r="U10" t="n">
        <v>472</v>
      </c>
      <c r="V10" t="inlineStr">
        <is>
          <t>MXN</t>
        </is>
      </c>
      <c r="W10" t="inlineStr">
        <is>
          <t>M3</t>
        </is>
      </c>
      <c r="X10" t="n">
        <v>212</v>
      </c>
      <c r="Y10" t="inlineStr">
        <is>
          <t>MXN</t>
        </is>
      </c>
      <c r="Z10" t="inlineStr">
        <is>
          <t>M3</t>
        </is>
      </c>
      <c r="AA10" t="inlineStr">
        <is>
          <t>D042</t>
        </is>
      </c>
      <c r="AB10" t="inlineStr">
        <is>
          <t>PD0406 PLANTA PONIENTE</t>
        </is>
      </c>
      <c r="AC10" t="n">
        <v>56103637</v>
      </c>
      <c r="AD10" t="n">
        <v>6644241540</v>
      </c>
      <c r="AE10" t="n">
        <v>4</v>
      </c>
      <c r="AF10" t="inlineStr">
        <is>
          <t>ENTREGA DIRECTA</t>
        </is>
      </c>
      <c r="AG10" t="n">
        <v>1.36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20260722</v>
      </c>
      <c r="AM10" t="inlineStr">
        <is>
          <t>DW68-900009233-D042-10270911-4</t>
        </is>
      </c>
    </row>
    <row r="11">
      <c r="A11" t="inlineStr">
        <is>
          <t>900009233DW68D22810270911</t>
        </is>
      </c>
      <c r="B11" t="inlineStr">
        <is>
          <t>4600072356-40</t>
        </is>
      </c>
      <c r="C11" t="n">
        <v>4600072356</v>
      </c>
      <c r="D11" t="n">
        <v>40</v>
      </c>
      <c r="E11" t="inlineStr">
        <is>
          <t>MXPO</t>
        </is>
      </c>
      <c r="F11" t="inlineStr">
        <is>
          <t>MXL</t>
        </is>
      </c>
      <c r="G11" t="n">
        <v>900009233</v>
      </c>
      <c r="H11" t="inlineStr">
        <is>
          <t>SF TC–ED GYB BURRITOS</t>
        </is>
      </c>
      <c r="I11" t="n">
        <v>5098612</v>
      </c>
      <c r="J11" t="inlineStr">
        <is>
          <t>URBANIZACIONES G Y B SA DE CV</t>
        </is>
      </c>
      <c r="K11" t="inlineStr">
        <is>
          <t>Z09</t>
        </is>
      </c>
      <c r="L11" t="inlineStr">
        <is>
          <t>(AP) 90 Dias</t>
        </is>
      </c>
      <c r="M11" t="n">
        <v>10270911</v>
      </c>
      <c r="N11" t="inlineStr">
        <is>
          <t>MP GRAVA TRIT. BASALTO 40 MM - 1 1/2"</t>
        </is>
      </c>
      <c r="O11" t="inlineStr">
        <is>
          <t>DW68</t>
        </is>
      </c>
      <c r="P11" t="inlineStr">
        <is>
          <t>MX-CED. GUADALAJARA</t>
        </is>
      </c>
      <c r="Q11" t="n">
        <v>20260701</v>
      </c>
      <c r="R11" t="n">
        <v>20301231</v>
      </c>
      <c r="S11" t="n">
        <v>20260701</v>
      </c>
      <c r="T11" t="n">
        <v>20301231</v>
      </c>
      <c r="U11" t="n">
        <v>400</v>
      </c>
      <c r="V11" t="inlineStr">
        <is>
          <t>MXN</t>
        </is>
      </c>
      <c r="W11" t="inlineStr">
        <is>
          <t>M3</t>
        </is>
      </c>
      <c r="X11" t="n">
        <v>140</v>
      </c>
      <c r="Y11" t="inlineStr">
        <is>
          <t>MXN</t>
        </is>
      </c>
      <c r="Z11" t="inlineStr">
        <is>
          <t>M3</t>
        </is>
      </c>
      <c r="AA11" t="inlineStr">
        <is>
          <t>D228</t>
        </is>
      </c>
      <c r="AB11" t="inlineStr">
        <is>
          <t>PD0123 TLAJOMULCO</t>
        </is>
      </c>
      <c r="AC11" t="n">
        <v>56103637</v>
      </c>
      <c r="AD11" t="n">
        <v>6644241540</v>
      </c>
      <c r="AE11" t="n">
        <v>4</v>
      </c>
      <c r="AF11" t="inlineStr">
        <is>
          <t>ENTREGA DIRECTA</t>
        </is>
      </c>
      <c r="AG11" t="n">
        <v>1.36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20260722</v>
      </c>
      <c r="AM11" t="inlineStr">
        <is>
          <t>DW68-900009233-D228-10270911-4</t>
        </is>
      </c>
    </row>
    <row r="12">
      <c r="A12" t="inlineStr">
        <is>
          <t>900009233DW68D26410270911</t>
        </is>
      </c>
      <c r="B12" t="inlineStr">
        <is>
          <t>4600072356-80</t>
        </is>
      </c>
      <c r="C12" t="n">
        <v>4600072356</v>
      </c>
      <c r="D12" t="n">
        <v>80</v>
      </c>
      <c r="E12" t="inlineStr">
        <is>
          <t>MXPO</t>
        </is>
      </c>
      <c r="F12" t="inlineStr">
        <is>
          <t>MXL</t>
        </is>
      </c>
      <c r="G12" t="n">
        <v>900009233</v>
      </c>
      <c r="H12" t="inlineStr">
        <is>
          <t>SF TC–ED GYB BURRITOS</t>
        </is>
      </c>
      <c r="I12" t="n">
        <v>5098612</v>
      </c>
      <c r="J12" t="inlineStr">
        <is>
          <t>URBANIZACIONES G Y B SA DE CV</t>
        </is>
      </c>
      <c r="K12" t="inlineStr">
        <is>
          <t>Z09</t>
        </is>
      </c>
      <c r="L12" t="inlineStr">
        <is>
          <t>(AP) 90 Dias</t>
        </is>
      </c>
      <c r="M12" t="n">
        <v>10270911</v>
      </c>
      <c r="N12" t="inlineStr">
        <is>
          <t>MP GRAVA TRIT. BASALTO 40 MM - 1 1/2"</t>
        </is>
      </c>
      <c r="O12" t="inlineStr">
        <is>
          <t>DW68</t>
        </is>
      </c>
      <c r="P12" t="inlineStr">
        <is>
          <t>MX-CED. GUADALAJARA</t>
        </is>
      </c>
      <c r="Q12" t="n">
        <v>20260701</v>
      </c>
      <c r="R12" t="n">
        <v>20301231</v>
      </c>
      <c r="S12" t="n">
        <v>20260701</v>
      </c>
      <c r="T12" t="n">
        <v>20301231</v>
      </c>
      <c r="U12" t="n">
        <v>396</v>
      </c>
      <c r="V12" t="inlineStr">
        <is>
          <t>MXN</t>
        </is>
      </c>
      <c r="W12" t="inlineStr">
        <is>
          <t>M3</t>
        </is>
      </c>
      <c r="X12" t="n">
        <v>136</v>
      </c>
      <c r="Y12" t="inlineStr">
        <is>
          <t>MXN</t>
        </is>
      </c>
      <c r="Z12" t="inlineStr">
        <is>
          <t>M3</t>
        </is>
      </c>
      <c r="AA12" t="inlineStr">
        <is>
          <t>D264</t>
        </is>
      </c>
      <c r="AB12" t="inlineStr">
        <is>
          <t>PD0083 GUADALAJARA I III</t>
        </is>
      </c>
      <c r="AC12" t="n">
        <v>56103637</v>
      </c>
      <c r="AD12" t="n">
        <v>6644241540</v>
      </c>
      <c r="AE12" t="n">
        <v>4</v>
      </c>
      <c r="AF12" t="inlineStr">
        <is>
          <t>ENTREGA DIRECTA</t>
        </is>
      </c>
      <c r="AG12" t="n">
        <v>1.36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20260722</v>
      </c>
      <c r="AM12" t="inlineStr">
        <is>
          <t>DW68-900009233-D264-10270911-4</t>
        </is>
      </c>
    </row>
    <row r="13">
      <c r="A13" t="inlineStr">
        <is>
          <t>900009399DW6810003240</t>
        </is>
      </c>
      <c r="B13" t="inlineStr">
        <is>
          <t>4600071814-30</t>
        </is>
      </c>
      <c r="C13" t="n">
        <v>4600071814</v>
      </c>
      <c r="D13" t="n">
        <v>30</v>
      </c>
      <c r="E13" t="inlineStr">
        <is>
          <t>MXPO</t>
        </is>
      </c>
      <c r="F13" t="inlineStr">
        <is>
          <t>MXL</t>
        </is>
      </c>
      <c r="G13" t="n">
        <v>900009399</v>
      </c>
      <c r="H13" t="inlineStr">
        <is>
          <t>SF TC – NOE TESISTAN</t>
        </is>
      </c>
      <c r="I13" t="n">
        <v>5003391</v>
      </c>
      <c r="J13" t="inlineStr">
        <is>
          <t>MENDOZA VELAZQUEZ NOE</t>
        </is>
      </c>
      <c r="K13" t="inlineStr">
        <is>
          <t>E60</t>
        </is>
      </c>
      <c r="L13" t="inlineStr">
        <is>
          <t>(AP) E-FACTOR 60 Dias</t>
        </is>
      </c>
      <c r="M13" t="n">
        <v>10003240</v>
      </c>
      <c r="N13" t="inlineStr">
        <is>
          <t>Grava Triturada Basalto  40 mm - 1 1/2"</t>
        </is>
      </c>
      <c r="O13" t="inlineStr">
        <is>
          <t>DW68</t>
        </is>
      </c>
      <c r="P13" t="inlineStr">
        <is>
          <t>MX-CED. GUADALAJARA</t>
        </is>
      </c>
      <c r="Q13" t="n">
        <v>20251201</v>
      </c>
      <c r="R13" t="n">
        <v>20301231</v>
      </c>
      <c r="S13" t="n">
        <v>20260706</v>
      </c>
      <c r="T13" t="n">
        <v>20301231</v>
      </c>
      <c r="U13" t="n">
        <v>315</v>
      </c>
      <c r="V13" t="inlineStr">
        <is>
          <t>MXN</t>
        </is>
      </c>
      <c r="W13" t="inlineStr">
        <is>
          <t>M3</t>
        </is>
      </c>
      <c r="X13" t="n">
        <v>0</v>
      </c>
      <c r="Y13" t="inlineStr">
        <is>
          <t>MXN</t>
        </is>
      </c>
      <c r="Z13" t="inlineStr">
        <is>
          <t>M3</t>
        </is>
      </c>
      <c r="AC13" t="n">
        <v>56103637</v>
      </c>
      <c r="AD13" t="n">
        <v>6644241540</v>
      </c>
      <c r="AE13" t="n">
        <v>1</v>
      </c>
      <c r="AF13" t="inlineStr">
        <is>
          <t>ENTREGADO</t>
        </is>
      </c>
      <c r="AG13" t="n">
        <v>1.406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20260710</v>
      </c>
      <c r="AM13" t="inlineStr">
        <is>
          <t>DW68-900009399-10003240</t>
        </is>
      </c>
    </row>
    <row r="14">
      <c r="A14" t="inlineStr">
        <is>
          <t>900000472DW68D04210001456</t>
        </is>
      </c>
      <c r="B14" t="inlineStr">
        <is>
          <t>4600050411-80</t>
        </is>
      </c>
      <c r="C14" t="n">
        <v>4600050411</v>
      </c>
      <c r="D14" t="n">
        <v>80</v>
      </c>
      <c r="E14" t="inlineStr">
        <is>
          <t>MXPO</t>
        </is>
      </c>
      <c r="F14" t="inlineStr">
        <is>
          <t>MXL</t>
        </is>
      </c>
      <c r="G14" t="n">
        <v>900000472</v>
      </c>
      <c r="H14" t="inlineStr">
        <is>
          <t>TC-ED-TRIMCAV</t>
        </is>
      </c>
      <c r="I14" t="n">
        <v>5010147</v>
      </c>
      <c r="J14" t="inlineStr">
        <is>
          <t>TRITURACIONES DE MARMOL Y CALCIOS</t>
        </is>
      </c>
      <c r="K14" t="inlineStr">
        <is>
          <t>Z04</t>
        </is>
      </c>
      <c r="L14" t="inlineStr">
        <is>
          <t>(AP) 30 Dias</t>
        </is>
      </c>
      <c r="M14" t="n">
        <v>10001456</v>
      </c>
      <c r="N14" t="inlineStr">
        <is>
          <t>Grava Triturada Marmol 40 mm - 1 1/2"</t>
        </is>
      </c>
      <c r="O14" t="inlineStr">
        <is>
          <t>DW68</t>
        </is>
      </c>
      <c r="P14" t="inlineStr">
        <is>
          <t>MX-CED. GUADALAJARA</t>
        </is>
      </c>
      <c r="Q14" t="n">
        <v>20210712</v>
      </c>
      <c r="R14" t="n">
        <v>20291231</v>
      </c>
      <c r="S14" t="n">
        <v>20250301</v>
      </c>
      <c r="T14" t="n">
        <v>20301231</v>
      </c>
      <c r="U14" t="n">
        <v>1557.44</v>
      </c>
      <c r="V14" t="inlineStr">
        <is>
          <t>MXN</t>
        </is>
      </c>
      <c r="W14" t="inlineStr">
        <is>
          <t>TN</t>
        </is>
      </c>
      <c r="X14" t="n">
        <v>1059.48</v>
      </c>
      <c r="Y14" t="inlineStr">
        <is>
          <t>MXN</t>
        </is>
      </c>
      <c r="Z14" t="inlineStr">
        <is>
          <t>TN</t>
        </is>
      </c>
      <c r="AA14" t="inlineStr">
        <is>
          <t>D042</t>
        </is>
      </c>
      <c r="AB14" t="inlineStr">
        <is>
          <t>PD0406 PLANTA PONIENTE</t>
        </is>
      </c>
      <c r="AC14" t="n">
        <v>56103637</v>
      </c>
      <c r="AD14" t="n">
        <v>6644241867</v>
      </c>
      <c r="AE14" t="n">
        <v>4</v>
      </c>
      <c r="AF14" t="inlineStr">
        <is>
          <t>ENTREGA DIRECTA</t>
        </is>
      </c>
      <c r="AG14" t="n">
        <v>1</v>
      </c>
      <c r="AH14" t="inlineStr">
        <is>
          <t>TO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20250410</v>
      </c>
      <c r="AM14" t="inlineStr">
        <is>
          <t>DW68-900000472-D042-10001456-4</t>
        </is>
      </c>
    </row>
    <row r="15">
      <c r="A15" t="inlineStr">
        <is>
          <t>900000472DW68D04210000655</t>
        </is>
      </c>
      <c r="B15" t="inlineStr">
        <is>
          <t>4600050411-60</t>
        </is>
      </c>
      <c r="C15" t="n">
        <v>4600050411</v>
      </c>
      <c r="D15" t="n">
        <v>60</v>
      </c>
      <c r="E15" t="inlineStr">
        <is>
          <t>MXPO</t>
        </is>
      </c>
      <c r="F15" t="inlineStr">
        <is>
          <t>MXL</t>
        </is>
      </c>
      <c r="G15" t="n">
        <v>900000472</v>
      </c>
      <c r="H15" t="inlineStr">
        <is>
          <t>TC-ED-TRIMCAV</t>
        </is>
      </c>
      <c r="I15" t="n">
        <v>5010147</v>
      </c>
      <c r="J15" t="inlineStr">
        <is>
          <t>TRITURACIONES DE MARMOL Y CALCIOS</t>
        </is>
      </c>
      <c r="K15" t="inlineStr">
        <is>
          <t>Z04</t>
        </is>
      </c>
      <c r="L15" t="inlineStr">
        <is>
          <t>(AP) 30 Dias</t>
        </is>
      </c>
      <c r="M15" t="n">
        <v>10000655</v>
      </c>
      <c r="N15" t="inlineStr">
        <is>
          <t>Grava Triturada Marmol 10 mm - 3/8"</t>
        </is>
      </c>
      <c r="O15" t="inlineStr">
        <is>
          <t>DW68</t>
        </is>
      </c>
      <c r="P15" t="inlineStr">
        <is>
          <t>MX-CED. GUADALAJARA</t>
        </is>
      </c>
      <c r="Q15" t="n">
        <v>20210712</v>
      </c>
      <c r="R15" t="n">
        <v>20291231</v>
      </c>
      <c r="S15" t="n">
        <v>20250301</v>
      </c>
      <c r="T15" t="n">
        <v>20301231</v>
      </c>
      <c r="U15" t="n">
        <v>1557.44</v>
      </c>
      <c r="V15" t="inlineStr">
        <is>
          <t>MXN</t>
        </is>
      </c>
      <c r="W15" t="inlineStr">
        <is>
          <t>TN</t>
        </is>
      </c>
      <c r="X15" t="n">
        <v>1059.48</v>
      </c>
      <c r="Y15" t="inlineStr">
        <is>
          <t>MXN</t>
        </is>
      </c>
      <c r="Z15" t="inlineStr">
        <is>
          <t>TN</t>
        </is>
      </c>
      <c r="AA15" t="inlineStr">
        <is>
          <t>D042</t>
        </is>
      </c>
      <c r="AB15" t="inlineStr">
        <is>
          <t>PD0406 PLANTA PONIENTE</t>
        </is>
      </c>
      <c r="AC15" t="n">
        <v>56103637</v>
      </c>
      <c r="AD15" t="n">
        <v>6644241867</v>
      </c>
      <c r="AE15" t="n">
        <v>4</v>
      </c>
      <c r="AF15" t="inlineStr">
        <is>
          <t>ENTREGA DIRECTA</t>
        </is>
      </c>
      <c r="AG15" t="n">
        <v>1</v>
      </c>
      <c r="AH15" t="inlineStr">
        <is>
          <t>TO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20250410</v>
      </c>
      <c r="AM15" t="inlineStr">
        <is>
          <t>DW68-900000472-D042-10000655-4</t>
        </is>
      </c>
    </row>
    <row r="16">
      <c r="A16" t="inlineStr">
        <is>
          <t>900007315DW68D22810000200</t>
        </is>
      </c>
      <c r="B16" t="inlineStr">
        <is>
          <t>4600052017-50</t>
        </is>
      </c>
      <c r="C16" t="n">
        <v>4600052017</v>
      </c>
      <c r="D16" t="n">
        <v>50</v>
      </c>
      <c r="E16" t="inlineStr">
        <is>
          <t>MXPO</t>
        </is>
      </c>
      <c r="F16" t="inlineStr">
        <is>
          <t>MXL</t>
        </is>
      </c>
      <c r="G16" t="n">
        <v>900007315</v>
      </c>
      <c r="H16" t="inlineStr">
        <is>
          <t>SF TC-ED- DE CARGA BDE</t>
        </is>
      </c>
      <c r="I16" t="n">
        <v>5081782</v>
      </c>
      <c r="J16" t="inlineStr">
        <is>
          <t>SOLUCIONES DE TRANSPORTE DE CARGA B</t>
        </is>
      </c>
      <c r="K16" t="inlineStr">
        <is>
          <t>Z09</t>
        </is>
      </c>
      <c r="L16" t="inlineStr">
        <is>
          <t>(AP) 90 Dias</t>
        </is>
      </c>
      <c r="M16" t="n">
        <v>10000200</v>
      </c>
      <c r="N16" t="inlineStr">
        <is>
          <t>Grava Triturada Pomez - Jal 20 mm - 3/4"</t>
        </is>
      </c>
      <c r="O16" t="inlineStr">
        <is>
          <t>DW68</t>
        </is>
      </c>
      <c r="P16" t="inlineStr">
        <is>
          <t>MX-CED. GUADALAJARA</t>
        </is>
      </c>
      <c r="Q16" t="n">
        <v>20210901</v>
      </c>
      <c r="R16" t="n">
        <v>20281231</v>
      </c>
      <c r="S16" t="n">
        <v>20250801</v>
      </c>
      <c r="T16" t="n">
        <v>20301231</v>
      </c>
      <c r="U16" t="n">
        <v>142.34</v>
      </c>
      <c r="V16" t="inlineStr">
        <is>
          <t>MXN</t>
        </is>
      </c>
      <c r="W16" t="inlineStr">
        <is>
          <t>M3</t>
        </is>
      </c>
      <c r="X16" t="n">
        <v>63.14</v>
      </c>
      <c r="Y16" t="inlineStr">
        <is>
          <t>MXN</t>
        </is>
      </c>
      <c r="Z16" t="inlineStr">
        <is>
          <t>M3</t>
        </is>
      </c>
      <c r="AA16" t="inlineStr">
        <is>
          <t>D228</t>
        </is>
      </c>
      <c r="AB16" t="inlineStr">
        <is>
          <t>PD0123 TLAJOMULCO</t>
        </is>
      </c>
      <c r="AC16" t="n">
        <v>56103637</v>
      </c>
      <c r="AD16" t="n">
        <v>6644241540</v>
      </c>
      <c r="AE16" t="n">
        <v>4</v>
      </c>
      <c r="AF16" t="inlineStr">
        <is>
          <t>ENTREGA DIRECTA</t>
        </is>
      </c>
      <c r="AG16" t="n">
        <v>0.826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20250806</v>
      </c>
      <c r="AM16" t="inlineStr">
        <is>
          <t>DW68-900007315-D228-10000200-4</t>
        </is>
      </c>
    </row>
    <row r="17">
      <c r="A17" t="inlineStr">
        <is>
          <t>900007315DW68D24710000200</t>
        </is>
      </c>
      <c r="B17" t="inlineStr">
        <is>
          <t>4600052017-70</t>
        </is>
      </c>
      <c r="C17" t="n">
        <v>4600052017</v>
      </c>
      <c r="D17" t="n">
        <v>70</v>
      </c>
      <c r="E17" t="inlineStr">
        <is>
          <t>MXPO</t>
        </is>
      </c>
      <c r="F17" t="inlineStr">
        <is>
          <t>MXL</t>
        </is>
      </c>
      <c r="G17" t="n">
        <v>900007315</v>
      </c>
      <c r="H17" t="inlineStr">
        <is>
          <t>SF TC-ED- DE CARGA BDE</t>
        </is>
      </c>
      <c r="I17" t="n">
        <v>5081782</v>
      </c>
      <c r="J17" t="inlineStr">
        <is>
          <t>SOLUCIONES DE TRANSPORTE DE CARGA B</t>
        </is>
      </c>
      <c r="K17" t="inlineStr">
        <is>
          <t>Z09</t>
        </is>
      </c>
      <c r="L17" t="inlineStr">
        <is>
          <t>(AP) 90 Dias</t>
        </is>
      </c>
      <c r="M17" t="n">
        <v>10000200</v>
      </c>
      <c r="N17" t="inlineStr">
        <is>
          <t>Grava Triturada Pomez - Jal 20 mm - 3/4"</t>
        </is>
      </c>
      <c r="O17" t="inlineStr">
        <is>
          <t>DW68</t>
        </is>
      </c>
      <c r="P17" t="inlineStr">
        <is>
          <t>MX-CED. GUADALAJARA</t>
        </is>
      </c>
      <c r="Q17" t="n">
        <v>20210901</v>
      </c>
      <c r="R17" t="n">
        <v>20281231</v>
      </c>
      <c r="S17" t="n">
        <v>20250801</v>
      </c>
      <c r="T17" t="n">
        <v>20301231</v>
      </c>
      <c r="U17" t="n">
        <v>297.29</v>
      </c>
      <c r="V17" t="inlineStr">
        <is>
          <t>MXN</t>
        </is>
      </c>
      <c r="W17" t="inlineStr">
        <is>
          <t>M3</t>
        </is>
      </c>
      <c r="X17" t="n">
        <v>218.1</v>
      </c>
      <c r="Y17" t="inlineStr">
        <is>
          <t>MXN</t>
        </is>
      </c>
      <c r="Z17" t="inlineStr">
        <is>
          <t>M3</t>
        </is>
      </c>
      <c r="AA17" t="inlineStr">
        <is>
          <t>D247</t>
        </is>
      </c>
      <c r="AB17" t="inlineStr">
        <is>
          <t>PD0518 TONALA</t>
        </is>
      </c>
      <c r="AC17" t="n">
        <v>56103637</v>
      </c>
      <c r="AD17" t="n">
        <v>6644241540</v>
      </c>
      <c r="AE17" t="n">
        <v>4</v>
      </c>
      <c r="AF17" t="inlineStr">
        <is>
          <t>ENTREGA DIRECTA</t>
        </is>
      </c>
      <c r="AG17" t="n">
        <v>0.826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20250806</v>
      </c>
      <c r="AM17" t="inlineStr">
        <is>
          <t>DW68-900007315-D247-10000200-4</t>
        </is>
      </c>
    </row>
    <row r="18">
      <c r="A18" t="inlineStr">
        <is>
          <t>900007315DW68D20910000200</t>
        </is>
      </c>
      <c r="B18" t="inlineStr">
        <is>
          <t>4600052017-60</t>
        </is>
      </c>
      <c r="C18" t="n">
        <v>4600052017</v>
      </c>
      <c r="D18" t="n">
        <v>60</v>
      </c>
      <c r="E18" t="inlineStr">
        <is>
          <t>MXPO</t>
        </is>
      </c>
      <c r="F18" t="inlineStr">
        <is>
          <t>MXL</t>
        </is>
      </c>
      <c r="G18" t="n">
        <v>900007315</v>
      </c>
      <c r="H18" t="inlineStr">
        <is>
          <t>SF TC-ED- DE CARGA BDE</t>
        </is>
      </c>
      <c r="I18" t="n">
        <v>5081782</v>
      </c>
      <c r="J18" t="inlineStr">
        <is>
          <t>SOLUCIONES DE TRANSPORTE DE CARGA B</t>
        </is>
      </c>
      <c r="K18" t="inlineStr">
        <is>
          <t>Z09</t>
        </is>
      </c>
      <c r="L18" t="inlineStr">
        <is>
          <t>(AP) 90 Dias</t>
        </is>
      </c>
      <c r="M18" t="n">
        <v>10000200</v>
      </c>
      <c r="N18" t="inlineStr">
        <is>
          <t>Grava Triturada Pomez - Jal 20 mm - 3/4"</t>
        </is>
      </c>
      <c r="O18" t="inlineStr">
        <is>
          <t>DW68</t>
        </is>
      </c>
      <c r="P18" t="inlineStr">
        <is>
          <t>MX-CED. GUADALAJARA</t>
        </is>
      </c>
      <c r="Q18" t="n">
        <v>20210901</v>
      </c>
      <c r="R18" t="n">
        <v>20281231</v>
      </c>
      <c r="S18" t="n">
        <v>20250801</v>
      </c>
      <c r="T18" t="n">
        <v>20301231</v>
      </c>
      <c r="U18" t="n">
        <v>240.6</v>
      </c>
      <c r="V18" t="inlineStr">
        <is>
          <t>MXN</t>
        </is>
      </c>
      <c r="W18" t="inlineStr">
        <is>
          <t>M3</t>
        </is>
      </c>
      <c r="X18" t="n">
        <v>161.4</v>
      </c>
      <c r="Y18" t="inlineStr">
        <is>
          <t>MXN</t>
        </is>
      </c>
      <c r="Z18" t="inlineStr">
        <is>
          <t>M3</t>
        </is>
      </c>
      <c r="AA18" t="inlineStr">
        <is>
          <t>D209</t>
        </is>
      </c>
      <c r="AB18" t="inlineStr">
        <is>
          <t>PD0127 MANANTIAL</t>
        </is>
      </c>
      <c r="AC18" t="n">
        <v>56103637</v>
      </c>
      <c r="AD18" t="n">
        <v>6644241540</v>
      </c>
      <c r="AE18" t="n">
        <v>4</v>
      </c>
      <c r="AF18" t="inlineStr">
        <is>
          <t>ENTREGA DIRECTA</t>
        </is>
      </c>
      <c r="AG18" t="n">
        <v>0.826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20250806</v>
      </c>
      <c r="AM18" t="inlineStr">
        <is>
          <t>DW68-900007315-D209-10000200-4</t>
        </is>
      </c>
    </row>
    <row r="19">
      <c r="A19" t="inlineStr">
        <is>
          <t>900000472DW68D24210001456</t>
        </is>
      </c>
      <c r="B19" t="inlineStr">
        <is>
          <t>4600050411-40</t>
        </is>
      </c>
      <c r="C19" t="n">
        <v>4600050411</v>
      </c>
      <c r="D19" t="n">
        <v>40</v>
      </c>
      <c r="E19" t="inlineStr">
        <is>
          <t>MXPO</t>
        </is>
      </c>
      <c r="F19" t="inlineStr">
        <is>
          <t>MXL</t>
        </is>
      </c>
      <c r="G19" t="n">
        <v>900000472</v>
      </c>
      <c r="H19" t="inlineStr">
        <is>
          <t>TC-ED-TRIMCAV</t>
        </is>
      </c>
      <c r="I19" t="n">
        <v>5010147</v>
      </c>
      <c r="J19" t="inlineStr">
        <is>
          <t>TRITURACIONES DE MARMOL Y CALCIOS</t>
        </is>
      </c>
      <c r="K19" t="inlineStr">
        <is>
          <t>Z04</t>
        </is>
      </c>
      <c r="L19" t="inlineStr">
        <is>
          <t>(AP) 30 Dias</t>
        </is>
      </c>
      <c r="M19" t="n">
        <v>10001456</v>
      </c>
      <c r="N19" t="inlineStr">
        <is>
          <t>Grava Triturada Marmol 40 mm - 1 1/2"</t>
        </is>
      </c>
      <c r="O19" t="inlineStr">
        <is>
          <t>DW68</t>
        </is>
      </c>
      <c r="P19" t="inlineStr">
        <is>
          <t>MX-CED. GUADALAJARA</t>
        </is>
      </c>
      <c r="Q19" t="n">
        <v>20210712</v>
      </c>
      <c r="R19" t="n">
        <v>20291231</v>
      </c>
      <c r="S19" t="n">
        <v>20250301</v>
      </c>
      <c r="T19" t="n">
        <v>20301231</v>
      </c>
      <c r="U19" t="n">
        <v>1557.44</v>
      </c>
      <c r="V19" t="inlineStr">
        <is>
          <t>MXN</t>
        </is>
      </c>
      <c r="W19" t="inlineStr">
        <is>
          <t>TN</t>
        </is>
      </c>
      <c r="X19" t="n">
        <v>1059.48</v>
      </c>
      <c r="Y19" t="inlineStr">
        <is>
          <t>MXN</t>
        </is>
      </c>
      <c r="Z19" t="inlineStr">
        <is>
          <t>TN</t>
        </is>
      </c>
      <c r="AA19" t="inlineStr">
        <is>
          <t>D242</t>
        </is>
      </c>
      <c r="AB19" t="inlineStr">
        <is>
          <t>PD0454 CD. LA GRANJA II</t>
        </is>
      </c>
      <c r="AC19" t="n">
        <v>56103637</v>
      </c>
      <c r="AD19" t="n">
        <v>6644241867</v>
      </c>
      <c r="AE19" t="n">
        <v>4</v>
      </c>
      <c r="AF19" t="inlineStr">
        <is>
          <t>ENTREGA DIRECTA</t>
        </is>
      </c>
      <c r="AG19" t="n">
        <v>1</v>
      </c>
      <c r="AH19" t="inlineStr">
        <is>
          <t>TO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20250410</v>
      </c>
      <c r="AM19" t="inlineStr">
        <is>
          <t>DW68-900000472-D242-10001456-4</t>
        </is>
      </c>
    </row>
    <row r="20">
      <c r="A20" t="inlineStr">
        <is>
          <t>900002733DW68D04210018375</t>
        </is>
      </c>
      <c r="B20" t="inlineStr">
        <is>
          <t>4600050422-30</t>
        </is>
      </c>
      <c r="C20" t="n">
        <v>4600050422</v>
      </c>
      <c r="D20" t="n">
        <v>30</v>
      </c>
      <c r="E20" t="inlineStr">
        <is>
          <t>MXPO</t>
        </is>
      </c>
      <c r="F20" t="inlineStr">
        <is>
          <t>MXL</t>
        </is>
      </c>
      <c r="G20" t="n">
        <v>900002733</v>
      </c>
      <c r="H20" t="inlineStr">
        <is>
          <t>TC-ED- BANDERAS</t>
        </is>
      </c>
      <c r="I20" t="n">
        <v>5046238</v>
      </c>
      <c r="J20" t="inlineStr">
        <is>
          <t>SOLUCIONES LOGISTICAS PARA LA</t>
        </is>
      </c>
      <c r="K20" t="inlineStr">
        <is>
          <t>N90</t>
        </is>
      </c>
      <c r="L20" t="inlineStr">
        <is>
          <t>(AP) NAFIN 90 Dias</t>
        </is>
      </c>
      <c r="M20" t="n">
        <v>10018375</v>
      </c>
      <c r="N20" t="inlineStr">
        <is>
          <t>Arena Triturada Basalto Malla 4 - BC</t>
        </is>
      </c>
      <c r="O20" t="inlineStr">
        <is>
          <t>DW68</t>
        </is>
      </c>
      <c r="P20" t="inlineStr">
        <is>
          <t>MX-CED. GUADALAJARA</t>
        </is>
      </c>
      <c r="Q20" t="n">
        <v>20210801</v>
      </c>
      <c r="R20" t="n">
        <v>20261231</v>
      </c>
      <c r="S20" t="n">
        <v>20210712</v>
      </c>
      <c r="T20" t="n">
        <v>20261231</v>
      </c>
      <c r="U20" t="n">
        <v>410</v>
      </c>
      <c r="V20" t="inlineStr">
        <is>
          <t>MXN</t>
        </is>
      </c>
      <c r="W20" t="inlineStr">
        <is>
          <t>M3</t>
        </is>
      </c>
      <c r="X20" t="n">
        <v>350</v>
      </c>
      <c r="Y20" t="inlineStr">
        <is>
          <t>MXN</t>
        </is>
      </c>
      <c r="Z20" t="inlineStr">
        <is>
          <t>M3</t>
        </is>
      </c>
      <c r="AA20" t="inlineStr">
        <is>
          <t>D042</t>
        </is>
      </c>
      <c r="AB20" t="inlineStr">
        <is>
          <t>PD0406 PLANTA PONIENTE</t>
        </is>
      </c>
      <c r="AC20" t="n">
        <v>56103638</v>
      </c>
      <c r="AD20" t="n">
        <v>6644241540</v>
      </c>
      <c r="AE20" t="n">
        <v>4</v>
      </c>
      <c r="AF20" t="inlineStr">
        <is>
          <t>ENTREGA DIRECTA</t>
        </is>
      </c>
      <c r="AG20" t="n">
        <v>1.32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20260108</v>
      </c>
      <c r="AM20" t="inlineStr">
        <is>
          <t>DW68-900002733-D042-10018375-4</t>
        </is>
      </c>
    </row>
    <row r="21">
      <c r="A21" t="inlineStr">
        <is>
          <t>900007315DW68D24210000200</t>
        </is>
      </c>
      <c r="B21" t="inlineStr">
        <is>
          <t>4600052017-30</t>
        </is>
      </c>
      <c r="C21" t="n">
        <v>4600052017</v>
      </c>
      <c r="D21" t="n">
        <v>30</v>
      </c>
      <c r="E21" t="inlineStr">
        <is>
          <t>MXPO</t>
        </is>
      </c>
      <c r="F21" t="inlineStr">
        <is>
          <t>MXL</t>
        </is>
      </c>
      <c r="G21" t="n">
        <v>900007315</v>
      </c>
      <c r="H21" t="inlineStr">
        <is>
          <t>SF TC-ED- DE CARGA BDE</t>
        </is>
      </c>
      <c r="I21" t="n">
        <v>5081782</v>
      </c>
      <c r="J21" t="inlineStr">
        <is>
          <t>SOLUCIONES DE TRANSPORTE DE CARGA B</t>
        </is>
      </c>
      <c r="K21" t="inlineStr">
        <is>
          <t>Z09</t>
        </is>
      </c>
      <c r="L21" t="inlineStr">
        <is>
          <t>(AP) 90 Dias</t>
        </is>
      </c>
      <c r="M21" t="n">
        <v>10000200</v>
      </c>
      <c r="N21" t="inlineStr">
        <is>
          <t>Grava Triturada Pomez - Jal 20 mm - 3/4"</t>
        </is>
      </c>
      <c r="O21" t="inlineStr">
        <is>
          <t>DW68</t>
        </is>
      </c>
      <c r="P21" t="inlineStr">
        <is>
          <t>MX-CED. GUADALAJARA</t>
        </is>
      </c>
      <c r="Q21" t="n">
        <v>20210901</v>
      </c>
      <c r="R21" t="n">
        <v>20281231</v>
      </c>
      <c r="S21" t="n">
        <v>20250801</v>
      </c>
      <c r="T21" t="n">
        <v>20301231</v>
      </c>
      <c r="U21" t="n">
        <v>240.6</v>
      </c>
      <c r="V21" t="inlineStr">
        <is>
          <t>MXN</t>
        </is>
      </c>
      <c r="W21" t="inlineStr">
        <is>
          <t>M3</t>
        </is>
      </c>
      <c r="X21" t="n">
        <v>161.4</v>
      </c>
      <c r="Y21" t="inlineStr">
        <is>
          <t>MXN</t>
        </is>
      </c>
      <c r="Z21" t="inlineStr">
        <is>
          <t>M3</t>
        </is>
      </c>
      <c r="AA21" t="inlineStr">
        <is>
          <t>D242</t>
        </is>
      </c>
      <c r="AB21" t="inlineStr">
        <is>
          <t>PD0454 CD. LA GRANJA II</t>
        </is>
      </c>
      <c r="AC21" t="n">
        <v>56103637</v>
      </c>
      <c r="AD21" t="n">
        <v>6644241540</v>
      </c>
      <c r="AE21" t="n">
        <v>4</v>
      </c>
      <c r="AF21" t="inlineStr">
        <is>
          <t>ENTREGA DIRECTA</t>
        </is>
      </c>
      <c r="AG21" t="n">
        <v>0.826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20250806</v>
      </c>
      <c r="AM21" t="inlineStr">
        <is>
          <t>DW68-900007315-D242-10000200-4</t>
        </is>
      </c>
    </row>
    <row r="22">
      <c r="A22" t="inlineStr">
        <is>
          <t>900007315DW68D04210000200</t>
        </is>
      </c>
      <c r="B22" t="inlineStr">
        <is>
          <t>4600052017-200</t>
        </is>
      </c>
      <c r="C22" t="n">
        <v>4600052017</v>
      </c>
      <c r="D22" t="n">
        <v>200</v>
      </c>
      <c r="E22" t="inlineStr">
        <is>
          <t>MXPO</t>
        </is>
      </c>
      <c r="F22" t="inlineStr">
        <is>
          <t>MXL</t>
        </is>
      </c>
      <c r="G22" t="n">
        <v>900007315</v>
      </c>
      <c r="H22" t="inlineStr">
        <is>
          <t>SF TC-ED- DE CARGA BDE</t>
        </is>
      </c>
      <c r="I22" t="n">
        <v>5081782</v>
      </c>
      <c r="J22" t="inlineStr">
        <is>
          <t>SOLUCIONES DE TRANSPORTE DE CARGA B</t>
        </is>
      </c>
      <c r="K22" t="inlineStr">
        <is>
          <t>Z09</t>
        </is>
      </c>
      <c r="L22" t="inlineStr">
        <is>
          <t>(AP) 90 Dias</t>
        </is>
      </c>
      <c r="M22" t="n">
        <v>10000200</v>
      </c>
      <c r="N22" t="inlineStr">
        <is>
          <t>Grava Triturada Pomez - Jal 20 mm - 3/4"</t>
        </is>
      </c>
      <c r="O22" t="inlineStr">
        <is>
          <t>DW68</t>
        </is>
      </c>
      <c r="P22" t="inlineStr">
        <is>
          <t>MX-CED. GUADALAJARA</t>
        </is>
      </c>
      <c r="Q22" t="n">
        <v>20210901</v>
      </c>
      <c r="R22" t="n">
        <v>20281231</v>
      </c>
      <c r="S22" t="n">
        <v>20250801</v>
      </c>
      <c r="T22" t="n">
        <v>20301231</v>
      </c>
      <c r="U22" t="n">
        <v>240.6</v>
      </c>
      <c r="V22" t="inlineStr">
        <is>
          <t>MXN</t>
        </is>
      </c>
      <c r="W22" t="inlineStr">
        <is>
          <t>M3</t>
        </is>
      </c>
      <c r="X22" t="n">
        <v>161.4</v>
      </c>
      <c r="Y22" t="inlineStr">
        <is>
          <t>MXN</t>
        </is>
      </c>
      <c r="Z22" t="inlineStr">
        <is>
          <t>M3</t>
        </is>
      </c>
      <c r="AA22" t="inlineStr">
        <is>
          <t>D042</t>
        </is>
      </c>
      <c r="AB22" t="inlineStr">
        <is>
          <t>PD0406 PLANTA PONIENTE</t>
        </is>
      </c>
      <c r="AC22" t="n">
        <v>56103637</v>
      </c>
      <c r="AD22" t="n">
        <v>6644241540</v>
      </c>
      <c r="AE22" t="n">
        <v>4</v>
      </c>
      <c r="AF22" t="inlineStr">
        <is>
          <t>ENTREGA DIRECTA</t>
        </is>
      </c>
      <c r="AG22" t="n">
        <v>0.826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20250806</v>
      </c>
      <c r="AM22" t="inlineStr">
        <is>
          <t>DW68-900007315-D042-10000200-4</t>
        </is>
      </c>
    </row>
    <row r="23">
      <c r="A23" t="inlineStr">
        <is>
          <t>900000472DW68D26410000635</t>
        </is>
      </c>
      <c r="B23" t="inlineStr">
        <is>
          <t>4600050411-90</t>
        </is>
      </c>
      <c r="C23" t="n">
        <v>4600050411</v>
      </c>
      <c r="D23" t="n">
        <v>90</v>
      </c>
      <c r="E23" t="inlineStr">
        <is>
          <t>MXPO</t>
        </is>
      </c>
      <c r="F23" t="inlineStr">
        <is>
          <t>MXL</t>
        </is>
      </c>
      <c r="G23" t="n">
        <v>900000472</v>
      </c>
      <c r="H23" t="inlineStr">
        <is>
          <t>TC-ED-TRIMCAV</t>
        </is>
      </c>
      <c r="I23" t="n">
        <v>5010147</v>
      </c>
      <c r="J23" t="inlineStr">
        <is>
          <t>TRITURACIONES DE MARMOL Y CALCIOS</t>
        </is>
      </c>
      <c r="K23" t="inlineStr">
        <is>
          <t>Z04</t>
        </is>
      </c>
      <c r="L23" t="inlineStr">
        <is>
          <t>(AP) 30 Dias</t>
        </is>
      </c>
      <c r="M23" t="n">
        <v>10000635</v>
      </c>
      <c r="N23" t="inlineStr">
        <is>
          <t>Arena Triturada Marmol Malla 4</t>
        </is>
      </c>
      <c r="O23" t="inlineStr">
        <is>
          <t>DW68</t>
        </is>
      </c>
      <c r="P23" t="inlineStr">
        <is>
          <t>MX-CED. GUADALAJARA</t>
        </is>
      </c>
      <c r="Q23" t="n">
        <v>20210712</v>
      </c>
      <c r="R23" t="n">
        <v>20291231</v>
      </c>
      <c r="S23" t="n">
        <v>20250301</v>
      </c>
      <c r="T23" t="n">
        <v>20301231</v>
      </c>
      <c r="U23" t="n">
        <v>1557.44</v>
      </c>
      <c r="V23" t="inlineStr">
        <is>
          <t>MXN</t>
        </is>
      </c>
      <c r="W23" t="inlineStr">
        <is>
          <t>TN</t>
        </is>
      </c>
      <c r="X23" t="n">
        <v>1059.48</v>
      </c>
      <c r="Y23" t="inlineStr">
        <is>
          <t>MXN</t>
        </is>
      </c>
      <c r="Z23" t="inlineStr">
        <is>
          <t>TN</t>
        </is>
      </c>
      <c r="AA23" t="inlineStr">
        <is>
          <t>D264</t>
        </is>
      </c>
      <c r="AB23" t="inlineStr">
        <is>
          <t>PD0083 GUADALAJARA I III</t>
        </is>
      </c>
      <c r="AC23" t="n">
        <v>56103638</v>
      </c>
      <c r="AD23" t="n">
        <v>6644241867</v>
      </c>
      <c r="AE23" t="n">
        <v>4</v>
      </c>
      <c r="AF23" t="inlineStr">
        <is>
          <t>ENTREGA DIRECTA</t>
        </is>
      </c>
      <c r="AG23" t="n">
        <v>1</v>
      </c>
      <c r="AH23" t="inlineStr">
        <is>
          <t>TO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20250410</v>
      </c>
      <c r="AM23" t="inlineStr">
        <is>
          <t>DW68-900000472-D264-10000635-4</t>
        </is>
      </c>
    </row>
    <row r="24">
      <c r="A24" t="inlineStr">
        <is>
          <t>900000472DW68D24210000643</t>
        </is>
      </c>
      <c r="B24" t="inlineStr">
        <is>
          <t>4600050411-30</t>
        </is>
      </c>
      <c r="C24" t="n">
        <v>4600050411</v>
      </c>
      <c r="D24" t="n">
        <v>30</v>
      </c>
      <c r="E24" t="inlineStr">
        <is>
          <t>MXPO</t>
        </is>
      </c>
      <c r="F24" t="inlineStr">
        <is>
          <t>MXL</t>
        </is>
      </c>
      <c r="G24" t="n">
        <v>900000472</v>
      </c>
      <c r="H24" t="inlineStr">
        <is>
          <t>TC-ED-TRIMCAV</t>
        </is>
      </c>
      <c r="I24" t="n">
        <v>5010147</v>
      </c>
      <c r="J24" t="inlineStr">
        <is>
          <t>TRITURACIONES DE MARMOL Y CALCIOS</t>
        </is>
      </c>
      <c r="K24" t="inlineStr">
        <is>
          <t>Z04</t>
        </is>
      </c>
      <c r="L24" t="inlineStr">
        <is>
          <t>(AP) 30 Dias</t>
        </is>
      </c>
      <c r="M24" t="n">
        <v>10000643</v>
      </c>
      <c r="N24" t="inlineStr">
        <is>
          <t>Grava Triturada Marmol 20 mm - 3/4"</t>
        </is>
      </c>
      <c r="O24" t="inlineStr">
        <is>
          <t>DW68</t>
        </is>
      </c>
      <c r="P24" t="inlineStr">
        <is>
          <t>MX-CED. GUADALAJARA</t>
        </is>
      </c>
      <c r="Q24" t="n">
        <v>20210712</v>
      </c>
      <c r="R24" t="n">
        <v>20291231</v>
      </c>
      <c r="S24" t="n">
        <v>20250301</v>
      </c>
      <c r="T24" t="n">
        <v>20301231</v>
      </c>
      <c r="U24" t="n">
        <v>1557.44</v>
      </c>
      <c r="V24" t="inlineStr">
        <is>
          <t>MXN</t>
        </is>
      </c>
      <c r="W24" t="inlineStr">
        <is>
          <t>TN</t>
        </is>
      </c>
      <c r="X24" t="n">
        <v>1059.48</v>
      </c>
      <c r="Y24" t="inlineStr">
        <is>
          <t>MXN</t>
        </is>
      </c>
      <c r="Z24" t="inlineStr">
        <is>
          <t>TN</t>
        </is>
      </c>
      <c r="AA24" t="inlineStr">
        <is>
          <t>D242</t>
        </is>
      </c>
      <c r="AB24" t="inlineStr">
        <is>
          <t>PD0454 CD. LA GRANJA II</t>
        </is>
      </c>
      <c r="AC24" t="n">
        <v>56103637</v>
      </c>
      <c r="AD24" t="n">
        <v>6644241867</v>
      </c>
      <c r="AE24" t="n">
        <v>4</v>
      </c>
      <c r="AF24" t="inlineStr">
        <is>
          <t>ENTREGA DIRECTA</t>
        </is>
      </c>
      <c r="AG24" t="n">
        <v>1</v>
      </c>
      <c r="AH24" t="inlineStr">
        <is>
          <t>TO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20250410</v>
      </c>
      <c r="AM24" t="inlineStr">
        <is>
          <t>DW68-900000472-D242-10000643-4</t>
        </is>
      </c>
    </row>
    <row r="25">
      <c r="A25" t="inlineStr">
        <is>
          <t>900007315DW68D26410000200</t>
        </is>
      </c>
      <c r="B25" t="inlineStr">
        <is>
          <t>4600052017-40</t>
        </is>
      </c>
      <c r="C25" t="n">
        <v>4600052017</v>
      </c>
      <c r="D25" t="n">
        <v>40</v>
      </c>
      <c r="E25" t="inlineStr">
        <is>
          <t>MXPO</t>
        </is>
      </c>
      <c r="F25" t="inlineStr">
        <is>
          <t>MXL</t>
        </is>
      </c>
      <c r="G25" t="n">
        <v>900007315</v>
      </c>
      <c r="H25" t="inlineStr">
        <is>
          <t>SF TC-ED- DE CARGA BDE</t>
        </is>
      </c>
      <c r="I25" t="n">
        <v>5081782</v>
      </c>
      <c r="J25" t="inlineStr">
        <is>
          <t>SOLUCIONES DE TRANSPORTE DE CARGA B</t>
        </is>
      </c>
      <c r="K25" t="inlineStr">
        <is>
          <t>Z09</t>
        </is>
      </c>
      <c r="L25" t="inlineStr">
        <is>
          <t>(AP) 90 Dias</t>
        </is>
      </c>
      <c r="M25" t="n">
        <v>10000200</v>
      </c>
      <c r="N25" t="inlineStr">
        <is>
          <t>Grava Triturada Pomez - Jal 20 mm - 3/4"</t>
        </is>
      </c>
      <c r="O25" t="inlineStr">
        <is>
          <t>DW68</t>
        </is>
      </c>
      <c r="P25" t="inlineStr">
        <is>
          <t>MX-CED. GUADALAJARA</t>
        </is>
      </c>
      <c r="Q25" t="n">
        <v>20210901</v>
      </c>
      <c r="R25" t="n">
        <v>20281231</v>
      </c>
      <c r="S25" t="n">
        <v>20250801</v>
      </c>
      <c r="T25" t="n">
        <v>20301231</v>
      </c>
      <c r="U25" t="n">
        <v>222.97</v>
      </c>
      <c r="V25" t="inlineStr">
        <is>
          <t>MXN</t>
        </is>
      </c>
      <c r="W25" t="inlineStr">
        <is>
          <t>M3</t>
        </is>
      </c>
      <c r="X25" t="n">
        <v>143.77</v>
      </c>
      <c r="Y25" t="inlineStr">
        <is>
          <t>MXN</t>
        </is>
      </c>
      <c r="Z25" t="inlineStr">
        <is>
          <t>M3</t>
        </is>
      </c>
      <c r="AA25" t="inlineStr">
        <is>
          <t>D264</t>
        </is>
      </c>
      <c r="AB25" t="inlineStr">
        <is>
          <t>PD0083 GUADALAJARA I III</t>
        </is>
      </c>
      <c r="AC25" t="n">
        <v>56103637</v>
      </c>
      <c r="AD25" t="n">
        <v>6644241540</v>
      </c>
      <c r="AE25" t="n">
        <v>4</v>
      </c>
      <c r="AF25" t="inlineStr">
        <is>
          <t>ENTREGA DIRECTA</t>
        </is>
      </c>
      <c r="AG25" t="n">
        <v>0.826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20250806</v>
      </c>
      <c r="AM25" t="inlineStr">
        <is>
          <t>DW68-900007315-D264-10000200-4</t>
        </is>
      </c>
    </row>
    <row r="26">
      <c r="A26" t="inlineStr">
        <is>
          <t>900000472DW68D04210000643</t>
        </is>
      </c>
      <c r="B26" t="inlineStr">
        <is>
          <t>4600050411-70</t>
        </is>
      </c>
      <c r="C26" t="n">
        <v>4600050411</v>
      </c>
      <c r="D26" t="n">
        <v>70</v>
      </c>
      <c r="E26" t="inlineStr">
        <is>
          <t>MXPO</t>
        </is>
      </c>
      <c r="F26" t="inlineStr">
        <is>
          <t>MXL</t>
        </is>
      </c>
      <c r="G26" t="n">
        <v>900000472</v>
      </c>
      <c r="H26" t="inlineStr">
        <is>
          <t>TC-ED-TRIMCAV</t>
        </is>
      </c>
      <c r="I26" t="n">
        <v>5010147</v>
      </c>
      <c r="J26" t="inlineStr">
        <is>
          <t>TRITURACIONES DE MARMOL Y CALCIOS</t>
        </is>
      </c>
      <c r="K26" t="inlineStr">
        <is>
          <t>Z04</t>
        </is>
      </c>
      <c r="L26" t="inlineStr">
        <is>
          <t>(AP) 30 Dias</t>
        </is>
      </c>
      <c r="M26" t="n">
        <v>10000643</v>
      </c>
      <c r="N26" t="inlineStr">
        <is>
          <t>Grava Triturada Marmol 20 mm - 3/4"</t>
        </is>
      </c>
      <c r="O26" t="inlineStr">
        <is>
          <t>DW68</t>
        </is>
      </c>
      <c r="P26" t="inlineStr">
        <is>
          <t>MX-CED. GUADALAJARA</t>
        </is>
      </c>
      <c r="Q26" t="n">
        <v>20210712</v>
      </c>
      <c r="R26" t="n">
        <v>20291231</v>
      </c>
      <c r="S26" t="n">
        <v>20250301</v>
      </c>
      <c r="T26" t="n">
        <v>20301231</v>
      </c>
      <c r="U26" t="n">
        <v>1557.44</v>
      </c>
      <c r="V26" t="inlineStr">
        <is>
          <t>MXN</t>
        </is>
      </c>
      <c r="W26" t="inlineStr">
        <is>
          <t>TN</t>
        </is>
      </c>
      <c r="X26" t="n">
        <v>1059.48</v>
      </c>
      <c r="Y26" t="inlineStr">
        <is>
          <t>MXN</t>
        </is>
      </c>
      <c r="Z26" t="inlineStr">
        <is>
          <t>TN</t>
        </is>
      </c>
      <c r="AA26" t="inlineStr">
        <is>
          <t>D042</t>
        </is>
      </c>
      <c r="AB26" t="inlineStr">
        <is>
          <t>PD0406 PLANTA PONIENTE</t>
        </is>
      </c>
      <c r="AC26" t="n">
        <v>56103637</v>
      </c>
      <c r="AD26" t="n">
        <v>6644241867</v>
      </c>
      <c r="AE26" t="n">
        <v>4</v>
      </c>
      <c r="AF26" t="inlineStr">
        <is>
          <t>ENTREGA DIRECTA</t>
        </is>
      </c>
      <c r="AG26" t="n">
        <v>1</v>
      </c>
      <c r="AH26" t="inlineStr">
        <is>
          <t>TO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20250410</v>
      </c>
      <c r="AM26" t="inlineStr">
        <is>
          <t>DW68-900000472-D042-10000643-4</t>
        </is>
      </c>
    </row>
    <row r="27">
      <c r="A27" t="inlineStr">
        <is>
          <t>900005660DW68D04210000320</t>
        </is>
      </c>
      <c r="B27" t="inlineStr">
        <is>
          <t>4600050452-20</t>
        </is>
      </c>
      <c r="C27" t="n">
        <v>4600050452</v>
      </c>
      <c r="D27" t="n">
        <v>20</v>
      </c>
      <c r="E27" t="inlineStr">
        <is>
          <t>MXPO</t>
        </is>
      </c>
      <c r="F27" t="inlineStr">
        <is>
          <t>MXL</t>
        </is>
      </c>
      <c r="G27" t="n">
        <v>900005660</v>
      </c>
      <c r="H27" t="inlineStr">
        <is>
          <t>TC-ED CACOSA</t>
        </is>
      </c>
      <c r="I27" t="n">
        <v>5071856</v>
      </c>
      <c r="J27" t="inlineStr">
        <is>
          <t>CARBONATO DE CALCIO SOL SA DE</t>
        </is>
      </c>
      <c r="K27" t="inlineStr">
        <is>
          <t>Z09</t>
        </is>
      </c>
      <c r="L27" t="inlineStr">
        <is>
          <t>(AP) 90 Dias</t>
        </is>
      </c>
      <c r="M27" t="n">
        <v>10000320</v>
      </c>
      <c r="N27" t="inlineStr">
        <is>
          <t>Arena Triturada Caliza Malla 4</t>
        </is>
      </c>
      <c r="O27" t="inlineStr">
        <is>
          <t>DW68</t>
        </is>
      </c>
      <c r="P27" t="inlineStr">
        <is>
          <t>MX-CED. GUADALAJARA</t>
        </is>
      </c>
      <c r="Q27" t="n">
        <v>20210801</v>
      </c>
      <c r="R27" t="n">
        <v>20261231</v>
      </c>
      <c r="S27" t="n">
        <v>20210712</v>
      </c>
      <c r="T27" t="n">
        <v>20261231</v>
      </c>
      <c r="U27" t="n">
        <v>340</v>
      </c>
      <c r="V27" t="inlineStr">
        <is>
          <t>MXN</t>
        </is>
      </c>
      <c r="W27" t="inlineStr">
        <is>
          <t>TN</t>
        </is>
      </c>
      <c r="X27" t="n">
        <v>210</v>
      </c>
      <c r="Y27" t="inlineStr">
        <is>
          <t>MXN</t>
        </is>
      </c>
      <c r="Z27" t="inlineStr">
        <is>
          <t>TN</t>
        </is>
      </c>
      <c r="AA27" t="inlineStr">
        <is>
          <t>D042</t>
        </is>
      </c>
      <c r="AB27" t="inlineStr">
        <is>
          <t>PD0406 PLANTA PONIENTE</t>
        </is>
      </c>
      <c r="AC27" t="n">
        <v>56103638</v>
      </c>
      <c r="AD27" t="n">
        <v>6644241540</v>
      </c>
      <c r="AE27" t="n">
        <v>4</v>
      </c>
      <c r="AF27" t="inlineStr">
        <is>
          <t>ENTREGA DIRECTA</t>
        </is>
      </c>
      <c r="AG27" t="n">
        <v>1</v>
      </c>
      <c r="AH27" t="inlineStr">
        <is>
          <t>TO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20260108</v>
      </c>
      <c r="AM27" t="inlineStr">
        <is>
          <t>DW68-900005660-D042-10000320-4</t>
        </is>
      </c>
    </row>
    <row r="28">
      <c r="A28" t="inlineStr">
        <is>
          <t>900005660DW68D21310000320</t>
        </is>
      </c>
      <c r="B28" t="inlineStr">
        <is>
          <t>4600050452-80</t>
        </is>
      </c>
      <c r="C28" t="n">
        <v>4600050452</v>
      </c>
      <c r="D28" t="n">
        <v>80</v>
      </c>
      <c r="E28" t="inlineStr">
        <is>
          <t>MXPO</t>
        </is>
      </c>
      <c r="F28" t="inlineStr">
        <is>
          <t>MXL</t>
        </is>
      </c>
      <c r="G28" t="n">
        <v>900005660</v>
      </c>
      <c r="H28" t="inlineStr">
        <is>
          <t>TC-ED CACOSA</t>
        </is>
      </c>
      <c r="I28" t="n">
        <v>5071856</v>
      </c>
      <c r="J28" t="inlineStr">
        <is>
          <t>CARBONATO DE CALCIO SOL SA DE</t>
        </is>
      </c>
      <c r="K28" t="inlineStr">
        <is>
          <t>Z09</t>
        </is>
      </c>
      <c r="L28" t="inlineStr">
        <is>
          <t>(AP) 90 Dias</t>
        </is>
      </c>
      <c r="M28" t="n">
        <v>10000320</v>
      </c>
      <c r="N28" t="inlineStr">
        <is>
          <t>Arena Triturada Caliza Malla 4</t>
        </is>
      </c>
      <c r="O28" t="inlineStr">
        <is>
          <t>DW68</t>
        </is>
      </c>
      <c r="P28" t="inlineStr">
        <is>
          <t>MX-CED. GUADALAJARA</t>
        </is>
      </c>
      <c r="Q28" t="n">
        <v>20210801</v>
      </c>
      <c r="R28" t="n">
        <v>20261231</v>
      </c>
      <c r="S28" t="n">
        <v>20210712</v>
      </c>
      <c r="T28" t="n">
        <v>20261231</v>
      </c>
      <c r="U28" t="n">
        <v>370</v>
      </c>
      <c r="V28" t="inlineStr">
        <is>
          <t>MXN</t>
        </is>
      </c>
      <c r="W28" t="inlineStr">
        <is>
          <t>TN</t>
        </is>
      </c>
      <c r="X28" t="n">
        <v>240</v>
      </c>
      <c r="Y28" t="inlineStr">
        <is>
          <t>MXN</t>
        </is>
      </c>
      <c r="Z28" t="inlineStr">
        <is>
          <t>TN</t>
        </is>
      </c>
      <c r="AA28" t="inlineStr">
        <is>
          <t>D213</t>
        </is>
      </c>
      <c r="AB28" t="inlineStr">
        <is>
          <t>PD0154 OCOTLAN</t>
        </is>
      </c>
      <c r="AC28" t="n">
        <v>56103638</v>
      </c>
      <c r="AD28" t="n">
        <v>6644241540</v>
      </c>
      <c r="AE28" t="n">
        <v>4</v>
      </c>
      <c r="AF28" t="inlineStr">
        <is>
          <t>ENTREGA DIRECTA</t>
        </is>
      </c>
      <c r="AG28" t="n">
        <v>1</v>
      </c>
      <c r="AH28" t="inlineStr">
        <is>
          <t>TO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20260108</v>
      </c>
      <c r="AM28" t="inlineStr">
        <is>
          <t>DW68-900005660-D213-10000320-4</t>
        </is>
      </c>
    </row>
    <row r="29">
      <c r="A29" t="inlineStr">
        <is>
          <t>900007315DW68D21110000200</t>
        </is>
      </c>
      <c r="B29" t="inlineStr">
        <is>
          <t>4600052017-20</t>
        </is>
      </c>
      <c r="C29" t="n">
        <v>4600052017</v>
      </c>
      <c r="D29" t="n">
        <v>20</v>
      </c>
      <c r="E29" t="inlineStr">
        <is>
          <t>MXPO</t>
        </is>
      </c>
      <c r="F29" t="inlineStr">
        <is>
          <t>MXL</t>
        </is>
      </c>
      <c r="G29" t="n">
        <v>900007315</v>
      </c>
      <c r="H29" t="inlineStr">
        <is>
          <t>SF TC-ED- DE CARGA BDE</t>
        </is>
      </c>
      <c r="I29" t="n">
        <v>5081782</v>
      </c>
      <c r="J29" t="inlineStr">
        <is>
          <t>SOLUCIONES DE TRANSPORTE DE CARGA B</t>
        </is>
      </c>
      <c r="K29" t="inlineStr">
        <is>
          <t>Z09</t>
        </is>
      </c>
      <c r="L29" t="inlineStr">
        <is>
          <t>(AP) 90 Dias</t>
        </is>
      </c>
      <c r="M29" t="n">
        <v>10000200</v>
      </c>
      <c r="N29" t="inlineStr">
        <is>
          <t>Grava Triturada Pomez - Jal 20 mm - 3/4"</t>
        </is>
      </c>
      <c r="O29" t="inlineStr">
        <is>
          <t>DW68</t>
        </is>
      </c>
      <c r="P29" t="inlineStr">
        <is>
          <t>MX-CED. GUADALAJARA</t>
        </is>
      </c>
      <c r="Q29" t="n">
        <v>20210901</v>
      </c>
      <c r="R29" t="n">
        <v>20281231</v>
      </c>
      <c r="S29" t="n">
        <v>20250801</v>
      </c>
      <c r="T29" t="n">
        <v>20301231</v>
      </c>
      <c r="U29" t="n">
        <v>210.37</v>
      </c>
      <c r="V29" t="inlineStr">
        <is>
          <t>MXN</t>
        </is>
      </c>
      <c r="W29" t="inlineStr">
        <is>
          <t>M3</t>
        </is>
      </c>
      <c r="X29" t="n">
        <v>131.17</v>
      </c>
      <c r="Y29" t="inlineStr">
        <is>
          <t>MXN</t>
        </is>
      </c>
      <c r="Z29" t="inlineStr">
        <is>
          <t>M3</t>
        </is>
      </c>
      <c r="AA29" t="inlineStr">
        <is>
          <t>D211</t>
        </is>
      </c>
      <c r="AB29" t="inlineStr">
        <is>
          <t>PD0149 GDL. MATRIZ</t>
        </is>
      </c>
      <c r="AC29" t="n">
        <v>56103637</v>
      </c>
      <c r="AD29" t="n">
        <v>6644241540</v>
      </c>
      <c r="AE29" t="n">
        <v>4</v>
      </c>
      <c r="AF29" t="inlineStr">
        <is>
          <t>ENTREGA DIRECTA</t>
        </is>
      </c>
      <c r="AG29" t="n">
        <v>0.826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20250806</v>
      </c>
      <c r="AM29" t="inlineStr">
        <is>
          <t>DW68-900007315-D211-10000200-4</t>
        </is>
      </c>
    </row>
    <row r="30">
      <c r="A30" t="inlineStr">
        <is>
          <t>900000472DW68D04210000635</t>
        </is>
      </c>
      <c r="B30" t="inlineStr">
        <is>
          <t>4600050411-50</t>
        </is>
      </c>
      <c r="C30" t="n">
        <v>4600050411</v>
      </c>
      <c r="D30" t="n">
        <v>50</v>
      </c>
      <c r="E30" t="inlineStr">
        <is>
          <t>MXPO</t>
        </is>
      </c>
      <c r="F30" t="inlineStr">
        <is>
          <t>MXL</t>
        </is>
      </c>
      <c r="G30" t="n">
        <v>900000472</v>
      </c>
      <c r="H30" t="inlineStr">
        <is>
          <t>TC-ED-TRIMCAV</t>
        </is>
      </c>
      <c r="I30" t="n">
        <v>5010147</v>
      </c>
      <c r="J30" t="inlineStr">
        <is>
          <t>TRITURACIONES DE MARMOL Y CALCIOS</t>
        </is>
      </c>
      <c r="K30" t="inlineStr">
        <is>
          <t>Z04</t>
        </is>
      </c>
      <c r="L30" t="inlineStr">
        <is>
          <t>(AP) 30 Dias</t>
        </is>
      </c>
      <c r="M30" t="n">
        <v>10000635</v>
      </c>
      <c r="N30" t="inlineStr">
        <is>
          <t>Arena Triturada Marmol Malla 4</t>
        </is>
      </c>
      <c r="O30" t="inlineStr">
        <is>
          <t>DW68</t>
        </is>
      </c>
      <c r="P30" t="inlineStr">
        <is>
          <t>MX-CED. GUADALAJARA</t>
        </is>
      </c>
      <c r="Q30" t="n">
        <v>20210712</v>
      </c>
      <c r="R30" t="n">
        <v>20291231</v>
      </c>
      <c r="S30" t="n">
        <v>20250301</v>
      </c>
      <c r="T30" t="n">
        <v>20301231</v>
      </c>
      <c r="U30" t="n">
        <v>1557.44</v>
      </c>
      <c r="V30" t="inlineStr">
        <is>
          <t>MXN</t>
        </is>
      </c>
      <c r="W30" t="inlineStr">
        <is>
          <t>TN</t>
        </is>
      </c>
      <c r="X30" t="n">
        <v>1059.48</v>
      </c>
      <c r="Y30" t="inlineStr">
        <is>
          <t>MXN</t>
        </is>
      </c>
      <c r="Z30" t="inlineStr">
        <is>
          <t>TN</t>
        </is>
      </c>
      <c r="AA30" t="inlineStr">
        <is>
          <t>D042</t>
        </is>
      </c>
      <c r="AB30" t="inlineStr">
        <is>
          <t>PD0406 PLANTA PONIENTE</t>
        </is>
      </c>
      <c r="AC30" t="n">
        <v>56103638</v>
      </c>
      <c r="AD30" t="n">
        <v>6644241867</v>
      </c>
      <c r="AE30" t="n">
        <v>4</v>
      </c>
      <c r="AF30" t="inlineStr">
        <is>
          <t>ENTREGA DIRECTA</t>
        </is>
      </c>
      <c r="AG30" t="n">
        <v>1</v>
      </c>
      <c r="AH30" t="inlineStr">
        <is>
          <t>TO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20250410</v>
      </c>
      <c r="AM30" t="inlineStr">
        <is>
          <t>DW68-900000472-D042-10000635-4</t>
        </is>
      </c>
    </row>
    <row r="31">
      <c r="A31" t="inlineStr">
        <is>
          <t>900007315DW68D21410000200</t>
        </is>
      </c>
      <c r="B31" t="inlineStr">
        <is>
          <t>4600052017-170</t>
        </is>
      </c>
      <c r="C31" t="n">
        <v>4600052017</v>
      </c>
      <c r="D31" t="n">
        <v>170</v>
      </c>
      <c r="E31" t="inlineStr">
        <is>
          <t>MXPO</t>
        </is>
      </c>
      <c r="F31" t="inlineStr">
        <is>
          <t>MXL</t>
        </is>
      </c>
      <c r="G31" t="n">
        <v>900007315</v>
      </c>
      <c r="H31" t="inlineStr">
        <is>
          <t>SF TC-ED- DE CARGA BDE</t>
        </is>
      </c>
      <c r="I31" t="n">
        <v>5081782</v>
      </c>
      <c r="J31" t="inlineStr">
        <is>
          <t>SOLUCIONES DE TRANSPORTE DE CARGA B</t>
        </is>
      </c>
      <c r="K31" t="inlineStr">
        <is>
          <t>Z09</t>
        </is>
      </c>
      <c r="L31" t="inlineStr">
        <is>
          <t>(AP) 90 Dias</t>
        </is>
      </c>
      <c r="M31" t="n">
        <v>10000200</v>
      </c>
      <c r="N31" t="inlineStr">
        <is>
          <t>Grava Triturada Pomez - Jal 20 mm - 3/4"</t>
        </is>
      </c>
      <c r="O31" t="inlineStr">
        <is>
          <t>DW68</t>
        </is>
      </c>
      <c r="P31" t="inlineStr">
        <is>
          <t>MX-CED. GUADALAJARA</t>
        </is>
      </c>
      <c r="Q31" t="n">
        <v>20210901</v>
      </c>
      <c r="R31" t="n">
        <v>20281231</v>
      </c>
      <c r="S31" t="n">
        <v>20250801</v>
      </c>
      <c r="T31" t="n">
        <v>20301231</v>
      </c>
      <c r="U31" t="n">
        <v>297.29</v>
      </c>
      <c r="V31" t="inlineStr">
        <is>
          <t>MXN</t>
        </is>
      </c>
      <c r="W31" t="inlineStr">
        <is>
          <t>M3</t>
        </is>
      </c>
      <c r="X31" t="n">
        <v>218.1</v>
      </c>
      <c r="Y31" t="inlineStr">
        <is>
          <t>MXN</t>
        </is>
      </c>
      <c r="Z31" t="inlineStr">
        <is>
          <t>M3</t>
        </is>
      </c>
      <c r="AA31" t="inlineStr">
        <is>
          <t>D214</t>
        </is>
      </c>
      <c r="AB31" t="inlineStr">
        <is>
          <t>PD0174 EL SALTO 2</t>
        </is>
      </c>
      <c r="AC31" t="n">
        <v>56103637</v>
      </c>
      <c r="AD31" t="n">
        <v>6644241540</v>
      </c>
      <c r="AE31" t="n">
        <v>4</v>
      </c>
      <c r="AF31" t="inlineStr">
        <is>
          <t>ENTREGA DIRECTA</t>
        </is>
      </c>
      <c r="AG31" t="n">
        <v>0.826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20250806</v>
      </c>
      <c r="AM31" t="inlineStr">
        <is>
          <t>DW68-900007315-D214-10000200-4</t>
        </is>
      </c>
    </row>
    <row r="32">
      <c r="A32" t="inlineStr">
        <is>
          <t>900007315DW68D26710000200</t>
        </is>
      </c>
      <c r="B32" t="inlineStr">
        <is>
          <t>4600052017-190</t>
        </is>
      </c>
      <c r="C32" t="n">
        <v>4600052017</v>
      </c>
      <c r="D32" t="n">
        <v>190</v>
      </c>
      <c r="E32" t="inlineStr">
        <is>
          <t>MXPO</t>
        </is>
      </c>
      <c r="F32" t="inlineStr">
        <is>
          <t>MXL</t>
        </is>
      </c>
      <c r="G32" t="n">
        <v>900007315</v>
      </c>
      <c r="H32" t="inlineStr">
        <is>
          <t>SF TC-ED- DE CARGA BDE</t>
        </is>
      </c>
      <c r="I32" t="n">
        <v>5081782</v>
      </c>
      <c r="J32" t="inlineStr">
        <is>
          <t>SOLUCIONES DE TRANSPORTE DE CARGA B</t>
        </is>
      </c>
      <c r="K32" t="inlineStr">
        <is>
          <t>Z09</t>
        </is>
      </c>
      <c r="L32" t="inlineStr">
        <is>
          <t>(AP) 90 Dias</t>
        </is>
      </c>
      <c r="M32" t="n">
        <v>10000200</v>
      </c>
      <c r="N32" t="inlineStr">
        <is>
          <t>Grava Triturada Pomez - Jal 20 mm - 3/4"</t>
        </is>
      </c>
      <c r="O32" t="inlineStr">
        <is>
          <t>DW68</t>
        </is>
      </c>
      <c r="P32" t="inlineStr">
        <is>
          <t>MX-CED. GUADALAJARA</t>
        </is>
      </c>
      <c r="Q32" t="n">
        <v>20210901</v>
      </c>
      <c r="R32" t="n">
        <v>20281231</v>
      </c>
      <c r="S32" t="n">
        <v>20250801</v>
      </c>
      <c r="T32" t="n">
        <v>20301231</v>
      </c>
      <c r="U32" t="n">
        <v>299.81</v>
      </c>
      <c r="V32" t="inlineStr">
        <is>
          <t>MXN</t>
        </is>
      </c>
      <c r="W32" t="inlineStr">
        <is>
          <t>M3</t>
        </is>
      </c>
      <c r="X32" t="n">
        <v>220.61</v>
      </c>
      <c r="Y32" t="inlineStr">
        <is>
          <t>MXN</t>
        </is>
      </c>
      <c r="Z32" t="inlineStr">
        <is>
          <t>M3</t>
        </is>
      </c>
      <c r="AA32" t="inlineStr">
        <is>
          <t>D267</t>
        </is>
      </c>
      <c r="AB32" t="inlineStr">
        <is>
          <t>PD0280 PLANTA COLOTLAN</t>
        </is>
      </c>
      <c r="AC32" t="n">
        <v>56103637</v>
      </c>
      <c r="AD32" t="n">
        <v>6644241540</v>
      </c>
      <c r="AE32" t="n">
        <v>4</v>
      </c>
      <c r="AF32" t="inlineStr">
        <is>
          <t>ENTREGA DIRECTA</t>
        </is>
      </c>
      <c r="AG32" t="n">
        <v>0.826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20250806</v>
      </c>
      <c r="AM32" t="inlineStr">
        <is>
          <t>DW68-900007315-D267-10000200-4</t>
        </is>
      </c>
    </row>
    <row r="33">
      <c r="A33" t="inlineStr">
        <is>
          <t>900007315DW68D21310000200</t>
        </is>
      </c>
      <c r="B33" t="inlineStr">
        <is>
          <t>4600052017-180</t>
        </is>
      </c>
      <c r="C33" t="n">
        <v>4600052017</v>
      </c>
      <c r="D33" t="n">
        <v>180</v>
      </c>
      <c r="E33" t="inlineStr">
        <is>
          <t>MXPO</t>
        </is>
      </c>
      <c r="F33" t="inlineStr">
        <is>
          <t>MXL</t>
        </is>
      </c>
      <c r="G33" t="n">
        <v>900007315</v>
      </c>
      <c r="H33" t="inlineStr">
        <is>
          <t>SF TC-ED- DE CARGA BDE</t>
        </is>
      </c>
      <c r="I33" t="n">
        <v>5081782</v>
      </c>
      <c r="J33" t="inlineStr">
        <is>
          <t>SOLUCIONES DE TRANSPORTE DE CARGA B</t>
        </is>
      </c>
      <c r="K33" t="inlineStr">
        <is>
          <t>Z09</t>
        </is>
      </c>
      <c r="L33" t="inlineStr">
        <is>
          <t>(AP) 90 Dias</t>
        </is>
      </c>
      <c r="M33" t="n">
        <v>10000200</v>
      </c>
      <c r="N33" t="inlineStr">
        <is>
          <t>Grava Triturada Pomez - Jal 20 mm - 3/4"</t>
        </is>
      </c>
      <c r="O33" t="inlineStr">
        <is>
          <t>DW68</t>
        </is>
      </c>
      <c r="P33" t="inlineStr">
        <is>
          <t>MX-CED. GUADALAJARA</t>
        </is>
      </c>
      <c r="Q33" t="n">
        <v>20210901</v>
      </c>
      <c r="R33" t="n">
        <v>20281231</v>
      </c>
      <c r="S33" t="n">
        <v>20250801</v>
      </c>
      <c r="T33" t="n">
        <v>20301231</v>
      </c>
      <c r="U33" t="n">
        <v>331.31</v>
      </c>
      <c r="V33" t="inlineStr">
        <is>
          <t>MXN</t>
        </is>
      </c>
      <c r="W33" t="inlineStr">
        <is>
          <t>M3</t>
        </is>
      </c>
      <c r="X33" t="n">
        <v>252.11</v>
      </c>
      <c r="Y33" t="inlineStr">
        <is>
          <t>MXN</t>
        </is>
      </c>
      <c r="Z33" t="inlineStr">
        <is>
          <t>M3</t>
        </is>
      </c>
      <c r="AA33" t="inlineStr">
        <is>
          <t>D213</t>
        </is>
      </c>
      <c r="AB33" t="inlineStr">
        <is>
          <t>PD0154 OCOTLAN</t>
        </is>
      </c>
      <c r="AC33" t="n">
        <v>56103637</v>
      </c>
      <c r="AD33" t="n">
        <v>6644241540</v>
      </c>
      <c r="AE33" t="n">
        <v>4</v>
      </c>
      <c r="AF33" t="inlineStr">
        <is>
          <t>ENTREGA DIRECTA</t>
        </is>
      </c>
      <c r="AG33" t="n">
        <v>0.826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20250806</v>
      </c>
      <c r="AM33" t="inlineStr">
        <is>
          <t>DW68-900007315-D213-10000200-4</t>
        </is>
      </c>
    </row>
    <row r="34">
      <c r="A34" t="inlineStr">
        <is>
          <t>900007315DW68D22010000200</t>
        </is>
      </c>
      <c r="B34" t="inlineStr">
        <is>
          <t>4600052017-10</t>
        </is>
      </c>
      <c r="C34" t="n">
        <v>4600052017</v>
      </c>
      <c r="D34" t="n">
        <v>10</v>
      </c>
      <c r="E34" t="inlineStr">
        <is>
          <t>MXPO</t>
        </is>
      </c>
      <c r="F34" t="inlineStr">
        <is>
          <t>MXL</t>
        </is>
      </c>
      <c r="G34" t="n">
        <v>900007315</v>
      </c>
      <c r="H34" t="inlineStr">
        <is>
          <t>SF TC-ED- DE CARGA BDE</t>
        </is>
      </c>
      <c r="I34" t="n">
        <v>5081782</v>
      </c>
      <c r="J34" t="inlineStr">
        <is>
          <t>SOLUCIONES DE TRANSPORTE DE CARGA B</t>
        </is>
      </c>
      <c r="K34" t="inlineStr">
        <is>
          <t>Z09</t>
        </is>
      </c>
      <c r="L34" t="inlineStr">
        <is>
          <t>(AP) 90 Dias</t>
        </is>
      </c>
      <c r="M34" t="n">
        <v>10000200</v>
      </c>
      <c r="N34" t="inlineStr">
        <is>
          <t>Grava Triturada Pomez - Jal 20 mm - 3/4"</t>
        </is>
      </c>
      <c r="O34" t="inlineStr">
        <is>
          <t>DW68</t>
        </is>
      </c>
      <c r="P34" t="inlineStr">
        <is>
          <t>MX-CED. GUADALAJARA</t>
        </is>
      </c>
      <c r="Q34" t="n">
        <v>20210901</v>
      </c>
      <c r="R34" t="n">
        <v>20281231</v>
      </c>
      <c r="S34" t="n">
        <v>20250801</v>
      </c>
      <c r="T34" t="n">
        <v>20301231</v>
      </c>
      <c r="U34" t="n">
        <v>359.2</v>
      </c>
      <c r="V34" t="inlineStr">
        <is>
          <t>MXN</t>
        </is>
      </c>
      <c r="W34" t="inlineStr">
        <is>
          <t>M3</t>
        </is>
      </c>
      <c r="X34" t="n">
        <v>280.01</v>
      </c>
      <c r="Y34" t="inlineStr">
        <is>
          <t>MXN</t>
        </is>
      </c>
      <c r="Z34" t="inlineStr">
        <is>
          <t>M3</t>
        </is>
      </c>
      <c r="AA34" t="inlineStr">
        <is>
          <t>D220</t>
        </is>
      </c>
      <c r="AB34" t="inlineStr">
        <is>
          <t>PD0131 TEPATITLAN</t>
        </is>
      </c>
      <c r="AC34" t="n">
        <v>56103637</v>
      </c>
      <c r="AD34" t="n">
        <v>6644241540</v>
      </c>
      <c r="AE34" t="n">
        <v>4</v>
      </c>
      <c r="AF34" t="inlineStr">
        <is>
          <t>ENTREGA DIRECTA</t>
        </is>
      </c>
      <c r="AG34" t="n">
        <v>0.826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20250806</v>
      </c>
      <c r="AM34" t="inlineStr">
        <is>
          <t>DW68-900007315-D220-10000200-4</t>
        </is>
      </c>
    </row>
    <row r="35">
      <c r="A35" t="inlineStr">
        <is>
          <t>900000472DW68D26410001456</t>
        </is>
      </c>
      <c r="B35" t="inlineStr">
        <is>
          <t>4600050411-120</t>
        </is>
      </c>
      <c r="C35" t="n">
        <v>4600050411</v>
      </c>
      <c r="D35" t="n">
        <v>120</v>
      </c>
      <c r="E35" t="inlineStr">
        <is>
          <t>MXPO</t>
        </is>
      </c>
      <c r="F35" t="inlineStr">
        <is>
          <t>MXL</t>
        </is>
      </c>
      <c r="G35" t="n">
        <v>900000472</v>
      </c>
      <c r="H35" t="inlineStr">
        <is>
          <t>TC-ED-TRIMCAV</t>
        </is>
      </c>
      <c r="I35" t="n">
        <v>5010147</v>
      </c>
      <c r="J35" t="inlineStr">
        <is>
          <t>TRITURACIONES DE MARMOL Y CALCIOS</t>
        </is>
      </c>
      <c r="K35" t="inlineStr">
        <is>
          <t>Z04</t>
        </is>
      </c>
      <c r="L35" t="inlineStr">
        <is>
          <t>(AP) 30 Dias</t>
        </is>
      </c>
      <c r="M35" t="n">
        <v>10001456</v>
      </c>
      <c r="N35" t="inlineStr">
        <is>
          <t>Grava Triturada Marmol 40 mm - 1 1/2"</t>
        </is>
      </c>
      <c r="O35" t="inlineStr">
        <is>
          <t>DW68</t>
        </is>
      </c>
      <c r="P35" t="inlineStr">
        <is>
          <t>MX-CED. GUADALAJARA</t>
        </is>
      </c>
      <c r="Q35" t="n">
        <v>20210712</v>
      </c>
      <c r="R35" t="n">
        <v>20291231</v>
      </c>
      <c r="S35" t="n">
        <v>20250301</v>
      </c>
      <c r="T35" t="n">
        <v>20301231</v>
      </c>
      <c r="U35" t="n">
        <v>1557.44</v>
      </c>
      <c r="V35" t="inlineStr">
        <is>
          <t>MXN</t>
        </is>
      </c>
      <c r="W35" t="inlineStr">
        <is>
          <t>TN</t>
        </is>
      </c>
      <c r="X35" t="n">
        <v>1059.48</v>
      </c>
      <c r="Y35" t="inlineStr">
        <is>
          <t>MXN</t>
        </is>
      </c>
      <c r="Z35" t="inlineStr">
        <is>
          <t>TN</t>
        </is>
      </c>
      <c r="AA35" t="inlineStr">
        <is>
          <t>D264</t>
        </is>
      </c>
      <c r="AB35" t="inlineStr">
        <is>
          <t>PD0083 GUADALAJARA I III</t>
        </is>
      </c>
      <c r="AC35" t="n">
        <v>56103637</v>
      </c>
      <c r="AD35" t="n">
        <v>6644241867</v>
      </c>
      <c r="AE35" t="n">
        <v>4</v>
      </c>
      <c r="AF35" t="inlineStr">
        <is>
          <t>ENTREGA DIRECTA</t>
        </is>
      </c>
      <c r="AG35" t="n">
        <v>1</v>
      </c>
      <c r="AH35" t="inlineStr">
        <is>
          <t>TO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20250410</v>
      </c>
      <c r="AM35" t="inlineStr">
        <is>
          <t>DW68-900000472-D264-10001456-4</t>
        </is>
      </c>
    </row>
    <row r="36">
      <c r="A36" t="inlineStr">
        <is>
          <t>900000472DW68D26410000655</t>
        </is>
      </c>
      <c r="B36" t="inlineStr">
        <is>
          <t>4600050411-100</t>
        </is>
      </c>
      <c r="C36" t="n">
        <v>4600050411</v>
      </c>
      <c r="D36" t="n">
        <v>100</v>
      </c>
      <c r="E36" t="inlineStr">
        <is>
          <t>MXPO</t>
        </is>
      </c>
      <c r="F36" t="inlineStr">
        <is>
          <t>MXL</t>
        </is>
      </c>
      <c r="G36" t="n">
        <v>900000472</v>
      </c>
      <c r="H36" t="inlineStr">
        <is>
          <t>TC-ED-TRIMCAV</t>
        </is>
      </c>
      <c r="I36" t="n">
        <v>5010147</v>
      </c>
      <c r="J36" t="inlineStr">
        <is>
          <t>TRITURACIONES DE MARMOL Y CALCIOS</t>
        </is>
      </c>
      <c r="K36" t="inlineStr">
        <is>
          <t>Z04</t>
        </is>
      </c>
      <c r="L36" t="inlineStr">
        <is>
          <t>(AP) 30 Dias</t>
        </is>
      </c>
      <c r="M36" t="n">
        <v>10000655</v>
      </c>
      <c r="N36" t="inlineStr">
        <is>
          <t>Grava Triturada Marmol 10 mm - 3/8"</t>
        </is>
      </c>
      <c r="O36" t="inlineStr">
        <is>
          <t>DW68</t>
        </is>
      </c>
      <c r="P36" t="inlineStr">
        <is>
          <t>MX-CED. GUADALAJARA</t>
        </is>
      </c>
      <c r="Q36" t="n">
        <v>20210712</v>
      </c>
      <c r="R36" t="n">
        <v>20291231</v>
      </c>
      <c r="S36" t="n">
        <v>20250301</v>
      </c>
      <c r="T36" t="n">
        <v>20301231</v>
      </c>
      <c r="U36" t="n">
        <v>1557.44</v>
      </c>
      <c r="V36" t="inlineStr">
        <is>
          <t>MXN</t>
        </is>
      </c>
      <c r="W36" t="inlineStr">
        <is>
          <t>TN</t>
        </is>
      </c>
      <c r="X36" t="n">
        <v>1059.48</v>
      </c>
      <c r="Y36" t="inlineStr">
        <is>
          <t>MXN</t>
        </is>
      </c>
      <c r="Z36" t="inlineStr">
        <is>
          <t>TN</t>
        </is>
      </c>
      <c r="AA36" t="inlineStr">
        <is>
          <t>D264</t>
        </is>
      </c>
      <c r="AB36" t="inlineStr">
        <is>
          <t>PD0083 GUADALAJARA I III</t>
        </is>
      </c>
      <c r="AC36" t="n">
        <v>56103637</v>
      </c>
      <c r="AD36" t="n">
        <v>6644241867</v>
      </c>
      <c r="AE36" t="n">
        <v>4</v>
      </c>
      <c r="AF36" t="inlineStr">
        <is>
          <t>ENTREGA DIRECTA</t>
        </is>
      </c>
      <c r="AG36" t="n">
        <v>1</v>
      </c>
      <c r="AH36" t="inlineStr">
        <is>
          <t>TO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20250410</v>
      </c>
      <c r="AM36" t="inlineStr">
        <is>
          <t>DW68-900000472-D264-10000655-4</t>
        </is>
      </c>
    </row>
    <row r="37">
      <c r="A37" t="inlineStr">
        <is>
          <t>900000472DW68D24210000655</t>
        </is>
      </c>
      <c r="B37" t="inlineStr">
        <is>
          <t>4600050411-10</t>
        </is>
      </c>
      <c r="C37" t="n">
        <v>4600050411</v>
      </c>
      <c r="D37" t="n">
        <v>10</v>
      </c>
      <c r="E37" t="inlineStr">
        <is>
          <t>MXPO</t>
        </is>
      </c>
      <c r="F37" t="inlineStr">
        <is>
          <t>MXL</t>
        </is>
      </c>
      <c r="G37" t="n">
        <v>900000472</v>
      </c>
      <c r="H37" t="inlineStr">
        <is>
          <t>TC-ED-TRIMCAV</t>
        </is>
      </c>
      <c r="I37" t="n">
        <v>5010147</v>
      </c>
      <c r="J37" t="inlineStr">
        <is>
          <t>TRITURACIONES DE MARMOL Y CALCIOS</t>
        </is>
      </c>
      <c r="K37" t="inlineStr">
        <is>
          <t>Z04</t>
        </is>
      </c>
      <c r="L37" t="inlineStr">
        <is>
          <t>(AP) 30 Dias</t>
        </is>
      </c>
      <c r="M37" t="n">
        <v>10000655</v>
      </c>
      <c r="N37" t="inlineStr">
        <is>
          <t>Grava Triturada Marmol 10 mm - 3/8"</t>
        </is>
      </c>
      <c r="O37" t="inlineStr">
        <is>
          <t>DW68</t>
        </is>
      </c>
      <c r="P37" t="inlineStr">
        <is>
          <t>MX-CED. GUADALAJARA</t>
        </is>
      </c>
      <c r="Q37" t="n">
        <v>20210712</v>
      </c>
      <c r="R37" t="n">
        <v>20291231</v>
      </c>
      <c r="S37" t="n">
        <v>20250301</v>
      </c>
      <c r="T37" t="n">
        <v>20301231</v>
      </c>
      <c r="U37" t="n">
        <v>1557.44</v>
      </c>
      <c r="V37" t="inlineStr">
        <is>
          <t>MXN</t>
        </is>
      </c>
      <c r="W37" t="inlineStr">
        <is>
          <t>TN</t>
        </is>
      </c>
      <c r="X37" t="n">
        <v>1059.48</v>
      </c>
      <c r="Y37" t="inlineStr">
        <is>
          <t>MXN</t>
        </is>
      </c>
      <c r="Z37" t="inlineStr">
        <is>
          <t>TN</t>
        </is>
      </c>
      <c r="AA37" t="inlineStr">
        <is>
          <t>D242</t>
        </is>
      </c>
      <c r="AB37" t="inlineStr">
        <is>
          <t>PD0454 CD. LA GRANJA II</t>
        </is>
      </c>
      <c r="AC37" t="n">
        <v>56103637</v>
      </c>
      <c r="AD37" t="n">
        <v>6644241867</v>
      </c>
      <c r="AE37" t="n">
        <v>4</v>
      </c>
      <c r="AF37" t="inlineStr">
        <is>
          <t>ENTREGA DIRECTA</t>
        </is>
      </c>
      <c r="AG37" t="n">
        <v>1</v>
      </c>
      <c r="AH37" t="inlineStr">
        <is>
          <t>TO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20250410</v>
      </c>
      <c r="AM37" t="inlineStr">
        <is>
          <t>DW68-900000472-D242-10000655-4</t>
        </is>
      </c>
    </row>
    <row r="38">
      <c r="A38" t="inlineStr">
        <is>
          <t>900008251DW68D24210000726</t>
        </is>
      </c>
      <c r="B38" t="inlineStr">
        <is>
          <t>4600058168-370</t>
        </is>
      </c>
      <c r="C38" t="n">
        <v>4600058168</v>
      </c>
      <c r="D38" t="n">
        <v>370</v>
      </c>
      <c r="E38" t="inlineStr">
        <is>
          <t>MXPO</t>
        </is>
      </c>
      <c r="F38" t="inlineStr">
        <is>
          <t>MXL</t>
        </is>
      </c>
      <c r="G38" t="n">
        <v>900008251</v>
      </c>
      <c r="H38" t="inlineStr">
        <is>
          <t>SF TC-ED-MAREVA LA VEGA</t>
        </is>
      </c>
      <c r="I38" t="n">
        <v>5043944</v>
      </c>
      <c r="J38" t="inlineStr">
        <is>
          <t>CONSTRUCCIONES MAREVA DE OCCIDENTE</t>
        </is>
      </c>
      <c r="K38" t="inlineStr">
        <is>
          <t>Z04</t>
        </is>
      </c>
      <c r="L38" t="inlineStr">
        <is>
          <t>(AP) 30 Dias</t>
        </is>
      </c>
      <c r="M38" t="n">
        <v>10000726</v>
      </c>
      <c r="N38" t="inlineStr">
        <is>
          <t>Grava Triturada Basalto  13 mm - 1/2"</t>
        </is>
      </c>
      <c r="O38" t="inlineStr">
        <is>
          <t>DW68</t>
        </is>
      </c>
      <c r="P38" t="inlineStr">
        <is>
          <t>MX-CED. GUADALAJARA</t>
        </is>
      </c>
      <c r="Q38" t="n">
        <v>20230724</v>
      </c>
      <c r="R38" t="n">
        <v>20281231</v>
      </c>
      <c r="S38" t="n">
        <v>20230926</v>
      </c>
      <c r="T38" t="n">
        <v>20281231</v>
      </c>
      <c r="U38" t="n">
        <v>608.8</v>
      </c>
      <c r="V38" t="inlineStr">
        <is>
          <t>MXN</t>
        </is>
      </c>
      <c r="W38" t="inlineStr">
        <is>
          <t>M3</t>
        </is>
      </c>
      <c r="X38" t="n">
        <v>108.8</v>
      </c>
      <c r="Y38" t="inlineStr">
        <is>
          <t>MXN</t>
        </is>
      </c>
      <c r="Z38" t="inlineStr">
        <is>
          <t>M3</t>
        </is>
      </c>
      <c r="AA38" t="inlineStr">
        <is>
          <t>D242</t>
        </is>
      </c>
      <c r="AB38" t="inlineStr">
        <is>
          <t>PD0454 CD. LA GRANJA II</t>
        </is>
      </c>
      <c r="AC38" t="n">
        <v>56103637</v>
      </c>
      <c r="AD38" t="n">
        <v>6644241540</v>
      </c>
      <c r="AE38" t="n">
        <v>4</v>
      </c>
      <c r="AF38" t="inlineStr">
        <is>
          <t>ENTREGA DIRECTA</t>
        </is>
      </c>
      <c r="AG38" t="n">
        <v>1.333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20230929</v>
      </c>
      <c r="AM38" t="inlineStr">
        <is>
          <t>DW68-900008251-D242-10000726-4</t>
        </is>
      </c>
    </row>
    <row r="39">
      <c r="A39" t="inlineStr">
        <is>
          <t>900000472DW68D26410000643</t>
        </is>
      </c>
      <c r="B39" t="inlineStr">
        <is>
          <t>4600050411-110</t>
        </is>
      </c>
      <c r="C39" t="n">
        <v>4600050411</v>
      </c>
      <c r="D39" t="n">
        <v>110</v>
      </c>
      <c r="E39" t="inlineStr">
        <is>
          <t>MXPO</t>
        </is>
      </c>
      <c r="F39" t="inlineStr">
        <is>
          <t>MXL</t>
        </is>
      </c>
      <c r="G39" t="n">
        <v>900000472</v>
      </c>
      <c r="H39" t="inlineStr">
        <is>
          <t>TC-ED-TRIMCAV</t>
        </is>
      </c>
      <c r="I39" t="n">
        <v>5010147</v>
      </c>
      <c r="J39" t="inlineStr">
        <is>
          <t>TRITURACIONES DE MARMOL Y CALCIOS</t>
        </is>
      </c>
      <c r="K39" t="inlineStr">
        <is>
          <t>Z04</t>
        </is>
      </c>
      <c r="L39" t="inlineStr">
        <is>
          <t>(AP) 30 Dias</t>
        </is>
      </c>
      <c r="M39" t="n">
        <v>10000643</v>
      </c>
      <c r="N39" t="inlineStr">
        <is>
          <t>Grava Triturada Marmol 20 mm - 3/4"</t>
        </is>
      </c>
      <c r="O39" t="inlineStr">
        <is>
          <t>DW68</t>
        </is>
      </c>
      <c r="P39" t="inlineStr">
        <is>
          <t>MX-CED. GUADALAJARA</t>
        </is>
      </c>
      <c r="Q39" t="n">
        <v>20210712</v>
      </c>
      <c r="R39" t="n">
        <v>20291231</v>
      </c>
      <c r="S39" t="n">
        <v>20250301</v>
      </c>
      <c r="T39" t="n">
        <v>20301231</v>
      </c>
      <c r="U39" t="n">
        <v>1557.44</v>
      </c>
      <c r="V39" t="inlineStr">
        <is>
          <t>MXN</t>
        </is>
      </c>
      <c r="W39" t="inlineStr">
        <is>
          <t>TN</t>
        </is>
      </c>
      <c r="X39" t="n">
        <v>1059.48</v>
      </c>
      <c r="Y39" t="inlineStr">
        <is>
          <t>MXN</t>
        </is>
      </c>
      <c r="Z39" t="inlineStr">
        <is>
          <t>TN</t>
        </is>
      </c>
      <c r="AA39" t="inlineStr">
        <is>
          <t>D264</t>
        </is>
      </c>
      <c r="AB39" t="inlineStr">
        <is>
          <t>PD0083 GUADALAJARA I III</t>
        </is>
      </c>
      <c r="AC39" t="n">
        <v>56103637</v>
      </c>
      <c r="AD39" t="n">
        <v>6644241867</v>
      </c>
      <c r="AE39" t="n">
        <v>4</v>
      </c>
      <c r="AF39" t="inlineStr">
        <is>
          <t>ENTREGA DIRECTA</t>
        </is>
      </c>
      <c r="AG39" t="n">
        <v>1</v>
      </c>
      <c r="AH39" t="inlineStr">
        <is>
          <t>TO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20250410</v>
      </c>
      <c r="AM39" t="inlineStr">
        <is>
          <t>DW68-900000472-D264-10000643-4</t>
        </is>
      </c>
    </row>
    <row r="40">
      <c r="A40" t="inlineStr">
        <is>
          <t>900000472DW68D24210000635</t>
        </is>
      </c>
      <c r="B40" t="inlineStr">
        <is>
          <t>4600050411-20</t>
        </is>
      </c>
      <c r="C40" t="n">
        <v>4600050411</v>
      </c>
      <c r="D40" t="n">
        <v>20</v>
      </c>
      <c r="E40" t="inlineStr">
        <is>
          <t>MXPO</t>
        </is>
      </c>
      <c r="F40" t="inlineStr">
        <is>
          <t>MXL</t>
        </is>
      </c>
      <c r="G40" t="n">
        <v>900000472</v>
      </c>
      <c r="H40" t="inlineStr">
        <is>
          <t>TC-ED-TRIMCAV</t>
        </is>
      </c>
      <c r="I40" t="n">
        <v>5010147</v>
      </c>
      <c r="J40" t="inlineStr">
        <is>
          <t>TRITURACIONES DE MARMOL Y CALCIOS</t>
        </is>
      </c>
      <c r="K40" t="inlineStr">
        <is>
          <t>Z04</t>
        </is>
      </c>
      <c r="L40" t="inlineStr">
        <is>
          <t>(AP) 30 Dias</t>
        </is>
      </c>
      <c r="M40" t="n">
        <v>10000635</v>
      </c>
      <c r="N40" t="inlineStr">
        <is>
          <t>Arena Triturada Marmol Malla 4</t>
        </is>
      </c>
      <c r="O40" t="inlineStr">
        <is>
          <t>DW68</t>
        </is>
      </c>
      <c r="P40" t="inlineStr">
        <is>
          <t>MX-CED. GUADALAJARA</t>
        </is>
      </c>
      <c r="Q40" t="n">
        <v>20210712</v>
      </c>
      <c r="R40" t="n">
        <v>20291231</v>
      </c>
      <c r="S40" t="n">
        <v>20250301</v>
      </c>
      <c r="T40" t="n">
        <v>20301231</v>
      </c>
      <c r="U40" t="n">
        <v>1557.44</v>
      </c>
      <c r="V40" t="inlineStr">
        <is>
          <t>MXN</t>
        </is>
      </c>
      <c r="W40" t="inlineStr">
        <is>
          <t>TN</t>
        </is>
      </c>
      <c r="X40" t="n">
        <v>1059.48</v>
      </c>
      <c r="Y40" t="inlineStr">
        <is>
          <t>MXN</t>
        </is>
      </c>
      <c r="Z40" t="inlineStr">
        <is>
          <t>TN</t>
        </is>
      </c>
      <c r="AA40" t="inlineStr">
        <is>
          <t>D242</t>
        </is>
      </c>
      <c r="AB40" t="inlineStr">
        <is>
          <t>PD0454 CD. LA GRANJA II</t>
        </is>
      </c>
      <c r="AC40" t="n">
        <v>56103638</v>
      </c>
      <c r="AD40" t="n">
        <v>6644241867</v>
      </c>
      <c r="AE40" t="n">
        <v>4</v>
      </c>
      <c r="AF40" t="inlineStr">
        <is>
          <t>ENTREGA DIRECTA</t>
        </is>
      </c>
      <c r="AG40" t="n">
        <v>1</v>
      </c>
      <c r="AH40" t="inlineStr">
        <is>
          <t>TO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20250410</v>
      </c>
      <c r="AM40" t="inlineStr">
        <is>
          <t>DW68-900000472-D242-10000635-4</t>
        </is>
      </c>
    </row>
    <row r="41">
      <c r="A41" t="inlineStr">
        <is>
          <t>900000472DW68D20910004432</t>
        </is>
      </c>
      <c r="B41" t="inlineStr">
        <is>
          <t>4600050411-150</t>
        </is>
      </c>
      <c r="C41" t="n">
        <v>4600050411</v>
      </c>
      <c r="D41" t="n">
        <v>150</v>
      </c>
      <c r="E41" t="inlineStr">
        <is>
          <t>MXPO</t>
        </is>
      </c>
      <c r="F41" t="inlineStr">
        <is>
          <t>MXL</t>
        </is>
      </c>
      <c r="G41" t="n">
        <v>900000472</v>
      </c>
      <c r="H41" t="inlineStr">
        <is>
          <t>TC-ED-TRIMCAV</t>
        </is>
      </c>
      <c r="I41" t="n">
        <v>5010147</v>
      </c>
      <c r="J41" t="inlineStr">
        <is>
          <t>TRITURACIONES DE MARMOL Y CALCIOS</t>
        </is>
      </c>
      <c r="K41" t="inlineStr">
        <is>
          <t>Z04</t>
        </is>
      </c>
      <c r="L41" t="inlineStr">
        <is>
          <t>(AP) 30 Dias</t>
        </is>
      </c>
      <c r="M41" t="n">
        <v>10004432</v>
      </c>
      <c r="N41" t="inlineStr">
        <is>
          <t>Grava Triturada Barita 20 mm - 3/4"</t>
        </is>
      </c>
      <c r="O41" t="inlineStr">
        <is>
          <t>DW68</t>
        </is>
      </c>
      <c r="P41" t="inlineStr">
        <is>
          <t>MX-CED. GUADALAJARA</t>
        </is>
      </c>
      <c r="Q41" t="n">
        <v>20210712</v>
      </c>
      <c r="R41" t="n">
        <v>20291231</v>
      </c>
      <c r="S41" t="n">
        <v>20210712</v>
      </c>
      <c r="T41" t="n">
        <v>20251231</v>
      </c>
      <c r="U41" t="n">
        <v>7700</v>
      </c>
      <c r="V41" t="inlineStr">
        <is>
          <t>MXN</t>
        </is>
      </c>
      <c r="W41" t="inlineStr">
        <is>
          <t>TN</t>
        </is>
      </c>
      <c r="X41" t="n">
        <v>1000</v>
      </c>
      <c r="Y41" t="inlineStr">
        <is>
          <t>MXN</t>
        </is>
      </c>
      <c r="Z41" t="inlineStr">
        <is>
          <t>TN</t>
        </is>
      </c>
      <c r="AA41" t="inlineStr">
        <is>
          <t>D209</t>
        </is>
      </c>
      <c r="AB41" t="inlineStr">
        <is>
          <t>PD0127 MANANTIAL</t>
        </is>
      </c>
      <c r="AC41" t="n">
        <v>56103637</v>
      </c>
      <c r="AD41" t="n">
        <v>6644241867</v>
      </c>
      <c r="AE41" t="n">
        <v>4</v>
      </c>
      <c r="AF41" t="inlineStr">
        <is>
          <t>ENTREGA DIRECTA</t>
        </is>
      </c>
      <c r="AG41" t="n">
        <v>1</v>
      </c>
      <c r="AH41" t="inlineStr">
        <is>
          <t>TO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20230920</v>
      </c>
      <c r="AM41" t="inlineStr">
        <is>
          <t>DW68-900000472-D209-10004432-4</t>
        </is>
      </c>
    </row>
    <row r="42">
      <c r="A42" t="inlineStr">
        <is>
          <t>900000472DW68D20910112095</t>
        </is>
      </c>
      <c r="B42" t="inlineStr">
        <is>
          <t>4600050411-160</t>
        </is>
      </c>
      <c r="C42" t="n">
        <v>4600050411</v>
      </c>
      <c r="D42" t="n">
        <v>160</v>
      </c>
      <c r="E42" t="inlineStr">
        <is>
          <t>MXPO</t>
        </is>
      </c>
      <c r="F42" t="inlineStr">
        <is>
          <t>MXL</t>
        </is>
      </c>
      <c r="G42" t="n">
        <v>900000472</v>
      </c>
      <c r="H42" t="inlineStr">
        <is>
          <t>TC-ED-TRIMCAV</t>
        </is>
      </c>
      <c r="I42" t="n">
        <v>5010147</v>
      </c>
      <c r="J42" t="inlineStr">
        <is>
          <t>TRITURACIONES DE MARMOL Y CALCIOS</t>
        </is>
      </c>
      <c r="K42" t="inlineStr">
        <is>
          <t>Z04</t>
        </is>
      </c>
      <c r="L42" t="inlineStr">
        <is>
          <t>(AP) 30 Dias</t>
        </is>
      </c>
      <c r="M42" t="n">
        <v>10112095</v>
      </c>
      <c r="N42" t="inlineStr">
        <is>
          <t>ARENA BARITA</t>
        </is>
      </c>
      <c r="O42" t="inlineStr">
        <is>
          <t>DW68</t>
        </is>
      </c>
      <c r="P42" t="inlineStr">
        <is>
          <t>MX-CED. GUADALAJARA</t>
        </is>
      </c>
      <c r="Q42" t="n">
        <v>20210712</v>
      </c>
      <c r="R42" t="n">
        <v>20291231</v>
      </c>
      <c r="S42" t="n">
        <v>20210712</v>
      </c>
      <c r="T42" t="n">
        <v>20251231</v>
      </c>
      <c r="U42" t="n">
        <v>7700</v>
      </c>
      <c r="V42" t="inlineStr">
        <is>
          <t>MXN</t>
        </is>
      </c>
      <c r="W42" t="inlineStr">
        <is>
          <t>TN</t>
        </is>
      </c>
      <c r="X42" t="n">
        <v>1000</v>
      </c>
      <c r="Y42" t="inlineStr">
        <is>
          <t>MXN</t>
        </is>
      </c>
      <c r="Z42" t="inlineStr">
        <is>
          <t>TN</t>
        </is>
      </c>
      <c r="AA42" t="inlineStr">
        <is>
          <t>D209</t>
        </is>
      </c>
      <c r="AB42" t="inlineStr">
        <is>
          <t>PD0127 MANANTIAL</t>
        </is>
      </c>
      <c r="AC42" t="n">
        <v>56103638</v>
      </c>
      <c r="AD42" t="n">
        <v>6644241540</v>
      </c>
      <c r="AE42" t="n">
        <v>4</v>
      </c>
      <c r="AF42" t="inlineStr">
        <is>
          <t>ENTREGA DIRECTA</t>
        </is>
      </c>
      <c r="AG42" t="n">
        <v>1</v>
      </c>
      <c r="AH42" t="inlineStr">
        <is>
          <t>TO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20230920</v>
      </c>
      <c r="AM42" t="inlineStr">
        <is>
          <t>DW68-900000472-D209-10112095-4</t>
        </is>
      </c>
    </row>
    <row r="43">
      <c r="A43" t="inlineStr">
        <is>
          <t>900009220DW68D24710000437</t>
        </is>
      </c>
      <c r="B43" t="inlineStr">
        <is>
          <t>4600071229-60</t>
        </is>
      </c>
      <c r="C43" t="n">
        <v>4600071229</v>
      </c>
      <c r="D43" t="n">
        <v>60</v>
      </c>
      <c r="E43" t="inlineStr">
        <is>
          <t>MXPO</t>
        </is>
      </c>
      <c r="F43" t="inlineStr">
        <is>
          <t>MXL</t>
        </is>
      </c>
      <c r="G43" t="n">
        <v>900009220</v>
      </c>
      <c r="H43" t="inlineStr">
        <is>
          <t>SF TC ED-AKOPAN</t>
        </is>
      </c>
      <c r="I43" t="n">
        <v>5060172</v>
      </c>
      <c r="J43" t="inlineStr">
        <is>
          <t>DESARROLLADORA AKOPAN SA DE CV</t>
        </is>
      </c>
      <c r="K43" t="inlineStr">
        <is>
          <t>N30</t>
        </is>
      </c>
      <c r="L43" t="inlineStr">
        <is>
          <t>(AP) NAFIN 30 Dias</t>
        </is>
      </c>
      <c r="M43" t="n">
        <v>10000437</v>
      </c>
      <c r="N43" t="inlineStr">
        <is>
          <t>Grava Triturada Basalto 20 mm - 3/4"</t>
        </is>
      </c>
      <c r="O43" t="inlineStr">
        <is>
          <t>DW68</t>
        </is>
      </c>
      <c r="P43" t="inlineStr">
        <is>
          <t>MX-CED. GUADALAJARA</t>
        </is>
      </c>
      <c r="Q43" t="n">
        <v>20250507</v>
      </c>
      <c r="R43" t="n">
        <v>20301231</v>
      </c>
      <c r="U43" t="n">
        <v>0</v>
      </c>
      <c r="V43" t="inlineStr">
        <is>
          <t>MXN</t>
        </is>
      </c>
      <c r="W43" t="inlineStr">
        <is>
          <t>M3</t>
        </is>
      </c>
      <c r="AA43" t="inlineStr">
        <is>
          <t>D247</t>
        </is>
      </c>
      <c r="AB43" t="inlineStr">
        <is>
          <t>PD0518 TONALA</t>
        </is>
      </c>
      <c r="AC43" t="n">
        <v>56103637</v>
      </c>
      <c r="AD43" t="n">
        <v>6644241540</v>
      </c>
      <c r="AE43" t="n">
        <v>4</v>
      </c>
      <c r="AF43" t="inlineStr">
        <is>
          <t>ENTREGA DIRECTA</t>
        </is>
      </c>
      <c r="AG43" t="n">
        <v>1.505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20260507</v>
      </c>
      <c r="AM43" t="inlineStr">
        <is>
          <t>DW68-900009220-D247-10000437-4</t>
        </is>
      </c>
    </row>
    <row r="44">
      <c r="A44" t="inlineStr">
        <is>
          <t>900009396DW68D57710270898</t>
        </is>
      </c>
      <c r="B44" t="inlineStr">
        <is>
          <t>4600071942-70</t>
        </is>
      </c>
      <c r="C44" t="n">
        <v>4600071942</v>
      </c>
      <c r="D44" t="n">
        <v>70</v>
      </c>
      <c r="E44" t="inlineStr">
        <is>
          <t>MXPO</t>
        </is>
      </c>
      <c r="F44" t="inlineStr">
        <is>
          <t>MXL</t>
        </is>
      </c>
      <c r="G44" t="n">
        <v>900009396</v>
      </c>
      <c r="H44" t="inlineStr">
        <is>
          <t>SF TC-ED GASA</t>
        </is>
      </c>
      <c r="I44" t="n">
        <v>5097224</v>
      </c>
      <c r="J44" t="inlineStr">
        <is>
          <t>TRITURADOS GASA SA DE CV</t>
        </is>
      </c>
      <c r="K44" t="inlineStr">
        <is>
          <t>Z09</t>
        </is>
      </c>
      <c r="L44" t="inlineStr">
        <is>
          <t>(AP) 90 Dias</t>
        </is>
      </c>
      <c r="M44" t="n">
        <v>10270898</v>
      </c>
      <c r="N44" t="inlineStr">
        <is>
          <t>MP BASE H. TRIT. BASALTO 1 1/2" A FINOS</t>
        </is>
      </c>
      <c r="O44" t="inlineStr">
        <is>
          <t>DW68</t>
        </is>
      </c>
      <c r="P44" t="inlineStr">
        <is>
          <t>MX-CED. GUADALAJARA</t>
        </is>
      </c>
      <c r="Q44" t="n">
        <v>20260126</v>
      </c>
      <c r="R44" t="n">
        <v>20301231</v>
      </c>
      <c r="U44" t="n">
        <v>0</v>
      </c>
      <c r="V44" t="inlineStr">
        <is>
          <t>MXN</t>
        </is>
      </c>
      <c r="W44" t="inlineStr">
        <is>
          <t>M3</t>
        </is>
      </c>
      <c r="AA44" t="inlineStr">
        <is>
          <t>D577</t>
        </is>
      </c>
      <c r="AB44" t="inlineStr">
        <is>
          <t>D577 PD0681 PROY APTO GDL</t>
        </is>
      </c>
      <c r="AC44" t="n">
        <v>56103590</v>
      </c>
      <c r="AD44" t="n">
        <v>6644241540</v>
      </c>
      <c r="AE44" t="n">
        <v>4</v>
      </c>
      <c r="AF44" t="inlineStr">
        <is>
          <t>ENTREGA DIRECTA</t>
        </is>
      </c>
      <c r="AG44" t="n">
        <v>1.551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20260331</v>
      </c>
      <c r="AM44" t="inlineStr">
        <is>
          <t>DW68-900009396-D577-10270898-4</t>
        </is>
      </c>
    </row>
    <row r="45">
      <c r="A45" t="inlineStr">
        <is>
          <t>900000085DW6810110630</t>
        </is>
      </c>
      <c r="B45" t="inlineStr">
        <is>
          <t>4600050405-30</t>
        </is>
      </c>
      <c r="C45" t="n">
        <v>4600050405</v>
      </c>
      <c r="D45" t="n">
        <v>30</v>
      </c>
      <c r="E45" t="inlineStr">
        <is>
          <t>MXPO</t>
        </is>
      </c>
      <c r="F45" t="inlineStr">
        <is>
          <t>MXL</t>
        </is>
      </c>
      <c r="G45" t="n">
        <v>900000085</v>
      </c>
      <c r="H45" t="inlineStr">
        <is>
          <t>TC ASFALTOS GUADALAJARA- TONALA</t>
        </is>
      </c>
      <c r="I45" t="n">
        <v>5003735</v>
      </c>
      <c r="J45" t="inlineStr">
        <is>
          <t>ASFALTOS GUADALAJARA SAPI DE CV</t>
        </is>
      </c>
      <c r="K45" t="inlineStr">
        <is>
          <t>Z04</t>
        </is>
      </c>
      <c r="L45" t="inlineStr">
        <is>
          <t>(AP) 30 Dias</t>
        </is>
      </c>
      <c r="M45" t="n">
        <v>10110630</v>
      </c>
      <c r="N45" t="inlineStr">
        <is>
          <t>GRAVA TRITURADA BASALTO 40 MM - 1 1/2" A</t>
        </is>
      </c>
      <c r="O45" t="inlineStr">
        <is>
          <t>DW68</t>
        </is>
      </c>
      <c r="P45" t="inlineStr">
        <is>
          <t>MX-CED. GUADALAJARA</t>
        </is>
      </c>
      <c r="Q45" t="n">
        <v>20210712</v>
      </c>
      <c r="R45" t="n">
        <v>20261231</v>
      </c>
      <c r="S45" t="n">
        <v>20210712</v>
      </c>
      <c r="T45" t="n">
        <v>20261231</v>
      </c>
      <c r="U45" t="n">
        <v>220</v>
      </c>
      <c r="V45" t="inlineStr">
        <is>
          <t>MXN</t>
        </is>
      </c>
      <c r="W45" t="inlineStr">
        <is>
          <t>M3</t>
        </is>
      </c>
      <c r="AC45" t="n">
        <v>56103637</v>
      </c>
      <c r="AD45" t="n">
        <v>6644241540</v>
      </c>
      <c r="AE45" t="n">
        <v>1</v>
      </c>
      <c r="AF45" t="inlineStr">
        <is>
          <t>ENTREGADO</t>
        </is>
      </c>
      <c r="AG45" t="n">
        <v>1.417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20260108</v>
      </c>
      <c r="AM45" t="inlineStr">
        <is>
          <t>DW68-900000085-10110630</t>
        </is>
      </c>
    </row>
    <row r="46">
      <c r="A46" t="inlineStr">
        <is>
          <t>900000620DW68ENV910000439</t>
        </is>
      </c>
      <c r="B46" t="inlineStr">
        <is>
          <t>4600071941-60</t>
        </is>
      </c>
      <c r="C46" t="n">
        <v>4600071941</v>
      </c>
      <c r="D46" t="n">
        <v>60</v>
      </c>
      <c r="E46" t="inlineStr">
        <is>
          <t>MXPO</t>
        </is>
      </c>
      <c r="F46" t="inlineStr">
        <is>
          <t>MXL</t>
        </is>
      </c>
      <c r="G46" t="n">
        <v>900000620</v>
      </c>
      <c r="H46" t="inlineStr">
        <is>
          <t>TC-ED- GRAVASE STA. ROSA</t>
        </is>
      </c>
      <c r="I46" t="n">
        <v>5009010</v>
      </c>
      <c r="J46" t="inlineStr">
        <is>
          <t>GRAVASE SA DE CV</t>
        </is>
      </c>
      <c r="K46" t="inlineStr">
        <is>
          <t>Z04</t>
        </is>
      </c>
      <c r="L46" t="inlineStr">
        <is>
          <t>(AP) 30 Dias</t>
        </is>
      </c>
      <c r="M46" t="n">
        <v>10000439</v>
      </c>
      <c r="N46" t="inlineStr">
        <is>
          <t>Grava Triturada Basalto 10 mm - 3/8"</t>
        </is>
      </c>
      <c r="O46" t="inlineStr">
        <is>
          <t>DW68</t>
        </is>
      </c>
      <c r="P46" t="inlineStr">
        <is>
          <t>MX-CED. GUADALAJARA</t>
        </is>
      </c>
      <c r="Q46" t="n">
        <v>20260126</v>
      </c>
      <c r="R46" t="n">
        <v>20301231</v>
      </c>
      <c r="U46" t="n">
        <v>0</v>
      </c>
      <c r="V46" t="inlineStr">
        <is>
          <t>MXN</t>
        </is>
      </c>
      <c r="W46" t="inlineStr">
        <is>
          <t>TN</t>
        </is>
      </c>
      <c r="AA46" t="inlineStr">
        <is>
          <t>ENV9</t>
        </is>
      </c>
      <c r="AB46" t="inlineStr">
        <is>
          <t>VIALIDADES AEROPUERTO GDL F1 Y F2 /</t>
        </is>
      </c>
      <c r="AC46" t="n">
        <v>56103637</v>
      </c>
      <c r="AD46" t="n">
        <v>6644241540</v>
      </c>
      <c r="AE46" t="n">
        <v>4</v>
      </c>
      <c r="AF46" t="inlineStr">
        <is>
          <t>ENTREGA DIRECTA</t>
        </is>
      </c>
      <c r="AG46" t="n">
        <v>1</v>
      </c>
      <c r="AH46" t="inlineStr">
        <is>
          <t>TO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20260331</v>
      </c>
      <c r="AM46" t="inlineStr">
        <is>
          <t>DW68-900000620-ENV9-10000439-4</t>
        </is>
      </c>
    </row>
    <row r="47">
      <c r="A47" t="inlineStr">
        <is>
          <t>900009301DW6810270913</t>
        </is>
      </c>
      <c r="B47" t="inlineStr">
        <is>
          <t>4600071506-50</t>
        </is>
      </c>
      <c r="C47" t="n">
        <v>4600071506</v>
      </c>
      <c r="D47" t="n">
        <v>50</v>
      </c>
      <c r="E47" t="inlineStr">
        <is>
          <t>MXPO</t>
        </is>
      </c>
      <c r="F47" t="inlineStr">
        <is>
          <t>MXL</t>
        </is>
      </c>
      <c r="G47" t="n">
        <v>900009301</v>
      </c>
      <c r="H47" t="inlineStr">
        <is>
          <t>SF TC-GRAVASE SANTA ROSA</t>
        </is>
      </c>
      <c r="I47" t="n">
        <v>5009010</v>
      </c>
      <c r="J47" t="inlineStr">
        <is>
          <t>GRAVASE SA DE CV</t>
        </is>
      </c>
      <c r="K47" t="inlineStr">
        <is>
          <t>Z04</t>
        </is>
      </c>
      <c r="L47" t="inlineStr">
        <is>
          <t>(AP) 30 Dias</t>
        </is>
      </c>
      <c r="M47" t="n">
        <v>10270913</v>
      </c>
      <c r="N47" t="inlineStr">
        <is>
          <t>MP GRAVA TRIT. BASALTO 20 MM - 3/4</t>
        </is>
      </c>
      <c r="O47" t="inlineStr">
        <is>
          <t>DW68</t>
        </is>
      </c>
      <c r="P47" t="inlineStr">
        <is>
          <t>MX-CED. GUADALAJARA</t>
        </is>
      </c>
      <c r="Q47" t="n">
        <v>20250801</v>
      </c>
      <c r="R47" t="n">
        <v>20301231</v>
      </c>
      <c r="S47" t="n">
        <v>20260509</v>
      </c>
      <c r="T47" t="n">
        <v>20301231</v>
      </c>
      <c r="U47" t="n">
        <v>231.12</v>
      </c>
      <c r="V47" t="inlineStr">
        <is>
          <t>MXN</t>
        </is>
      </c>
      <c r="W47" t="inlineStr">
        <is>
          <t>TN</t>
        </is>
      </c>
      <c r="X47" t="n">
        <v>0</v>
      </c>
      <c r="Y47" t="inlineStr">
        <is>
          <t>MXN</t>
        </is>
      </c>
      <c r="Z47" t="inlineStr">
        <is>
          <t>TN</t>
        </is>
      </c>
      <c r="AC47" t="n">
        <v>56103637</v>
      </c>
      <c r="AD47" t="n">
        <v>6644241540</v>
      </c>
      <c r="AE47" t="n">
        <v>2</v>
      </c>
      <c r="AF47" t="inlineStr">
        <is>
          <t>RECOGIDO</t>
        </is>
      </c>
      <c r="AG47" t="n">
        <v>1</v>
      </c>
      <c r="AH47" t="inlineStr">
        <is>
          <t>TO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20260513</v>
      </c>
      <c r="AM47" t="inlineStr">
        <is>
          <t>DW68-900009301-10270913</t>
        </is>
      </c>
    </row>
    <row r="48">
      <c r="A48" t="inlineStr">
        <is>
          <t>900009301DW6810270911</t>
        </is>
      </c>
      <c r="B48" t="inlineStr">
        <is>
          <t>4600071506-20</t>
        </is>
      </c>
      <c r="C48" t="n">
        <v>4600071506</v>
      </c>
      <c r="D48" t="n">
        <v>20</v>
      </c>
      <c r="E48" t="inlineStr">
        <is>
          <t>MXPO</t>
        </is>
      </c>
      <c r="F48" t="inlineStr">
        <is>
          <t>MXL</t>
        </is>
      </c>
      <c r="G48" t="n">
        <v>900009301</v>
      </c>
      <c r="H48" t="inlineStr">
        <is>
          <t>SF TC-GRAVASE SANTA ROSA</t>
        </is>
      </c>
      <c r="I48" t="n">
        <v>5009010</v>
      </c>
      <c r="J48" t="inlineStr">
        <is>
          <t>GRAVASE SA DE CV</t>
        </is>
      </c>
      <c r="K48" t="inlineStr">
        <is>
          <t>Z04</t>
        </is>
      </c>
      <c r="L48" t="inlineStr">
        <is>
          <t>(AP) 30 Dias</t>
        </is>
      </c>
      <c r="M48" t="n">
        <v>10270911</v>
      </c>
      <c r="N48" t="inlineStr">
        <is>
          <t>MP GRAVA TRIT. BASALTO 40 MM - 1 1/2"</t>
        </is>
      </c>
      <c r="O48" t="inlineStr">
        <is>
          <t>DW68</t>
        </is>
      </c>
      <c r="P48" t="inlineStr">
        <is>
          <t>MX-CED. GUADALAJARA</t>
        </is>
      </c>
      <c r="Q48" t="n">
        <v>20250801</v>
      </c>
      <c r="R48" t="n">
        <v>20301231</v>
      </c>
      <c r="S48" t="n">
        <v>20260509</v>
      </c>
      <c r="T48" t="n">
        <v>20301231</v>
      </c>
      <c r="U48" t="n">
        <v>214</v>
      </c>
      <c r="V48" t="inlineStr">
        <is>
          <t>MXN</t>
        </is>
      </c>
      <c r="W48" t="inlineStr">
        <is>
          <t>TN</t>
        </is>
      </c>
      <c r="X48" t="n">
        <v>0</v>
      </c>
      <c r="Y48" t="inlineStr">
        <is>
          <t>MXN</t>
        </is>
      </c>
      <c r="Z48" t="inlineStr">
        <is>
          <t>TN</t>
        </is>
      </c>
      <c r="AC48" t="n">
        <v>56103637</v>
      </c>
      <c r="AD48" t="n">
        <v>6644241540</v>
      </c>
      <c r="AE48" t="n">
        <v>2</v>
      </c>
      <c r="AF48" t="inlineStr">
        <is>
          <t>RECOGIDO</t>
        </is>
      </c>
      <c r="AG48" t="n">
        <v>1</v>
      </c>
      <c r="AH48" t="inlineStr">
        <is>
          <t>TO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20260513</v>
      </c>
      <c r="AM48" t="inlineStr">
        <is>
          <t>DW68-900009301-10270911</t>
        </is>
      </c>
    </row>
    <row r="49">
      <c r="A49" t="inlineStr">
        <is>
          <t>900009301DW6810209065</t>
        </is>
      </c>
      <c r="B49" t="inlineStr">
        <is>
          <t>4600071506-10</t>
        </is>
      </c>
      <c r="C49" t="n">
        <v>4600071506</v>
      </c>
      <c r="D49" t="n">
        <v>10</v>
      </c>
      <c r="E49" t="inlineStr">
        <is>
          <t>MXPO</t>
        </is>
      </c>
      <c r="F49" t="inlineStr">
        <is>
          <t>MXL</t>
        </is>
      </c>
      <c r="G49" t="n">
        <v>900009301</v>
      </c>
      <c r="H49" t="inlineStr">
        <is>
          <t>SF TC-GRAVASE SANTA ROSA</t>
        </is>
      </c>
      <c r="I49" t="n">
        <v>5009010</v>
      </c>
      <c r="J49" t="inlineStr">
        <is>
          <t>GRAVASE SA DE CV</t>
        </is>
      </c>
      <c r="K49" t="inlineStr">
        <is>
          <t>Z04</t>
        </is>
      </c>
      <c r="L49" t="inlineStr">
        <is>
          <t>(AP) 30 Dias</t>
        </is>
      </c>
      <c r="M49" t="n">
        <v>10209065</v>
      </c>
      <c r="N49" t="inlineStr">
        <is>
          <t>FILTRO 5" A 7/8"</t>
        </is>
      </c>
      <c r="O49" t="inlineStr">
        <is>
          <t>DW68</t>
        </is>
      </c>
      <c r="P49" t="inlineStr">
        <is>
          <t>MX-CED. GUADALAJARA</t>
        </is>
      </c>
      <c r="Q49" t="n">
        <v>20250801</v>
      </c>
      <c r="R49" t="n">
        <v>20301231</v>
      </c>
      <c r="S49" t="n">
        <v>20260509</v>
      </c>
      <c r="T49" t="n">
        <v>20301231</v>
      </c>
      <c r="U49" t="n">
        <v>107.12</v>
      </c>
      <c r="V49" t="inlineStr">
        <is>
          <t>MXN</t>
        </is>
      </c>
      <c r="W49" t="inlineStr">
        <is>
          <t>TN</t>
        </is>
      </c>
      <c r="X49" t="n">
        <v>0</v>
      </c>
      <c r="Y49" t="inlineStr">
        <is>
          <t>MXN</t>
        </is>
      </c>
      <c r="Z49" t="inlineStr">
        <is>
          <t>TN</t>
        </is>
      </c>
      <c r="AC49" t="n">
        <v>56103637</v>
      </c>
      <c r="AD49" t="n">
        <v>6644241540</v>
      </c>
      <c r="AE49" t="n">
        <v>2</v>
      </c>
      <c r="AF49" t="inlineStr">
        <is>
          <t>RECOGIDO</t>
        </is>
      </c>
      <c r="AG49" t="n">
        <v>1</v>
      </c>
      <c r="AH49" t="inlineStr">
        <is>
          <t>TO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20260513</v>
      </c>
      <c r="AM49" t="inlineStr">
        <is>
          <t>DW68-900009301-10209065</t>
        </is>
      </c>
    </row>
    <row r="50">
      <c r="A50" t="inlineStr">
        <is>
          <t>900009301DW6810270912</t>
        </is>
      </c>
      <c r="B50" t="inlineStr">
        <is>
          <t>4600071506-30</t>
        </is>
      </c>
      <c r="C50" t="n">
        <v>4600071506</v>
      </c>
      <c r="D50" t="n">
        <v>30</v>
      </c>
      <c r="E50" t="inlineStr">
        <is>
          <t>MXPO</t>
        </is>
      </c>
      <c r="F50" t="inlineStr">
        <is>
          <t>MXL</t>
        </is>
      </c>
      <c r="G50" t="n">
        <v>900009301</v>
      </c>
      <c r="H50" t="inlineStr">
        <is>
          <t>SF TC-GRAVASE SANTA ROSA</t>
        </is>
      </c>
      <c r="I50" t="n">
        <v>5009010</v>
      </c>
      <c r="J50" t="inlineStr">
        <is>
          <t>GRAVASE SA DE CV</t>
        </is>
      </c>
      <c r="K50" t="inlineStr">
        <is>
          <t>Z04</t>
        </is>
      </c>
      <c r="L50" t="inlineStr">
        <is>
          <t>(AP) 30 Dias</t>
        </is>
      </c>
      <c r="M50" t="n">
        <v>10270912</v>
      </c>
      <c r="N50" t="inlineStr">
        <is>
          <t>MP ARENA TRIT. BASALTO MALLA 4</t>
        </is>
      </c>
      <c r="O50" t="inlineStr">
        <is>
          <t>DW68</t>
        </is>
      </c>
      <c r="P50" t="inlineStr">
        <is>
          <t>MX-CED. GUADALAJARA</t>
        </is>
      </c>
      <c r="Q50" t="n">
        <v>20250801</v>
      </c>
      <c r="R50" t="n">
        <v>20301231</v>
      </c>
      <c r="S50" t="n">
        <v>20260509</v>
      </c>
      <c r="T50" t="n">
        <v>20301231</v>
      </c>
      <c r="U50" t="n">
        <v>245</v>
      </c>
      <c r="V50" t="inlineStr">
        <is>
          <t>MXN</t>
        </is>
      </c>
      <c r="W50" t="inlineStr">
        <is>
          <t>TN</t>
        </is>
      </c>
      <c r="X50" t="n">
        <v>0</v>
      </c>
      <c r="Y50" t="inlineStr">
        <is>
          <t>MXN</t>
        </is>
      </c>
      <c r="Z50" t="inlineStr">
        <is>
          <t>TN</t>
        </is>
      </c>
      <c r="AC50" t="n">
        <v>56103638</v>
      </c>
      <c r="AD50" t="n">
        <v>6644241540</v>
      </c>
      <c r="AE50" t="n">
        <v>2</v>
      </c>
      <c r="AF50" t="inlineStr">
        <is>
          <t>RECOGIDO</t>
        </is>
      </c>
      <c r="AG50" t="n">
        <v>1</v>
      </c>
      <c r="AH50" t="inlineStr">
        <is>
          <t>TO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20260513</v>
      </c>
      <c r="AM50" t="inlineStr">
        <is>
          <t>DW68-900009301-10270912</t>
        </is>
      </c>
    </row>
    <row r="51">
      <c r="A51" t="inlineStr">
        <is>
          <t>900009301DW6810000439</t>
        </is>
      </c>
      <c r="B51" t="inlineStr">
        <is>
          <t>4600071506-40</t>
        </is>
      </c>
      <c r="C51" t="n">
        <v>4600071506</v>
      </c>
      <c r="D51" t="n">
        <v>40</v>
      </c>
      <c r="E51" t="inlineStr">
        <is>
          <t>MXPO</t>
        </is>
      </c>
      <c r="F51" t="inlineStr">
        <is>
          <t>MXL</t>
        </is>
      </c>
      <c r="G51" t="n">
        <v>900009301</v>
      </c>
      <c r="H51" t="inlineStr">
        <is>
          <t>SF TC-GRAVASE SANTA ROSA</t>
        </is>
      </c>
      <c r="I51" t="n">
        <v>5009010</v>
      </c>
      <c r="J51" t="inlineStr">
        <is>
          <t>GRAVASE SA DE CV</t>
        </is>
      </c>
      <c r="K51" t="inlineStr">
        <is>
          <t>Z04</t>
        </is>
      </c>
      <c r="L51" t="inlineStr">
        <is>
          <t>(AP) 30 Dias</t>
        </is>
      </c>
      <c r="M51" t="n">
        <v>10000439</v>
      </c>
      <c r="N51" t="inlineStr">
        <is>
          <t>Grava Triturada Basalto 10 mm - 3/8"</t>
        </is>
      </c>
      <c r="O51" t="inlineStr">
        <is>
          <t>DW68</t>
        </is>
      </c>
      <c r="P51" t="inlineStr">
        <is>
          <t>MX-CED. GUADALAJARA</t>
        </is>
      </c>
      <c r="Q51" t="n">
        <v>20250801</v>
      </c>
      <c r="R51" t="n">
        <v>20301231</v>
      </c>
      <c r="S51" t="n">
        <v>20260509</v>
      </c>
      <c r="T51" t="n">
        <v>20301231</v>
      </c>
      <c r="U51" t="n">
        <v>254</v>
      </c>
      <c r="V51" t="inlineStr">
        <is>
          <t>MXN</t>
        </is>
      </c>
      <c r="W51" t="inlineStr">
        <is>
          <t>TN</t>
        </is>
      </c>
      <c r="X51" t="n">
        <v>0</v>
      </c>
      <c r="Y51" t="inlineStr">
        <is>
          <t>MXN</t>
        </is>
      </c>
      <c r="Z51" t="inlineStr">
        <is>
          <t>TN</t>
        </is>
      </c>
      <c r="AC51" t="n">
        <v>56103637</v>
      </c>
      <c r="AD51" t="n">
        <v>6644241540</v>
      </c>
      <c r="AE51" t="n">
        <v>2</v>
      </c>
      <c r="AF51" t="inlineStr">
        <is>
          <t>RECOGIDO</t>
        </is>
      </c>
      <c r="AG51" t="n">
        <v>1</v>
      </c>
      <c r="AH51" t="inlineStr">
        <is>
          <t>TO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20260513</v>
      </c>
      <c r="AM51" t="inlineStr">
        <is>
          <t>DW68-900009301-10000439</t>
        </is>
      </c>
    </row>
    <row r="52">
      <c r="A52" t="inlineStr">
        <is>
          <t>900009301DW6810270898</t>
        </is>
      </c>
      <c r="B52" t="inlineStr">
        <is>
          <t>4600071506-60</t>
        </is>
      </c>
      <c r="C52" t="n">
        <v>4600071506</v>
      </c>
      <c r="D52" t="n">
        <v>60</v>
      </c>
      <c r="E52" t="inlineStr">
        <is>
          <t>MXPO</t>
        </is>
      </c>
      <c r="F52" t="inlineStr">
        <is>
          <t>MXL</t>
        </is>
      </c>
      <c r="G52" t="n">
        <v>900009301</v>
      </c>
      <c r="H52" t="inlineStr">
        <is>
          <t>SF TC-GRAVASE SANTA ROSA</t>
        </is>
      </c>
      <c r="I52" t="n">
        <v>5009010</v>
      </c>
      <c r="J52" t="inlineStr">
        <is>
          <t>GRAVASE SA DE CV</t>
        </is>
      </c>
      <c r="K52" t="inlineStr">
        <is>
          <t>Z04</t>
        </is>
      </c>
      <c r="L52" t="inlineStr">
        <is>
          <t>(AP) 30 Dias</t>
        </is>
      </c>
      <c r="M52" t="n">
        <v>10270898</v>
      </c>
      <c r="N52" t="inlineStr">
        <is>
          <t>MP BASE H. TRIT. BASALTO 1 1/2" A FINOS</t>
        </is>
      </c>
      <c r="O52" t="inlineStr">
        <is>
          <t>DW68</t>
        </is>
      </c>
      <c r="P52" t="inlineStr">
        <is>
          <t>MX-CED. GUADALAJARA</t>
        </is>
      </c>
      <c r="Q52" t="n">
        <v>20250801</v>
      </c>
      <c r="R52" t="n">
        <v>20301231</v>
      </c>
      <c r="S52" t="n">
        <v>20260509</v>
      </c>
      <c r="T52" t="n">
        <v>20301231</v>
      </c>
      <c r="U52" t="n">
        <v>184.44</v>
      </c>
      <c r="V52" t="inlineStr">
        <is>
          <t>MXN</t>
        </is>
      </c>
      <c r="W52" t="inlineStr">
        <is>
          <t>TN</t>
        </is>
      </c>
      <c r="X52" t="n">
        <v>0</v>
      </c>
      <c r="Y52" t="inlineStr">
        <is>
          <t>MXN</t>
        </is>
      </c>
      <c r="Z52" t="inlineStr">
        <is>
          <t>TN</t>
        </is>
      </c>
      <c r="AC52" t="n">
        <v>56103590</v>
      </c>
      <c r="AD52" t="n">
        <v>6644241540</v>
      </c>
      <c r="AE52" t="n">
        <v>2</v>
      </c>
      <c r="AF52" t="inlineStr">
        <is>
          <t>RECOGIDO</t>
        </is>
      </c>
      <c r="AG52" t="n">
        <v>1</v>
      </c>
      <c r="AH52" t="inlineStr">
        <is>
          <t>TO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20260513</v>
      </c>
      <c r="AM52" t="inlineStr">
        <is>
          <t>DW68-900009301-10270898</t>
        </is>
      </c>
    </row>
    <row r="53">
      <c r="A53" t="inlineStr">
        <is>
          <t>900004356DW6810268650</t>
        </is>
      </c>
      <c r="B53" t="inlineStr">
        <is>
          <t>4600050433-40</t>
        </is>
      </c>
      <c r="C53" t="n">
        <v>4600050433</v>
      </c>
      <c r="D53" t="n">
        <v>40</v>
      </c>
      <c r="E53" t="inlineStr">
        <is>
          <t>MXPO</t>
        </is>
      </c>
      <c r="F53" t="inlineStr">
        <is>
          <t>MXL</t>
        </is>
      </c>
      <c r="G53" t="n">
        <v>900004356</v>
      </c>
      <c r="H53" t="inlineStr">
        <is>
          <t>TC-AKOPAN</t>
        </is>
      </c>
      <c r="I53" t="n">
        <v>5060172</v>
      </c>
      <c r="J53" t="inlineStr">
        <is>
          <t>DESARROLLADORA AKOPAN SA DE CV</t>
        </is>
      </c>
      <c r="K53" t="inlineStr">
        <is>
          <t>N30</t>
        </is>
      </c>
      <c r="L53" t="inlineStr">
        <is>
          <t>(AP) NAFIN 30 Dias</t>
        </is>
      </c>
      <c r="M53" t="n">
        <v>10268650</v>
      </c>
      <c r="N53" t="inlineStr">
        <is>
          <t>MP GRAVA TRIT BASALTO 40MM - 1 1/2</t>
        </is>
      </c>
      <c r="O53" t="inlineStr">
        <is>
          <t>DW68</t>
        </is>
      </c>
      <c r="P53" t="inlineStr">
        <is>
          <t>MX-CED. GUADALAJARA</t>
        </is>
      </c>
      <c r="Q53" t="n">
        <v>20210801</v>
      </c>
      <c r="R53" t="n">
        <v>20291231</v>
      </c>
      <c r="S53" t="n">
        <v>20260526</v>
      </c>
      <c r="T53" t="n">
        <v>20301231</v>
      </c>
      <c r="U53" t="n">
        <v>295</v>
      </c>
      <c r="V53" t="inlineStr">
        <is>
          <t>MXN</t>
        </is>
      </c>
      <c r="W53" t="inlineStr">
        <is>
          <t>M3</t>
        </is>
      </c>
      <c r="X53" t="n">
        <v>0</v>
      </c>
      <c r="Y53" t="inlineStr">
        <is>
          <t>MXN</t>
        </is>
      </c>
      <c r="Z53" t="inlineStr">
        <is>
          <t>M3</t>
        </is>
      </c>
      <c r="AC53" t="n">
        <v>56103637</v>
      </c>
      <c r="AD53" t="n">
        <v>6644241540</v>
      </c>
      <c r="AE53" t="n">
        <v>1</v>
      </c>
      <c r="AF53" t="inlineStr">
        <is>
          <t>ENTREGADO</t>
        </is>
      </c>
      <c r="AG53" t="n">
        <v>1.3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20260604</v>
      </c>
      <c r="AM53" t="inlineStr">
        <is>
          <t>DW68-900004356-10268650</t>
        </is>
      </c>
    </row>
    <row r="54">
      <c r="A54" t="inlineStr">
        <is>
          <t>900002068DW68D26810000835</t>
        </is>
      </c>
      <c r="B54" t="inlineStr">
        <is>
          <t>4600050418-130</t>
        </is>
      </c>
      <c r="C54" t="n">
        <v>4600050418</v>
      </c>
      <c r="D54" t="n">
        <v>130</v>
      </c>
      <c r="E54" t="inlineStr">
        <is>
          <t>MXPO</t>
        </is>
      </c>
      <c r="F54" t="inlineStr">
        <is>
          <t>MXL</t>
        </is>
      </c>
      <c r="G54" t="n">
        <v>900002068</v>
      </c>
      <c r="H54" t="inlineStr">
        <is>
          <t>TC-ED- EL PACHON</t>
        </is>
      </c>
      <c r="I54" t="n">
        <v>5043944</v>
      </c>
      <c r="J54" t="inlineStr">
        <is>
          <t>CONSTRUCCIONES MAREVA DE OCCIDENTE</t>
        </is>
      </c>
      <c r="K54" t="inlineStr">
        <is>
          <t>Z04</t>
        </is>
      </c>
      <c r="L54" t="inlineStr">
        <is>
          <t>(AP) 30 Dias</t>
        </is>
      </c>
      <c r="M54" t="n">
        <v>10000835</v>
      </c>
      <c r="N54" t="inlineStr">
        <is>
          <t>Arena Clasificada Río Malla 4</t>
        </is>
      </c>
      <c r="O54" t="inlineStr">
        <is>
          <t>DW68</t>
        </is>
      </c>
      <c r="P54" t="inlineStr">
        <is>
          <t>MX-CED. GUADALAJARA</t>
        </is>
      </c>
      <c r="Q54" t="n">
        <v>20210712</v>
      </c>
      <c r="R54" t="n">
        <v>20281231</v>
      </c>
      <c r="S54" t="n">
        <v>20250701</v>
      </c>
      <c r="T54" t="n">
        <v>20301231</v>
      </c>
      <c r="U54" t="n">
        <v>216.23</v>
      </c>
      <c r="V54" t="inlineStr">
        <is>
          <t>MXN</t>
        </is>
      </c>
      <c r="W54" t="inlineStr">
        <is>
          <t>M3</t>
        </is>
      </c>
      <c r="X54" t="n">
        <v>133.81</v>
      </c>
      <c r="Y54" t="inlineStr">
        <is>
          <t>MXN</t>
        </is>
      </c>
      <c r="Z54" t="inlineStr">
        <is>
          <t>M3</t>
        </is>
      </c>
      <c r="AA54" t="inlineStr">
        <is>
          <t>D268</t>
        </is>
      </c>
      <c r="AB54" t="inlineStr">
        <is>
          <t>PD418 AEROPUERTO GDL</t>
        </is>
      </c>
      <c r="AC54" t="n">
        <v>56103638</v>
      </c>
      <c r="AD54" t="n">
        <v>6644241540</v>
      </c>
      <c r="AE54" t="n">
        <v>4</v>
      </c>
      <c r="AF54" t="inlineStr">
        <is>
          <t>ENTREGA DIRECTA</t>
        </is>
      </c>
      <c r="AG54" t="n">
        <v>1.18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20250718</v>
      </c>
      <c r="AM54" t="inlineStr">
        <is>
          <t>DW68-900002068-D268-10000835-4</t>
        </is>
      </c>
    </row>
    <row r="55">
      <c r="A55" t="inlineStr">
        <is>
          <t>900002068DW68D24210000835</t>
        </is>
      </c>
      <c r="B55" t="inlineStr">
        <is>
          <t>4600050418-80</t>
        </is>
      </c>
      <c r="C55" t="n">
        <v>4600050418</v>
      </c>
      <c r="D55" t="n">
        <v>80</v>
      </c>
      <c r="E55" t="inlineStr">
        <is>
          <t>MXPO</t>
        </is>
      </c>
      <c r="F55" t="inlineStr">
        <is>
          <t>MXL</t>
        </is>
      </c>
      <c r="G55" t="n">
        <v>900002068</v>
      </c>
      <c r="H55" t="inlineStr">
        <is>
          <t>TC-ED- EL PACHON</t>
        </is>
      </c>
      <c r="I55" t="n">
        <v>5043944</v>
      </c>
      <c r="J55" t="inlineStr">
        <is>
          <t>CONSTRUCCIONES MAREVA DE OCCIDENTE</t>
        </is>
      </c>
      <c r="K55" t="inlineStr">
        <is>
          <t>Z04</t>
        </is>
      </c>
      <c r="L55" t="inlineStr">
        <is>
          <t>(AP) 30 Dias</t>
        </is>
      </c>
      <c r="M55" t="n">
        <v>10000835</v>
      </c>
      <c r="N55" t="inlineStr">
        <is>
          <t>Arena Clasificada Río Malla 4</t>
        </is>
      </c>
      <c r="O55" t="inlineStr">
        <is>
          <t>DW68</t>
        </is>
      </c>
      <c r="P55" t="inlineStr">
        <is>
          <t>MX-CED. GUADALAJARA</t>
        </is>
      </c>
      <c r="Q55" t="n">
        <v>20210712</v>
      </c>
      <c r="R55" t="n">
        <v>20281231</v>
      </c>
      <c r="S55" t="n">
        <v>20250701</v>
      </c>
      <c r="T55" t="n">
        <v>20301231</v>
      </c>
      <c r="U55" t="n">
        <v>220.51</v>
      </c>
      <c r="V55" t="inlineStr">
        <is>
          <t>MXN</t>
        </is>
      </c>
      <c r="W55" t="inlineStr">
        <is>
          <t>M3</t>
        </is>
      </c>
      <c r="X55" t="n">
        <v>138.09</v>
      </c>
      <c r="Y55" t="inlineStr">
        <is>
          <t>MXN</t>
        </is>
      </c>
      <c r="Z55" t="inlineStr">
        <is>
          <t>M3</t>
        </is>
      </c>
      <c r="AA55" t="inlineStr">
        <is>
          <t>D242</t>
        </is>
      </c>
      <c r="AB55" t="inlineStr">
        <is>
          <t>PD0454 CD. LA GRANJA II</t>
        </is>
      </c>
      <c r="AC55" t="n">
        <v>56103638</v>
      </c>
      <c r="AD55" t="n">
        <v>6644241540</v>
      </c>
      <c r="AE55" t="n">
        <v>4</v>
      </c>
      <c r="AF55" t="inlineStr">
        <is>
          <t>ENTREGA DIRECTA</t>
        </is>
      </c>
      <c r="AG55" t="n">
        <v>1.18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20250718</v>
      </c>
      <c r="AM55" t="inlineStr">
        <is>
          <t>DW68-900002068-D242-10000835-4</t>
        </is>
      </c>
    </row>
    <row r="56">
      <c r="A56" t="inlineStr">
        <is>
          <t>900002068DW68D24710000835</t>
        </is>
      </c>
      <c r="B56" t="inlineStr">
        <is>
          <t>4600050418-120</t>
        </is>
      </c>
      <c r="C56" t="n">
        <v>4600050418</v>
      </c>
      <c r="D56" t="n">
        <v>120</v>
      </c>
      <c r="E56" t="inlineStr">
        <is>
          <t>MXPO</t>
        </is>
      </c>
      <c r="F56" t="inlineStr">
        <is>
          <t>MXL</t>
        </is>
      </c>
      <c r="G56" t="n">
        <v>900002068</v>
      </c>
      <c r="H56" t="inlineStr">
        <is>
          <t>TC-ED- EL PACHON</t>
        </is>
      </c>
      <c r="I56" t="n">
        <v>5043944</v>
      </c>
      <c r="J56" t="inlineStr">
        <is>
          <t>CONSTRUCCIONES MAREVA DE OCCIDENTE</t>
        </is>
      </c>
      <c r="K56" t="inlineStr">
        <is>
          <t>Z04</t>
        </is>
      </c>
      <c r="L56" t="inlineStr">
        <is>
          <t>(AP) 30 Dias</t>
        </is>
      </c>
      <c r="M56" t="n">
        <v>10000835</v>
      </c>
      <c r="N56" t="inlineStr">
        <is>
          <t>Arena Clasificada Río Malla 4</t>
        </is>
      </c>
      <c r="O56" t="inlineStr">
        <is>
          <t>DW68</t>
        </is>
      </c>
      <c r="P56" t="inlineStr">
        <is>
          <t>MX-CED. GUADALAJARA</t>
        </is>
      </c>
      <c r="Q56" t="n">
        <v>20210712</v>
      </c>
      <c r="R56" t="n">
        <v>20281231</v>
      </c>
      <c r="S56" t="n">
        <v>20250701</v>
      </c>
      <c r="T56" t="n">
        <v>20301231</v>
      </c>
      <c r="U56" t="n">
        <v>284.21</v>
      </c>
      <c r="V56" t="inlineStr">
        <is>
          <t>MXN</t>
        </is>
      </c>
      <c r="W56" t="inlineStr">
        <is>
          <t>M3</t>
        </is>
      </c>
      <c r="X56" t="n">
        <v>201.79</v>
      </c>
      <c r="Y56" t="inlineStr">
        <is>
          <t>MXN</t>
        </is>
      </c>
      <c r="Z56" t="inlineStr">
        <is>
          <t>M3</t>
        </is>
      </c>
      <c r="AA56" t="inlineStr">
        <is>
          <t>D247</t>
        </is>
      </c>
      <c r="AB56" t="inlineStr">
        <is>
          <t>PD0518 TONALA</t>
        </is>
      </c>
      <c r="AC56" t="n">
        <v>56103638</v>
      </c>
      <c r="AD56" t="n">
        <v>6644241540</v>
      </c>
      <c r="AE56" t="n">
        <v>4</v>
      </c>
      <c r="AF56" t="inlineStr">
        <is>
          <t>ENTREGA DIRECTA</t>
        </is>
      </c>
      <c r="AG56" t="n">
        <v>1.18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20250718</v>
      </c>
      <c r="AM56" t="inlineStr">
        <is>
          <t>DW68-900002068-D247-10000835-4</t>
        </is>
      </c>
    </row>
    <row r="57">
      <c r="A57" t="inlineStr">
        <is>
          <t>900002068DW68D21110000835</t>
        </is>
      </c>
      <c r="B57" t="inlineStr">
        <is>
          <t>4600050418-60</t>
        </is>
      </c>
      <c r="C57" t="n">
        <v>4600050418</v>
      </c>
      <c r="D57" t="n">
        <v>60</v>
      </c>
      <c r="E57" t="inlineStr">
        <is>
          <t>MXPO</t>
        </is>
      </c>
      <c r="F57" t="inlineStr">
        <is>
          <t>MXL</t>
        </is>
      </c>
      <c r="G57" t="n">
        <v>900002068</v>
      </c>
      <c r="H57" t="inlineStr">
        <is>
          <t>TC-ED- EL PACHON</t>
        </is>
      </c>
      <c r="I57" t="n">
        <v>5043944</v>
      </c>
      <c r="J57" t="inlineStr">
        <is>
          <t>CONSTRUCCIONES MAREVA DE OCCIDENTE</t>
        </is>
      </c>
      <c r="K57" t="inlineStr">
        <is>
          <t>Z04</t>
        </is>
      </c>
      <c r="L57" t="inlineStr">
        <is>
          <t>(AP) 30 Dias</t>
        </is>
      </c>
      <c r="M57" t="n">
        <v>10000835</v>
      </c>
      <c r="N57" t="inlineStr">
        <is>
          <t>Arena Clasificada Río Malla 4</t>
        </is>
      </c>
      <c r="O57" t="inlineStr">
        <is>
          <t>DW68</t>
        </is>
      </c>
      <c r="P57" t="inlineStr">
        <is>
          <t>MX-CED. GUADALAJARA</t>
        </is>
      </c>
      <c r="Q57" t="n">
        <v>20210712</v>
      </c>
      <c r="R57" t="n">
        <v>20281231</v>
      </c>
      <c r="S57" t="n">
        <v>20250701</v>
      </c>
      <c r="T57" t="n">
        <v>20301231</v>
      </c>
      <c r="U57" t="n">
        <v>203.21</v>
      </c>
      <c r="V57" t="inlineStr">
        <is>
          <t>MXN</t>
        </is>
      </c>
      <c r="W57" t="inlineStr">
        <is>
          <t>M3</t>
        </is>
      </c>
      <c r="X57" t="n">
        <v>120.79</v>
      </c>
      <c r="Y57" t="inlineStr">
        <is>
          <t>MXN</t>
        </is>
      </c>
      <c r="Z57" t="inlineStr">
        <is>
          <t>M3</t>
        </is>
      </c>
      <c r="AA57" t="inlineStr">
        <is>
          <t>D211</t>
        </is>
      </c>
      <c r="AB57" t="inlineStr">
        <is>
          <t>PD0149 GDL. MATRIZ</t>
        </is>
      </c>
      <c r="AC57" t="n">
        <v>56103638</v>
      </c>
      <c r="AD57" t="n">
        <v>6644241540</v>
      </c>
      <c r="AE57" t="n">
        <v>4</v>
      </c>
      <c r="AF57" t="inlineStr">
        <is>
          <t>ENTREGA DIRECTA</t>
        </is>
      </c>
      <c r="AG57" t="n">
        <v>1.18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20250718</v>
      </c>
      <c r="AM57" t="inlineStr">
        <is>
          <t>DW68-900002068-D211-10000835-4</t>
        </is>
      </c>
    </row>
    <row r="58">
      <c r="A58" t="inlineStr">
        <is>
          <t>900002122DW6810000835</t>
        </is>
      </c>
      <c r="B58" t="inlineStr">
        <is>
          <t>4600050419-10</t>
        </is>
      </c>
      <c r="C58" t="n">
        <v>4600050419</v>
      </c>
      <c r="D58" t="n">
        <v>10</v>
      </c>
      <c r="E58" t="inlineStr">
        <is>
          <t>MXPO</t>
        </is>
      </c>
      <c r="F58" t="inlineStr">
        <is>
          <t>MXL</t>
        </is>
      </c>
      <c r="G58" t="n">
        <v>900002122</v>
      </c>
      <c r="H58" t="inlineStr">
        <is>
          <t>TC- EL PACHON</t>
        </is>
      </c>
      <c r="I58" t="n">
        <v>5043944</v>
      </c>
      <c r="J58" t="inlineStr">
        <is>
          <t>CONSTRUCCIONES MAREVA DE OCCIDENTE</t>
        </is>
      </c>
      <c r="K58" t="inlineStr">
        <is>
          <t>Z04</t>
        </is>
      </c>
      <c r="L58" t="inlineStr">
        <is>
          <t>(AP) 30 Dias</t>
        </is>
      </c>
      <c r="M58" t="n">
        <v>10000835</v>
      </c>
      <c r="N58" t="inlineStr">
        <is>
          <t>Arena Clasificada Río Malla 4</t>
        </is>
      </c>
      <c r="O58" t="inlineStr">
        <is>
          <t>DW68</t>
        </is>
      </c>
      <c r="P58" t="inlineStr">
        <is>
          <t>MX-CED. GUADALAJARA</t>
        </is>
      </c>
      <c r="Q58" t="n">
        <v>20210712</v>
      </c>
      <c r="R58" t="n">
        <v>20261231</v>
      </c>
      <c r="S58" t="n">
        <v>20250701</v>
      </c>
      <c r="T58" t="n">
        <v>20301231</v>
      </c>
      <c r="U58" t="n">
        <v>82.42</v>
      </c>
      <c r="V58" t="inlineStr">
        <is>
          <t>MXN</t>
        </is>
      </c>
      <c r="W58" t="inlineStr">
        <is>
          <t>M3</t>
        </is>
      </c>
      <c r="X58" t="n">
        <v>0</v>
      </c>
      <c r="Y58" t="inlineStr">
        <is>
          <t>MXN</t>
        </is>
      </c>
      <c r="Z58" t="inlineStr">
        <is>
          <t>M3</t>
        </is>
      </c>
      <c r="AC58" t="n">
        <v>56103638</v>
      </c>
      <c r="AD58" t="n">
        <v>6644241540</v>
      </c>
      <c r="AE58" t="n">
        <v>1</v>
      </c>
      <c r="AF58" t="inlineStr">
        <is>
          <t>ENTREGADO</t>
        </is>
      </c>
      <c r="AG58" t="n">
        <v>1.18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20250718</v>
      </c>
      <c r="AM58" t="inlineStr">
        <is>
          <t>DW68-900002122-10000835</t>
        </is>
      </c>
    </row>
    <row r="59">
      <c r="A59" t="inlineStr">
        <is>
          <t>900002068DW68D04210000835</t>
        </is>
      </c>
      <c r="B59" t="inlineStr">
        <is>
          <t>4600050418-100</t>
        </is>
      </c>
      <c r="C59" t="n">
        <v>4600050418</v>
      </c>
      <c r="D59" t="n">
        <v>100</v>
      </c>
      <c r="E59" t="inlineStr">
        <is>
          <t>MXPO</t>
        </is>
      </c>
      <c r="F59" t="inlineStr">
        <is>
          <t>MXL</t>
        </is>
      </c>
      <c r="G59" t="n">
        <v>900002068</v>
      </c>
      <c r="H59" t="inlineStr">
        <is>
          <t>TC-ED- EL PACHON</t>
        </is>
      </c>
      <c r="I59" t="n">
        <v>5043944</v>
      </c>
      <c r="J59" t="inlineStr">
        <is>
          <t>CONSTRUCCIONES MAREVA DE OCCIDENTE</t>
        </is>
      </c>
      <c r="K59" t="inlineStr">
        <is>
          <t>Z04</t>
        </is>
      </c>
      <c r="L59" t="inlineStr">
        <is>
          <t>(AP) 30 Dias</t>
        </is>
      </c>
      <c r="M59" t="n">
        <v>10000835</v>
      </c>
      <c r="N59" t="inlineStr">
        <is>
          <t>Arena Clasificada Río Malla 4</t>
        </is>
      </c>
      <c r="O59" t="inlineStr">
        <is>
          <t>DW68</t>
        </is>
      </c>
      <c r="P59" t="inlineStr">
        <is>
          <t>MX-CED. GUADALAJARA</t>
        </is>
      </c>
      <c r="Q59" t="n">
        <v>20210712</v>
      </c>
      <c r="R59" t="n">
        <v>20281231</v>
      </c>
      <c r="S59" t="n">
        <v>20250701</v>
      </c>
      <c r="T59" t="n">
        <v>20301231</v>
      </c>
      <c r="U59" t="n">
        <v>222.41</v>
      </c>
      <c r="V59" t="inlineStr">
        <is>
          <t>MXN</t>
        </is>
      </c>
      <c r="W59" t="inlineStr">
        <is>
          <t>M3</t>
        </is>
      </c>
      <c r="X59" t="n">
        <v>139.99</v>
      </c>
      <c r="Y59" t="inlineStr">
        <is>
          <t>MXN</t>
        </is>
      </c>
      <c r="Z59" t="inlineStr">
        <is>
          <t>M3</t>
        </is>
      </c>
      <c r="AA59" t="inlineStr">
        <is>
          <t>D042</t>
        </is>
      </c>
      <c r="AB59" t="inlineStr">
        <is>
          <t>PD0406 PLANTA PONIENTE</t>
        </is>
      </c>
      <c r="AC59" t="n">
        <v>56103638</v>
      </c>
      <c r="AD59" t="n">
        <v>6644241540</v>
      </c>
      <c r="AE59" t="n">
        <v>4</v>
      </c>
      <c r="AF59" t="inlineStr">
        <is>
          <t>ENTREGA DIRECTA</t>
        </is>
      </c>
      <c r="AG59" t="n">
        <v>1.18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20250718</v>
      </c>
      <c r="AM59" t="inlineStr">
        <is>
          <t>DW68-900002068-D042-10000835-4</t>
        </is>
      </c>
    </row>
    <row r="60">
      <c r="A60" t="inlineStr">
        <is>
          <t>900002068DW68D21310000835</t>
        </is>
      </c>
      <c r="B60" t="inlineStr">
        <is>
          <t>4600050418-50</t>
        </is>
      </c>
      <c r="C60" t="n">
        <v>4600050418</v>
      </c>
      <c r="D60" t="n">
        <v>50</v>
      </c>
      <c r="E60" t="inlineStr">
        <is>
          <t>MXPO</t>
        </is>
      </c>
      <c r="F60" t="inlineStr">
        <is>
          <t>MXL</t>
        </is>
      </c>
      <c r="G60" t="n">
        <v>900002068</v>
      </c>
      <c r="H60" t="inlineStr">
        <is>
          <t>TC-ED- EL PACHON</t>
        </is>
      </c>
      <c r="I60" t="n">
        <v>5043944</v>
      </c>
      <c r="J60" t="inlineStr">
        <is>
          <t>CONSTRUCCIONES MAREVA DE OCCIDENTE</t>
        </is>
      </c>
      <c r="K60" t="inlineStr">
        <is>
          <t>Z04</t>
        </is>
      </c>
      <c r="L60" t="inlineStr">
        <is>
          <t>(AP) 30 Dias</t>
        </is>
      </c>
      <c r="M60" t="n">
        <v>10000835</v>
      </c>
      <c r="N60" t="inlineStr">
        <is>
          <t>Arena Clasificada Río Malla 4</t>
        </is>
      </c>
      <c r="O60" t="inlineStr">
        <is>
          <t>DW68</t>
        </is>
      </c>
      <c r="P60" t="inlineStr">
        <is>
          <t>MX-CED. GUADALAJARA</t>
        </is>
      </c>
      <c r="Q60" t="n">
        <v>20210712</v>
      </c>
      <c r="R60" t="n">
        <v>20281231</v>
      </c>
      <c r="S60" t="n">
        <v>20250701</v>
      </c>
      <c r="T60" t="n">
        <v>20301231</v>
      </c>
      <c r="U60" t="n">
        <v>328.51</v>
      </c>
      <c r="V60" t="inlineStr">
        <is>
          <t>MXN</t>
        </is>
      </c>
      <c r="W60" t="inlineStr">
        <is>
          <t>M3</t>
        </is>
      </c>
      <c r="X60" t="n">
        <v>246.09</v>
      </c>
      <c r="Y60" t="inlineStr">
        <is>
          <t>MXN</t>
        </is>
      </c>
      <c r="Z60" t="inlineStr">
        <is>
          <t>M3</t>
        </is>
      </c>
      <c r="AA60" t="inlineStr">
        <is>
          <t>D213</t>
        </is>
      </c>
      <c r="AB60" t="inlineStr">
        <is>
          <t>PD0154 OCOTLAN</t>
        </is>
      </c>
      <c r="AC60" t="n">
        <v>56103638</v>
      </c>
      <c r="AD60" t="n">
        <v>6644241540</v>
      </c>
      <c r="AE60" t="n">
        <v>4</v>
      </c>
      <c r="AF60" t="inlineStr">
        <is>
          <t>ENTREGA DIRECTA</t>
        </is>
      </c>
      <c r="AG60" t="n">
        <v>1.18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20250718</v>
      </c>
      <c r="AM60" t="inlineStr">
        <is>
          <t>DW68-900002068-D213-10000835-4</t>
        </is>
      </c>
    </row>
    <row r="61">
      <c r="A61" t="inlineStr">
        <is>
          <t>900002068DW68D26710000835</t>
        </is>
      </c>
      <c r="B61" t="inlineStr">
        <is>
          <t>4600050418-90</t>
        </is>
      </c>
      <c r="C61" t="n">
        <v>4600050418</v>
      </c>
      <c r="D61" t="n">
        <v>90</v>
      </c>
      <c r="E61" t="inlineStr">
        <is>
          <t>MXPO</t>
        </is>
      </c>
      <c r="F61" t="inlineStr">
        <is>
          <t>MXL</t>
        </is>
      </c>
      <c r="G61" t="n">
        <v>900002068</v>
      </c>
      <c r="H61" t="inlineStr">
        <is>
          <t>TC-ED- EL PACHON</t>
        </is>
      </c>
      <c r="I61" t="n">
        <v>5043944</v>
      </c>
      <c r="J61" t="inlineStr">
        <is>
          <t>CONSTRUCCIONES MAREVA DE OCCIDENTE</t>
        </is>
      </c>
      <c r="K61" t="inlineStr">
        <is>
          <t>Z04</t>
        </is>
      </c>
      <c r="L61" t="inlineStr">
        <is>
          <t>(AP) 30 Dias</t>
        </is>
      </c>
      <c r="M61" t="n">
        <v>10000835</v>
      </c>
      <c r="N61" t="inlineStr">
        <is>
          <t>Arena Clasificada Río Malla 4</t>
        </is>
      </c>
      <c r="O61" t="inlineStr">
        <is>
          <t>DW68</t>
        </is>
      </c>
      <c r="P61" t="inlineStr">
        <is>
          <t>MX-CED. GUADALAJARA</t>
        </is>
      </c>
      <c r="Q61" t="n">
        <v>20210712</v>
      </c>
      <c r="R61" t="n">
        <v>20281231</v>
      </c>
      <c r="S61" t="n">
        <v>20250701</v>
      </c>
      <c r="T61" t="n">
        <v>20301231</v>
      </c>
      <c r="U61" t="n">
        <v>287.68</v>
      </c>
      <c r="V61" t="inlineStr">
        <is>
          <t>MXN</t>
        </is>
      </c>
      <c r="W61" t="inlineStr">
        <is>
          <t>M3</t>
        </is>
      </c>
      <c r="X61" t="n">
        <v>205.26</v>
      </c>
      <c r="Y61" t="inlineStr">
        <is>
          <t>MXN</t>
        </is>
      </c>
      <c r="Z61" t="inlineStr">
        <is>
          <t>M3</t>
        </is>
      </c>
      <c r="AA61" t="inlineStr">
        <is>
          <t>D267</t>
        </is>
      </c>
      <c r="AB61" t="inlineStr">
        <is>
          <t>PD0280 PLANTA COLOTLAN</t>
        </is>
      </c>
      <c r="AC61" t="n">
        <v>56103638</v>
      </c>
      <c r="AD61" t="n">
        <v>6644241540</v>
      </c>
      <c r="AE61" t="n">
        <v>4</v>
      </c>
      <c r="AF61" t="inlineStr">
        <is>
          <t>ENTREGA DIRECTA</t>
        </is>
      </c>
      <c r="AG61" t="n">
        <v>1.18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20250718</v>
      </c>
      <c r="AM61" t="inlineStr">
        <is>
          <t>DW68-900002068-D267-10000835-4</t>
        </is>
      </c>
    </row>
    <row r="62">
      <c r="A62" t="inlineStr">
        <is>
          <t>900002068DW68D22010000835</t>
        </is>
      </c>
      <c r="B62" t="inlineStr">
        <is>
          <t>4600050418-40</t>
        </is>
      </c>
      <c r="C62" t="n">
        <v>4600050418</v>
      </c>
      <c r="D62" t="n">
        <v>40</v>
      </c>
      <c r="E62" t="inlineStr">
        <is>
          <t>MXPO</t>
        </is>
      </c>
      <c r="F62" t="inlineStr">
        <is>
          <t>MXL</t>
        </is>
      </c>
      <c r="G62" t="n">
        <v>900002068</v>
      </c>
      <c r="H62" t="inlineStr">
        <is>
          <t>TC-ED- EL PACHON</t>
        </is>
      </c>
      <c r="I62" t="n">
        <v>5043944</v>
      </c>
      <c r="J62" t="inlineStr">
        <is>
          <t>CONSTRUCCIONES MAREVA DE OCCIDENTE</t>
        </is>
      </c>
      <c r="K62" t="inlineStr">
        <is>
          <t>Z04</t>
        </is>
      </c>
      <c r="L62" t="inlineStr">
        <is>
          <t>(AP) 30 Dias</t>
        </is>
      </c>
      <c r="M62" t="n">
        <v>10000835</v>
      </c>
      <c r="N62" t="inlineStr">
        <is>
          <t>Arena Clasificada Río Malla 4</t>
        </is>
      </c>
      <c r="O62" t="inlineStr">
        <is>
          <t>DW68</t>
        </is>
      </c>
      <c r="P62" t="inlineStr">
        <is>
          <t>MX-CED. GUADALAJARA</t>
        </is>
      </c>
      <c r="Q62" t="n">
        <v>20210712</v>
      </c>
      <c r="R62" t="n">
        <v>20281231</v>
      </c>
      <c r="S62" t="n">
        <v>20250701</v>
      </c>
      <c r="T62" t="n">
        <v>20301231</v>
      </c>
      <c r="U62" t="n">
        <v>365.37</v>
      </c>
      <c r="V62" t="inlineStr">
        <is>
          <t>MXN</t>
        </is>
      </c>
      <c r="W62" t="inlineStr">
        <is>
          <t>M3</t>
        </is>
      </c>
      <c r="X62" t="n">
        <v>282.95</v>
      </c>
      <c r="Y62" t="inlineStr">
        <is>
          <t>MXN</t>
        </is>
      </c>
      <c r="Z62" t="inlineStr">
        <is>
          <t>M3</t>
        </is>
      </c>
      <c r="AA62" t="inlineStr">
        <is>
          <t>D220</t>
        </is>
      </c>
      <c r="AB62" t="inlineStr">
        <is>
          <t>PD0131 TEPATITLAN</t>
        </is>
      </c>
      <c r="AC62" t="n">
        <v>56103638</v>
      </c>
      <c r="AD62" t="n">
        <v>6644241540</v>
      </c>
      <c r="AE62" t="n">
        <v>4</v>
      </c>
      <c r="AF62" t="inlineStr">
        <is>
          <t>ENTREGA DIRECTA</t>
        </is>
      </c>
      <c r="AG62" t="n">
        <v>1.18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20250718</v>
      </c>
      <c r="AM62" t="inlineStr">
        <is>
          <t>DW68-900002068-D220-10000835-4</t>
        </is>
      </c>
    </row>
    <row r="63">
      <c r="A63" t="inlineStr">
        <is>
          <t>900002068DW68D22810000835</t>
        </is>
      </c>
      <c r="B63" t="inlineStr">
        <is>
          <t>4600050418-30</t>
        </is>
      </c>
      <c r="C63" t="n">
        <v>4600050418</v>
      </c>
      <c r="D63" t="n">
        <v>30</v>
      </c>
      <c r="E63" t="inlineStr">
        <is>
          <t>MXPO</t>
        </is>
      </c>
      <c r="F63" t="inlineStr">
        <is>
          <t>MXL</t>
        </is>
      </c>
      <c r="G63" t="n">
        <v>900002068</v>
      </c>
      <c r="H63" t="inlineStr">
        <is>
          <t>TC-ED- EL PACHON</t>
        </is>
      </c>
      <c r="I63" t="n">
        <v>5043944</v>
      </c>
      <c r="J63" t="inlineStr">
        <is>
          <t>CONSTRUCCIONES MAREVA DE OCCIDENTE</t>
        </is>
      </c>
      <c r="K63" t="inlineStr">
        <is>
          <t>Z04</t>
        </is>
      </c>
      <c r="L63" t="inlineStr">
        <is>
          <t>(AP) 30 Dias</t>
        </is>
      </c>
      <c r="M63" t="n">
        <v>10000835</v>
      </c>
      <c r="N63" t="inlineStr">
        <is>
          <t>Arena Clasificada Río Malla 4</t>
        </is>
      </c>
      <c r="O63" t="inlineStr">
        <is>
          <t>DW68</t>
        </is>
      </c>
      <c r="P63" t="inlineStr">
        <is>
          <t>MX-CED. GUADALAJARA</t>
        </is>
      </c>
      <c r="Q63" t="n">
        <v>20210712</v>
      </c>
      <c r="R63" t="n">
        <v>20281231</v>
      </c>
      <c r="S63" t="n">
        <v>20250701</v>
      </c>
      <c r="T63" t="n">
        <v>20301231</v>
      </c>
      <c r="U63" t="n">
        <v>197.42</v>
      </c>
      <c r="V63" t="inlineStr">
        <is>
          <t>MXN</t>
        </is>
      </c>
      <c r="W63" t="inlineStr">
        <is>
          <t>M3</t>
        </is>
      </c>
      <c r="X63" t="n">
        <v>115</v>
      </c>
      <c r="Y63" t="inlineStr">
        <is>
          <t>MXN</t>
        </is>
      </c>
      <c r="Z63" t="inlineStr">
        <is>
          <t>M3</t>
        </is>
      </c>
      <c r="AA63" t="inlineStr">
        <is>
          <t>D228</t>
        </is>
      </c>
      <c r="AB63" t="inlineStr">
        <is>
          <t>PD0123 TLAJOMULCO</t>
        </is>
      </c>
      <c r="AC63" t="n">
        <v>56103638</v>
      </c>
      <c r="AD63" t="n">
        <v>6644241540</v>
      </c>
      <c r="AE63" t="n">
        <v>4</v>
      </c>
      <c r="AF63" t="inlineStr">
        <is>
          <t>ENTREGA DIRECTA</t>
        </is>
      </c>
      <c r="AG63" t="n">
        <v>1.18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20250718</v>
      </c>
      <c r="AM63" t="inlineStr">
        <is>
          <t>DW68-900002068-D228-10000835-4</t>
        </is>
      </c>
    </row>
    <row r="64">
      <c r="A64" t="inlineStr">
        <is>
          <t>900002068DW68D25110000835</t>
        </is>
      </c>
      <c r="B64" t="inlineStr">
        <is>
          <t>4600050418-110</t>
        </is>
      </c>
      <c r="C64" t="n">
        <v>4600050418</v>
      </c>
      <c r="D64" t="n">
        <v>110</v>
      </c>
      <c r="E64" t="inlineStr">
        <is>
          <t>MXPO</t>
        </is>
      </c>
      <c r="F64" t="inlineStr">
        <is>
          <t>MXL</t>
        </is>
      </c>
      <c r="G64" t="n">
        <v>900002068</v>
      </c>
      <c r="H64" t="inlineStr">
        <is>
          <t>TC-ED- EL PACHON</t>
        </is>
      </c>
      <c r="I64" t="n">
        <v>5043944</v>
      </c>
      <c r="J64" t="inlineStr">
        <is>
          <t>CONSTRUCCIONES MAREVA DE OCCIDENTE</t>
        </is>
      </c>
      <c r="K64" t="inlineStr">
        <is>
          <t>Z04</t>
        </is>
      </c>
      <c r="L64" t="inlineStr">
        <is>
          <t>(AP) 30 Dias</t>
        </is>
      </c>
      <c r="M64" t="n">
        <v>10000835</v>
      </c>
      <c r="N64" t="inlineStr">
        <is>
          <t>Arena Clasificada Río Malla 4</t>
        </is>
      </c>
      <c r="O64" t="inlineStr">
        <is>
          <t>DW68</t>
        </is>
      </c>
      <c r="P64" t="inlineStr">
        <is>
          <t>MX-CED. GUADALAJARA</t>
        </is>
      </c>
      <c r="Q64" t="n">
        <v>20210712</v>
      </c>
      <c r="R64" t="n">
        <v>20281231</v>
      </c>
      <c r="S64" t="n">
        <v>20250701</v>
      </c>
      <c r="T64" t="n">
        <v>20301231</v>
      </c>
      <c r="U64" t="n">
        <v>291.8</v>
      </c>
      <c r="V64" t="inlineStr">
        <is>
          <t>MXN</t>
        </is>
      </c>
      <c r="W64" t="inlineStr">
        <is>
          <t>M3</t>
        </is>
      </c>
      <c r="X64" t="n">
        <v>209.38</v>
      </c>
      <c r="Y64" t="inlineStr">
        <is>
          <t>MXN</t>
        </is>
      </c>
      <c r="Z64" t="inlineStr">
        <is>
          <t>M3</t>
        </is>
      </c>
      <c r="AA64" t="inlineStr">
        <is>
          <t>D251</t>
        </is>
      </c>
      <c r="AB64" t="inlineStr">
        <is>
          <t>PD0339 EL SALTO</t>
        </is>
      </c>
      <c r="AC64" t="n">
        <v>56103638</v>
      </c>
      <c r="AD64" t="n">
        <v>6644241540</v>
      </c>
      <c r="AE64" t="n">
        <v>4</v>
      </c>
      <c r="AF64" t="inlineStr">
        <is>
          <t>ENTREGA DIRECTA</t>
        </is>
      </c>
      <c r="AG64" t="n">
        <v>1.18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20250718</v>
      </c>
      <c r="AM64" t="inlineStr">
        <is>
          <t>DW68-900002068-D251-10000835-4</t>
        </is>
      </c>
    </row>
    <row r="65">
      <c r="A65" t="inlineStr">
        <is>
          <t>900002068DW68D26410000835</t>
        </is>
      </c>
      <c r="B65" t="inlineStr">
        <is>
          <t>4600050418-10</t>
        </is>
      </c>
      <c r="C65" t="n">
        <v>4600050418</v>
      </c>
      <c r="D65" t="n">
        <v>10</v>
      </c>
      <c r="E65" t="inlineStr">
        <is>
          <t>MXPO</t>
        </is>
      </c>
      <c r="F65" t="inlineStr">
        <is>
          <t>MXL</t>
        </is>
      </c>
      <c r="G65" t="n">
        <v>900002068</v>
      </c>
      <c r="H65" t="inlineStr">
        <is>
          <t>TC-ED- EL PACHON</t>
        </is>
      </c>
      <c r="I65" t="n">
        <v>5043944</v>
      </c>
      <c r="J65" t="inlineStr">
        <is>
          <t>CONSTRUCCIONES MAREVA DE OCCIDENTE</t>
        </is>
      </c>
      <c r="K65" t="inlineStr">
        <is>
          <t>Z04</t>
        </is>
      </c>
      <c r="L65" t="inlineStr">
        <is>
          <t>(AP) 30 Dias</t>
        </is>
      </c>
      <c r="M65" t="n">
        <v>10000835</v>
      </c>
      <c r="N65" t="inlineStr">
        <is>
          <t>Arena Clasificada Río Malla 4</t>
        </is>
      </c>
      <c r="O65" t="inlineStr">
        <is>
          <t>DW68</t>
        </is>
      </c>
      <c r="P65" t="inlineStr">
        <is>
          <t>MX-CED. GUADALAJARA</t>
        </is>
      </c>
      <c r="Q65" t="n">
        <v>20210712</v>
      </c>
      <c r="R65" t="n">
        <v>20281231</v>
      </c>
      <c r="S65" t="n">
        <v>20250701</v>
      </c>
      <c r="T65" t="n">
        <v>20301231</v>
      </c>
      <c r="U65" t="n">
        <v>241.22</v>
      </c>
      <c r="V65" t="inlineStr">
        <is>
          <t>MXN</t>
        </is>
      </c>
      <c r="W65" t="inlineStr">
        <is>
          <t>M3</t>
        </is>
      </c>
      <c r="X65" t="n">
        <v>158.8</v>
      </c>
      <c r="Y65" t="inlineStr">
        <is>
          <t>MXN</t>
        </is>
      </c>
      <c r="Z65" t="inlineStr">
        <is>
          <t>M3</t>
        </is>
      </c>
      <c r="AA65" t="inlineStr">
        <is>
          <t>D264</t>
        </is>
      </c>
      <c r="AB65" t="inlineStr">
        <is>
          <t>PD0083 GUADALAJARA I III</t>
        </is>
      </c>
      <c r="AC65" t="n">
        <v>56103638</v>
      </c>
      <c r="AD65" t="n">
        <v>6644241540</v>
      </c>
      <c r="AE65" t="n">
        <v>4</v>
      </c>
      <c r="AF65" t="inlineStr">
        <is>
          <t>ENTREGA DIRECTA</t>
        </is>
      </c>
      <c r="AG65" t="n">
        <v>1.18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20250718</v>
      </c>
      <c r="AM65" t="inlineStr">
        <is>
          <t>DW68-900002068-D264-10000835-4</t>
        </is>
      </c>
    </row>
    <row r="66">
      <c r="A66" t="inlineStr">
        <is>
          <t>900002068DW68D20910000835</t>
        </is>
      </c>
      <c r="B66" t="inlineStr">
        <is>
          <t>4600050418-70</t>
        </is>
      </c>
      <c r="C66" t="n">
        <v>4600050418</v>
      </c>
      <c r="D66" t="n">
        <v>70</v>
      </c>
      <c r="E66" t="inlineStr">
        <is>
          <t>MXPO</t>
        </is>
      </c>
      <c r="F66" t="inlineStr">
        <is>
          <t>MXL</t>
        </is>
      </c>
      <c r="G66" t="n">
        <v>900002068</v>
      </c>
      <c r="H66" t="inlineStr">
        <is>
          <t>TC-ED- EL PACHON</t>
        </is>
      </c>
      <c r="I66" t="n">
        <v>5043944</v>
      </c>
      <c r="J66" t="inlineStr">
        <is>
          <t>CONSTRUCCIONES MAREVA DE OCCIDENTE</t>
        </is>
      </c>
      <c r="K66" t="inlineStr">
        <is>
          <t>Z04</t>
        </is>
      </c>
      <c r="L66" t="inlineStr">
        <is>
          <t>(AP) 30 Dias</t>
        </is>
      </c>
      <c r="M66" t="n">
        <v>10000835</v>
      </c>
      <c r="N66" t="inlineStr">
        <is>
          <t>Arena Clasificada Río Malla 4</t>
        </is>
      </c>
      <c r="O66" t="inlineStr">
        <is>
          <t>DW68</t>
        </is>
      </c>
      <c r="P66" t="inlineStr">
        <is>
          <t>MX-CED. GUADALAJARA</t>
        </is>
      </c>
      <c r="Q66" t="n">
        <v>20210712</v>
      </c>
      <c r="R66" t="n">
        <v>20281231</v>
      </c>
      <c r="S66" t="n">
        <v>20250701</v>
      </c>
      <c r="T66" t="n">
        <v>20301231</v>
      </c>
      <c r="U66" t="n">
        <v>223.6</v>
      </c>
      <c r="V66" t="inlineStr">
        <is>
          <t>MXN</t>
        </is>
      </c>
      <c r="W66" t="inlineStr">
        <is>
          <t>M3</t>
        </is>
      </c>
      <c r="X66" t="n">
        <v>141.18</v>
      </c>
      <c r="Y66" t="inlineStr">
        <is>
          <t>MXN</t>
        </is>
      </c>
      <c r="Z66" t="inlineStr">
        <is>
          <t>M3</t>
        </is>
      </c>
      <c r="AA66" t="inlineStr">
        <is>
          <t>D209</t>
        </is>
      </c>
      <c r="AB66" t="inlineStr">
        <is>
          <t>PD0127 MANANTIAL</t>
        </is>
      </c>
      <c r="AC66" t="n">
        <v>56103638</v>
      </c>
      <c r="AD66" t="n">
        <v>6644241540</v>
      </c>
      <c r="AE66" t="n">
        <v>4</v>
      </c>
      <c r="AF66" t="inlineStr">
        <is>
          <t>ENTREGA DIRECTA</t>
        </is>
      </c>
      <c r="AG66" t="n">
        <v>1.18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20250718</v>
      </c>
      <c r="AM66" t="inlineStr">
        <is>
          <t>DW68-900002068-D209-10000835-4</t>
        </is>
      </c>
    </row>
    <row r="67">
      <c r="A67" t="inlineStr">
        <is>
          <t>900004166DW6810110630</t>
        </is>
      </c>
      <c r="B67" t="inlineStr">
        <is>
          <t>4600050431-40</t>
        </is>
      </c>
      <c r="C67" t="n">
        <v>4600050431</v>
      </c>
      <c r="D67" t="n">
        <v>40</v>
      </c>
      <c r="E67" t="inlineStr">
        <is>
          <t>MXPO</t>
        </is>
      </c>
      <c r="F67" t="inlineStr">
        <is>
          <t>MXL</t>
        </is>
      </c>
      <c r="G67" t="n">
        <v>900004166</v>
      </c>
      <c r="H67" t="inlineStr">
        <is>
          <t>TC- ASFALTOS GDL LA VEGA</t>
        </is>
      </c>
      <c r="I67" t="n">
        <v>5003735</v>
      </c>
      <c r="J67" t="inlineStr">
        <is>
          <t>ASFALTOS GUADALAJARA SAPI DE CV</t>
        </is>
      </c>
      <c r="K67" t="inlineStr">
        <is>
          <t>Z04</t>
        </is>
      </c>
      <c r="L67" t="inlineStr">
        <is>
          <t>(AP) 30 Dias</t>
        </is>
      </c>
      <c r="M67" t="n">
        <v>10110630</v>
      </c>
      <c r="N67" t="inlineStr">
        <is>
          <t>GRAVA TRITURADA BASALTO 40 MM - 1 1/2" A</t>
        </is>
      </c>
      <c r="O67" t="inlineStr">
        <is>
          <t>DW68</t>
        </is>
      </c>
      <c r="P67" t="inlineStr">
        <is>
          <t>MX-CED. GUADALAJARA</t>
        </is>
      </c>
      <c r="Q67" t="n">
        <v>20210801</v>
      </c>
      <c r="R67" t="n">
        <v>20281231</v>
      </c>
      <c r="S67" t="n">
        <v>20230629</v>
      </c>
      <c r="T67" t="n">
        <v>20281231</v>
      </c>
      <c r="U67" t="n">
        <v>235</v>
      </c>
      <c r="V67" t="inlineStr">
        <is>
          <t>MXN</t>
        </is>
      </c>
      <c r="W67" t="inlineStr">
        <is>
          <t>M3</t>
        </is>
      </c>
      <c r="X67" t="n">
        <v>0</v>
      </c>
      <c r="Y67" t="inlineStr">
        <is>
          <t>MXN</t>
        </is>
      </c>
      <c r="Z67" t="inlineStr">
        <is>
          <t>M3</t>
        </is>
      </c>
      <c r="AC67" t="n">
        <v>56103637</v>
      </c>
      <c r="AD67" t="n">
        <v>6644241540</v>
      </c>
      <c r="AE67" t="n">
        <v>1</v>
      </c>
      <c r="AF67" t="inlineStr">
        <is>
          <t>ENTREGADO</t>
        </is>
      </c>
      <c r="AG67" t="n">
        <v>1.417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20230920</v>
      </c>
      <c r="AM67" t="inlineStr">
        <is>
          <t>DW68-900004166-10110630</t>
        </is>
      </c>
    </row>
    <row r="68">
      <c r="A68" t="inlineStr">
        <is>
          <t>900000367DW6810000726</t>
        </is>
      </c>
      <c r="B68" t="inlineStr">
        <is>
          <t>4600050407-10</t>
        </is>
      </c>
      <c r="C68" t="n">
        <v>4600050407</v>
      </c>
      <c r="D68" t="n">
        <v>10</v>
      </c>
      <c r="E68" t="inlineStr">
        <is>
          <t>MXPO</t>
        </is>
      </c>
      <c r="F68" t="inlineStr">
        <is>
          <t>MXL</t>
        </is>
      </c>
      <c r="G68" t="n">
        <v>900000367</v>
      </c>
      <c r="H68" t="inlineStr">
        <is>
          <t>TC ASFALTOS GUADALAJARA- ZAPOTE</t>
        </is>
      </c>
      <c r="I68" t="n">
        <v>5003735</v>
      </c>
      <c r="J68" t="inlineStr">
        <is>
          <t>ASFALTOS GUADALAJARA SAPI DE CV</t>
        </is>
      </c>
      <c r="K68" t="inlineStr">
        <is>
          <t>Z04</t>
        </is>
      </c>
      <c r="L68" t="inlineStr">
        <is>
          <t>(AP) 30 Dias</t>
        </is>
      </c>
      <c r="M68" t="n">
        <v>10000726</v>
      </c>
      <c r="N68" t="inlineStr">
        <is>
          <t>Grava Triturada Basalto  13 mm - 1/2"</t>
        </is>
      </c>
      <c r="O68" t="inlineStr">
        <is>
          <t>DW68</t>
        </is>
      </c>
      <c r="P68" t="inlineStr">
        <is>
          <t>MX-CED. GUADALAJARA</t>
        </is>
      </c>
      <c r="Q68" t="n">
        <v>20210712</v>
      </c>
      <c r="R68" t="n">
        <v>20261231</v>
      </c>
      <c r="S68" t="n">
        <v>20220406</v>
      </c>
      <c r="T68" t="n">
        <v>20271231</v>
      </c>
      <c r="U68" t="n">
        <v>350</v>
      </c>
      <c r="V68" t="inlineStr">
        <is>
          <t>MXN</t>
        </is>
      </c>
      <c r="W68" t="inlineStr">
        <is>
          <t>M3</t>
        </is>
      </c>
      <c r="X68" t="n">
        <v>0</v>
      </c>
      <c r="Y68" t="inlineStr">
        <is>
          <t>MXN</t>
        </is>
      </c>
      <c r="Z68" t="inlineStr">
        <is>
          <t>M3</t>
        </is>
      </c>
      <c r="AC68" t="n">
        <v>56103637</v>
      </c>
      <c r="AD68" t="n">
        <v>6644241540</v>
      </c>
      <c r="AE68" t="n">
        <v>1</v>
      </c>
      <c r="AF68" t="inlineStr">
        <is>
          <t>ENTREGADO</t>
        </is>
      </c>
      <c r="AG68" t="n">
        <v>1.333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20230920</v>
      </c>
      <c r="AM68" t="inlineStr">
        <is>
          <t>DW68-900000367-10000726</t>
        </is>
      </c>
    </row>
    <row r="69">
      <c r="A69" t="inlineStr">
        <is>
          <t>900004166DW6810004258</t>
        </is>
      </c>
      <c r="B69" t="inlineStr">
        <is>
          <t>4600050431-20</t>
        </is>
      </c>
      <c r="C69" t="n">
        <v>4600050431</v>
      </c>
      <c r="D69" t="n">
        <v>20</v>
      </c>
      <c r="E69" t="inlineStr">
        <is>
          <t>MXPO</t>
        </is>
      </c>
      <c r="F69" t="inlineStr">
        <is>
          <t>MXL</t>
        </is>
      </c>
      <c r="G69" t="n">
        <v>900004166</v>
      </c>
      <c r="H69" t="inlineStr">
        <is>
          <t>TC- ASFALTOS GDL LA VEGA</t>
        </is>
      </c>
      <c r="I69" t="n">
        <v>5003735</v>
      </c>
      <c r="J69" t="inlineStr">
        <is>
          <t>ASFALTOS GUADALAJARA SAPI DE CV</t>
        </is>
      </c>
      <c r="K69" t="inlineStr">
        <is>
          <t>Z04</t>
        </is>
      </c>
      <c r="L69" t="inlineStr">
        <is>
          <t>(AP) 30 Dias</t>
        </is>
      </c>
      <c r="M69" t="n">
        <v>10004258</v>
      </c>
      <c r="N69" t="inlineStr">
        <is>
          <t>Sello Triturado Basalto 10 mm - 3/8"</t>
        </is>
      </c>
      <c r="O69" t="inlineStr">
        <is>
          <t>DW68</t>
        </is>
      </c>
      <c r="P69" t="inlineStr">
        <is>
          <t>MX-CED. GUADALAJARA</t>
        </is>
      </c>
      <c r="Q69" t="n">
        <v>20210801</v>
      </c>
      <c r="R69" t="n">
        <v>20281231</v>
      </c>
      <c r="S69" t="n">
        <v>20230629</v>
      </c>
      <c r="T69" t="n">
        <v>20281231</v>
      </c>
      <c r="U69" t="n">
        <v>480</v>
      </c>
      <c r="V69" t="inlineStr">
        <is>
          <t>MXN</t>
        </is>
      </c>
      <c r="W69" t="inlineStr">
        <is>
          <t>M3</t>
        </is>
      </c>
      <c r="X69" t="n">
        <v>0</v>
      </c>
      <c r="Y69" t="inlineStr">
        <is>
          <t>MXN</t>
        </is>
      </c>
      <c r="Z69" t="inlineStr">
        <is>
          <t>M3</t>
        </is>
      </c>
      <c r="AC69" t="n">
        <v>56103637</v>
      </c>
      <c r="AD69" t="n">
        <v>6644241540</v>
      </c>
      <c r="AE69" t="n">
        <v>1</v>
      </c>
      <c r="AF69" t="inlineStr">
        <is>
          <t>ENTREGADO</t>
        </is>
      </c>
      <c r="AG69" t="n">
        <v>1.53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20230920</v>
      </c>
      <c r="AM69" t="inlineStr">
        <is>
          <t>DW68-900004166-10004258</t>
        </is>
      </c>
    </row>
    <row r="70">
      <c r="A70" t="inlineStr">
        <is>
          <t>900000408DW6810000191</t>
        </is>
      </c>
      <c r="B70" t="inlineStr">
        <is>
          <t>4600050408-30</t>
        </is>
      </c>
      <c r="C70" t="n">
        <v>4600050408</v>
      </c>
      <c r="D70" t="n">
        <v>30</v>
      </c>
      <c r="E70" t="inlineStr">
        <is>
          <t>MXPO</t>
        </is>
      </c>
      <c r="F70" t="inlineStr">
        <is>
          <t>MXL</t>
        </is>
      </c>
      <c r="G70" t="n">
        <v>900000408</v>
      </c>
      <c r="H70" t="inlineStr">
        <is>
          <t>TC ASFALTOS GUADALAJARA- VALLE GPE</t>
        </is>
      </c>
      <c r="I70" t="n">
        <v>5003735</v>
      </c>
      <c r="J70" t="inlineStr">
        <is>
          <t>ASFALTOS GUADALAJARA SAPI DE CV</t>
        </is>
      </c>
      <c r="K70" t="inlineStr">
        <is>
          <t>Z04</t>
        </is>
      </c>
      <c r="L70" t="inlineStr">
        <is>
          <t>(AP) 30 Dias</t>
        </is>
      </c>
      <c r="M70" t="n">
        <v>10000191</v>
      </c>
      <c r="N70" t="inlineStr">
        <is>
          <t>Grava Triturada Basalto 20 mm - 3/4"</t>
        </is>
      </c>
      <c r="O70" t="inlineStr">
        <is>
          <t>DW68</t>
        </is>
      </c>
      <c r="P70" t="inlineStr">
        <is>
          <t>MX-CED. GUADALAJARA</t>
        </is>
      </c>
      <c r="Q70" t="n">
        <v>20210712</v>
      </c>
      <c r="R70" t="n">
        <v>20281231</v>
      </c>
      <c r="S70" t="n">
        <v>20230505</v>
      </c>
      <c r="T70" t="n">
        <v>20281231</v>
      </c>
      <c r="U70" t="n">
        <v>250</v>
      </c>
      <c r="V70" t="inlineStr">
        <is>
          <t>MXN</t>
        </is>
      </c>
      <c r="W70" t="inlineStr">
        <is>
          <t>M3</t>
        </is>
      </c>
      <c r="X70" t="n">
        <v>0</v>
      </c>
      <c r="Y70" t="inlineStr">
        <is>
          <t>MXN</t>
        </is>
      </c>
      <c r="Z70" t="inlineStr">
        <is>
          <t>M3</t>
        </is>
      </c>
      <c r="AC70" t="n">
        <v>56103637</v>
      </c>
      <c r="AD70" t="n">
        <v>6644241540</v>
      </c>
      <c r="AE70" t="n">
        <v>1</v>
      </c>
      <c r="AF70" t="inlineStr">
        <is>
          <t>ENTREGADO</t>
        </is>
      </c>
      <c r="AG70" t="n">
        <v>1.41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20230920</v>
      </c>
      <c r="AM70" t="inlineStr">
        <is>
          <t>DW68-900000408-10000191</t>
        </is>
      </c>
    </row>
    <row r="71">
      <c r="A71" t="inlineStr">
        <is>
          <t>900000408DW6810000388</t>
        </is>
      </c>
      <c r="B71" t="inlineStr">
        <is>
          <t>4600050408-20</t>
        </is>
      </c>
      <c r="C71" t="n">
        <v>4600050408</v>
      </c>
      <c r="D71" t="n">
        <v>20</v>
      </c>
      <c r="E71" t="inlineStr">
        <is>
          <t>MXPO</t>
        </is>
      </c>
      <c r="F71" t="inlineStr">
        <is>
          <t>MXL</t>
        </is>
      </c>
      <c r="G71" t="n">
        <v>900000408</v>
      </c>
      <c r="H71" t="inlineStr">
        <is>
          <t>TC ASFALTOS GUADALAJARA- VALLE GPE</t>
        </is>
      </c>
      <c r="I71" t="n">
        <v>5003735</v>
      </c>
      <c r="J71" t="inlineStr">
        <is>
          <t>ASFALTOS GUADALAJARA SAPI DE CV</t>
        </is>
      </c>
      <c r="K71" t="inlineStr">
        <is>
          <t>Z04</t>
        </is>
      </c>
      <c r="L71" t="inlineStr">
        <is>
          <t>(AP) 30 Dias</t>
        </is>
      </c>
      <c r="M71" t="n">
        <v>10000388</v>
      </c>
      <c r="N71" t="inlineStr">
        <is>
          <t>Grava Triturada Basalto  40 mm - 1 1/2"</t>
        </is>
      </c>
      <c r="O71" t="inlineStr">
        <is>
          <t>DW68</t>
        </is>
      </c>
      <c r="P71" t="inlineStr">
        <is>
          <t>MX-CED. GUADALAJARA</t>
        </is>
      </c>
      <c r="Q71" t="n">
        <v>20210712</v>
      </c>
      <c r="R71" t="n">
        <v>20281231</v>
      </c>
      <c r="S71" t="n">
        <v>20230505</v>
      </c>
      <c r="T71" t="n">
        <v>20281231</v>
      </c>
      <c r="U71" t="n">
        <v>250</v>
      </c>
      <c r="V71" t="inlineStr">
        <is>
          <t>MXN</t>
        </is>
      </c>
      <c r="W71" t="inlineStr">
        <is>
          <t>M3</t>
        </is>
      </c>
      <c r="X71" t="n">
        <v>0</v>
      </c>
      <c r="Y71" t="inlineStr">
        <is>
          <t>MXN</t>
        </is>
      </c>
      <c r="Z71" t="inlineStr">
        <is>
          <t>M3</t>
        </is>
      </c>
      <c r="AC71" t="n">
        <v>56103637</v>
      </c>
      <c r="AD71" t="n">
        <v>6644241540</v>
      </c>
      <c r="AE71" t="n">
        <v>1</v>
      </c>
      <c r="AF71" t="inlineStr">
        <is>
          <t>ENTREGADO</t>
        </is>
      </c>
      <c r="AG71" t="n">
        <v>1.395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20230920</v>
      </c>
      <c r="AM71" t="inlineStr">
        <is>
          <t>DW68-900000408-10000388</t>
        </is>
      </c>
    </row>
    <row r="72">
      <c r="A72" t="inlineStr">
        <is>
          <t>900004166DW6810000384</t>
        </is>
      </c>
      <c r="B72" t="inlineStr">
        <is>
          <t>4600050431-30</t>
        </is>
      </c>
      <c r="C72" t="n">
        <v>4600050431</v>
      </c>
      <c r="D72" t="n">
        <v>30</v>
      </c>
      <c r="E72" t="inlineStr">
        <is>
          <t>MXPO</t>
        </is>
      </c>
      <c r="F72" t="inlineStr">
        <is>
          <t>MXL</t>
        </is>
      </c>
      <c r="G72" t="n">
        <v>900004166</v>
      </c>
      <c r="H72" t="inlineStr">
        <is>
          <t>TC- ASFALTOS GDL LA VEGA</t>
        </is>
      </c>
      <c r="I72" t="n">
        <v>5003735</v>
      </c>
      <c r="J72" t="inlineStr">
        <is>
          <t>ASFALTOS GUADALAJARA SAPI DE CV</t>
        </is>
      </c>
      <c r="K72" t="inlineStr">
        <is>
          <t>Z04</t>
        </is>
      </c>
      <c r="L72" t="inlineStr">
        <is>
          <t>(AP) 30 Dias</t>
        </is>
      </c>
      <c r="M72" t="n">
        <v>10000384</v>
      </c>
      <c r="N72" t="inlineStr">
        <is>
          <t>Arena Triturada Basalto Malla 4</t>
        </is>
      </c>
      <c r="O72" t="inlineStr">
        <is>
          <t>DW68</t>
        </is>
      </c>
      <c r="P72" t="inlineStr">
        <is>
          <t>MX-CED. GUADALAJARA</t>
        </is>
      </c>
      <c r="Q72" t="n">
        <v>20210801</v>
      </c>
      <c r="R72" t="n">
        <v>20281231</v>
      </c>
      <c r="S72" t="n">
        <v>20230629</v>
      </c>
      <c r="T72" t="n">
        <v>20281231</v>
      </c>
      <c r="U72" t="n">
        <v>330</v>
      </c>
      <c r="V72" t="inlineStr">
        <is>
          <t>MXN</t>
        </is>
      </c>
      <c r="W72" t="inlineStr">
        <is>
          <t>M3</t>
        </is>
      </c>
      <c r="X72" t="n">
        <v>0</v>
      </c>
      <c r="Y72" t="inlineStr">
        <is>
          <t>MXN</t>
        </is>
      </c>
      <c r="Z72" t="inlineStr">
        <is>
          <t>M3</t>
        </is>
      </c>
      <c r="AC72" t="n">
        <v>56103638</v>
      </c>
      <c r="AD72" t="n">
        <v>6644241540</v>
      </c>
      <c r="AE72" t="n">
        <v>1</v>
      </c>
      <c r="AF72" t="inlineStr">
        <is>
          <t>ENTREGADO</t>
        </is>
      </c>
      <c r="AG72" t="n">
        <v>1.61</v>
      </c>
      <c r="AH72" t="inlineStr">
        <is>
          <t>M3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20230920</v>
      </c>
      <c r="AM72" t="inlineStr">
        <is>
          <t>DW68-900004166-10000384</t>
        </is>
      </c>
    </row>
    <row r="73">
      <c r="A73" t="inlineStr">
        <is>
          <t>900004166DW6810034701</t>
        </is>
      </c>
      <c r="B73" t="inlineStr">
        <is>
          <t>4600050431-10</t>
        </is>
      </c>
      <c r="C73" t="n">
        <v>4600050431</v>
      </c>
      <c r="D73" t="n">
        <v>10</v>
      </c>
      <c r="E73" t="inlineStr">
        <is>
          <t>MXPO</t>
        </is>
      </c>
      <c r="F73" t="inlineStr">
        <is>
          <t>MXL</t>
        </is>
      </c>
      <c r="G73" t="n">
        <v>900004166</v>
      </c>
      <c r="H73" t="inlineStr">
        <is>
          <t>TC- ASFALTOS GDL LA VEGA</t>
        </is>
      </c>
      <c r="I73" t="n">
        <v>5003735</v>
      </c>
      <c r="J73" t="inlineStr">
        <is>
          <t>ASFALTOS GUADALAJARA SAPI DE CV</t>
        </is>
      </c>
      <c r="K73" t="inlineStr">
        <is>
          <t>Z04</t>
        </is>
      </c>
      <c r="L73" t="inlineStr">
        <is>
          <t>(AP) 30 Dias</t>
        </is>
      </c>
      <c r="M73" t="n">
        <v>10034701</v>
      </c>
      <c r="N73" t="inlineStr">
        <is>
          <t>Grava Triturada Basalto  20 mm - 3/4</t>
        </is>
      </c>
      <c r="O73" t="inlineStr">
        <is>
          <t>DW68</t>
        </is>
      </c>
      <c r="P73" t="inlineStr">
        <is>
          <t>MX-CED. GUADALAJARA</t>
        </is>
      </c>
      <c r="Q73" t="n">
        <v>20210801</v>
      </c>
      <c r="R73" t="n">
        <v>20281231</v>
      </c>
      <c r="S73" t="n">
        <v>20230629</v>
      </c>
      <c r="T73" t="n">
        <v>20281231</v>
      </c>
      <c r="U73" t="n">
        <v>250</v>
      </c>
      <c r="V73" t="inlineStr">
        <is>
          <t>MXN</t>
        </is>
      </c>
      <c r="W73" t="inlineStr">
        <is>
          <t>M3</t>
        </is>
      </c>
      <c r="X73" t="n">
        <v>0</v>
      </c>
      <c r="Y73" t="inlineStr">
        <is>
          <t>MXN</t>
        </is>
      </c>
      <c r="Z73" t="inlineStr">
        <is>
          <t>M3</t>
        </is>
      </c>
      <c r="AC73" t="n">
        <v>56103637</v>
      </c>
      <c r="AD73" t="n">
        <v>6644241540</v>
      </c>
      <c r="AE73" t="n">
        <v>1</v>
      </c>
      <c r="AF73" t="inlineStr">
        <is>
          <t>ENTREGADO</t>
        </is>
      </c>
      <c r="AG73" t="n">
        <v>1.375</v>
      </c>
      <c r="AH73" t="inlineStr">
        <is>
          <t>M3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20230920</v>
      </c>
      <c r="AM73" t="inlineStr">
        <is>
          <t>DW68-900004166-10034701</t>
        </is>
      </c>
    </row>
    <row r="74">
      <c r="A74" t="inlineStr">
        <is>
          <t>900005508DW68D26410000388</t>
        </is>
      </c>
      <c r="B74" t="inlineStr">
        <is>
          <t>4600050448-120</t>
        </is>
      </c>
      <c r="C74" t="n">
        <v>4600050448</v>
      </c>
      <c r="D74" t="n">
        <v>120</v>
      </c>
      <c r="E74" t="inlineStr">
        <is>
          <t>MXPO</t>
        </is>
      </c>
      <c r="F74" t="inlineStr">
        <is>
          <t>MXL</t>
        </is>
      </c>
      <c r="G74" t="n">
        <v>900005508</v>
      </c>
      <c r="H74" t="inlineStr">
        <is>
          <t>TC-ED JUAN DAVALOS</t>
        </is>
      </c>
      <c r="I74" t="n">
        <v>5014444</v>
      </c>
      <c r="J74" t="inlineStr">
        <is>
          <t>DAVALOS GUTIERREZ JUAN JOSE</t>
        </is>
      </c>
      <c r="K74" t="inlineStr">
        <is>
          <t>N90</t>
        </is>
      </c>
      <c r="L74" t="inlineStr">
        <is>
          <t>(AP) NAFIN 90 Dias</t>
        </is>
      </c>
      <c r="M74" t="n">
        <v>10000388</v>
      </c>
      <c r="N74" t="inlineStr">
        <is>
          <t>Grava Triturada Basalto  40 mm - 1 1/2"</t>
        </is>
      </c>
      <c r="O74" t="inlineStr">
        <is>
          <t>DW68</t>
        </is>
      </c>
      <c r="P74" t="inlineStr">
        <is>
          <t>MX-CED. GUADALAJARA</t>
        </is>
      </c>
      <c r="Q74" t="n">
        <v>20210801</v>
      </c>
      <c r="R74" t="n">
        <v>20261231</v>
      </c>
      <c r="S74" t="n">
        <v>20220701</v>
      </c>
      <c r="T74" t="n">
        <v>20271231</v>
      </c>
      <c r="U74" t="n">
        <v>242</v>
      </c>
      <c r="V74" t="inlineStr">
        <is>
          <t>MXN</t>
        </is>
      </c>
      <c r="W74" t="inlineStr">
        <is>
          <t>M3</t>
        </is>
      </c>
      <c r="X74" t="n">
        <v>117</v>
      </c>
      <c r="Y74" t="inlineStr">
        <is>
          <t>MXN</t>
        </is>
      </c>
      <c r="Z74" t="inlineStr">
        <is>
          <t>M3</t>
        </is>
      </c>
      <c r="AA74" t="inlineStr">
        <is>
          <t>D264</t>
        </is>
      </c>
      <c r="AB74" t="inlineStr">
        <is>
          <t>PD0083 GUADALAJARA I III</t>
        </is>
      </c>
      <c r="AC74" t="n">
        <v>56103637</v>
      </c>
      <c r="AD74" t="n">
        <v>6644241540</v>
      </c>
      <c r="AE74" t="n">
        <v>4</v>
      </c>
      <c r="AF74" t="inlineStr">
        <is>
          <t>ENTREGA DIRECTA</t>
        </is>
      </c>
      <c r="AG74" t="n">
        <v>1.395</v>
      </c>
      <c r="AH74" t="inlineStr">
        <is>
          <t>M3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20230920</v>
      </c>
      <c r="AM74" t="inlineStr">
        <is>
          <t>DW68-900005508-D264-10000388-4</t>
        </is>
      </c>
    </row>
    <row r="75">
      <c r="A75" t="inlineStr">
        <is>
          <t>900005508DW68D20910000388</t>
        </is>
      </c>
      <c r="B75" t="inlineStr">
        <is>
          <t>4600050448-10</t>
        </is>
      </c>
      <c r="C75" t="n">
        <v>4600050448</v>
      </c>
      <c r="D75" t="n">
        <v>10</v>
      </c>
      <c r="E75" t="inlineStr">
        <is>
          <t>MXPO</t>
        </is>
      </c>
      <c r="F75" t="inlineStr">
        <is>
          <t>MXL</t>
        </is>
      </c>
      <c r="G75" t="n">
        <v>900005508</v>
      </c>
      <c r="H75" t="inlineStr">
        <is>
          <t>TC-ED JUAN DAVALOS</t>
        </is>
      </c>
      <c r="I75" t="n">
        <v>5014444</v>
      </c>
      <c r="J75" t="inlineStr">
        <is>
          <t>DAVALOS GUTIERREZ JUAN JOSE</t>
        </is>
      </c>
      <c r="K75" t="inlineStr">
        <is>
          <t>N90</t>
        </is>
      </c>
      <c r="L75" t="inlineStr">
        <is>
          <t>(AP) NAFIN 90 Dias</t>
        </is>
      </c>
      <c r="M75" t="n">
        <v>10000388</v>
      </c>
      <c r="N75" t="inlineStr">
        <is>
          <t>Grava Triturada Basalto  40 mm - 1 1/2"</t>
        </is>
      </c>
      <c r="O75" t="inlineStr">
        <is>
          <t>DW68</t>
        </is>
      </c>
      <c r="P75" t="inlineStr">
        <is>
          <t>MX-CED. GUADALAJARA</t>
        </is>
      </c>
      <c r="Q75" t="n">
        <v>20210801</v>
      </c>
      <c r="R75" t="n">
        <v>20261231</v>
      </c>
      <c r="S75" t="n">
        <v>20220701</v>
      </c>
      <c r="T75" t="n">
        <v>20271231</v>
      </c>
      <c r="U75" t="n">
        <v>228</v>
      </c>
      <c r="V75" t="inlineStr">
        <is>
          <t>MXN</t>
        </is>
      </c>
      <c r="W75" t="inlineStr">
        <is>
          <t>M3</t>
        </is>
      </c>
      <c r="X75" t="n">
        <v>103</v>
      </c>
      <c r="Y75" t="inlineStr">
        <is>
          <t>MXN</t>
        </is>
      </c>
      <c r="Z75" t="inlineStr">
        <is>
          <t>M3</t>
        </is>
      </c>
      <c r="AA75" t="inlineStr">
        <is>
          <t>D209</t>
        </is>
      </c>
      <c r="AB75" t="inlineStr">
        <is>
          <t>PD0127 MANANTIAL</t>
        </is>
      </c>
      <c r="AC75" t="n">
        <v>56103637</v>
      </c>
      <c r="AD75" t="n">
        <v>6644241540</v>
      </c>
      <c r="AE75" t="n">
        <v>4</v>
      </c>
      <c r="AF75" t="inlineStr">
        <is>
          <t>ENTREGA DIRECTA</t>
        </is>
      </c>
      <c r="AG75" t="n">
        <v>1.395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20230920</v>
      </c>
      <c r="AM75" t="inlineStr">
        <is>
          <t>DW68-900005508-D209-10000388-4</t>
        </is>
      </c>
    </row>
    <row r="76">
      <c r="A76" t="inlineStr">
        <is>
          <t>900005508DW68D04210000388</t>
        </is>
      </c>
      <c r="B76" t="inlineStr">
        <is>
          <t>4600050448-140</t>
        </is>
      </c>
      <c r="C76" t="n">
        <v>4600050448</v>
      </c>
      <c r="D76" t="n">
        <v>140</v>
      </c>
      <c r="E76" t="inlineStr">
        <is>
          <t>MXPO</t>
        </is>
      </c>
      <c r="F76" t="inlineStr">
        <is>
          <t>MXL</t>
        </is>
      </c>
      <c r="G76" t="n">
        <v>900005508</v>
      </c>
      <c r="H76" t="inlineStr">
        <is>
          <t>TC-ED JUAN DAVALOS</t>
        </is>
      </c>
      <c r="I76" t="n">
        <v>5014444</v>
      </c>
      <c r="J76" t="inlineStr">
        <is>
          <t>DAVALOS GUTIERREZ JUAN JOSE</t>
        </is>
      </c>
      <c r="K76" t="inlineStr">
        <is>
          <t>N90</t>
        </is>
      </c>
      <c r="L76" t="inlineStr">
        <is>
          <t>(AP) NAFIN 90 Dias</t>
        </is>
      </c>
      <c r="M76" t="n">
        <v>10000388</v>
      </c>
      <c r="N76" t="inlineStr">
        <is>
          <t>Grava Triturada Basalto  40 mm - 1 1/2"</t>
        </is>
      </c>
      <c r="O76" t="inlineStr">
        <is>
          <t>DW68</t>
        </is>
      </c>
      <c r="P76" t="inlineStr">
        <is>
          <t>MX-CED. GUADALAJARA</t>
        </is>
      </c>
      <c r="Q76" t="n">
        <v>20210801</v>
      </c>
      <c r="R76" t="n">
        <v>20261231</v>
      </c>
      <c r="S76" t="n">
        <v>20220701</v>
      </c>
      <c r="T76" t="n">
        <v>20271231</v>
      </c>
      <c r="U76" t="n">
        <v>254</v>
      </c>
      <c r="V76" t="inlineStr">
        <is>
          <t>MXN</t>
        </is>
      </c>
      <c r="W76" t="inlineStr">
        <is>
          <t>M3</t>
        </is>
      </c>
      <c r="X76" t="n">
        <v>129</v>
      </c>
      <c r="Y76" t="inlineStr">
        <is>
          <t>MXN</t>
        </is>
      </c>
      <c r="Z76" t="inlineStr">
        <is>
          <t>M3</t>
        </is>
      </c>
      <c r="AA76" t="inlineStr">
        <is>
          <t>D042</t>
        </is>
      </c>
      <c r="AB76" t="inlineStr">
        <is>
          <t>PD0406 PLANTA PONIENTE</t>
        </is>
      </c>
      <c r="AC76" t="n">
        <v>56103637</v>
      </c>
      <c r="AD76" t="n">
        <v>6644241540</v>
      </c>
      <c r="AE76" t="n">
        <v>4</v>
      </c>
      <c r="AF76" t="inlineStr">
        <is>
          <t>ENTREGA DIRECTA</t>
        </is>
      </c>
      <c r="AG76" t="n">
        <v>1.395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20230920</v>
      </c>
      <c r="AM76" t="inlineStr">
        <is>
          <t>DW68-900005508-D042-10000388-4</t>
        </is>
      </c>
    </row>
    <row r="77">
      <c r="A77" t="inlineStr">
        <is>
          <t>900005508DW68D24210000388</t>
        </is>
      </c>
      <c r="B77" t="inlineStr">
        <is>
          <t>4600050448-100</t>
        </is>
      </c>
      <c r="C77" t="n">
        <v>4600050448</v>
      </c>
      <c r="D77" t="n">
        <v>100</v>
      </c>
      <c r="E77" t="inlineStr">
        <is>
          <t>MXPO</t>
        </is>
      </c>
      <c r="F77" t="inlineStr">
        <is>
          <t>MXL</t>
        </is>
      </c>
      <c r="G77" t="n">
        <v>900005508</v>
      </c>
      <c r="H77" t="inlineStr">
        <is>
          <t>TC-ED JUAN DAVALOS</t>
        </is>
      </c>
      <c r="I77" t="n">
        <v>5014444</v>
      </c>
      <c r="J77" t="inlineStr">
        <is>
          <t>DAVALOS GUTIERREZ JUAN JOSE</t>
        </is>
      </c>
      <c r="K77" t="inlineStr">
        <is>
          <t>N90</t>
        </is>
      </c>
      <c r="L77" t="inlineStr">
        <is>
          <t>(AP) NAFIN 90 Dias</t>
        </is>
      </c>
      <c r="M77" t="n">
        <v>10000388</v>
      </c>
      <c r="N77" t="inlineStr">
        <is>
          <t>Grava Triturada Basalto  40 mm - 1 1/2"</t>
        </is>
      </c>
      <c r="O77" t="inlineStr">
        <is>
          <t>DW68</t>
        </is>
      </c>
      <c r="P77" t="inlineStr">
        <is>
          <t>MX-CED. GUADALAJARA</t>
        </is>
      </c>
      <c r="Q77" t="n">
        <v>20210801</v>
      </c>
      <c r="R77" t="n">
        <v>20261231</v>
      </c>
      <c r="S77" t="n">
        <v>20220701</v>
      </c>
      <c r="T77" t="n">
        <v>20271231</v>
      </c>
      <c r="U77" t="n">
        <v>266</v>
      </c>
      <c r="V77" t="inlineStr">
        <is>
          <t>MXN</t>
        </is>
      </c>
      <c r="W77" t="inlineStr">
        <is>
          <t>M3</t>
        </is>
      </c>
      <c r="X77" t="n">
        <v>141</v>
      </c>
      <c r="Y77" t="inlineStr">
        <is>
          <t>MXN</t>
        </is>
      </c>
      <c r="Z77" t="inlineStr">
        <is>
          <t>M3</t>
        </is>
      </c>
      <c r="AA77" t="inlineStr">
        <is>
          <t>D242</t>
        </is>
      </c>
      <c r="AB77" t="inlineStr">
        <is>
          <t>PD0454 CD. LA GRANJA II</t>
        </is>
      </c>
      <c r="AC77" t="n">
        <v>56103637</v>
      </c>
      <c r="AD77" t="n">
        <v>6644241540</v>
      </c>
      <c r="AE77" t="n">
        <v>4</v>
      </c>
      <c r="AF77" t="inlineStr">
        <is>
          <t>ENTREGA DIRECTA</t>
        </is>
      </c>
      <c r="AG77" t="n">
        <v>1.395</v>
      </c>
      <c r="AH77" t="inlineStr">
        <is>
          <t>M3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20230920</v>
      </c>
      <c r="AM77" t="inlineStr">
        <is>
          <t>DW68-900005508-D242-10000388-4</t>
        </is>
      </c>
    </row>
    <row r="78">
      <c r="A78" t="inlineStr">
        <is>
          <t>900005508DW68D25110000388</t>
        </is>
      </c>
      <c r="B78" t="inlineStr">
        <is>
          <t>4600050448-180</t>
        </is>
      </c>
      <c r="C78" t="n">
        <v>4600050448</v>
      </c>
      <c r="D78" t="n">
        <v>180</v>
      </c>
      <c r="E78" t="inlineStr">
        <is>
          <t>MXPO</t>
        </is>
      </c>
      <c r="F78" t="inlineStr">
        <is>
          <t>MXL</t>
        </is>
      </c>
      <c r="G78" t="n">
        <v>900005508</v>
      </c>
      <c r="H78" t="inlineStr">
        <is>
          <t>TC-ED JUAN DAVALOS</t>
        </is>
      </c>
      <c r="I78" t="n">
        <v>5014444</v>
      </c>
      <c r="J78" t="inlineStr">
        <is>
          <t>DAVALOS GUTIERREZ JUAN JOSE</t>
        </is>
      </c>
      <c r="K78" t="inlineStr">
        <is>
          <t>N90</t>
        </is>
      </c>
      <c r="L78" t="inlineStr">
        <is>
          <t>(AP) NAFIN 90 Dias</t>
        </is>
      </c>
      <c r="M78" t="n">
        <v>10000388</v>
      </c>
      <c r="N78" t="inlineStr">
        <is>
          <t>Grava Triturada Basalto  40 mm - 1 1/2"</t>
        </is>
      </c>
      <c r="O78" t="inlineStr">
        <is>
          <t>DW68</t>
        </is>
      </c>
      <c r="P78" t="inlineStr">
        <is>
          <t>MX-CED. GUADALAJARA</t>
        </is>
      </c>
      <c r="Q78" t="n">
        <v>20210801</v>
      </c>
      <c r="R78" t="n">
        <v>20261231</v>
      </c>
      <c r="S78" t="n">
        <v>20220701</v>
      </c>
      <c r="T78" t="n">
        <v>20271231</v>
      </c>
      <c r="U78" t="n">
        <v>227</v>
      </c>
      <c r="V78" t="inlineStr">
        <is>
          <t>MXN</t>
        </is>
      </c>
      <c r="W78" t="inlineStr">
        <is>
          <t>M3</t>
        </is>
      </c>
      <c r="X78" t="n">
        <v>102</v>
      </c>
      <c r="Y78" t="inlineStr">
        <is>
          <t>MXN</t>
        </is>
      </c>
      <c r="Z78" t="inlineStr">
        <is>
          <t>M3</t>
        </is>
      </c>
      <c r="AA78" t="inlineStr">
        <is>
          <t>D251</t>
        </is>
      </c>
      <c r="AB78" t="inlineStr">
        <is>
          <t>PD0339 EL SALTO</t>
        </is>
      </c>
      <c r="AC78" t="n">
        <v>56103637</v>
      </c>
      <c r="AD78" t="n">
        <v>6644241540</v>
      </c>
      <c r="AE78" t="n">
        <v>4</v>
      </c>
      <c r="AF78" t="inlineStr">
        <is>
          <t>ENTREGA DIRECTA</t>
        </is>
      </c>
      <c r="AG78" t="n">
        <v>1.395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20230920</v>
      </c>
      <c r="AM78" t="inlineStr">
        <is>
          <t>DW68-900005508-D251-10000388-4</t>
        </is>
      </c>
    </row>
    <row r="79">
      <c r="A79" t="inlineStr">
        <is>
          <t>900002068DW68D21410000835</t>
        </is>
      </c>
      <c r="B79" t="inlineStr">
        <is>
          <t>4600050418-20</t>
        </is>
      </c>
      <c r="C79" t="n">
        <v>4600050418</v>
      </c>
      <c r="D79" t="n">
        <v>20</v>
      </c>
      <c r="E79" t="inlineStr">
        <is>
          <t>MXPO</t>
        </is>
      </c>
      <c r="F79" t="inlineStr">
        <is>
          <t>MXL</t>
        </is>
      </c>
      <c r="G79" t="n">
        <v>900002068</v>
      </c>
      <c r="H79" t="inlineStr">
        <is>
          <t>TC-ED- EL PACHON</t>
        </is>
      </c>
      <c r="I79" t="n">
        <v>5043944</v>
      </c>
      <c r="J79" t="inlineStr">
        <is>
          <t>CONSTRUCCIONES MAREVA DE OCCIDENTE</t>
        </is>
      </c>
      <c r="K79" t="inlineStr">
        <is>
          <t>Z04</t>
        </is>
      </c>
      <c r="L79" t="inlineStr">
        <is>
          <t>(AP) 30 Dias</t>
        </is>
      </c>
      <c r="M79" t="n">
        <v>10000835</v>
      </c>
      <c r="N79" t="inlineStr">
        <is>
          <t>Arena Clasificada Río Malla 4</t>
        </is>
      </c>
      <c r="O79" t="inlineStr">
        <is>
          <t>DW68</t>
        </is>
      </c>
      <c r="P79" t="inlineStr">
        <is>
          <t>MX-CED. GUADALAJARA</t>
        </is>
      </c>
      <c r="Q79" t="n">
        <v>20210712</v>
      </c>
      <c r="R79" t="n">
        <v>20281231</v>
      </c>
      <c r="S79" t="n">
        <v>20230202</v>
      </c>
      <c r="T79" t="n">
        <v>20281231</v>
      </c>
      <c r="U79" t="n">
        <v>191.53</v>
      </c>
      <c r="V79" t="inlineStr">
        <is>
          <t>MXN</t>
        </is>
      </c>
      <c r="W79" t="inlineStr">
        <is>
          <t>M3</t>
        </is>
      </c>
      <c r="X79" t="n">
        <v>125.53</v>
      </c>
      <c r="Y79" t="inlineStr">
        <is>
          <t>MXN</t>
        </is>
      </c>
      <c r="Z79" t="inlineStr">
        <is>
          <t>M3</t>
        </is>
      </c>
      <c r="AA79" t="inlineStr">
        <is>
          <t>D214</t>
        </is>
      </c>
      <c r="AB79" t="inlineStr">
        <is>
          <t>PD0174 EL SALTO 2</t>
        </is>
      </c>
      <c r="AC79" t="n">
        <v>56103638</v>
      </c>
      <c r="AD79" t="n">
        <v>6644241540</v>
      </c>
      <c r="AE79" t="n">
        <v>4</v>
      </c>
      <c r="AF79" t="inlineStr">
        <is>
          <t>ENTREGA DIRECTA</t>
        </is>
      </c>
      <c r="AG79" t="n">
        <v>1.18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20230920</v>
      </c>
      <c r="AM79" t="inlineStr">
        <is>
          <t>DW68-900002068-D214-10000835-4</t>
        </is>
      </c>
    </row>
    <row r="80">
      <c r="A80" t="inlineStr">
        <is>
          <t>900004153DW68D25110000388</t>
        </is>
      </c>
      <c r="B80" t="inlineStr">
        <is>
          <t>4600050430-390</t>
        </is>
      </c>
      <c r="C80" t="n">
        <v>4600050430</v>
      </c>
      <c r="D80" t="n">
        <v>390</v>
      </c>
      <c r="E80" t="inlineStr">
        <is>
          <t>MXPO</t>
        </is>
      </c>
      <c r="F80" t="inlineStr">
        <is>
          <t>MXL</t>
        </is>
      </c>
      <c r="G80" t="n">
        <v>900004153</v>
      </c>
      <c r="H80" t="inlineStr">
        <is>
          <t>TC-ED GRAVASE PONCITLAN</t>
        </is>
      </c>
      <c r="I80" t="n">
        <v>5009010</v>
      </c>
      <c r="J80" t="inlineStr">
        <is>
          <t>GRAVASE SA DE CV</t>
        </is>
      </c>
      <c r="K80" t="inlineStr">
        <is>
          <t>Z04</t>
        </is>
      </c>
      <c r="L80" t="inlineStr">
        <is>
          <t>(AP) 30 Dias</t>
        </is>
      </c>
      <c r="M80" t="n">
        <v>10000388</v>
      </c>
      <c r="N80" t="inlineStr">
        <is>
          <t>Grava Triturada Basalto  40 mm - 1 1/2"</t>
        </is>
      </c>
      <c r="O80" t="inlineStr">
        <is>
          <t>DW68</t>
        </is>
      </c>
      <c r="P80" t="inlineStr">
        <is>
          <t>MX-CED. GUADALAJARA</t>
        </is>
      </c>
      <c r="Q80" t="n">
        <v>20210801</v>
      </c>
      <c r="R80" t="n">
        <v>20291231</v>
      </c>
      <c r="S80" t="n">
        <v>20260201</v>
      </c>
      <c r="T80" t="n">
        <v>20301231</v>
      </c>
      <c r="U80" t="n">
        <v>328.32</v>
      </c>
      <c r="V80" t="inlineStr">
        <is>
          <t>MXN</t>
        </is>
      </c>
      <c r="W80" t="inlineStr">
        <is>
          <t>TN</t>
        </is>
      </c>
      <c r="X80" t="n">
        <v>157.62</v>
      </c>
      <c r="Y80" t="inlineStr">
        <is>
          <t>MXN</t>
        </is>
      </c>
      <c r="Z80" t="inlineStr">
        <is>
          <t>TN</t>
        </is>
      </c>
      <c r="AA80" t="inlineStr">
        <is>
          <t>D251</t>
        </is>
      </c>
      <c r="AB80" t="inlineStr">
        <is>
          <t>PD0339 EL SALTO</t>
        </is>
      </c>
      <c r="AC80" t="n">
        <v>56103637</v>
      </c>
      <c r="AD80" t="n">
        <v>6644241540</v>
      </c>
      <c r="AE80" t="n">
        <v>4</v>
      </c>
      <c r="AF80" t="inlineStr">
        <is>
          <t>ENTREGA DIRECTA</t>
        </is>
      </c>
      <c r="AG80" t="n">
        <v>1</v>
      </c>
      <c r="AH80" t="inlineStr">
        <is>
          <t>TO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20260304</v>
      </c>
      <c r="AM80" t="inlineStr">
        <is>
          <t>DW68-900004153-D251-10000388-4</t>
        </is>
      </c>
    </row>
    <row r="81">
      <c r="A81" t="inlineStr">
        <is>
          <t>900009395DW6810270898</t>
        </is>
      </c>
      <c r="B81" t="inlineStr">
        <is>
          <t>4600071760-10</t>
        </is>
      </c>
      <c r="C81" t="n">
        <v>4600071760</v>
      </c>
      <c r="D81" t="n">
        <v>10</v>
      </c>
      <c r="E81" t="inlineStr">
        <is>
          <t>MXPO</t>
        </is>
      </c>
      <c r="F81" t="inlineStr">
        <is>
          <t>MXL</t>
        </is>
      </c>
      <c r="G81" t="n">
        <v>900009395</v>
      </c>
      <c r="H81" t="inlineStr">
        <is>
          <t>SF TC-GASA</t>
        </is>
      </c>
      <c r="I81" t="n">
        <v>5097224</v>
      </c>
      <c r="J81" t="inlineStr">
        <is>
          <t>TRITURADOS GASA SA DE CV</t>
        </is>
      </c>
      <c r="K81" t="inlineStr">
        <is>
          <t>Z09</t>
        </is>
      </c>
      <c r="L81" t="inlineStr">
        <is>
          <t>(AP) 90 Dias</t>
        </is>
      </c>
      <c r="M81" t="n">
        <v>10270898</v>
      </c>
      <c r="N81" t="inlineStr">
        <is>
          <t>MP BASE H. TRIT. BASALTO 1 1/2" A FINOS</t>
        </is>
      </c>
      <c r="O81" t="inlineStr">
        <is>
          <t>DW68</t>
        </is>
      </c>
      <c r="P81" t="inlineStr">
        <is>
          <t>MX-CED. GUADALAJARA</t>
        </is>
      </c>
      <c r="Q81" t="n">
        <v>20251110</v>
      </c>
      <c r="R81" t="n">
        <v>20301231</v>
      </c>
      <c r="S81" t="n">
        <v>20251110</v>
      </c>
      <c r="T81" t="n">
        <v>20301231</v>
      </c>
      <c r="U81" t="n">
        <v>270</v>
      </c>
      <c r="V81" t="inlineStr">
        <is>
          <t>MXN</t>
        </is>
      </c>
      <c r="W81" t="inlineStr">
        <is>
          <t>M3</t>
        </is>
      </c>
      <c r="X81" t="n">
        <v>0</v>
      </c>
      <c r="Y81" t="inlineStr">
        <is>
          <t>MXN</t>
        </is>
      </c>
      <c r="Z81" t="inlineStr">
        <is>
          <t>M3</t>
        </is>
      </c>
      <c r="AC81" t="n">
        <v>56103590</v>
      </c>
      <c r="AD81" t="n">
        <v>6644241540</v>
      </c>
      <c r="AE81" t="n">
        <v>2</v>
      </c>
      <c r="AF81" t="inlineStr">
        <is>
          <t>RECOGIDO</t>
        </is>
      </c>
      <c r="AG81" t="n">
        <v>1.551</v>
      </c>
      <c r="AH81" t="inlineStr">
        <is>
          <t>M3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20251222</v>
      </c>
      <c r="AM81" t="inlineStr">
        <is>
          <t>DW68-900009395-10270898</t>
        </is>
      </c>
    </row>
    <row r="82">
      <c r="A82" t="inlineStr">
        <is>
          <t>900009420DW68D57710251385</t>
        </is>
      </c>
      <c r="B82" t="inlineStr">
        <is>
          <t>4600071943-270</t>
        </is>
      </c>
      <c r="C82" t="n">
        <v>4600071943</v>
      </c>
      <c r="D82" t="n">
        <v>270</v>
      </c>
      <c r="E82" t="inlineStr">
        <is>
          <t>MXPO</t>
        </is>
      </c>
      <c r="F82" t="inlineStr">
        <is>
          <t>MXL</t>
        </is>
      </c>
      <c r="G82" t="n">
        <v>900009420</v>
      </c>
      <c r="H82" t="inlineStr">
        <is>
          <t>SF TC-ED HOLCIM GDL</t>
        </is>
      </c>
      <c r="I82" t="n">
        <v>5040590</v>
      </c>
      <c r="J82" t="inlineStr">
        <is>
          <t>HOLCIM MEXICO OPERACIONES SA DE CV</t>
        </is>
      </c>
      <c r="K82" t="inlineStr">
        <is>
          <t>Z06</t>
        </is>
      </c>
      <c r="L82" t="inlineStr">
        <is>
          <t>(AP) 45 Dias</t>
        </is>
      </c>
      <c r="M82" t="n">
        <v>10251385</v>
      </c>
      <c r="N82" t="inlineStr">
        <is>
          <t>BASE H TRITURADA BASALTO 1 1/2" A FINOS-</t>
        </is>
      </c>
      <c r="O82" t="inlineStr">
        <is>
          <t>DW68</t>
        </is>
      </c>
      <c r="P82" t="inlineStr">
        <is>
          <t>MX-CED. GUADALAJARA</t>
        </is>
      </c>
      <c r="Q82" t="n">
        <v>20260126</v>
      </c>
      <c r="R82" t="n">
        <v>20301231</v>
      </c>
      <c r="U82" t="n">
        <v>0</v>
      </c>
      <c r="V82" t="inlineStr">
        <is>
          <t>MXN</t>
        </is>
      </c>
      <c r="W82" t="inlineStr">
        <is>
          <t>TN</t>
        </is>
      </c>
      <c r="AA82" t="inlineStr">
        <is>
          <t>D577</t>
        </is>
      </c>
      <c r="AB82" t="inlineStr">
        <is>
          <t>D577 PD0681 PROY APTO GDL</t>
        </is>
      </c>
      <c r="AC82" t="n">
        <v>56103590</v>
      </c>
      <c r="AD82" t="n">
        <v>6644241540</v>
      </c>
      <c r="AE82" t="n">
        <v>4</v>
      </c>
      <c r="AF82" t="inlineStr">
        <is>
          <t>ENTREGA DIRECTA</t>
        </is>
      </c>
      <c r="AG82" t="n">
        <v>1</v>
      </c>
      <c r="AH82" t="inlineStr">
        <is>
          <t>TO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20260331</v>
      </c>
      <c r="AM82" t="inlineStr">
        <is>
          <t>DW68-900009420-D577-10251385-4</t>
        </is>
      </c>
    </row>
    <row r="83">
      <c r="A83" t="inlineStr">
        <is>
          <t>900009420DW68D57710270913</t>
        </is>
      </c>
      <c r="B83" t="inlineStr">
        <is>
          <t>4600071943-300</t>
        </is>
      </c>
      <c r="C83" t="n">
        <v>4600071943</v>
      </c>
      <c r="D83" t="n">
        <v>300</v>
      </c>
      <c r="E83" t="inlineStr">
        <is>
          <t>MXPO</t>
        </is>
      </c>
      <c r="F83" t="inlineStr">
        <is>
          <t>MXL</t>
        </is>
      </c>
      <c r="G83" t="n">
        <v>900009420</v>
      </c>
      <c r="H83" t="inlineStr">
        <is>
          <t>SF TC-ED HOLCIM GDL</t>
        </is>
      </c>
      <c r="I83" t="n">
        <v>5040590</v>
      </c>
      <c r="J83" t="inlineStr">
        <is>
          <t>HOLCIM MEXICO OPERACIONES SA DE CV</t>
        </is>
      </c>
      <c r="K83" t="inlineStr">
        <is>
          <t>Z06</t>
        </is>
      </c>
      <c r="L83" t="inlineStr">
        <is>
          <t>(AP) 45 Dias</t>
        </is>
      </c>
      <c r="M83" t="n">
        <v>10270913</v>
      </c>
      <c r="N83" t="inlineStr">
        <is>
          <t>MP GRAVA TRIT. BASALTO 20 MM - 3/4</t>
        </is>
      </c>
      <c r="O83" t="inlineStr">
        <is>
          <t>DW68</t>
        </is>
      </c>
      <c r="P83" t="inlineStr">
        <is>
          <t>MX-CED. GUADALAJARA</t>
        </is>
      </c>
      <c r="Q83" t="n">
        <v>20260126</v>
      </c>
      <c r="R83" t="n">
        <v>20301231</v>
      </c>
      <c r="U83" t="n">
        <v>0</v>
      </c>
      <c r="V83" t="inlineStr">
        <is>
          <t>MXN</t>
        </is>
      </c>
      <c r="W83" t="inlineStr">
        <is>
          <t>TN</t>
        </is>
      </c>
      <c r="AA83" t="inlineStr">
        <is>
          <t>D577</t>
        </is>
      </c>
      <c r="AB83" t="inlineStr">
        <is>
          <t>D577 PD0681 PROY APTO GDL</t>
        </is>
      </c>
      <c r="AC83" t="n">
        <v>56103637</v>
      </c>
      <c r="AD83" t="n">
        <v>6644241540</v>
      </c>
      <c r="AE83" t="n">
        <v>4</v>
      </c>
      <c r="AF83" t="inlineStr">
        <is>
          <t>ENTREGA DIRECTA</t>
        </is>
      </c>
      <c r="AG83" t="n">
        <v>1</v>
      </c>
      <c r="AH83" t="inlineStr">
        <is>
          <t>TO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20260331</v>
      </c>
      <c r="AM83" t="inlineStr">
        <is>
          <t>DW68-900009420-D577-10270913-4</t>
        </is>
      </c>
    </row>
    <row r="84">
      <c r="A84" t="inlineStr">
        <is>
          <t>900009420DW68ENV810209065</t>
        </is>
      </c>
      <c r="B84" t="inlineStr">
        <is>
          <t>4600071943-140</t>
        </is>
      </c>
      <c r="C84" t="n">
        <v>4600071943</v>
      </c>
      <c r="D84" t="n">
        <v>140</v>
      </c>
      <c r="E84" t="inlineStr">
        <is>
          <t>MXPO</t>
        </is>
      </c>
      <c r="F84" t="inlineStr">
        <is>
          <t>MXL</t>
        </is>
      </c>
      <c r="G84" t="n">
        <v>900009420</v>
      </c>
      <c r="H84" t="inlineStr">
        <is>
          <t>SF TC-ED HOLCIM GDL</t>
        </is>
      </c>
      <c r="I84" t="n">
        <v>5040590</v>
      </c>
      <c r="J84" t="inlineStr">
        <is>
          <t>HOLCIM MEXICO OPERACIONES SA DE CV</t>
        </is>
      </c>
      <c r="K84" t="inlineStr">
        <is>
          <t>Z06</t>
        </is>
      </c>
      <c r="L84" t="inlineStr">
        <is>
          <t>(AP) 45 Dias</t>
        </is>
      </c>
      <c r="M84" t="n">
        <v>10209065</v>
      </c>
      <c r="N84" t="inlineStr">
        <is>
          <t>FILTRO 5" A 7/8"</t>
        </is>
      </c>
      <c r="O84" t="inlineStr">
        <is>
          <t>DW68</t>
        </is>
      </c>
      <c r="P84" t="inlineStr">
        <is>
          <t>MX-CED. GUADALAJARA</t>
        </is>
      </c>
      <c r="Q84" t="n">
        <v>20260126</v>
      </c>
      <c r="R84" t="n">
        <v>20301231</v>
      </c>
      <c r="S84" t="n">
        <v>20260126</v>
      </c>
      <c r="T84" t="n">
        <v>20301231</v>
      </c>
      <c r="U84" t="n">
        <v>145</v>
      </c>
      <c r="V84" t="inlineStr">
        <is>
          <t>MXN</t>
        </is>
      </c>
      <c r="W84" t="inlineStr">
        <is>
          <t>TN</t>
        </is>
      </c>
      <c r="X84" t="n">
        <v>0.01</v>
      </c>
      <c r="Y84" t="inlineStr">
        <is>
          <t>MXN</t>
        </is>
      </c>
      <c r="Z84" t="inlineStr">
        <is>
          <t>TN</t>
        </is>
      </c>
      <c r="AA84" t="inlineStr">
        <is>
          <t>ENV8</t>
        </is>
      </c>
      <c r="AB84" t="inlineStr">
        <is>
          <t>Plataforma Aeropuerto GDL / GAP</t>
        </is>
      </c>
      <c r="AC84" t="n">
        <v>56103637</v>
      </c>
      <c r="AD84" t="n">
        <v>6644241540</v>
      </c>
      <c r="AE84" t="n">
        <v>4</v>
      </c>
      <c r="AF84" t="inlineStr">
        <is>
          <t>ENTREGA DIRECTA</t>
        </is>
      </c>
      <c r="AG84" t="n">
        <v>1</v>
      </c>
      <c r="AH84" t="inlineStr">
        <is>
          <t>TO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20260127</v>
      </c>
      <c r="AM84" t="inlineStr">
        <is>
          <t>DW68-900009420-ENV8-10209065-4</t>
        </is>
      </c>
    </row>
    <row r="85">
      <c r="A85" t="inlineStr">
        <is>
          <t>900000620DW68ENL110270911</t>
        </is>
      </c>
      <c r="B85" t="inlineStr">
        <is>
          <t>4600071941-20</t>
        </is>
      </c>
      <c r="C85" t="n">
        <v>4600071941</v>
      </c>
      <c r="D85" t="n">
        <v>20</v>
      </c>
      <c r="E85" t="inlineStr">
        <is>
          <t>MXPO</t>
        </is>
      </c>
      <c r="F85" t="inlineStr">
        <is>
          <t>MXL</t>
        </is>
      </c>
      <c r="G85" t="n">
        <v>900000620</v>
      </c>
      <c r="H85" t="inlineStr">
        <is>
          <t>TC-ED- GRAVASE STA. ROSA</t>
        </is>
      </c>
      <c r="I85" t="n">
        <v>5009010</v>
      </c>
      <c r="J85" t="inlineStr">
        <is>
          <t>GRAVASE SA DE CV</t>
        </is>
      </c>
      <c r="K85" t="inlineStr">
        <is>
          <t>Z04</t>
        </is>
      </c>
      <c r="L85" t="inlineStr">
        <is>
          <t>(AP) 30 Dias</t>
        </is>
      </c>
      <c r="M85" t="n">
        <v>10270911</v>
      </c>
      <c r="N85" t="inlineStr">
        <is>
          <t>MP GRAVA TRIT. BASALTO 40 MM - 1 1/2"</t>
        </is>
      </c>
      <c r="O85" t="inlineStr">
        <is>
          <t>DW68</t>
        </is>
      </c>
      <c r="P85" t="inlineStr">
        <is>
          <t>MX-CED. GUADALAJARA</t>
        </is>
      </c>
      <c r="Q85" t="n">
        <v>20260126</v>
      </c>
      <c r="R85" t="n">
        <v>20301231</v>
      </c>
      <c r="S85" t="n">
        <v>20260126</v>
      </c>
      <c r="T85" t="n">
        <v>20301231</v>
      </c>
      <c r="U85" t="n">
        <v>214</v>
      </c>
      <c r="V85" t="inlineStr">
        <is>
          <t>MXN</t>
        </is>
      </c>
      <c r="W85" t="inlineStr">
        <is>
          <t>TN</t>
        </is>
      </c>
      <c r="X85" t="n">
        <v>0.01</v>
      </c>
      <c r="Y85" t="inlineStr">
        <is>
          <t>MXN</t>
        </is>
      </c>
      <c r="Z85" t="inlineStr">
        <is>
          <t>TN</t>
        </is>
      </c>
      <c r="AA85" t="inlineStr">
        <is>
          <t>ENL1</t>
        </is>
      </c>
      <c r="AB85" t="inlineStr">
        <is>
          <t>MX-PD0681 INFRA APTO GDL</t>
        </is>
      </c>
      <c r="AC85" t="n">
        <v>56103637</v>
      </c>
      <c r="AD85" t="n">
        <v>6644241540</v>
      </c>
      <c r="AE85" t="n">
        <v>4</v>
      </c>
      <c r="AF85" t="inlineStr">
        <is>
          <t>ENTREGA DIRECTA</t>
        </is>
      </c>
      <c r="AG85" t="n">
        <v>1</v>
      </c>
      <c r="AH85" t="inlineStr">
        <is>
          <t>TO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20260127</v>
      </c>
      <c r="AM85" t="inlineStr">
        <is>
          <t>DW68-900000620-ENL1-10270911-4</t>
        </is>
      </c>
    </row>
    <row r="86">
      <c r="A86" t="inlineStr">
        <is>
          <t>900009234DW6810209065</t>
        </is>
      </c>
      <c r="B86" t="inlineStr">
        <is>
          <t>4600071790-10</t>
        </is>
      </c>
      <c r="C86" t="n">
        <v>4600071790</v>
      </c>
      <c r="D86" t="n">
        <v>10</v>
      </c>
      <c r="E86" t="inlineStr">
        <is>
          <t>MXPO</t>
        </is>
      </c>
      <c r="F86" t="inlineStr">
        <is>
          <t>MXL</t>
        </is>
      </c>
      <c r="G86" t="n">
        <v>900009234</v>
      </c>
      <c r="H86" t="inlineStr">
        <is>
          <t>SF TC-GYB BURRITOS</t>
        </is>
      </c>
      <c r="I86" t="n">
        <v>5010137</v>
      </c>
      <c r="J86" t="inlineStr">
        <is>
          <t>URBANIZACIONES G Y B SA DE CV</t>
        </is>
      </c>
      <c r="K86" t="inlineStr">
        <is>
          <t>Z09</t>
        </is>
      </c>
      <c r="L86" t="inlineStr">
        <is>
          <t>(AP) 90 Dias</t>
        </is>
      </c>
      <c r="M86" t="n">
        <v>10209065</v>
      </c>
      <c r="N86" t="inlineStr">
        <is>
          <t>FILTRO 5" A 7/8"</t>
        </is>
      </c>
      <c r="O86" t="inlineStr">
        <is>
          <t>DW68</t>
        </is>
      </c>
      <c r="P86" t="inlineStr">
        <is>
          <t>MX-CED. GUADALAJARA</t>
        </is>
      </c>
      <c r="Q86" t="n">
        <v>20251124</v>
      </c>
      <c r="R86" t="n">
        <v>20301231</v>
      </c>
      <c r="S86" t="n">
        <v>20251124</v>
      </c>
      <c r="T86" t="n">
        <v>20301231</v>
      </c>
      <c r="U86" t="n">
        <v>145</v>
      </c>
      <c r="V86" t="inlineStr">
        <is>
          <t>MXN</t>
        </is>
      </c>
      <c r="W86" t="inlineStr">
        <is>
          <t>M3</t>
        </is>
      </c>
      <c r="X86" t="n">
        <v>0</v>
      </c>
      <c r="Y86" t="inlineStr">
        <is>
          <t>MXN</t>
        </is>
      </c>
      <c r="Z86" t="inlineStr">
        <is>
          <t>M3</t>
        </is>
      </c>
      <c r="AC86" t="n">
        <v>56103637</v>
      </c>
      <c r="AD86" t="n">
        <v>6644241540</v>
      </c>
      <c r="AE86" t="n">
        <v>1</v>
      </c>
      <c r="AF86" t="inlineStr">
        <is>
          <t>ENTREGADO</t>
        </is>
      </c>
      <c r="AG86" t="n">
        <v>1.365</v>
      </c>
      <c r="AH86" t="inlineStr">
        <is>
          <t>M3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20251125</v>
      </c>
      <c r="AM86" t="inlineStr">
        <is>
          <t>DW68-900009234-10209065</t>
        </is>
      </c>
    </row>
    <row r="87">
      <c r="A87" t="inlineStr">
        <is>
          <t>900009419DW6810270912</t>
        </is>
      </c>
      <c r="B87" t="inlineStr">
        <is>
          <t>4600071812-30</t>
        </is>
      </c>
      <c r="C87" t="n">
        <v>4600071812</v>
      </c>
      <c r="D87" t="n">
        <v>30</v>
      </c>
      <c r="E87" t="inlineStr">
        <is>
          <t>MXPO</t>
        </is>
      </c>
      <c r="F87" t="inlineStr">
        <is>
          <t>MXL</t>
        </is>
      </c>
      <c r="G87" t="n">
        <v>900009419</v>
      </c>
      <c r="H87" t="inlineStr">
        <is>
          <t>SF TC-HOLCIM GDL</t>
        </is>
      </c>
      <c r="I87" t="n">
        <v>5040590</v>
      </c>
      <c r="J87" t="inlineStr">
        <is>
          <t>HOLCIM MEXICO OPERACIONES SA DE CV</t>
        </is>
      </c>
      <c r="K87" t="inlineStr">
        <is>
          <t>Z06</t>
        </is>
      </c>
      <c r="L87" t="inlineStr">
        <is>
          <t>(AP) 45 Dias</t>
        </is>
      </c>
      <c r="M87" t="n">
        <v>10270912</v>
      </c>
      <c r="N87" t="inlineStr">
        <is>
          <t>MP ARENA TRIT. BASALTO MALLA 4</t>
        </is>
      </c>
      <c r="O87" t="inlineStr">
        <is>
          <t>DW68</t>
        </is>
      </c>
      <c r="P87" t="inlineStr">
        <is>
          <t>MX-CED. GUADALAJARA</t>
        </is>
      </c>
      <c r="Q87" t="n">
        <v>20251202</v>
      </c>
      <c r="R87" t="n">
        <v>20301231</v>
      </c>
      <c r="S87" t="n">
        <v>20251202</v>
      </c>
      <c r="T87" t="n">
        <v>20301231</v>
      </c>
      <c r="U87" t="n">
        <v>179.4</v>
      </c>
      <c r="V87" t="inlineStr">
        <is>
          <t>MXN</t>
        </is>
      </c>
      <c r="W87" t="inlineStr">
        <is>
          <t>TN</t>
        </is>
      </c>
      <c r="X87" t="n">
        <v>0</v>
      </c>
      <c r="Y87" t="inlineStr">
        <is>
          <t>MXN</t>
        </is>
      </c>
      <c r="Z87" t="inlineStr">
        <is>
          <t>TN</t>
        </is>
      </c>
      <c r="AC87" t="n">
        <v>56103638</v>
      </c>
      <c r="AD87" t="n">
        <v>6644241540</v>
      </c>
      <c r="AE87" t="n">
        <v>1</v>
      </c>
      <c r="AF87" t="inlineStr">
        <is>
          <t>ENTREGADO</t>
        </is>
      </c>
      <c r="AG87" t="n">
        <v>1</v>
      </c>
      <c r="AH87" t="inlineStr">
        <is>
          <t>TO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20251203</v>
      </c>
      <c r="AM87" t="inlineStr">
        <is>
          <t>DW68-900009419-10270912</t>
        </is>
      </c>
    </row>
    <row r="88">
      <c r="A88" t="inlineStr">
        <is>
          <t>900009420DW68ENL110209065</t>
        </is>
      </c>
      <c r="B88" t="inlineStr">
        <is>
          <t>4600071943-80</t>
        </is>
      </c>
      <c r="C88" t="n">
        <v>4600071943</v>
      </c>
      <c r="D88" t="n">
        <v>80</v>
      </c>
      <c r="E88" t="inlineStr">
        <is>
          <t>MXPO</t>
        </is>
      </c>
      <c r="F88" t="inlineStr">
        <is>
          <t>MXL</t>
        </is>
      </c>
      <c r="G88" t="n">
        <v>900009420</v>
      </c>
      <c r="H88" t="inlineStr">
        <is>
          <t>SF TC-ED HOLCIM GDL</t>
        </is>
      </c>
      <c r="I88" t="n">
        <v>5040590</v>
      </c>
      <c r="J88" t="inlineStr">
        <is>
          <t>HOLCIM MEXICO OPERACIONES SA DE CV</t>
        </is>
      </c>
      <c r="K88" t="inlineStr">
        <is>
          <t>Z06</t>
        </is>
      </c>
      <c r="L88" t="inlineStr">
        <is>
          <t>(AP) 45 Dias</t>
        </is>
      </c>
      <c r="M88" t="n">
        <v>10209065</v>
      </c>
      <c r="N88" t="inlineStr">
        <is>
          <t>FILTRO 5" A 7/8"</t>
        </is>
      </c>
      <c r="O88" t="inlineStr">
        <is>
          <t>DW68</t>
        </is>
      </c>
      <c r="P88" t="inlineStr">
        <is>
          <t>MX-CED. GUADALAJARA</t>
        </is>
      </c>
      <c r="Q88" t="n">
        <v>20260126</v>
      </c>
      <c r="R88" t="n">
        <v>20301231</v>
      </c>
      <c r="S88" t="n">
        <v>20260126</v>
      </c>
      <c r="T88" t="n">
        <v>20301231</v>
      </c>
      <c r="U88" t="n">
        <v>145</v>
      </c>
      <c r="V88" t="inlineStr">
        <is>
          <t>MXN</t>
        </is>
      </c>
      <c r="W88" t="inlineStr">
        <is>
          <t>TN</t>
        </is>
      </c>
      <c r="X88" t="n">
        <v>0.01</v>
      </c>
      <c r="Y88" t="inlineStr">
        <is>
          <t>MXN</t>
        </is>
      </c>
      <c r="Z88" t="inlineStr">
        <is>
          <t>TN</t>
        </is>
      </c>
      <c r="AA88" t="inlineStr">
        <is>
          <t>ENL1</t>
        </is>
      </c>
      <c r="AB88" t="inlineStr">
        <is>
          <t>MX-PD0681 INFRA APTO GDL</t>
        </is>
      </c>
      <c r="AC88" t="n">
        <v>56103637</v>
      </c>
      <c r="AD88" t="n">
        <v>6644241540</v>
      </c>
      <c r="AE88" t="n">
        <v>4</v>
      </c>
      <c r="AF88" t="inlineStr">
        <is>
          <t>ENTREGA DIRECTA</t>
        </is>
      </c>
      <c r="AG88" t="n">
        <v>1</v>
      </c>
      <c r="AH88" t="inlineStr">
        <is>
          <t>TO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20260127</v>
      </c>
      <c r="AM88" t="inlineStr">
        <is>
          <t>DW68-900009420-ENL1-10209065-4</t>
        </is>
      </c>
    </row>
    <row r="89">
      <c r="A89" t="inlineStr">
        <is>
          <t>900009420DW68ENV910251385</t>
        </is>
      </c>
      <c r="B89" t="inlineStr">
        <is>
          <t>4600071943-210</t>
        </is>
      </c>
      <c r="C89" t="n">
        <v>4600071943</v>
      </c>
      <c r="D89" t="n">
        <v>210</v>
      </c>
      <c r="E89" t="inlineStr">
        <is>
          <t>MXPO</t>
        </is>
      </c>
      <c r="F89" t="inlineStr">
        <is>
          <t>MXL</t>
        </is>
      </c>
      <c r="G89" t="n">
        <v>900009420</v>
      </c>
      <c r="H89" t="inlineStr">
        <is>
          <t>SF TC-ED HOLCIM GDL</t>
        </is>
      </c>
      <c r="I89" t="n">
        <v>5040590</v>
      </c>
      <c r="J89" t="inlineStr">
        <is>
          <t>HOLCIM MEXICO OPERACIONES SA DE CV</t>
        </is>
      </c>
      <c r="K89" t="inlineStr">
        <is>
          <t>Z06</t>
        </is>
      </c>
      <c r="L89" t="inlineStr">
        <is>
          <t>(AP) 45 Dias</t>
        </is>
      </c>
      <c r="M89" t="n">
        <v>10251385</v>
      </c>
      <c r="N89" t="inlineStr">
        <is>
          <t>BASE H TRITURADA BASALTO 1 1/2" A FINOS-</t>
        </is>
      </c>
      <c r="O89" t="inlineStr">
        <is>
          <t>DW68</t>
        </is>
      </c>
      <c r="P89" t="inlineStr">
        <is>
          <t>MX-CED. GUADALAJARA</t>
        </is>
      </c>
      <c r="Q89" t="n">
        <v>20260126</v>
      </c>
      <c r="R89" t="n">
        <v>20301231</v>
      </c>
      <c r="S89" t="n">
        <v>20260126</v>
      </c>
      <c r="T89" t="n">
        <v>20301231</v>
      </c>
      <c r="U89" t="n">
        <v>220</v>
      </c>
      <c r="V89" t="inlineStr">
        <is>
          <t>MXN</t>
        </is>
      </c>
      <c r="W89" t="inlineStr">
        <is>
          <t>TN</t>
        </is>
      </c>
      <c r="X89" t="n">
        <v>0.01</v>
      </c>
      <c r="Y89" t="inlineStr">
        <is>
          <t>MXN</t>
        </is>
      </c>
      <c r="Z89" t="inlineStr">
        <is>
          <t>TN</t>
        </is>
      </c>
      <c r="AA89" t="inlineStr">
        <is>
          <t>ENV9</t>
        </is>
      </c>
      <c r="AB89" t="inlineStr">
        <is>
          <t>VIALIDADES AEROPUERTO GDL F1 Y F2 /</t>
        </is>
      </c>
      <c r="AC89" t="n">
        <v>56103590</v>
      </c>
      <c r="AD89" t="n">
        <v>6644241540</v>
      </c>
      <c r="AE89" t="n">
        <v>4</v>
      </c>
      <c r="AF89" t="inlineStr">
        <is>
          <t>ENTREGA DIRECTA</t>
        </is>
      </c>
      <c r="AG89" t="n">
        <v>1</v>
      </c>
      <c r="AH89" t="inlineStr">
        <is>
          <t>TO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20260127</v>
      </c>
      <c r="AM89" t="inlineStr">
        <is>
          <t>DW68-900009420-ENV9-10251385-4</t>
        </is>
      </c>
    </row>
    <row r="90">
      <c r="A90" t="inlineStr">
        <is>
          <t>900009420DW68ENEB10000439</t>
        </is>
      </c>
      <c r="B90" t="inlineStr">
        <is>
          <t>4600071943-10</t>
        </is>
      </c>
      <c r="C90" t="n">
        <v>4600071943</v>
      </c>
      <c r="D90" t="n">
        <v>10</v>
      </c>
      <c r="E90" t="inlineStr">
        <is>
          <t>MXPO</t>
        </is>
      </c>
      <c r="F90" t="inlineStr">
        <is>
          <t>MXL</t>
        </is>
      </c>
      <c r="G90" t="n">
        <v>900009420</v>
      </c>
      <c r="H90" t="inlineStr">
        <is>
          <t>SF TC-ED HOLCIM GDL</t>
        </is>
      </c>
      <c r="I90" t="n">
        <v>5040590</v>
      </c>
      <c r="J90" t="inlineStr">
        <is>
          <t>HOLCIM MEXICO OPERACIONES SA DE CV</t>
        </is>
      </c>
      <c r="K90" t="inlineStr">
        <is>
          <t>Z06</t>
        </is>
      </c>
      <c r="L90" t="inlineStr">
        <is>
          <t>(AP) 45 Dias</t>
        </is>
      </c>
      <c r="M90" t="n">
        <v>10000439</v>
      </c>
      <c r="N90" t="inlineStr">
        <is>
          <t>Grava Triturada Basalto 10 mm - 3/8"</t>
        </is>
      </c>
      <c r="O90" t="inlineStr">
        <is>
          <t>DW68</t>
        </is>
      </c>
      <c r="P90" t="inlineStr">
        <is>
          <t>MX-CED. GUADALAJARA</t>
        </is>
      </c>
      <c r="Q90" t="n">
        <v>20260126</v>
      </c>
      <c r="R90" t="n">
        <v>20301231</v>
      </c>
      <c r="S90" t="n">
        <v>20260126</v>
      </c>
      <c r="T90" t="n">
        <v>20301231</v>
      </c>
      <c r="U90" t="n">
        <v>217.6</v>
      </c>
      <c r="V90" t="inlineStr">
        <is>
          <t>MXN</t>
        </is>
      </c>
      <c r="W90" t="inlineStr">
        <is>
          <t>TN</t>
        </is>
      </c>
      <c r="X90" t="n">
        <v>0.01</v>
      </c>
      <c r="Y90" t="inlineStr">
        <is>
          <t>MXN</t>
        </is>
      </c>
      <c r="Z90" t="inlineStr">
        <is>
          <t>TN</t>
        </is>
      </c>
      <c r="AA90" t="inlineStr">
        <is>
          <t>ENEB</t>
        </is>
      </c>
      <c r="AB90" t="inlineStr">
        <is>
          <t>DISTRIBUIDOR VIAL AEROP. GDL - T2 /</t>
        </is>
      </c>
      <c r="AC90" t="n">
        <v>56103637</v>
      </c>
      <c r="AD90" t="n">
        <v>6644241540</v>
      </c>
      <c r="AE90" t="n">
        <v>4</v>
      </c>
      <c r="AF90" t="inlineStr">
        <is>
          <t>ENTREGA DIRECTA</t>
        </is>
      </c>
      <c r="AG90" t="n">
        <v>1</v>
      </c>
      <c r="AH90" t="inlineStr">
        <is>
          <t>TO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20260127</v>
      </c>
      <c r="AM90" t="inlineStr">
        <is>
          <t>DW68-900009420-ENEB-10000439-4</t>
        </is>
      </c>
    </row>
    <row r="91">
      <c r="A91" t="inlineStr">
        <is>
          <t>900009396DW68ENV910270898</t>
        </is>
      </c>
      <c r="B91" t="inlineStr">
        <is>
          <t>4600071942-50</t>
        </is>
      </c>
      <c r="C91" t="n">
        <v>4600071942</v>
      </c>
      <c r="D91" t="n">
        <v>50</v>
      </c>
      <c r="E91" t="inlineStr">
        <is>
          <t>MXPO</t>
        </is>
      </c>
      <c r="F91" t="inlineStr">
        <is>
          <t>MXL</t>
        </is>
      </c>
      <c r="G91" t="n">
        <v>900009396</v>
      </c>
      <c r="H91" t="inlineStr">
        <is>
          <t>SF TC-ED GASA</t>
        </is>
      </c>
      <c r="I91" t="n">
        <v>5097224</v>
      </c>
      <c r="J91" t="inlineStr">
        <is>
          <t>TRITURADOS GASA SA DE CV</t>
        </is>
      </c>
      <c r="K91" t="inlineStr">
        <is>
          <t>Z09</t>
        </is>
      </c>
      <c r="L91" t="inlineStr">
        <is>
          <t>(AP) 90 Dias</t>
        </is>
      </c>
      <c r="M91" t="n">
        <v>10270898</v>
      </c>
      <c r="N91" t="inlineStr">
        <is>
          <t>MP BASE H. TRIT. BASALTO 1 1/2" A FINOS</t>
        </is>
      </c>
      <c r="O91" t="inlineStr">
        <is>
          <t>DW68</t>
        </is>
      </c>
      <c r="P91" t="inlineStr">
        <is>
          <t>MX-CED. GUADALAJARA</t>
        </is>
      </c>
      <c r="Q91" t="n">
        <v>20260126</v>
      </c>
      <c r="R91" t="n">
        <v>20301231</v>
      </c>
      <c r="S91" t="n">
        <v>20260126</v>
      </c>
      <c r="T91" t="n">
        <v>20301231</v>
      </c>
      <c r="U91" t="n">
        <v>270</v>
      </c>
      <c r="V91" t="inlineStr">
        <is>
          <t>MXN</t>
        </is>
      </c>
      <c r="W91" t="inlineStr">
        <is>
          <t>M3</t>
        </is>
      </c>
      <c r="X91" t="n">
        <v>0.01</v>
      </c>
      <c r="Y91" t="inlineStr">
        <is>
          <t>MXN</t>
        </is>
      </c>
      <c r="Z91" t="inlineStr">
        <is>
          <t>M3</t>
        </is>
      </c>
      <c r="AA91" t="inlineStr">
        <is>
          <t>ENV9</t>
        </is>
      </c>
      <c r="AB91" t="inlineStr">
        <is>
          <t>VIALIDADES AEROPUERTO GDL F1 Y F2 /</t>
        </is>
      </c>
      <c r="AC91" t="n">
        <v>56103590</v>
      </c>
      <c r="AD91" t="n">
        <v>6644241540</v>
      </c>
      <c r="AE91" t="n">
        <v>4</v>
      </c>
      <c r="AF91" t="inlineStr">
        <is>
          <t>ENTREGA DIRECTA</t>
        </is>
      </c>
      <c r="AG91" t="n">
        <v>1.551</v>
      </c>
      <c r="AH91" t="inlineStr">
        <is>
          <t>M3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20260127</v>
      </c>
      <c r="AM91" t="inlineStr">
        <is>
          <t>DW68-900009396-ENV9-10270898-4</t>
        </is>
      </c>
    </row>
    <row r="92">
      <c r="A92" t="inlineStr">
        <is>
          <t>900009396DW68ENEB10209065</t>
        </is>
      </c>
      <c r="B92" t="inlineStr">
        <is>
          <t>4600071942-10</t>
        </is>
      </c>
      <c r="C92" t="n">
        <v>4600071942</v>
      </c>
      <c r="D92" t="n">
        <v>10</v>
      </c>
      <c r="E92" t="inlineStr">
        <is>
          <t>MXPO</t>
        </is>
      </c>
      <c r="F92" t="inlineStr">
        <is>
          <t>MXL</t>
        </is>
      </c>
      <c r="G92" t="n">
        <v>900009396</v>
      </c>
      <c r="H92" t="inlineStr">
        <is>
          <t>SF TC-ED GASA</t>
        </is>
      </c>
      <c r="I92" t="n">
        <v>5097224</v>
      </c>
      <c r="J92" t="inlineStr">
        <is>
          <t>TRITURADOS GASA SA DE CV</t>
        </is>
      </c>
      <c r="K92" t="inlineStr">
        <is>
          <t>Z09</t>
        </is>
      </c>
      <c r="L92" t="inlineStr">
        <is>
          <t>(AP) 90 Dias</t>
        </is>
      </c>
      <c r="M92" t="n">
        <v>10209065</v>
      </c>
      <c r="N92" t="inlineStr">
        <is>
          <t>FILTRO 5" A 7/8"</t>
        </is>
      </c>
      <c r="O92" t="inlineStr">
        <is>
          <t>DW68</t>
        </is>
      </c>
      <c r="P92" t="inlineStr">
        <is>
          <t>MX-CED. GUADALAJARA</t>
        </is>
      </c>
      <c r="Q92" t="n">
        <v>20260126</v>
      </c>
      <c r="R92" t="n">
        <v>20301231</v>
      </c>
      <c r="S92" t="n">
        <v>20260126</v>
      </c>
      <c r="T92" t="n">
        <v>20301231</v>
      </c>
      <c r="U92" t="n">
        <v>190</v>
      </c>
      <c r="V92" t="inlineStr">
        <is>
          <t>MXN</t>
        </is>
      </c>
      <c r="W92" t="inlineStr">
        <is>
          <t>M3</t>
        </is>
      </c>
      <c r="X92" t="n">
        <v>0.01</v>
      </c>
      <c r="Y92" t="inlineStr">
        <is>
          <t>MXN</t>
        </is>
      </c>
      <c r="Z92" t="inlineStr">
        <is>
          <t>M3</t>
        </is>
      </c>
      <c r="AA92" t="inlineStr">
        <is>
          <t>ENEB</t>
        </is>
      </c>
      <c r="AB92" t="inlineStr">
        <is>
          <t>DISTRIBUIDOR VIAL AEROP. GDL - T2 /</t>
        </is>
      </c>
      <c r="AC92" t="n">
        <v>56103637</v>
      </c>
      <c r="AD92" t="n">
        <v>6644241540</v>
      </c>
      <c r="AE92" t="n">
        <v>4</v>
      </c>
      <c r="AF92" t="inlineStr">
        <is>
          <t>ENTREGA DIRECTA</t>
        </is>
      </c>
      <c r="AG92" t="n">
        <v>1.365</v>
      </c>
      <c r="AH92" t="inlineStr">
        <is>
          <t>M3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20260127</v>
      </c>
      <c r="AM92" t="inlineStr">
        <is>
          <t>DW68-900009396-ENEB-10209065-4</t>
        </is>
      </c>
    </row>
    <row r="93">
      <c r="A93" t="inlineStr">
        <is>
          <t>900009420DW68ENL110251385</t>
        </is>
      </c>
      <c r="B93" t="inlineStr">
        <is>
          <t>4600071943-90</t>
        </is>
      </c>
      <c r="C93" t="n">
        <v>4600071943</v>
      </c>
      <c r="D93" t="n">
        <v>90</v>
      </c>
      <c r="E93" t="inlineStr">
        <is>
          <t>MXPO</t>
        </is>
      </c>
      <c r="F93" t="inlineStr">
        <is>
          <t>MXL</t>
        </is>
      </c>
      <c r="G93" t="n">
        <v>900009420</v>
      </c>
      <c r="H93" t="inlineStr">
        <is>
          <t>SF TC-ED HOLCIM GDL</t>
        </is>
      </c>
      <c r="I93" t="n">
        <v>5040590</v>
      </c>
      <c r="J93" t="inlineStr">
        <is>
          <t>HOLCIM MEXICO OPERACIONES SA DE CV</t>
        </is>
      </c>
      <c r="K93" t="inlineStr">
        <is>
          <t>Z06</t>
        </is>
      </c>
      <c r="L93" t="inlineStr">
        <is>
          <t>(AP) 45 Dias</t>
        </is>
      </c>
      <c r="M93" t="n">
        <v>10251385</v>
      </c>
      <c r="N93" t="inlineStr">
        <is>
          <t>BASE H TRITURADA BASALTO 1 1/2" A FINOS-</t>
        </is>
      </c>
      <c r="O93" t="inlineStr">
        <is>
          <t>DW68</t>
        </is>
      </c>
      <c r="P93" t="inlineStr">
        <is>
          <t>MX-CED. GUADALAJARA</t>
        </is>
      </c>
      <c r="Q93" t="n">
        <v>20260126</v>
      </c>
      <c r="R93" t="n">
        <v>20301231</v>
      </c>
      <c r="S93" t="n">
        <v>20260126</v>
      </c>
      <c r="T93" t="n">
        <v>20301231</v>
      </c>
      <c r="U93" t="n">
        <v>220</v>
      </c>
      <c r="V93" t="inlineStr">
        <is>
          <t>MXN</t>
        </is>
      </c>
      <c r="W93" t="inlineStr">
        <is>
          <t>TN</t>
        </is>
      </c>
      <c r="X93" t="n">
        <v>0.01</v>
      </c>
      <c r="Y93" t="inlineStr">
        <is>
          <t>MXN</t>
        </is>
      </c>
      <c r="Z93" t="inlineStr">
        <is>
          <t>TN</t>
        </is>
      </c>
      <c r="AA93" t="inlineStr">
        <is>
          <t>ENL1</t>
        </is>
      </c>
      <c r="AB93" t="inlineStr">
        <is>
          <t>MX-PD0681 INFRA APTO GDL</t>
        </is>
      </c>
      <c r="AC93" t="n">
        <v>56103590</v>
      </c>
      <c r="AD93" t="n">
        <v>6644241540</v>
      </c>
      <c r="AE93" t="n">
        <v>4</v>
      </c>
      <c r="AF93" t="inlineStr">
        <is>
          <t>ENTREGA DIRECTA</t>
        </is>
      </c>
      <c r="AG93" t="n">
        <v>1</v>
      </c>
      <c r="AH93" t="inlineStr">
        <is>
          <t>TO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20260127</v>
      </c>
      <c r="AM93" t="inlineStr">
        <is>
          <t>DW68-900009420-ENL1-10251385-4</t>
        </is>
      </c>
    </row>
    <row r="94">
      <c r="A94" t="inlineStr">
        <is>
          <t>900009419DW6810251385</t>
        </is>
      </c>
      <c r="B94" t="inlineStr">
        <is>
          <t>4600071812-60</t>
        </is>
      </c>
      <c r="C94" t="n">
        <v>4600071812</v>
      </c>
      <c r="D94" t="n">
        <v>60</v>
      </c>
      <c r="E94" t="inlineStr">
        <is>
          <t>MXPO</t>
        </is>
      </c>
      <c r="F94" t="inlineStr">
        <is>
          <t>MXL</t>
        </is>
      </c>
      <c r="G94" t="n">
        <v>900009419</v>
      </c>
      <c r="H94" t="inlineStr">
        <is>
          <t>SF TC-HOLCIM GDL</t>
        </is>
      </c>
      <c r="I94" t="n">
        <v>5040590</v>
      </c>
      <c r="J94" t="inlineStr">
        <is>
          <t>HOLCIM MEXICO OPERACIONES SA DE CV</t>
        </is>
      </c>
      <c r="K94" t="inlineStr">
        <is>
          <t>Z06</t>
        </is>
      </c>
      <c r="L94" t="inlineStr">
        <is>
          <t>(AP) 45 Dias</t>
        </is>
      </c>
      <c r="M94" t="n">
        <v>10251385</v>
      </c>
      <c r="N94" t="inlineStr">
        <is>
          <t>BASE H TRITURADA BASALTO 1 1/2" A FINOS-</t>
        </is>
      </c>
      <c r="O94" t="inlineStr">
        <is>
          <t>DW68</t>
        </is>
      </c>
      <c r="P94" t="inlineStr">
        <is>
          <t>MX-CED. GUADALAJARA</t>
        </is>
      </c>
      <c r="Q94" t="n">
        <v>20251202</v>
      </c>
      <c r="R94" t="n">
        <v>20301231</v>
      </c>
      <c r="S94" t="n">
        <v>20251202</v>
      </c>
      <c r="T94" t="n">
        <v>20301231</v>
      </c>
      <c r="U94" t="n">
        <v>220</v>
      </c>
      <c r="V94" t="inlineStr">
        <is>
          <t>MXN</t>
        </is>
      </c>
      <c r="W94" t="inlineStr">
        <is>
          <t>TN</t>
        </is>
      </c>
      <c r="X94" t="n">
        <v>0</v>
      </c>
      <c r="Y94" t="inlineStr">
        <is>
          <t>MXN</t>
        </is>
      </c>
      <c r="Z94" t="inlineStr">
        <is>
          <t>TN</t>
        </is>
      </c>
      <c r="AC94" t="n">
        <v>56103590</v>
      </c>
      <c r="AD94" t="n">
        <v>6644241540</v>
      </c>
      <c r="AE94" t="n">
        <v>1</v>
      </c>
      <c r="AF94" t="inlineStr">
        <is>
          <t>ENTREGADO</t>
        </is>
      </c>
      <c r="AG94" t="n">
        <v>1</v>
      </c>
      <c r="AH94" t="inlineStr">
        <is>
          <t>TO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20251203</v>
      </c>
      <c r="AM94" t="inlineStr">
        <is>
          <t>DW68-900009419-10251385</t>
        </is>
      </c>
    </row>
    <row r="95">
      <c r="A95" t="inlineStr">
        <is>
          <t>900009419DW6810209065</t>
        </is>
      </c>
      <c r="B95" t="inlineStr">
        <is>
          <t>4600071812-10</t>
        </is>
      </c>
      <c r="C95" t="n">
        <v>4600071812</v>
      </c>
      <c r="D95" t="n">
        <v>10</v>
      </c>
      <c r="E95" t="inlineStr">
        <is>
          <t>MXPO</t>
        </is>
      </c>
      <c r="F95" t="inlineStr">
        <is>
          <t>MXL</t>
        </is>
      </c>
      <c r="G95" t="n">
        <v>900009419</v>
      </c>
      <c r="H95" t="inlineStr">
        <is>
          <t>SF TC-HOLCIM GDL</t>
        </is>
      </c>
      <c r="I95" t="n">
        <v>5040590</v>
      </c>
      <c r="J95" t="inlineStr">
        <is>
          <t>HOLCIM MEXICO OPERACIONES SA DE CV</t>
        </is>
      </c>
      <c r="K95" t="inlineStr">
        <is>
          <t>Z06</t>
        </is>
      </c>
      <c r="L95" t="inlineStr">
        <is>
          <t>(AP) 45 Dias</t>
        </is>
      </c>
      <c r="M95" t="n">
        <v>10209065</v>
      </c>
      <c r="N95" t="inlineStr">
        <is>
          <t>FILTRO 5" A 7/8"</t>
        </is>
      </c>
      <c r="O95" t="inlineStr">
        <is>
          <t>DW68</t>
        </is>
      </c>
      <c r="P95" t="inlineStr">
        <is>
          <t>MX-CED. GUADALAJARA</t>
        </is>
      </c>
      <c r="Q95" t="n">
        <v>20251202</v>
      </c>
      <c r="R95" t="n">
        <v>20301231</v>
      </c>
      <c r="S95" t="n">
        <v>20251202</v>
      </c>
      <c r="T95" t="n">
        <v>20301231</v>
      </c>
      <c r="U95" t="n">
        <v>145</v>
      </c>
      <c r="V95" t="inlineStr">
        <is>
          <t>MXN</t>
        </is>
      </c>
      <c r="W95" t="inlineStr">
        <is>
          <t>TN</t>
        </is>
      </c>
      <c r="X95" t="n">
        <v>0</v>
      </c>
      <c r="Y95" t="inlineStr">
        <is>
          <t>MXN</t>
        </is>
      </c>
      <c r="Z95" t="inlineStr">
        <is>
          <t>TN</t>
        </is>
      </c>
      <c r="AC95" t="n">
        <v>56103637</v>
      </c>
      <c r="AD95" t="n">
        <v>6644241540</v>
      </c>
      <c r="AE95" t="n">
        <v>1</v>
      </c>
      <c r="AF95" t="inlineStr">
        <is>
          <t>ENTREGADO</t>
        </is>
      </c>
      <c r="AG95" t="n">
        <v>1</v>
      </c>
      <c r="AH95" t="inlineStr">
        <is>
          <t>TO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20251203</v>
      </c>
      <c r="AM95" t="inlineStr">
        <is>
          <t>DW68-900009419-10209065</t>
        </is>
      </c>
    </row>
    <row r="96">
      <c r="A96" t="inlineStr">
        <is>
          <t>900009419DW6810000439</t>
        </is>
      </c>
      <c r="B96" t="inlineStr">
        <is>
          <t>4600071812-40</t>
        </is>
      </c>
      <c r="C96" t="n">
        <v>4600071812</v>
      </c>
      <c r="D96" t="n">
        <v>40</v>
      </c>
      <c r="E96" t="inlineStr">
        <is>
          <t>MXPO</t>
        </is>
      </c>
      <c r="F96" t="inlineStr">
        <is>
          <t>MXL</t>
        </is>
      </c>
      <c r="G96" t="n">
        <v>900009419</v>
      </c>
      <c r="H96" t="inlineStr">
        <is>
          <t>SF TC-HOLCIM GDL</t>
        </is>
      </c>
      <c r="I96" t="n">
        <v>5040590</v>
      </c>
      <c r="J96" t="inlineStr">
        <is>
          <t>HOLCIM MEXICO OPERACIONES SA DE CV</t>
        </is>
      </c>
      <c r="K96" t="inlineStr">
        <is>
          <t>Z06</t>
        </is>
      </c>
      <c r="L96" t="inlineStr">
        <is>
          <t>(AP) 45 Dias</t>
        </is>
      </c>
      <c r="M96" t="n">
        <v>10000439</v>
      </c>
      <c r="N96" t="inlineStr">
        <is>
          <t>Grava Triturada Basalto 10 mm - 3/8"</t>
        </is>
      </c>
      <c r="O96" t="inlineStr">
        <is>
          <t>DW68</t>
        </is>
      </c>
      <c r="P96" t="inlineStr">
        <is>
          <t>MX-CED. GUADALAJARA</t>
        </is>
      </c>
      <c r="Q96" t="n">
        <v>20251202</v>
      </c>
      <c r="R96" t="n">
        <v>20301231</v>
      </c>
      <c r="S96" t="n">
        <v>20251202</v>
      </c>
      <c r="T96" t="n">
        <v>20301231</v>
      </c>
      <c r="U96" t="n">
        <v>217.6</v>
      </c>
      <c r="V96" t="inlineStr">
        <is>
          <t>MXN</t>
        </is>
      </c>
      <c r="W96" t="inlineStr">
        <is>
          <t>TN</t>
        </is>
      </c>
      <c r="X96" t="n">
        <v>0</v>
      </c>
      <c r="Y96" t="inlineStr">
        <is>
          <t>MXN</t>
        </is>
      </c>
      <c r="Z96" t="inlineStr">
        <is>
          <t>TN</t>
        </is>
      </c>
      <c r="AC96" t="n">
        <v>56103637</v>
      </c>
      <c r="AD96" t="n">
        <v>6644241540</v>
      </c>
      <c r="AE96" t="n">
        <v>1</v>
      </c>
      <c r="AF96" t="inlineStr">
        <is>
          <t>ENTREGADO</t>
        </is>
      </c>
      <c r="AG96" t="n">
        <v>1</v>
      </c>
      <c r="AH96" t="inlineStr">
        <is>
          <t>TO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20251203</v>
      </c>
      <c r="AM96" t="inlineStr">
        <is>
          <t>DW68-900009419-10000439</t>
        </is>
      </c>
    </row>
    <row r="97">
      <c r="A97" t="inlineStr">
        <is>
          <t>900009420DW68ENV810000439</t>
        </is>
      </c>
      <c r="B97" t="inlineStr">
        <is>
          <t>4600071943-130</t>
        </is>
      </c>
      <c r="C97" t="n">
        <v>4600071943</v>
      </c>
      <c r="D97" t="n">
        <v>130</v>
      </c>
      <c r="E97" t="inlineStr">
        <is>
          <t>MXPO</t>
        </is>
      </c>
      <c r="F97" t="inlineStr">
        <is>
          <t>MXL</t>
        </is>
      </c>
      <c r="G97" t="n">
        <v>900009420</v>
      </c>
      <c r="H97" t="inlineStr">
        <is>
          <t>SF TC-ED HOLCIM GDL</t>
        </is>
      </c>
      <c r="I97" t="n">
        <v>5040590</v>
      </c>
      <c r="J97" t="inlineStr">
        <is>
          <t>HOLCIM MEXICO OPERACIONES SA DE CV</t>
        </is>
      </c>
      <c r="K97" t="inlineStr">
        <is>
          <t>Z06</t>
        </is>
      </c>
      <c r="L97" t="inlineStr">
        <is>
          <t>(AP) 45 Dias</t>
        </is>
      </c>
      <c r="M97" t="n">
        <v>10000439</v>
      </c>
      <c r="N97" t="inlineStr">
        <is>
          <t>Grava Triturada Basalto 10 mm - 3/8"</t>
        </is>
      </c>
      <c r="O97" t="inlineStr">
        <is>
          <t>DW68</t>
        </is>
      </c>
      <c r="P97" t="inlineStr">
        <is>
          <t>MX-CED. GUADALAJARA</t>
        </is>
      </c>
      <c r="Q97" t="n">
        <v>20260126</v>
      </c>
      <c r="R97" t="n">
        <v>20301231</v>
      </c>
      <c r="S97" t="n">
        <v>20260126</v>
      </c>
      <c r="T97" t="n">
        <v>20301231</v>
      </c>
      <c r="U97" t="n">
        <v>217.6</v>
      </c>
      <c r="V97" t="inlineStr">
        <is>
          <t>MXN</t>
        </is>
      </c>
      <c r="W97" t="inlineStr">
        <is>
          <t>TN</t>
        </is>
      </c>
      <c r="X97" t="n">
        <v>0.01</v>
      </c>
      <c r="Y97" t="inlineStr">
        <is>
          <t>MXN</t>
        </is>
      </c>
      <c r="Z97" t="inlineStr">
        <is>
          <t>TN</t>
        </is>
      </c>
      <c r="AA97" t="inlineStr">
        <is>
          <t>ENV8</t>
        </is>
      </c>
      <c r="AB97" t="inlineStr">
        <is>
          <t>Plataforma Aeropuerto GDL / GAP</t>
        </is>
      </c>
      <c r="AC97" t="n">
        <v>56103637</v>
      </c>
      <c r="AD97" t="n">
        <v>6644241540</v>
      </c>
      <c r="AE97" t="n">
        <v>4</v>
      </c>
      <c r="AF97" t="inlineStr">
        <is>
          <t>ENTREGA DIRECTA</t>
        </is>
      </c>
      <c r="AG97" t="n">
        <v>1</v>
      </c>
      <c r="AH97" t="inlineStr">
        <is>
          <t>TO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20260127</v>
      </c>
      <c r="AM97" t="inlineStr">
        <is>
          <t>DW68-900009420-ENV8-10000439-4</t>
        </is>
      </c>
    </row>
    <row r="98">
      <c r="A98" t="inlineStr">
        <is>
          <t>900009420DW68ENV910209065</t>
        </is>
      </c>
      <c r="B98" t="inlineStr">
        <is>
          <t>4600071943-200</t>
        </is>
      </c>
      <c r="C98" t="n">
        <v>4600071943</v>
      </c>
      <c r="D98" t="n">
        <v>200</v>
      </c>
      <c r="E98" t="inlineStr">
        <is>
          <t>MXPO</t>
        </is>
      </c>
      <c r="F98" t="inlineStr">
        <is>
          <t>MXL</t>
        </is>
      </c>
      <c r="G98" t="n">
        <v>900009420</v>
      </c>
      <c r="H98" t="inlineStr">
        <is>
          <t>SF TC-ED HOLCIM GDL</t>
        </is>
      </c>
      <c r="I98" t="n">
        <v>5040590</v>
      </c>
      <c r="J98" t="inlineStr">
        <is>
          <t>HOLCIM MEXICO OPERACIONES SA DE CV</t>
        </is>
      </c>
      <c r="K98" t="inlineStr">
        <is>
          <t>Z06</t>
        </is>
      </c>
      <c r="L98" t="inlineStr">
        <is>
          <t>(AP) 45 Dias</t>
        </is>
      </c>
      <c r="M98" t="n">
        <v>10209065</v>
      </c>
      <c r="N98" t="inlineStr">
        <is>
          <t>FILTRO 5" A 7/8"</t>
        </is>
      </c>
      <c r="O98" t="inlineStr">
        <is>
          <t>DW68</t>
        </is>
      </c>
      <c r="P98" t="inlineStr">
        <is>
          <t>MX-CED. GUADALAJARA</t>
        </is>
      </c>
      <c r="Q98" t="n">
        <v>20260126</v>
      </c>
      <c r="R98" t="n">
        <v>20301231</v>
      </c>
      <c r="S98" t="n">
        <v>20260126</v>
      </c>
      <c r="T98" t="n">
        <v>20301231</v>
      </c>
      <c r="U98" t="n">
        <v>145</v>
      </c>
      <c r="V98" t="inlineStr">
        <is>
          <t>MXN</t>
        </is>
      </c>
      <c r="W98" t="inlineStr">
        <is>
          <t>TN</t>
        </is>
      </c>
      <c r="X98" t="n">
        <v>0.01</v>
      </c>
      <c r="Y98" t="inlineStr">
        <is>
          <t>MXN</t>
        </is>
      </c>
      <c r="Z98" t="inlineStr">
        <is>
          <t>TN</t>
        </is>
      </c>
      <c r="AA98" t="inlineStr">
        <is>
          <t>ENV9</t>
        </is>
      </c>
      <c r="AB98" t="inlineStr">
        <is>
          <t>VIALIDADES AEROPUERTO GDL F1 Y F2 /</t>
        </is>
      </c>
      <c r="AC98" t="n">
        <v>56103637</v>
      </c>
      <c r="AD98" t="n">
        <v>6644241540</v>
      </c>
      <c r="AE98" t="n">
        <v>4</v>
      </c>
      <c r="AF98" t="inlineStr">
        <is>
          <t>ENTREGA DIRECTA</t>
        </is>
      </c>
      <c r="AG98" t="n">
        <v>1</v>
      </c>
      <c r="AH98" t="inlineStr">
        <is>
          <t>TO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20260127</v>
      </c>
      <c r="AM98" t="inlineStr">
        <is>
          <t>DW68-900009420-ENV9-10209065-4</t>
        </is>
      </c>
    </row>
    <row r="99">
      <c r="A99" t="inlineStr">
        <is>
          <t>900009420DW68ENL110000439</t>
        </is>
      </c>
      <c r="B99" t="inlineStr">
        <is>
          <t>4600071943-70</t>
        </is>
      </c>
      <c r="C99" t="n">
        <v>4600071943</v>
      </c>
      <c r="D99" t="n">
        <v>70</v>
      </c>
      <c r="E99" t="inlineStr">
        <is>
          <t>MXPO</t>
        </is>
      </c>
      <c r="F99" t="inlineStr">
        <is>
          <t>MXL</t>
        </is>
      </c>
      <c r="G99" t="n">
        <v>900009420</v>
      </c>
      <c r="H99" t="inlineStr">
        <is>
          <t>SF TC-ED HOLCIM GDL</t>
        </is>
      </c>
      <c r="I99" t="n">
        <v>5040590</v>
      </c>
      <c r="J99" t="inlineStr">
        <is>
          <t>HOLCIM MEXICO OPERACIONES SA DE CV</t>
        </is>
      </c>
      <c r="K99" t="inlineStr">
        <is>
          <t>Z06</t>
        </is>
      </c>
      <c r="L99" t="inlineStr">
        <is>
          <t>(AP) 45 Dias</t>
        </is>
      </c>
      <c r="M99" t="n">
        <v>10000439</v>
      </c>
      <c r="N99" t="inlineStr">
        <is>
          <t>Grava Triturada Basalto 10 mm - 3/8"</t>
        </is>
      </c>
      <c r="O99" t="inlineStr">
        <is>
          <t>DW68</t>
        </is>
      </c>
      <c r="P99" t="inlineStr">
        <is>
          <t>MX-CED. GUADALAJARA</t>
        </is>
      </c>
      <c r="Q99" t="n">
        <v>20260126</v>
      </c>
      <c r="R99" t="n">
        <v>20301231</v>
      </c>
      <c r="S99" t="n">
        <v>20260126</v>
      </c>
      <c r="T99" t="n">
        <v>20301231</v>
      </c>
      <c r="U99" t="n">
        <v>217.6</v>
      </c>
      <c r="V99" t="inlineStr">
        <is>
          <t>MXN</t>
        </is>
      </c>
      <c r="W99" t="inlineStr">
        <is>
          <t>TN</t>
        </is>
      </c>
      <c r="X99" t="n">
        <v>0.01</v>
      </c>
      <c r="Y99" t="inlineStr">
        <is>
          <t>MXN</t>
        </is>
      </c>
      <c r="Z99" t="inlineStr">
        <is>
          <t>TN</t>
        </is>
      </c>
      <c r="AA99" t="inlineStr">
        <is>
          <t>ENL1</t>
        </is>
      </c>
      <c r="AB99" t="inlineStr">
        <is>
          <t>MX-PD0681 INFRA APTO GDL</t>
        </is>
      </c>
      <c r="AC99" t="n">
        <v>56103637</v>
      </c>
      <c r="AD99" t="n">
        <v>6644241540</v>
      </c>
      <c r="AE99" t="n">
        <v>4</v>
      </c>
      <c r="AF99" t="inlineStr">
        <is>
          <t>ENTREGA DIRECTA</t>
        </is>
      </c>
      <c r="AG99" t="n">
        <v>1</v>
      </c>
      <c r="AH99" t="inlineStr">
        <is>
          <t>TO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20260127</v>
      </c>
      <c r="AM99" t="inlineStr">
        <is>
          <t>DW68-900009420-ENL1-10000439-4</t>
        </is>
      </c>
    </row>
    <row r="100">
      <c r="A100" t="inlineStr">
        <is>
          <t>900009420DW68ENEB10270912</t>
        </is>
      </c>
      <c r="B100" t="inlineStr">
        <is>
          <t>4600071943-50</t>
        </is>
      </c>
      <c r="C100" t="n">
        <v>4600071943</v>
      </c>
      <c r="D100" t="n">
        <v>50</v>
      </c>
      <c r="E100" t="inlineStr">
        <is>
          <t>MXPO</t>
        </is>
      </c>
      <c r="F100" t="inlineStr">
        <is>
          <t>MXL</t>
        </is>
      </c>
      <c r="G100" t="n">
        <v>900009420</v>
      </c>
      <c r="H100" t="inlineStr">
        <is>
          <t>SF TC-ED HOLCIM GDL</t>
        </is>
      </c>
      <c r="I100" t="n">
        <v>5040590</v>
      </c>
      <c r="J100" t="inlineStr">
        <is>
          <t>HOLCIM MEXICO OPERACIONES SA DE CV</t>
        </is>
      </c>
      <c r="K100" t="inlineStr">
        <is>
          <t>Z06</t>
        </is>
      </c>
      <c r="L100" t="inlineStr">
        <is>
          <t>(AP) 45 Dias</t>
        </is>
      </c>
      <c r="M100" t="n">
        <v>10270912</v>
      </c>
      <c r="N100" t="inlineStr">
        <is>
          <t>MP ARENA TRIT. BASALTO MALLA 4</t>
        </is>
      </c>
      <c r="O100" t="inlineStr">
        <is>
          <t>DW68</t>
        </is>
      </c>
      <c r="P100" t="inlineStr">
        <is>
          <t>MX-CED. GUADALAJARA</t>
        </is>
      </c>
      <c r="Q100" t="n">
        <v>20260126</v>
      </c>
      <c r="R100" t="n">
        <v>20301231</v>
      </c>
      <c r="S100" t="n">
        <v>20260127</v>
      </c>
      <c r="T100" t="n">
        <v>99991231</v>
      </c>
      <c r="U100" t="n">
        <v>179.4</v>
      </c>
      <c r="V100" t="inlineStr">
        <is>
          <t>MXN</t>
        </is>
      </c>
      <c r="W100" t="inlineStr">
        <is>
          <t>TN</t>
        </is>
      </c>
      <c r="X100" t="n">
        <v>0.01</v>
      </c>
      <c r="Y100" t="inlineStr">
        <is>
          <t>MXN</t>
        </is>
      </c>
      <c r="Z100" t="inlineStr">
        <is>
          <t>TN</t>
        </is>
      </c>
      <c r="AA100" t="inlineStr">
        <is>
          <t>ENEB</t>
        </is>
      </c>
      <c r="AB100" t="inlineStr">
        <is>
          <t>DISTRIBUIDOR VIAL AEROP. GDL - T2 /</t>
        </is>
      </c>
      <c r="AC100" t="n">
        <v>56103638</v>
      </c>
      <c r="AD100" t="n">
        <v>6644241540</v>
      </c>
      <c r="AE100" t="n">
        <v>4</v>
      </c>
      <c r="AF100" t="inlineStr">
        <is>
          <t>ENTREGA DIRECTA</t>
        </is>
      </c>
      <c r="AG100" t="n">
        <v>1</v>
      </c>
      <c r="AH100" t="inlineStr">
        <is>
          <t>TO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20260127</v>
      </c>
      <c r="AM100" t="inlineStr">
        <is>
          <t>DW68-900009420-ENEB-10270912-4</t>
        </is>
      </c>
    </row>
    <row r="101">
      <c r="A101" t="inlineStr">
        <is>
          <t>900009420DW68ENV910270913</t>
        </is>
      </c>
      <c r="B101" t="inlineStr">
        <is>
          <t>4600071943-240</t>
        </is>
      </c>
      <c r="C101" t="n">
        <v>4600071943</v>
      </c>
      <c r="D101" t="n">
        <v>240</v>
      </c>
      <c r="E101" t="inlineStr">
        <is>
          <t>MXPO</t>
        </is>
      </c>
      <c r="F101" t="inlineStr">
        <is>
          <t>MXL</t>
        </is>
      </c>
      <c r="G101" t="n">
        <v>900009420</v>
      </c>
      <c r="H101" t="inlineStr">
        <is>
          <t>SF TC-ED HOLCIM GDL</t>
        </is>
      </c>
      <c r="I101" t="n">
        <v>5040590</v>
      </c>
      <c r="J101" t="inlineStr">
        <is>
          <t>HOLCIM MEXICO OPERACIONES SA DE CV</t>
        </is>
      </c>
      <c r="K101" t="inlineStr">
        <is>
          <t>Z06</t>
        </is>
      </c>
      <c r="L101" t="inlineStr">
        <is>
          <t>(AP) 45 Dias</t>
        </is>
      </c>
      <c r="M101" t="n">
        <v>10270913</v>
      </c>
      <c r="N101" t="inlineStr">
        <is>
          <t>MP GRAVA TRIT. BASALTO 20 MM - 3/4</t>
        </is>
      </c>
      <c r="O101" t="inlineStr">
        <is>
          <t>DW68</t>
        </is>
      </c>
      <c r="P101" t="inlineStr">
        <is>
          <t>MX-CED. GUADALAJARA</t>
        </is>
      </c>
      <c r="Q101" t="n">
        <v>20260126</v>
      </c>
      <c r="R101" t="n">
        <v>20301231</v>
      </c>
      <c r="S101" t="n">
        <v>20260126</v>
      </c>
      <c r="T101" t="n">
        <v>20301231</v>
      </c>
      <c r="U101" t="n">
        <v>202.8</v>
      </c>
      <c r="V101" t="inlineStr">
        <is>
          <t>MXN</t>
        </is>
      </c>
      <c r="W101" t="inlineStr">
        <is>
          <t>TN</t>
        </is>
      </c>
      <c r="X101" t="n">
        <v>0.01</v>
      </c>
      <c r="Y101" t="inlineStr">
        <is>
          <t>MXN</t>
        </is>
      </c>
      <c r="Z101" t="inlineStr">
        <is>
          <t>TN</t>
        </is>
      </c>
      <c r="AA101" t="inlineStr">
        <is>
          <t>ENV9</t>
        </is>
      </c>
      <c r="AB101" t="inlineStr">
        <is>
          <t>VIALIDADES AEROPUERTO GDL F1 Y F2 /</t>
        </is>
      </c>
      <c r="AC101" t="n">
        <v>56103637</v>
      </c>
      <c r="AD101" t="n">
        <v>6644241540</v>
      </c>
      <c r="AE101" t="n">
        <v>4</v>
      </c>
      <c r="AF101" t="inlineStr">
        <is>
          <t>ENTREGA DIRECTA</t>
        </is>
      </c>
      <c r="AG101" t="n">
        <v>1</v>
      </c>
      <c r="AH101" t="inlineStr">
        <is>
          <t>TO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20260127</v>
      </c>
      <c r="AM101" t="inlineStr">
        <is>
          <t>DW68-900009420-ENV9-10270913-4</t>
        </is>
      </c>
    </row>
    <row r="102">
      <c r="A102" t="inlineStr">
        <is>
          <t>900009396DW68ENV910209065</t>
        </is>
      </c>
      <c r="B102" t="inlineStr">
        <is>
          <t>4600071942-40</t>
        </is>
      </c>
      <c r="C102" t="n">
        <v>4600071942</v>
      </c>
      <c r="D102" t="n">
        <v>40</v>
      </c>
      <c r="E102" t="inlineStr">
        <is>
          <t>MXPO</t>
        </is>
      </c>
      <c r="F102" t="inlineStr">
        <is>
          <t>MXL</t>
        </is>
      </c>
      <c r="G102" t="n">
        <v>900009396</v>
      </c>
      <c r="H102" t="inlineStr">
        <is>
          <t>SF TC-ED GASA</t>
        </is>
      </c>
      <c r="I102" t="n">
        <v>5097224</v>
      </c>
      <c r="J102" t="inlineStr">
        <is>
          <t>TRITURADOS GASA SA DE CV</t>
        </is>
      </c>
      <c r="K102" t="inlineStr">
        <is>
          <t>Z09</t>
        </is>
      </c>
      <c r="L102" t="inlineStr">
        <is>
          <t>(AP) 90 Dias</t>
        </is>
      </c>
      <c r="M102" t="n">
        <v>10209065</v>
      </c>
      <c r="N102" t="inlineStr">
        <is>
          <t>FILTRO 5" A 7/8"</t>
        </is>
      </c>
      <c r="O102" t="inlineStr">
        <is>
          <t>DW68</t>
        </is>
      </c>
      <c r="P102" t="inlineStr">
        <is>
          <t>MX-CED. GUADALAJARA</t>
        </is>
      </c>
      <c r="Q102" t="n">
        <v>20260126</v>
      </c>
      <c r="R102" t="n">
        <v>20301231</v>
      </c>
      <c r="S102" t="n">
        <v>20260126</v>
      </c>
      <c r="T102" t="n">
        <v>20301231</v>
      </c>
      <c r="U102" t="n">
        <v>190</v>
      </c>
      <c r="V102" t="inlineStr">
        <is>
          <t>MXN</t>
        </is>
      </c>
      <c r="W102" t="inlineStr">
        <is>
          <t>M3</t>
        </is>
      </c>
      <c r="X102" t="n">
        <v>0.01</v>
      </c>
      <c r="Y102" t="inlineStr">
        <is>
          <t>MXN</t>
        </is>
      </c>
      <c r="Z102" t="inlineStr">
        <is>
          <t>M3</t>
        </is>
      </c>
      <c r="AA102" t="inlineStr">
        <is>
          <t>ENV9</t>
        </is>
      </c>
      <c r="AB102" t="inlineStr">
        <is>
          <t>VIALIDADES AEROPUERTO GDL F1 Y F2 /</t>
        </is>
      </c>
      <c r="AC102" t="n">
        <v>56103637</v>
      </c>
      <c r="AD102" t="n">
        <v>6644241540</v>
      </c>
      <c r="AE102" t="n">
        <v>4</v>
      </c>
      <c r="AF102" t="inlineStr">
        <is>
          <t>ENTREGA DIRECTA</t>
        </is>
      </c>
      <c r="AG102" t="n">
        <v>1.365</v>
      </c>
      <c r="AH102" t="inlineStr">
        <is>
          <t>M3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20260127</v>
      </c>
      <c r="AM102" t="inlineStr">
        <is>
          <t>DW68-900009396-ENV9-10209065-4</t>
        </is>
      </c>
    </row>
    <row r="103">
      <c r="A103" t="inlineStr">
        <is>
          <t>900009420DW68ENV810270913</t>
        </is>
      </c>
      <c r="B103" t="inlineStr">
        <is>
          <t>4600071943-180</t>
        </is>
      </c>
      <c r="C103" t="n">
        <v>4600071943</v>
      </c>
      <c r="D103" t="n">
        <v>180</v>
      </c>
      <c r="E103" t="inlineStr">
        <is>
          <t>MXPO</t>
        </is>
      </c>
      <c r="F103" t="inlineStr">
        <is>
          <t>MXL</t>
        </is>
      </c>
      <c r="G103" t="n">
        <v>900009420</v>
      </c>
      <c r="H103" t="inlineStr">
        <is>
          <t>SF TC-ED HOLCIM GDL</t>
        </is>
      </c>
      <c r="I103" t="n">
        <v>5040590</v>
      </c>
      <c r="J103" t="inlineStr">
        <is>
          <t>HOLCIM MEXICO OPERACIONES SA DE CV</t>
        </is>
      </c>
      <c r="K103" t="inlineStr">
        <is>
          <t>Z06</t>
        </is>
      </c>
      <c r="L103" t="inlineStr">
        <is>
          <t>(AP) 45 Dias</t>
        </is>
      </c>
      <c r="M103" t="n">
        <v>10270913</v>
      </c>
      <c r="N103" t="inlineStr">
        <is>
          <t>MP GRAVA TRIT. BASALTO 20 MM - 3/4</t>
        </is>
      </c>
      <c r="O103" t="inlineStr">
        <is>
          <t>DW68</t>
        </is>
      </c>
      <c r="P103" t="inlineStr">
        <is>
          <t>MX-CED. GUADALAJARA</t>
        </is>
      </c>
      <c r="Q103" t="n">
        <v>20260126</v>
      </c>
      <c r="R103" t="n">
        <v>20301231</v>
      </c>
      <c r="S103" t="n">
        <v>20260126</v>
      </c>
      <c r="T103" t="n">
        <v>20301231</v>
      </c>
      <c r="U103" t="n">
        <v>202.8</v>
      </c>
      <c r="V103" t="inlineStr">
        <is>
          <t>MXN</t>
        </is>
      </c>
      <c r="W103" t="inlineStr">
        <is>
          <t>TN</t>
        </is>
      </c>
      <c r="X103" t="n">
        <v>0.01</v>
      </c>
      <c r="Y103" t="inlineStr">
        <is>
          <t>MXN</t>
        </is>
      </c>
      <c r="Z103" t="inlineStr">
        <is>
          <t>TN</t>
        </is>
      </c>
      <c r="AA103" t="inlineStr">
        <is>
          <t>ENV8</t>
        </is>
      </c>
      <c r="AB103" t="inlineStr">
        <is>
          <t>Plataforma Aeropuerto GDL / GAP</t>
        </is>
      </c>
      <c r="AC103" t="n">
        <v>56103637</v>
      </c>
      <c r="AD103" t="n">
        <v>6644241540</v>
      </c>
      <c r="AE103" t="n">
        <v>4</v>
      </c>
      <c r="AF103" t="inlineStr">
        <is>
          <t>ENTREGA DIRECTA</t>
        </is>
      </c>
      <c r="AG103" t="n">
        <v>1</v>
      </c>
      <c r="AH103" t="inlineStr">
        <is>
          <t>TO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20260127</v>
      </c>
      <c r="AM103" t="inlineStr">
        <is>
          <t>DW68-900009420-ENV8-10270913-4</t>
        </is>
      </c>
    </row>
    <row r="104">
      <c r="A104" t="inlineStr">
        <is>
          <t>900009420DW68ENV810251385</t>
        </is>
      </c>
      <c r="B104" t="inlineStr">
        <is>
          <t>4600071943-150</t>
        </is>
      </c>
      <c r="C104" t="n">
        <v>4600071943</v>
      </c>
      <c r="D104" t="n">
        <v>150</v>
      </c>
      <c r="E104" t="inlineStr">
        <is>
          <t>MXPO</t>
        </is>
      </c>
      <c r="F104" t="inlineStr">
        <is>
          <t>MXL</t>
        </is>
      </c>
      <c r="G104" t="n">
        <v>900009420</v>
      </c>
      <c r="H104" t="inlineStr">
        <is>
          <t>SF TC-ED HOLCIM GDL</t>
        </is>
      </c>
      <c r="I104" t="n">
        <v>5040590</v>
      </c>
      <c r="J104" t="inlineStr">
        <is>
          <t>HOLCIM MEXICO OPERACIONES SA DE CV</t>
        </is>
      </c>
      <c r="K104" t="inlineStr">
        <is>
          <t>Z06</t>
        </is>
      </c>
      <c r="L104" t="inlineStr">
        <is>
          <t>(AP) 45 Dias</t>
        </is>
      </c>
      <c r="M104" t="n">
        <v>10251385</v>
      </c>
      <c r="N104" t="inlineStr">
        <is>
          <t>BASE H TRITURADA BASALTO 1 1/2" A FINOS-</t>
        </is>
      </c>
      <c r="O104" t="inlineStr">
        <is>
          <t>DW68</t>
        </is>
      </c>
      <c r="P104" t="inlineStr">
        <is>
          <t>MX-CED. GUADALAJARA</t>
        </is>
      </c>
      <c r="Q104" t="n">
        <v>20260126</v>
      </c>
      <c r="R104" t="n">
        <v>20301231</v>
      </c>
      <c r="S104" t="n">
        <v>20260126</v>
      </c>
      <c r="T104" t="n">
        <v>20301231</v>
      </c>
      <c r="U104" t="n">
        <v>220</v>
      </c>
      <c r="V104" t="inlineStr">
        <is>
          <t>MXN</t>
        </is>
      </c>
      <c r="W104" t="inlineStr">
        <is>
          <t>TN</t>
        </is>
      </c>
      <c r="X104" t="n">
        <v>0.01</v>
      </c>
      <c r="Y104" t="inlineStr">
        <is>
          <t>MXN</t>
        </is>
      </c>
      <c r="Z104" t="inlineStr">
        <is>
          <t>TN</t>
        </is>
      </c>
      <c r="AA104" t="inlineStr">
        <is>
          <t>ENV8</t>
        </is>
      </c>
      <c r="AB104" t="inlineStr">
        <is>
          <t>Plataforma Aeropuerto GDL / GAP</t>
        </is>
      </c>
      <c r="AC104" t="n">
        <v>56103590</v>
      </c>
      <c r="AD104" t="n">
        <v>6644241540</v>
      </c>
      <c r="AE104" t="n">
        <v>4</v>
      </c>
      <c r="AF104" t="inlineStr">
        <is>
          <t>ENTREGA DIRECTA</t>
        </is>
      </c>
      <c r="AG104" t="n">
        <v>1</v>
      </c>
      <c r="AH104" t="inlineStr">
        <is>
          <t>TO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20260127</v>
      </c>
      <c r="AM104" t="inlineStr">
        <is>
          <t>DW68-900009420-ENV8-10251385-4</t>
        </is>
      </c>
    </row>
    <row r="105">
      <c r="A105" t="inlineStr">
        <is>
          <t>900009420DW68ENV810270912</t>
        </is>
      </c>
      <c r="B105" t="inlineStr">
        <is>
          <t>4600071943-170</t>
        </is>
      </c>
      <c r="C105" t="n">
        <v>4600071943</v>
      </c>
      <c r="D105" t="n">
        <v>170</v>
      </c>
      <c r="E105" t="inlineStr">
        <is>
          <t>MXPO</t>
        </is>
      </c>
      <c r="F105" t="inlineStr">
        <is>
          <t>MXL</t>
        </is>
      </c>
      <c r="G105" t="n">
        <v>900009420</v>
      </c>
      <c r="H105" t="inlineStr">
        <is>
          <t>SF TC-ED HOLCIM GDL</t>
        </is>
      </c>
      <c r="I105" t="n">
        <v>5040590</v>
      </c>
      <c r="J105" t="inlineStr">
        <is>
          <t>HOLCIM MEXICO OPERACIONES SA DE CV</t>
        </is>
      </c>
      <c r="K105" t="inlineStr">
        <is>
          <t>Z06</t>
        </is>
      </c>
      <c r="L105" t="inlineStr">
        <is>
          <t>(AP) 45 Dias</t>
        </is>
      </c>
      <c r="M105" t="n">
        <v>10270912</v>
      </c>
      <c r="N105" t="inlineStr">
        <is>
          <t>MP ARENA TRIT. BASALTO MALLA 4</t>
        </is>
      </c>
      <c r="O105" t="inlineStr">
        <is>
          <t>DW68</t>
        </is>
      </c>
      <c r="P105" t="inlineStr">
        <is>
          <t>MX-CED. GUADALAJARA</t>
        </is>
      </c>
      <c r="Q105" t="n">
        <v>20260126</v>
      </c>
      <c r="R105" t="n">
        <v>20301231</v>
      </c>
      <c r="S105" t="n">
        <v>20260126</v>
      </c>
      <c r="T105" t="n">
        <v>20301231</v>
      </c>
      <c r="U105" t="n">
        <v>179.4</v>
      </c>
      <c r="V105" t="inlineStr">
        <is>
          <t>MXN</t>
        </is>
      </c>
      <c r="W105" t="inlineStr">
        <is>
          <t>TN</t>
        </is>
      </c>
      <c r="X105" t="n">
        <v>0.01</v>
      </c>
      <c r="Y105" t="inlineStr">
        <is>
          <t>MXN</t>
        </is>
      </c>
      <c r="Z105" t="inlineStr">
        <is>
          <t>TN</t>
        </is>
      </c>
      <c r="AA105" t="inlineStr">
        <is>
          <t>ENV8</t>
        </is>
      </c>
      <c r="AB105" t="inlineStr">
        <is>
          <t>Plataforma Aeropuerto GDL / GAP</t>
        </is>
      </c>
      <c r="AC105" t="n">
        <v>56103638</v>
      </c>
      <c r="AD105" t="n">
        <v>6644241540</v>
      </c>
      <c r="AE105" t="n">
        <v>4</v>
      </c>
      <c r="AF105" t="inlineStr">
        <is>
          <t>ENTREGA DIRECTA</t>
        </is>
      </c>
      <c r="AG105" t="n">
        <v>1</v>
      </c>
      <c r="AH105" t="inlineStr">
        <is>
          <t>TO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20260127</v>
      </c>
      <c r="AM105" t="inlineStr">
        <is>
          <t>DW68-900009420-ENV8-10270912-4</t>
        </is>
      </c>
    </row>
    <row r="106">
      <c r="A106" t="inlineStr">
        <is>
          <t>900009420DW68ENEB10251385</t>
        </is>
      </c>
      <c r="B106" t="inlineStr">
        <is>
          <t>4600071943-30</t>
        </is>
      </c>
      <c r="C106" t="n">
        <v>4600071943</v>
      </c>
      <c r="D106" t="n">
        <v>30</v>
      </c>
      <c r="E106" t="inlineStr">
        <is>
          <t>MXPO</t>
        </is>
      </c>
      <c r="F106" t="inlineStr">
        <is>
          <t>MXL</t>
        </is>
      </c>
      <c r="G106" t="n">
        <v>900009420</v>
      </c>
      <c r="H106" t="inlineStr">
        <is>
          <t>SF TC-ED HOLCIM GDL</t>
        </is>
      </c>
      <c r="I106" t="n">
        <v>5040590</v>
      </c>
      <c r="J106" t="inlineStr">
        <is>
          <t>HOLCIM MEXICO OPERACIONES SA DE CV</t>
        </is>
      </c>
      <c r="K106" t="inlineStr">
        <is>
          <t>Z06</t>
        </is>
      </c>
      <c r="L106" t="inlineStr">
        <is>
          <t>(AP) 45 Dias</t>
        </is>
      </c>
      <c r="M106" t="n">
        <v>10251385</v>
      </c>
      <c r="N106" t="inlineStr">
        <is>
          <t>BASE H TRITURADA BASALTO 1 1/2" A FINOS-</t>
        </is>
      </c>
      <c r="O106" t="inlineStr">
        <is>
          <t>DW68</t>
        </is>
      </c>
      <c r="P106" t="inlineStr">
        <is>
          <t>MX-CED. GUADALAJARA</t>
        </is>
      </c>
      <c r="Q106" t="n">
        <v>20260126</v>
      </c>
      <c r="R106" t="n">
        <v>20301231</v>
      </c>
      <c r="S106" t="n">
        <v>20260126</v>
      </c>
      <c r="T106" t="n">
        <v>20301231</v>
      </c>
      <c r="U106" t="n">
        <v>220</v>
      </c>
      <c r="V106" t="inlineStr">
        <is>
          <t>MXN</t>
        </is>
      </c>
      <c r="W106" t="inlineStr">
        <is>
          <t>TN</t>
        </is>
      </c>
      <c r="X106" t="n">
        <v>0.01</v>
      </c>
      <c r="Y106" t="inlineStr">
        <is>
          <t>MXN</t>
        </is>
      </c>
      <c r="Z106" t="inlineStr">
        <is>
          <t>TN</t>
        </is>
      </c>
      <c r="AA106" t="inlineStr">
        <is>
          <t>ENEB</t>
        </is>
      </c>
      <c r="AB106" t="inlineStr">
        <is>
          <t>DISTRIBUIDOR VIAL AEROP. GDL - T2 /</t>
        </is>
      </c>
      <c r="AC106" t="n">
        <v>56103590</v>
      </c>
      <c r="AD106" t="n">
        <v>6644241540</v>
      </c>
      <c r="AE106" t="n">
        <v>4</v>
      </c>
      <c r="AF106" t="inlineStr">
        <is>
          <t>ENTREGA DIRECTA</t>
        </is>
      </c>
      <c r="AG106" t="n">
        <v>1</v>
      </c>
      <c r="AH106" t="inlineStr">
        <is>
          <t>TO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20260127</v>
      </c>
      <c r="AM106" t="inlineStr">
        <is>
          <t>DW68-900009420-ENEB-10251385-4</t>
        </is>
      </c>
    </row>
    <row r="107">
      <c r="A107" t="inlineStr">
        <is>
          <t>900009420DW68ENV910270912</t>
        </is>
      </c>
      <c r="B107" t="inlineStr">
        <is>
          <t>4600071943-230</t>
        </is>
      </c>
      <c r="C107" t="n">
        <v>4600071943</v>
      </c>
      <c r="D107" t="n">
        <v>230</v>
      </c>
      <c r="E107" t="inlineStr">
        <is>
          <t>MXPO</t>
        </is>
      </c>
      <c r="F107" t="inlineStr">
        <is>
          <t>MXL</t>
        </is>
      </c>
      <c r="G107" t="n">
        <v>900009420</v>
      </c>
      <c r="H107" t="inlineStr">
        <is>
          <t>SF TC-ED HOLCIM GDL</t>
        </is>
      </c>
      <c r="I107" t="n">
        <v>5040590</v>
      </c>
      <c r="J107" t="inlineStr">
        <is>
          <t>HOLCIM MEXICO OPERACIONES SA DE CV</t>
        </is>
      </c>
      <c r="K107" t="inlineStr">
        <is>
          <t>Z06</t>
        </is>
      </c>
      <c r="L107" t="inlineStr">
        <is>
          <t>(AP) 45 Dias</t>
        </is>
      </c>
      <c r="M107" t="n">
        <v>10270912</v>
      </c>
      <c r="N107" t="inlineStr">
        <is>
          <t>MP ARENA TRIT. BASALTO MALLA 4</t>
        </is>
      </c>
      <c r="O107" t="inlineStr">
        <is>
          <t>DW68</t>
        </is>
      </c>
      <c r="P107" t="inlineStr">
        <is>
          <t>MX-CED. GUADALAJARA</t>
        </is>
      </c>
      <c r="Q107" t="n">
        <v>20260126</v>
      </c>
      <c r="R107" t="n">
        <v>20301231</v>
      </c>
      <c r="S107" t="n">
        <v>20260126</v>
      </c>
      <c r="T107" t="n">
        <v>20301231</v>
      </c>
      <c r="U107" t="n">
        <v>179.4</v>
      </c>
      <c r="V107" t="inlineStr">
        <is>
          <t>MXN</t>
        </is>
      </c>
      <c r="W107" t="inlineStr">
        <is>
          <t>TN</t>
        </is>
      </c>
      <c r="X107" t="n">
        <v>0.01</v>
      </c>
      <c r="Y107" t="inlineStr">
        <is>
          <t>MXN</t>
        </is>
      </c>
      <c r="Z107" t="inlineStr">
        <is>
          <t>TN</t>
        </is>
      </c>
      <c r="AA107" t="inlineStr">
        <is>
          <t>ENV9</t>
        </is>
      </c>
      <c r="AB107" t="inlineStr">
        <is>
          <t>VIALIDADES AEROPUERTO GDL F1 Y F2 /</t>
        </is>
      </c>
      <c r="AC107" t="n">
        <v>56103638</v>
      </c>
      <c r="AD107" t="n">
        <v>6644241540</v>
      </c>
      <c r="AE107" t="n">
        <v>4</v>
      </c>
      <c r="AF107" t="inlineStr">
        <is>
          <t>ENTREGA DIRECTA</t>
        </is>
      </c>
      <c r="AG107" t="n">
        <v>1</v>
      </c>
      <c r="AH107" t="inlineStr">
        <is>
          <t>TO</t>
        </is>
      </c>
      <c r="AI107" t="inlineStr">
        <is>
          <t>X</t>
        </is>
      </c>
      <c r="AJ107" t="n">
        <v>4</v>
      </c>
      <c r="AK107" t="inlineStr">
        <is>
          <t>V4</t>
        </is>
      </c>
      <c r="AL107" t="n">
        <v>20260127</v>
      </c>
      <c r="AM107" t="inlineStr">
        <is>
          <t>DW68-900009420-ENV9-10270912-4</t>
        </is>
      </c>
    </row>
    <row r="108">
      <c r="A108" t="inlineStr">
        <is>
          <t>900009396DW68ENL110270898</t>
        </is>
      </c>
      <c r="B108" t="inlineStr">
        <is>
          <t>4600071942-30</t>
        </is>
      </c>
      <c r="C108" t="n">
        <v>4600071942</v>
      </c>
      <c r="D108" t="n">
        <v>30</v>
      </c>
      <c r="E108" t="inlineStr">
        <is>
          <t>MXPO</t>
        </is>
      </c>
      <c r="F108" t="inlineStr">
        <is>
          <t>MXL</t>
        </is>
      </c>
      <c r="G108" t="n">
        <v>900009396</v>
      </c>
      <c r="H108" t="inlineStr">
        <is>
          <t>SF TC-ED GASA</t>
        </is>
      </c>
      <c r="I108" t="n">
        <v>5097224</v>
      </c>
      <c r="J108" t="inlineStr">
        <is>
          <t>TRITURADOS GASA SA DE CV</t>
        </is>
      </c>
      <c r="K108" t="inlineStr">
        <is>
          <t>Z09</t>
        </is>
      </c>
      <c r="L108" t="inlineStr">
        <is>
          <t>(AP) 90 Dias</t>
        </is>
      </c>
      <c r="M108" t="n">
        <v>10270898</v>
      </c>
      <c r="N108" t="inlineStr">
        <is>
          <t>MP BASE H. TRIT. BASALTO 1 1/2" A FINOS</t>
        </is>
      </c>
      <c r="O108" t="inlineStr">
        <is>
          <t>DW68</t>
        </is>
      </c>
      <c r="P108" t="inlineStr">
        <is>
          <t>MX-CED. GUADALAJARA</t>
        </is>
      </c>
      <c r="Q108" t="n">
        <v>20260126</v>
      </c>
      <c r="R108" t="n">
        <v>20301231</v>
      </c>
      <c r="S108" t="n">
        <v>20260126</v>
      </c>
      <c r="T108" t="n">
        <v>20301231</v>
      </c>
      <c r="U108" t="n">
        <v>270</v>
      </c>
      <c r="V108" t="inlineStr">
        <is>
          <t>MXN</t>
        </is>
      </c>
      <c r="W108" t="inlineStr">
        <is>
          <t>M3</t>
        </is>
      </c>
      <c r="X108" t="n">
        <v>0.01</v>
      </c>
      <c r="Y108" t="inlineStr">
        <is>
          <t>MXN</t>
        </is>
      </c>
      <c r="Z108" t="inlineStr">
        <is>
          <t>M3</t>
        </is>
      </c>
      <c r="AA108" t="inlineStr">
        <is>
          <t>ENL1</t>
        </is>
      </c>
      <c r="AB108" t="inlineStr">
        <is>
          <t>MX-PD0681 INFRA APTO GDL</t>
        </is>
      </c>
      <c r="AC108" t="n">
        <v>56103590</v>
      </c>
      <c r="AD108" t="n">
        <v>6644241540</v>
      </c>
      <c r="AE108" t="n">
        <v>4</v>
      </c>
      <c r="AF108" t="inlineStr">
        <is>
          <t>ENTREGA DIRECTA</t>
        </is>
      </c>
      <c r="AG108" t="n">
        <v>1.551</v>
      </c>
      <c r="AH108" t="inlineStr">
        <is>
          <t>M3</t>
        </is>
      </c>
      <c r="AI108" t="inlineStr">
        <is>
          <t>X</t>
        </is>
      </c>
      <c r="AJ108" t="n">
        <v>4</v>
      </c>
      <c r="AK108" t="inlineStr">
        <is>
          <t>V4</t>
        </is>
      </c>
      <c r="AL108" t="n">
        <v>20260127</v>
      </c>
      <c r="AM108" t="inlineStr">
        <is>
          <t>DW68-900009396-ENL1-10270898-4</t>
        </is>
      </c>
    </row>
    <row r="109">
      <c r="A109" t="inlineStr">
        <is>
          <t>900009396DW68ENL110209065</t>
        </is>
      </c>
      <c r="B109" t="inlineStr">
        <is>
          <t>4600071942-20</t>
        </is>
      </c>
      <c r="C109" t="n">
        <v>4600071942</v>
      </c>
      <c r="D109" t="n">
        <v>20</v>
      </c>
      <c r="E109" t="inlineStr">
        <is>
          <t>MXPO</t>
        </is>
      </c>
      <c r="F109" t="inlineStr">
        <is>
          <t>MXL</t>
        </is>
      </c>
      <c r="G109" t="n">
        <v>900009396</v>
      </c>
      <c r="H109" t="inlineStr">
        <is>
          <t>SF TC-ED GASA</t>
        </is>
      </c>
      <c r="I109" t="n">
        <v>5097224</v>
      </c>
      <c r="J109" t="inlineStr">
        <is>
          <t>TRITURADOS GASA SA DE CV</t>
        </is>
      </c>
      <c r="K109" t="inlineStr">
        <is>
          <t>Z09</t>
        </is>
      </c>
      <c r="L109" t="inlineStr">
        <is>
          <t>(AP) 90 Dias</t>
        </is>
      </c>
      <c r="M109" t="n">
        <v>10209065</v>
      </c>
      <c r="N109" t="inlineStr">
        <is>
          <t>FILTRO 5" A 7/8"</t>
        </is>
      </c>
      <c r="O109" t="inlineStr">
        <is>
          <t>DW68</t>
        </is>
      </c>
      <c r="P109" t="inlineStr">
        <is>
          <t>MX-CED. GUADALAJARA</t>
        </is>
      </c>
      <c r="Q109" t="n">
        <v>20260126</v>
      </c>
      <c r="R109" t="n">
        <v>20301231</v>
      </c>
      <c r="S109" t="n">
        <v>20260126</v>
      </c>
      <c r="T109" t="n">
        <v>20301231</v>
      </c>
      <c r="U109" t="n">
        <v>190</v>
      </c>
      <c r="V109" t="inlineStr">
        <is>
          <t>MXN</t>
        </is>
      </c>
      <c r="W109" t="inlineStr">
        <is>
          <t>M3</t>
        </is>
      </c>
      <c r="X109" t="n">
        <v>0.01</v>
      </c>
      <c r="Y109" t="inlineStr">
        <is>
          <t>MXN</t>
        </is>
      </c>
      <c r="Z109" t="inlineStr">
        <is>
          <t>M3</t>
        </is>
      </c>
      <c r="AA109" t="inlineStr">
        <is>
          <t>ENL1</t>
        </is>
      </c>
      <c r="AB109" t="inlineStr">
        <is>
          <t>MX-PD0681 INFRA APTO GDL</t>
        </is>
      </c>
      <c r="AC109" t="n">
        <v>56103637</v>
      </c>
      <c r="AD109" t="n">
        <v>6644241540</v>
      </c>
      <c r="AE109" t="n">
        <v>4</v>
      </c>
      <c r="AF109" t="inlineStr">
        <is>
          <t>ENTREGA DIRECTA</t>
        </is>
      </c>
      <c r="AG109" t="n">
        <v>1.365</v>
      </c>
      <c r="AH109" t="inlineStr">
        <is>
          <t>M3</t>
        </is>
      </c>
      <c r="AI109" t="inlineStr">
        <is>
          <t>X</t>
        </is>
      </c>
      <c r="AJ109" t="n">
        <v>4</v>
      </c>
      <c r="AK109" t="inlineStr">
        <is>
          <t>V4</t>
        </is>
      </c>
      <c r="AL109" t="n">
        <v>20260127</v>
      </c>
      <c r="AM109" t="inlineStr">
        <is>
          <t>DW68-900009396-ENL1-10209065-4</t>
        </is>
      </c>
    </row>
    <row r="110">
      <c r="A110" t="inlineStr">
        <is>
          <t>900009395DW6810209065</t>
        </is>
      </c>
      <c r="B110" t="inlineStr">
        <is>
          <t>4600071760-20</t>
        </is>
      </c>
      <c r="C110" t="n">
        <v>4600071760</v>
      </c>
      <c r="D110" t="n">
        <v>20</v>
      </c>
      <c r="E110" t="inlineStr">
        <is>
          <t>MXPO</t>
        </is>
      </c>
      <c r="F110" t="inlineStr">
        <is>
          <t>MXL</t>
        </is>
      </c>
      <c r="G110" t="n">
        <v>900009395</v>
      </c>
      <c r="H110" t="inlineStr">
        <is>
          <t>SF TC-GASA</t>
        </is>
      </c>
      <c r="I110" t="n">
        <v>5097224</v>
      </c>
      <c r="J110" t="inlineStr">
        <is>
          <t>TRITURADOS GASA SA DE CV</t>
        </is>
      </c>
      <c r="K110" t="inlineStr">
        <is>
          <t>Z09</t>
        </is>
      </c>
      <c r="L110" t="inlineStr">
        <is>
          <t>(AP) 90 Dias</t>
        </is>
      </c>
      <c r="M110" t="n">
        <v>10209065</v>
      </c>
      <c r="N110" t="inlineStr">
        <is>
          <t>FILTRO 5" A 7/8"</t>
        </is>
      </c>
      <c r="O110" t="inlineStr">
        <is>
          <t>DW68</t>
        </is>
      </c>
      <c r="P110" t="inlineStr">
        <is>
          <t>MX-CED. GUADALAJARA</t>
        </is>
      </c>
      <c r="Q110" t="n">
        <v>20251110</v>
      </c>
      <c r="R110" t="n">
        <v>20301231</v>
      </c>
      <c r="S110" t="n">
        <v>20251121</v>
      </c>
      <c r="T110" t="n">
        <v>20301231</v>
      </c>
      <c r="U110" t="n">
        <v>190</v>
      </c>
      <c r="V110" t="inlineStr">
        <is>
          <t>MXN</t>
        </is>
      </c>
      <c r="W110" t="inlineStr">
        <is>
          <t>M3</t>
        </is>
      </c>
      <c r="X110" t="n">
        <v>0</v>
      </c>
      <c r="Y110" t="inlineStr">
        <is>
          <t>MXN</t>
        </is>
      </c>
      <c r="Z110" t="inlineStr">
        <is>
          <t>M3</t>
        </is>
      </c>
      <c r="AC110" t="n">
        <v>56103637</v>
      </c>
      <c r="AD110" t="n">
        <v>6644241540</v>
      </c>
      <c r="AE110" t="n">
        <v>2</v>
      </c>
      <c r="AF110" t="inlineStr">
        <is>
          <t>RECOGIDO</t>
        </is>
      </c>
      <c r="AG110" t="n">
        <v>1.365</v>
      </c>
      <c r="AH110" t="inlineStr">
        <is>
          <t>M3</t>
        </is>
      </c>
      <c r="AI110" t="inlineStr">
        <is>
          <t>X</t>
        </is>
      </c>
      <c r="AJ110" t="n">
        <v>4</v>
      </c>
      <c r="AK110" t="inlineStr">
        <is>
          <t>V4</t>
        </is>
      </c>
      <c r="AL110" t="n">
        <v>20251222</v>
      </c>
      <c r="AM110" t="inlineStr">
        <is>
          <t>DW68-900009395-10209065</t>
        </is>
      </c>
    </row>
    <row r="111">
      <c r="A111" t="inlineStr">
        <is>
          <t>900009419DW6810270913</t>
        </is>
      </c>
      <c r="B111" t="inlineStr">
        <is>
          <t>4600071812-50</t>
        </is>
      </c>
      <c r="C111" t="n">
        <v>4600071812</v>
      </c>
      <c r="D111" t="n">
        <v>50</v>
      </c>
      <c r="E111" t="inlineStr">
        <is>
          <t>MXPO</t>
        </is>
      </c>
      <c r="F111" t="inlineStr">
        <is>
          <t>MXL</t>
        </is>
      </c>
      <c r="G111" t="n">
        <v>900009419</v>
      </c>
      <c r="H111" t="inlineStr">
        <is>
          <t>SF TC-HOLCIM GDL</t>
        </is>
      </c>
      <c r="I111" t="n">
        <v>5040590</v>
      </c>
      <c r="J111" t="inlineStr">
        <is>
          <t>HOLCIM MEXICO OPERACIONES SA DE CV</t>
        </is>
      </c>
      <c r="K111" t="inlineStr">
        <is>
          <t>Z06</t>
        </is>
      </c>
      <c r="L111" t="inlineStr">
        <is>
          <t>(AP) 45 Dias</t>
        </is>
      </c>
      <c r="M111" t="n">
        <v>10270913</v>
      </c>
      <c r="N111" t="inlineStr">
        <is>
          <t>MP GRAVA TRIT. BASALTO 20 MM - 3/4</t>
        </is>
      </c>
      <c r="O111" t="inlineStr">
        <is>
          <t>DW68</t>
        </is>
      </c>
      <c r="P111" t="inlineStr">
        <is>
          <t>MX-CED. GUADALAJARA</t>
        </is>
      </c>
      <c r="Q111" t="n">
        <v>20251202</v>
      </c>
      <c r="R111" t="n">
        <v>20301231</v>
      </c>
      <c r="S111" t="n">
        <v>20251202</v>
      </c>
      <c r="T111" t="n">
        <v>20301231</v>
      </c>
      <c r="U111" t="n">
        <v>202.8</v>
      </c>
      <c r="V111" t="inlineStr">
        <is>
          <t>MXN</t>
        </is>
      </c>
      <c r="W111" t="inlineStr">
        <is>
          <t>TN</t>
        </is>
      </c>
      <c r="X111" t="n">
        <v>0</v>
      </c>
      <c r="Y111" t="inlineStr">
        <is>
          <t>MXN</t>
        </is>
      </c>
      <c r="Z111" t="inlineStr">
        <is>
          <t>TN</t>
        </is>
      </c>
      <c r="AC111" t="n">
        <v>56103637</v>
      </c>
      <c r="AD111" t="n">
        <v>6644241540</v>
      </c>
      <c r="AE111" t="n">
        <v>1</v>
      </c>
      <c r="AF111" t="inlineStr">
        <is>
          <t>ENTREGADO</t>
        </is>
      </c>
      <c r="AG111" t="n">
        <v>1</v>
      </c>
      <c r="AH111" t="inlineStr">
        <is>
          <t>TO</t>
        </is>
      </c>
      <c r="AI111" t="inlineStr">
        <is>
          <t>X</t>
        </is>
      </c>
      <c r="AJ111" t="n">
        <v>4</v>
      </c>
      <c r="AK111" t="inlineStr">
        <is>
          <t>V4</t>
        </is>
      </c>
      <c r="AL111" t="n">
        <v>20251203</v>
      </c>
      <c r="AM111" t="inlineStr">
        <is>
          <t>DW68-900009419-10270913</t>
        </is>
      </c>
    </row>
    <row r="112">
      <c r="A112" t="inlineStr">
        <is>
          <t>900009420DW68ENEB10209065</t>
        </is>
      </c>
      <c r="B112" t="inlineStr">
        <is>
          <t>4600071943-20</t>
        </is>
      </c>
      <c r="C112" t="n">
        <v>4600071943</v>
      </c>
      <c r="D112" t="n">
        <v>20</v>
      </c>
      <c r="E112" t="inlineStr">
        <is>
          <t>MXPO</t>
        </is>
      </c>
      <c r="F112" t="inlineStr">
        <is>
          <t>MXL</t>
        </is>
      </c>
      <c r="G112" t="n">
        <v>900009420</v>
      </c>
      <c r="H112" t="inlineStr">
        <is>
          <t>SF TC-ED HOLCIM GDL</t>
        </is>
      </c>
      <c r="I112" t="n">
        <v>5040590</v>
      </c>
      <c r="J112" t="inlineStr">
        <is>
          <t>HOLCIM MEXICO OPERACIONES SA DE CV</t>
        </is>
      </c>
      <c r="K112" t="inlineStr">
        <is>
          <t>Z06</t>
        </is>
      </c>
      <c r="L112" t="inlineStr">
        <is>
          <t>(AP) 45 Dias</t>
        </is>
      </c>
      <c r="M112" t="n">
        <v>10209065</v>
      </c>
      <c r="N112" t="inlineStr">
        <is>
          <t>FILTRO 5" A 7/8"</t>
        </is>
      </c>
      <c r="O112" t="inlineStr">
        <is>
          <t>DW68</t>
        </is>
      </c>
      <c r="P112" t="inlineStr">
        <is>
          <t>MX-CED. GUADALAJARA</t>
        </is>
      </c>
      <c r="Q112" t="n">
        <v>20260126</v>
      </c>
      <c r="R112" t="n">
        <v>20301231</v>
      </c>
      <c r="S112" t="n">
        <v>20260126</v>
      </c>
      <c r="T112" t="n">
        <v>20301231</v>
      </c>
      <c r="U112" t="n">
        <v>145</v>
      </c>
      <c r="V112" t="inlineStr">
        <is>
          <t>MXN</t>
        </is>
      </c>
      <c r="W112" t="inlineStr">
        <is>
          <t>TN</t>
        </is>
      </c>
      <c r="X112" t="n">
        <v>0.01</v>
      </c>
      <c r="Y112" t="inlineStr">
        <is>
          <t>MXN</t>
        </is>
      </c>
      <c r="Z112" t="inlineStr">
        <is>
          <t>TN</t>
        </is>
      </c>
      <c r="AA112" t="inlineStr">
        <is>
          <t>ENEB</t>
        </is>
      </c>
      <c r="AB112" t="inlineStr">
        <is>
          <t>DISTRIBUIDOR VIAL AEROP. GDL - T2 /</t>
        </is>
      </c>
      <c r="AC112" t="n">
        <v>56103637</v>
      </c>
      <c r="AD112" t="n">
        <v>6644241540</v>
      </c>
      <c r="AE112" t="n">
        <v>4</v>
      </c>
      <c r="AF112" t="inlineStr">
        <is>
          <t>ENTREGA DIRECTA</t>
        </is>
      </c>
      <c r="AG112" t="n">
        <v>1</v>
      </c>
      <c r="AH112" t="inlineStr">
        <is>
          <t>TO</t>
        </is>
      </c>
      <c r="AI112" t="inlineStr">
        <is>
          <t>X</t>
        </is>
      </c>
      <c r="AJ112" t="n">
        <v>4</v>
      </c>
      <c r="AK112" t="inlineStr">
        <is>
          <t>V4</t>
        </is>
      </c>
      <c r="AL112" t="n">
        <v>20260127</v>
      </c>
      <c r="AM112" t="inlineStr">
        <is>
          <t>DW68-900009420-ENEB-10209065-4</t>
        </is>
      </c>
    </row>
    <row r="113">
      <c r="A113" t="inlineStr">
        <is>
          <t>900009420DW68ENL110270912</t>
        </is>
      </c>
      <c r="B113" t="inlineStr">
        <is>
          <t>4600071943-110</t>
        </is>
      </c>
      <c r="C113" t="n">
        <v>4600071943</v>
      </c>
      <c r="D113" t="n">
        <v>110</v>
      </c>
      <c r="E113" t="inlineStr">
        <is>
          <t>MXPO</t>
        </is>
      </c>
      <c r="F113" t="inlineStr">
        <is>
          <t>MXL</t>
        </is>
      </c>
      <c r="G113" t="n">
        <v>900009420</v>
      </c>
      <c r="H113" t="inlineStr">
        <is>
          <t>SF TC-ED HOLCIM GDL</t>
        </is>
      </c>
      <c r="I113" t="n">
        <v>5040590</v>
      </c>
      <c r="J113" t="inlineStr">
        <is>
          <t>HOLCIM MEXICO OPERACIONES SA DE CV</t>
        </is>
      </c>
      <c r="K113" t="inlineStr">
        <is>
          <t>Z06</t>
        </is>
      </c>
      <c r="L113" t="inlineStr">
        <is>
          <t>(AP) 45 Dias</t>
        </is>
      </c>
      <c r="M113" t="n">
        <v>10270912</v>
      </c>
      <c r="N113" t="inlineStr">
        <is>
          <t>MP ARENA TRIT. BASALTO MALLA 4</t>
        </is>
      </c>
      <c r="O113" t="inlineStr">
        <is>
          <t>DW68</t>
        </is>
      </c>
      <c r="P113" t="inlineStr">
        <is>
          <t>MX-CED. GUADALAJARA</t>
        </is>
      </c>
      <c r="Q113" t="n">
        <v>20260126</v>
      </c>
      <c r="R113" t="n">
        <v>20301231</v>
      </c>
      <c r="S113" t="n">
        <v>20260126</v>
      </c>
      <c r="T113" t="n">
        <v>20301231</v>
      </c>
      <c r="U113" t="n">
        <v>179.4</v>
      </c>
      <c r="V113" t="inlineStr">
        <is>
          <t>MXN</t>
        </is>
      </c>
      <c r="W113" t="inlineStr">
        <is>
          <t>TN</t>
        </is>
      </c>
      <c r="X113" t="n">
        <v>0.01</v>
      </c>
      <c r="Y113" t="inlineStr">
        <is>
          <t>MXN</t>
        </is>
      </c>
      <c r="Z113" t="inlineStr">
        <is>
          <t>TN</t>
        </is>
      </c>
      <c r="AA113" t="inlineStr">
        <is>
          <t>ENL1</t>
        </is>
      </c>
      <c r="AB113" t="inlineStr">
        <is>
          <t>MX-PD0681 INFRA APTO GDL</t>
        </is>
      </c>
      <c r="AC113" t="n">
        <v>56103638</v>
      </c>
      <c r="AD113" t="n">
        <v>6644241540</v>
      </c>
      <c r="AE113" t="n">
        <v>4</v>
      </c>
      <c r="AF113" t="inlineStr">
        <is>
          <t>ENTREGA DIRECTA</t>
        </is>
      </c>
      <c r="AG113" t="n">
        <v>1</v>
      </c>
      <c r="AH113" t="inlineStr">
        <is>
          <t>TO</t>
        </is>
      </c>
      <c r="AI113" t="inlineStr">
        <is>
          <t>X</t>
        </is>
      </c>
      <c r="AJ113" t="n">
        <v>4</v>
      </c>
      <c r="AK113" t="inlineStr">
        <is>
          <t>V4</t>
        </is>
      </c>
      <c r="AL113" t="n">
        <v>20260127</v>
      </c>
      <c r="AM113" t="inlineStr">
        <is>
          <t>DW68-900009420-ENL1-10270912-4</t>
        </is>
      </c>
    </row>
    <row r="114">
      <c r="A114" t="inlineStr">
        <is>
          <t>900009420DW68ENEB10270913</t>
        </is>
      </c>
      <c r="B114" t="inlineStr">
        <is>
          <t>4600071943-60</t>
        </is>
      </c>
      <c r="C114" t="n">
        <v>4600071943</v>
      </c>
      <c r="D114" t="n">
        <v>60</v>
      </c>
      <c r="E114" t="inlineStr">
        <is>
          <t>MXPO</t>
        </is>
      </c>
      <c r="F114" t="inlineStr">
        <is>
          <t>MXL</t>
        </is>
      </c>
      <c r="G114" t="n">
        <v>900009420</v>
      </c>
      <c r="H114" t="inlineStr">
        <is>
          <t>SF TC-ED HOLCIM GDL</t>
        </is>
      </c>
      <c r="I114" t="n">
        <v>5040590</v>
      </c>
      <c r="J114" t="inlineStr">
        <is>
          <t>HOLCIM MEXICO OPERACIONES SA DE CV</t>
        </is>
      </c>
      <c r="K114" t="inlineStr">
        <is>
          <t>Z06</t>
        </is>
      </c>
      <c r="L114" t="inlineStr">
        <is>
          <t>(AP) 45 Dias</t>
        </is>
      </c>
      <c r="M114" t="n">
        <v>10270913</v>
      </c>
      <c r="N114" t="inlineStr">
        <is>
          <t>MP GRAVA TRIT. BASALTO 20 MM - 3/4</t>
        </is>
      </c>
      <c r="O114" t="inlineStr">
        <is>
          <t>DW68</t>
        </is>
      </c>
      <c r="P114" t="inlineStr">
        <is>
          <t>MX-CED. GUADALAJARA</t>
        </is>
      </c>
      <c r="Q114" t="n">
        <v>20260126</v>
      </c>
      <c r="R114" t="n">
        <v>20301231</v>
      </c>
      <c r="S114" t="n">
        <v>20260126</v>
      </c>
      <c r="T114" t="n">
        <v>99991231</v>
      </c>
      <c r="U114" t="n">
        <v>202.8</v>
      </c>
      <c r="V114" t="inlineStr">
        <is>
          <t>MXN</t>
        </is>
      </c>
      <c r="W114" t="inlineStr">
        <is>
          <t>TN</t>
        </is>
      </c>
      <c r="X114" t="n">
        <v>0.01</v>
      </c>
      <c r="Y114" t="inlineStr">
        <is>
          <t>MXN</t>
        </is>
      </c>
      <c r="Z114" t="inlineStr">
        <is>
          <t>TN</t>
        </is>
      </c>
      <c r="AA114" t="inlineStr">
        <is>
          <t>ENEB</t>
        </is>
      </c>
      <c r="AB114" t="inlineStr">
        <is>
          <t>DISTRIBUIDOR VIAL AEROP. GDL - T2 /</t>
        </is>
      </c>
      <c r="AC114" t="n">
        <v>56103637</v>
      </c>
      <c r="AD114" t="n">
        <v>6644241540</v>
      </c>
      <c r="AE114" t="n">
        <v>4</v>
      </c>
      <c r="AF114" t="inlineStr">
        <is>
          <t>ENTREGA DIRECTA</t>
        </is>
      </c>
      <c r="AG114" t="n">
        <v>1</v>
      </c>
      <c r="AH114" t="inlineStr">
        <is>
          <t>TO</t>
        </is>
      </c>
      <c r="AI114" t="inlineStr">
        <is>
          <t>X</t>
        </is>
      </c>
      <c r="AJ114" t="n">
        <v>4</v>
      </c>
      <c r="AK114" t="inlineStr">
        <is>
          <t>V4</t>
        </is>
      </c>
      <c r="AL114" t="n">
        <v>20260127</v>
      </c>
      <c r="AM114" t="inlineStr">
        <is>
          <t>DW68-900009420-ENEB-10270913-4</t>
        </is>
      </c>
    </row>
    <row r="115">
      <c r="A115" t="inlineStr">
        <is>
          <t>900009420DW68ENL110270913</t>
        </is>
      </c>
      <c r="B115" t="inlineStr">
        <is>
          <t>4600071943-120</t>
        </is>
      </c>
      <c r="C115" t="n">
        <v>4600071943</v>
      </c>
      <c r="D115" t="n">
        <v>120</v>
      </c>
      <c r="E115" t="inlineStr">
        <is>
          <t>MXPO</t>
        </is>
      </c>
      <c r="F115" t="inlineStr">
        <is>
          <t>MXL</t>
        </is>
      </c>
      <c r="G115" t="n">
        <v>900009420</v>
      </c>
      <c r="H115" t="inlineStr">
        <is>
          <t>SF TC-ED HOLCIM GDL</t>
        </is>
      </c>
      <c r="I115" t="n">
        <v>5040590</v>
      </c>
      <c r="J115" t="inlineStr">
        <is>
          <t>HOLCIM MEXICO OPERACIONES SA DE CV</t>
        </is>
      </c>
      <c r="K115" t="inlineStr">
        <is>
          <t>Z06</t>
        </is>
      </c>
      <c r="L115" t="inlineStr">
        <is>
          <t>(AP) 45 Dias</t>
        </is>
      </c>
      <c r="M115" t="n">
        <v>10270913</v>
      </c>
      <c r="N115" t="inlineStr">
        <is>
          <t>MP GRAVA TRIT. BASALTO 20 MM - 3/4</t>
        </is>
      </c>
      <c r="O115" t="inlineStr">
        <is>
          <t>DW68</t>
        </is>
      </c>
      <c r="P115" t="inlineStr">
        <is>
          <t>MX-CED. GUADALAJARA</t>
        </is>
      </c>
      <c r="Q115" t="n">
        <v>20260126</v>
      </c>
      <c r="R115" t="n">
        <v>20301231</v>
      </c>
      <c r="S115" t="n">
        <v>20260126</v>
      </c>
      <c r="T115" t="n">
        <v>20301231</v>
      </c>
      <c r="U115" t="n">
        <v>202.8</v>
      </c>
      <c r="V115" t="inlineStr">
        <is>
          <t>MXN</t>
        </is>
      </c>
      <c r="W115" t="inlineStr">
        <is>
          <t>TN</t>
        </is>
      </c>
      <c r="X115" t="n">
        <v>0.01</v>
      </c>
      <c r="Y115" t="inlineStr">
        <is>
          <t>MXN</t>
        </is>
      </c>
      <c r="Z115" t="inlineStr">
        <is>
          <t>TN</t>
        </is>
      </c>
      <c r="AA115" t="inlineStr">
        <is>
          <t>ENL1</t>
        </is>
      </c>
      <c r="AB115" t="inlineStr">
        <is>
          <t>MX-PD0681 INFRA APTO GDL</t>
        </is>
      </c>
      <c r="AC115" t="n">
        <v>56103637</v>
      </c>
      <c r="AD115" t="n">
        <v>6644241540</v>
      </c>
      <c r="AE115" t="n">
        <v>4</v>
      </c>
      <c r="AF115" t="inlineStr">
        <is>
          <t>ENTREGA DIRECTA</t>
        </is>
      </c>
      <c r="AG115" t="n">
        <v>1</v>
      </c>
      <c r="AH115" t="inlineStr">
        <is>
          <t>TO</t>
        </is>
      </c>
      <c r="AI115" t="inlineStr">
        <is>
          <t>X</t>
        </is>
      </c>
      <c r="AJ115" t="n">
        <v>4</v>
      </c>
      <c r="AK115" t="inlineStr">
        <is>
          <t>V4</t>
        </is>
      </c>
      <c r="AL115" t="n">
        <v>20260127</v>
      </c>
      <c r="AM115" t="inlineStr">
        <is>
          <t>DW68-900009420-ENL1-10270913-4</t>
        </is>
      </c>
    </row>
    <row r="116">
      <c r="A116" t="inlineStr">
        <is>
          <t>900009420DW68ENV910000439</t>
        </is>
      </c>
      <c r="B116" t="inlineStr">
        <is>
          <t>4600071943-190</t>
        </is>
      </c>
      <c r="C116" t="n">
        <v>4600071943</v>
      </c>
      <c r="D116" t="n">
        <v>190</v>
      </c>
      <c r="E116" t="inlineStr">
        <is>
          <t>MXPO</t>
        </is>
      </c>
      <c r="F116" t="inlineStr">
        <is>
          <t>MXL</t>
        </is>
      </c>
      <c r="G116" t="n">
        <v>900009420</v>
      </c>
      <c r="H116" t="inlineStr">
        <is>
          <t>SF TC-ED HOLCIM GDL</t>
        </is>
      </c>
      <c r="I116" t="n">
        <v>5040590</v>
      </c>
      <c r="J116" t="inlineStr">
        <is>
          <t>HOLCIM MEXICO OPERACIONES SA DE CV</t>
        </is>
      </c>
      <c r="K116" t="inlineStr">
        <is>
          <t>Z06</t>
        </is>
      </c>
      <c r="L116" t="inlineStr">
        <is>
          <t>(AP) 45 Dias</t>
        </is>
      </c>
      <c r="M116" t="n">
        <v>10000439</v>
      </c>
      <c r="N116" t="inlineStr">
        <is>
          <t>Grava Triturada Basalto 10 mm - 3/8"</t>
        </is>
      </c>
      <c r="O116" t="inlineStr">
        <is>
          <t>DW68</t>
        </is>
      </c>
      <c r="P116" t="inlineStr">
        <is>
          <t>MX-CED. GUADALAJARA</t>
        </is>
      </c>
      <c r="Q116" t="n">
        <v>20260126</v>
      </c>
      <c r="R116" t="n">
        <v>20301231</v>
      </c>
      <c r="S116" t="n">
        <v>20260126</v>
      </c>
      <c r="T116" t="n">
        <v>20301231</v>
      </c>
      <c r="U116" t="n">
        <v>217.6</v>
      </c>
      <c r="V116" t="inlineStr">
        <is>
          <t>MXN</t>
        </is>
      </c>
      <c r="W116" t="inlineStr">
        <is>
          <t>TN</t>
        </is>
      </c>
      <c r="X116" t="n">
        <v>0.01</v>
      </c>
      <c r="Y116" t="inlineStr">
        <is>
          <t>MXN</t>
        </is>
      </c>
      <c r="Z116" t="inlineStr">
        <is>
          <t>TN</t>
        </is>
      </c>
      <c r="AA116" t="inlineStr">
        <is>
          <t>ENV9</t>
        </is>
      </c>
      <c r="AB116" t="inlineStr">
        <is>
          <t>VIALIDADES AEROPUERTO GDL F1 Y F2 /</t>
        </is>
      </c>
      <c r="AC116" t="n">
        <v>56103637</v>
      </c>
      <c r="AD116" t="n">
        <v>6644241540</v>
      </c>
      <c r="AE116" t="n">
        <v>4</v>
      </c>
      <c r="AF116" t="inlineStr">
        <is>
          <t>ENTREGA DIRECTA</t>
        </is>
      </c>
      <c r="AG116" t="n">
        <v>1</v>
      </c>
      <c r="AH116" t="inlineStr">
        <is>
          <t>TO</t>
        </is>
      </c>
      <c r="AI116" t="inlineStr">
        <is>
          <t>X</t>
        </is>
      </c>
      <c r="AJ116" t="n">
        <v>4</v>
      </c>
      <c r="AK116" t="inlineStr">
        <is>
          <t>V4</t>
        </is>
      </c>
      <c r="AL116" t="n">
        <v>20260127</v>
      </c>
      <c r="AM116" t="inlineStr">
        <is>
          <t>DW68-900009420-ENV9-10000439-4</t>
        </is>
      </c>
    </row>
    <row r="117">
      <c r="A117" t="inlineStr">
        <is>
          <t>900007868DW6810000388</t>
        </is>
      </c>
      <c r="B117" t="inlineStr">
        <is>
          <t>4600055909-20</t>
        </is>
      </c>
      <c r="C117" t="n">
        <v>4600055909</v>
      </c>
      <c r="D117" t="n">
        <v>20</v>
      </c>
      <c r="E117" t="inlineStr">
        <is>
          <t>MXPO</t>
        </is>
      </c>
      <c r="F117" t="inlineStr">
        <is>
          <t>MXL</t>
        </is>
      </c>
      <c r="G117" t="n">
        <v>900007868</v>
      </c>
      <c r="H117" t="inlineStr">
        <is>
          <t>SF TC- SAN MIGUEL CUYUTLAN</t>
        </is>
      </c>
      <c r="I117" t="n">
        <v>5002462</v>
      </c>
      <c r="J117" t="inlineStr">
        <is>
          <t>GRAVA Y ARENA DEL SALTO SA DE CV</t>
        </is>
      </c>
      <c r="K117" t="inlineStr">
        <is>
          <t>N30</t>
        </is>
      </c>
      <c r="L117" t="inlineStr">
        <is>
          <t>(AP) NAFIN 30 Dias</t>
        </is>
      </c>
      <c r="M117" t="n">
        <v>10000388</v>
      </c>
      <c r="N117" t="inlineStr">
        <is>
          <t>Grava Triturada Basalto  40 mm - 1 1/2"</t>
        </is>
      </c>
      <c r="O117" t="inlineStr">
        <is>
          <t>DW68</t>
        </is>
      </c>
      <c r="P117" t="inlineStr">
        <is>
          <t>MX-CED. GUADALAJARA</t>
        </is>
      </c>
      <c r="Q117" t="n">
        <v>20221207</v>
      </c>
      <c r="R117" t="n">
        <v>20291231</v>
      </c>
      <c r="S117" t="n">
        <v>20250224</v>
      </c>
      <c r="T117" t="n">
        <v>20301231</v>
      </c>
      <c r="U117" t="n">
        <v>251.91</v>
      </c>
      <c r="V117" t="inlineStr">
        <is>
          <t>MXN</t>
        </is>
      </c>
      <c r="W117" t="inlineStr">
        <is>
          <t>M3</t>
        </is>
      </c>
      <c r="X117" t="n">
        <v>0</v>
      </c>
      <c r="Y117" t="inlineStr">
        <is>
          <t>MXN</t>
        </is>
      </c>
      <c r="Z117" t="inlineStr">
        <is>
          <t>M3</t>
        </is>
      </c>
      <c r="AC117" t="n">
        <v>56103637</v>
      </c>
      <c r="AD117" t="n">
        <v>6644241540</v>
      </c>
      <c r="AE117" t="n">
        <v>1</v>
      </c>
      <c r="AF117" t="inlineStr">
        <is>
          <t>ENTREGADO</t>
        </is>
      </c>
      <c r="AG117" t="n">
        <v>1.395</v>
      </c>
      <c r="AH117" t="inlineStr">
        <is>
          <t>M3</t>
        </is>
      </c>
      <c r="AI117" t="inlineStr">
        <is>
          <t>X</t>
        </is>
      </c>
      <c r="AJ117" t="n">
        <v>4</v>
      </c>
      <c r="AK117" t="inlineStr">
        <is>
          <t>V4</t>
        </is>
      </c>
      <c r="AL117" t="n">
        <v>20250310</v>
      </c>
      <c r="AM117" t="inlineStr">
        <is>
          <t>DW68-900007868-10000388</t>
        </is>
      </c>
    </row>
    <row r="118">
      <c r="A118" t="inlineStr">
        <is>
          <t>900007515DW68D26810000388</t>
        </is>
      </c>
      <c r="B118" t="inlineStr">
        <is>
          <t>4600053424-10</t>
        </is>
      </c>
      <c r="C118" t="n">
        <v>4600053424</v>
      </c>
      <c r="D118" t="n">
        <v>10</v>
      </c>
      <c r="E118" t="inlineStr">
        <is>
          <t>MXPO</t>
        </is>
      </c>
      <c r="F118" t="inlineStr">
        <is>
          <t>MXL</t>
        </is>
      </c>
      <c r="G118" t="n">
        <v>900007515</v>
      </c>
      <c r="H118" t="inlineStr">
        <is>
          <t>SF TC-ED- VISE</t>
        </is>
      </c>
      <c r="I118" t="n">
        <v>5003584</v>
      </c>
      <c r="J118" t="inlineStr">
        <is>
          <t>CONSTRUCTORA Y PAVIMENTADORA VISE S</t>
        </is>
      </c>
      <c r="K118" t="inlineStr">
        <is>
          <t>N90</t>
        </is>
      </c>
      <c r="L118" t="inlineStr">
        <is>
          <t>(AP) NAFIN 90 Dias</t>
        </is>
      </c>
      <c r="M118" t="n">
        <v>10000388</v>
      </c>
      <c r="N118" t="inlineStr">
        <is>
          <t>Grava Triturada Basalto  40 mm - 1 1/2"</t>
        </is>
      </c>
      <c r="O118" t="inlineStr">
        <is>
          <t>DW68</t>
        </is>
      </c>
      <c r="P118" t="inlineStr">
        <is>
          <t>MX-CED. GUADALAJARA</t>
        </is>
      </c>
      <c r="Q118" t="n">
        <v>20220309</v>
      </c>
      <c r="R118" t="n">
        <v>20271231</v>
      </c>
      <c r="S118" t="n">
        <v>20220309</v>
      </c>
      <c r="T118" t="n">
        <v>20271231</v>
      </c>
      <c r="U118" t="n">
        <v>230.3</v>
      </c>
      <c r="V118" t="inlineStr">
        <is>
          <t>MXN</t>
        </is>
      </c>
      <c r="W118" t="inlineStr">
        <is>
          <t>M3</t>
        </is>
      </c>
      <c r="X118" t="n">
        <v>81.2</v>
      </c>
      <c r="Y118" t="inlineStr">
        <is>
          <t>MXN</t>
        </is>
      </c>
      <c r="Z118" t="inlineStr">
        <is>
          <t>M3</t>
        </is>
      </c>
      <c r="AA118" t="inlineStr">
        <is>
          <t>D268</t>
        </is>
      </c>
      <c r="AB118" t="inlineStr">
        <is>
          <t>PD418 AEROPUERTO GDL</t>
        </is>
      </c>
      <c r="AC118" t="n">
        <v>56103637</v>
      </c>
      <c r="AD118" t="n">
        <v>6644241540</v>
      </c>
      <c r="AE118" t="n">
        <v>4</v>
      </c>
      <c r="AF118" t="inlineStr">
        <is>
          <t>ENTREGA DIRECTA</t>
        </is>
      </c>
      <c r="AG118" t="n">
        <v>1.395</v>
      </c>
      <c r="AH118" t="inlineStr">
        <is>
          <t>M3</t>
        </is>
      </c>
      <c r="AI118" t="inlineStr">
        <is>
          <t>X</t>
        </is>
      </c>
      <c r="AJ118" t="n">
        <v>4</v>
      </c>
      <c r="AK118" t="inlineStr">
        <is>
          <t>V4</t>
        </is>
      </c>
      <c r="AL118" t="n">
        <v>20230920</v>
      </c>
      <c r="AM118" t="inlineStr">
        <is>
          <t>DW68-900007515-D268-10000388-4</t>
        </is>
      </c>
    </row>
    <row r="119">
      <c r="A119" t="inlineStr">
        <is>
          <t>900008211DW68D21310000384</t>
        </is>
      </c>
      <c r="B119" t="inlineStr">
        <is>
          <t>4600058350-110</t>
        </is>
      </c>
      <c r="C119" t="n">
        <v>4600058350</v>
      </c>
      <c r="D119" t="n">
        <v>110</v>
      </c>
      <c r="E119" t="inlineStr">
        <is>
          <t>MXPO</t>
        </is>
      </c>
      <c r="F119" t="inlineStr">
        <is>
          <t>MXL</t>
        </is>
      </c>
      <c r="G119" t="n">
        <v>900008211</v>
      </c>
      <c r="H119" t="inlineStr">
        <is>
          <t>SF TC-ED-AGG OCCIDENTE</t>
        </is>
      </c>
      <c r="I119" t="n">
        <v>5089478</v>
      </c>
      <c r="J119" t="inlineStr">
        <is>
          <t>MATERIALES CONSTRUCTIVOS Y AGREGADO</t>
        </is>
      </c>
      <c r="K119" t="inlineStr">
        <is>
          <t>N90</t>
        </is>
      </c>
      <c r="L119" t="inlineStr">
        <is>
          <t>(AP) NAFIN 90 Dias</t>
        </is>
      </c>
      <c r="M119" t="n">
        <v>10000384</v>
      </c>
      <c r="N119" t="inlineStr">
        <is>
          <t>Arena Triturada Basalto Malla 4</t>
        </is>
      </c>
      <c r="O119" t="inlineStr">
        <is>
          <t>DW68</t>
        </is>
      </c>
      <c r="P119" t="inlineStr">
        <is>
          <t>MX-CED. GUADALAJARA</t>
        </is>
      </c>
      <c r="Q119" t="n">
        <v>20230814</v>
      </c>
      <c r="R119" t="n">
        <v>20291231</v>
      </c>
      <c r="S119" t="n">
        <v>20240201</v>
      </c>
      <c r="T119" t="n">
        <v>20291231</v>
      </c>
      <c r="U119" t="n">
        <v>365</v>
      </c>
      <c r="V119" t="inlineStr">
        <is>
          <t>MXN</t>
        </is>
      </c>
      <c r="W119" t="inlineStr">
        <is>
          <t>M3</t>
        </is>
      </c>
      <c r="X119" t="n">
        <v>96.25</v>
      </c>
      <c r="Y119" t="inlineStr">
        <is>
          <t>MXN</t>
        </is>
      </c>
      <c r="Z119" t="inlineStr">
        <is>
          <t>M3</t>
        </is>
      </c>
      <c r="AA119" t="inlineStr">
        <is>
          <t>D213</t>
        </is>
      </c>
      <c r="AB119" t="inlineStr">
        <is>
          <t>PD0154 OCOTLAN</t>
        </is>
      </c>
      <c r="AC119" t="n">
        <v>56103638</v>
      </c>
      <c r="AD119" t="n">
        <v>6644241540</v>
      </c>
      <c r="AE119" t="n">
        <v>4</v>
      </c>
      <c r="AF119" t="inlineStr">
        <is>
          <t>ENTREGA DIRECTA</t>
        </is>
      </c>
      <c r="AG119" t="n">
        <v>1.61</v>
      </c>
      <c r="AH119" t="inlineStr">
        <is>
          <t>M3</t>
        </is>
      </c>
      <c r="AI119" t="inlineStr">
        <is>
          <t>X</t>
        </is>
      </c>
      <c r="AJ119" t="n">
        <v>4</v>
      </c>
      <c r="AK119" t="inlineStr">
        <is>
          <t>V4</t>
        </is>
      </c>
      <c r="AL119" t="n">
        <v>20240222</v>
      </c>
      <c r="AM119" t="inlineStr">
        <is>
          <t>DW68-900008211-D213-10000384-4</t>
        </is>
      </c>
    </row>
    <row r="120">
      <c r="A120" t="inlineStr">
        <is>
          <t>900007868DW6810000191</t>
        </is>
      </c>
      <c r="B120" t="inlineStr">
        <is>
          <t>4600055909-30</t>
        </is>
      </c>
      <c r="C120" t="n">
        <v>4600055909</v>
      </c>
      <c r="D120" t="n">
        <v>30</v>
      </c>
      <c r="E120" t="inlineStr">
        <is>
          <t>MXPO</t>
        </is>
      </c>
      <c r="F120" t="inlineStr">
        <is>
          <t>MXL</t>
        </is>
      </c>
      <c r="G120" t="n">
        <v>900007868</v>
      </c>
      <c r="H120" t="inlineStr">
        <is>
          <t>SF TC- SAN MIGUEL CUYUTLAN</t>
        </is>
      </c>
      <c r="I120" t="n">
        <v>5002462</v>
      </c>
      <c r="J120" t="inlineStr">
        <is>
          <t>GRAVA Y ARENA DEL SALTO SA DE CV</t>
        </is>
      </c>
      <c r="K120" t="inlineStr">
        <is>
          <t>N30</t>
        </is>
      </c>
      <c r="L120" t="inlineStr">
        <is>
          <t>(AP) NAFIN 30 Dias</t>
        </is>
      </c>
      <c r="M120" t="n">
        <v>10000191</v>
      </c>
      <c r="N120" t="inlineStr">
        <is>
          <t>Grava Triturada Basalto 20 mm - 3/4"</t>
        </is>
      </c>
      <c r="O120" t="inlineStr">
        <is>
          <t>DW68</t>
        </is>
      </c>
      <c r="P120" t="inlineStr">
        <is>
          <t>MX-CED. GUADALAJARA</t>
        </is>
      </c>
      <c r="Q120" t="n">
        <v>20221207</v>
      </c>
      <c r="R120" t="n">
        <v>20291231</v>
      </c>
      <c r="S120" t="n">
        <v>20250224</v>
      </c>
      <c r="T120" t="n">
        <v>20301231</v>
      </c>
      <c r="U120" t="n">
        <v>251.9</v>
      </c>
      <c r="V120" t="inlineStr">
        <is>
          <t>MXN</t>
        </is>
      </c>
      <c r="W120" t="inlineStr">
        <is>
          <t>M3</t>
        </is>
      </c>
      <c r="X120" t="n">
        <v>0</v>
      </c>
      <c r="Y120" t="inlineStr">
        <is>
          <t>MXN</t>
        </is>
      </c>
      <c r="Z120" t="inlineStr">
        <is>
          <t>M3</t>
        </is>
      </c>
      <c r="AC120" t="n">
        <v>56103637</v>
      </c>
      <c r="AD120" t="n">
        <v>6644241540</v>
      </c>
      <c r="AE120" t="n">
        <v>1</v>
      </c>
      <c r="AF120" t="inlineStr">
        <is>
          <t>ENTREGADO</t>
        </is>
      </c>
      <c r="AG120" t="n">
        <v>1.41</v>
      </c>
      <c r="AH120" t="inlineStr">
        <is>
          <t>M3</t>
        </is>
      </c>
      <c r="AI120" t="inlineStr">
        <is>
          <t>X</t>
        </is>
      </c>
      <c r="AJ120" t="n">
        <v>4</v>
      </c>
      <c r="AK120" t="inlineStr">
        <is>
          <t>V4</t>
        </is>
      </c>
      <c r="AL120" t="n">
        <v>20250310</v>
      </c>
      <c r="AM120" t="inlineStr">
        <is>
          <t>DW68-900007868-10000191</t>
        </is>
      </c>
    </row>
    <row r="121">
      <c r="A121" t="inlineStr">
        <is>
          <t>900007868DW6810004258</t>
        </is>
      </c>
      <c r="B121" t="inlineStr">
        <is>
          <t>4600055909-40</t>
        </is>
      </c>
      <c r="C121" t="n">
        <v>4600055909</v>
      </c>
      <c r="D121" t="n">
        <v>40</v>
      </c>
      <c r="E121" t="inlineStr">
        <is>
          <t>MXPO</t>
        </is>
      </c>
      <c r="F121" t="inlineStr">
        <is>
          <t>MXL</t>
        </is>
      </c>
      <c r="G121" t="n">
        <v>900007868</v>
      </c>
      <c r="H121" t="inlineStr">
        <is>
          <t>SF TC- SAN MIGUEL CUYUTLAN</t>
        </is>
      </c>
      <c r="I121" t="n">
        <v>5002462</v>
      </c>
      <c r="J121" t="inlineStr">
        <is>
          <t>GRAVA Y ARENA DEL SALTO SA DE CV</t>
        </is>
      </c>
      <c r="K121" t="inlineStr">
        <is>
          <t>N30</t>
        </is>
      </c>
      <c r="L121" t="inlineStr">
        <is>
          <t>(AP) NAFIN 30 Dias</t>
        </is>
      </c>
      <c r="M121" t="n">
        <v>10004258</v>
      </c>
      <c r="N121" t="inlineStr">
        <is>
          <t>Sello Triturado Basalto 10 mm - 3/8"</t>
        </is>
      </c>
      <c r="O121" t="inlineStr">
        <is>
          <t>DW68</t>
        </is>
      </c>
      <c r="P121" t="inlineStr">
        <is>
          <t>MX-CED. GUADALAJARA</t>
        </is>
      </c>
      <c r="Q121" t="n">
        <v>20221207</v>
      </c>
      <c r="R121" t="n">
        <v>20291231</v>
      </c>
      <c r="S121" t="n">
        <v>20250224</v>
      </c>
      <c r="T121" t="n">
        <v>20301231</v>
      </c>
      <c r="U121" t="n">
        <v>320.6</v>
      </c>
      <c r="V121" t="inlineStr">
        <is>
          <t>MXN</t>
        </is>
      </c>
      <c r="W121" t="inlineStr">
        <is>
          <t>M3</t>
        </is>
      </c>
      <c r="X121" t="n">
        <v>0</v>
      </c>
      <c r="Y121" t="inlineStr">
        <is>
          <t>MXN</t>
        </is>
      </c>
      <c r="Z121" t="inlineStr">
        <is>
          <t>M3</t>
        </is>
      </c>
      <c r="AC121" t="n">
        <v>56103637</v>
      </c>
      <c r="AD121" t="n">
        <v>6644241540</v>
      </c>
      <c r="AE121" t="n">
        <v>1</v>
      </c>
      <c r="AF121" t="inlineStr">
        <is>
          <t>ENTREGADO</t>
        </is>
      </c>
      <c r="AG121" t="n">
        <v>1.53</v>
      </c>
      <c r="AH121" t="inlineStr">
        <is>
          <t>M3</t>
        </is>
      </c>
      <c r="AI121" t="inlineStr">
        <is>
          <t>X</t>
        </is>
      </c>
      <c r="AJ121" t="n">
        <v>4</v>
      </c>
      <c r="AK121" t="inlineStr">
        <is>
          <t>V4</t>
        </is>
      </c>
      <c r="AL121" t="n">
        <v>20250310</v>
      </c>
      <c r="AM121" t="inlineStr">
        <is>
          <t>DW68-900007868-10004258</t>
        </is>
      </c>
    </row>
    <row r="122">
      <c r="A122" t="inlineStr">
        <is>
          <t>900007868DW6810000384</t>
        </is>
      </c>
      <c r="B122" t="inlineStr">
        <is>
          <t>4600055909-10</t>
        </is>
      </c>
      <c r="C122" t="n">
        <v>4600055909</v>
      </c>
      <c r="D122" t="n">
        <v>10</v>
      </c>
      <c r="E122" t="inlineStr">
        <is>
          <t>MXPO</t>
        </is>
      </c>
      <c r="F122" t="inlineStr">
        <is>
          <t>MXL</t>
        </is>
      </c>
      <c r="G122" t="n">
        <v>900007868</v>
      </c>
      <c r="H122" t="inlineStr">
        <is>
          <t>SF TC- SAN MIGUEL CUYUTLAN</t>
        </is>
      </c>
      <c r="I122" t="n">
        <v>5002462</v>
      </c>
      <c r="J122" t="inlineStr">
        <is>
          <t>GRAVA Y ARENA DEL SALTO SA DE CV</t>
        </is>
      </c>
      <c r="K122" t="inlineStr">
        <is>
          <t>N30</t>
        </is>
      </c>
      <c r="L122" t="inlineStr">
        <is>
          <t>(AP) NAFIN 30 Dias</t>
        </is>
      </c>
      <c r="M122" t="n">
        <v>10000384</v>
      </c>
      <c r="N122" t="inlineStr">
        <is>
          <t>Arena Triturada Basalto Malla 4</t>
        </is>
      </c>
      <c r="O122" t="inlineStr">
        <is>
          <t>DW68</t>
        </is>
      </c>
      <c r="P122" t="inlineStr">
        <is>
          <t>MX-CED. GUADALAJARA</t>
        </is>
      </c>
      <c r="Q122" t="n">
        <v>20221207</v>
      </c>
      <c r="R122" t="n">
        <v>20291231</v>
      </c>
      <c r="S122" t="n">
        <v>20250224</v>
      </c>
      <c r="T122" t="n">
        <v>20301231</v>
      </c>
      <c r="U122" t="n">
        <v>229</v>
      </c>
      <c r="V122" t="inlineStr">
        <is>
          <t>MXN</t>
        </is>
      </c>
      <c r="W122" t="inlineStr">
        <is>
          <t>M3</t>
        </is>
      </c>
      <c r="X122" t="n">
        <v>0</v>
      </c>
      <c r="Y122" t="inlineStr">
        <is>
          <t>MXN</t>
        </is>
      </c>
      <c r="Z122" t="inlineStr">
        <is>
          <t>M3</t>
        </is>
      </c>
      <c r="AC122" t="n">
        <v>56103638</v>
      </c>
      <c r="AD122" t="n">
        <v>6644241540</v>
      </c>
      <c r="AE122" t="n">
        <v>1</v>
      </c>
      <c r="AF122" t="inlineStr">
        <is>
          <t>ENTREGADO</t>
        </is>
      </c>
      <c r="AG122" t="n">
        <v>1.61</v>
      </c>
      <c r="AH122" t="inlineStr">
        <is>
          <t>M3</t>
        </is>
      </c>
      <c r="AI122" t="inlineStr">
        <is>
          <t>X</t>
        </is>
      </c>
      <c r="AJ122" t="n">
        <v>4</v>
      </c>
      <c r="AK122" t="inlineStr">
        <is>
          <t>V4</t>
        </is>
      </c>
      <c r="AL122" t="n">
        <v>20250310</v>
      </c>
      <c r="AM122" t="inlineStr">
        <is>
          <t>DW68-900007868-10000384</t>
        </is>
      </c>
    </row>
    <row r="123">
      <c r="A123" t="inlineStr">
        <is>
          <t>900008251DW68D04210000726</t>
        </is>
      </c>
      <c r="B123" t="inlineStr">
        <is>
          <t>4600058168-390</t>
        </is>
      </c>
      <c r="C123" t="n">
        <v>4600058168</v>
      </c>
      <c r="D123" t="n">
        <v>390</v>
      </c>
      <c r="E123" t="inlineStr">
        <is>
          <t>MXPO</t>
        </is>
      </c>
      <c r="F123" t="inlineStr">
        <is>
          <t>MXL</t>
        </is>
      </c>
      <c r="G123" t="n">
        <v>900008251</v>
      </c>
      <c r="H123" t="inlineStr">
        <is>
          <t>SF TC-ED-MAREVA LA VEGA</t>
        </is>
      </c>
      <c r="I123" t="n">
        <v>5043944</v>
      </c>
      <c r="J123" t="inlineStr">
        <is>
          <t>CONSTRUCCIONES MAREVA DE OCCIDENTE</t>
        </is>
      </c>
      <c r="K123" t="inlineStr">
        <is>
          <t>Z04</t>
        </is>
      </c>
      <c r="L123" t="inlineStr">
        <is>
          <t>(AP) 30 Dias</t>
        </is>
      </c>
      <c r="M123" t="n">
        <v>10000726</v>
      </c>
      <c r="N123" t="inlineStr">
        <is>
          <t>Grava Triturada Basalto  13 mm - 1/2"</t>
        </is>
      </c>
      <c r="O123" t="inlineStr">
        <is>
          <t>DW68</t>
        </is>
      </c>
      <c r="P123" t="inlineStr">
        <is>
          <t>MX-CED. GUADALAJARA</t>
        </is>
      </c>
      <c r="Q123" t="n">
        <v>20230724</v>
      </c>
      <c r="R123" t="n">
        <v>20281231</v>
      </c>
      <c r="S123" t="n">
        <v>20230926</v>
      </c>
      <c r="T123" t="n">
        <v>20281231</v>
      </c>
      <c r="U123" t="n">
        <v>608.8</v>
      </c>
      <c r="V123" t="inlineStr">
        <is>
          <t>MXN</t>
        </is>
      </c>
      <c r="W123" t="inlineStr">
        <is>
          <t>M3</t>
        </is>
      </c>
      <c r="X123" t="n">
        <v>108.8</v>
      </c>
      <c r="Y123" t="inlineStr">
        <is>
          <t>MXN</t>
        </is>
      </c>
      <c r="Z123" t="inlineStr">
        <is>
          <t>M3</t>
        </is>
      </c>
      <c r="AA123" t="inlineStr">
        <is>
          <t>D042</t>
        </is>
      </c>
      <c r="AB123" t="inlineStr">
        <is>
          <t>PD0406 PLANTA PONIENTE</t>
        </is>
      </c>
      <c r="AC123" t="n">
        <v>56103637</v>
      </c>
      <c r="AD123" t="n">
        <v>6644241540</v>
      </c>
      <c r="AE123" t="n">
        <v>4</v>
      </c>
      <c r="AF123" t="inlineStr">
        <is>
          <t>ENTREGA DIRECTA</t>
        </is>
      </c>
      <c r="AG123" t="n">
        <v>1.333</v>
      </c>
      <c r="AH123" t="inlineStr">
        <is>
          <t>M3</t>
        </is>
      </c>
      <c r="AI123" t="inlineStr">
        <is>
          <t>X</t>
        </is>
      </c>
      <c r="AJ123" t="n">
        <v>4</v>
      </c>
      <c r="AK123" t="inlineStr">
        <is>
          <t>V4</t>
        </is>
      </c>
      <c r="AL123" t="n">
        <v>20231006</v>
      </c>
      <c r="AM123" t="inlineStr">
        <is>
          <t>DW68-900008251-D042-10000726-4</t>
        </is>
      </c>
    </row>
    <row r="124">
      <c r="A124" t="inlineStr">
        <is>
          <t>900006441DW68D25110000191</t>
        </is>
      </c>
      <c r="B124" t="inlineStr">
        <is>
          <t>4600050459-10</t>
        </is>
      </c>
      <c r="C124" t="n">
        <v>4600050459</v>
      </c>
      <c r="D124" t="n">
        <v>10</v>
      </c>
      <c r="E124" t="inlineStr">
        <is>
          <t>MXPO</t>
        </is>
      </c>
      <c r="F124" t="inlineStr">
        <is>
          <t>MXL</t>
        </is>
      </c>
      <c r="G124" t="n">
        <v>900006441</v>
      </c>
      <c r="H124" t="inlineStr">
        <is>
          <t>TC-ED INTERCONEXIONES ML</t>
        </is>
      </c>
      <c r="I124" t="n">
        <v>5077556</v>
      </c>
      <c r="J124" t="inlineStr">
        <is>
          <t>INTERCONEXIONES ML SA DE CV</t>
        </is>
      </c>
      <c r="K124" t="inlineStr">
        <is>
          <t>Z09</t>
        </is>
      </c>
      <c r="L124" t="inlineStr">
        <is>
          <t>(AP) 90 Dias</t>
        </is>
      </c>
      <c r="M124" t="n">
        <v>10000191</v>
      </c>
      <c r="N124" t="inlineStr">
        <is>
          <t>Grava Triturada Basalto 20 mm - 3/4"</t>
        </is>
      </c>
      <c r="O124" t="inlineStr">
        <is>
          <t>DW68</t>
        </is>
      </c>
      <c r="P124" t="inlineStr">
        <is>
          <t>MX-CED. GUADALAJARA</t>
        </is>
      </c>
      <c r="Q124" t="n">
        <v>20210801</v>
      </c>
      <c r="R124" t="n">
        <v>20261231</v>
      </c>
      <c r="S124" t="n">
        <v>20210712</v>
      </c>
      <c r="T124" t="n">
        <v>20261231</v>
      </c>
      <c r="U124" t="n">
        <v>275</v>
      </c>
      <c r="V124" t="inlineStr">
        <is>
          <t>MXN</t>
        </is>
      </c>
      <c r="W124" t="inlineStr">
        <is>
          <t>M3</t>
        </is>
      </c>
      <c r="X124" t="n">
        <v>155</v>
      </c>
      <c r="Y124" t="inlineStr">
        <is>
          <t>MXN</t>
        </is>
      </c>
      <c r="Z124" t="inlineStr">
        <is>
          <t>M3</t>
        </is>
      </c>
      <c r="AA124" t="inlineStr">
        <is>
          <t>D251</t>
        </is>
      </c>
      <c r="AB124" t="inlineStr">
        <is>
          <t>PD0339 EL SALTO</t>
        </is>
      </c>
      <c r="AC124" t="n">
        <v>56103637</v>
      </c>
      <c r="AD124" t="n">
        <v>6644241540</v>
      </c>
      <c r="AE124" t="n">
        <v>4</v>
      </c>
      <c r="AF124" t="inlineStr">
        <is>
          <t>ENTREGA DIRECTA</t>
        </is>
      </c>
      <c r="AG124" t="n">
        <v>1.41</v>
      </c>
      <c r="AH124" t="inlineStr">
        <is>
          <t>M3</t>
        </is>
      </c>
      <c r="AI124" t="inlineStr">
        <is>
          <t>X</t>
        </is>
      </c>
      <c r="AJ124" t="n">
        <v>4</v>
      </c>
      <c r="AK124" t="inlineStr">
        <is>
          <t>V4</t>
        </is>
      </c>
      <c r="AL124" t="n">
        <v>20260108</v>
      </c>
      <c r="AM124" t="inlineStr">
        <is>
          <t>DW68-900006441-D251-10000191-4</t>
        </is>
      </c>
    </row>
    <row r="125">
      <c r="A125" t="inlineStr">
        <is>
          <t>900004995DW68D57710270914</t>
        </is>
      </c>
      <c r="B125" t="inlineStr">
        <is>
          <t>4600050440-180</t>
        </is>
      </c>
      <c r="C125" t="n">
        <v>4600050440</v>
      </c>
      <c r="D125" t="n">
        <v>180</v>
      </c>
      <c r="E125" t="inlineStr">
        <is>
          <t>MXPO</t>
        </is>
      </c>
      <c r="F125" t="inlineStr">
        <is>
          <t>MXL</t>
        </is>
      </c>
      <c r="G125" t="n">
        <v>900004995</v>
      </c>
      <c r="H125" t="inlineStr">
        <is>
          <t>TC-ED LA FUNDICION</t>
        </is>
      </c>
      <c r="I125" t="n">
        <v>5065714</v>
      </c>
      <c r="J125" t="inlineStr">
        <is>
          <t>GRUPO MINERO LA FUNDICION SA DE CV</t>
        </is>
      </c>
      <c r="K125" t="inlineStr">
        <is>
          <t>N60</t>
        </is>
      </c>
      <c r="L125" t="inlineStr">
        <is>
          <t>(AP) NAFIN 60 Dias</t>
        </is>
      </c>
      <c r="M125" t="n">
        <v>10270914</v>
      </c>
      <c r="N125" t="inlineStr">
        <is>
          <t>MP ARENA ANDESITA BC</t>
        </is>
      </c>
      <c r="O125" t="inlineStr">
        <is>
          <t>DW68</t>
        </is>
      </c>
      <c r="P125" t="inlineStr">
        <is>
          <t>MX-CED. GUADALAJARA</t>
        </is>
      </c>
      <c r="Q125" t="n">
        <v>20210801</v>
      </c>
      <c r="R125" t="n">
        <v>20291231</v>
      </c>
      <c r="U125" t="n">
        <v>0</v>
      </c>
      <c r="V125" t="inlineStr">
        <is>
          <t>MXN</t>
        </is>
      </c>
      <c r="W125" t="inlineStr">
        <is>
          <t>M3</t>
        </is>
      </c>
      <c r="AA125" t="inlineStr">
        <is>
          <t>D577</t>
        </is>
      </c>
      <c r="AB125" t="inlineStr">
        <is>
          <t>D577 PD0681 PROY APTO GDL</t>
        </is>
      </c>
      <c r="AC125" t="n">
        <v>56103638</v>
      </c>
      <c r="AD125" t="n">
        <v>6644241540</v>
      </c>
      <c r="AE125" t="n">
        <v>4</v>
      </c>
      <c r="AF125" t="inlineStr">
        <is>
          <t>ENTREGA DIRECTA</t>
        </is>
      </c>
      <c r="AG125" t="n">
        <v>1.623</v>
      </c>
      <c r="AH125" t="inlineStr">
        <is>
          <t>M3</t>
        </is>
      </c>
      <c r="AI125" t="inlineStr">
        <is>
          <t>X</t>
        </is>
      </c>
      <c r="AJ125" t="n">
        <v>4</v>
      </c>
      <c r="AK125" t="inlineStr">
        <is>
          <t>V4</t>
        </is>
      </c>
      <c r="AL125" t="n">
        <v>20260331</v>
      </c>
      <c r="AM125" t="inlineStr">
        <is>
          <t>DW68-900004995-D577-10270914-4</t>
        </is>
      </c>
    </row>
    <row r="126">
      <c r="A126" t="inlineStr">
        <is>
          <t>900009399DW6810000191</t>
        </is>
      </c>
      <c r="B126" t="inlineStr">
        <is>
          <t>4600071814-10</t>
        </is>
      </c>
      <c r="C126" t="n">
        <v>4600071814</v>
      </c>
      <c r="D126" t="n">
        <v>10</v>
      </c>
      <c r="E126" t="inlineStr">
        <is>
          <t>MXPO</t>
        </is>
      </c>
      <c r="F126" t="inlineStr">
        <is>
          <t>MXL</t>
        </is>
      </c>
      <c r="G126" t="n">
        <v>900009399</v>
      </c>
      <c r="H126" t="inlineStr">
        <is>
          <t>SF TC – NOE TESISTAN</t>
        </is>
      </c>
      <c r="I126" t="n">
        <v>5003391</v>
      </c>
      <c r="J126" t="inlineStr">
        <is>
          <t>MENDOZA VELAZQUEZ NOE</t>
        </is>
      </c>
      <c r="K126" t="inlineStr">
        <is>
          <t>E60</t>
        </is>
      </c>
      <c r="L126" t="inlineStr">
        <is>
          <t>(AP) E-FACTOR 60 Dias</t>
        </is>
      </c>
      <c r="M126" t="n">
        <v>10000191</v>
      </c>
      <c r="N126" t="inlineStr">
        <is>
          <t>Grava Triturada Basalto 20 mm - 3/4"</t>
        </is>
      </c>
      <c r="O126" t="inlineStr">
        <is>
          <t>DW68</t>
        </is>
      </c>
      <c r="P126" t="inlineStr">
        <is>
          <t>MX-CED. GUADALAJARA</t>
        </is>
      </c>
      <c r="Q126" t="n">
        <v>20251201</v>
      </c>
      <c r="R126" t="n">
        <v>20301231</v>
      </c>
      <c r="S126" t="n">
        <v>20260410</v>
      </c>
      <c r="T126" t="n">
        <v>20301231</v>
      </c>
      <c r="U126" t="n">
        <v>315</v>
      </c>
      <c r="V126" t="inlineStr">
        <is>
          <t>MXN</t>
        </is>
      </c>
      <c r="W126" t="inlineStr">
        <is>
          <t>M3</t>
        </is>
      </c>
      <c r="X126" t="n">
        <v>0</v>
      </c>
      <c r="Y126" t="inlineStr">
        <is>
          <t>MXN</t>
        </is>
      </c>
      <c r="Z126" t="inlineStr">
        <is>
          <t>M3</t>
        </is>
      </c>
      <c r="AC126" t="n">
        <v>56103637</v>
      </c>
      <c r="AD126" t="n">
        <v>6644241540</v>
      </c>
      <c r="AE126" t="n">
        <v>1</v>
      </c>
      <c r="AF126" t="inlineStr">
        <is>
          <t>ENTREGADO</t>
        </is>
      </c>
      <c r="AG126" t="n">
        <v>1.41</v>
      </c>
      <c r="AH126" t="inlineStr">
        <is>
          <t>M3</t>
        </is>
      </c>
      <c r="AI126" t="inlineStr">
        <is>
          <t>X</t>
        </is>
      </c>
      <c r="AJ126" t="n">
        <v>4</v>
      </c>
      <c r="AK126" t="inlineStr">
        <is>
          <t>V4</t>
        </is>
      </c>
      <c r="AL126" t="n">
        <v>20260417</v>
      </c>
      <c r="AM126" t="inlineStr">
        <is>
          <t>DW68-900009399-10000191</t>
        </is>
      </c>
    </row>
    <row r="127">
      <c r="A127" t="inlineStr">
        <is>
          <t>900008211DW68D25110000384</t>
        </is>
      </c>
      <c r="B127" t="inlineStr">
        <is>
          <t>4600058350-70</t>
        </is>
      </c>
      <c r="C127" t="n">
        <v>4600058350</v>
      </c>
      <c r="D127" t="n">
        <v>70</v>
      </c>
      <c r="E127" t="inlineStr">
        <is>
          <t>MXPO</t>
        </is>
      </c>
      <c r="F127" t="inlineStr">
        <is>
          <t>MXL</t>
        </is>
      </c>
      <c r="G127" t="n">
        <v>900008211</v>
      </c>
      <c r="H127" t="inlineStr">
        <is>
          <t>SF TC-ED-AGG OCCIDENTE</t>
        </is>
      </c>
      <c r="I127" t="n">
        <v>5089478</v>
      </c>
      <c r="J127" t="inlineStr">
        <is>
          <t>MATERIALES CONSTRUCTIVOS Y AGREGADO</t>
        </is>
      </c>
      <c r="K127" t="inlineStr">
        <is>
          <t>N90</t>
        </is>
      </c>
      <c r="L127" t="inlineStr">
        <is>
          <t>(AP) NAFIN 90 Dias</t>
        </is>
      </c>
      <c r="M127" t="n">
        <v>10000384</v>
      </c>
      <c r="N127" t="inlineStr">
        <is>
          <t>Arena Triturada Basalto Malla 4</t>
        </is>
      </c>
      <c r="O127" t="inlineStr">
        <is>
          <t>DW68</t>
        </is>
      </c>
      <c r="P127" t="inlineStr">
        <is>
          <t>MX-CED. GUADALAJARA</t>
        </is>
      </c>
      <c r="Q127" t="n">
        <v>20230814</v>
      </c>
      <c r="R127" t="n">
        <v>20291231</v>
      </c>
      <c r="S127" t="n">
        <v>20240201</v>
      </c>
      <c r="T127" t="n">
        <v>20291231</v>
      </c>
      <c r="U127" t="n">
        <v>322</v>
      </c>
      <c r="V127" t="inlineStr">
        <is>
          <t>MXN</t>
        </is>
      </c>
      <c r="W127" t="inlineStr">
        <is>
          <t>M3</t>
        </is>
      </c>
      <c r="X127" t="n">
        <v>53.25</v>
      </c>
      <c r="Y127" t="inlineStr">
        <is>
          <t>MXN</t>
        </is>
      </c>
      <c r="Z127" t="inlineStr">
        <is>
          <t>M3</t>
        </is>
      </c>
      <c r="AA127" t="inlineStr">
        <is>
          <t>D251</t>
        </is>
      </c>
      <c r="AB127" t="inlineStr">
        <is>
          <t>PD0339 EL SALTO</t>
        </is>
      </c>
      <c r="AC127" t="n">
        <v>56103638</v>
      </c>
      <c r="AD127" t="n">
        <v>6644241540</v>
      </c>
      <c r="AE127" t="n">
        <v>4</v>
      </c>
      <c r="AF127" t="inlineStr">
        <is>
          <t>ENTREGA DIRECTA</t>
        </is>
      </c>
      <c r="AG127" t="n">
        <v>1.61</v>
      </c>
      <c r="AH127" t="inlineStr">
        <is>
          <t>M3</t>
        </is>
      </c>
      <c r="AI127" t="inlineStr">
        <is>
          <t>X</t>
        </is>
      </c>
      <c r="AJ127" t="n">
        <v>4</v>
      </c>
      <c r="AK127" t="inlineStr">
        <is>
          <t>V4</t>
        </is>
      </c>
      <c r="AL127" t="n">
        <v>20240222</v>
      </c>
      <c r="AM127" t="inlineStr">
        <is>
          <t>DW68-900008211-D251-10000384-4</t>
        </is>
      </c>
    </row>
    <row r="128">
      <c r="A128" t="inlineStr">
        <is>
          <t>900009419DW6810270911</t>
        </is>
      </c>
      <c r="B128" t="inlineStr">
        <is>
          <t>4600071812-20</t>
        </is>
      </c>
      <c r="C128" t="n">
        <v>4600071812</v>
      </c>
      <c r="D128" t="n">
        <v>20</v>
      </c>
      <c r="E128" t="inlineStr">
        <is>
          <t>MXPO</t>
        </is>
      </c>
      <c r="F128" t="inlineStr">
        <is>
          <t>MXL</t>
        </is>
      </c>
      <c r="G128" t="n">
        <v>900009419</v>
      </c>
      <c r="H128" t="inlineStr">
        <is>
          <t>SF TC-HOLCIM GDL</t>
        </is>
      </c>
      <c r="I128" t="n">
        <v>5040590</v>
      </c>
      <c r="J128" t="inlineStr">
        <is>
          <t>HOLCIM MEXICO OPERACIONES SA DE CV</t>
        </is>
      </c>
      <c r="K128" t="inlineStr">
        <is>
          <t>Z06</t>
        </is>
      </c>
      <c r="L128" t="inlineStr">
        <is>
          <t>(AP) 45 Dias</t>
        </is>
      </c>
      <c r="M128" t="n">
        <v>10270911</v>
      </c>
      <c r="N128" t="inlineStr">
        <is>
          <t>MP GRAVA TRIT. BASALTO 40 MM - 1 1/2"</t>
        </is>
      </c>
      <c r="O128" t="inlineStr">
        <is>
          <t>DW68</t>
        </is>
      </c>
      <c r="P128" t="inlineStr">
        <is>
          <t>MX-CED. GUADALAJARA</t>
        </is>
      </c>
      <c r="Q128" t="n">
        <v>20251202</v>
      </c>
      <c r="R128" t="n">
        <v>20301231</v>
      </c>
      <c r="S128" t="n">
        <v>20260413</v>
      </c>
      <c r="T128" t="n">
        <v>20301231</v>
      </c>
      <c r="U128" t="n">
        <v>197.74</v>
      </c>
      <c r="V128" t="inlineStr">
        <is>
          <t>MXN</t>
        </is>
      </c>
      <c r="W128" t="inlineStr">
        <is>
          <t>TN</t>
        </is>
      </c>
      <c r="X128" t="n">
        <v>0</v>
      </c>
      <c r="Y128" t="inlineStr">
        <is>
          <t>MXN</t>
        </is>
      </c>
      <c r="Z128" t="inlineStr">
        <is>
          <t>TN</t>
        </is>
      </c>
      <c r="AC128" t="n">
        <v>56103637</v>
      </c>
      <c r="AD128" t="n">
        <v>6644241540</v>
      </c>
      <c r="AE128" t="n">
        <v>1</v>
      </c>
      <c r="AF128" t="inlineStr">
        <is>
          <t>ENTREGADO</t>
        </is>
      </c>
      <c r="AG128" t="n">
        <v>1</v>
      </c>
      <c r="AH128" t="inlineStr">
        <is>
          <t>TO</t>
        </is>
      </c>
      <c r="AI128" t="inlineStr">
        <is>
          <t>X</t>
        </is>
      </c>
      <c r="AJ128" t="n">
        <v>4</v>
      </c>
      <c r="AK128" t="inlineStr">
        <is>
          <t>V4</t>
        </is>
      </c>
      <c r="AL128" t="n">
        <v>20260417</v>
      </c>
      <c r="AM128" t="inlineStr">
        <is>
          <t>DW68-900009419-10270911</t>
        </is>
      </c>
    </row>
    <row r="129">
      <c r="A129" t="inlineStr">
        <is>
          <t>900004153DW68D21110000144</t>
        </is>
      </c>
      <c r="B129" t="inlineStr">
        <is>
          <t>4600050430-510</t>
        </is>
      </c>
      <c r="C129" t="n">
        <v>4600050430</v>
      </c>
      <c r="D129" t="n">
        <v>510</v>
      </c>
      <c r="E129" t="inlineStr">
        <is>
          <t>MXPO</t>
        </is>
      </c>
      <c r="F129" t="inlineStr">
        <is>
          <t>MXL</t>
        </is>
      </c>
      <c r="G129" t="n">
        <v>900004153</v>
      </c>
      <c r="H129" t="inlineStr">
        <is>
          <t>TC-ED GRAVASE PONCITLAN</t>
        </is>
      </c>
      <c r="I129" t="n">
        <v>5009010</v>
      </c>
      <c r="J129" t="inlineStr">
        <is>
          <t>GRAVASE SA DE CV</t>
        </is>
      </c>
      <c r="K129" t="inlineStr">
        <is>
          <t>Z04</t>
        </is>
      </c>
      <c r="L129" t="inlineStr">
        <is>
          <t>(AP) 30 Dias</t>
        </is>
      </c>
      <c r="M129" t="n">
        <v>10000144</v>
      </c>
      <c r="N129" t="inlineStr">
        <is>
          <t>Grava Triturada Basalto  13 mm - 1/2"</t>
        </is>
      </c>
      <c r="O129" t="inlineStr">
        <is>
          <t>DW68</t>
        </is>
      </c>
      <c r="P129" t="inlineStr">
        <is>
          <t>MX-CED. GUADALAJARA</t>
        </is>
      </c>
      <c r="Q129" t="n">
        <v>20210801</v>
      </c>
      <c r="R129" t="n">
        <v>20291231</v>
      </c>
      <c r="S129" t="n">
        <v>20260413</v>
      </c>
      <c r="T129" t="n">
        <v>20301231</v>
      </c>
      <c r="U129" t="n">
        <v>481</v>
      </c>
      <c r="V129" t="inlineStr">
        <is>
          <t>MXN</t>
        </is>
      </c>
      <c r="W129" t="inlineStr">
        <is>
          <t>TN</t>
        </is>
      </c>
      <c r="X129" t="n">
        <v>166</v>
      </c>
      <c r="Y129" t="inlineStr">
        <is>
          <t>MXN</t>
        </is>
      </c>
      <c r="Z129" t="inlineStr">
        <is>
          <t>TN</t>
        </is>
      </c>
      <c r="AA129" t="inlineStr">
        <is>
          <t>D211</t>
        </is>
      </c>
      <c r="AB129" t="inlineStr">
        <is>
          <t>PD0149 GDL. MATRIZ</t>
        </is>
      </c>
      <c r="AC129" t="n">
        <v>56103637</v>
      </c>
      <c r="AD129" t="n">
        <v>6644241540</v>
      </c>
      <c r="AE129" t="n">
        <v>4</v>
      </c>
      <c r="AF129" t="inlineStr">
        <is>
          <t>ENTREGA DIRECTA</t>
        </is>
      </c>
      <c r="AG129" t="n">
        <v>1</v>
      </c>
      <c r="AH129" t="inlineStr">
        <is>
          <t>TO</t>
        </is>
      </c>
      <c r="AI129" t="inlineStr">
        <is>
          <t>X</t>
        </is>
      </c>
      <c r="AJ129" t="n">
        <v>4</v>
      </c>
      <c r="AK129" t="inlineStr">
        <is>
          <t>V4</t>
        </is>
      </c>
      <c r="AL129" t="n">
        <v>20260417</v>
      </c>
      <c r="AM129" t="inlineStr">
        <is>
          <t>DW68-900004153-D211-10000144-4</t>
        </is>
      </c>
    </row>
    <row r="130">
      <c r="A130" t="inlineStr">
        <is>
          <t>900003794DW68D04210000144</t>
        </is>
      </c>
      <c r="B130" t="inlineStr">
        <is>
          <t>4600068583-10</t>
        </is>
      </c>
      <c r="C130" t="n">
        <v>4600068583</v>
      </c>
      <c r="D130" t="n">
        <v>10</v>
      </c>
      <c r="E130" t="inlineStr">
        <is>
          <t>MXPO</t>
        </is>
      </c>
      <c r="F130" t="inlineStr">
        <is>
          <t>MXL</t>
        </is>
      </c>
      <c r="G130" t="n">
        <v>900003794</v>
      </c>
      <c r="H130" t="inlineStr">
        <is>
          <t>SF EL PACHON AGG TERCEROS</t>
        </is>
      </c>
      <c r="I130" t="n">
        <v>5043944</v>
      </c>
      <c r="J130" t="inlineStr">
        <is>
          <t>CONSTRUCCIONES MAREVA DE OCCIDENTE</t>
        </is>
      </c>
      <c r="K130" t="inlineStr">
        <is>
          <t>Z04</t>
        </is>
      </c>
      <c r="L130" t="inlineStr">
        <is>
          <t>(AP) 30 Dias</t>
        </is>
      </c>
      <c r="M130" t="n">
        <v>10000144</v>
      </c>
      <c r="N130" t="inlineStr">
        <is>
          <t>Grava Triturada Basalto  13 mm - 1/2"</t>
        </is>
      </c>
      <c r="O130" t="inlineStr">
        <is>
          <t>DW68</t>
        </is>
      </c>
      <c r="P130" t="inlineStr">
        <is>
          <t>MX-CED. GUADALAJARA</t>
        </is>
      </c>
      <c r="Q130" t="n">
        <v>20231005</v>
      </c>
      <c r="R130" t="n">
        <v>20281231</v>
      </c>
      <c r="S130" t="n">
        <v>20231005</v>
      </c>
      <c r="T130" t="n">
        <v>20281231</v>
      </c>
      <c r="U130" t="n">
        <v>660</v>
      </c>
      <c r="V130" t="inlineStr">
        <is>
          <t>MXN</t>
        </is>
      </c>
      <c r="W130" t="inlineStr">
        <is>
          <t>M3</t>
        </is>
      </c>
      <c r="X130" t="n">
        <v>100</v>
      </c>
      <c r="Y130" t="inlineStr">
        <is>
          <t>MXN</t>
        </is>
      </c>
      <c r="Z130" t="inlineStr">
        <is>
          <t>M3</t>
        </is>
      </c>
      <c r="AA130" t="inlineStr">
        <is>
          <t>D042</t>
        </is>
      </c>
      <c r="AB130" t="inlineStr">
        <is>
          <t>PD0406 PLANTA PONIENTE</t>
        </is>
      </c>
      <c r="AC130" t="n">
        <v>56103637</v>
      </c>
      <c r="AD130" t="n">
        <v>6644241540</v>
      </c>
      <c r="AE130" t="n">
        <v>4</v>
      </c>
      <c r="AF130" t="inlineStr">
        <is>
          <t>ENTREGA DIRECTA</t>
        </is>
      </c>
      <c r="AG130" t="n">
        <v>1</v>
      </c>
      <c r="AH130" t="inlineStr">
        <is>
          <t>TO</t>
        </is>
      </c>
      <c r="AI130" t="inlineStr">
        <is>
          <t>X</t>
        </is>
      </c>
      <c r="AJ130" t="n">
        <v>4</v>
      </c>
      <c r="AK130" t="inlineStr">
        <is>
          <t>V4</t>
        </is>
      </c>
      <c r="AL130" t="n">
        <v>20231009</v>
      </c>
      <c r="AM130" t="inlineStr">
        <is>
          <t>DW68-900003794-D042-10000144-4</t>
        </is>
      </c>
    </row>
    <row r="131">
      <c r="A131" t="inlineStr">
        <is>
          <t>900004356DW6810000437</t>
        </is>
      </c>
      <c r="B131" t="inlineStr">
        <is>
          <t>4600050433-50</t>
        </is>
      </c>
      <c r="C131" t="n">
        <v>4600050433</v>
      </c>
      <c r="D131" t="n">
        <v>50</v>
      </c>
      <c r="E131" t="inlineStr">
        <is>
          <t>MXPO</t>
        </is>
      </c>
      <c r="F131" t="inlineStr">
        <is>
          <t>MXL</t>
        </is>
      </c>
      <c r="G131" t="n">
        <v>900004356</v>
      </c>
      <c r="H131" t="inlineStr">
        <is>
          <t>TC-AKOPAN</t>
        </is>
      </c>
      <c r="I131" t="n">
        <v>5060172</v>
      </c>
      <c r="J131" t="inlineStr">
        <is>
          <t>DESARROLLADORA AKOPAN SA DE CV</t>
        </is>
      </c>
      <c r="K131" t="inlineStr">
        <is>
          <t>N30</t>
        </is>
      </c>
      <c r="L131" t="inlineStr">
        <is>
          <t>(AP) NAFIN 30 Dias</t>
        </is>
      </c>
      <c r="M131" t="n">
        <v>10000437</v>
      </c>
      <c r="N131" t="inlineStr">
        <is>
          <t>Grava Triturada Basalto 20 mm - 3/4"</t>
        </is>
      </c>
      <c r="O131" t="inlineStr">
        <is>
          <t>DW68</t>
        </is>
      </c>
      <c r="P131" t="inlineStr">
        <is>
          <t>MX-CED. GUADALAJARA</t>
        </is>
      </c>
      <c r="Q131" t="n">
        <v>20210801</v>
      </c>
      <c r="R131" t="n">
        <v>20291231</v>
      </c>
      <c r="S131" t="n">
        <v>20251014</v>
      </c>
      <c r="T131" t="n">
        <v>20301231</v>
      </c>
      <c r="U131" t="n">
        <v>295</v>
      </c>
      <c r="V131" t="inlineStr">
        <is>
          <t>MXN</t>
        </is>
      </c>
      <c r="W131" t="inlineStr">
        <is>
          <t>M3</t>
        </is>
      </c>
      <c r="X131" t="n">
        <v>0</v>
      </c>
      <c r="Y131" t="inlineStr">
        <is>
          <t>MXN</t>
        </is>
      </c>
      <c r="Z131" t="inlineStr">
        <is>
          <t>M3</t>
        </is>
      </c>
      <c r="AC131" t="n">
        <v>56103637</v>
      </c>
      <c r="AD131" t="n">
        <v>6644241540</v>
      </c>
      <c r="AE131" t="n">
        <v>1</v>
      </c>
      <c r="AF131" t="inlineStr">
        <is>
          <t>ENTREGADO</t>
        </is>
      </c>
      <c r="AG131" t="n">
        <v>1.505</v>
      </c>
      <c r="AH131" t="inlineStr">
        <is>
          <t>M3</t>
        </is>
      </c>
      <c r="AI131" t="inlineStr">
        <is>
          <t>X</t>
        </is>
      </c>
      <c r="AJ131" t="n">
        <v>4</v>
      </c>
      <c r="AK131" t="inlineStr">
        <is>
          <t>V4</t>
        </is>
      </c>
      <c r="AL131" t="n">
        <v>20251014</v>
      </c>
      <c r="AM131" t="inlineStr">
        <is>
          <t>DW68-900004356-10000437</t>
        </is>
      </c>
    </row>
    <row r="132">
      <c r="A132" t="inlineStr">
        <is>
          <t>900004065DW68D57710000320</t>
        </is>
      </c>
      <c r="B132" t="inlineStr">
        <is>
          <t>4600050428-250</t>
        </is>
      </c>
      <c r="C132" t="n">
        <v>4600050428</v>
      </c>
      <c r="D132" t="n">
        <v>250</v>
      </c>
      <c r="E132" t="inlineStr">
        <is>
          <t>MXPO</t>
        </is>
      </c>
      <c r="F132" t="inlineStr">
        <is>
          <t>MXL</t>
        </is>
      </c>
      <c r="G132" t="n">
        <v>900004065</v>
      </c>
      <c r="H132" t="inlineStr">
        <is>
          <t>TC-ED CALIDRA</t>
        </is>
      </c>
      <c r="I132" t="n">
        <v>5002756</v>
      </c>
      <c r="J132" t="inlineStr">
        <is>
          <t>CALIDRA DE OCCIDENTE SA DE CV</t>
        </is>
      </c>
      <c r="K132" t="inlineStr">
        <is>
          <t>Z07</t>
        </is>
      </c>
      <c r="L132" t="inlineStr">
        <is>
          <t>(AP) 60 Dias</t>
        </is>
      </c>
      <c r="M132" t="n">
        <v>10000320</v>
      </c>
      <c r="N132" t="inlineStr">
        <is>
          <t>Arena Triturada Caliza Malla 4</t>
        </is>
      </c>
      <c r="O132" t="inlineStr">
        <is>
          <t>DW68</t>
        </is>
      </c>
      <c r="P132" t="inlineStr">
        <is>
          <t>MX-CED. GUADALAJARA</t>
        </is>
      </c>
      <c r="Q132" t="n">
        <v>20210801</v>
      </c>
      <c r="R132" t="n">
        <v>20281231</v>
      </c>
      <c r="S132" t="n">
        <v>20260826</v>
      </c>
      <c r="T132" t="n">
        <v>20301231</v>
      </c>
      <c r="U132" t="n">
        <v>328.64</v>
      </c>
      <c r="V132" t="inlineStr">
        <is>
          <t>MXN</t>
        </is>
      </c>
      <c r="W132" t="inlineStr">
        <is>
          <t>TN</t>
        </is>
      </c>
      <c r="X132" t="n">
        <v>219.44</v>
      </c>
      <c r="Y132" t="inlineStr">
        <is>
          <t>MXN</t>
        </is>
      </c>
      <c r="Z132" t="inlineStr">
        <is>
          <t>TN</t>
        </is>
      </c>
      <c r="AA132" t="inlineStr">
        <is>
          <t>D577</t>
        </is>
      </c>
      <c r="AB132" t="inlineStr">
        <is>
          <t>D577 PD0681 PROY APTO GDL</t>
        </is>
      </c>
      <c r="AC132" t="n">
        <v>56103638</v>
      </c>
      <c r="AD132" t="n">
        <v>6644241540</v>
      </c>
      <c r="AE132" t="n">
        <v>4</v>
      </c>
      <c r="AF132" t="inlineStr">
        <is>
          <t>ENTREGA DIRECTA</t>
        </is>
      </c>
      <c r="AG132" t="n">
        <v>1</v>
      </c>
      <c r="AH132" t="inlineStr">
        <is>
          <t>TO</t>
        </is>
      </c>
      <c r="AI132" t="inlineStr">
        <is>
          <t>X</t>
        </is>
      </c>
      <c r="AJ132" t="n">
        <v>4</v>
      </c>
      <c r="AK132" t="inlineStr">
        <is>
          <t>V4</t>
        </is>
      </c>
      <c r="AL132" t="n">
        <v>20260831</v>
      </c>
      <c r="AM132" t="inlineStr">
        <is>
          <t>DW68-900004065-D577-10000320-4</t>
        </is>
      </c>
    </row>
    <row r="133">
      <c r="A133" t="inlineStr">
        <is>
          <t>900008842DW6810000191</t>
        </is>
      </c>
      <c r="B133" t="inlineStr">
        <is>
          <t>4600069757-10</t>
        </is>
      </c>
      <c r="C133" t="n">
        <v>4600069757</v>
      </c>
      <c r="D133" t="n">
        <v>10</v>
      </c>
      <c r="E133" t="inlineStr">
        <is>
          <t>MXPO</t>
        </is>
      </c>
      <c r="F133" t="inlineStr">
        <is>
          <t>MXL</t>
        </is>
      </c>
      <c r="G133" t="n">
        <v>900008842</v>
      </c>
      <c r="H133" t="inlineStr">
        <is>
          <t>SF TC-GRAVASE PONCITLAN</t>
        </is>
      </c>
      <c r="I133" t="n">
        <v>5009010</v>
      </c>
      <c r="J133" t="inlineStr">
        <is>
          <t>GRAVASE SA DE CV</t>
        </is>
      </c>
      <c r="K133" t="inlineStr">
        <is>
          <t>Z04</t>
        </is>
      </c>
      <c r="L133" t="inlineStr">
        <is>
          <t>(AP) 30 Dias</t>
        </is>
      </c>
      <c r="M133" t="n">
        <v>10000191</v>
      </c>
      <c r="N133" t="inlineStr">
        <is>
          <t>Grava Triturada Basalto 20 mm - 3/4"</t>
        </is>
      </c>
      <c r="O133" t="inlineStr">
        <is>
          <t>DW68</t>
        </is>
      </c>
      <c r="P133" t="inlineStr">
        <is>
          <t>MX-CED. GUADALAJARA</t>
        </is>
      </c>
      <c r="Q133" t="n">
        <v>20240624</v>
      </c>
      <c r="R133" t="n">
        <v>20291231</v>
      </c>
      <c r="S133" t="n">
        <v>20240624</v>
      </c>
      <c r="T133" t="n">
        <v>20291231</v>
      </c>
      <c r="U133" t="n">
        <v>158</v>
      </c>
      <c r="V133" t="inlineStr">
        <is>
          <t>MXN</t>
        </is>
      </c>
      <c r="W133" t="inlineStr">
        <is>
          <t>TN</t>
        </is>
      </c>
      <c r="X133" t="n">
        <v>0</v>
      </c>
      <c r="Y133" t="inlineStr">
        <is>
          <t>MXN</t>
        </is>
      </c>
      <c r="Z133" t="inlineStr">
        <is>
          <t>TN</t>
        </is>
      </c>
      <c r="AC133" t="n">
        <v>56103637</v>
      </c>
      <c r="AD133" t="n">
        <v>6644241540</v>
      </c>
      <c r="AE133" t="n">
        <v>1</v>
      </c>
      <c r="AF133" t="inlineStr">
        <is>
          <t>ENTREGADO</t>
        </is>
      </c>
      <c r="AG133" t="n">
        <v>1</v>
      </c>
      <c r="AH133" t="inlineStr">
        <is>
          <t>TO</t>
        </is>
      </c>
      <c r="AI133" t="inlineStr">
        <is>
          <t>X</t>
        </is>
      </c>
      <c r="AJ133" t="n">
        <v>4</v>
      </c>
      <c r="AK133" t="inlineStr">
        <is>
          <t>V4</t>
        </is>
      </c>
      <c r="AL133" t="n">
        <v>20240627</v>
      </c>
      <c r="AM133" t="inlineStr">
        <is>
          <t>DW68-900008842-10000191</t>
        </is>
      </c>
    </row>
    <row r="134">
      <c r="A134" t="inlineStr">
        <is>
          <t>900008842DW6810000388</t>
        </is>
      </c>
      <c r="B134" t="inlineStr">
        <is>
          <t>4600069757-30</t>
        </is>
      </c>
      <c r="C134" t="n">
        <v>4600069757</v>
      </c>
      <c r="D134" t="n">
        <v>30</v>
      </c>
      <c r="E134" t="inlineStr">
        <is>
          <t>MXPO</t>
        </is>
      </c>
      <c r="F134" t="inlineStr">
        <is>
          <t>MXL</t>
        </is>
      </c>
      <c r="G134" t="n">
        <v>900008842</v>
      </c>
      <c r="H134" t="inlineStr">
        <is>
          <t>SF TC-GRAVASE PONCITLAN</t>
        </is>
      </c>
      <c r="I134" t="n">
        <v>5009010</v>
      </c>
      <c r="J134" t="inlineStr">
        <is>
          <t>GRAVASE SA DE CV</t>
        </is>
      </c>
      <c r="K134" t="inlineStr">
        <is>
          <t>Z04</t>
        </is>
      </c>
      <c r="L134" t="inlineStr">
        <is>
          <t>(AP) 30 Dias</t>
        </is>
      </c>
      <c r="M134" t="n">
        <v>10000388</v>
      </c>
      <c r="N134" t="inlineStr">
        <is>
          <t>Grava Triturada Basalto  40 mm - 1 1/2"</t>
        </is>
      </c>
      <c r="O134" t="inlineStr">
        <is>
          <t>DW68</t>
        </is>
      </c>
      <c r="P134" t="inlineStr">
        <is>
          <t>MX-CED. GUADALAJARA</t>
        </is>
      </c>
      <c r="Q134" t="n">
        <v>20240624</v>
      </c>
      <c r="R134" t="n">
        <v>20291231</v>
      </c>
      <c r="S134" t="n">
        <v>20240624</v>
      </c>
      <c r="T134" t="n">
        <v>20291231</v>
      </c>
      <c r="U134" t="n">
        <v>158</v>
      </c>
      <c r="V134" t="inlineStr">
        <is>
          <t>MXN</t>
        </is>
      </c>
      <c r="W134" t="inlineStr">
        <is>
          <t>TN</t>
        </is>
      </c>
      <c r="X134" t="n">
        <v>0</v>
      </c>
      <c r="Y134" t="inlineStr">
        <is>
          <t>MXN</t>
        </is>
      </c>
      <c r="Z134" t="inlineStr">
        <is>
          <t>TN</t>
        </is>
      </c>
      <c r="AC134" t="n">
        <v>56103637</v>
      </c>
      <c r="AD134" t="n">
        <v>6644241540</v>
      </c>
      <c r="AE134" t="n">
        <v>1</v>
      </c>
      <c r="AF134" t="inlineStr">
        <is>
          <t>ENTREGADO</t>
        </is>
      </c>
      <c r="AG134" t="n">
        <v>1</v>
      </c>
      <c r="AH134" t="inlineStr">
        <is>
          <t>TO</t>
        </is>
      </c>
      <c r="AI134" t="inlineStr">
        <is>
          <t>X</t>
        </is>
      </c>
      <c r="AJ134" t="n">
        <v>4</v>
      </c>
      <c r="AK134" t="inlineStr">
        <is>
          <t>V4</t>
        </is>
      </c>
      <c r="AL134" t="n">
        <v>20240627</v>
      </c>
      <c r="AM134" t="inlineStr">
        <is>
          <t>DW68-900008842-10000388</t>
        </is>
      </c>
    </row>
    <row r="135">
      <c r="A135" t="inlineStr">
        <is>
          <t>900008842DW6810004258</t>
        </is>
      </c>
      <c r="B135" t="inlineStr">
        <is>
          <t>4600069757-40</t>
        </is>
      </c>
      <c r="C135" t="n">
        <v>4600069757</v>
      </c>
      <c r="D135" t="n">
        <v>40</v>
      </c>
      <c r="E135" t="inlineStr">
        <is>
          <t>MXPO</t>
        </is>
      </c>
      <c r="F135" t="inlineStr">
        <is>
          <t>MXL</t>
        </is>
      </c>
      <c r="G135" t="n">
        <v>900008842</v>
      </c>
      <c r="H135" t="inlineStr">
        <is>
          <t>SF TC-GRAVASE PONCITLAN</t>
        </is>
      </c>
      <c r="I135" t="n">
        <v>5009010</v>
      </c>
      <c r="J135" t="inlineStr">
        <is>
          <t>GRAVASE SA DE CV</t>
        </is>
      </c>
      <c r="K135" t="inlineStr">
        <is>
          <t>Z04</t>
        </is>
      </c>
      <c r="L135" t="inlineStr">
        <is>
          <t>(AP) 30 Dias</t>
        </is>
      </c>
      <c r="M135" t="n">
        <v>10004258</v>
      </c>
      <c r="N135" t="inlineStr">
        <is>
          <t>Sello Triturado Basalto 10 mm - 3/8"</t>
        </is>
      </c>
      <c r="O135" t="inlineStr">
        <is>
          <t>DW68</t>
        </is>
      </c>
      <c r="P135" t="inlineStr">
        <is>
          <t>MX-CED. GUADALAJARA</t>
        </is>
      </c>
      <c r="Q135" t="n">
        <v>20240624</v>
      </c>
      <c r="R135" t="n">
        <v>20291231</v>
      </c>
      <c r="S135" t="n">
        <v>20240624</v>
      </c>
      <c r="T135" t="n">
        <v>20291231</v>
      </c>
      <c r="U135" t="n">
        <v>257</v>
      </c>
      <c r="V135" t="inlineStr">
        <is>
          <t>MXN</t>
        </is>
      </c>
      <c r="W135" t="inlineStr">
        <is>
          <t>TN</t>
        </is>
      </c>
      <c r="X135" t="n">
        <v>0</v>
      </c>
      <c r="Y135" t="inlineStr">
        <is>
          <t>MXN</t>
        </is>
      </c>
      <c r="Z135" t="inlineStr">
        <is>
          <t>TN</t>
        </is>
      </c>
      <c r="AC135" t="n">
        <v>56103637</v>
      </c>
      <c r="AD135" t="n">
        <v>6644241540</v>
      </c>
      <c r="AE135" t="n">
        <v>1</v>
      </c>
      <c r="AF135" t="inlineStr">
        <is>
          <t>ENTREGADO</t>
        </is>
      </c>
      <c r="AG135" t="n">
        <v>1</v>
      </c>
      <c r="AH135" t="inlineStr">
        <is>
          <t>TO</t>
        </is>
      </c>
      <c r="AI135" t="inlineStr">
        <is>
          <t>X</t>
        </is>
      </c>
      <c r="AJ135" t="n">
        <v>4</v>
      </c>
      <c r="AK135" t="inlineStr">
        <is>
          <t>V4</t>
        </is>
      </c>
      <c r="AL135" t="n">
        <v>20240627</v>
      </c>
      <c r="AM135" t="inlineStr">
        <is>
          <t>DW68-900008842-10004258</t>
        </is>
      </c>
    </row>
    <row r="136">
      <c r="A136" t="inlineStr">
        <is>
          <t>900008842DW6810000384</t>
        </is>
      </c>
      <c r="B136" t="inlineStr">
        <is>
          <t>4600069757-20</t>
        </is>
      </c>
      <c r="C136" t="n">
        <v>4600069757</v>
      </c>
      <c r="D136" t="n">
        <v>20</v>
      </c>
      <c r="E136" t="inlineStr">
        <is>
          <t>MXPO</t>
        </is>
      </c>
      <c r="F136" t="inlineStr">
        <is>
          <t>MXL</t>
        </is>
      </c>
      <c r="G136" t="n">
        <v>900008842</v>
      </c>
      <c r="H136" t="inlineStr">
        <is>
          <t>SF TC-GRAVASE PONCITLAN</t>
        </is>
      </c>
      <c r="I136" t="n">
        <v>5009010</v>
      </c>
      <c r="J136" t="inlineStr">
        <is>
          <t>GRAVASE SA DE CV</t>
        </is>
      </c>
      <c r="K136" t="inlineStr">
        <is>
          <t>Z04</t>
        </is>
      </c>
      <c r="L136" t="inlineStr">
        <is>
          <t>(AP) 30 Dias</t>
        </is>
      </c>
      <c r="M136" t="n">
        <v>10000384</v>
      </c>
      <c r="N136" t="inlineStr">
        <is>
          <t>Arena Triturada Basalto Malla 4</t>
        </is>
      </c>
      <c r="O136" t="inlineStr">
        <is>
          <t>DW68</t>
        </is>
      </c>
      <c r="P136" t="inlineStr">
        <is>
          <t>MX-CED. GUADALAJARA</t>
        </is>
      </c>
      <c r="Q136" t="n">
        <v>20240624</v>
      </c>
      <c r="R136" t="n">
        <v>20291231</v>
      </c>
      <c r="S136" t="n">
        <v>20240624</v>
      </c>
      <c r="T136" t="n">
        <v>20291231</v>
      </c>
      <c r="U136" t="n">
        <v>180</v>
      </c>
      <c r="V136" t="inlineStr">
        <is>
          <t>MXN</t>
        </is>
      </c>
      <c r="W136" t="inlineStr">
        <is>
          <t>TN</t>
        </is>
      </c>
      <c r="X136" t="n">
        <v>0</v>
      </c>
      <c r="Y136" t="inlineStr">
        <is>
          <t>MXN</t>
        </is>
      </c>
      <c r="Z136" t="inlineStr">
        <is>
          <t>TN</t>
        </is>
      </c>
      <c r="AC136" t="n">
        <v>56103638</v>
      </c>
      <c r="AD136" t="n">
        <v>6644241540</v>
      </c>
      <c r="AE136" t="n">
        <v>1</v>
      </c>
      <c r="AF136" t="inlineStr">
        <is>
          <t>ENTREGADO</t>
        </is>
      </c>
      <c r="AG136" t="n">
        <v>1</v>
      </c>
      <c r="AH136" t="inlineStr">
        <is>
          <t>TO</t>
        </is>
      </c>
      <c r="AI136" t="inlineStr">
        <is>
          <t>X</t>
        </is>
      </c>
      <c r="AJ136" t="n">
        <v>4</v>
      </c>
      <c r="AK136" t="inlineStr">
        <is>
          <t>V4</t>
        </is>
      </c>
      <c r="AL136" t="n">
        <v>20240627</v>
      </c>
      <c r="AM136" t="inlineStr">
        <is>
          <t>DW68-900008842-10000384</t>
        </is>
      </c>
    </row>
    <row r="137">
      <c r="A137" t="inlineStr">
        <is>
          <t>900007515DW68D26810000384</t>
        </is>
      </c>
      <c r="B137" t="inlineStr">
        <is>
          <t>4600053424-20</t>
        </is>
      </c>
      <c r="C137" t="n">
        <v>4600053424</v>
      </c>
      <c r="D137" t="n">
        <v>20</v>
      </c>
      <c r="E137" t="inlineStr">
        <is>
          <t>MXPO</t>
        </is>
      </c>
      <c r="F137" t="inlineStr">
        <is>
          <t>MXL</t>
        </is>
      </c>
      <c r="G137" t="n">
        <v>900007515</v>
      </c>
      <c r="H137" t="inlineStr">
        <is>
          <t>SF TC-ED- VISE</t>
        </is>
      </c>
      <c r="I137" t="n">
        <v>5003584</v>
      </c>
      <c r="J137" t="inlineStr">
        <is>
          <t>CONSTRUCTORA Y PAVIMENTADORA VISE S</t>
        </is>
      </c>
      <c r="K137" t="inlineStr">
        <is>
          <t>N90</t>
        </is>
      </c>
      <c r="L137" t="inlineStr">
        <is>
          <t>(AP) NAFIN 90 Dias</t>
        </is>
      </c>
      <c r="M137" t="n">
        <v>10000384</v>
      </c>
      <c r="N137" t="inlineStr">
        <is>
          <t>Arena Triturada Basalto Malla 4</t>
        </is>
      </c>
      <c r="O137" t="inlineStr">
        <is>
          <t>DW68</t>
        </is>
      </c>
      <c r="P137" t="inlineStr">
        <is>
          <t>MX-CED. GUADALAJARA</t>
        </is>
      </c>
      <c r="Q137" t="n">
        <v>20220309</v>
      </c>
      <c r="R137" t="n">
        <v>20271231</v>
      </c>
      <c r="S137" t="n">
        <v>20220309</v>
      </c>
      <c r="T137" t="n">
        <v>20271231</v>
      </c>
      <c r="U137" t="n">
        <v>215.5</v>
      </c>
      <c r="V137" t="inlineStr">
        <is>
          <t>MXN</t>
        </is>
      </c>
      <c r="W137" t="inlineStr">
        <is>
          <t>TN</t>
        </is>
      </c>
      <c r="X137" t="n">
        <v>100.8</v>
      </c>
      <c r="Y137" t="inlineStr">
        <is>
          <t>MXN</t>
        </is>
      </c>
      <c r="Z137" t="inlineStr">
        <is>
          <t>TN</t>
        </is>
      </c>
      <c r="AA137" t="inlineStr">
        <is>
          <t>D268</t>
        </is>
      </c>
      <c r="AB137" t="inlineStr">
        <is>
          <t>PD418 AEROPUERTO GDL</t>
        </is>
      </c>
      <c r="AC137" t="n">
        <v>56103638</v>
      </c>
      <c r="AD137" t="n">
        <v>6644241540</v>
      </c>
      <c r="AE137" t="n">
        <v>4</v>
      </c>
      <c r="AF137" t="inlineStr">
        <is>
          <t>ENTREGA DIRECTA</t>
        </is>
      </c>
      <c r="AG137" t="n">
        <v>1</v>
      </c>
      <c r="AH137" t="inlineStr">
        <is>
          <t>TO</t>
        </is>
      </c>
      <c r="AI137" t="inlineStr">
        <is>
          <t>X</t>
        </is>
      </c>
      <c r="AJ137" t="n">
        <v>4</v>
      </c>
      <c r="AK137" t="inlineStr">
        <is>
          <t>V4</t>
        </is>
      </c>
      <c r="AL137" t="n">
        <v>20230920</v>
      </c>
      <c r="AM137" t="inlineStr">
        <is>
          <t>DW68-900007515-D268-10000384-4</t>
        </is>
      </c>
    </row>
    <row r="138">
      <c r="A138" t="inlineStr">
        <is>
          <t>900007515DW68D26810000191</t>
        </is>
      </c>
      <c r="B138" t="inlineStr">
        <is>
          <t>4600053424-40</t>
        </is>
      </c>
      <c r="C138" t="n">
        <v>4600053424</v>
      </c>
      <c r="D138" t="n">
        <v>40</v>
      </c>
      <c r="E138" t="inlineStr">
        <is>
          <t>MXPO</t>
        </is>
      </c>
      <c r="F138" t="inlineStr">
        <is>
          <t>MXL</t>
        </is>
      </c>
      <c r="G138" t="n">
        <v>900007515</v>
      </c>
      <c r="H138" t="inlineStr">
        <is>
          <t>SF TC-ED- VISE</t>
        </is>
      </c>
      <c r="I138" t="n">
        <v>5003584</v>
      </c>
      <c r="J138" t="inlineStr">
        <is>
          <t>CONSTRUCTORA Y PAVIMENTADORA VISE S</t>
        </is>
      </c>
      <c r="K138" t="inlineStr">
        <is>
          <t>N90</t>
        </is>
      </c>
      <c r="L138" t="inlineStr">
        <is>
          <t>(AP) NAFIN 90 Dias</t>
        </is>
      </c>
      <c r="M138" t="n">
        <v>10000191</v>
      </c>
      <c r="N138" t="inlineStr">
        <is>
          <t>Grava Triturada Basalto 20 mm - 3/4"</t>
        </is>
      </c>
      <c r="O138" t="inlineStr">
        <is>
          <t>DW68</t>
        </is>
      </c>
      <c r="P138" t="inlineStr">
        <is>
          <t>MX-CED. GUADALAJARA</t>
        </is>
      </c>
      <c r="Q138" t="n">
        <v>20220309</v>
      </c>
      <c r="R138" t="n">
        <v>20271231</v>
      </c>
      <c r="S138" t="n">
        <v>20220309</v>
      </c>
      <c r="T138" t="n">
        <v>20271231</v>
      </c>
      <c r="U138" t="n">
        <v>221.98</v>
      </c>
      <c r="V138" t="inlineStr">
        <is>
          <t>MXN</t>
        </is>
      </c>
      <c r="W138" t="inlineStr">
        <is>
          <t>TN</t>
        </is>
      </c>
      <c r="X138" t="n">
        <v>100.8</v>
      </c>
      <c r="Y138" t="inlineStr">
        <is>
          <t>MXN</t>
        </is>
      </c>
      <c r="Z138" t="inlineStr">
        <is>
          <t>TN</t>
        </is>
      </c>
      <c r="AA138" t="inlineStr">
        <is>
          <t>D268</t>
        </is>
      </c>
      <c r="AB138" t="inlineStr">
        <is>
          <t>PD418 AEROPUERTO GDL</t>
        </is>
      </c>
      <c r="AC138" t="n">
        <v>56103637</v>
      </c>
      <c r="AD138" t="n">
        <v>6644241540</v>
      </c>
      <c r="AE138" t="n">
        <v>4</v>
      </c>
      <c r="AF138" t="inlineStr">
        <is>
          <t>ENTREGA DIRECTA</t>
        </is>
      </c>
      <c r="AG138" t="n">
        <v>1</v>
      </c>
      <c r="AH138" t="inlineStr">
        <is>
          <t>TO</t>
        </is>
      </c>
      <c r="AI138" t="inlineStr">
        <is>
          <t>X</t>
        </is>
      </c>
      <c r="AJ138" t="n">
        <v>4</v>
      </c>
      <c r="AK138" t="inlineStr">
        <is>
          <t>V4</t>
        </is>
      </c>
      <c r="AL138" t="n">
        <v>20230920</v>
      </c>
      <c r="AM138" t="inlineStr">
        <is>
          <t>DW68-900007515-D268-10000191-4</t>
        </is>
      </c>
    </row>
    <row r="139">
      <c r="A139" t="inlineStr">
        <is>
          <t>900004065DW68D21410000320</t>
        </is>
      </c>
      <c r="B139" t="inlineStr">
        <is>
          <t>4600050428-90</t>
        </is>
      </c>
      <c r="C139" t="n">
        <v>4600050428</v>
      </c>
      <c r="D139" t="n">
        <v>90</v>
      </c>
      <c r="E139" t="inlineStr">
        <is>
          <t>MXPO</t>
        </is>
      </c>
      <c r="F139" t="inlineStr">
        <is>
          <t>MXL</t>
        </is>
      </c>
      <c r="G139" t="n">
        <v>900004065</v>
      </c>
      <c r="H139" t="inlineStr">
        <is>
          <t>TC-ED CALIDRA</t>
        </is>
      </c>
      <c r="I139" t="n">
        <v>5002756</v>
      </c>
      <c r="J139" t="inlineStr">
        <is>
          <t>CALIDRA DE OCCIDENTE SA DE CV</t>
        </is>
      </c>
      <c r="K139" t="inlineStr">
        <is>
          <t>Z07</t>
        </is>
      </c>
      <c r="L139" t="inlineStr">
        <is>
          <t>(AP) 60 Dias</t>
        </is>
      </c>
      <c r="M139" t="n">
        <v>10000320</v>
      </c>
      <c r="N139" t="inlineStr">
        <is>
          <t>Arena Triturada Caliza Malla 4</t>
        </is>
      </c>
      <c r="O139" t="inlineStr">
        <is>
          <t>DW68</t>
        </is>
      </c>
      <c r="P139" t="inlineStr">
        <is>
          <t>MX-CED. GUADALAJARA</t>
        </is>
      </c>
      <c r="Q139" t="n">
        <v>20210801</v>
      </c>
      <c r="R139" t="n">
        <v>20281231</v>
      </c>
      <c r="S139" t="n">
        <v>20220101</v>
      </c>
      <c r="T139" t="n">
        <v>20271231</v>
      </c>
      <c r="U139" t="n">
        <v>268.67</v>
      </c>
      <c r="V139" t="inlineStr">
        <is>
          <t>MXN</t>
        </is>
      </c>
      <c r="W139" t="inlineStr">
        <is>
          <t>TN</t>
        </is>
      </c>
      <c r="X139" t="n">
        <v>173.53</v>
      </c>
      <c r="Y139" t="inlineStr">
        <is>
          <t>MXN</t>
        </is>
      </c>
      <c r="Z139" t="inlineStr">
        <is>
          <t>TN</t>
        </is>
      </c>
      <c r="AA139" t="inlineStr">
        <is>
          <t>D214</t>
        </is>
      </c>
      <c r="AB139" t="inlineStr">
        <is>
          <t>PD0174 EL SALTO 2</t>
        </is>
      </c>
      <c r="AC139" t="n">
        <v>56103638</v>
      </c>
      <c r="AD139" t="n">
        <v>6644241540</v>
      </c>
      <c r="AE139" t="n">
        <v>4</v>
      </c>
      <c r="AF139" t="inlineStr">
        <is>
          <t>ENTREGA DIRECTA</t>
        </is>
      </c>
      <c r="AG139" t="n">
        <v>1</v>
      </c>
      <c r="AH139" t="inlineStr">
        <is>
          <t>TO</t>
        </is>
      </c>
      <c r="AI139" t="inlineStr">
        <is>
          <t>X</t>
        </is>
      </c>
      <c r="AJ139" t="n">
        <v>4</v>
      </c>
      <c r="AK139" t="inlineStr">
        <is>
          <t>V4</t>
        </is>
      </c>
      <c r="AL139" t="n">
        <v>20230920</v>
      </c>
      <c r="AM139" t="inlineStr">
        <is>
          <t>DW68-900004065-D214-10000320-4</t>
        </is>
      </c>
    </row>
    <row r="140">
      <c r="A140" t="inlineStr">
        <is>
          <t>900004153DW68D21410000388</t>
        </is>
      </c>
      <c r="B140" t="inlineStr">
        <is>
          <t>4600050430-70</t>
        </is>
      </c>
      <c r="C140" t="n">
        <v>4600050430</v>
      </c>
      <c r="D140" t="n">
        <v>70</v>
      </c>
      <c r="E140" t="inlineStr">
        <is>
          <t>MXPO</t>
        </is>
      </c>
      <c r="F140" t="inlineStr">
        <is>
          <t>MXL</t>
        </is>
      </c>
      <c r="G140" t="n">
        <v>900004153</v>
      </c>
      <c r="H140" t="inlineStr">
        <is>
          <t>TC-ED GRAVASE PONCITLAN</t>
        </is>
      </c>
      <c r="I140" t="n">
        <v>5009010</v>
      </c>
      <c r="J140" t="inlineStr">
        <is>
          <t>GRAVASE SA DE CV</t>
        </is>
      </c>
      <c r="K140" t="inlineStr">
        <is>
          <t>Z04</t>
        </is>
      </c>
      <c r="L140" t="inlineStr">
        <is>
          <t>(AP) 30 Dias</t>
        </is>
      </c>
      <c r="M140" t="n">
        <v>10000388</v>
      </c>
      <c r="N140" t="inlineStr">
        <is>
          <t>Grava Triturada Basalto  40 mm - 1 1/2"</t>
        </is>
      </c>
      <c r="O140" t="inlineStr">
        <is>
          <t>DW68</t>
        </is>
      </c>
      <c r="P140" t="inlineStr">
        <is>
          <t>MX-CED. GUADALAJARA</t>
        </is>
      </c>
      <c r="Q140" t="n">
        <v>20210801</v>
      </c>
      <c r="R140" t="n">
        <v>20291231</v>
      </c>
      <c r="S140" t="n">
        <v>20220201</v>
      </c>
      <c r="T140" t="n">
        <v>20271231</v>
      </c>
      <c r="U140" t="n">
        <v>290.26</v>
      </c>
      <c r="V140" t="inlineStr">
        <is>
          <t>MXN</t>
        </is>
      </c>
      <c r="W140" t="inlineStr">
        <is>
          <t>TN</t>
        </is>
      </c>
      <c r="X140" t="n">
        <v>173.9</v>
      </c>
      <c r="Y140" t="inlineStr">
        <is>
          <t>MXN</t>
        </is>
      </c>
      <c r="Z140" t="inlineStr">
        <is>
          <t>TN</t>
        </is>
      </c>
      <c r="AA140" t="inlineStr">
        <is>
          <t>D214</t>
        </is>
      </c>
      <c r="AB140" t="inlineStr">
        <is>
          <t>PD0174 EL SALTO 2</t>
        </is>
      </c>
      <c r="AC140" t="n">
        <v>56103637</v>
      </c>
      <c r="AD140" t="n">
        <v>6644241540</v>
      </c>
      <c r="AE140" t="n">
        <v>4</v>
      </c>
      <c r="AF140" t="inlineStr">
        <is>
          <t>ENTREGA DIRECTA</t>
        </is>
      </c>
      <c r="AG140" t="n">
        <v>1</v>
      </c>
      <c r="AH140" t="inlineStr">
        <is>
          <t>TO</t>
        </is>
      </c>
      <c r="AI140" t="inlineStr">
        <is>
          <t>X</t>
        </is>
      </c>
      <c r="AJ140" t="n">
        <v>4</v>
      </c>
      <c r="AK140" t="inlineStr">
        <is>
          <t>V4</t>
        </is>
      </c>
      <c r="AL140" t="n">
        <v>20230920</v>
      </c>
      <c r="AM140" t="inlineStr">
        <is>
          <t>DW68-900004153-D214-10000388-4</t>
        </is>
      </c>
    </row>
    <row r="141">
      <c r="A141" t="inlineStr">
        <is>
          <t>900004153DW68D21410004258</t>
        </is>
      </c>
      <c r="B141" t="inlineStr">
        <is>
          <t>4600050430-150</t>
        </is>
      </c>
      <c r="C141" t="n">
        <v>4600050430</v>
      </c>
      <c r="D141" t="n">
        <v>150</v>
      </c>
      <c r="E141" t="inlineStr">
        <is>
          <t>MXPO</t>
        </is>
      </c>
      <c r="F141" t="inlineStr">
        <is>
          <t>MXL</t>
        </is>
      </c>
      <c r="G141" t="n">
        <v>900004153</v>
      </c>
      <c r="H141" t="inlineStr">
        <is>
          <t>TC-ED GRAVASE PONCITLAN</t>
        </is>
      </c>
      <c r="I141" t="n">
        <v>5009010</v>
      </c>
      <c r="J141" t="inlineStr">
        <is>
          <t>GRAVASE SA DE CV</t>
        </is>
      </c>
      <c r="K141" t="inlineStr">
        <is>
          <t>Z04</t>
        </is>
      </c>
      <c r="L141" t="inlineStr">
        <is>
          <t>(AP) 30 Dias</t>
        </is>
      </c>
      <c r="M141" t="n">
        <v>10004258</v>
      </c>
      <c r="N141" t="inlineStr">
        <is>
          <t>Sello Triturado Basalto 10 mm - 3/8"</t>
        </is>
      </c>
      <c r="O141" t="inlineStr">
        <is>
          <t>DW68</t>
        </is>
      </c>
      <c r="P141" t="inlineStr">
        <is>
          <t>MX-CED. GUADALAJARA</t>
        </is>
      </c>
      <c r="Q141" t="n">
        <v>20210801</v>
      </c>
      <c r="R141" t="n">
        <v>20291231</v>
      </c>
      <c r="S141" t="n">
        <v>20220201</v>
      </c>
      <c r="T141" t="n">
        <v>20271231</v>
      </c>
      <c r="U141" t="n">
        <v>351.65</v>
      </c>
      <c r="V141" t="inlineStr">
        <is>
          <t>MXN</t>
        </is>
      </c>
      <c r="W141" t="inlineStr">
        <is>
          <t>TN</t>
        </is>
      </c>
      <c r="X141" t="n">
        <v>164.64</v>
      </c>
      <c r="Y141" t="inlineStr">
        <is>
          <t>MXN</t>
        </is>
      </c>
      <c r="Z141" t="inlineStr">
        <is>
          <t>TN</t>
        </is>
      </c>
      <c r="AA141" t="inlineStr">
        <is>
          <t>D214</t>
        </is>
      </c>
      <c r="AB141" t="inlineStr">
        <is>
          <t>PD0174 EL SALTO 2</t>
        </is>
      </c>
      <c r="AC141" t="n">
        <v>56103637</v>
      </c>
      <c r="AD141" t="n">
        <v>6644241540</v>
      </c>
      <c r="AE141" t="n">
        <v>4</v>
      </c>
      <c r="AF141" t="inlineStr">
        <is>
          <t>ENTREGA DIRECTA</t>
        </is>
      </c>
      <c r="AG141" t="n">
        <v>1</v>
      </c>
      <c r="AH141" t="inlineStr">
        <is>
          <t>TO</t>
        </is>
      </c>
      <c r="AI141" t="inlineStr">
        <is>
          <t>X</t>
        </is>
      </c>
      <c r="AJ141" t="n">
        <v>4</v>
      </c>
      <c r="AK141" t="inlineStr">
        <is>
          <t>V4</t>
        </is>
      </c>
      <c r="AL141" t="n">
        <v>20230920</v>
      </c>
      <c r="AM141" t="inlineStr">
        <is>
          <t>DW68-900004153-D214-10004258-4</t>
        </is>
      </c>
    </row>
    <row r="142">
      <c r="A142" t="inlineStr">
        <is>
          <t>900007515DW68D26810004258</t>
        </is>
      </c>
      <c r="B142" t="inlineStr">
        <is>
          <t>4600053424-30</t>
        </is>
      </c>
      <c r="C142" t="n">
        <v>4600053424</v>
      </c>
      <c r="D142" t="n">
        <v>30</v>
      </c>
      <c r="E142" t="inlineStr">
        <is>
          <t>MXPO</t>
        </is>
      </c>
      <c r="F142" t="inlineStr">
        <is>
          <t>MXL</t>
        </is>
      </c>
      <c r="G142" t="n">
        <v>900007515</v>
      </c>
      <c r="H142" t="inlineStr">
        <is>
          <t>SF TC-ED- VISE</t>
        </is>
      </c>
      <c r="I142" t="n">
        <v>5003584</v>
      </c>
      <c r="J142" t="inlineStr">
        <is>
          <t>CONSTRUCTORA Y PAVIMENTADORA VISE S</t>
        </is>
      </c>
      <c r="K142" t="inlineStr">
        <is>
          <t>N90</t>
        </is>
      </c>
      <c r="L142" t="inlineStr">
        <is>
          <t>(AP) NAFIN 90 Dias</t>
        </is>
      </c>
      <c r="M142" t="n">
        <v>10004258</v>
      </c>
      <c r="N142" t="inlineStr">
        <is>
          <t>Sello Triturado Basalto 10 mm - 3/8"</t>
        </is>
      </c>
      <c r="O142" t="inlineStr">
        <is>
          <t>DW68</t>
        </is>
      </c>
      <c r="P142" t="inlineStr">
        <is>
          <t>MX-CED. GUADALAJARA</t>
        </is>
      </c>
      <c r="Q142" t="n">
        <v>20220309</v>
      </c>
      <c r="R142" t="n">
        <v>20271231</v>
      </c>
      <c r="S142" t="n">
        <v>20220309</v>
      </c>
      <c r="T142" t="n">
        <v>20271231</v>
      </c>
      <c r="U142" t="n">
        <v>249.8</v>
      </c>
      <c r="V142" t="inlineStr">
        <is>
          <t>MXN</t>
        </is>
      </c>
      <c r="W142" t="inlineStr">
        <is>
          <t>TN</t>
        </is>
      </c>
      <c r="X142" t="n">
        <v>100.8</v>
      </c>
      <c r="Y142" t="inlineStr">
        <is>
          <t>MXN</t>
        </is>
      </c>
      <c r="Z142" t="inlineStr">
        <is>
          <t>TN</t>
        </is>
      </c>
      <c r="AA142" t="inlineStr">
        <is>
          <t>D268</t>
        </is>
      </c>
      <c r="AB142" t="inlineStr">
        <is>
          <t>PD418 AEROPUERTO GDL</t>
        </is>
      </c>
      <c r="AC142" t="n">
        <v>56103637</v>
      </c>
      <c r="AD142" t="n">
        <v>6644241540</v>
      </c>
      <c r="AE142" t="n">
        <v>4</v>
      </c>
      <c r="AF142" t="inlineStr">
        <is>
          <t>ENTREGA DIRECTA</t>
        </is>
      </c>
      <c r="AG142" t="n">
        <v>1</v>
      </c>
      <c r="AH142" t="inlineStr">
        <is>
          <t>TO</t>
        </is>
      </c>
      <c r="AI142" t="inlineStr">
        <is>
          <t>X</t>
        </is>
      </c>
      <c r="AJ142" t="n">
        <v>4</v>
      </c>
      <c r="AK142" t="inlineStr">
        <is>
          <t>V4</t>
        </is>
      </c>
      <c r="AL142" t="n">
        <v>20230920</v>
      </c>
      <c r="AM142" t="inlineStr">
        <is>
          <t>DW68-900007515-D268-10004258-4</t>
        </is>
      </c>
    </row>
    <row r="143">
      <c r="A143" t="inlineStr">
        <is>
          <t>900004153DW68D21410000384</t>
        </is>
      </c>
      <c r="B143" t="inlineStr">
        <is>
          <t>4600050430-280</t>
        </is>
      </c>
      <c r="C143" t="n">
        <v>4600050430</v>
      </c>
      <c r="D143" t="n">
        <v>280</v>
      </c>
      <c r="E143" t="inlineStr">
        <is>
          <t>MXPO</t>
        </is>
      </c>
      <c r="F143" t="inlineStr">
        <is>
          <t>MXL</t>
        </is>
      </c>
      <c r="G143" t="n">
        <v>900004153</v>
      </c>
      <c r="H143" t="inlineStr">
        <is>
          <t>TC-ED GRAVASE PONCITLAN</t>
        </is>
      </c>
      <c r="I143" t="n">
        <v>5009010</v>
      </c>
      <c r="J143" t="inlineStr">
        <is>
          <t>GRAVASE SA DE CV</t>
        </is>
      </c>
      <c r="K143" t="inlineStr">
        <is>
          <t>Z04</t>
        </is>
      </c>
      <c r="L143" t="inlineStr">
        <is>
          <t>(AP) 30 Dias</t>
        </is>
      </c>
      <c r="M143" t="n">
        <v>10000384</v>
      </c>
      <c r="N143" t="inlineStr">
        <is>
          <t>Arena Triturada Basalto Malla 4</t>
        </is>
      </c>
      <c r="O143" t="inlineStr">
        <is>
          <t>DW68</t>
        </is>
      </c>
      <c r="P143" t="inlineStr">
        <is>
          <t>MX-CED. GUADALAJARA</t>
        </is>
      </c>
      <c r="Q143" t="n">
        <v>20210801</v>
      </c>
      <c r="R143" t="n">
        <v>20291231</v>
      </c>
      <c r="S143" t="n">
        <v>20220201</v>
      </c>
      <c r="T143" t="n">
        <v>20271231</v>
      </c>
      <c r="U143" t="n">
        <v>284.78</v>
      </c>
      <c r="V143" t="inlineStr">
        <is>
          <t>MXN</t>
        </is>
      </c>
      <c r="W143" t="inlineStr">
        <is>
          <t>TN</t>
        </is>
      </c>
      <c r="X143" t="n">
        <v>149.21</v>
      </c>
      <c r="Y143" t="inlineStr">
        <is>
          <t>MXN</t>
        </is>
      </c>
      <c r="Z143" t="inlineStr">
        <is>
          <t>TN</t>
        </is>
      </c>
      <c r="AA143" t="inlineStr">
        <is>
          <t>D214</t>
        </is>
      </c>
      <c r="AB143" t="inlineStr">
        <is>
          <t>PD0174 EL SALTO 2</t>
        </is>
      </c>
      <c r="AC143" t="n">
        <v>56103638</v>
      </c>
      <c r="AD143" t="n">
        <v>6644241540</v>
      </c>
      <c r="AE143" t="n">
        <v>4</v>
      </c>
      <c r="AF143" t="inlineStr">
        <is>
          <t>ENTREGA DIRECTA</t>
        </is>
      </c>
      <c r="AG143" t="n">
        <v>1</v>
      </c>
      <c r="AH143" t="inlineStr">
        <is>
          <t>TO</t>
        </is>
      </c>
      <c r="AI143" t="inlineStr">
        <is>
          <t>X</t>
        </is>
      </c>
      <c r="AJ143" t="n">
        <v>4</v>
      </c>
      <c r="AK143" t="inlineStr">
        <is>
          <t>V4</t>
        </is>
      </c>
      <c r="AL143" t="n">
        <v>20230920</v>
      </c>
      <c r="AM143" t="inlineStr">
        <is>
          <t>DW68-900004153-D214-10000384-4</t>
        </is>
      </c>
    </row>
    <row r="144">
      <c r="A144" t="inlineStr">
        <is>
          <t>900004153DW68D21410000191</t>
        </is>
      </c>
      <c r="B144" t="inlineStr">
        <is>
          <t>4600050430-240</t>
        </is>
      </c>
      <c r="C144" t="n">
        <v>4600050430</v>
      </c>
      <c r="D144" t="n">
        <v>240</v>
      </c>
      <c r="E144" t="inlineStr">
        <is>
          <t>MXPO</t>
        </is>
      </c>
      <c r="F144" t="inlineStr">
        <is>
          <t>MXL</t>
        </is>
      </c>
      <c r="G144" t="n">
        <v>900004153</v>
      </c>
      <c r="H144" t="inlineStr">
        <is>
          <t>TC-ED GRAVASE PONCITLAN</t>
        </is>
      </c>
      <c r="I144" t="n">
        <v>5009010</v>
      </c>
      <c r="J144" t="inlineStr">
        <is>
          <t>GRAVASE SA DE CV</t>
        </is>
      </c>
      <c r="K144" t="inlineStr">
        <is>
          <t>Z04</t>
        </is>
      </c>
      <c r="L144" t="inlineStr">
        <is>
          <t>(AP) 30 Dias</t>
        </is>
      </c>
      <c r="M144" t="n">
        <v>10000191</v>
      </c>
      <c r="N144" t="inlineStr">
        <is>
          <t>Grava Triturada Basalto 20 mm - 3/4"</t>
        </is>
      </c>
      <c r="O144" t="inlineStr">
        <is>
          <t>DW68</t>
        </is>
      </c>
      <c r="P144" t="inlineStr">
        <is>
          <t>MX-CED. GUADALAJARA</t>
        </is>
      </c>
      <c r="Q144" t="n">
        <v>20210801</v>
      </c>
      <c r="R144" t="n">
        <v>20291231</v>
      </c>
      <c r="S144" t="n">
        <v>20220201</v>
      </c>
      <c r="T144" t="n">
        <v>20271231</v>
      </c>
      <c r="U144" t="n">
        <v>287.32</v>
      </c>
      <c r="V144" t="inlineStr">
        <is>
          <t>MXN</t>
        </is>
      </c>
      <c r="W144" t="inlineStr">
        <is>
          <t>TN</t>
        </is>
      </c>
      <c r="X144" t="n">
        <v>170.81</v>
      </c>
      <c r="Y144" t="inlineStr">
        <is>
          <t>MXN</t>
        </is>
      </c>
      <c r="Z144" t="inlineStr">
        <is>
          <t>TN</t>
        </is>
      </c>
      <c r="AA144" t="inlineStr">
        <is>
          <t>D214</t>
        </is>
      </c>
      <c r="AB144" t="inlineStr">
        <is>
          <t>PD0174 EL SALTO 2</t>
        </is>
      </c>
      <c r="AC144" t="n">
        <v>56103637</v>
      </c>
      <c r="AD144" t="n">
        <v>6644241540</v>
      </c>
      <c r="AE144" t="n">
        <v>4</v>
      </c>
      <c r="AF144" t="inlineStr">
        <is>
          <t>ENTREGA DIRECTA</t>
        </is>
      </c>
      <c r="AG144" t="n">
        <v>1</v>
      </c>
      <c r="AH144" t="inlineStr">
        <is>
          <t>TO</t>
        </is>
      </c>
      <c r="AI144" t="inlineStr">
        <is>
          <t>X</t>
        </is>
      </c>
      <c r="AJ144" t="n">
        <v>4</v>
      </c>
      <c r="AK144" t="inlineStr">
        <is>
          <t>V4</t>
        </is>
      </c>
      <c r="AL144" t="n">
        <v>20230920</v>
      </c>
      <c r="AM144" t="inlineStr">
        <is>
          <t>DW68-900004153-D214-10000191-4</t>
        </is>
      </c>
    </row>
    <row r="145">
      <c r="A145" t="inlineStr">
        <is>
          <t>900000472DW68D04210112095</t>
        </is>
      </c>
      <c r="B145" t="inlineStr">
        <is>
          <t>4600050411-140</t>
        </is>
      </c>
      <c r="C145" t="n">
        <v>4600050411</v>
      </c>
      <c r="D145" t="n">
        <v>140</v>
      </c>
      <c r="E145" t="inlineStr">
        <is>
          <t>MXPO</t>
        </is>
      </c>
      <c r="F145" t="inlineStr">
        <is>
          <t>MXL</t>
        </is>
      </c>
      <c r="G145" t="n">
        <v>900000472</v>
      </c>
      <c r="H145" t="inlineStr">
        <is>
          <t>TC-ED-TRIMCAV</t>
        </is>
      </c>
      <c r="I145" t="n">
        <v>5010147</v>
      </c>
      <c r="J145" t="inlineStr">
        <is>
          <t>TRITURACIONES DE MARMOL Y CALCIOS</t>
        </is>
      </c>
      <c r="K145" t="inlineStr">
        <is>
          <t>Z04</t>
        </is>
      </c>
      <c r="L145" t="inlineStr">
        <is>
          <t>(AP) 30 Dias</t>
        </is>
      </c>
      <c r="M145" t="n">
        <v>10112095</v>
      </c>
      <c r="N145" t="inlineStr">
        <is>
          <t>ARENA BARITA</t>
        </is>
      </c>
      <c r="O145" t="inlineStr">
        <is>
          <t>DW68</t>
        </is>
      </c>
      <c r="P145" t="inlineStr">
        <is>
          <t>MX-CED. GUADALAJARA</t>
        </is>
      </c>
      <c r="Q145" t="n">
        <v>20210712</v>
      </c>
      <c r="R145" t="n">
        <v>20291231</v>
      </c>
      <c r="S145" t="n">
        <v>20250425</v>
      </c>
      <c r="T145" t="n">
        <v>20301231</v>
      </c>
      <c r="U145" t="n">
        <v>7700</v>
      </c>
      <c r="V145" t="inlineStr">
        <is>
          <t>MXN</t>
        </is>
      </c>
      <c r="W145" t="inlineStr">
        <is>
          <t>TN</t>
        </is>
      </c>
      <c r="X145" t="n">
        <v>1000</v>
      </c>
      <c r="Y145" t="inlineStr">
        <is>
          <t>MXN</t>
        </is>
      </c>
      <c r="Z145" t="inlineStr">
        <is>
          <t>TN</t>
        </is>
      </c>
      <c r="AA145" t="inlineStr">
        <is>
          <t>D042</t>
        </is>
      </c>
      <c r="AB145" t="inlineStr">
        <is>
          <t>PD0406 PLANTA PONIENTE</t>
        </is>
      </c>
      <c r="AC145" t="n">
        <v>56103638</v>
      </c>
      <c r="AD145" t="n">
        <v>6644241540</v>
      </c>
      <c r="AE145" t="n">
        <v>4</v>
      </c>
      <c r="AF145" t="inlineStr">
        <is>
          <t>ENTREGA DIRECTA</t>
        </is>
      </c>
      <c r="AG145" t="n">
        <v>1</v>
      </c>
      <c r="AH145" t="inlineStr">
        <is>
          <t>TO</t>
        </is>
      </c>
      <c r="AI145" t="inlineStr">
        <is>
          <t>X</t>
        </is>
      </c>
      <c r="AJ145" t="n">
        <v>4</v>
      </c>
      <c r="AK145" t="inlineStr">
        <is>
          <t>V4</t>
        </is>
      </c>
      <c r="AL145" t="n">
        <v>20250429</v>
      </c>
      <c r="AM145" t="inlineStr">
        <is>
          <t>DW68-900000472-D042-10112095-4</t>
        </is>
      </c>
    </row>
    <row r="146">
      <c r="A146" t="inlineStr">
        <is>
          <t>900000472DW68D04210004432</t>
        </is>
      </c>
      <c r="B146" t="inlineStr">
        <is>
          <t>4600050411-130</t>
        </is>
      </c>
      <c r="C146" t="n">
        <v>4600050411</v>
      </c>
      <c r="D146" t="n">
        <v>130</v>
      </c>
      <c r="E146" t="inlineStr">
        <is>
          <t>MXPO</t>
        </is>
      </c>
      <c r="F146" t="inlineStr">
        <is>
          <t>MXL</t>
        </is>
      </c>
      <c r="G146" t="n">
        <v>900000472</v>
      </c>
      <c r="H146" t="inlineStr">
        <is>
          <t>TC-ED-TRIMCAV</t>
        </is>
      </c>
      <c r="I146" t="n">
        <v>5010147</v>
      </c>
      <c r="J146" t="inlineStr">
        <is>
          <t>TRITURACIONES DE MARMOL Y CALCIOS</t>
        </is>
      </c>
      <c r="K146" t="inlineStr">
        <is>
          <t>Z04</t>
        </is>
      </c>
      <c r="L146" t="inlineStr">
        <is>
          <t>(AP) 30 Dias</t>
        </is>
      </c>
      <c r="M146" t="n">
        <v>10004432</v>
      </c>
      <c r="N146" t="inlineStr">
        <is>
          <t>Grava Triturada Barita 20 mm - 3/4"</t>
        </is>
      </c>
      <c r="O146" t="inlineStr">
        <is>
          <t>DW68</t>
        </is>
      </c>
      <c r="P146" t="inlineStr">
        <is>
          <t>MX-CED. GUADALAJARA</t>
        </is>
      </c>
      <c r="Q146" t="n">
        <v>20210712</v>
      </c>
      <c r="R146" t="n">
        <v>20291231</v>
      </c>
      <c r="S146" t="n">
        <v>20250425</v>
      </c>
      <c r="T146" t="n">
        <v>20301231</v>
      </c>
      <c r="U146" t="n">
        <v>7700</v>
      </c>
      <c r="V146" t="inlineStr">
        <is>
          <t>MXN</t>
        </is>
      </c>
      <c r="W146" t="inlineStr">
        <is>
          <t>TN</t>
        </is>
      </c>
      <c r="X146" t="n">
        <v>1000</v>
      </c>
      <c r="Y146" t="inlineStr">
        <is>
          <t>MXN</t>
        </is>
      </c>
      <c r="Z146" t="inlineStr">
        <is>
          <t>TN</t>
        </is>
      </c>
      <c r="AA146" t="inlineStr">
        <is>
          <t>D042</t>
        </is>
      </c>
      <c r="AB146" t="inlineStr">
        <is>
          <t>PD0406 PLANTA PONIENTE</t>
        </is>
      </c>
      <c r="AC146" t="n">
        <v>56103637</v>
      </c>
      <c r="AD146" t="n">
        <v>6644241867</v>
      </c>
      <c r="AE146" t="n">
        <v>4</v>
      </c>
      <c r="AF146" t="inlineStr">
        <is>
          <t>ENTREGA DIRECTA</t>
        </is>
      </c>
      <c r="AG146" t="n">
        <v>1</v>
      </c>
      <c r="AH146" t="inlineStr">
        <is>
          <t>TO</t>
        </is>
      </c>
      <c r="AI146" t="inlineStr">
        <is>
          <t>X</t>
        </is>
      </c>
      <c r="AJ146" t="n">
        <v>4</v>
      </c>
      <c r="AK146" t="inlineStr">
        <is>
          <t>V4</t>
        </is>
      </c>
      <c r="AL146" t="n">
        <v>20250429</v>
      </c>
      <c r="AM146" t="inlineStr">
        <is>
          <t>DW68-900000472-D042-10004432-4</t>
        </is>
      </c>
    </row>
    <row r="147">
      <c r="A147" t="inlineStr">
        <is>
          <t>900002733DW68D26710018375</t>
        </is>
      </c>
      <c r="B147" t="inlineStr">
        <is>
          <t>4600050422-50</t>
        </is>
      </c>
      <c r="C147" t="n">
        <v>4600050422</v>
      </c>
      <c r="D147" t="n">
        <v>50</v>
      </c>
      <c r="E147" t="inlineStr">
        <is>
          <t>MXPO</t>
        </is>
      </c>
      <c r="F147" t="inlineStr">
        <is>
          <t>MXL</t>
        </is>
      </c>
      <c r="G147" t="n">
        <v>900002733</v>
      </c>
      <c r="H147" t="inlineStr">
        <is>
          <t>TC-ED- BANDERAS</t>
        </is>
      </c>
      <c r="I147" t="n">
        <v>5046238</v>
      </c>
      <c r="J147" t="inlineStr">
        <is>
          <t>SOLUCIONES LOGISTICAS PARA LA</t>
        </is>
      </c>
      <c r="K147" t="inlineStr">
        <is>
          <t>N90</t>
        </is>
      </c>
      <c r="L147" t="inlineStr">
        <is>
          <t>(AP) NAFIN 90 Dias</t>
        </is>
      </c>
      <c r="M147" t="n">
        <v>10018375</v>
      </c>
      <c r="N147" t="inlineStr">
        <is>
          <t>Arena Triturada Basalto Malla 4 - BC</t>
        </is>
      </c>
      <c r="O147" t="inlineStr">
        <is>
          <t>DW68</t>
        </is>
      </c>
      <c r="P147" t="inlineStr">
        <is>
          <t>MX-CED. GUADALAJARA</t>
        </is>
      </c>
      <c r="Q147" t="n">
        <v>20210801</v>
      </c>
      <c r="R147" t="n">
        <v>20261231</v>
      </c>
      <c r="S147" t="n">
        <v>20210712</v>
      </c>
      <c r="T147" t="n">
        <v>20261231</v>
      </c>
      <c r="U147" t="n">
        <v>440</v>
      </c>
      <c r="V147" t="inlineStr">
        <is>
          <t>MXN</t>
        </is>
      </c>
      <c r="W147" t="inlineStr">
        <is>
          <t>M3</t>
        </is>
      </c>
      <c r="X147" t="n">
        <v>380</v>
      </c>
      <c r="Y147" t="inlineStr">
        <is>
          <t>MXN</t>
        </is>
      </c>
      <c r="Z147" t="inlineStr">
        <is>
          <t>M3</t>
        </is>
      </c>
      <c r="AA147" t="inlineStr">
        <is>
          <t>D267</t>
        </is>
      </c>
      <c r="AB147" t="inlineStr">
        <is>
          <t>PD0280 PLANTA COLOTLAN</t>
        </is>
      </c>
      <c r="AC147" t="n">
        <v>56103638</v>
      </c>
      <c r="AD147" t="n">
        <v>6644241540</v>
      </c>
      <c r="AE147" t="n">
        <v>4</v>
      </c>
      <c r="AF147" t="inlineStr">
        <is>
          <t>ENTREGA DIRECTA</t>
        </is>
      </c>
      <c r="AG147" t="n">
        <v>1.32</v>
      </c>
      <c r="AH147" t="inlineStr">
        <is>
          <t>M3</t>
        </is>
      </c>
      <c r="AI147" t="inlineStr">
        <is>
          <t>X</t>
        </is>
      </c>
      <c r="AJ147" t="n">
        <v>4</v>
      </c>
      <c r="AK147" t="inlineStr">
        <is>
          <t>V4</t>
        </is>
      </c>
      <c r="AL147" t="n">
        <v>20260108</v>
      </c>
      <c r="AM147" t="inlineStr">
        <is>
          <t>DW68-900002733-D267-10018375-4</t>
        </is>
      </c>
    </row>
    <row r="148">
      <c r="A148" t="inlineStr">
        <is>
          <t>900004885DW68D22810000191</t>
        </is>
      </c>
      <c r="B148" t="inlineStr">
        <is>
          <t>4600050439-60</t>
        </is>
      </c>
      <c r="C148" t="n">
        <v>4600050439</v>
      </c>
      <c r="D148" t="n">
        <v>60</v>
      </c>
      <c r="E148" t="inlineStr">
        <is>
          <t>MXPO</t>
        </is>
      </c>
      <c r="F148" t="inlineStr">
        <is>
          <t>MXL</t>
        </is>
      </c>
      <c r="G148" t="n">
        <v>900004885</v>
      </c>
      <c r="H148" t="inlineStr">
        <is>
          <t>TC-ED PICA PIEDRA</t>
        </is>
      </c>
      <c r="I148" t="n">
        <v>5064954</v>
      </c>
      <c r="J148" t="inlineStr">
        <is>
          <t>AGREGADOS Y CONCRETOS PICA PIEDRA</t>
        </is>
      </c>
      <c r="K148" t="inlineStr">
        <is>
          <t>N90</t>
        </is>
      </c>
      <c r="L148" t="inlineStr">
        <is>
          <t>(AP) NAFIN 90 Dias</t>
        </is>
      </c>
      <c r="M148" t="n">
        <v>10000191</v>
      </c>
      <c r="N148" t="inlineStr">
        <is>
          <t>Grava Triturada Basalto 20 mm - 3/4"</t>
        </is>
      </c>
      <c r="O148" t="inlineStr">
        <is>
          <t>DW68</t>
        </is>
      </c>
      <c r="P148" t="inlineStr">
        <is>
          <t>MX-CED. GUADALAJARA</t>
        </is>
      </c>
      <c r="Q148" t="n">
        <v>20210801</v>
      </c>
      <c r="R148" t="n">
        <v>20261231</v>
      </c>
      <c r="S148" t="n">
        <v>20210712</v>
      </c>
      <c r="T148" t="n">
        <v>20261231</v>
      </c>
      <c r="U148" t="n">
        <v>270.86</v>
      </c>
      <c r="V148" t="inlineStr">
        <is>
          <t>MXN</t>
        </is>
      </c>
      <c r="W148" t="inlineStr">
        <is>
          <t>M3</t>
        </is>
      </c>
      <c r="X148" t="n">
        <v>140.86</v>
      </c>
      <c r="Y148" t="inlineStr">
        <is>
          <t>MXN</t>
        </is>
      </c>
      <c r="Z148" t="inlineStr">
        <is>
          <t>M3</t>
        </is>
      </c>
      <c r="AA148" t="inlineStr">
        <is>
          <t>D228</t>
        </is>
      </c>
      <c r="AB148" t="inlineStr">
        <is>
          <t>PD0123 TLAJOMULCO</t>
        </is>
      </c>
      <c r="AC148" t="n">
        <v>56103637</v>
      </c>
      <c r="AD148" t="n">
        <v>6644241540</v>
      </c>
      <c r="AE148" t="n">
        <v>4</v>
      </c>
      <c r="AF148" t="inlineStr">
        <is>
          <t>ENTREGA DIRECTA</t>
        </is>
      </c>
      <c r="AG148" t="n">
        <v>1.41</v>
      </c>
      <c r="AH148" t="inlineStr">
        <is>
          <t>M3</t>
        </is>
      </c>
      <c r="AI148" t="inlineStr">
        <is>
          <t>X</t>
        </is>
      </c>
      <c r="AJ148" t="n">
        <v>4</v>
      </c>
      <c r="AK148" t="inlineStr">
        <is>
          <t>V4</t>
        </is>
      </c>
      <c r="AL148" t="n">
        <v>20260108</v>
      </c>
      <c r="AM148" t="inlineStr">
        <is>
          <t>DW68-900004885-D228-10000191-4</t>
        </is>
      </c>
    </row>
    <row r="149">
      <c r="A149" t="inlineStr">
        <is>
          <t>900004885DW68D21110000191</t>
        </is>
      </c>
      <c r="B149" t="inlineStr">
        <is>
          <t>4600050439-160</t>
        </is>
      </c>
      <c r="C149" t="n">
        <v>4600050439</v>
      </c>
      <c r="D149" t="n">
        <v>160</v>
      </c>
      <c r="E149" t="inlineStr">
        <is>
          <t>MXPO</t>
        </is>
      </c>
      <c r="F149" t="inlineStr">
        <is>
          <t>MXL</t>
        </is>
      </c>
      <c r="G149" t="n">
        <v>900004885</v>
      </c>
      <c r="H149" t="inlineStr">
        <is>
          <t>TC-ED PICA PIEDRA</t>
        </is>
      </c>
      <c r="I149" t="n">
        <v>5064954</v>
      </c>
      <c r="J149" t="inlineStr">
        <is>
          <t>AGREGADOS Y CONCRETOS PICA PIEDRA</t>
        </is>
      </c>
      <c r="K149" t="inlineStr">
        <is>
          <t>N90</t>
        </is>
      </c>
      <c r="L149" t="inlineStr">
        <is>
          <t>(AP) NAFIN 90 Dias</t>
        </is>
      </c>
      <c r="M149" t="n">
        <v>10000191</v>
      </c>
      <c r="N149" t="inlineStr">
        <is>
          <t>Grava Triturada Basalto 20 mm - 3/4"</t>
        </is>
      </c>
      <c r="O149" t="inlineStr">
        <is>
          <t>DW68</t>
        </is>
      </c>
      <c r="P149" t="inlineStr">
        <is>
          <t>MX-CED. GUADALAJARA</t>
        </is>
      </c>
      <c r="Q149" t="n">
        <v>20210801</v>
      </c>
      <c r="R149" t="n">
        <v>20261231</v>
      </c>
      <c r="S149" t="n">
        <v>20210712</v>
      </c>
      <c r="T149" t="n">
        <v>20261231</v>
      </c>
      <c r="U149" t="n">
        <v>217.46</v>
      </c>
      <c r="V149" t="inlineStr">
        <is>
          <t>MXN</t>
        </is>
      </c>
      <c r="W149" t="inlineStr">
        <is>
          <t>M3</t>
        </is>
      </c>
      <c r="X149" t="n">
        <v>87.45999999999999</v>
      </c>
      <c r="Y149" t="inlineStr">
        <is>
          <t>MXN</t>
        </is>
      </c>
      <c r="Z149" t="inlineStr">
        <is>
          <t>M3</t>
        </is>
      </c>
      <c r="AA149" t="inlineStr">
        <is>
          <t>D211</t>
        </is>
      </c>
      <c r="AB149" t="inlineStr">
        <is>
          <t>PD0149 GDL. MATRIZ</t>
        </is>
      </c>
      <c r="AC149" t="n">
        <v>56103637</v>
      </c>
      <c r="AD149" t="n">
        <v>6644241540</v>
      </c>
      <c r="AE149" t="n">
        <v>4</v>
      </c>
      <c r="AF149" t="inlineStr">
        <is>
          <t>ENTREGA DIRECTA</t>
        </is>
      </c>
      <c r="AG149" t="n">
        <v>1.41</v>
      </c>
      <c r="AH149" t="inlineStr">
        <is>
          <t>M3</t>
        </is>
      </c>
      <c r="AI149" t="inlineStr">
        <is>
          <t>X</t>
        </is>
      </c>
      <c r="AJ149" t="n">
        <v>4</v>
      </c>
      <c r="AK149" t="inlineStr">
        <is>
          <t>V4</t>
        </is>
      </c>
      <c r="AL149" t="n">
        <v>20260108</v>
      </c>
      <c r="AM149" t="inlineStr">
        <is>
          <t>DW68-900004885-D211-10000191-4</t>
        </is>
      </c>
    </row>
    <row r="150">
      <c r="A150" t="inlineStr">
        <is>
          <t>900004885DW68D20910000191</t>
        </is>
      </c>
      <c r="B150" t="inlineStr">
        <is>
          <t>4600050439-180</t>
        </is>
      </c>
      <c r="C150" t="n">
        <v>4600050439</v>
      </c>
      <c r="D150" t="n">
        <v>180</v>
      </c>
      <c r="E150" t="inlineStr">
        <is>
          <t>MXPO</t>
        </is>
      </c>
      <c r="F150" t="inlineStr">
        <is>
          <t>MXL</t>
        </is>
      </c>
      <c r="G150" t="n">
        <v>900004885</v>
      </c>
      <c r="H150" t="inlineStr">
        <is>
          <t>TC-ED PICA PIEDRA</t>
        </is>
      </c>
      <c r="I150" t="n">
        <v>5064954</v>
      </c>
      <c r="J150" t="inlineStr">
        <is>
          <t>AGREGADOS Y CONCRETOS PICA PIEDRA</t>
        </is>
      </c>
      <c r="K150" t="inlineStr">
        <is>
          <t>N90</t>
        </is>
      </c>
      <c r="L150" t="inlineStr">
        <is>
          <t>(AP) NAFIN 90 Dias</t>
        </is>
      </c>
      <c r="M150" t="n">
        <v>10000191</v>
      </c>
      <c r="N150" t="inlineStr">
        <is>
          <t>Grava Triturada Basalto 20 mm - 3/4"</t>
        </is>
      </c>
      <c r="O150" t="inlineStr">
        <is>
          <t>DW68</t>
        </is>
      </c>
      <c r="P150" t="inlineStr">
        <is>
          <t>MX-CED. GUADALAJARA</t>
        </is>
      </c>
      <c r="Q150" t="n">
        <v>20210801</v>
      </c>
      <c r="R150" t="n">
        <v>20261231</v>
      </c>
      <c r="S150" t="n">
        <v>20210712</v>
      </c>
      <c r="T150" t="n">
        <v>20261231</v>
      </c>
      <c r="U150" t="n">
        <v>200.12</v>
      </c>
      <c r="V150" t="inlineStr">
        <is>
          <t>MXN</t>
        </is>
      </c>
      <c r="W150" t="inlineStr">
        <is>
          <t>M3</t>
        </is>
      </c>
      <c r="X150" t="n">
        <v>70.12</v>
      </c>
      <c r="Y150" t="inlineStr">
        <is>
          <t>MXN</t>
        </is>
      </c>
      <c r="Z150" t="inlineStr">
        <is>
          <t>M3</t>
        </is>
      </c>
      <c r="AA150" t="inlineStr">
        <is>
          <t>D209</t>
        </is>
      </c>
      <c r="AB150" t="inlineStr">
        <is>
          <t>PD0127 MANANTIAL</t>
        </is>
      </c>
      <c r="AC150" t="n">
        <v>56103637</v>
      </c>
      <c r="AD150" t="n">
        <v>6644241540</v>
      </c>
      <c r="AE150" t="n">
        <v>4</v>
      </c>
      <c r="AF150" t="inlineStr">
        <is>
          <t>ENTREGA DIRECTA</t>
        </is>
      </c>
      <c r="AG150" t="n">
        <v>1.41</v>
      </c>
      <c r="AH150" t="inlineStr">
        <is>
          <t>M3</t>
        </is>
      </c>
      <c r="AI150" t="inlineStr">
        <is>
          <t>X</t>
        </is>
      </c>
      <c r="AJ150" t="n">
        <v>4</v>
      </c>
      <c r="AK150" t="inlineStr">
        <is>
          <t>V4</t>
        </is>
      </c>
      <c r="AL150" t="n">
        <v>20260108</v>
      </c>
      <c r="AM150" t="inlineStr">
        <is>
          <t>DW68-900004885-D209-10000191-4</t>
        </is>
      </c>
    </row>
    <row r="151">
      <c r="A151" t="inlineStr">
        <is>
          <t>900005508DW68D21110000388</t>
        </is>
      </c>
      <c r="B151" t="inlineStr">
        <is>
          <t>4600050448-30</t>
        </is>
      </c>
      <c r="C151" t="n">
        <v>4600050448</v>
      </c>
      <c r="D151" t="n">
        <v>30</v>
      </c>
      <c r="E151" t="inlineStr">
        <is>
          <t>MXPO</t>
        </is>
      </c>
      <c r="F151" t="inlineStr">
        <is>
          <t>MXL</t>
        </is>
      </c>
      <c r="G151" t="n">
        <v>900005508</v>
      </c>
      <c r="H151" t="inlineStr">
        <is>
          <t>TC-ED JUAN DAVALOS</t>
        </is>
      </c>
      <c r="I151" t="n">
        <v>5014444</v>
      </c>
      <c r="J151" t="inlineStr">
        <is>
          <t>DAVALOS GUTIERREZ JUAN JOSE</t>
        </is>
      </c>
      <c r="K151" t="inlineStr">
        <is>
          <t>N90</t>
        </is>
      </c>
      <c r="L151" t="inlineStr">
        <is>
          <t>(AP) NAFIN 90 Dias</t>
        </is>
      </c>
      <c r="M151" t="n">
        <v>10000388</v>
      </c>
      <c r="N151" t="inlineStr">
        <is>
          <t>Grava Triturada Basalto  40 mm - 1 1/2"</t>
        </is>
      </c>
      <c r="O151" t="inlineStr">
        <is>
          <t>DW68</t>
        </is>
      </c>
      <c r="P151" t="inlineStr">
        <is>
          <t>MX-CED. GUADALAJARA</t>
        </is>
      </c>
      <c r="Q151" t="n">
        <v>20210801</v>
      </c>
      <c r="R151" t="n">
        <v>20261231</v>
      </c>
      <c r="S151" t="n">
        <v>20220701</v>
      </c>
      <c r="T151" t="n">
        <v>20271231</v>
      </c>
      <c r="U151" t="n">
        <v>245.56</v>
      </c>
      <c r="V151" t="inlineStr">
        <is>
          <t>MXN</t>
        </is>
      </c>
      <c r="W151" t="inlineStr">
        <is>
          <t>M3</t>
        </is>
      </c>
      <c r="X151" t="n">
        <v>120.56</v>
      </c>
      <c r="Y151" t="inlineStr">
        <is>
          <t>MXN</t>
        </is>
      </c>
      <c r="Z151" t="inlineStr">
        <is>
          <t>M3</t>
        </is>
      </c>
      <c r="AA151" t="inlineStr">
        <is>
          <t>D211</t>
        </is>
      </c>
      <c r="AB151" t="inlineStr">
        <is>
          <t>PD0149 GDL. MATRIZ</t>
        </is>
      </c>
      <c r="AC151" t="n">
        <v>56103637</v>
      </c>
      <c r="AD151" t="n">
        <v>6644241540</v>
      </c>
      <c r="AE151" t="n">
        <v>4</v>
      </c>
      <c r="AF151" t="inlineStr">
        <is>
          <t>ENTREGA DIRECTA</t>
        </is>
      </c>
      <c r="AG151" t="n">
        <v>1.395</v>
      </c>
      <c r="AH151" t="inlineStr">
        <is>
          <t>M3</t>
        </is>
      </c>
      <c r="AI151" t="inlineStr">
        <is>
          <t>X</t>
        </is>
      </c>
      <c r="AJ151" t="n">
        <v>4</v>
      </c>
      <c r="AK151" t="inlineStr">
        <is>
          <t>V4</t>
        </is>
      </c>
      <c r="AL151" t="n">
        <v>20230920</v>
      </c>
      <c r="AM151" t="inlineStr">
        <is>
          <t>DW68-900005508-D211-10000388-4</t>
        </is>
      </c>
    </row>
    <row r="152">
      <c r="A152" t="inlineStr">
        <is>
          <t>900005508DW68D26710000191</t>
        </is>
      </c>
      <c r="B152" t="inlineStr">
        <is>
          <t>4600050448-150</t>
        </is>
      </c>
      <c r="C152" t="n">
        <v>4600050448</v>
      </c>
      <c r="D152" t="n">
        <v>150</v>
      </c>
      <c r="E152" t="inlineStr">
        <is>
          <t>MXPO</t>
        </is>
      </c>
      <c r="F152" t="inlineStr">
        <is>
          <t>MXL</t>
        </is>
      </c>
      <c r="G152" t="n">
        <v>900005508</v>
      </c>
      <c r="H152" t="inlineStr">
        <is>
          <t>TC-ED JUAN DAVALOS</t>
        </is>
      </c>
      <c r="I152" t="n">
        <v>5014444</v>
      </c>
      <c r="J152" t="inlineStr">
        <is>
          <t>DAVALOS GUTIERREZ JUAN JOSE</t>
        </is>
      </c>
      <c r="K152" t="inlineStr">
        <is>
          <t>N90</t>
        </is>
      </c>
      <c r="L152" t="inlineStr">
        <is>
          <t>(AP) NAFIN 90 Dias</t>
        </is>
      </c>
      <c r="M152" t="n">
        <v>10000191</v>
      </c>
      <c r="N152" t="inlineStr">
        <is>
          <t>Grava Triturada Basalto 20 mm - 3/4"</t>
        </is>
      </c>
      <c r="O152" t="inlineStr">
        <is>
          <t>DW68</t>
        </is>
      </c>
      <c r="P152" t="inlineStr">
        <is>
          <t>MX-CED. GUADALAJARA</t>
        </is>
      </c>
      <c r="Q152" t="n">
        <v>20210801</v>
      </c>
      <c r="R152" t="n">
        <v>20261231</v>
      </c>
      <c r="S152" t="n">
        <v>20210712</v>
      </c>
      <c r="T152" t="n">
        <v>20261231</v>
      </c>
      <c r="U152" t="n">
        <v>258</v>
      </c>
      <c r="V152" t="inlineStr">
        <is>
          <t>MXN</t>
        </is>
      </c>
      <c r="W152" t="inlineStr">
        <is>
          <t>M3</t>
        </is>
      </c>
      <c r="X152" t="n">
        <v>148</v>
      </c>
      <c r="Y152" t="inlineStr">
        <is>
          <t>MXN</t>
        </is>
      </c>
      <c r="Z152" t="inlineStr">
        <is>
          <t>M3</t>
        </is>
      </c>
      <c r="AA152" t="inlineStr">
        <is>
          <t>D267</t>
        </is>
      </c>
      <c r="AB152" t="inlineStr">
        <is>
          <t>PD0280 PLANTA COLOTLAN</t>
        </is>
      </c>
      <c r="AC152" t="n">
        <v>56103637</v>
      </c>
      <c r="AD152" t="n">
        <v>6644241540</v>
      </c>
      <c r="AE152" t="n">
        <v>4</v>
      </c>
      <c r="AF152" t="inlineStr">
        <is>
          <t>ENTREGA DIRECTA</t>
        </is>
      </c>
      <c r="AG152" t="n">
        <v>1.41</v>
      </c>
      <c r="AH152" t="inlineStr">
        <is>
          <t>M3</t>
        </is>
      </c>
      <c r="AI152" t="inlineStr">
        <is>
          <t>X</t>
        </is>
      </c>
      <c r="AJ152" t="n">
        <v>4</v>
      </c>
      <c r="AK152" t="inlineStr">
        <is>
          <t>V4</t>
        </is>
      </c>
      <c r="AL152" t="n">
        <v>20260108</v>
      </c>
      <c r="AM152" t="inlineStr">
        <is>
          <t>DW68-900005508-D267-10000191-4</t>
        </is>
      </c>
    </row>
    <row r="153">
      <c r="A153" t="inlineStr">
        <is>
          <t>900008250DW68D24210004258</t>
        </is>
      </c>
      <c r="B153" t="inlineStr">
        <is>
          <t>4600058169-40</t>
        </is>
      </c>
      <c r="C153" t="n">
        <v>4600058169</v>
      </c>
      <c r="D153" t="n">
        <v>40</v>
      </c>
      <c r="E153" t="inlineStr">
        <is>
          <t>MXPO</t>
        </is>
      </c>
      <c r="F153" t="inlineStr">
        <is>
          <t>MXL</t>
        </is>
      </c>
      <c r="G153" t="n">
        <v>900008250</v>
      </c>
      <c r="H153" t="inlineStr">
        <is>
          <t>SF TC-ED-MAREVA GA TONALA</t>
        </is>
      </c>
      <c r="I153" t="n">
        <v>5043944</v>
      </c>
      <c r="J153" t="inlineStr">
        <is>
          <t>CONSTRUCCIONES MAREVA DE OCCIDENTE</t>
        </is>
      </c>
      <c r="K153" t="inlineStr">
        <is>
          <t>Z04</t>
        </is>
      </c>
      <c r="L153" t="inlineStr">
        <is>
          <t>(AP) 30 Dias</t>
        </is>
      </c>
      <c r="M153" t="n">
        <v>10004258</v>
      </c>
      <c r="N153" t="inlineStr">
        <is>
          <t>Sello Triturado Basalto 10 mm - 3/8"</t>
        </is>
      </c>
      <c r="O153" t="inlineStr">
        <is>
          <t>DW68</t>
        </is>
      </c>
      <c r="P153" t="inlineStr">
        <is>
          <t>MX-CED. GUADALAJARA</t>
        </is>
      </c>
      <c r="Q153" t="n">
        <v>20230704</v>
      </c>
      <c r="R153" t="n">
        <v>20281231</v>
      </c>
      <c r="S153" t="n">
        <v>20230704</v>
      </c>
      <c r="T153" t="n">
        <v>20281231</v>
      </c>
      <c r="U153" t="n">
        <v>738.2</v>
      </c>
      <c r="V153" t="inlineStr">
        <is>
          <t>MXN</t>
        </is>
      </c>
      <c r="W153" t="inlineStr">
        <is>
          <t>M3</t>
        </is>
      </c>
      <c r="X153" t="n">
        <v>123.2</v>
      </c>
      <c r="Y153" t="inlineStr">
        <is>
          <t>MXN</t>
        </is>
      </c>
      <c r="Z153" t="inlineStr">
        <is>
          <t>M3</t>
        </is>
      </c>
      <c r="AA153" t="inlineStr">
        <is>
          <t>D242</t>
        </is>
      </c>
      <c r="AB153" t="inlineStr">
        <is>
          <t>PD0454 CD. LA GRANJA II</t>
        </is>
      </c>
      <c r="AC153" t="n">
        <v>56103637</v>
      </c>
      <c r="AD153" t="n">
        <v>6644241540</v>
      </c>
      <c r="AE153" t="n">
        <v>4</v>
      </c>
      <c r="AF153" t="inlineStr">
        <is>
          <t>ENTREGA DIRECTA</t>
        </is>
      </c>
      <c r="AG153" t="n">
        <v>1.53</v>
      </c>
      <c r="AH153" t="inlineStr">
        <is>
          <t>M3</t>
        </is>
      </c>
      <c r="AI153" t="inlineStr">
        <is>
          <t>X</t>
        </is>
      </c>
      <c r="AJ153" t="n">
        <v>4</v>
      </c>
      <c r="AK153" t="inlineStr">
        <is>
          <t>V4</t>
        </is>
      </c>
      <c r="AL153" t="n">
        <v>20230920</v>
      </c>
      <c r="AM153" t="inlineStr">
        <is>
          <t>DW68-900008250-D242-10004258-4</t>
        </is>
      </c>
    </row>
    <row r="154">
      <c r="A154" t="inlineStr">
        <is>
          <t>900008250DW68D21110148454</t>
        </is>
      </c>
      <c r="B154" t="inlineStr">
        <is>
          <t>4600058169-360</t>
        </is>
      </c>
      <c r="C154" t="n">
        <v>4600058169</v>
      </c>
      <c r="D154" t="n">
        <v>360</v>
      </c>
      <c r="E154" t="inlineStr">
        <is>
          <t>MXPO</t>
        </is>
      </c>
      <c r="F154" t="inlineStr">
        <is>
          <t>MXL</t>
        </is>
      </c>
      <c r="G154" t="n">
        <v>900008250</v>
      </c>
      <c r="H154" t="inlineStr">
        <is>
          <t>SF TC-ED-MAREVA GA TONALA</t>
        </is>
      </c>
      <c r="I154" t="n">
        <v>5043944</v>
      </c>
      <c r="J154" t="inlineStr">
        <is>
          <t>CONSTRUCCIONES MAREVA DE OCCIDENTE</t>
        </is>
      </c>
      <c r="K154" t="inlineStr">
        <is>
          <t>Z04</t>
        </is>
      </c>
      <c r="L154" t="inlineStr">
        <is>
          <t>(AP) 30 Dias</t>
        </is>
      </c>
      <c r="M154" t="n">
        <v>10148454</v>
      </c>
      <c r="N154" t="inlineStr">
        <is>
          <t>GRAVA TRITURADA BASALTO 40 MM - 1 1/2" A</t>
        </is>
      </c>
      <c r="O154" t="inlineStr">
        <is>
          <t>DW68</t>
        </is>
      </c>
      <c r="P154" t="inlineStr">
        <is>
          <t>MX-CED. GUADALAJARA</t>
        </is>
      </c>
      <c r="Q154" t="n">
        <v>20230704</v>
      </c>
      <c r="R154" t="n">
        <v>20281231</v>
      </c>
      <c r="S154" t="n">
        <v>20230704</v>
      </c>
      <c r="T154" t="n">
        <v>20281231</v>
      </c>
      <c r="U154" t="n">
        <v>398</v>
      </c>
      <c r="V154" t="inlineStr">
        <is>
          <t>MXN</t>
        </is>
      </c>
      <c r="W154" t="inlineStr">
        <is>
          <t>M3</t>
        </is>
      </c>
      <c r="X154" t="n">
        <v>98</v>
      </c>
      <c r="Y154" t="inlineStr">
        <is>
          <t>MXN</t>
        </is>
      </c>
      <c r="Z154" t="inlineStr">
        <is>
          <t>M3</t>
        </is>
      </c>
      <c r="AA154" t="inlineStr">
        <is>
          <t>D211</t>
        </is>
      </c>
      <c r="AB154" t="inlineStr">
        <is>
          <t>PD0149 GDL. MATRIZ</t>
        </is>
      </c>
      <c r="AC154" t="n">
        <v>56103637</v>
      </c>
      <c r="AD154" t="n">
        <v>6644241540</v>
      </c>
      <c r="AE154" t="n">
        <v>4</v>
      </c>
      <c r="AF154" t="inlineStr">
        <is>
          <t>ENTREGA DIRECTA</t>
        </is>
      </c>
      <c r="AG154" t="n">
        <v>1</v>
      </c>
      <c r="AH154" t="inlineStr">
        <is>
          <t>TO</t>
        </is>
      </c>
      <c r="AI154" t="inlineStr">
        <is>
          <t>X</t>
        </is>
      </c>
      <c r="AJ154" t="n">
        <v>4</v>
      </c>
      <c r="AK154" t="inlineStr">
        <is>
          <t>V4</t>
        </is>
      </c>
      <c r="AL154" t="n">
        <v>20230920</v>
      </c>
      <c r="AM154" t="inlineStr">
        <is>
          <t>DW68-900008250-D211-10148454-4</t>
        </is>
      </c>
    </row>
    <row r="155">
      <c r="A155" t="inlineStr">
        <is>
          <t>900002733DW68D21410018375</t>
        </is>
      </c>
      <c r="B155" t="inlineStr">
        <is>
          <t>4600050422-60</t>
        </is>
      </c>
      <c r="C155" t="n">
        <v>4600050422</v>
      </c>
      <c r="D155" t="n">
        <v>60</v>
      </c>
      <c r="E155" t="inlineStr">
        <is>
          <t>MXPO</t>
        </is>
      </c>
      <c r="F155" t="inlineStr">
        <is>
          <t>MXL</t>
        </is>
      </c>
      <c r="G155" t="n">
        <v>900002733</v>
      </c>
      <c r="H155" t="inlineStr">
        <is>
          <t>TC-ED- BANDERAS</t>
        </is>
      </c>
      <c r="I155" t="n">
        <v>5046238</v>
      </c>
      <c r="J155" t="inlineStr">
        <is>
          <t>SOLUCIONES LOGISTICAS PARA LA</t>
        </is>
      </c>
      <c r="K155" t="inlineStr">
        <is>
          <t>N90</t>
        </is>
      </c>
      <c r="L155" t="inlineStr">
        <is>
          <t>(AP) NAFIN 90 Dias</t>
        </is>
      </c>
      <c r="M155" t="n">
        <v>10018375</v>
      </c>
      <c r="N155" t="inlineStr">
        <is>
          <t>Arena Triturada Basalto Malla 4 - BC</t>
        </is>
      </c>
      <c r="O155" t="inlineStr">
        <is>
          <t>DW68</t>
        </is>
      </c>
      <c r="P155" t="inlineStr">
        <is>
          <t>MX-CED. GUADALAJARA</t>
        </is>
      </c>
      <c r="Q155" t="n">
        <v>20210801</v>
      </c>
      <c r="R155" t="n">
        <v>20261231</v>
      </c>
      <c r="S155" t="n">
        <v>20210712</v>
      </c>
      <c r="T155" t="n">
        <v>20261231</v>
      </c>
      <c r="U155" t="n">
        <v>425</v>
      </c>
      <c r="V155" t="inlineStr">
        <is>
          <t>MXN</t>
        </is>
      </c>
      <c r="W155" t="inlineStr">
        <is>
          <t>M3</t>
        </is>
      </c>
      <c r="X155" t="n">
        <v>365</v>
      </c>
      <c r="Y155" t="inlineStr">
        <is>
          <t>MXN</t>
        </is>
      </c>
      <c r="Z155" t="inlineStr">
        <is>
          <t>M3</t>
        </is>
      </c>
      <c r="AA155" t="inlineStr">
        <is>
          <t>D214</t>
        </is>
      </c>
      <c r="AB155" t="inlineStr">
        <is>
          <t>PD0174 EL SALTO 2</t>
        </is>
      </c>
      <c r="AC155" t="n">
        <v>56103638</v>
      </c>
      <c r="AD155" t="n">
        <v>6644241540</v>
      </c>
      <c r="AE155" t="n">
        <v>4</v>
      </c>
      <c r="AF155" t="inlineStr">
        <is>
          <t>ENTREGA DIRECTA</t>
        </is>
      </c>
      <c r="AG155" t="n">
        <v>1.32</v>
      </c>
      <c r="AH155" t="inlineStr">
        <is>
          <t>M3</t>
        </is>
      </c>
      <c r="AI155" t="inlineStr">
        <is>
          <t>X</t>
        </is>
      </c>
      <c r="AJ155" t="n">
        <v>4</v>
      </c>
      <c r="AK155" t="inlineStr">
        <is>
          <t>V4</t>
        </is>
      </c>
      <c r="AL155" t="n">
        <v>20260108</v>
      </c>
      <c r="AM155" t="inlineStr">
        <is>
          <t>DW68-900002733-D214-10018375-4</t>
        </is>
      </c>
    </row>
    <row r="156">
      <c r="A156" t="inlineStr">
        <is>
          <t>900002733DW68D20910018375</t>
        </is>
      </c>
      <c r="B156" t="inlineStr">
        <is>
          <t>4600050422-80</t>
        </is>
      </c>
      <c r="C156" t="n">
        <v>4600050422</v>
      </c>
      <c r="D156" t="n">
        <v>80</v>
      </c>
      <c r="E156" t="inlineStr">
        <is>
          <t>MXPO</t>
        </is>
      </c>
      <c r="F156" t="inlineStr">
        <is>
          <t>MXL</t>
        </is>
      </c>
      <c r="G156" t="n">
        <v>900002733</v>
      </c>
      <c r="H156" t="inlineStr">
        <is>
          <t>TC-ED- BANDERAS</t>
        </is>
      </c>
      <c r="I156" t="n">
        <v>5046238</v>
      </c>
      <c r="J156" t="inlineStr">
        <is>
          <t>SOLUCIONES LOGISTICAS PARA LA</t>
        </is>
      </c>
      <c r="K156" t="inlineStr">
        <is>
          <t>N90</t>
        </is>
      </c>
      <c r="L156" t="inlineStr">
        <is>
          <t>(AP) NAFIN 90 Dias</t>
        </is>
      </c>
      <c r="M156" t="n">
        <v>10018375</v>
      </c>
      <c r="N156" t="inlineStr">
        <is>
          <t>Arena Triturada Basalto Malla 4 - BC</t>
        </is>
      </c>
      <c r="O156" t="inlineStr">
        <is>
          <t>DW68</t>
        </is>
      </c>
      <c r="P156" t="inlineStr">
        <is>
          <t>MX-CED. GUADALAJARA</t>
        </is>
      </c>
      <c r="Q156" t="n">
        <v>20210801</v>
      </c>
      <c r="R156" t="n">
        <v>20261231</v>
      </c>
      <c r="S156" t="n">
        <v>20210712</v>
      </c>
      <c r="T156" t="n">
        <v>20261231</v>
      </c>
      <c r="U156" t="n">
        <v>440</v>
      </c>
      <c r="V156" t="inlineStr">
        <is>
          <t>MXN</t>
        </is>
      </c>
      <c r="W156" t="inlineStr">
        <is>
          <t>M3</t>
        </is>
      </c>
      <c r="X156" t="n">
        <v>380</v>
      </c>
      <c r="Y156" t="inlineStr">
        <is>
          <t>MXN</t>
        </is>
      </c>
      <c r="Z156" t="inlineStr">
        <is>
          <t>M3</t>
        </is>
      </c>
      <c r="AA156" t="inlineStr">
        <is>
          <t>D209</t>
        </is>
      </c>
      <c r="AB156" t="inlineStr">
        <is>
          <t>PD0127 MANANTIAL</t>
        </is>
      </c>
      <c r="AC156" t="n">
        <v>56103638</v>
      </c>
      <c r="AD156" t="n">
        <v>6644241540</v>
      </c>
      <c r="AE156" t="n">
        <v>4</v>
      </c>
      <c r="AF156" t="inlineStr">
        <is>
          <t>ENTREGA DIRECTA</t>
        </is>
      </c>
      <c r="AG156" t="n">
        <v>1.32</v>
      </c>
      <c r="AH156" t="inlineStr">
        <is>
          <t>M3</t>
        </is>
      </c>
      <c r="AI156" t="inlineStr">
        <is>
          <t>X</t>
        </is>
      </c>
      <c r="AJ156" t="n">
        <v>4</v>
      </c>
      <c r="AK156" t="inlineStr">
        <is>
          <t>V4</t>
        </is>
      </c>
      <c r="AL156" t="n">
        <v>20260108</v>
      </c>
      <c r="AM156" t="inlineStr">
        <is>
          <t>DW68-900002733-D209-10018375-4</t>
        </is>
      </c>
    </row>
    <row r="157">
      <c r="A157" t="inlineStr">
        <is>
          <t>900004885DW68D26410000388</t>
        </is>
      </c>
      <c r="B157" t="inlineStr">
        <is>
          <t>4600050439-190</t>
        </is>
      </c>
      <c r="C157" t="n">
        <v>4600050439</v>
      </c>
      <c r="D157" t="n">
        <v>190</v>
      </c>
      <c r="E157" t="inlineStr">
        <is>
          <t>MXPO</t>
        </is>
      </c>
      <c r="F157" t="inlineStr">
        <is>
          <t>MXL</t>
        </is>
      </c>
      <c r="G157" t="n">
        <v>900004885</v>
      </c>
      <c r="H157" t="inlineStr">
        <is>
          <t>TC-ED PICA PIEDRA</t>
        </is>
      </c>
      <c r="I157" t="n">
        <v>5064954</v>
      </c>
      <c r="J157" t="inlineStr">
        <is>
          <t>AGREGADOS Y CONCRETOS PICA PIEDRA</t>
        </is>
      </c>
      <c r="K157" t="inlineStr">
        <is>
          <t>N90</t>
        </is>
      </c>
      <c r="L157" t="inlineStr">
        <is>
          <t>(AP) NAFIN 90 Dias</t>
        </is>
      </c>
      <c r="M157" t="n">
        <v>10000388</v>
      </c>
      <c r="N157" t="inlineStr">
        <is>
          <t>Grava Triturada Basalto  40 mm - 1 1/2"</t>
        </is>
      </c>
      <c r="O157" t="inlineStr">
        <is>
          <t>DW68</t>
        </is>
      </c>
      <c r="P157" t="inlineStr">
        <is>
          <t>MX-CED. GUADALAJARA</t>
        </is>
      </c>
      <c r="Q157" t="n">
        <v>20210801</v>
      </c>
      <c r="R157" t="n">
        <v>20261231</v>
      </c>
      <c r="S157" t="n">
        <v>20210712</v>
      </c>
      <c r="T157" t="n">
        <v>20261231</v>
      </c>
      <c r="U157" t="n">
        <v>212.03</v>
      </c>
      <c r="V157" t="inlineStr">
        <is>
          <t>MXN</t>
        </is>
      </c>
      <c r="W157" t="inlineStr">
        <is>
          <t>M3</t>
        </is>
      </c>
      <c r="X157" t="n">
        <v>82.03</v>
      </c>
      <c r="Y157" t="inlineStr">
        <is>
          <t>MXN</t>
        </is>
      </c>
      <c r="Z157" t="inlineStr">
        <is>
          <t>M3</t>
        </is>
      </c>
      <c r="AA157" t="inlineStr">
        <is>
          <t>D264</t>
        </is>
      </c>
      <c r="AB157" t="inlineStr">
        <is>
          <t>PD0083 GUADALAJARA I III</t>
        </is>
      </c>
      <c r="AC157" t="n">
        <v>56103637</v>
      </c>
      <c r="AD157" t="n">
        <v>6644241540</v>
      </c>
      <c r="AE157" t="n">
        <v>4</v>
      </c>
      <c r="AF157" t="inlineStr">
        <is>
          <t>ENTREGA DIRECTA</t>
        </is>
      </c>
      <c r="AG157" t="n">
        <v>1.395</v>
      </c>
      <c r="AH157" t="inlineStr">
        <is>
          <t>M3</t>
        </is>
      </c>
      <c r="AI157" t="inlineStr">
        <is>
          <t>X</t>
        </is>
      </c>
      <c r="AJ157" t="n">
        <v>4</v>
      </c>
      <c r="AK157" t="inlineStr">
        <is>
          <t>V4</t>
        </is>
      </c>
      <c r="AL157" t="n">
        <v>20260108</v>
      </c>
      <c r="AM157" t="inlineStr">
        <is>
          <t>DW68-900004885-D264-10000388-4</t>
        </is>
      </c>
    </row>
    <row r="158">
      <c r="A158" t="inlineStr">
        <is>
          <t>900005508DW68D21410000191</t>
        </is>
      </c>
      <c r="B158" t="inlineStr">
        <is>
          <t>4600050448-50</t>
        </is>
      </c>
      <c r="C158" t="n">
        <v>4600050448</v>
      </c>
      <c r="D158" t="n">
        <v>50</v>
      </c>
      <c r="E158" t="inlineStr">
        <is>
          <t>MXPO</t>
        </is>
      </c>
      <c r="F158" t="inlineStr">
        <is>
          <t>MXL</t>
        </is>
      </c>
      <c r="G158" t="n">
        <v>900005508</v>
      </c>
      <c r="H158" t="inlineStr">
        <is>
          <t>TC-ED JUAN DAVALOS</t>
        </is>
      </c>
      <c r="I158" t="n">
        <v>5014444</v>
      </c>
      <c r="J158" t="inlineStr">
        <is>
          <t>DAVALOS GUTIERREZ JUAN JOSE</t>
        </is>
      </c>
      <c r="K158" t="inlineStr">
        <is>
          <t>N90</t>
        </is>
      </c>
      <c r="L158" t="inlineStr">
        <is>
          <t>(AP) NAFIN 90 Dias</t>
        </is>
      </c>
      <c r="M158" t="n">
        <v>10000191</v>
      </c>
      <c r="N158" t="inlineStr">
        <is>
          <t>Grava Triturada Basalto 20 mm - 3/4"</t>
        </is>
      </c>
      <c r="O158" t="inlineStr">
        <is>
          <t>DW68</t>
        </is>
      </c>
      <c r="P158" t="inlineStr">
        <is>
          <t>MX-CED. GUADALAJARA</t>
        </is>
      </c>
      <c r="Q158" t="n">
        <v>20210801</v>
      </c>
      <c r="R158" t="n">
        <v>20261231</v>
      </c>
      <c r="S158" t="n">
        <v>20210712</v>
      </c>
      <c r="T158" t="n">
        <v>20261231</v>
      </c>
      <c r="U158" t="n">
        <v>222.56</v>
      </c>
      <c r="V158" t="inlineStr">
        <is>
          <t>MXN</t>
        </is>
      </c>
      <c r="W158" t="inlineStr">
        <is>
          <t>M3</t>
        </is>
      </c>
      <c r="X158" t="n">
        <v>112.56</v>
      </c>
      <c r="Y158" t="inlineStr">
        <is>
          <t>MXN</t>
        </is>
      </c>
      <c r="Z158" t="inlineStr">
        <is>
          <t>M3</t>
        </is>
      </c>
      <c r="AA158" t="inlineStr">
        <is>
          <t>D214</t>
        </is>
      </c>
      <c r="AB158" t="inlineStr">
        <is>
          <t>PD0174 EL SALTO 2</t>
        </is>
      </c>
      <c r="AC158" t="n">
        <v>56103637</v>
      </c>
      <c r="AD158" t="n">
        <v>6644241540</v>
      </c>
      <c r="AE158" t="n">
        <v>4</v>
      </c>
      <c r="AF158" t="inlineStr">
        <is>
          <t>ENTREGA DIRECTA</t>
        </is>
      </c>
      <c r="AG158" t="n">
        <v>1.41</v>
      </c>
      <c r="AH158" t="inlineStr">
        <is>
          <t>M3</t>
        </is>
      </c>
      <c r="AI158" t="inlineStr">
        <is>
          <t>X</t>
        </is>
      </c>
      <c r="AJ158" t="n">
        <v>4</v>
      </c>
      <c r="AK158" t="inlineStr">
        <is>
          <t>V4</t>
        </is>
      </c>
      <c r="AL158" t="n">
        <v>20260108</v>
      </c>
      <c r="AM158" t="inlineStr">
        <is>
          <t>DW68-900005508-D214-10000191-4</t>
        </is>
      </c>
    </row>
    <row r="159">
      <c r="A159" t="inlineStr">
        <is>
          <t>900006441DW68D20910000191</t>
        </is>
      </c>
      <c r="B159" t="inlineStr">
        <is>
          <t>4600050459-50</t>
        </is>
      </c>
      <c r="C159" t="n">
        <v>4600050459</v>
      </c>
      <c r="D159" t="n">
        <v>50</v>
      </c>
      <c r="E159" t="inlineStr">
        <is>
          <t>MXPO</t>
        </is>
      </c>
      <c r="F159" t="inlineStr">
        <is>
          <t>MXL</t>
        </is>
      </c>
      <c r="G159" t="n">
        <v>900006441</v>
      </c>
      <c r="H159" t="inlineStr">
        <is>
          <t>TC-ED INTERCONEXIONES ML</t>
        </is>
      </c>
      <c r="I159" t="n">
        <v>5077556</v>
      </c>
      <c r="J159" t="inlineStr">
        <is>
          <t>INTERCONEXIONES ML SA DE CV</t>
        </is>
      </c>
      <c r="K159" t="inlineStr">
        <is>
          <t>Z09</t>
        </is>
      </c>
      <c r="L159" t="inlineStr">
        <is>
          <t>(AP) 90 Dias</t>
        </is>
      </c>
      <c r="M159" t="n">
        <v>10000191</v>
      </c>
      <c r="N159" t="inlineStr">
        <is>
          <t>Grava Triturada Basalto 20 mm - 3/4"</t>
        </is>
      </c>
      <c r="O159" t="inlineStr">
        <is>
          <t>DW68</t>
        </is>
      </c>
      <c r="P159" t="inlineStr">
        <is>
          <t>MX-CED. GUADALAJARA</t>
        </is>
      </c>
      <c r="Q159" t="n">
        <v>20210801</v>
      </c>
      <c r="R159" t="n">
        <v>20261231</v>
      </c>
      <c r="S159" t="n">
        <v>20210712</v>
      </c>
      <c r="T159" t="n">
        <v>20261231</v>
      </c>
      <c r="U159" t="n">
        <v>285</v>
      </c>
      <c r="V159" t="inlineStr">
        <is>
          <t>MXN</t>
        </is>
      </c>
      <c r="W159" t="inlineStr">
        <is>
          <t>M3</t>
        </is>
      </c>
      <c r="X159" t="n">
        <v>165</v>
      </c>
      <c r="Y159" t="inlineStr">
        <is>
          <t>MXN</t>
        </is>
      </c>
      <c r="Z159" t="inlineStr">
        <is>
          <t>M3</t>
        </is>
      </c>
      <c r="AA159" t="inlineStr">
        <is>
          <t>D209</t>
        </is>
      </c>
      <c r="AB159" t="inlineStr">
        <is>
          <t>PD0127 MANANTIAL</t>
        </is>
      </c>
      <c r="AC159" t="n">
        <v>56103637</v>
      </c>
      <c r="AD159" t="n">
        <v>6644241540</v>
      </c>
      <c r="AE159" t="n">
        <v>4</v>
      </c>
      <c r="AF159" t="inlineStr">
        <is>
          <t>ENTREGA DIRECTA</t>
        </is>
      </c>
      <c r="AG159" t="n">
        <v>1.41</v>
      </c>
      <c r="AH159" t="inlineStr">
        <is>
          <t>M3</t>
        </is>
      </c>
      <c r="AI159" t="inlineStr">
        <is>
          <t>X</t>
        </is>
      </c>
      <c r="AJ159" t="n">
        <v>4</v>
      </c>
      <c r="AK159" t="inlineStr">
        <is>
          <t>V4</t>
        </is>
      </c>
      <c r="AL159" t="n">
        <v>20260108</v>
      </c>
      <c r="AM159" t="inlineStr">
        <is>
          <t>DW68-900006441-D209-10000191-4</t>
        </is>
      </c>
    </row>
    <row r="160">
      <c r="A160" t="inlineStr">
        <is>
          <t>900006441DW68D21410000191</t>
        </is>
      </c>
      <c r="B160" t="inlineStr">
        <is>
          <t>4600050459-70</t>
        </is>
      </c>
      <c r="C160" t="n">
        <v>4600050459</v>
      </c>
      <c r="D160" t="n">
        <v>70</v>
      </c>
      <c r="E160" t="inlineStr">
        <is>
          <t>MXPO</t>
        </is>
      </c>
      <c r="F160" t="inlineStr">
        <is>
          <t>MXL</t>
        </is>
      </c>
      <c r="G160" t="n">
        <v>900006441</v>
      </c>
      <c r="H160" t="inlineStr">
        <is>
          <t>TC-ED INTERCONEXIONES ML</t>
        </is>
      </c>
      <c r="I160" t="n">
        <v>5077556</v>
      </c>
      <c r="J160" t="inlineStr">
        <is>
          <t>INTERCONEXIONES ML SA DE CV</t>
        </is>
      </c>
      <c r="K160" t="inlineStr">
        <is>
          <t>Z09</t>
        </is>
      </c>
      <c r="L160" t="inlineStr">
        <is>
          <t>(AP) 90 Dias</t>
        </is>
      </c>
      <c r="M160" t="n">
        <v>10000191</v>
      </c>
      <c r="N160" t="inlineStr">
        <is>
          <t>Grava Triturada Basalto 20 mm - 3/4"</t>
        </is>
      </c>
      <c r="O160" t="inlineStr">
        <is>
          <t>DW68</t>
        </is>
      </c>
      <c r="P160" t="inlineStr">
        <is>
          <t>MX-CED. GUADALAJARA</t>
        </is>
      </c>
      <c r="Q160" t="n">
        <v>20210801</v>
      </c>
      <c r="R160" t="n">
        <v>20261231</v>
      </c>
      <c r="S160" t="n">
        <v>20210712</v>
      </c>
      <c r="T160" t="n">
        <v>20261231</v>
      </c>
      <c r="U160" t="n">
        <v>305</v>
      </c>
      <c r="V160" t="inlineStr">
        <is>
          <t>MXN</t>
        </is>
      </c>
      <c r="W160" t="inlineStr">
        <is>
          <t>M3</t>
        </is>
      </c>
      <c r="X160" t="n">
        <v>185</v>
      </c>
      <c r="Y160" t="inlineStr">
        <is>
          <t>MXN</t>
        </is>
      </c>
      <c r="Z160" t="inlineStr">
        <is>
          <t>M3</t>
        </is>
      </c>
      <c r="AA160" t="inlineStr">
        <is>
          <t>D214</t>
        </is>
      </c>
      <c r="AB160" t="inlineStr">
        <is>
          <t>PD0174 EL SALTO 2</t>
        </is>
      </c>
      <c r="AC160" t="n">
        <v>56103637</v>
      </c>
      <c r="AD160" t="n">
        <v>6644241540</v>
      </c>
      <c r="AE160" t="n">
        <v>4</v>
      </c>
      <c r="AF160" t="inlineStr">
        <is>
          <t>ENTREGA DIRECTA</t>
        </is>
      </c>
      <c r="AG160" t="n">
        <v>1.41</v>
      </c>
      <c r="AH160" t="inlineStr">
        <is>
          <t>M3</t>
        </is>
      </c>
      <c r="AI160" t="inlineStr">
        <is>
          <t>X</t>
        </is>
      </c>
      <c r="AJ160" t="n">
        <v>4</v>
      </c>
      <c r="AK160" t="inlineStr">
        <is>
          <t>V4</t>
        </is>
      </c>
      <c r="AL160" t="n">
        <v>20260108</v>
      </c>
      <c r="AM160" t="inlineStr">
        <is>
          <t>DW68-900006441-D214-10000191-4</t>
        </is>
      </c>
    </row>
    <row r="161">
      <c r="A161" t="inlineStr">
        <is>
          <t>900008250DW68D24710000191</t>
        </is>
      </c>
      <c r="B161" t="inlineStr">
        <is>
          <t>4600058169-110</t>
        </is>
      </c>
      <c r="C161" t="n">
        <v>4600058169</v>
      </c>
      <c r="D161" t="n">
        <v>110</v>
      </c>
      <c r="E161" t="inlineStr">
        <is>
          <t>MXPO</t>
        </is>
      </c>
      <c r="F161" t="inlineStr">
        <is>
          <t>MXL</t>
        </is>
      </c>
      <c r="G161" t="n">
        <v>900008250</v>
      </c>
      <c r="H161" t="inlineStr">
        <is>
          <t>SF TC-ED-MAREVA GA TONALA</t>
        </is>
      </c>
      <c r="I161" t="n">
        <v>5043944</v>
      </c>
      <c r="J161" t="inlineStr">
        <is>
          <t>CONSTRUCCIONES MAREVA DE OCCIDENTE</t>
        </is>
      </c>
      <c r="K161" t="inlineStr">
        <is>
          <t>Z04</t>
        </is>
      </c>
      <c r="L161" t="inlineStr">
        <is>
          <t>(AP) 30 Dias</t>
        </is>
      </c>
      <c r="M161" t="n">
        <v>10000191</v>
      </c>
      <c r="N161" t="inlineStr">
        <is>
          <t>Grava Triturada Basalto 20 mm - 3/4"</t>
        </is>
      </c>
      <c r="O161" t="inlineStr">
        <is>
          <t>DW68</t>
        </is>
      </c>
      <c r="P161" t="inlineStr">
        <is>
          <t>MX-CED. GUADALAJARA</t>
        </is>
      </c>
      <c r="Q161" t="n">
        <v>20230704</v>
      </c>
      <c r="R161" t="n">
        <v>20281231</v>
      </c>
      <c r="S161" t="n">
        <v>20230704</v>
      </c>
      <c r="T161" t="n">
        <v>20281231</v>
      </c>
      <c r="U161" t="n">
        <v>339.2</v>
      </c>
      <c r="V161" t="inlineStr">
        <is>
          <t>MXN</t>
        </is>
      </c>
      <c r="W161" t="inlineStr">
        <is>
          <t>M3</t>
        </is>
      </c>
      <c r="X161" t="n">
        <v>39.2</v>
      </c>
      <c r="Y161" t="inlineStr">
        <is>
          <t>MXN</t>
        </is>
      </c>
      <c r="Z161" t="inlineStr">
        <is>
          <t>M3</t>
        </is>
      </c>
      <c r="AA161" t="inlineStr">
        <is>
          <t>D247</t>
        </is>
      </c>
      <c r="AB161" t="inlineStr">
        <is>
          <t>PD0518 TONALA</t>
        </is>
      </c>
      <c r="AC161" t="n">
        <v>56103637</v>
      </c>
      <c r="AD161" t="n">
        <v>6644241540</v>
      </c>
      <c r="AE161" t="n">
        <v>4</v>
      </c>
      <c r="AF161" t="inlineStr">
        <is>
          <t>ENTREGA DIRECTA</t>
        </is>
      </c>
      <c r="AG161" t="n">
        <v>1.41</v>
      </c>
      <c r="AH161" t="inlineStr">
        <is>
          <t>M3</t>
        </is>
      </c>
      <c r="AI161" t="inlineStr">
        <is>
          <t>X</t>
        </is>
      </c>
      <c r="AJ161" t="n">
        <v>4</v>
      </c>
      <c r="AK161" t="inlineStr">
        <is>
          <t>V4</t>
        </is>
      </c>
      <c r="AL161" t="n">
        <v>20230920</v>
      </c>
      <c r="AM161" t="inlineStr">
        <is>
          <t>DW68-900008250-D247-10000191-4</t>
        </is>
      </c>
    </row>
    <row r="162">
      <c r="A162" t="inlineStr">
        <is>
          <t>900008250DW68D24210000191</t>
        </is>
      </c>
      <c r="B162" t="inlineStr">
        <is>
          <t>4600058169-160</t>
        </is>
      </c>
      <c r="C162" t="n">
        <v>4600058169</v>
      </c>
      <c r="D162" t="n">
        <v>160</v>
      </c>
      <c r="E162" t="inlineStr">
        <is>
          <t>MXPO</t>
        </is>
      </c>
      <c r="F162" t="inlineStr">
        <is>
          <t>MXL</t>
        </is>
      </c>
      <c r="G162" t="n">
        <v>900008250</v>
      </c>
      <c r="H162" t="inlineStr">
        <is>
          <t>SF TC-ED-MAREVA GA TONALA</t>
        </is>
      </c>
      <c r="I162" t="n">
        <v>5043944</v>
      </c>
      <c r="J162" t="inlineStr">
        <is>
          <t>CONSTRUCCIONES MAREVA DE OCCIDENTE</t>
        </is>
      </c>
      <c r="K162" t="inlineStr">
        <is>
          <t>Z04</t>
        </is>
      </c>
      <c r="L162" t="inlineStr">
        <is>
          <t>(AP) 30 Dias</t>
        </is>
      </c>
      <c r="M162" t="n">
        <v>10000191</v>
      </c>
      <c r="N162" t="inlineStr">
        <is>
          <t>Grava Triturada Basalto 20 mm - 3/4"</t>
        </is>
      </c>
      <c r="O162" t="inlineStr">
        <is>
          <t>DW68</t>
        </is>
      </c>
      <c r="P162" t="inlineStr">
        <is>
          <t>MX-CED. GUADALAJARA</t>
        </is>
      </c>
      <c r="Q162" t="n">
        <v>20230704</v>
      </c>
      <c r="R162" t="n">
        <v>20281231</v>
      </c>
      <c r="S162" t="n">
        <v>20230704</v>
      </c>
      <c r="T162" t="n">
        <v>20281231</v>
      </c>
      <c r="U162" t="n">
        <v>423.2</v>
      </c>
      <c r="V162" t="inlineStr">
        <is>
          <t>MXN</t>
        </is>
      </c>
      <c r="W162" t="inlineStr">
        <is>
          <t>M3</t>
        </is>
      </c>
      <c r="X162" t="n">
        <v>123.2</v>
      </c>
      <c r="Y162" t="inlineStr">
        <is>
          <t>MXN</t>
        </is>
      </c>
      <c r="Z162" t="inlineStr">
        <is>
          <t>M3</t>
        </is>
      </c>
      <c r="AA162" t="inlineStr">
        <is>
          <t>D242</t>
        </is>
      </c>
      <c r="AB162" t="inlineStr">
        <is>
          <t>PD0454 CD. LA GRANJA II</t>
        </is>
      </c>
      <c r="AC162" t="n">
        <v>56103637</v>
      </c>
      <c r="AD162" t="n">
        <v>6644241540</v>
      </c>
      <c r="AE162" t="n">
        <v>4</v>
      </c>
      <c r="AF162" t="inlineStr">
        <is>
          <t>ENTREGA DIRECTA</t>
        </is>
      </c>
      <c r="AG162" t="n">
        <v>1.41</v>
      </c>
      <c r="AH162" t="inlineStr">
        <is>
          <t>M3</t>
        </is>
      </c>
      <c r="AI162" t="inlineStr">
        <is>
          <t>X</t>
        </is>
      </c>
      <c r="AJ162" t="n">
        <v>4</v>
      </c>
      <c r="AK162" t="inlineStr">
        <is>
          <t>V4</t>
        </is>
      </c>
      <c r="AL162" t="n">
        <v>20230920</v>
      </c>
      <c r="AM162" t="inlineStr">
        <is>
          <t>DW68-900008250-D242-10000191-4</t>
        </is>
      </c>
    </row>
    <row r="163">
      <c r="A163" t="inlineStr">
        <is>
          <t>900008250DW68D26710000388</t>
        </is>
      </c>
      <c r="B163" t="inlineStr">
        <is>
          <t>4600058169-190</t>
        </is>
      </c>
      <c r="C163" t="n">
        <v>4600058169</v>
      </c>
      <c r="D163" t="n">
        <v>190</v>
      </c>
      <c r="E163" t="inlineStr">
        <is>
          <t>MXPO</t>
        </is>
      </c>
      <c r="F163" t="inlineStr">
        <is>
          <t>MXL</t>
        </is>
      </c>
      <c r="G163" t="n">
        <v>900008250</v>
      </c>
      <c r="H163" t="inlineStr">
        <is>
          <t>SF TC-ED-MAREVA GA TONALA</t>
        </is>
      </c>
      <c r="I163" t="n">
        <v>5043944</v>
      </c>
      <c r="J163" t="inlineStr">
        <is>
          <t>CONSTRUCCIONES MAREVA DE OCCIDENTE</t>
        </is>
      </c>
      <c r="K163" t="inlineStr">
        <is>
          <t>Z04</t>
        </is>
      </c>
      <c r="L163" t="inlineStr">
        <is>
          <t>(AP) 30 Dias</t>
        </is>
      </c>
      <c r="M163" t="n">
        <v>10000388</v>
      </c>
      <c r="N163" t="inlineStr">
        <is>
          <t>Grava Triturada Basalto  40 mm - 1 1/2"</t>
        </is>
      </c>
      <c r="O163" t="inlineStr">
        <is>
          <t>DW68</t>
        </is>
      </c>
      <c r="P163" t="inlineStr">
        <is>
          <t>MX-CED. GUADALAJARA</t>
        </is>
      </c>
      <c r="Q163" t="n">
        <v>20230704</v>
      </c>
      <c r="R163" t="n">
        <v>20281231</v>
      </c>
      <c r="S163" t="n">
        <v>20230704</v>
      </c>
      <c r="T163" t="n">
        <v>20281231</v>
      </c>
      <c r="U163" t="n">
        <v>406.6</v>
      </c>
      <c r="V163" t="inlineStr">
        <is>
          <t>MXN</t>
        </is>
      </c>
      <c r="W163" t="inlineStr">
        <is>
          <t>M3</t>
        </is>
      </c>
      <c r="X163" t="n">
        <v>131.6</v>
      </c>
      <c r="Y163" t="inlineStr">
        <is>
          <t>MXN</t>
        </is>
      </c>
      <c r="Z163" t="inlineStr">
        <is>
          <t>M3</t>
        </is>
      </c>
      <c r="AA163" t="inlineStr">
        <is>
          <t>D267</t>
        </is>
      </c>
      <c r="AB163" t="inlineStr">
        <is>
          <t>PD0280 PLANTA COLOTLAN</t>
        </is>
      </c>
      <c r="AC163" t="n">
        <v>56103637</v>
      </c>
      <c r="AD163" t="n">
        <v>6644241540</v>
      </c>
      <c r="AE163" t="n">
        <v>4</v>
      </c>
      <c r="AF163" t="inlineStr">
        <is>
          <t>ENTREGA DIRECTA</t>
        </is>
      </c>
      <c r="AG163" t="n">
        <v>1.395</v>
      </c>
      <c r="AH163" t="inlineStr">
        <is>
          <t>M3</t>
        </is>
      </c>
      <c r="AI163" t="inlineStr">
        <is>
          <t>X</t>
        </is>
      </c>
      <c r="AJ163" t="n">
        <v>4</v>
      </c>
      <c r="AK163" t="inlineStr">
        <is>
          <t>V4</t>
        </is>
      </c>
      <c r="AL163" t="n">
        <v>20230920</v>
      </c>
      <c r="AM163" t="inlineStr">
        <is>
          <t>DW68-900008250-D267-10000388-4</t>
        </is>
      </c>
    </row>
    <row r="164">
      <c r="A164" t="inlineStr">
        <is>
          <t>900008250DW68D22810000388</t>
        </is>
      </c>
      <c r="B164" t="inlineStr">
        <is>
          <t>4600058169-270</t>
        </is>
      </c>
      <c r="C164" t="n">
        <v>4600058169</v>
      </c>
      <c r="D164" t="n">
        <v>270</v>
      </c>
      <c r="E164" t="inlineStr">
        <is>
          <t>MXPO</t>
        </is>
      </c>
      <c r="F164" t="inlineStr">
        <is>
          <t>MXL</t>
        </is>
      </c>
      <c r="G164" t="n">
        <v>900008250</v>
      </c>
      <c r="H164" t="inlineStr">
        <is>
          <t>SF TC-ED-MAREVA GA TONALA</t>
        </is>
      </c>
      <c r="I164" t="n">
        <v>5043944</v>
      </c>
      <c r="J164" t="inlineStr">
        <is>
          <t>CONSTRUCCIONES MAREVA DE OCCIDENTE</t>
        </is>
      </c>
      <c r="K164" t="inlineStr">
        <is>
          <t>Z04</t>
        </is>
      </c>
      <c r="L164" t="inlineStr">
        <is>
          <t>(AP) 30 Dias</t>
        </is>
      </c>
      <c r="M164" t="n">
        <v>10000388</v>
      </c>
      <c r="N164" t="inlineStr">
        <is>
          <t>Grava Triturada Basalto  40 mm - 1 1/2"</t>
        </is>
      </c>
      <c r="O164" t="inlineStr">
        <is>
          <t>DW68</t>
        </is>
      </c>
      <c r="P164" t="inlineStr">
        <is>
          <t>MX-CED. GUADALAJARA</t>
        </is>
      </c>
      <c r="Q164" t="n">
        <v>20230704</v>
      </c>
      <c r="R164" t="n">
        <v>20281231</v>
      </c>
      <c r="S164" t="n">
        <v>20230704</v>
      </c>
      <c r="T164" t="n">
        <v>20281231</v>
      </c>
      <c r="U164" t="n">
        <v>437.4</v>
      </c>
      <c r="V164" t="inlineStr">
        <is>
          <t>MXN</t>
        </is>
      </c>
      <c r="W164" t="inlineStr">
        <is>
          <t>M3</t>
        </is>
      </c>
      <c r="X164" t="n">
        <v>162.4</v>
      </c>
      <c r="Y164" t="inlineStr">
        <is>
          <t>MXN</t>
        </is>
      </c>
      <c r="Z164" t="inlineStr">
        <is>
          <t>M3</t>
        </is>
      </c>
      <c r="AA164" t="inlineStr">
        <is>
          <t>D228</t>
        </is>
      </c>
      <c r="AB164" t="inlineStr">
        <is>
          <t>PD0123 TLAJOMULCO</t>
        </is>
      </c>
      <c r="AC164" t="n">
        <v>56103637</v>
      </c>
      <c r="AD164" t="n">
        <v>6644241540</v>
      </c>
      <c r="AE164" t="n">
        <v>4</v>
      </c>
      <c r="AF164" t="inlineStr">
        <is>
          <t>ENTREGA DIRECTA</t>
        </is>
      </c>
      <c r="AG164" t="n">
        <v>1.395</v>
      </c>
      <c r="AH164" t="inlineStr">
        <is>
          <t>M3</t>
        </is>
      </c>
      <c r="AI164" t="inlineStr">
        <is>
          <t>X</t>
        </is>
      </c>
      <c r="AJ164" t="n">
        <v>4</v>
      </c>
      <c r="AK164" t="inlineStr">
        <is>
          <t>V4</t>
        </is>
      </c>
      <c r="AL164" t="n">
        <v>20230920</v>
      </c>
      <c r="AM164" t="inlineStr">
        <is>
          <t>DW68-900008250-D228-10000388-4</t>
        </is>
      </c>
    </row>
    <row r="165">
      <c r="A165" t="inlineStr">
        <is>
          <t>900005508DW68D24210000191</t>
        </is>
      </c>
      <c r="B165" t="inlineStr">
        <is>
          <t>4600050448-90</t>
        </is>
      </c>
      <c r="C165" t="n">
        <v>4600050448</v>
      </c>
      <c r="D165" t="n">
        <v>90</v>
      </c>
      <c r="E165" t="inlineStr">
        <is>
          <t>MXPO</t>
        </is>
      </c>
      <c r="F165" t="inlineStr">
        <is>
          <t>MXL</t>
        </is>
      </c>
      <c r="G165" t="n">
        <v>900005508</v>
      </c>
      <c r="H165" t="inlineStr">
        <is>
          <t>TC-ED JUAN DAVALOS</t>
        </is>
      </c>
      <c r="I165" t="n">
        <v>5014444</v>
      </c>
      <c r="J165" t="inlineStr">
        <is>
          <t>DAVALOS GUTIERREZ JUAN JOSE</t>
        </is>
      </c>
      <c r="K165" t="inlineStr">
        <is>
          <t>N90</t>
        </is>
      </c>
      <c r="L165" t="inlineStr">
        <is>
          <t>(AP) NAFIN 90 Dias</t>
        </is>
      </c>
      <c r="M165" t="n">
        <v>10000191</v>
      </c>
      <c r="N165" t="inlineStr">
        <is>
          <t>Grava Triturada Basalto 20 mm - 3/4"</t>
        </is>
      </c>
      <c r="O165" t="inlineStr">
        <is>
          <t>DW68</t>
        </is>
      </c>
      <c r="P165" t="inlineStr">
        <is>
          <t>MX-CED. GUADALAJARA</t>
        </is>
      </c>
      <c r="Q165" t="n">
        <v>20210801</v>
      </c>
      <c r="R165" t="n">
        <v>20261231</v>
      </c>
      <c r="S165" t="n">
        <v>20210712</v>
      </c>
      <c r="T165" t="n">
        <v>20261231</v>
      </c>
      <c r="U165" t="n">
        <v>240.9</v>
      </c>
      <c r="V165" t="inlineStr">
        <is>
          <t>MXN</t>
        </is>
      </c>
      <c r="W165" t="inlineStr">
        <is>
          <t>M3</t>
        </is>
      </c>
      <c r="X165" t="n">
        <v>130.9</v>
      </c>
      <c r="Y165" t="inlineStr">
        <is>
          <t>MXN</t>
        </is>
      </c>
      <c r="Z165" t="inlineStr">
        <is>
          <t>M3</t>
        </is>
      </c>
      <c r="AA165" t="inlineStr">
        <is>
          <t>D242</t>
        </is>
      </c>
      <c r="AB165" t="inlineStr">
        <is>
          <t>PD0454 CD. LA GRANJA II</t>
        </is>
      </c>
      <c r="AC165" t="n">
        <v>56103637</v>
      </c>
      <c r="AD165" t="n">
        <v>6644241540</v>
      </c>
      <c r="AE165" t="n">
        <v>4</v>
      </c>
      <c r="AF165" t="inlineStr">
        <is>
          <t>ENTREGA DIRECTA</t>
        </is>
      </c>
      <c r="AG165" t="n">
        <v>1.41</v>
      </c>
      <c r="AH165" t="inlineStr">
        <is>
          <t>M3</t>
        </is>
      </c>
      <c r="AI165" t="inlineStr">
        <is>
          <t>X</t>
        </is>
      </c>
      <c r="AJ165" t="n">
        <v>4</v>
      </c>
      <c r="AK165" t="inlineStr">
        <is>
          <t>V4</t>
        </is>
      </c>
      <c r="AL165" t="n">
        <v>20260108</v>
      </c>
      <c r="AM165" t="inlineStr">
        <is>
          <t>DW68-900005508-D242-10000191-4</t>
        </is>
      </c>
    </row>
    <row r="166">
      <c r="A166" t="inlineStr">
        <is>
          <t>900005508DW68D26410000191</t>
        </is>
      </c>
      <c r="B166" t="inlineStr">
        <is>
          <t>4600050448-110</t>
        </is>
      </c>
      <c r="C166" t="n">
        <v>4600050448</v>
      </c>
      <c r="D166" t="n">
        <v>110</v>
      </c>
      <c r="E166" t="inlineStr">
        <is>
          <t>MXPO</t>
        </is>
      </c>
      <c r="F166" t="inlineStr">
        <is>
          <t>MXL</t>
        </is>
      </c>
      <c r="G166" t="n">
        <v>900005508</v>
      </c>
      <c r="H166" t="inlineStr">
        <is>
          <t>TC-ED JUAN DAVALOS</t>
        </is>
      </c>
      <c r="I166" t="n">
        <v>5014444</v>
      </c>
      <c r="J166" t="inlineStr">
        <is>
          <t>DAVALOS GUTIERREZ JUAN JOSE</t>
        </is>
      </c>
      <c r="K166" t="inlineStr">
        <is>
          <t>N90</t>
        </is>
      </c>
      <c r="L166" t="inlineStr">
        <is>
          <t>(AP) NAFIN 90 Dias</t>
        </is>
      </c>
      <c r="M166" t="n">
        <v>10000191</v>
      </c>
      <c r="N166" t="inlineStr">
        <is>
          <t>Grava Triturada Basalto 20 mm - 3/4"</t>
        </is>
      </c>
      <c r="O166" t="inlineStr">
        <is>
          <t>DW68</t>
        </is>
      </c>
      <c r="P166" t="inlineStr">
        <is>
          <t>MX-CED. GUADALAJARA</t>
        </is>
      </c>
      <c r="Q166" t="n">
        <v>20210801</v>
      </c>
      <c r="R166" t="n">
        <v>20261231</v>
      </c>
      <c r="S166" t="n">
        <v>20210712</v>
      </c>
      <c r="T166" t="n">
        <v>20261231</v>
      </c>
      <c r="U166" t="n">
        <v>202.9</v>
      </c>
      <c r="V166" t="inlineStr">
        <is>
          <t>MXN</t>
        </is>
      </c>
      <c r="W166" t="inlineStr">
        <is>
          <t>M3</t>
        </is>
      </c>
      <c r="X166" t="n">
        <v>92.90000000000001</v>
      </c>
      <c r="Y166" t="inlineStr">
        <is>
          <t>MXN</t>
        </is>
      </c>
      <c r="Z166" t="inlineStr">
        <is>
          <t>M3</t>
        </is>
      </c>
      <c r="AA166" t="inlineStr">
        <is>
          <t>D264</t>
        </is>
      </c>
      <c r="AB166" t="inlineStr">
        <is>
          <t>PD0083 GUADALAJARA I III</t>
        </is>
      </c>
      <c r="AC166" t="n">
        <v>56103637</v>
      </c>
      <c r="AD166" t="n">
        <v>6644241540</v>
      </c>
      <c r="AE166" t="n">
        <v>4</v>
      </c>
      <c r="AF166" t="inlineStr">
        <is>
          <t>ENTREGA DIRECTA</t>
        </is>
      </c>
      <c r="AG166" t="n">
        <v>1.41</v>
      </c>
      <c r="AH166" t="inlineStr">
        <is>
          <t>M3</t>
        </is>
      </c>
      <c r="AI166" t="inlineStr">
        <is>
          <t>X</t>
        </is>
      </c>
      <c r="AJ166" t="n">
        <v>4</v>
      </c>
      <c r="AK166" t="inlineStr">
        <is>
          <t>V4</t>
        </is>
      </c>
      <c r="AL166" t="n">
        <v>20260108</v>
      </c>
      <c r="AM166" t="inlineStr">
        <is>
          <t>DW68-900005508-D264-10000191-4</t>
        </is>
      </c>
    </row>
    <row r="167">
      <c r="A167" t="inlineStr">
        <is>
          <t>900005508DW68D04210000191</t>
        </is>
      </c>
      <c r="B167" t="inlineStr">
        <is>
          <t>4600050448-130</t>
        </is>
      </c>
      <c r="C167" t="n">
        <v>4600050448</v>
      </c>
      <c r="D167" t="n">
        <v>130</v>
      </c>
      <c r="E167" t="inlineStr">
        <is>
          <t>MXPO</t>
        </is>
      </c>
      <c r="F167" t="inlineStr">
        <is>
          <t>MXL</t>
        </is>
      </c>
      <c r="G167" t="n">
        <v>900005508</v>
      </c>
      <c r="H167" t="inlineStr">
        <is>
          <t>TC-ED JUAN DAVALOS</t>
        </is>
      </c>
      <c r="I167" t="n">
        <v>5014444</v>
      </c>
      <c r="J167" t="inlineStr">
        <is>
          <t>DAVALOS GUTIERREZ JUAN JOSE</t>
        </is>
      </c>
      <c r="K167" t="inlineStr">
        <is>
          <t>N90</t>
        </is>
      </c>
      <c r="L167" t="inlineStr">
        <is>
          <t>(AP) NAFIN 90 Dias</t>
        </is>
      </c>
      <c r="M167" t="n">
        <v>10000191</v>
      </c>
      <c r="N167" t="inlineStr">
        <is>
          <t>Grava Triturada Basalto 20 mm - 3/4"</t>
        </is>
      </c>
      <c r="O167" t="inlineStr">
        <is>
          <t>DW68</t>
        </is>
      </c>
      <c r="P167" t="inlineStr">
        <is>
          <t>MX-CED. GUADALAJARA</t>
        </is>
      </c>
      <c r="Q167" t="n">
        <v>20210801</v>
      </c>
      <c r="R167" t="n">
        <v>20261231</v>
      </c>
      <c r="S167" t="n">
        <v>20210712</v>
      </c>
      <c r="T167" t="n">
        <v>20261231</v>
      </c>
      <c r="U167" t="n">
        <v>238.3</v>
      </c>
      <c r="V167" t="inlineStr">
        <is>
          <t>MXN</t>
        </is>
      </c>
      <c r="W167" t="inlineStr">
        <is>
          <t>M3</t>
        </is>
      </c>
      <c r="X167" t="n">
        <v>128.3</v>
      </c>
      <c r="Y167" t="inlineStr">
        <is>
          <t>MXN</t>
        </is>
      </c>
      <c r="Z167" t="inlineStr">
        <is>
          <t>M3</t>
        </is>
      </c>
      <c r="AA167" t="inlineStr">
        <is>
          <t>D042</t>
        </is>
      </c>
      <c r="AB167" t="inlineStr">
        <is>
          <t>PD0406 PLANTA PONIENTE</t>
        </is>
      </c>
      <c r="AC167" t="n">
        <v>56103637</v>
      </c>
      <c r="AD167" t="n">
        <v>6644241540</v>
      </c>
      <c r="AE167" t="n">
        <v>4</v>
      </c>
      <c r="AF167" t="inlineStr">
        <is>
          <t>ENTREGA DIRECTA</t>
        </is>
      </c>
      <c r="AG167" t="n">
        <v>1.41</v>
      </c>
      <c r="AH167" t="inlineStr">
        <is>
          <t>M3</t>
        </is>
      </c>
      <c r="AI167" t="inlineStr">
        <is>
          <t>X</t>
        </is>
      </c>
      <c r="AJ167" t="n">
        <v>4</v>
      </c>
      <c r="AK167" t="inlineStr">
        <is>
          <t>V4</t>
        </is>
      </c>
      <c r="AL167" t="n">
        <v>20260108</v>
      </c>
      <c r="AM167" t="inlineStr">
        <is>
          <t>DW68-900005508-D042-10000191-4</t>
        </is>
      </c>
    </row>
    <row r="168">
      <c r="A168" t="inlineStr">
        <is>
          <t>900006441DW68D21110000191</t>
        </is>
      </c>
      <c r="B168" t="inlineStr">
        <is>
          <t>4600050459-60</t>
        </is>
      </c>
      <c r="C168" t="n">
        <v>4600050459</v>
      </c>
      <c r="D168" t="n">
        <v>60</v>
      </c>
      <c r="E168" t="inlineStr">
        <is>
          <t>MXPO</t>
        </is>
      </c>
      <c r="F168" t="inlineStr">
        <is>
          <t>MXL</t>
        </is>
      </c>
      <c r="G168" t="n">
        <v>900006441</v>
      </c>
      <c r="H168" t="inlineStr">
        <is>
          <t>TC-ED INTERCONEXIONES ML</t>
        </is>
      </c>
      <c r="I168" t="n">
        <v>5077556</v>
      </c>
      <c r="J168" t="inlineStr">
        <is>
          <t>INTERCONEXIONES ML SA DE CV</t>
        </is>
      </c>
      <c r="K168" t="inlineStr">
        <is>
          <t>Z09</t>
        </is>
      </c>
      <c r="L168" t="inlineStr">
        <is>
          <t>(AP) 90 Dias</t>
        </is>
      </c>
      <c r="M168" t="n">
        <v>10000191</v>
      </c>
      <c r="N168" t="inlineStr">
        <is>
          <t>Grava Triturada Basalto 20 mm - 3/4"</t>
        </is>
      </c>
      <c r="O168" t="inlineStr">
        <is>
          <t>DW68</t>
        </is>
      </c>
      <c r="P168" t="inlineStr">
        <is>
          <t>MX-CED. GUADALAJARA</t>
        </is>
      </c>
      <c r="Q168" t="n">
        <v>20210801</v>
      </c>
      <c r="R168" t="n">
        <v>20261231</v>
      </c>
      <c r="S168" t="n">
        <v>20210712</v>
      </c>
      <c r="T168" t="n">
        <v>20261231</v>
      </c>
      <c r="U168" t="n">
        <v>285</v>
      </c>
      <c r="V168" t="inlineStr">
        <is>
          <t>MXN</t>
        </is>
      </c>
      <c r="W168" t="inlineStr">
        <is>
          <t>M3</t>
        </is>
      </c>
      <c r="X168" t="n">
        <v>165</v>
      </c>
      <c r="Y168" t="inlineStr">
        <is>
          <t>MXN</t>
        </is>
      </c>
      <c r="Z168" t="inlineStr">
        <is>
          <t>M3</t>
        </is>
      </c>
      <c r="AA168" t="inlineStr">
        <is>
          <t>D211</t>
        </is>
      </c>
      <c r="AB168" t="inlineStr">
        <is>
          <t>PD0149 GDL. MATRIZ</t>
        </is>
      </c>
      <c r="AC168" t="n">
        <v>56103637</v>
      </c>
      <c r="AD168" t="n">
        <v>6644241540</v>
      </c>
      <c r="AE168" t="n">
        <v>4</v>
      </c>
      <c r="AF168" t="inlineStr">
        <is>
          <t>ENTREGA DIRECTA</t>
        </is>
      </c>
      <c r="AG168" t="n">
        <v>1.41</v>
      </c>
      <c r="AH168" t="inlineStr">
        <is>
          <t>M3</t>
        </is>
      </c>
      <c r="AI168" t="inlineStr">
        <is>
          <t>X</t>
        </is>
      </c>
      <c r="AJ168" t="n">
        <v>4</v>
      </c>
      <c r="AK168" t="inlineStr">
        <is>
          <t>V4</t>
        </is>
      </c>
      <c r="AL168" t="n">
        <v>20260108</v>
      </c>
      <c r="AM168" t="inlineStr">
        <is>
          <t>DW68-900006441-D211-10000191-4</t>
        </is>
      </c>
    </row>
    <row r="169">
      <c r="A169" t="inlineStr">
        <is>
          <t>900008250DW68D21110004258</t>
        </is>
      </c>
      <c r="B169" t="inlineStr">
        <is>
          <t>4600058169-80</t>
        </is>
      </c>
      <c r="C169" t="n">
        <v>4600058169</v>
      </c>
      <c r="D169" t="n">
        <v>80</v>
      </c>
      <c r="E169" t="inlineStr">
        <is>
          <t>MXPO</t>
        </is>
      </c>
      <c r="F169" t="inlineStr">
        <is>
          <t>MXL</t>
        </is>
      </c>
      <c r="G169" t="n">
        <v>900008250</v>
      </c>
      <c r="H169" t="inlineStr">
        <is>
          <t>SF TC-ED-MAREVA GA TONALA</t>
        </is>
      </c>
      <c r="I169" t="n">
        <v>5043944</v>
      </c>
      <c r="J169" t="inlineStr">
        <is>
          <t>CONSTRUCCIONES MAREVA DE OCCIDENTE</t>
        </is>
      </c>
      <c r="K169" t="inlineStr">
        <is>
          <t>Z04</t>
        </is>
      </c>
      <c r="L169" t="inlineStr">
        <is>
          <t>(AP) 30 Dias</t>
        </is>
      </c>
      <c r="M169" t="n">
        <v>10004258</v>
      </c>
      <c r="N169" t="inlineStr">
        <is>
          <t>Sello Triturado Basalto 10 mm - 3/8"</t>
        </is>
      </c>
      <c r="O169" t="inlineStr">
        <is>
          <t>DW68</t>
        </is>
      </c>
      <c r="P169" t="inlineStr">
        <is>
          <t>MX-CED. GUADALAJARA</t>
        </is>
      </c>
      <c r="Q169" t="n">
        <v>20230704</v>
      </c>
      <c r="R169" t="n">
        <v>20281231</v>
      </c>
      <c r="S169" t="n">
        <v>20230704</v>
      </c>
      <c r="T169" t="n">
        <v>20281231</v>
      </c>
      <c r="U169" t="n">
        <v>713</v>
      </c>
      <c r="V169" t="inlineStr">
        <is>
          <t>MXN</t>
        </is>
      </c>
      <c r="W169" t="inlineStr">
        <is>
          <t>M3</t>
        </is>
      </c>
      <c r="X169" t="n">
        <v>98</v>
      </c>
      <c r="Y169" t="inlineStr">
        <is>
          <t>MXN</t>
        </is>
      </c>
      <c r="Z169" t="inlineStr">
        <is>
          <t>M3</t>
        </is>
      </c>
      <c r="AA169" t="inlineStr">
        <is>
          <t>D211</t>
        </is>
      </c>
      <c r="AB169" t="inlineStr">
        <is>
          <t>PD0149 GDL. MATRIZ</t>
        </is>
      </c>
      <c r="AC169" t="n">
        <v>56103637</v>
      </c>
      <c r="AD169" t="n">
        <v>6644241540</v>
      </c>
      <c r="AE169" t="n">
        <v>4</v>
      </c>
      <c r="AF169" t="inlineStr">
        <is>
          <t>ENTREGA DIRECTA</t>
        </is>
      </c>
      <c r="AG169" t="n">
        <v>1.53</v>
      </c>
      <c r="AH169" t="inlineStr">
        <is>
          <t>M3</t>
        </is>
      </c>
      <c r="AI169" t="inlineStr">
        <is>
          <t>X</t>
        </is>
      </c>
      <c r="AJ169" t="n">
        <v>4</v>
      </c>
      <c r="AK169" t="inlineStr">
        <is>
          <t>V4</t>
        </is>
      </c>
      <c r="AL169" t="n">
        <v>20230920</v>
      </c>
      <c r="AM169" t="inlineStr">
        <is>
          <t>DW68-900008250-D211-10004258-4</t>
        </is>
      </c>
    </row>
    <row r="170">
      <c r="A170" t="inlineStr">
        <is>
          <t>900008250DW68D25110000191</t>
        </is>
      </c>
      <c r="B170" t="inlineStr">
        <is>
          <t>4600058169-140</t>
        </is>
      </c>
      <c r="C170" t="n">
        <v>4600058169</v>
      </c>
      <c r="D170" t="n">
        <v>140</v>
      </c>
      <c r="E170" t="inlineStr">
        <is>
          <t>MXPO</t>
        </is>
      </c>
      <c r="F170" t="inlineStr">
        <is>
          <t>MXL</t>
        </is>
      </c>
      <c r="G170" t="n">
        <v>900008250</v>
      </c>
      <c r="H170" t="inlineStr">
        <is>
          <t>SF TC-ED-MAREVA GA TONALA</t>
        </is>
      </c>
      <c r="I170" t="n">
        <v>5043944</v>
      </c>
      <c r="J170" t="inlineStr">
        <is>
          <t>CONSTRUCCIONES MAREVA DE OCCIDENTE</t>
        </is>
      </c>
      <c r="K170" t="inlineStr">
        <is>
          <t>Z04</t>
        </is>
      </c>
      <c r="L170" t="inlineStr">
        <is>
          <t>(AP) 30 Dias</t>
        </is>
      </c>
      <c r="M170" t="n">
        <v>10000191</v>
      </c>
      <c r="N170" t="inlineStr">
        <is>
          <t>Grava Triturada Basalto 20 mm - 3/4"</t>
        </is>
      </c>
      <c r="O170" t="inlineStr">
        <is>
          <t>DW68</t>
        </is>
      </c>
      <c r="P170" t="inlineStr">
        <is>
          <t>MX-CED. GUADALAJARA</t>
        </is>
      </c>
      <c r="Q170" t="n">
        <v>20230704</v>
      </c>
      <c r="R170" t="n">
        <v>20281231</v>
      </c>
      <c r="S170" t="n">
        <v>20230704</v>
      </c>
      <c r="T170" t="n">
        <v>20281231</v>
      </c>
      <c r="U170" t="n">
        <v>350.4</v>
      </c>
      <c r="V170" t="inlineStr">
        <is>
          <t>MXN</t>
        </is>
      </c>
      <c r="W170" t="inlineStr">
        <is>
          <t>M3</t>
        </is>
      </c>
      <c r="X170" t="n">
        <v>50.4</v>
      </c>
      <c r="Y170" t="inlineStr">
        <is>
          <t>MXN</t>
        </is>
      </c>
      <c r="Z170" t="inlineStr">
        <is>
          <t>M3</t>
        </is>
      </c>
      <c r="AA170" t="inlineStr">
        <is>
          <t>D251</t>
        </is>
      </c>
      <c r="AB170" t="inlineStr">
        <is>
          <t>PD0339 EL SALTO</t>
        </is>
      </c>
      <c r="AC170" t="n">
        <v>56103637</v>
      </c>
      <c r="AD170" t="n">
        <v>6644241540</v>
      </c>
      <c r="AE170" t="n">
        <v>4</v>
      </c>
      <c r="AF170" t="inlineStr">
        <is>
          <t>ENTREGA DIRECTA</t>
        </is>
      </c>
      <c r="AG170" t="n">
        <v>1.41</v>
      </c>
      <c r="AH170" t="inlineStr">
        <is>
          <t>M3</t>
        </is>
      </c>
      <c r="AI170" t="inlineStr">
        <is>
          <t>X</t>
        </is>
      </c>
      <c r="AJ170" t="n">
        <v>4</v>
      </c>
      <c r="AK170" t="inlineStr">
        <is>
          <t>V4</t>
        </is>
      </c>
      <c r="AL170" t="n">
        <v>20230920</v>
      </c>
      <c r="AM170" t="inlineStr">
        <is>
          <t>DW68-900008250-D251-10000191-4</t>
        </is>
      </c>
    </row>
    <row r="171">
      <c r="A171" t="inlineStr">
        <is>
          <t>900008250DW68D04210000191</t>
        </is>
      </c>
      <c r="B171" t="inlineStr">
        <is>
          <t>4600058169-150</t>
        </is>
      </c>
      <c r="C171" t="n">
        <v>4600058169</v>
      </c>
      <c r="D171" t="n">
        <v>150</v>
      </c>
      <c r="E171" t="inlineStr">
        <is>
          <t>MXPO</t>
        </is>
      </c>
      <c r="F171" t="inlineStr">
        <is>
          <t>MXL</t>
        </is>
      </c>
      <c r="G171" t="n">
        <v>900008250</v>
      </c>
      <c r="H171" t="inlineStr">
        <is>
          <t>SF TC-ED-MAREVA GA TONALA</t>
        </is>
      </c>
      <c r="I171" t="n">
        <v>5043944</v>
      </c>
      <c r="J171" t="inlineStr">
        <is>
          <t>CONSTRUCCIONES MAREVA DE OCCIDENTE</t>
        </is>
      </c>
      <c r="K171" t="inlineStr">
        <is>
          <t>Z04</t>
        </is>
      </c>
      <c r="L171" t="inlineStr">
        <is>
          <t>(AP) 30 Dias</t>
        </is>
      </c>
      <c r="M171" t="n">
        <v>10000191</v>
      </c>
      <c r="N171" t="inlineStr">
        <is>
          <t>Grava Triturada Basalto 20 mm - 3/4"</t>
        </is>
      </c>
      <c r="O171" t="inlineStr">
        <is>
          <t>DW68</t>
        </is>
      </c>
      <c r="P171" t="inlineStr">
        <is>
          <t>MX-CED. GUADALAJARA</t>
        </is>
      </c>
      <c r="Q171" t="n">
        <v>20230704</v>
      </c>
      <c r="R171" t="n">
        <v>20281231</v>
      </c>
      <c r="S171" t="n">
        <v>20230704</v>
      </c>
      <c r="T171" t="n">
        <v>20281231</v>
      </c>
      <c r="U171" t="n">
        <v>417.6</v>
      </c>
      <c r="V171" t="inlineStr">
        <is>
          <t>MXN</t>
        </is>
      </c>
      <c r="W171" t="inlineStr">
        <is>
          <t>M3</t>
        </is>
      </c>
      <c r="X171" t="n">
        <v>117.6</v>
      </c>
      <c r="Y171" t="inlineStr">
        <is>
          <t>MXN</t>
        </is>
      </c>
      <c r="Z171" t="inlineStr">
        <is>
          <t>M3</t>
        </is>
      </c>
      <c r="AA171" t="inlineStr">
        <is>
          <t>D042</t>
        </is>
      </c>
      <c r="AB171" t="inlineStr">
        <is>
          <t>PD0406 PLANTA PONIENTE</t>
        </is>
      </c>
      <c r="AC171" t="n">
        <v>56103637</v>
      </c>
      <c r="AD171" t="n">
        <v>6644241540</v>
      </c>
      <c r="AE171" t="n">
        <v>4</v>
      </c>
      <c r="AF171" t="inlineStr">
        <is>
          <t>ENTREGA DIRECTA</t>
        </is>
      </c>
      <c r="AG171" t="n">
        <v>1.41</v>
      </c>
      <c r="AH171" t="inlineStr">
        <is>
          <t>M3</t>
        </is>
      </c>
      <c r="AI171" t="inlineStr">
        <is>
          <t>X</t>
        </is>
      </c>
      <c r="AJ171" t="n">
        <v>4</v>
      </c>
      <c r="AK171" t="inlineStr">
        <is>
          <t>V4</t>
        </is>
      </c>
      <c r="AL171" t="n">
        <v>20230920</v>
      </c>
      <c r="AM171" t="inlineStr">
        <is>
          <t>DW68-900008250-D042-10000191-4</t>
        </is>
      </c>
    </row>
    <row r="172">
      <c r="A172" t="inlineStr">
        <is>
          <t>900008250DW68D20910000191</t>
        </is>
      </c>
      <c r="B172" t="inlineStr">
        <is>
          <t>4600058169-170</t>
        </is>
      </c>
      <c r="C172" t="n">
        <v>4600058169</v>
      </c>
      <c r="D172" t="n">
        <v>170</v>
      </c>
      <c r="E172" t="inlineStr">
        <is>
          <t>MXPO</t>
        </is>
      </c>
      <c r="F172" t="inlineStr">
        <is>
          <t>MXL</t>
        </is>
      </c>
      <c r="G172" t="n">
        <v>900008250</v>
      </c>
      <c r="H172" t="inlineStr">
        <is>
          <t>SF TC-ED-MAREVA GA TONALA</t>
        </is>
      </c>
      <c r="I172" t="n">
        <v>5043944</v>
      </c>
      <c r="J172" t="inlineStr">
        <is>
          <t>CONSTRUCCIONES MAREVA DE OCCIDENTE</t>
        </is>
      </c>
      <c r="K172" t="inlineStr">
        <is>
          <t>Z04</t>
        </is>
      </c>
      <c r="L172" t="inlineStr">
        <is>
          <t>(AP) 30 Dias</t>
        </is>
      </c>
      <c r="M172" t="n">
        <v>10000191</v>
      </c>
      <c r="N172" t="inlineStr">
        <is>
          <t>Grava Triturada Basalto 20 mm - 3/4"</t>
        </is>
      </c>
      <c r="O172" t="inlineStr">
        <is>
          <t>DW68</t>
        </is>
      </c>
      <c r="P172" t="inlineStr">
        <is>
          <t>MX-CED. GUADALAJARA</t>
        </is>
      </c>
      <c r="Q172" t="n">
        <v>20230704</v>
      </c>
      <c r="R172" t="n">
        <v>20281231</v>
      </c>
      <c r="S172" t="n">
        <v>20230704</v>
      </c>
      <c r="T172" t="n">
        <v>20281231</v>
      </c>
      <c r="U172" t="n">
        <v>403.6</v>
      </c>
      <c r="V172" t="inlineStr">
        <is>
          <t>MXN</t>
        </is>
      </c>
      <c r="W172" t="inlineStr">
        <is>
          <t>M3</t>
        </is>
      </c>
      <c r="X172" t="n">
        <v>103.6</v>
      </c>
      <c r="Y172" t="inlineStr">
        <is>
          <t>MXN</t>
        </is>
      </c>
      <c r="Z172" t="inlineStr">
        <is>
          <t>M3</t>
        </is>
      </c>
      <c r="AA172" t="inlineStr">
        <is>
          <t>D209</t>
        </is>
      </c>
      <c r="AB172" t="inlineStr">
        <is>
          <t>PD0127 MANANTIAL</t>
        </is>
      </c>
      <c r="AC172" t="n">
        <v>56103637</v>
      </c>
      <c r="AD172" t="n">
        <v>6644241540</v>
      </c>
      <c r="AE172" t="n">
        <v>4</v>
      </c>
      <c r="AF172" t="inlineStr">
        <is>
          <t>ENTREGA DIRECTA</t>
        </is>
      </c>
      <c r="AG172" t="n">
        <v>1.41</v>
      </c>
      <c r="AH172" t="inlineStr">
        <is>
          <t>M3</t>
        </is>
      </c>
      <c r="AI172" t="inlineStr">
        <is>
          <t>X</t>
        </is>
      </c>
      <c r="AJ172" t="n">
        <v>4</v>
      </c>
      <c r="AK172" t="inlineStr">
        <is>
          <t>V4</t>
        </is>
      </c>
      <c r="AL172" t="n">
        <v>20230920</v>
      </c>
      <c r="AM172" t="inlineStr">
        <is>
          <t>DW68-900008250-D209-10000191-4</t>
        </is>
      </c>
    </row>
    <row r="173">
      <c r="A173" t="inlineStr">
        <is>
          <t>900008250DW68D24710148454</t>
        </is>
      </c>
      <c r="B173" t="inlineStr">
        <is>
          <t>4600058169-280</t>
        </is>
      </c>
      <c r="C173" t="n">
        <v>4600058169</v>
      </c>
      <c r="D173" t="n">
        <v>280</v>
      </c>
      <c r="E173" t="inlineStr">
        <is>
          <t>MXPO</t>
        </is>
      </c>
      <c r="F173" t="inlineStr">
        <is>
          <t>MXL</t>
        </is>
      </c>
      <c r="G173" t="n">
        <v>900008250</v>
      </c>
      <c r="H173" t="inlineStr">
        <is>
          <t>SF TC-ED-MAREVA GA TONALA</t>
        </is>
      </c>
      <c r="I173" t="n">
        <v>5043944</v>
      </c>
      <c r="J173" t="inlineStr">
        <is>
          <t>CONSTRUCCIONES MAREVA DE OCCIDENTE</t>
        </is>
      </c>
      <c r="K173" t="inlineStr">
        <is>
          <t>Z04</t>
        </is>
      </c>
      <c r="L173" t="inlineStr">
        <is>
          <t>(AP) 30 Dias</t>
        </is>
      </c>
      <c r="M173" t="n">
        <v>10148454</v>
      </c>
      <c r="N173" t="inlineStr">
        <is>
          <t>GRAVA TRITURADA BASALTO 40 MM - 1 1/2" A</t>
        </is>
      </c>
      <c r="O173" t="inlineStr">
        <is>
          <t>DW68</t>
        </is>
      </c>
      <c r="P173" t="inlineStr">
        <is>
          <t>MX-CED. GUADALAJARA</t>
        </is>
      </c>
      <c r="Q173" t="n">
        <v>20230704</v>
      </c>
      <c r="R173" t="n">
        <v>20281231</v>
      </c>
      <c r="S173" t="n">
        <v>20230704</v>
      </c>
      <c r="T173" t="n">
        <v>20281231</v>
      </c>
      <c r="U173" t="n">
        <v>339.2</v>
      </c>
      <c r="V173" t="inlineStr">
        <is>
          <t>MXN</t>
        </is>
      </c>
      <c r="W173" t="inlineStr">
        <is>
          <t>M3</t>
        </is>
      </c>
      <c r="X173" t="n">
        <v>39.2</v>
      </c>
      <c r="Y173" t="inlineStr">
        <is>
          <t>MXN</t>
        </is>
      </c>
      <c r="Z173" t="inlineStr">
        <is>
          <t>M3</t>
        </is>
      </c>
      <c r="AA173" t="inlineStr">
        <is>
          <t>D247</t>
        </is>
      </c>
      <c r="AB173" t="inlineStr">
        <is>
          <t>PD0518 TONALA</t>
        </is>
      </c>
      <c r="AC173" t="n">
        <v>56103637</v>
      </c>
      <c r="AD173" t="n">
        <v>6644241540</v>
      </c>
      <c r="AE173" t="n">
        <v>4</v>
      </c>
      <c r="AF173" t="inlineStr">
        <is>
          <t>ENTREGA DIRECTA</t>
        </is>
      </c>
      <c r="AG173" t="n">
        <v>1</v>
      </c>
      <c r="AH173" t="inlineStr">
        <is>
          <t>TO</t>
        </is>
      </c>
      <c r="AI173" t="inlineStr">
        <is>
          <t>X</t>
        </is>
      </c>
      <c r="AJ173" t="n">
        <v>4</v>
      </c>
      <c r="AK173" t="inlineStr">
        <is>
          <t>V4</t>
        </is>
      </c>
      <c r="AL173" t="n">
        <v>20230920</v>
      </c>
      <c r="AM173" t="inlineStr">
        <is>
          <t>DW68-900008250-D247-10148454-4</t>
        </is>
      </c>
    </row>
    <row r="174">
      <c r="A174" t="inlineStr">
        <is>
          <t>900002733DW68D22810018375</t>
        </is>
      </c>
      <c r="B174" t="inlineStr">
        <is>
          <t>4600050422-10</t>
        </is>
      </c>
      <c r="C174" t="n">
        <v>4600050422</v>
      </c>
      <c r="D174" t="n">
        <v>10</v>
      </c>
      <c r="E174" t="inlineStr">
        <is>
          <t>MXPO</t>
        </is>
      </c>
      <c r="F174" t="inlineStr">
        <is>
          <t>MXL</t>
        </is>
      </c>
      <c r="G174" t="n">
        <v>900002733</v>
      </c>
      <c r="H174" t="inlineStr">
        <is>
          <t>TC-ED- BANDERAS</t>
        </is>
      </c>
      <c r="I174" t="n">
        <v>5046238</v>
      </c>
      <c r="J174" t="inlineStr">
        <is>
          <t>SOLUCIONES LOGISTICAS PARA LA</t>
        </is>
      </c>
      <c r="K174" t="inlineStr">
        <is>
          <t>N90</t>
        </is>
      </c>
      <c r="L174" t="inlineStr">
        <is>
          <t>(AP) NAFIN 90 Dias</t>
        </is>
      </c>
      <c r="M174" t="n">
        <v>10018375</v>
      </c>
      <c r="N174" t="inlineStr">
        <is>
          <t>Arena Triturada Basalto Malla 4 - BC</t>
        </is>
      </c>
      <c r="O174" t="inlineStr">
        <is>
          <t>DW68</t>
        </is>
      </c>
      <c r="P174" t="inlineStr">
        <is>
          <t>MX-CED. GUADALAJARA</t>
        </is>
      </c>
      <c r="Q174" t="n">
        <v>20210801</v>
      </c>
      <c r="R174" t="n">
        <v>20261231</v>
      </c>
      <c r="S174" t="n">
        <v>20210712</v>
      </c>
      <c r="T174" t="n">
        <v>20261231</v>
      </c>
      <c r="U174" t="n">
        <v>380</v>
      </c>
      <c r="V174" t="inlineStr">
        <is>
          <t>MXN</t>
        </is>
      </c>
      <c r="W174" t="inlineStr">
        <is>
          <t>M3</t>
        </is>
      </c>
      <c r="X174" t="n">
        <v>320</v>
      </c>
      <c r="Y174" t="inlineStr">
        <is>
          <t>MXN</t>
        </is>
      </c>
      <c r="Z174" t="inlineStr">
        <is>
          <t>M3</t>
        </is>
      </c>
      <c r="AA174" t="inlineStr">
        <is>
          <t>D228</t>
        </is>
      </c>
      <c r="AB174" t="inlineStr">
        <is>
          <t>PD0123 TLAJOMULCO</t>
        </is>
      </c>
      <c r="AC174" t="n">
        <v>56103638</v>
      </c>
      <c r="AD174" t="n">
        <v>6644241540</v>
      </c>
      <c r="AE174" t="n">
        <v>4</v>
      </c>
      <c r="AF174" t="inlineStr">
        <is>
          <t>ENTREGA DIRECTA</t>
        </is>
      </c>
      <c r="AG174" t="n">
        <v>1.32</v>
      </c>
      <c r="AH174" t="inlineStr">
        <is>
          <t>M3</t>
        </is>
      </c>
      <c r="AI174" t="inlineStr">
        <is>
          <t>X</t>
        </is>
      </c>
      <c r="AJ174" t="n">
        <v>4</v>
      </c>
      <c r="AK174" t="inlineStr">
        <is>
          <t>V4</t>
        </is>
      </c>
      <c r="AL174" t="n">
        <v>20260108</v>
      </c>
      <c r="AM174" t="inlineStr">
        <is>
          <t>DW68-900002733-D228-10018375-4</t>
        </is>
      </c>
    </row>
    <row r="175">
      <c r="A175" t="inlineStr">
        <is>
          <t>900002733DW68D24210018375</t>
        </is>
      </c>
      <c r="B175" t="inlineStr">
        <is>
          <t>4600050422-20</t>
        </is>
      </c>
      <c r="C175" t="n">
        <v>4600050422</v>
      </c>
      <c r="D175" t="n">
        <v>20</v>
      </c>
      <c r="E175" t="inlineStr">
        <is>
          <t>MXPO</t>
        </is>
      </c>
      <c r="F175" t="inlineStr">
        <is>
          <t>MXL</t>
        </is>
      </c>
      <c r="G175" t="n">
        <v>900002733</v>
      </c>
      <c r="H175" t="inlineStr">
        <is>
          <t>TC-ED- BANDERAS</t>
        </is>
      </c>
      <c r="I175" t="n">
        <v>5046238</v>
      </c>
      <c r="J175" t="inlineStr">
        <is>
          <t>SOLUCIONES LOGISTICAS PARA LA</t>
        </is>
      </c>
      <c r="K175" t="inlineStr">
        <is>
          <t>N90</t>
        </is>
      </c>
      <c r="L175" t="inlineStr">
        <is>
          <t>(AP) NAFIN 90 Dias</t>
        </is>
      </c>
      <c r="M175" t="n">
        <v>10018375</v>
      </c>
      <c r="N175" t="inlineStr">
        <is>
          <t>Arena Triturada Basalto Malla 4 - BC</t>
        </is>
      </c>
      <c r="O175" t="inlineStr">
        <is>
          <t>DW68</t>
        </is>
      </c>
      <c r="P175" t="inlineStr">
        <is>
          <t>MX-CED. GUADALAJARA</t>
        </is>
      </c>
      <c r="Q175" t="n">
        <v>20210801</v>
      </c>
      <c r="R175" t="n">
        <v>20261231</v>
      </c>
      <c r="S175" t="n">
        <v>20210712</v>
      </c>
      <c r="T175" t="n">
        <v>20261231</v>
      </c>
      <c r="U175" t="n">
        <v>413</v>
      </c>
      <c r="V175" t="inlineStr">
        <is>
          <t>MXN</t>
        </is>
      </c>
      <c r="W175" t="inlineStr">
        <is>
          <t>M3</t>
        </is>
      </c>
      <c r="X175" t="n">
        <v>353</v>
      </c>
      <c r="Y175" t="inlineStr">
        <is>
          <t>MXN</t>
        </is>
      </c>
      <c r="Z175" t="inlineStr">
        <is>
          <t>M3</t>
        </is>
      </c>
      <c r="AA175" t="inlineStr">
        <is>
          <t>D242</t>
        </is>
      </c>
      <c r="AB175" t="inlineStr">
        <is>
          <t>PD0454 CD. LA GRANJA II</t>
        </is>
      </c>
      <c r="AC175" t="n">
        <v>56103638</v>
      </c>
      <c r="AD175" t="n">
        <v>6644241540</v>
      </c>
      <c r="AE175" t="n">
        <v>4</v>
      </c>
      <c r="AF175" t="inlineStr">
        <is>
          <t>ENTREGA DIRECTA</t>
        </is>
      </c>
      <c r="AG175" t="n">
        <v>1.32</v>
      </c>
      <c r="AH175" t="inlineStr">
        <is>
          <t>M3</t>
        </is>
      </c>
      <c r="AI175" t="inlineStr">
        <is>
          <t>X</t>
        </is>
      </c>
      <c r="AJ175" t="n">
        <v>4</v>
      </c>
      <c r="AK175" t="inlineStr">
        <is>
          <t>V4</t>
        </is>
      </c>
      <c r="AL175" t="n">
        <v>20260108</v>
      </c>
      <c r="AM175" t="inlineStr">
        <is>
          <t>DW68-900002733-D242-10018375-4</t>
        </is>
      </c>
    </row>
    <row r="176">
      <c r="A176" t="inlineStr">
        <is>
          <t>900004885DW68D04210000191</t>
        </is>
      </c>
      <c r="B176" t="inlineStr">
        <is>
          <t>4600050439-50</t>
        </is>
      </c>
      <c r="C176" t="n">
        <v>4600050439</v>
      </c>
      <c r="D176" t="n">
        <v>50</v>
      </c>
      <c r="E176" t="inlineStr">
        <is>
          <t>MXPO</t>
        </is>
      </c>
      <c r="F176" t="inlineStr">
        <is>
          <t>MXL</t>
        </is>
      </c>
      <c r="G176" t="n">
        <v>900004885</v>
      </c>
      <c r="H176" t="inlineStr">
        <is>
          <t>TC-ED PICA PIEDRA</t>
        </is>
      </c>
      <c r="I176" t="n">
        <v>5064954</v>
      </c>
      <c r="J176" t="inlineStr">
        <is>
          <t>AGREGADOS Y CONCRETOS PICA PIEDRA</t>
        </is>
      </c>
      <c r="K176" t="inlineStr">
        <is>
          <t>N90</t>
        </is>
      </c>
      <c r="L176" t="inlineStr">
        <is>
          <t>(AP) NAFIN 90 Dias</t>
        </is>
      </c>
      <c r="M176" t="n">
        <v>10000191</v>
      </c>
      <c r="N176" t="inlineStr">
        <is>
          <t>Grava Triturada Basalto 20 mm - 3/4"</t>
        </is>
      </c>
      <c r="O176" t="inlineStr">
        <is>
          <t>DW68</t>
        </is>
      </c>
      <c r="P176" t="inlineStr">
        <is>
          <t>MX-CED. GUADALAJARA</t>
        </is>
      </c>
      <c r="Q176" t="n">
        <v>20210801</v>
      </c>
      <c r="R176" t="n">
        <v>20261231</v>
      </c>
      <c r="S176" t="n">
        <v>20210712</v>
      </c>
      <c r="T176" t="n">
        <v>20261231</v>
      </c>
      <c r="U176" t="n">
        <v>249.02</v>
      </c>
      <c r="V176" t="inlineStr">
        <is>
          <t>MXN</t>
        </is>
      </c>
      <c r="W176" t="inlineStr">
        <is>
          <t>M3</t>
        </is>
      </c>
      <c r="X176" t="n">
        <v>119.02</v>
      </c>
      <c r="Y176" t="inlineStr">
        <is>
          <t>MXN</t>
        </is>
      </c>
      <c r="Z176" t="inlineStr">
        <is>
          <t>M3</t>
        </is>
      </c>
      <c r="AA176" t="inlineStr">
        <is>
          <t>D042</t>
        </is>
      </c>
      <c r="AB176" t="inlineStr">
        <is>
          <t>PD0406 PLANTA PONIENTE</t>
        </is>
      </c>
      <c r="AC176" t="n">
        <v>56103637</v>
      </c>
      <c r="AD176" t="n">
        <v>6644241540</v>
      </c>
      <c r="AE176" t="n">
        <v>4</v>
      </c>
      <c r="AF176" t="inlineStr">
        <is>
          <t>ENTREGA DIRECTA</t>
        </is>
      </c>
      <c r="AG176" t="n">
        <v>1.41</v>
      </c>
      <c r="AH176" t="inlineStr">
        <is>
          <t>M3</t>
        </is>
      </c>
      <c r="AI176" t="inlineStr">
        <is>
          <t>X</t>
        </is>
      </c>
      <c r="AJ176" t="n">
        <v>4</v>
      </c>
      <c r="AK176" t="inlineStr">
        <is>
          <t>V4</t>
        </is>
      </c>
      <c r="AL176" t="n">
        <v>20260108</v>
      </c>
      <c r="AM176" t="inlineStr">
        <is>
          <t>DW68-900004885-D042-10000191-4</t>
        </is>
      </c>
    </row>
    <row r="177">
      <c r="A177" t="inlineStr">
        <is>
          <t>900005508DW68D22810000388</t>
        </is>
      </c>
      <c r="B177" t="inlineStr">
        <is>
          <t>4600050448-80</t>
        </is>
      </c>
      <c r="C177" t="n">
        <v>4600050448</v>
      </c>
      <c r="D177" t="n">
        <v>80</v>
      </c>
      <c r="E177" t="inlineStr">
        <is>
          <t>MXPO</t>
        </is>
      </c>
      <c r="F177" t="inlineStr">
        <is>
          <t>MXL</t>
        </is>
      </c>
      <c r="G177" t="n">
        <v>900005508</v>
      </c>
      <c r="H177" t="inlineStr">
        <is>
          <t>TC-ED JUAN DAVALOS</t>
        </is>
      </c>
      <c r="I177" t="n">
        <v>5014444</v>
      </c>
      <c r="J177" t="inlineStr">
        <is>
          <t>DAVALOS GUTIERREZ JUAN JOSE</t>
        </is>
      </c>
      <c r="K177" t="inlineStr">
        <is>
          <t>N90</t>
        </is>
      </c>
      <c r="L177" t="inlineStr">
        <is>
          <t>(AP) NAFIN 90 Dias</t>
        </is>
      </c>
      <c r="M177" t="n">
        <v>10000388</v>
      </c>
      <c r="N177" t="inlineStr">
        <is>
          <t>Grava Triturada Basalto  40 mm - 1 1/2"</t>
        </is>
      </c>
      <c r="O177" t="inlineStr">
        <is>
          <t>DW68</t>
        </is>
      </c>
      <c r="P177" t="inlineStr">
        <is>
          <t>MX-CED. GUADALAJARA</t>
        </is>
      </c>
      <c r="Q177" t="n">
        <v>20210801</v>
      </c>
      <c r="R177" t="n">
        <v>20261231</v>
      </c>
      <c r="S177" t="n">
        <v>20210712</v>
      </c>
      <c r="T177" t="n">
        <v>20261231</v>
      </c>
      <c r="U177" t="n">
        <v>259.2</v>
      </c>
      <c r="V177" t="inlineStr">
        <is>
          <t>MXN</t>
        </is>
      </c>
      <c r="W177" t="inlineStr">
        <is>
          <t>M3</t>
        </is>
      </c>
      <c r="X177" t="n">
        <v>149.2</v>
      </c>
      <c r="Y177" t="inlineStr">
        <is>
          <t>MXN</t>
        </is>
      </c>
      <c r="Z177" t="inlineStr">
        <is>
          <t>M3</t>
        </is>
      </c>
      <c r="AA177" t="inlineStr">
        <is>
          <t>D228</t>
        </is>
      </c>
      <c r="AB177" t="inlineStr">
        <is>
          <t>PD0123 TLAJOMULCO</t>
        </is>
      </c>
      <c r="AC177" t="n">
        <v>56103637</v>
      </c>
      <c r="AD177" t="n">
        <v>6644241540</v>
      </c>
      <c r="AE177" t="n">
        <v>4</v>
      </c>
      <c r="AF177" t="inlineStr">
        <is>
          <t>ENTREGA DIRECTA</t>
        </is>
      </c>
      <c r="AG177" t="n">
        <v>1.395</v>
      </c>
      <c r="AH177" t="inlineStr">
        <is>
          <t>M3</t>
        </is>
      </c>
      <c r="AI177" t="inlineStr">
        <is>
          <t>X</t>
        </is>
      </c>
      <c r="AJ177" t="n">
        <v>4</v>
      </c>
      <c r="AK177" t="inlineStr">
        <is>
          <t>V4</t>
        </is>
      </c>
      <c r="AL177" t="n">
        <v>20260108</v>
      </c>
      <c r="AM177" t="inlineStr">
        <is>
          <t>DW68-900005508-D228-10000388-4</t>
        </is>
      </c>
    </row>
    <row r="178">
      <c r="A178" t="inlineStr">
        <is>
          <t>900008250DW68D04210004258</t>
        </is>
      </c>
      <c r="B178" t="inlineStr">
        <is>
          <t>4600058169-30</t>
        </is>
      </c>
      <c r="C178" t="n">
        <v>4600058169</v>
      </c>
      <c r="D178" t="n">
        <v>30</v>
      </c>
      <c r="E178" t="inlineStr">
        <is>
          <t>MXPO</t>
        </is>
      </c>
      <c r="F178" t="inlineStr">
        <is>
          <t>MXL</t>
        </is>
      </c>
      <c r="G178" t="n">
        <v>900008250</v>
      </c>
      <c r="H178" t="inlineStr">
        <is>
          <t>SF TC-ED-MAREVA GA TONALA</t>
        </is>
      </c>
      <c r="I178" t="n">
        <v>5043944</v>
      </c>
      <c r="J178" t="inlineStr">
        <is>
          <t>CONSTRUCCIONES MAREVA DE OCCIDENTE</t>
        </is>
      </c>
      <c r="K178" t="inlineStr">
        <is>
          <t>Z04</t>
        </is>
      </c>
      <c r="L178" t="inlineStr">
        <is>
          <t>(AP) 30 Dias</t>
        </is>
      </c>
      <c r="M178" t="n">
        <v>10004258</v>
      </c>
      <c r="N178" t="inlineStr">
        <is>
          <t>Sello Triturado Basalto 10 mm - 3/8"</t>
        </is>
      </c>
      <c r="O178" t="inlineStr">
        <is>
          <t>DW68</t>
        </is>
      </c>
      <c r="P178" t="inlineStr">
        <is>
          <t>MX-CED. GUADALAJARA</t>
        </is>
      </c>
      <c r="Q178" t="n">
        <v>20230704</v>
      </c>
      <c r="R178" t="n">
        <v>20281231</v>
      </c>
      <c r="S178" t="n">
        <v>20230704</v>
      </c>
      <c r="T178" t="n">
        <v>20281231</v>
      </c>
      <c r="U178" t="n">
        <v>732.6</v>
      </c>
      <c r="V178" t="inlineStr">
        <is>
          <t>MXN</t>
        </is>
      </c>
      <c r="W178" t="inlineStr">
        <is>
          <t>M3</t>
        </is>
      </c>
      <c r="X178" t="n">
        <v>117.6</v>
      </c>
      <c r="Y178" t="inlineStr">
        <is>
          <t>MXN</t>
        </is>
      </c>
      <c r="Z178" t="inlineStr">
        <is>
          <t>M3</t>
        </is>
      </c>
      <c r="AA178" t="inlineStr">
        <is>
          <t>D042</t>
        </is>
      </c>
      <c r="AB178" t="inlineStr">
        <is>
          <t>PD0406 PLANTA PONIENTE</t>
        </is>
      </c>
      <c r="AC178" t="n">
        <v>56103637</v>
      </c>
      <c r="AD178" t="n">
        <v>6644241540</v>
      </c>
      <c r="AE178" t="n">
        <v>4</v>
      </c>
      <c r="AF178" t="inlineStr">
        <is>
          <t>ENTREGA DIRECTA</t>
        </is>
      </c>
      <c r="AG178" t="n">
        <v>1.53</v>
      </c>
      <c r="AH178" t="inlineStr">
        <is>
          <t>M3</t>
        </is>
      </c>
      <c r="AI178" t="inlineStr">
        <is>
          <t>X</t>
        </is>
      </c>
      <c r="AJ178" t="n">
        <v>4</v>
      </c>
      <c r="AK178" t="inlineStr">
        <is>
          <t>V4</t>
        </is>
      </c>
      <c r="AL178" t="n">
        <v>20230920</v>
      </c>
      <c r="AM178" t="inlineStr">
        <is>
          <t>DW68-900008250-D042-10004258-4</t>
        </is>
      </c>
    </row>
    <row r="179">
      <c r="A179" t="inlineStr">
        <is>
          <t>900008250DW68D26410004258</t>
        </is>
      </c>
      <c r="B179" t="inlineStr">
        <is>
          <t>4600058169-60</t>
        </is>
      </c>
      <c r="C179" t="n">
        <v>4600058169</v>
      </c>
      <c r="D179" t="n">
        <v>60</v>
      </c>
      <c r="E179" t="inlineStr">
        <is>
          <t>MXPO</t>
        </is>
      </c>
      <c r="F179" t="inlineStr">
        <is>
          <t>MXL</t>
        </is>
      </c>
      <c r="G179" t="n">
        <v>900008250</v>
      </c>
      <c r="H179" t="inlineStr">
        <is>
          <t>SF TC-ED-MAREVA GA TONALA</t>
        </is>
      </c>
      <c r="I179" t="n">
        <v>5043944</v>
      </c>
      <c r="J179" t="inlineStr">
        <is>
          <t>CONSTRUCCIONES MAREVA DE OCCIDENTE</t>
        </is>
      </c>
      <c r="K179" t="inlineStr">
        <is>
          <t>Z04</t>
        </is>
      </c>
      <c r="L179" t="inlineStr">
        <is>
          <t>(AP) 30 Dias</t>
        </is>
      </c>
      <c r="M179" t="n">
        <v>10004258</v>
      </c>
      <c r="N179" t="inlineStr">
        <is>
          <t>Sello Triturado Basalto 10 mm - 3/8"</t>
        </is>
      </c>
      <c r="O179" t="inlineStr">
        <is>
          <t>DW68</t>
        </is>
      </c>
      <c r="P179" t="inlineStr">
        <is>
          <t>MX-CED. GUADALAJARA</t>
        </is>
      </c>
      <c r="Q179" t="n">
        <v>20230704</v>
      </c>
      <c r="R179" t="n">
        <v>20281231</v>
      </c>
      <c r="S179" t="n">
        <v>20230704</v>
      </c>
      <c r="T179" t="n">
        <v>20281231</v>
      </c>
      <c r="U179" t="n">
        <v>704.6</v>
      </c>
      <c r="V179" t="inlineStr">
        <is>
          <t>MXN</t>
        </is>
      </c>
      <c r="W179" t="inlineStr">
        <is>
          <t>M3</t>
        </is>
      </c>
      <c r="X179" t="n">
        <v>89.59999999999999</v>
      </c>
      <c r="Y179" t="inlineStr">
        <is>
          <t>MXN</t>
        </is>
      </c>
      <c r="Z179" t="inlineStr">
        <is>
          <t>M3</t>
        </is>
      </c>
      <c r="AA179" t="inlineStr">
        <is>
          <t>D264</t>
        </is>
      </c>
      <c r="AB179" t="inlineStr">
        <is>
          <t>PD0083 GUADALAJARA I III</t>
        </is>
      </c>
      <c r="AC179" t="n">
        <v>56103637</v>
      </c>
      <c r="AD179" t="n">
        <v>6644241540</v>
      </c>
      <c r="AE179" t="n">
        <v>4</v>
      </c>
      <c r="AF179" t="inlineStr">
        <is>
          <t>ENTREGA DIRECTA</t>
        </is>
      </c>
      <c r="AG179" t="n">
        <v>1.53</v>
      </c>
      <c r="AH179" t="inlineStr">
        <is>
          <t>M3</t>
        </is>
      </c>
      <c r="AI179" t="inlineStr">
        <is>
          <t>X</t>
        </is>
      </c>
      <c r="AJ179" t="n">
        <v>4</v>
      </c>
      <c r="AK179" t="inlineStr">
        <is>
          <t>V4</t>
        </is>
      </c>
      <c r="AL179" t="n">
        <v>20230920</v>
      </c>
      <c r="AM179" t="inlineStr">
        <is>
          <t>DW68-900008250-D264-10004258-4</t>
        </is>
      </c>
    </row>
    <row r="180">
      <c r="A180" t="inlineStr">
        <is>
          <t>900008250DW68D22810000191</t>
        </is>
      </c>
      <c r="B180" t="inlineStr">
        <is>
          <t>4600058169-130</t>
        </is>
      </c>
      <c r="C180" t="n">
        <v>4600058169</v>
      </c>
      <c r="D180" t="n">
        <v>130</v>
      </c>
      <c r="E180" t="inlineStr">
        <is>
          <t>MXPO</t>
        </is>
      </c>
      <c r="F180" t="inlineStr">
        <is>
          <t>MXL</t>
        </is>
      </c>
      <c r="G180" t="n">
        <v>900008250</v>
      </c>
      <c r="H180" t="inlineStr">
        <is>
          <t>SF TC-ED-MAREVA GA TONALA</t>
        </is>
      </c>
      <c r="I180" t="n">
        <v>5043944</v>
      </c>
      <c r="J180" t="inlineStr">
        <is>
          <t>CONSTRUCCIONES MAREVA DE OCCIDENTE</t>
        </is>
      </c>
      <c r="K180" t="inlineStr">
        <is>
          <t>Z04</t>
        </is>
      </c>
      <c r="L180" t="inlineStr">
        <is>
          <t>(AP) 30 Dias</t>
        </is>
      </c>
      <c r="M180" t="n">
        <v>10000191</v>
      </c>
      <c r="N180" t="inlineStr">
        <is>
          <t>Grava Triturada Basalto 20 mm - 3/4"</t>
        </is>
      </c>
      <c r="O180" t="inlineStr">
        <is>
          <t>DW68</t>
        </is>
      </c>
      <c r="P180" t="inlineStr">
        <is>
          <t>MX-CED. GUADALAJARA</t>
        </is>
      </c>
      <c r="Q180" t="n">
        <v>20230704</v>
      </c>
      <c r="R180" t="n">
        <v>20281231</v>
      </c>
      <c r="S180" t="n">
        <v>20230704</v>
      </c>
      <c r="T180" t="n">
        <v>20281231</v>
      </c>
      <c r="U180" t="n">
        <v>462.4</v>
      </c>
      <c r="V180" t="inlineStr">
        <is>
          <t>MXN</t>
        </is>
      </c>
      <c r="W180" t="inlineStr">
        <is>
          <t>M3</t>
        </is>
      </c>
      <c r="X180" t="n">
        <v>162.4</v>
      </c>
      <c r="Y180" t="inlineStr">
        <is>
          <t>MXN</t>
        </is>
      </c>
      <c r="Z180" t="inlineStr">
        <is>
          <t>M3</t>
        </is>
      </c>
      <c r="AA180" t="inlineStr">
        <is>
          <t>D228</t>
        </is>
      </c>
      <c r="AB180" t="inlineStr">
        <is>
          <t>PD0123 TLAJOMULCO</t>
        </is>
      </c>
      <c r="AC180" t="n">
        <v>56103637</v>
      </c>
      <c r="AD180" t="n">
        <v>6644241540</v>
      </c>
      <c r="AE180" t="n">
        <v>4</v>
      </c>
      <c r="AF180" t="inlineStr">
        <is>
          <t>ENTREGA DIRECTA</t>
        </is>
      </c>
      <c r="AG180" t="n">
        <v>1.41</v>
      </c>
      <c r="AH180" t="inlineStr">
        <is>
          <t>M3</t>
        </is>
      </c>
      <c r="AI180" t="inlineStr">
        <is>
          <t>X</t>
        </is>
      </c>
      <c r="AJ180" t="n">
        <v>4</v>
      </c>
      <c r="AK180" t="inlineStr">
        <is>
          <t>V4</t>
        </is>
      </c>
      <c r="AL180" t="n">
        <v>20230920</v>
      </c>
      <c r="AM180" t="inlineStr">
        <is>
          <t>DW68-900008250-D228-10000191-4</t>
        </is>
      </c>
    </row>
    <row r="181">
      <c r="A181" t="inlineStr">
        <is>
          <t>900008250DW68D24210000388</t>
        </is>
      </c>
      <c r="B181" t="inlineStr">
        <is>
          <t>4600058169-230</t>
        </is>
      </c>
      <c r="C181" t="n">
        <v>4600058169</v>
      </c>
      <c r="D181" t="n">
        <v>230</v>
      </c>
      <c r="E181" t="inlineStr">
        <is>
          <t>MXPO</t>
        </is>
      </c>
      <c r="F181" t="inlineStr">
        <is>
          <t>MXL</t>
        </is>
      </c>
      <c r="G181" t="n">
        <v>900008250</v>
      </c>
      <c r="H181" t="inlineStr">
        <is>
          <t>SF TC-ED-MAREVA GA TONALA</t>
        </is>
      </c>
      <c r="I181" t="n">
        <v>5043944</v>
      </c>
      <c r="J181" t="inlineStr">
        <is>
          <t>CONSTRUCCIONES MAREVA DE OCCIDENTE</t>
        </is>
      </c>
      <c r="K181" t="inlineStr">
        <is>
          <t>Z04</t>
        </is>
      </c>
      <c r="L181" t="inlineStr">
        <is>
          <t>(AP) 30 Dias</t>
        </is>
      </c>
      <c r="M181" t="n">
        <v>10000388</v>
      </c>
      <c r="N181" t="inlineStr">
        <is>
          <t>Grava Triturada Basalto  40 mm - 1 1/2"</t>
        </is>
      </c>
      <c r="O181" t="inlineStr">
        <is>
          <t>DW68</t>
        </is>
      </c>
      <c r="P181" t="inlineStr">
        <is>
          <t>MX-CED. GUADALAJARA</t>
        </is>
      </c>
      <c r="Q181" t="n">
        <v>20230704</v>
      </c>
      <c r="R181" t="n">
        <v>20281231</v>
      </c>
      <c r="S181" t="n">
        <v>20230704</v>
      </c>
      <c r="T181" t="n">
        <v>20281231</v>
      </c>
      <c r="U181" t="n">
        <v>398.2</v>
      </c>
      <c r="V181" t="inlineStr">
        <is>
          <t>MXN</t>
        </is>
      </c>
      <c r="W181" t="inlineStr">
        <is>
          <t>M3</t>
        </is>
      </c>
      <c r="X181" t="n">
        <v>123.2</v>
      </c>
      <c r="Y181" t="inlineStr">
        <is>
          <t>MXN</t>
        </is>
      </c>
      <c r="Z181" t="inlineStr">
        <is>
          <t>M3</t>
        </is>
      </c>
      <c r="AA181" t="inlineStr">
        <is>
          <t>D242</t>
        </is>
      </c>
      <c r="AB181" t="inlineStr">
        <is>
          <t>PD0454 CD. LA GRANJA II</t>
        </is>
      </c>
      <c r="AC181" t="n">
        <v>56103637</v>
      </c>
      <c r="AD181" t="n">
        <v>6644241540</v>
      </c>
      <c r="AE181" t="n">
        <v>4</v>
      </c>
      <c r="AF181" t="inlineStr">
        <is>
          <t>ENTREGA DIRECTA</t>
        </is>
      </c>
      <c r="AG181" t="n">
        <v>1.395</v>
      </c>
      <c r="AH181" t="inlineStr">
        <is>
          <t>M3</t>
        </is>
      </c>
      <c r="AI181" t="inlineStr">
        <is>
          <t>X</t>
        </is>
      </c>
      <c r="AJ181" t="n">
        <v>4</v>
      </c>
      <c r="AK181" t="inlineStr">
        <is>
          <t>V4</t>
        </is>
      </c>
      <c r="AL181" t="n">
        <v>20230920</v>
      </c>
      <c r="AM181" t="inlineStr">
        <is>
          <t>DW68-900008250-D242-10000388-4</t>
        </is>
      </c>
    </row>
    <row r="182">
      <c r="A182" t="inlineStr">
        <is>
          <t>900008250DW68D25110148454</t>
        </is>
      </c>
      <c r="B182" t="inlineStr">
        <is>
          <t>4600058169-300</t>
        </is>
      </c>
      <c r="C182" t="n">
        <v>4600058169</v>
      </c>
      <c r="D182" t="n">
        <v>300</v>
      </c>
      <c r="E182" t="inlineStr">
        <is>
          <t>MXPO</t>
        </is>
      </c>
      <c r="F182" t="inlineStr">
        <is>
          <t>MXL</t>
        </is>
      </c>
      <c r="G182" t="n">
        <v>900008250</v>
      </c>
      <c r="H182" t="inlineStr">
        <is>
          <t>SF TC-ED-MAREVA GA TONALA</t>
        </is>
      </c>
      <c r="I182" t="n">
        <v>5043944</v>
      </c>
      <c r="J182" t="inlineStr">
        <is>
          <t>CONSTRUCCIONES MAREVA DE OCCIDENTE</t>
        </is>
      </c>
      <c r="K182" t="inlineStr">
        <is>
          <t>Z04</t>
        </is>
      </c>
      <c r="L182" t="inlineStr">
        <is>
          <t>(AP) 30 Dias</t>
        </is>
      </c>
      <c r="M182" t="n">
        <v>10148454</v>
      </c>
      <c r="N182" t="inlineStr">
        <is>
          <t>GRAVA TRITURADA BASALTO 40 MM - 1 1/2" A</t>
        </is>
      </c>
      <c r="O182" t="inlineStr">
        <is>
          <t>DW68</t>
        </is>
      </c>
      <c r="P182" t="inlineStr">
        <is>
          <t>MX-CED. GUADALAJARA</t>
        </is>
      </c>
      <c r="Q182" t="n">
        <v>20230704</v>
      </c>
      <c r="R182" t="n">
        <v>20281231</v>
      </c>
      <c r="S182" t="n">
        <v>20230704</v>
      </c>
      <c r="T182" t="n">
        <v>20281231</v>
      </c>
      <c r="U182" t="n">
        <v>350.4</v>
      </c>
      <c r="V182" t="inlineStr">
        <is>
          <t>MXN</t>
        </is>
      </c>
      <c r="W182" t="inlineStr">
        <is>
          <t>M3</t>
        </is>
      </c>
      <c r="X182" t="n">
        <v>50.4</v>
      </c>
      <c r="Y182" t="inlineStr">
        <is>
          <t>MXN</t>
        </is>
      </c>
      <c r="Z182" t="inlineStr">
        <is>
          <t>M3</t>
        </is>
      </c>
      <c r="AA182" t="inlineStr">
        <is>
          <t>D251</t>
        </is>
      </c>
      <c r="AB182" t="inlineStr">
        <is>
          <t>PD0339 EL SALTO</t>
        </is>
      </c>
      <c r="AC182" t="n">
        <v>56103637</v>
      </c>
      <c r="AD182" t="n">
        <v>6644241540</v>
      </c>
      <c r="AE182" t="n">
        <v>4</v>
      </c>
      <c r="AF182" t="inlineStr">
        <is>
          <t>ENTREGA DIRECTA</t>
        </is>
      </c>
      <c r="AG182" t="n">
        <v>1</v>
      </c>
      <c r="AH182" t="inlineStr">
        <is>
          <t>TO</t>
        </is>
      </c>
      <c r="AI182" t="inlineStr">
        <is>
          <t>X</t>
        </is>
      </c>
      <c r="AJ182" t="n">
        <v>4</v>
      </c>
      <c r="AK182" t="inlineStr">
        <is>
          <t>V4</t>
        </is>
      </c>
      <c r="AL182" t="n">
        <v>20230920</v>
      </c>
      <c r="AM182" t="inlineStr">
        <is>
          <t>DW68-900008250-D251-10148454-4</t>
        </is>
      </c>
    </row>
    <row r="183">
      <c r="A183" t="inlineStr">
        <is>
          <t>900002733DW68D21110018375</t>
        </is>
      </c>
      <c r="B183" t="inlineStr">
        <is>
          <t>4600050422-90</t>
        </is>
      </c>
      <c r="C183" t="n">
        <v>4600050422</v>
      </c>
      <c r="D183" t="n">
        <v>90</v>
      </c>
      <c r="E183" t="inlineStr">
        <is>
          <t>MXPO</t>
        </is>
      </c>
      <c r="F183" t="inlineStr">
        <is>
          <t>MXL</t>
        </is>
      </c>
      <c r="G183" t="n">
        <v>900002733</v>
      </c>
      <c r="H183" t="inlineStr">
        <is>
          <t>TC-ED- BANDERAS</t>
        </is>
      </c>
      <c r="I183" t="n">
        <v>5046238</v>
      </c>
      <c r="J183" t="inlineStr">
        <is>
          <t>SOLUCIONES LOGISTICAS PARA LA</t>
        </is>
      </c>
      <c r="K183" t="inlineStr">
        <is>
          <t>N90</t>
        </is>
      </c>
      <c r="L183" t="inlineStr">
        <is>
          <t>(AP) NAFIN 90 Dias</t>
        </is>
      </c>
      <c r="M183" t="n">
        <v>10018375</v>
      </c>
      <c r="N183" t="inlineStr">
        <is>
          <t>Arena Triturada Basalto Malla 4 - BC</t>
        </is>
      </c>
      <c r="O183" t="inlineStr">
        <is>
          <t>DW68</t>
        </is>
      </c>
      <c r="P183" t="inlineStr">
        <is>
          <t>MX-CED. GUADALAJARA</t>
        </is>
      </c>
      <c r="Q183" t="n">
        <v>20210801</v>
      </c>
      <c r="R183" t="n">
        <v>20261231</v>
      </c>
      <c r="S183" t="n">
        <v>20210712</v>
      </c>
      <c r="T183" t="n">
        <v>20261231</v>
      </c>
      <c r="U183" t="n">
        <v>408</v>
      </c>
      <c r="V183" t="inlineStr">
        <is>
          <t>MXN</t>
        </is>
      </c>
      <c r="W183" t="inlineStr">
        <is>
          <t>M3</t>
        </is>
      </c>
      <c r="X183" t="n">
        <v>348</v>
      </c>
      <c r="Y183" t="inlineStr">
        <is>
          <t>MXN</t>
        </is>
      </c>
      <c r="Z183" t="inlineStr">
        <is>
          <t>M3</t>
        </is>
      </c>
      <c r="AA183" t="inlineStr">
        <is>
          <t>D211</t>
        </is>
      </c>
      <c r="AB183" t="inlineStr">
        <is>
          <t>PD0149 GDL. MATRIZ</t>
        </is>
      </c>
      <c r="AC183" t="n">
        <v>56103638</v>
      </c>
      <c r="AD183" t="n">
        <v>6644241540</v>
      </c>
      <c r="AE183" t="n">
        <v>4</v>
      </c>
      <c r="AF183" t="inlineStr">
        <is>
          <t>ENTREGA DIRECTA</t>
        </is>
      </c>
      <c r="AG183" t="n">
        <v>1.32</v>
      </c>
      <c r="AH183" t="inlineStr">
        <is>
          <t>M3</t>
        </is>
      </c>
      <c r="AI183" t="inlineStr">
        <is>
          <t>X</t>
        </is>
      </c>
      <c r="AJ183" t="n">
        <v>4</v>
      </c>
      <c r="AK183" t="inlineStr">
        <is>
          <t>V4</t>
        </is>
      </c>
      <c r="AL183" t="n">
        <v>20260108</v>
      </c>
      <c r="AM183" t="inlineStr">
        <is>
          <t>DW68-900002733-D211-10018375-4</t>
        </is>
      </c>
    </row>
    <row r="184">
      <c r="A184" t="inlineStr">
        <is>
          <t>900002733DW68D22810000857</t>
        </is>
      </c>
      <c r="B184" t="inlineStr">
        <is>
          <t>4600050422-100</t>
        </is>
      </c>
      <c r="C184" t="n">
        <v>4600050422</v>
      </c>
      <c r="D184" t="n">
        <v>100</v>
      </c>
      <c r="E184" t="inlineStr">
        <is>
          <t>MXPO</t>
        </is>
      </c>
      <c r="F184" t="inlineStr">
        <is>
          <t>MXL</t>
        </is>
      </c>
      <c r="G184" t="n">
        <v>900002733</v>
      </c>
      <c r="H184" t="inlineStr">
        <is>
          <t>TC-ED- BANDERAS</t>
        </is>
      </c>
      <c r="I184" t="n">
        <v>5046238</v>
      </c>
      <c r="J184" t="inlineStr">
        <is>
          <t>SOLUCIONES LOGISTICAS PARA LA</t>
        </is>
      </c>
      <c r="K184" t="inlineStr">
        <is>
          <t>N90</t>
        </is>
      </c>
      <c r="L184" t="inlineStr">
        <is>
          <t>(AP) NAFIN 90 Dias</t>
        </is>
      </c>
      <c r="M184" t="n">
        <v>10000857</v>
      </c>
      <c r="N184" t="inlineStr">
        <is>
          <t>Arena Triturada Basalto  Malla 4</t>
        </is>
      </c>
      <c r="O184" t="inlineStr">
        <is>
          <t>DW68</t>
        </is>
      </c>
      <c r="P184" t="inlineStr">
        <is>
          <t>MX-CED. GUADALAJARA</t>
        </is>
      </c>
      <c r="Q184" t="n">
        <v>20210801</v>
      </c>
      <c r="R184" t="n">
        <v>20261231</v>
      </c>
      <c r="S184" t="n">
        <v>20210712</v>
      </c>
      <c r="T184" t="n">
        <v>20261231</v>
      </c>
      <c r="U184" t="n">
        <v>330</v>
      </c>
      <c r="V184" t="inlineStr">
        <is>
          <t>MXN</t>
        </is>
      </c>
      <c r="W184" t="inlineStr">
        <is>
          <t>M3</t>
        </is>
      </c>
      <c r="X184" t="n">
        <v>260</v>
      </c>
      <c r="Y184" t="inlineStr">
        <is>
          <t>MXN</t>
        </is>
      </c>
      <c r="Z184" t="inlineStr">
        <is>
          <t>M3</t>
        </is>
      </c>
      <c r="AA184" t="inlineStr">
        <is>
          <t>D228</t>
        </is>
      </c>
      <c r="AB184" t="inlineStr">
        <is>
          <t>PD0123 TLAJOMULCO</t>
        </is>
      </c>
      <c r="AC184" t="n">
        <v>56103638</v>
      </c>
      <c r="AD184" t="n">
        <v>6644241540</v>
      </c>
      <c r="AE184" t="n">
        <v>4</v>
      </c>
      <c r="AF184" t="inlineStr">
        <is>
          <t>ENTREGA DIRECTA</t>
        </is>
      </c>
      <c r="AG184" t="n">
        <v>1.51</v>
      </c>
      <c r="AH184" t="inlineStr">
        <is>
          <t>M3</t>
        </is>
      </c>
      <c r="AI184" t="inlineStr">
        <is>
          <t>X</t>
        </is>
      </c>
      <c r="AJ184" t="n">
        <v>4</v>
      </c>
      <c r="AK184" t="inlineStr">
        <is>
          <t>V4</t>
        </is>
      </c>
      <c r="AL184" t="n">
        <v>20260108</v>
      </c>
      <c r="AM184" t="inlineStr">
        <is>
          <t>DW68-900002733-D228-10000857-4</t>
        </is>
      </c>
    </row>
    <row r="185">
      <c r="A185" t="inlineStr">
        <is>
          <t>900004885DW68D22810000388</t>
        </is>
      </c>
      <c r="B185" t="inlineStr">
        <is>
          <t>4600050439-70</t>
        </is>
      </c>
      <c r="C185" t="n">
        <v>4600050439</v>
      </c>
      <c r="D185" t="n">
        <v>70</v>
      </c>
      <c r="E185" t="inlineStr">
        <is>
          <t>MXPO</t>
        </is>
      </c>
      <c r="F185" t="inlineStr">
        <is>
          <t>MXL</t>
        </is>
      </c>
      <c r="G185" t="n">
        <v>900004885</v>
      </c>
      <c r="H185" t="inlineStr">
        <is>
          <t>TC-ED PICA PIEDRA</t>
        </is>
      </c>
      <c r="I185" t="n">
        <v>5064954</v>
      </c>
      <c r="J185" t="inlineStr">
        <is>
          <t>AGREGADOS Y CONCRETOS PICA PIEDRA</t>
        </is>
      </c>
      <c r="K185" t="inlineStr">
        <is>
          <t>N90</t>
        </is>
      </c>
      <c r="L185" t="inlineStr">
        <is>
          <t>(AP) NAFIN 90 Dias</t>
        </is>
      </c>
      <c r="M185" t="n">
        <v>10000388</v>
      </c>
      <c r="N185" t="inlineStr">
        <is>
          <t>Grava Triturada Basalto  40 mm - 1 1/2"</t>
        </is>
      </c>
      <c r="O185" t="inlineStr">
        <is>
          <t>DW68</t>
        </is>
      </c>
      <c r="P185" t="inlineStr">
        <is>
          <t>MX-CED. GUADALAJARA</t>
        </is>
      </c>
      <c r="Q185" t="n">
        <v>20210801</v>
      </c>
      <c r="R185" t="n">
        <v>20261231</v>
      </c>
      <c r="S185" t="n">
        <v>20210712</v>
      </c>
      <c r="T185" t="n">
        <v>20261231</v>
      </c>
      <c r="U185" t="n">
        <v>270.86</v>
      </c>
      <c r="V185" t="inlineStr">
        <is>
          <t>MXN</t>
        </is>
      </c>
      <c r="W185" t="inlineStr">
        <is>
          <t>M3</t>
        </is>
      </c>
      <c r="X185" t="n">
        <v>140.86</v>
      </c>
      <c r="Y185" t="inlineStr">
        <is>
          <t>MXN</t>
        </is>
      </c>
      <c r="Z185" t="inlineStr">
        <is>
          <t>M3</t>
        </is>
      </c>
      <c r="AA185" t="inlineStr">
        <is>
          <t>D228</t>
        </is>
      </c>
      <c r="AB185" t="inlineStr">
        <is>
          <t>PD0123 TLAJOMULCO</t>
        </is>
      </c>
      <c r="AC185" t="n">
        <v>56103637</v>
      </c>
      <c r="AD185" t="n">
        <v>6644241540</v>
      </c>
      <c r="AE185" t="n">
        <v>4</v>
      </c>
      <c r="AF185" t="inlineStr">
        <is>
          <t>ENTREGA DIRECTA</t>
        </is>
      </c>
      <c r="AG185" t="n">
        <v>1.395</v>
      </c>
      <c r="AH185" t="inlineStr">
        <is>
          <t>M3</t>
        </is>
      </c>
      <c r="AI185" t="inlineStr">
        <is>
          <t>X</t>
        </is>
      </c>
      <c r="AJ185" t="n">
        <v>4</v>
      </c>
      <c r="AK185" t="inlineStr">
        <is>
          <t>V4</t>
        </is>
      </c>
      <c r="AL185" t="n">
        <v>20260108</v>
      </c>
      <c r="AM185" t="inlineStr">
        <is>
          <t>DW68-900004885-D228-10000388-4</t>
        </is>
      </c>
    </row>
    <row r="186">
      <c r="A186" t="inlineStr">
        <is>
          <t>900004885DW68D26710000388</t>
        </is>
      </c>
      <c r="B186" t="inlineStr">
        <is>
          <t>4600050439-90</t>
        </is>
      </c>
      <c r="C186" t="n">
        <v>4600050439</v>
      </c>
      <c r="D186" t="n">
        <v>90</v>
      </c>
      <c r="E186" t="inlineStr">
        <is>
          <t>MXPO</t>
        </is>
      </c>
      <c r="F186" t="inlineStr">
        <is>
          <t>MXL</t>
        </is>
      </c>
      <c r="G186" t="n">
        <v>900004885</v>
      </c>
      <c r="H186" t="inlineStr">
        <is>
          <t>TC-ED PICA PIEDRA</t>
        </is>
      </c>
      <c r="I186" t="n">
        <v>5064954</v>
      </c>
      <c r="J186" t="inlineStr">
        <is>
          <t>AGREGADOS Y CONCRETOS PICA PIEDRA</t>
        </is>
      </c>
      <c r="K186" t="inlineStr">
        <is>
          <t>N90</t>
        </is>
      </c>
      <c r="L186" t="inlineStr">
        <is>
          <t>(AP) NAFIN 90 Dias</t>
        </is>
      </c>
      <c r="M186" t="n">
        <v>10000388</v>
      </c>
      <c r="N186" t="inlineStr">
        <is>
          <t>Grava Triturada Basalto  40 mm - 1 1/2"</t>
        </is>
      </c>
      <c r="O186" t="inlineStr">
        <is>
          <t>DW68</t>
        </is>
      </c>
      <c r="P186" t="inlineStr">
        <is>
          <t>MX-CED. GUADALAJARA</t>
        </is>
      </c>
      <c r="Q186" t="n">
        <v>20210801</v>
      </c>
      <c r="R186" t="n">
        <v>20261231</v>
      </c>
      <c r="S186" t="n">
        <v>20210712</v>
      </c>
      <c r="T186" t="n">
        <v>20261231</v>
      </c>
      <c r="U186" t="n">
        <v>269.61</v>
      </c>
      <c r="V186" t="inlineStr">
        <is>
          <t>MXN</t>
        </is>
      </c>
      <c r="W186" t="inlineStr">
        <is>
          <t>M3</t>
        </is>
      </c>
      <c r="X186" t="n">
        <v>139.61</v>
      </c>
      <c r="Y186" t="inlineStr">
        <is>
          <t>MXN</t>
        </is>
      </c>
      <c r="Z186" t="inlineStr">
        <is>
          <t>M3</t>
        </is>
      </c>
      <c r="AA186" t="inlineStr">
        <is>
          <t>D267</t>
        </is>
      </c>
      <c r="AB186" t="inlineStr">
        <is>
          <t>PD0280 PLANTA COLOTLAN</t>
        </is>
      </c>
      <c r="AC186" t="n">
        <v>56103637</v>
      </c>
      <c r="AD186" t="n">
        <v>6644241540</v>
      </c>
      <c r="AE186" t="n">
        <v>4</v>
      </c>
      <c r="AF186" t="inlineStr">
        <is>
          <t>ENTREGA DIRECTA</t>
        </is>
      </c>
      <c r="AG186" t="n">
        <v>1.395</v>
      </c>
      <c r="AH186" t="inlineStr">
        <is>
          <t>M3</t>
        </is>
      </c>
      <c r="AI186" t="inlineStr">
        <is>
          <t>X</t>
        </is>
      </c>
      <c r="AJ186" t="n">
        <v>4</v>
      </c>
      <c r="AK186" t="inlineStr">
        <is>
          <t>V4</t>
        </is>
      </c>
      <c r="AL186" t="n">
        <v>20260108</v>
      </c>
      <c r="AM186" t="inlineStr">
        <is>
          <t>DW68-900004885-D267-10000388-4</t>
        </is>
      </c>
    </row>
    <row r="187">
      <c r="A187" t="inlineStr">
        <is>
          <t>900004885DW68D21410000191</t>
        </is>
      </c>
      <c r="B187" t="inlineStr">
        <is>
          <t>4600050439-140</t>
        </is>
      </c>
      <c r="C187" t="n">
        <v>4600050439</v>
      </c>
      <c r="D187" t="n">
        <v>140</v>
      </c>
      <c r="E187" t="inlineStr">
        <is>
          <t>MXPO</t>
        </is>
      </c>
      <c r="F187" t="inlineStr">
        <is>
          <t>MXL</t>
        </is>
      </c>
      <c r="G187" t="n">
        <v>900004885</v>
      </c>
      <c r="H187" t="inlineStr">
        <is>
          <t>TC-ED PICA PIEDRA</t>
        </is>
      </c>
      <c r="I187" t="n">
        <v>5064954</v>
      </c>
      <c r="J187" t="inlineStr">
        <is>
          <t>AGREGADOS Y CONCRETOS PICA PIEDRA</t>
        </is>
      </c>
      <c r="K187" t="inlineStr">
        <is>
          <t>N90</t>
        </is>
      </c>
      <c r="L187" t="inlineStr">
        <is>
          <t>(AP) NAFIN 90 Dias</t>
        </is>
      </c>
      <c r="M187" t="n">
        <v>10000191</v>
      </c>
      <c r="N187" t="inlineStr">
        <is>
          <t>Grava Triturada Basalto 20 mm - 3/4"</t>
        </is>
      </c>
      <c r="O187" t="inlineStr">
        <is>
          <t>DW68</t>
        </is>
      </c>
      <c r="P187" t="inlineStr">
        <is>
          <t>MX-CED. GUADALAJARA</t>
        </is>
      </c>
      <c r="Q187" t="n">
        <v>20210801</v>
      </c>
      <c r="R187" t="n">
        <v>20261231</v>
      </c>
      <c r="S187" t="n">
        <v>20210712</v>
      </c>
      <c r="T187" t="n">
        <v>20261231</v>
      </c>
      <c r="U187" t="n">
        <v>232.58</v>
      </c>
      <c r="V187" t="inlineStr">
        <is>
          <t>MXN</t>
        </is>
      </c>
      <c r="W187" t="inlineStr">
        <is>
          <t>M3</t>
        </is>
      </c>
      <c r="X187" t="n">
        <v>102.58</v>
      </c>
      <c r="Y187" t="inlineStr">
        <is>
          <t>MXN</t>
        </is>
      </c>
      <c r="Z187" t="inlineStr">
        <is>
          <t>M3</t>
        </is>
      </c>
      <c r="AA187" t="inlineStr">
        <is>
          <t>D214</t>
        </is>
      </c>
      <c r="AB187" t="inlineStr">
        <is>
          <t>PD0174 EL SALTO 2</t>
        </is>
      </c>
      <c r="AC187" t="n">
        <v>56103637</v>
      </c>
      <c r="AD187" t="n">
        <v>6644241540</v>
      </c>
      <c r="AE187" t="n">
        <v>4</v>
      </c>
      <c r="AF187" t="inlineStr">
        <is>
          <t>ENTREGA DIRECTA</t>
        </is>
      </c>
      <c r="AG187" t="n">
        <v>1.41</v>
      </c>
      <c r="AH187" t="inlineStr">
        <is>
          <t>M3</t>
        </is>
      </c>
      <c r="AI187" t="inlineStr">
        <is>
          <t>X</t>
        </is>
      </c>
      <c r="AJ187" t="n">
        <v>4</v>
      </c>
      <c r="AK187" t="inlineStr">
        <is>
          <t>V4</t>
        </is>
      </c>
      <c r="AL187" t="n">
        <v>20260108</v>
      </c>
      <c r="AM187" t="inlineStr">
        <is>
          <t>DW68-900004885-D214-10000191-4</t>
        </is>
      </c>
    </row>
    <row r="188">
      <c r="A188" t="inlineStr">
        <is>
          <t>900004885DW68D21110000388</t>
        </is>
      </c>
      <c r="B188" t="inlineStr">
        <is>
          <t>4600050439-150</t>
        </is>
      </c>
      <c r="C188" t="n">
        <v>4600050439</v>
      </c>
      <c r="D188" t="n">
        <v>150</v>
      </c>
      <c r="E188" t="inlineStr">
        <is>
          <t>MXPO</t>
        </is>
      </c>
      <c r="F188" t="inlineStr">
        <is>
          <t>MXL</t>
        </is>
      </c>
      <c r="G188" t="n">
        <v>900004885</v>
      </c>
      <c r="H188" t="inlineStr">
        <is>
          <t>TC-ED PICA PIEDRA</t>
        </is>
      </c>
      <c r="I188" t="n">
        <v>5064954</v>
      </c>
      <c r="J188" t="inlineStr">
        <is>
          <t>AGREGADOS Y CONCRETOS PICA PIEDRA</t>
        </is>
      </c>
      <c r="K188" t="inlineStr">
        <is>
          <t>N90</t>
        </is>
      </c>
      <c r="L188" t="inlineStr">
        <is>
          <t>(AP) NAFIN 90 Dias</t>
        </is>
      </c>
      <c r="M188" t="n">
        <v>10000388</v>
      </c>
      <c r="N188" t="inlineStr">
        <is>
          <t>Grava Triturada Basalto  40 mm - 1 1/2"</t>
        </is>
      </c>
      <c r="O188" t="inlineStr">
        <is>
          <t>DW68</t>
        </is>
      </c>
      <c r="P188" t="inlineStr">
        <is>
          <t>MX-CED. GUADALAJARA</t>
        </is>
      </c>
      <c r="Q188" t="n">
        <v>20210801</v>
      </c>
      <c r="R188" t="n">
        <v>20261231</v>
      </c>
      <c r="S188" t="n">
        <v>20210712</v>
      </c>
      <c r="T188" t="n">
        <v>20261231</v>
      </c>
      <c r="U188" t="n">
        <v>217.46</v>
      </c>
      <c r="V188" t="inlineStr">
        <is>
          <t>MXN</t>
        </is>
      </c>
      <c r="W188" t="inlineStr">
        <is>
          <t>M3</t>
        </is>
      </c>
      <c r="X188" t="n">
        <v>87.45999999999999</v>
      </c>
      <c r="Y188" t="inlineStr">
        <is>
          <t>MXN</t>
        </is>
      </c>
      <c r="Z188" t="inlineStr">
        <is>
          <t>M3</t>
        </is>
      </c>
      <c r="AA188" t="inlineStr">
        <is>
          <t>D211</t>
        </is>
      </c>
      <c r="AB188" t="inlineStr">
        <is>
          <t>PD0149 GDL. MATRIZ</t>
        </is>
      </c>
      <c r="AC188" t="n">
        <v>56103637</v>
      </c>
      <c r="AD188" t="n">
        <v>6644241540</v>
      </c>
      <c r="AE188" t="n">
        <v>4</v>
      </c>
      <c r="AF188" t="inlineStr">
        <is>
          <t>ENTREGA DIRECTA</t>
        </is>
      </c>
      <c r="AG188" t="n">
        <v>1.395</v>
      </c>
      <c r="AH188" t="inlineStr">
        <is>
          <t>M3</t>
        </is>
      </c>
      <c r="AI188" t="inlineStr">
        <is>
          <t>X</t>
        </is>
      </c>
      <c r="AJ188" t="n">
        <v>4</v>
      </c>
      <c r="AK188" t="inlineStr">
        <is>
          <t>V4</t>
        </is>
      </c>
      <c r="AL188" t="n">
        <v>20260108</v>
      </c>
      <c r="AM188" t="inlineStr">
        <is>
          <t>DW68-900004885-D211-10000388-4</t>
        </is>
      </c>
    </row>
    <row r="189">
      <c r="A189" t="inlineStr">
        <is>
          <t>900008250DW68D25110004258</t>
        </is>
      </c>
      <c r="B189" t="inlineStr">
        <is>
          <t>4600058169-20</t>
        </is>
      </c>
      <c r="C189" t="n">
        <v>4600058169</v>
      </c>
      <c r="D189" t="n">
        <v>20</v>
      </c>
      <c r="E189" t="inlineStr">
        <is>
          <t>MXPO</t>
        </is>
      </c>
      <c r="F189" t="inlineStr">
        <is>
          <t>MXL</t>
        </is>
      </c>
      <c r="G189" t="n">
        <v>900008250</v>
      </c>
      <c r="H189" t="inlineStr">
        <is>
          <t>SF TC-ED-MAREVA GA TONALA</t>
        </is>
      </c>
      <c r="I189" t="n">
        <v>5043944</v>
      </c>
      <c r="J189" t="inlineStr">
        <is>
          <t>CONSTRUCCIONES MAREVA DE OCCIDENTE</t>
        </is>
      </c>
      <c r="K189" t="inlineStr">
        <is>
          <t>Z04</t>
        </is>
      </c>
      <c r="L189" t="inlineStr">
        <is>
          <t>(AP) 30 Dias</t>
        </is>
      </c>
      <c r="M189" t="n">
        <v>10004258</v>
      </c>
      <c r="N189" t="inlineStr">
        <is>
          <t>Sello Triturado Basalto 10 mm - 3/8"</t>
        </is>
      </c>
      <c r="O189" t="inlineStr">
        <is>
          <t>DW68</t>
        </is>
      </c>
      <c r="P189" t="inlineStr">
        <is>
          <t>MX-CED. GUADALAJARA</t>
        </is>
      </c>
      <c r="Q189" t="n">
        <v>20230704</v>
      </c>
      <c r="R189" t="n">
        <v>20281231</v>
      </c>
      <c r="S189" t="n">
        <v>20230704</v>
      </c>
      <c r="T189" t="n">
        <v>20281231</v>
      </c>
      <c r="U189" t="n">
        <v>665.4</v>
      </c>
      <c r="V189" t="inlineStr">
        <is>
          <t>MXN</t>
        </is>
      </c>
      <c r="W189" t="inlineStr">
        <is>
          <t>M3</t>
        </is>
      </c>
      <c r="X189" t="n">
        <v>50.4</v>
      </c>
      <c r="Y189" t="inlineStr">
        <is>
          <t>MXN</t>
        </is>
      </c>
      <c r="Z189" t="inlineStr">
        <is>
          <t>M3</t>
        </is>
      </c>
      <c r="AA189" t="inlineStr">
        <is>
          <t>D251</t>
        </is>
      </c>
      <c r="AB189" t="inlineStr">
        <is>
          <t>PD0339 EL SALTO</t>
        </is>
      </c>
      <c r="AC189" t="n">
        <v>56103637</v>
      </c>
      <c r="AD189" t="n">
        <v>6644241540</v>
      </c>
      <c r="AE189" t="n">
        <v>4</v>
      </c>
      <c r="AF189" t="inlineStr">
        <is>
          <t>ENTREGA DIRECTA</t>
        </is>
      </c>
      <c r="AG189" t="n">
        <v>1.53</v>
      </c>
      <c r="AH189" t="inlineStr">
        <is>
          <t>M3</t>
        </is>
      </c>
      <c r="AI189" t="inlineStr">
        <is>
          <t>X</t>
        </is>
      </c>
      <c r="AJ189" t="n">
        <v>4</v>
      </c>
      <c r="AK189" t="inlineStr">
        <is>
          <t>V4</t>
        </is>
      </c>
      <c r="AL189" t="n">
        <v>20230920</v>
      </c>
      <c r="AM189" t="inlineStr">
        <is>
          <t>DW68-900008250-D251-10004258-4</t>
        </is>
      </c>
    </row>
    <row r="190">
      <c r="A190" t="inlineStr">
        <is>
          <t>900008250DW68D22810004258</t>
        </is>
      </c>
      <c r="B190" t="inlineStr">
        <is>
          <t>4600058169-50</t>
        </is>
      </c>
      <c r="C190" t="n">
        <v>4600058169</v>
      </c>
      <c r="D190" t="n">
        <v>50</v>
      </c>
      <c r="E190" t="inlineStr">
        <is>
          <t>MXPO</t>
        </is>
      </c>
      <c r="F190" t="inlineStr">
        <is>
          <t>MXL</t>
        </is>
      </c>
      <c r="G190" t="n">
        <v>900008250</v>
      </c>
      <c r="H190" t="inlineStr">
        <is>
          <t>SF TC-ED-MAREVA GA TONALA</t>
        </is>
      </c>
      <c r="I190" t="n">
        <v>5043944</v>
      </c>
      <c r="J190" t="inlineStr">
        <is>
          <t>CONSTRUCCIONES MAREVA DE OCCIDENTE</t>
        </is>
      </c>
      <c r="K190" t="inlineStr">
        <is>
          <t>Z04</t>
        </is>
      </c>
      <c r="L190" t="inlineStr">
        <is>
          <t>(AP) 30 Dias</t>
        </is>
      </c>
      <c r="M190" t="n">
        <v>10004258</v>
      </c>
      <c r="N190" t="inlineStr">
        <is>
          <t>Sello Triturado Basalto 10 mm - 3/8"</t>
        </is>
      </c>
      <c r="O190" t="inlineStr">
        <is>
          <t>DW68</t>
        </is>
      </c>
      <c r="P190" t="inlineStr">
        <is>
          <t>MX-CED. GUADALAJARA</t>
        </is>
      </c>
      <c r="Q190" t="n">
        <v>20230704</v>
      </c>
      <c r="R190" t="n">
        <v>20281231</v>
      </c>
      <c r="S190" t="n">
        <v>20230704</v>
      </c>
      <c r="T190" t="n">
        <v>20281231</v>
      </c>
      <c r="U190" t="n">
        <v>777.4</v>
      </c>
      <c r="V190" t="inlineStr">
        <is>
          <t>MXN</t>
        </is>
      </c>
      <c r="W190" t="inlineStr">
        <is>
          <t>M3</t>
        </is>
      </c>
      <c r="X190" t="n">
        <v>162.4</v>
      </c>
      <c r="Y190" t="inlineStr">
        <is>
          <t>MXN</t>
        </is>
      </c>
      <c r="Z190" t="inlineStr">
        <is>
          <t>M3</t>
        </is>
      </c>
      <c r="AA190" t="inlineStr">
        <is>
          <t>D228</t>
        </is>
      </c>
      <c r="AB190" t="inlineStr">
        <is>
          <t>PD0123 TLAJOMULCO</t>
        </is>
      </c>
      <c r="AC190" t="n">
        <v>56103637</v>
      </c>
      <c r="AD190" t="n">
        <v>6644241540</v>
      </c>
      <c r="AE190" t="n">
        <v>4</v>
      </c>
      <c r="AF190" t="inlineStr">
        <is>
          <t>ENTREGA DIRECTA</t>
        </is>
      </c>
      <c r="AG190" t="n">
        <v>1.53</v>
      </c>
      <c r="AH190" t="inlineStr">
        <is>
          <t>M3</t>
        </is>
      </c>
      <c r="AI190" t="inlineStr">
        <is>
          <t>X</t>
        </is>
      </c>
      <c r="AJ190" t="n">
        <v>4</v>
      </c>
      <c r="AK190" t="inlineStr">
        <is>
          <t>V4</t>
        </is>
      </c>
      <c r="AL190" t="n">
        <v>20230920</v>
      </c>
      <c r="AM190" t="inlineStr">
        <is>
          <t>DW68-900008250-D228-10004258-4</t>
        </is>
      </c>
    </row>
    <row r="191">
      <c r="A191" t="inlineStr">
        <is>
          <t>900008250DW68D24710004258</t>
        </is>
      </c>
      <c r="B191" t="inlineStr">
        <is>
          <t>4600058169-90</t>
        </is>
      </c>
      <c r="C191" t="n">
        <v>4600058169</v>
      </c>
      <c r="D191" t="n">
        <v>90</v>
      </c>
      <c r="E191" t="inlineStr">
        <is>
          <t>MXPO</t>
        </is>
      </c>
      <c r="F191" t="inlineStr">
        <is>
          <t>MXL</t>
        </is>
      </c>
      <c r="G191" t="n">
        <v>900008250</v>
      </c>
      <c r="H191" t="inlineStr">
        <is>
          <t>SF TC-ED-MAREVA GA TONALA</t>
        </is>
      </c>
      <c r="I191" t="n">
        <v>5043944</v>
      </c>
      <c r="J191" t="inlineStr">
        <is>
          <t>CONSTRUCCIONES MAREVA DE OCCIDENTE</t>
        </is>
      </c>
      <c r="K191" t="inlineStr">
        <is>
          <t>Z04</t>
        </is>
      </c>
      <c r="L191" t="inlineStr">
        <is>
          <t>(AP) 30 Dias</t>
        </is>
      </c>
      <c r="M191" t="n">
        <v>10004258</v>
      </c>
      <c r="N191" t="inlineStr">
        <is>
          <t>Sello Triturado Basalto 10 mm - 3/8"</t>
        </is>
      </c>
      <c r="O191" t="inlineStr">
        <is>
          <t>DW68</t>
        </is>
      </c>
      <c r="P191" t="inlineStr">
        <is>
          <t>MX-CED. GUADALAJARA</t>
        </is>
      </c>
      <c r="Q191" t="n">
        <v>20230704</v>
      </c>
      <c r="R191" t="n">
        <v>20281231</v>
      </c>
      <c r="S191" t="n">
        <v>20230704</v>
      </c>
      <c r="T191" t="n">
        <v>20281231</v>
      </c>
      <c r="U191" t="n">
        <v>654.2</v>
      </c>
      <c r="V191" t="inlineStr">
        <is>
          <t>MXN</t>
        </is>
      </c>
      <c r="W191" t="inlineStr">
        <is>
          <t>M3</t>
        </is>
      </c>
      <c r="X191" t="n">
        <v>39.2</v>
      </c>
      <c r="Y191" t="inlineStr">
        <is>
          <t>MXN</t>
        </is>
      </c>
      <c r="Z191" t="inlineStr">
        <is>
          <t>M3</t>
        </is>
      </c>
      <c r="AA191" t="inlineStr">
        <is>
          <t>D247</t>
        </is>
      </c>
      <c r="AB191" t="inlineStr">
        <is>
          <t>PD0518 TONALA</t>
        </is>
      </c>
      <c r="AC191" t="n">
        <v>56103637</v>
      </c>
      <c r="AD191" t="n">
        <v>6644241540</v>
      </c>
      <c r="AE191" t="n">
        <v>4</v>
      </c>
      <c r="AF191" t="inlineStr">
        <is>
          <t>ENTREGA DIRECTA</t>
        </is>
      </c>
      <c r="AG191" t="n">
        <v>1.53</v>
      </c>
      <c r="AH191" t="inlineStr">
        <is>
          <t>M3</t>
        </is>
      </c>
      <c r="AI191" t="inlineStr">
        <is>
          <t>X</t>
        </is>
      </c>
      <c r="AJ191" t="n">
        <v>4</v>
      </c>
      <c r="AK191" t="inlineStr">
        <is>
          <t>V4</t>
        </is>
      </c>
      <c r="AL191" t="n">
        <v>20230920</v>
      </c>
      <c r="AM191" t="inlineStr">
        <is>
          <t>DW68-900008250-D247-10004258-4</t>
        </is>
      </c>
    </row>
    <row r="192">
      <c r="A192" t="inlineStr">
        <is>
          <t>900008250DW68D26410000191</t>
        </is>
      </c>
      <c r="B192" t="inlineStr">
        <is>
          <t>4600058169-120</t>
        </is>
      </c>
      <c r="C192" t="n">
        <v>4600058169</v>
      </c>
      <c r="D192" t="n">
        <v>120</v>
      </c>
      <c r="E192" t="inlineStr">
        <is>
          <t>MXPO</t>
        </is>
      </c>
      <c r="F192" t="inlineStr">
        <is>
          <t>MXL</t>
        </is>
      </c>
      <c r="G192" t="n">
        <v>900008250</v>
      </c>
      <c r="H192" t="inlineStr">
        <is>
          <t>SF TC-ED-MAREVA GA TONALA</t>
        </is>
      </c>
      <c r="I192" t="n">
        <v>5043944</v>
      </c>
      <c r="J192" t="inlineStr">
        <is>
          <t>CONSTRUCCIONES MAREVA DE OCCIDENTE</t>
        </is>
      </c>
      <c r="K192" t="inlineStr">
        <is>
          <t>Z04</t>
        </is>
      </c>
      <c r="L192" t="inlineStr">
        <is>
          <t>(AP) 30 Dias</t>
        </is>
      </c>
      <c r="M192" t="n">
        <v>10000191</v>
      </c>
      <c r="N192" t="inlineStr">
        <is>
          <t>Grava Triturada Basalto 20 mm - 3/4"</t>
        </is>
      </c>
      <c r="O192" t="inlineStr">
        <is>
          <t>DW68</t>
        </is>
      </c>
      <c r="P192" t="inlineStr">
        <is>
          <t>MX-CED. GUADALAJARA</t>
        </is>
      </c>
      <c r="Q192" t="n">
        <v>20230704</v>
      </c>
      <c r="R192" t="n">
        <v>20281231</v>
      </c>
      <c r="S192" t="n">
        <v>20230704</v>
      </c>
      <c r="T192" t="n">
        <v>20281231</v>
      </c>
      <c r="U192" t="n">
        <v>389.6</v>
      </c>
      <c r="V192" t="inlineStr">
        <is>
          <t>MXN</t>
        </is>
      </c>
      <c r="W192" t="inlineStr">
        <is>
          <t>M3</t>
        </is>
      </c>
      <c r="X192" t="n">
        <v>89.59999999999999</v>
      </c>
      <c r="Y192" t="inlineStr">
        <is>
          <t>MXN</t>
        </is>
      </c>
      <c r="Z192" t="inlineStr">
        <is>
          <t>M3</t>
        </is>
      </c>
      <c r="AA192" t="inlineStr">
        <is>
          <t>D264</t>
        </is>
      </c>
      <c r="AB192" t="inlineStr">
        <is>
          <t>PD0083 GUADALAJARA I III</t>
        </is>
      </c>
      <c r="AC192" t="n">
        <v>56103637</v>
      </c>
      <c r="AD192" t="n">
        <v>6644241540</v>
      </c>
      <c r="AE192" t="n">
        <v>4</v>
      </c>
      <c r="AF192" t="inlineStr">
        <is>
          <t>ENTREGA DIRECTA</t>
        </is>
      </c>
      <c r="AG192" t="n">
        <v>1.41</v>
      </c>
      <c r="AH192" t="inlineStr">
        <is>
          <t>M3</t>
        </is>
      </c>
      <c r="AI192" t="inlineStr">
        <is>
          <t>X</t>
        </is>
      </c>
      <c r="AJ192" t="n">
        <v>4</v>
      </c>
      <c r="AK192" t="inlineStr">
        <is>
          <t>V4</t>
        </is>
      </c>
      <c r="AL192" t="n">
        <v>20230920</v>
      </c>
      <c r="AM192" t="inlineStr">
        <is>
          <t>DW68-900008250-D264-10000191-4</t>
        </is>
      </c>
    </row>
    <row r="193">
      <c r="A193" t="inlineStr">
        <is>
          <t>900008250DW68D24210148454</t>
        </is>
      </c>
      <c r="B193" t="inlineStr">
        <is>
          <t>4600058169-320</t>
        </is>
      </c>
      <c r="C193" t="n">
        <v>4600058169</v>
      </c>
      <c r="D193" t="n">
        <v>320</v>
      </c>
      <c r="E193" t="inlineStr">
        <is>
          <t>MXPO</t>
        </is>
      </c>
      <c r="F193" t="inlineStr">
        <is>
          <t>MXL</t>
        </is>
      </c>
      <c r="G193" t="n">
        <v>900008250</v>
      </c>
      <c r="H193" t="inlineStr">
        <is>
          <t>SF TC-ED-MAREVA GA TONALA</t>
        </is>
      </c>
      <c r="I193" t="n">
        <v>5043944</v>
      </c>
      <c r="J193" t="inlineStr">
        <is>
          <t>CONSTRUCCIONES MAREVA DE OCCIDENTE</t>
        </is>
      </c>
      <c r="K193" t="inlineStr">
        <is>
          <t>Z04</t>
        </is>
      </c>
      <c r="L193" t="inlineStr">
        <is>
          <t>(AP) 30 Dias</t>
        </is>
      </c>
      <c r="M193" t="n">
        <v>10148454</v>
      </c>
      <c r="N193" t="inlineStr">
        <is>
          <t>GRAVA TRITURADA BASALTO 40 MM - 1 1/2" A</t>
        </is>
      </c>
      <c r="O193" t="inlineStr">
        <is>
          <t>DW68</t>
        </is>
      </c>
      <c r="P193" t="inlineStr">
        <is>
          <t>MX-CED. GUADALAJARA</t>
        </is>
      </c>
      <c r="Q193" t="n">
        <v>20230704</v>
      </c>
      <c r="R193" t="n">
        <v>20281231</v>
      </c>
      <c r="S193" t="n">
        <v>20230704</v>
      </c>
      <c r="T193" t="n">
        <v>20281231</v>
      </c>
      <c r="U193" t="n">
        <v>423.2</v>
      </c>
      <c r="V193" t="inlineStr">
        <is>
          <t>MXN</t>
        </is>
      </c>
      <c r="W193" t="inlineStr">
        <is>
          <t>M3</t>
        </is>
      </c>
      <c r="X193" t="n">
        <v>123.2</v>
      </c>
      <c r="Y193" t="inlineStr">
        <is>
          <t>MXN</t>
        </is>
      </c>
      <c r="Z193" t="inlineStr">
        <is>
          <t>M3</t>
        </is>
      </c>
      <c r="AA193" t="inlineStr">
        <is>
          <t>D242</t>
        </is>
      </c>
      <c r="AB193" t="inlineStr">
        <is>
          <t>PD0454 CD. LA GRANJA II</t>
        </is>
      </c>
      <c r="AC193" t="n">
        <v>56103637</v>
      </c>
      <c r="AD193" t="n">
        <v>6644241540</v>
      </c>
      <c r="AE193" t="n">
        <v>4</v>
      </c>
      <c r="AF193" t="inlineStr">
        <is>
          <t>ENTREGA DIRECTA</t>
        </is>
      </c>
      <c r="AG193" t="n">
        <v>1</v>
      </c>
      <c r="AH193" t="inlineStr">
        <is>
          <t>TO</t>
        </is>
      </c>
      <c r="AI193" t="inlineStr">
        <is>
          <t>X</t>
        </is>
      </c>
      <c r="AJ193" t="n">
        <v>4</v>
      </c>
      <c r="AK193" t="inlineStr">
        <is>
          <t>V4</t>
        </is>
      </c>
      <c r="AL193" t="n">
        <v>20230920</v>
      </c>
      <c r="AM193" t="inlineStr">
        <is>
          <t>DW68-900008250-D242-10148454-4</t>
        </is>
      </c>
    </row>
    <row r="194">
      <c r="A194" t="inlineStr">
        <is>
          <t>900004885DW68D24210000191</t>
        </is>
      </c>
      <c r="B194" t="inlineStr">
        <is>
          <t>4600050439-120</t>
        </is>
      </c>
      <c r="C194" t="n">
        <v>4600050439</v>
      </c>
      <c r="D194" t="n">
        <v>120</v>
      </c>
      <c r="E194" t="inlineStr">
        <is>
          <t>MXPO</t>
        </is>
      </c>
      <c r="F194" t="inlineStr">
        <is>
          <t>MXL</t>
        </is>
      </c>
      <c r="G194" t="n">
        <v>900004885</v>
      </c>
      <c r="H194" t="inlineStr">
        <is>
          <t>TC-ED PICA PIEDRA</t>
        </is>
      </c>
      <c r="I194" t="n">
        <v>5064954</v>
      </c>
      <c r="J194" t="inlineStr">
        <is>
          <t>AGREGADOS Y CONCRETOS PICA PIEDRA</t>
        </is>
      </c>
      <c r="K194" t="inlineStr">
        <is>
          <t>N90</t>
        </is>
      </c>
      <c r="L194" t="inlineStr">
        <is>
          <t>(AP) NAFIN 90 Dias</t>
        </is>
      </c>
      <c r="M194" t="n">
        <v>10000191</v>
      </c>
      <c r="N194" t="inlineStr">
        <is>
          <t>Grava Triturada Basalto 20 mm - 3/4"</t>
        </is>
      </c>
      <c r="O194" t="inlineStr">
        <is>
          <t>DW68</t>
        </is>
      </c>
      <c r="P194" t="inlineStr">
        <is>
          <t>MX-CED. GUADALAJARA</t>
        </is>
      </c>
      <c r="Q194" t="n">
        <v>20210801</v>
      </c>
      <c r="R194" t="n">
        <v>20261231</v>
      </c>
      <c r="S194" t="n">
        <v>20210712</v>
      </c>
      <c r="T194" t="n">
        <v>20261231</v>
      </c>
      <c r="U194" t="n">
        <v>251.74</v>
      </c>
      <c r="V194" t="inlineStr">
        <is>
          <t>MXN</t>
        </is>
      </c>
      <c r="W194" t="inlineStr">
        <is>
          <t>M3</t>
        </is>
      </c>
      <c r="X194" t="n">
        <v>121.74</v>
      </c>
      <c r="Y194" t="inlineStr">
        <is>
          <t>MXN</t>
        </is>
      </c>
      <c r="Z194" t="inlineStr">
        <is>
          <t>M3</t>
        </is>
      </c>
      <c r="AA194" t="inlineStr">
        <is>
          <t>D242</t>
        </is>
      </c>
      <c r="AB194" t="inlineStr">
        <is>
          <t>PD0454 CD. LA GRANJA II</t>
        </is>
      </c>
      <c r="AC194" t="n">
        <v>56103637</v>
      </c>
      <c r="AD194" t="n">
        <v>6644241540</v>
      </c>
      <c r="AE194" t="n">
        <v>4</v>
      </c>
      <c r="AF194" t="inlineStr">
        <is>
          <t>ENTREGA DIRECTA</t>
        </is>
      </c>
      <c r="AG194" t="n">
        <v>1.41</v>
      </c>
      <c r="AH194" t="inlineStr">
        <is>
          <t>M3</t>
        </is>
      </c>
      <c r="AI194" t="inlineStr">
        <is>
          <t>X</t>
        </is>
      </c>
      <c r="AJ194" t="n">
        <v>4</v>
      </c>
      <c r="AK194" t="inlineStr">
        <is>
          <t>V4</t>
        </is>
      </c>
      <c r="AL194" t="n">
        <v>20260108</v>
      </c>
      <c r="AM194" t="inlineStr">
        <is>
          <t>DW68-900004885-D242-10000191-4</t>
        </is>
      </c>
    </row>
    <row r="195">
      <c r="A195" t="inlineStr">
        <is>
          <t>900004885DW68D21410000388</t>
        </is>
      </c>
      <c r="B195" t="inlineStr">
        <is>
          <t>4600050439-130</t>
        </is>
      </c>
      <c r="C195" t="n">
        <v>4600050439</v>
      </c>
      <c r="D195" t="n">
        <v>130</v>
      </c>
      <c r="E195" t="inlineStr">
        <is>
          <t>MXPO</t>
        </is>
      </c>
      <c r="F195" t="inlineStr">
        <is>
          <t>MXL</t>
        </is>
      </c>
      <c r="G195" t="n">
        <v>900004885</v>
      </c>
      <c r="H195" t="inlineStr">
        <is>
          <t>TC-ED PICA PIEDRA</t>
        </is>
      </c>
      <c r="I195" t="n">
        <v>5064954</v>
      </c>
      <c r="J195" t="inlineStr">
        <is>
          <t>AGREGADOS Y CONCRETOS PICA PIEDRA</t>
        </is>
      </c>
      <c r="K195" t="inlineStr">
        <is>
          <t>N90</t>
        </is>
      </c>
      <c r="L195" t="inlineStr">
        <is>
          <t>(AP) NAFIN 90 Dias</t>
        </is>
      </c>
      <c r="M195" t="n">
        <v>10000388</v>
      </c>
      <c r="N195" t="inlineStr">
        <is>
          <t>Grava Triturada Basalto  40 mm - 1 1/2"</t>
        </is>
      </c>
      <c r="O195" t="inlineStr">
        <is>
          <t>DW68</t>
        </is>
      </c>
      <c r="P195" t="inlineStr">
        <is>
          <t>MX-CED. GUADALAJARA</t>
        </is>
      </c>
      <c r="Q195" t="n">
        <v>20210801</v>
      </c>
      <c r="R195" t="n">
        <v>20261231</v>
      </c>
      <c r="S195" t="n">
        <v>20210712</v>
      </c>
      <c r="T195" t="n">
        <v>20261231</v>
      </c>
      <c r="U195" t="n">
        <v>232.58</v>
      </c>
      <c r="V195" t="inlineStr">
        <is>
          <t>MXN</t>
        </is>
      </c>
      <c r="W195" t="inlineStr">
        <is>
          <t>M3</t>
        </is>
      </c>
      <c r="X195" t="n">
        <v>102.58</v>
      </c>
      <c r="Y195" t="inlineStr">
        <is>
          <t>MXN</t>
        </is>
      </c>
      <c r="Z195" t="inlineStr">
        <is>
          <t>M3</t>
        </is>
      </c>
      <c r="AA195" t="inlineStr">
        <is>
          <t>D214</t>
        </is>
      </c>
      <c r="AB195" t="inlineStr">
        <is>
          <t>PD0174 EL SALTO 2</t>
        </is>
      </c>
      <c r="AC195" t="n">
        <v>56103637</v>
      </c>
      <c r="AD195" t="n">
        <v>6644241540</v>
      </c>
      <c r="AE195" t="n">
        <v>4</v>
      </c>
      <c r="AF195" t="inlineStr">
        <is>
          <t>ENTREGA DIRECTA</t>
        </is>
      </c>
      <c r="AG195" t="n">
        <v>1.395</v>
      </c>
      <c r="AH195" t="inlineStr">
        <is>
          <t>M3</t>
        </is>
      </c>
      <c r="AI195" t="inlineStr">
        <is>
          <t>X</t>
        </is>
      </c>
      <c r="AJ195" t="n">
        <v>4</v>
      </c>
      <c r="AK195" t="inlineStr">
        <is>
          <t>V4</t>
        </is>
      </c>
      <c r="AL195" t="n">
        <v>20260108</v>
      </c>
      <c r="AM195" t="inlineStr">
        <is>
          <t>DW68-900004885-D214-10000388-4</t>
        </is>
      </c>
    </row>
    <row r="196">
      <c r="A196" t="inlineStr">
        <is>
          <t>900004885DW68D20910000388</t>
        </is>
      </c>
      <c r="B196" t="inlineStr">
        <is>
          <t>4600050439-170</t>
        </is>
      </c>
      <c r="C196" t="n">
        <v>4600050439</v>
      </c>
      <c r="D196" t="n">
        <v>170</v>
      </c>
      <c r="E196" t="inlineStr">
        <is>
          <t>MXPO</t>
        </is>
      </c>
      <c r="F196" t="inlineStr">
        <is>
          <t>MXL</t>
        </is>
      </c>
      <c r="G196" t="n">
        <v>900004885</v>
      </c>
      <c r="H196" t="inlineStr">
        <is>
          <t>TC-ED PICA PIEDRA</t>
        </is>
      </c>
      <c r="I196" t="n">
        <v>5064954</v>
      </c>
      <c r="J196" t="inlineStr">
        <is>
          <t>AGREGADOS Y CONCRETOS PICA PIEDRA</t>
        </is>
      </c>
      <c r="K196" t="inlineStr">
        <is>
          <t>N90</t>
        </is>
      </c>
      <c r="L196" t="inlineStr">
        <is>
          <t>(AP) NAFIN 90 Dias</t>
        </is>
      </c>
      <c r="M196" t="n">
        <v>10000388</v>
      </c>
      <c r="N196" t="inlineStr">
        <is>
          <t>Grava Triturada Basalto  40 mm - 1 1/2"</t>
        </is>
      </c>
      <c r="O196" t="inlineStr">
        <is>
          <t>DW68</t>
        </is>
      </c>
      <c r="P196" t="inlineStr">
        <is>
          <t>MX-CED. GUADALAJARA</t>
        </is>
      </c>
      <c r="Q196" t="n">
        <v>20210801</v>
      </c>
      <c r="R196" t="n">
        <v>20261231</v>
      </c>
      <c r="S196" t="n">
        <v>20210712</v>
      </c>
      <c r="T196" t="n">
        <v>20261231</v>
      </c>
      <c r="U196" t="n">
        <v>200.12</v>
      </c>
      <c r="V196" t="inlineStr">
        <is>
          <t>MXN</t>
        </is>
      </c>
      <c r="W196" t="inlineStr">
        <is>
          <t>M3</t>
        </is>
      </c>
      <c r="X196" t="n">
        <v>70.12</v>
      </c>
      <c r="Y196" t="inlineStr">
        <is>
          <t>MXN</t>
        </is>
      </c>
      <c r="Z196" t="inlineStr">
        <is>
          <t>M3</t>
        </is>
      </c>
      <c r="AA196" t="inlineStr">
        <is>
          <t>D209</t>
        </is>
      </c>
      <c r="AB196" t="inlineStr">
        <is>
          <t>PD0127 MANANTIAL</t>
        </is>
      </c>
      <c r="AC196" t="n">
        <v>56103637</v>
      </c>
      <c r="AD196" t="n">
        <v>6644241540</v>
      </c>
      <c r="AE196" t="n">
        <v>4</v>
      </c>
      <c r="AF196" t="inlineStr">
        <is>
          <t>ENTREGA DIRECTA</t>
        </is>
      </c>
      <c r="AG196" t="n">
        <v>1.395</v>
      </c>
      <c r="AH196" t="inlineStr">
        <is>
          <t>M3</t>
        </is>
      </c>
      <c r="AI196" t="inlineStr">
        <is>
          <t>X</t>
        </is>
      </c>
      <c r="AJ196" t="n">
        <v>4</v>
      </c>
      <c r="AK196" t="inlineStr">
        <is>
          <t>V4</t>
        </is>
      </c>
      <c r="AL196" t="n">
        <v>20260108</v>
      </c>
      <c r="AM196" t="inlineStr">
        <is>
          <t>DW68-900004885-D209-10000388-4</t>
        </is>
      </c>
    </row>
    <row r="197">
      <c r="A197" t="inlineStr">
        <is>
          <t>900005508DW68D21110000191</t>
        </is>
      </c>
      <c r="B197" t="inlineStr">
        <is>
          <t>4600050448-40</t>
        </is>
      </c>
      <c r="C197" t="n">
        <v>4600050448</v>
      </c>
      <c r="D197" t="n">
        <v>40</v>
      </c>
      <c r="E197" t="inlineStr">
        <is>
          <t>MXPO</t>
        </is>
      </c>
      <c r="F197" t="inlineStr">
        <is>
          <t>MXL</t>
        </is>
      </c>
      <c r="G197" t="n">
        <v>900005508</v>
      </c>
      <c r="H197" t="inlineStr">
        <is>
          <t>TC-ED JUAN DAVALOS</t>
        </is>
      </c>
      <c r="I197" t="n">
        <v>5014444</v>
      </c>
      <c r="J197" t="inlineStr">
        <is>
          <t>DAVALOS GUTIERREZ JUAN JOSE</t>
        </is>
      </c>
      <c r="K197" t="inlineStr">
        <is>
          <t>N90</t>
        </is>
      </c>
      <c r="L197" t="inlineStr">
        <is>
          <t>(AP) NAFIN 90 Dias</t>
        </is>
      </c>
      <c r="M197" t="n">
        <v>10000191</v>
      </c>
      <c r="N197" t="inlineStr">
        <is>
          <t>Grava Triturada Basalto 20 mm - 3/4"</t>
        </is>
      </c>
      <c r="O197" t="inlineStr">
        <is>
          <t>DW68</t>
        </is>
      </c>
      <c r="P197" t="inlineStr">
        <is>
          <t>MX-CED. GUADALAJARA</t>
        </is>
      </c>
      <c r="Q197" t="n">
        <v>20210801</v>
      </c>
      <c r="R197" t="n">
        <v>20261231</v>
      </c>
      <c r="S197" t="n">
        <v>20210712</v>
      </c>
      <c r="T197" t="n">
        <v>20261231</v>
      </c>
      <c r="U197" t="n">
        <v>208.1</v>
      </c>
      <c r="V197" t="inlineStr">
        <is>
          <t>MXN</t>
        </is>
      </c>
      <c r="W197" t="inlineStr">
        <is>
          <t>M3</t>
        </is>
      </c>
      <c r="X197" t="n">
        <v>98.09999999999999</v>
      </c>
      <c r="Y197" t="inlineStr">
        <is>
          <t>MXN</t>
        </is>
      </c>
      <c r="Z197" t="inlineStr">
        <is>
          <t>M3</t>
        </is>
      </c>
      <c r="AA197" t="inlineStr">
        <is>
          <t>D211</t>
        </is>
      </c>
      <c r="AB197" t="inlineStr">
        <is>
          <t>PD0149 GDL. MATRIZ</t>
        </is>
      </c>
      <c r="AC197" t="n">
        <v>56103637</v>
      </c>
      <c r="AD197" t="n">
        <v>6644241540</v>
      </c>
      <c r="AE197" t="n">
        <v>4</v>
      </c>
      <c r="AF197" t="inlineStr">
        <is>
          <t>ENTREGA DIRECTA</t>
        </is>
      </c>
      <c r="AG197" t="n">
        <v>1.41</v>
      </c>
      <c r="AH197" t="inlineStr">
        <is>
          <t>M3</t>
        </is>
      </c>
      <c r="AI197" t="inlineStr">
        <is>
          <t>X</t>
        </is>
      </c>
      <c r="AJ197" t="n">
        <v>4</v>
      </c>
      <c r="AK197" t="inlineStr">
        <is>
          <t>V4</t>
        </is>
      </c>
      <c r="AL197" t="n">
        <v>20260108</v>
      </c>
      <c r="AM197" t="inlineStr">
        <is>
          <t>DW68-900005508-D211-10000191-4</t>
        </is>
      </c>
    </row>
    <row r="198">
      <c r="A198" t="inlineStr">
        <is>
          <t>900008250DW68D20910004258</t>
        </is>
      </c>
      <c r="B198" t="inlineStr">
        <is>
          <t>4600058169-70</t>
        </is>
      </c>
      <c r="C198" t="n">
        <v>4600058169</v>
      </c>
      <c r="D198" t="n">
        <v>70</v>
      </c>
      <c r="E198" t="inlineStr">
        <is>
          <t>MXPO</t>
        </is>
      </c>
      <c r="F198" t="inlineStr">
        <is>
          <t>MXL</t>
        </is>
      </c>
      <c r="G198" t="n">
        <v>900008250</v>
      </c>
      <c r="H198" t="inlineStr">
        <is>
          <t>SF TC-ED-MAREVA GA TONALA</t>
        </is>
      </c>
      <c r="I198" t="n">
        <v>5043944</v>
      </c>
      <c r="J198" t="inlineStr">
        <is>
          <t>CONSTRUCCIONES MAREVA DE OCCIDENTE</t>
        </is>
      </c>
      <c r="K198" t="inlineStr">
        <is>
          <t>Z04</t>
        </is>
      </c>
      <c r="L198" t="inlineStr">
        <is>
          <t>(AP) 30 Dias</t>
        </is>
      </c>
      <c r="M198" t="n">
        <v>10004258</v>
      </c>
      <c r="N198" t="inlineStr">
        <is>
          <t>Sello Triturado Basalto 10 mm - 3/8"</t>
        </is>
      </c>
      <c r="O198" t="inlineStr">
        <is>
          <t>DW68</t>
        </is>
      </c>
      <c r="P198" t="inlineStr">
        <is>
          <t>MX-CED. GUADALAJARA</t>
        </is>
      </c>
      <c r="Q198" t="n">
        <v>20230704</v>
      </c>
      <c r="R198" t="n">
        <v>20281231</v>
      </c>
      <c r="S198" t="n">
        <v>20230704</v>
      </c>
      <c r="T198" t="n">
        <v>20281231</v>
      </c>
      <c r="U198" t="n">
        <v>718.6</v>
      </c>
      <c r="V198" t="inlineStr">
        <is>
          <t>MXN</t>
        </is>
      </c>
      <c r="W198" t="inlineStr">
        <is>
          <t>M3</t>
        </is>
      </c>
      <c r="X198" t="n">
        <v>103.6</v>
      </c>
      <c r="Y198" t="inlineStr">
        <is>
          <t>MXN</t>
        </is>
      </c>
      <c r="Z198" t="inlineStr">
        <is>
          <t>M3</t>
        </is>
      </c>
      <c r="AA198" t="inlineStr">
        <is>
          <t>D209</t>
        </is>
      </c>
      <c r="AB198" t="inlineStr">
        <is>
          <t>PD0127 MANANTIAL</t>
        </is>
      </c>
      <c r="AC198" t="n">
        <v>56103637</v>
      </c>
      <c r="AD198" t="n">
        <v>6644241540</v>
      </c>
      <c r="AE198" t="n">
        <v>4</v>
      </c>
      <c r="AF198" t="inlineStr">
        <is>
          <t>ENTREGA DIRECTA</t>
        </is>
      </c>
      <c r="AG198" t="n">
        <v>1.53</v>
      </c>
      <c r="AH198" t="inlineStr">
        <is>
          <t>M3</t>
        </is>
      </c>
      <c r="AI198" t="inlineStr">
        <is>
          <t>X</t>
        </is>
      </c>
      <c r="AJ198" t="n">
        <v>4</v>
      </c>
      <c r="AK198" t="inlineStr">
        <is>
          <t>V4</t>
        </is>
      </c>
      <c r="AL198" t="n">
        <v>20230920</v>
      </c>
      <c r="AM198" t="inlineStr">
        <is>
          <t>DW68-900008250-D209-10004258-4</t>
        </is>
      </c>
    </row>
    <row r="199">
      <c r="A199" t="inlineStr">
        <is>
          <t>900008250DW68D21110000191</t>
        </is>
      </c>
      <c r="B199" t="inlineStr">
        <is>
          <t>4600058169-180</t>
        </is>
      </c>
      <c r="C199" t="n">
        <v>4600058169</v>
      </c>
      <c r="D199" t="n">
        <v>180</v>
      </c>
      <c r="E199" t="inlineStr">
        <is>
          <t>MXPO</t>
        </is>
      </c>
      <c r="F199" t="inlineStr">
        <is>
          <t>MXL</t>
        </is>
      </c>
      <c r="G199" t="n">
        <v>900008250</v>
      </c>
      <c r="H199" t="inlineStr">
        <is>
          <t>SF TC-ED-MAREVA GA TONALA</t>
        </is>
      </c>
      <c r="I199" t="n">
        <v>5043944</v>
      </c>
      <c r="J199" t="inlineStr">
        <is>
          <t>CONSTRUCCIONES MAREVA DE OCCIDENTE</t>
        </is>
      </c>
      <c r="K199" t="inlineStr">
        <is>
          <t>Z04</t>
        </is>
      </c>
      <c r="L199" t="inlineStr">
        <is>
          <t>(AP) 30 Dias</t>
        </is>
      </c>
      <c r="M199" t="n">
        <v>10000191</v>
      </c>
      <c r="N199" t="inlineStr">
        <is>
          <t>Grava Triturada Basalto 20 mm - 3/4"</t>
        </is>
      </c>
      <c r="O199" t="inlineStr">
        <is>
          <t>DW68</t>
        </is>
      </c>
      <c r="P199" t="inlineStr">
        <is>
          <t>MX-CED. GUADALAJARA</t>
        </is>
      </c>
      <c r="Q199" t="n">
        <v>20230704</v>
      </c>
      <c r="R199" t="n">
        <v>20281231</v>
      </c>
      <c r="S199" t="n">
        <v>20230704</v>
      </c>
      <c r="T199" t="n">
        <v>20281231</v>
      </c>
      <c r="U199" t="n">
        <v>398</v>
      </c>
      <c r="V199" t="inlineStr">
        <is>
          <t>MXN</t>
        </is>
      </c>
      <c r="W199" t="inlineStr">
        <is>
          <t>M3</t>
        </is>
      </c>
      <c r="X199" t="n">
        <v>98</v>
      </c>
      <c r="Y199" t="inlineStr">
        <is>
          <t>MXN</t>
        </is>
      </c>
      <c r="Z199" t="inlineStr">
        <is>
          <t>M3</t>
        </is>
      </c>
      <c r="AA199" t="inlineStr">
        <is>
          <t>D211</t>
        </is>
      </c>
      <c r="AB199" t="inlineStr">
        <is>
          <t>PD0149 GDL. MATRIZ</t>
        </is>
      </c>
      <c r="AC199" t="n">
        <v>56103637</v>
      </c>
      <c r="AD199" t="n">
        <v>6644241540</v>
      </c>
      <c r="AE199" t="n">
        <v>4</v>
      </c>
      <c r="AF199" t="inlineStr">
        <is>
          <t>ENTREGA DIRECTA</t>
        </is>
      </c>
      <c r="AG199" t="n">
        <v>1.41</v>
      </c>
      <c r="AH199" t="inlineStr">
        <is>
          <t>M3</t>
        </is>
      </c>
      <c r="AI199" t="inlineStr">
        <is>
          <t>X</t>
        </is>
      </c>
      <c r="AJ199" t="n">
        <v>4</v>
      </c>
      <c r="AK199" t="inlineStr">
        <is>
          <t>V4</t>
        </is>
      </c>
      <c r="AL199" t="n">
        <v>20230920</v>
      </c>
      <c r="AM199" t="inlineStr">
        <is>
          <t>DW68-900008250-D211-10000191-4</t>
        </is>
      </c>
    </row>
    <row r="200">
      <c r="A200" t="inlineStr">
        <is>
          <t>900008250DW68D04210000388</t>
        </is>
      </c>
      <c r="B200" t="inlineStr">
        <is>
          <t>4600058169-220</t>
        </is>
      </c>
      <c r="C200" t="n">
        <v>4600058169</v>
      </c>
      <c r="D200" t="n">
        <v>220</v>
      </c>
      <c r="E200" t="inlineStr">
        <is>
          <t>MXPO</t>
        </is>
      </c>
      <c r="F200" t="inlineStr">
        <is>
          <t>MXL</t>
        </is>
      </c>
      <c r="G200" t="n">
        <v>900008250</v>
      </c>
      <c r="H200" t="inlineStr">
        <is>
          <t>SF TC-ED-MAREVA GA TONALA</t>
        </is>
      </c>
      <c r="I200" t="n">
        <v>5043944</v>
      </c>
      <c r="J200" t="inlineStr">
        <is>
          <t>CONSTRUCCIONES MAREVA DE OCCIDENTE</t>
        </is>
      </c>
      <c r="K200" t="inlineStr">
        <is>
          <t>Z04</t>
        </is>
      </c>
      <c r="L200" t="inlineStr">
        <is>
          <t>(AP) 30 Dias</t>
        </is>
      </c>
      <c r="M200" t="n">
        <v>10000388</v>
      </c>
      <c r="N200" t="inlineStr">
        <is>
          <t>Grava Triturada Basalto  40 mm - 1 1/2"</t>
        </is>
      </c>
      <c r="O200" t="inlineStr">
        <is>
          <t>DW68</t>
        </is>
      </c>
      <c r="P200" t="inlineStr">
        <is>
          <t>MX-CED. GUADALAJARA</t>
        </is>
      </c>
      <c r="Q200" t="n">
        <v>20230704</v>
      </c>
      <c r="R200" t="n">
        <v>20281231</v>
      </c>
      <c r="S200" t="n">
        <v>20230704</v>
      </c>
      <c r="T200" t="n">
        <v>20281231</v>
      </c>
      <c r="U200" t="n">
        <v>392.6</v>
      </c>
      <c r="V200" t="inlineStr">
        <is>
          <t>MXN</t>
        </is>
      </c>
      <c r="W200" t="inlineStr">
        <is>
          <t>M3</t>
        </is>
      </c>
      <c r="X200" t="n">
        <v>117.6</v>
      </c>
      <c r="Y200" t="inlineStr">
        <is>
          <t>MXN</t>
        </is>
      </c>
      <c r="Z200" t="inlineStr">
        <is>
          <t>M3</t>
        </is>
      </c>
      <c r="AA200" t="inlineStr">
        <is>
          <t>D042</t>
        </is>
      </c>
      <c r="AB200" t="inlineStr">
        <is>
          <t>PD0406 PLANTA PONIENTE</t>
        </is>
      </c>
      <c r="AC200" t="n">
        <v>56103637</v>
      </c>
      <c r="AD200" t="n">
        <v>6644241540</v>
      </c>
      <c r="AE200" t="n">
        <v>4</v>
      </c>
      <c r="AF200" t="inlineStr">
        <is>
          <t>ENTREGA DIRECTA</t>
        </is>
      </c>
      <c r="AG200" t="n">
        <v>1.395</v>
      </c>
      <c r="AH200" t="inlineStr">
        <is>
          <t>M3</t>
        </is>
      </c>
      <c r="AI200" t="inlineStr">
        <is>
          <t>X</t>
        </is>
      </c>
      <c r="AJ200" t="n">
        <v>4</v>
      </c>
      <c r="AK200" t="inlineStr">
        <is>
          <t>V4</t>
        </is>
      </c>
      <c r="AL200" t="n">
        <v>20230920</v>
      </c>
      <c r="AM200" t="inlineStr">
        <is>
          <t>DW68-900008250-D042-10000388-4</t>
        </is>
      </c>
    </row>
    <row r="201">
      <c r="A201" t="inlineStr">
        <is>
          <t>900008250DW68D20910000388</t>
        </is>
      </c>
      <c r="B201" t="inlineStr">
        <is>
          <t>4600058169-250</t>
        </is>
      </c>
      <c r="C201" t="n">
        <v>4600058169</v>
      </c>
      <c r="D201" t="n">
        <v>250</v>
      </c>
      <c r="E201" t="inlineStr">
        <is>
          <t>MXPO</t>
        </is>
      </c>
      <c r="F201" t="inlineStr">
        <is>
          <t>MXL</t>
        </is>
      </c>
      <c r="G201" t="n">
        <v>900008250</v>
      </c>
      <c r="H201" t="inlineStr">
        <is>
          <t>SF TC-ED-MAREVA GA TONALA</t>
        </is>
      </c>
      <c r="I201" t="n">
        <v>5043944</v>
      </c>
      <c r="J201" t="inlineStr">
        <is>
          <t>CONSTRUCCIONES MAREVA DE OCCIDENTE</t>
        </is>
      </c>
      <c r="K201" t="inlineStr">
        <is>
          <t>Z04</t>
        </is>
      </c>
      <c r="L201" t="inlineStr">
        <is>
          <t>(AP) 30 Dias</t>
        </is>
      </c>
      <c r="M201" t="n">
        <v>10000388</v>
      </c>
      <c r="N201" t="inlineStr">
        <is>
          <t>Grava Triturada Basalto  40 mm - 1 1/2"</t>
        </is>
      </c>
      <c r="O201" t="inlineStr">
        <is>
          <t>DW68</t>
        </is>
      </c>
      <c r="P201" t="inlineStr">
        <is>
          <t>MX-CED. GUADALAJARA</t>
        </is>
      </c>
      <c r="Q201" t="n">
        <v>20230704</v>
      </c>
      <c r="R201" t="n">
        <v>20281231</v>
      </c>
      <c r="S201" t="n">
        <v>20230704</v>
      </c>
      <c r="T201" t="n">
        <v>20281231</v>
      </c>
      <c r="U201" t="n">
        <v>378.6</v>
      </c>
      <c r="V201" t="inlineStr">
        <is>
          <t>MXN</t>
        </is>
      </c>
      <c r="W201" t="inlineStr">
        <is>
          <t>M3</t>
        </is>
      </c>
      <c r="X201" t="n">
        <v>103.6</v>
      </c>
      <c r="Y201" t="inlineStr">
        <is>
          <t>MXN</t>
        </is>
      </c>
      <c r="Z201" t="inlineStr">
        <is>
          <t>M3</t>
        </is>
      </c>
      <c r="AA201" t="inlineStr">
        <is>
          <t>D209</t>
        </is>
      </c>
      <c r="AB201" t="inlineStr">
        <is>
          <t>PD0127 MANANTIAL</t>
        </is>
      </c>
      <c r="AC201" t="n">
        <v>56103637</v>
      </c>
      <c r="AD201" t="n">
        <v>6644241540</v>
      </c>
      <c r="AE201" t="n">
        <v>4</v>
      </c>
      <c r="AF201" t="inlineStr">
        <is>
          <t>ENTREGA DIRECTA</t>
        </is>
      </c>
      <c r="AG201" t="n">
        <v>1.395</v>
      </c>
      <c r="AH201" t="inlineStr">
        <is>
          <t>M3</t>
        </is>
      </c>
      <c r="AI201" t="inlineStr">
        <is>
          <t>X</t>
        </is>
      </c>
      <c r="AJ201" t="n">
        <v>4</v>
      </c>
      <c r="AK201" t="inlineStr">
        <is>
          <t>V4</t>
        </is>
      </c>
      <c r="AL201" t="n">
        <v>20230920</v>
      </c>
      <c r="AM201" t="inlineStr">
        <is>
          <t>DW68-900008250-D209-10000388-4</t>
        </is>
      </c>
    </row>
    <row r="202">
      <c r="A202" t="inlineStr">
        <is>
          <t>900008250DW68D26710148454</t>
        </is>
      </c>
      <c r="B202" t="inlineStr">
        <is>
          <t>4600058169-290</t>
        </is>
      </c>
      <c r="C202" t="n">
        <v>4600058169</v>
      </c>
      <c r="D202" t="n">
        <v>290</v>
      </c>
      <c r="E202" t="inlineStr">
        <is>
          <t>MXPO</t>
        </is>
      </c>
      <c r="F202" t="inlineStr">
        <is>
          <t>MXL</t>
        </is>
      </c>
      <c r="G202" t="n">
        <v>900008250</v>
      </c>
      <c r="H202" t="inlineStr">
        <is>
          <t>SF TC-ED-MAREVA GA TONALA</t>
        </is>
      </c>
      <c r="I202" t="n">
        <v>5043944</v>
      </c>
      <c r="J202" t="inlineStr">
        <is>
          <t>CONSTRUCCIONES MAREVA DE OCCIDENTE</t>
        </is>
      </c>
      <c r="K202" t="inlineStr">
        <is>
          <t>Z04</t>
        </is>
      </c>
      <c r="L202" t="inlineStr">
        <is>
          <t>(AP) 30 Dias</t>
        </is>
      </c>
      <c r="M202" t="n">
        <v>10148454</v>
      </c>
      <c r="N202" t="inlineStr">
        <is>
          <t>GRAVA TRITURADA BASALTO 40 MM - 1 1/2" A</t>
        </is>
      </c>
      <c r="O202" t="inlineStr">
        <is>
          <t>DW68</t>
        </is>
      </c>
      <c r="P202" t="inlineStr">
        <is>
          <t>MX-CED. GUADALAJARA</t>
        </is>
      </c>
      <c r="Q202" t="n">
        <v>20230704</v>
      </c>
      <c r="R202" t="n">
        <v>20281231</v>
      </c>
      <c r="S202" t="n">
        <v>20230704</v>
      </c>
      <c r="T202" t="n">
        <v>20281231</v>
      </c>
      <c r="U202" t="n">
        <v>431.6</v>
      </c>
      <c r="V202" t="inlineStr">
        <is>
          <t>MXN</t>
        </is>
      </c>
      <c r="W202" t="inlineStr">
        <is>
          <t>M3</t>
        </is>
      </c>
      <c r="X202" t="n">
        <v>131.6</v>
      </c>
      <c r="Y202" t="inlineStr">
        <is>
          <t>MXN</t>
        </is>
      </c>
      <c r="Z202" t="inlineStr">
        <is>
          <t>M3</t>
        </is>
      </c>
      <c r="AA202" t="inlineStr">
        <is>
          <t>D267</t>
        </is>
      </c>
      <c r="AB202" t="inlineStr">
        <is>
          <t>PD0280 PLANTA COLOTLAN</t>
        </is>
      </c>
      <c r="AC202" t="n">
        <v>56103637</v>
      </c>
      <c r="AD202" t="n">
        <v>6644241540</v>
      </c>
      <c r="AE202" t="n">
        <v>4</v>
      </c>
      <c r="AF202" t="inlineStr">
        <is>
          <t>ENTREGA DIRECTA</t>
        </is>
      </c>
      <c r="AG202" t="n">
        <v>1</v>
      </c>
      <c r="AH202" t="inlineStr">
        <is>
          <t>TO</t>
        </is>
      </c>
      <c r="AI202" t="inlineStr">
        <is>
          <t>X</t>
        </is>
      </c>
      <c r="AJ202" t="n">
        <v>4</v>
      </c>
      <c r="AK202" t="inlineStr">
        <is>
          <t>V4</t>
        </is>
      </c>
      <c r="AL202" t="n">
        <v>20230920</v>
      </c>
      <c r="AM202" t="inlineStr">
        <is>
          <t>DW68-900008250-D267-10148454-4</t>
        </is>
      </c>
    </row>
    <row r="203">
      <c r="A203" t="inlineStr">
        <is>
          <t>900008250DW68D04210148454</t>
        </is>
      </c>
      <c r="B203" t="inlineStr">
        <is>
          <t>4600058169-310</t>
        </is>
      </c>
      <c r="C203" t="n">
        <v>4600058169</v>
      </c>
      <c r="D203" t="n">
        <v>310</v>
      </c>
      <c r="E203" t="inlineStr">
        <is>
          <t>MXPO</t>
        </is>
      </c>
      <c r="F203" t="inlineStr">
        <is>
          <t>MXL</t>
        </is>
      </c>
      <c r="G203" t="n">
        <v>900008250</v>
      </c>
      <c r="H203" t="inlineStr">
        <is>
          <t>SF TC-ED-MAREVA GA TONALA</t>
        </is>
      </c>
      <c r="I203" t="n">
        <v>5043944</v>
      </c>
      <c r="J203" t="inlineStr">
        <is>
          <t>CONSTRUCCIONES MAREVA DE OCCIDENTE</t>
        </is>
      </c>
      <c r="K203" t="inlineStr">
        <is>
          <t>Z04</t>
        </is>
      </c>
      <c r="L203" t="inlineStr">
        <is>
          <t>(AP) 30 Dias</t>
        </is>
      </c>
      <c r="M203" t="n">
        <v>10148454</v>
      </c>
      <c r="N203" t="inlineStr">
        <is>
          <t>GRAVA TRITURADA BASALTO 40 MM - 1 1/2" A</t>
        </is>
      </c>
      <c r="O203" t="inlineStr">
        <is>
          <t>DW68</t>
        </is>
      </c>
      <c r="P203" t="inlineStr">
        <is>
          <t>MX-CED. GUADALAJARA</t>
        </is>
      </c>
      <c r="Q203" t="n">
        <v>20230704</v>
      </c>
      <c r="R203" t="n">
        <v>20281231</v>
      </c>
      <c r="S203" t="n">
        <v>20230704</v>
      </c>
      <c r="T203" t="n">
        <v>20281231</v>
      </c>
      <c r="U203" t="n">
        <v>417.6</v>
      </c>
      <c r="V203" t="inlineStr">
        <is>
          <t>MXN</t>
        </is>
      </c>
      <c r="W203" t="inlineStr">
        <is>
          <t>M3</t>
        </is>
      </c>
      <c r="X203" t="n">
        <v>117.6</v>
      </c>
      <c r="Y203" t="inlineStr">
        <is>
          <t>MXN</t>
        </is>
      </c>
      <c r="Z203" t="inlineStr">
        <is>
          <t>M3</t>
        </is>
      </c>
      <c r="AA203" t="inlineStr">
        <is>
          <t>D042</t>
        </is>
      </c>
      <c r="AB203" t="inlineStr">
        <is>
          <t>PD0406 PLANTA PONIENTE</t>
        </is>
      </c>
      <c r="AC203" t="n">
        <v>56103637</v>
      </c>
      <c r="AD203" t="n">
        <v>6644241540</v>
      </c>
      <c r="AE203" t="n">
        <v>4</v>
      </c>
      <c r="AF203" t="inlineStr">
        <is>
          <t>ENTREGA DIRECTA</t>
        </is>
      </c>
      <c r="AG203" t="n">
        <v>1</v>
      </c>
      <c r="AH203" t="inlineStr">
        <is>
          <t>TO</t>
        </is>
      </c>
      <c r="AI203" t="inlineStr">
        <is>
          <t>X</t>
        </is>
      </c>
      <c r="AJ203" t="n">
        <v>4</v>
      </c>
      <c r="AK203" t="inlineStr">
        <is>
          <t>V4</t>
        </is>
      </c>
      <c r="AL203" t="n">
        <v>20230920</v>
      </c>
      <c r="AM203" t="inlineStr">
        <is>
          <t>DW68-900008250-D042-10148454-4</t>
        </is>
      </c>
    </row>
    <row r="204">
      <c r="A204" t="inlineStr">
        <is>
          <t>900008250DW68D22810148454</t>
        </is>
      </c>
      <c r="B204" t="inlineStr">
        <is>
          <t>4600058169-330</t>
        </is>
      </c>
      <c r="C204" t="n">
        <v>4600058169</v>
      </c>
      <c r="D204" t="n">
        <v>330</v>
      </c>
      <c r="E204" t="inlineStr">
        <is>
          <t>MXPO</t>
        </is>
      </c>
      <c r="F204" t="inlineStr">
        <is>
          <t>MXL</t>
        </is>
      </c>
      <c r="G204" t="n">
        <v>900008250</v>
      </c>
      <c r="H204" t="inlineStr">
        <is>
          <t>SF TC-ED-MAREVA GA TONALA</t>
        </is>
      </c>
      <c r="I204" t="n">
        <v>5043944</v>
      </c>
      <c r="J204" t="inlineStr">
        <is>
          <t>CONSTRUCCIONES MAREVA DE OCCIDENTE</t>
        </is>
      </c>
      <c r="K204" t="inlineStr">
        <is>
          <t>Z04</t>
        </is>
      </c>
      <c r="L204" t="inlineStr">
        <is>
          <t>(AP) 30 Dias</t>
        </is>
      </c>
      <c r="M204" t="n">
        <v>10148454</v>
      </c>
      <c r="N204" t="inlineStr">
        <is>
          <t>GRAVA TRITURADA BASALTO 40 MM - 1 1/2" A</t>
        </is>
      </c>
      <c r="O204" t="inlineStr">
        <is>
          <t>DW68</t>
        </is>
      </c>
      <c r="P204" t="inlineStr">
        <is>
          <t>MX-CED. GUADALAJARA</t>
        </is>
      </c>
      <c r="Q204" t="n">
        <v>20230704</v>
      </c>
      <c r="R204" t="n">
        <v>20281231</v>
      </c>
      <c r="S204" t="n">
        <v>20230704</v>
      </c>
      <c r="T204" t="n">
        <v>20281231</v>
      </c>
      <c r="U204" t="n">
        <v>462.4</v>
      </c>
      <c r="V204" t="inlineStr">
        <is>
          <t>MXN</t>
        </is>
      </c>
      <c r="W204" t="inlineStr">
        <is>
          <t>M3</t>
        </is>
      </c>
      <c r="X204" t="n">
        <v>162.4</v>
      </c>
      <c r="Y204" t="inlineStr">
        <is>
          <t>MXN</t>
        </is>
      </c>
      <c r="Z204" t="inlineStr">
        <is>
          <t>M3</t>
        </is>
      </c>
      <c r="AA204" t="inlineStr">
        <is>
          <t>D228</t>
        </is>
      </c>
      <c r="AB204" t="inlineStr">
        <is>
          <t>PD0123 TLAJOMULCO</t>
        </is>
      </c>
      <c r="AC204" t="n">
        <v>56103637</v>
      </c>
      <c r="AD204" t="n">
        <v>6644241540</v>
      </c>
      <c r="AE204" t="n">
        <v>4</v>
      </c>
      <c r="AF204" t="inlineStr">
        <is>
          <t>ENTREGA DIRECTA</t>
        </is>
      </c>
      <c r="AG204" t="n">
        <v>1</v>
      </c>
      <c r="AH204" t="inlineStr">
        <is>
          <t>TO</t>
        </is>
      </c>
      <c r="AI204" t="inlineStr">
        <is>
          <t>X</t>
        </is>
      </c>
      <c r="AJ204" t="n">
        <v>4</v>
      </c>
      <c r="AK204" t="inlineStr">
        <is>
          <t>V4</t>
        </is>
      </c>
      <c r="AL204" t="n">
        <v>20230920</v>
      </c>
      <c r="AM204" t="inlineStr">
        <is>
          <t>DW68-900008250-D228-10148454-4</t>
        </is>
      </c>
    </row>
    <row r="205">
      <c r="A205" t="inlineStr">
        <is>
          <t>900008250DW68D26410148454</t>
        </is>
      </c>
      <c r="B205" t="inlineStr">
        <is>
          <t>4600058169-340</t>
        </is>
      </c>
      <c r="C205" t="n">
        <v>4600058169</v>
      </c>
      <c r="D205" t="n">
        <v>340</v>
      </c>
      <c r="E205" t="inlineStr">
        <is>
          <t>MXPO</t>
        </is>
      </c>
      <c r="F205" t="inlineStr">
        <is>
          <t>MXL</t>
        </is>
      </c>
      <c r="G205" t="n">
        <v>900008250</v>
      </c>
      <c r="H205" t="inlineStr">
        <is>
          <t>SF TC-ED-MAREVA GA TONALA</t>
        </is>
      </c>
      <c r="I205" t="n">
        <v>5043944</v>
      </c>
      <c r="J205" t="inlineStr">
        <is>
          <t>CONSTRUCCIONES MAREVA DE OCCIDENTE</t>
        </is>
      </c>
      <c r="K205" t="inlineStr">
        <is>
          <t>Z04</t>
        </is>
      </c>
      <c r="L205" t="inlineStr">
        <is>
          <t>(AP) 30 Dias</t>
        </is>
      </c>
      <c r="M205" t="n">
        <v>10148454</v>
      </c>
      <c r="N205" t="inlineStr">
        <is>
          <t>GRAVA TRITURADA BASALTO 40 MM - 1 1/2" A</t>
        </is>
      </c>
      <c r="O205" t="inlineStr">
        <is>
          <t>DW68</t>
        </is>
      </c>
      <c r="P205" t="inlineStr">
        <is>
          <t>MX-CED. GUADALAJARA</t>
        </is>
      </c>
      <c r="Q205" t="n">
        <v>20230704</v>
      </c>
      <c r="R205" t="n">
        <v>20281231</v>
      </c>
      <c r="S205" t="n">
        <v>20230704</v>
      </c>
      <c r="T205" t="n">
        <v>20281231</v>
      </c>
      <c r="U205" t="n">
        <v>389.6</v>
      </c>
      <c r="V205" t="inlineStr">
        <is>
          <t>MXN</t>
        </is>
      </c>
      <c r="W205" t="inlineStr">
        <is>
          <t>M3</t>
        </is>
      </c>
      <c r="X205" t="n">
        <v>89.59999999999999</v>
      </c>
      <c r="Y205" t="inlineStr">
        <is>
          <t>MXN</t>
        </is>
      </c>
      <c r="Z205" t="inlineStr">
        <is>
          <t>M3</t>
        </is>
      </c>
      <c r="AA205" t="inlineStr">
        <is>
          <t>D264</t>
        </is>
      </c>
      <c r="AB205" t="inlineStr">
        <is>
          <t>PD0083 GUADALAJARA I III</t>
        </is>
      </c>
      <c r="AC205" t="n">
        <v>56103637</v>
      </c>
      <c r="AD205" t="n">
        <v>6644241540</v>
      </c>
      <c r="AE205" t="n">
        <v>4</v>
      </c>
      <c r="AF205" t="inlineStr">
        <is>
          <t>ENTREGA DIRECTA</t>
        </is>
      </c>
      <c r="AG205" t="n">
        <v>1</v>
      </c>
      <c r="AH205" t="inlineStr">
        <is>
          <t>TO</t>
        </is>
      </c>
      <c r="AI205" t="inlineStr">
        <is>
          <t>X</t>
        </is>
      </c>
      <c r="AJ205" t="n">
        <v>4</v>
      </c>
      <c r="AK205" t="inlineStr">
        <is>
          <t>V4</t>
        </is>
      </c>
      <c r="AL205" t="n">
        <v>20230920</v>
      </c>
      <c r="AM205" t="inlineStr">
        <is>
          <t>DW68-900008250-D264-10148454-4</t>
        </is>
      </c>
    </row>
    <row r="206">
      <c r="A206" t="inlineStr">
        <is>
          <t>900004885DW68D04210000388</t>
        </is>
      </c>
      <c r="B206" t="inlineStr">
        <is>
          <t>4600050439-80</t>
        </is>
      </c>
      <c r="C206" t="n">
        <v>4600050439</v>
      </c>
      <c r="D206" t="n">
        <v>80</v>
      </c>
      <c r="E206" t="inlineStr">
        <is>
          <t>MXPO</t>
        </is>
      </c>
      <c r="F206" t="inlineStr">
        <is>
          <t>MXL</t>
        </is>
      </c>
      <c r="G206" t="n">
        <v>900004885</v>
      </c>
      <c r="H206" t="inlineStr">
        <is>
          <t>TC-ED PICA PIEDRA</t>
        </is>
      </c>
      <c r="I206" t="n">
        <v>5064954</v>
      </c>
      <c r="J206" t="inlineStr">
        <is>
          <t>AGREGADOS Y CONCRETOS PICA PIEDRA</t>
        </is>
      </c>
      <c r="K206" t="inlineStr">
        <is>
          <t>N90</t>
        </is>
      </c>
      <c r="L206" t="inlineStr">
        <is>
          <t>(AP) NAFIN 90 Dias</t>
        </is>
      </c>
      <c r="M206" t="n">
        <v>10000388</v>
      </c>
      <c r="N206" t="inlineStr">
        <is>
          <t>Grava Triturada Basalto  40 mm - 1 1/2"</t>
        </is>
      </c>
      <c r="O206" t="inlineStr">
        <is>
          <t>DW68</t>
        </is>
      </c>
      <c r="P206" t="inlineStr">
        <is>
          <t>MX-CED. GUADALAJARA</t>
        </is>
      </c>
      <c r="Q206" t="n">
        <v>20210801</v>
      </c>
      <c r="R206" t="n">
        <v>20261231</v>
      </c>
      <c r="S206" t="n">
        <v>20210712</v>
      </c>
      <c r="T206" t="n">
        <v>20261231</v>
      </c>
      <c r="U206" t="n">
        <v>249.02</v>
      </c>
      <c r="V206" t="inlineStr">
        <is>
          <t>MXN</t>
        </is>
      </c>
      <c r="W206" t="inlineStr">
        <is>
          <t>M3</t>
        </is>
      </c>
      <c r="X206" t="n">
        <v>119.02</v>
      </c>
      <c r="Y206" t="inlineStr">
        <is>
          <t>MXN</t>
        </is>
      </c>
      <c r="Z206" t="inlineStr">
        <is>
          <t>M3</t>
        </is>
      </c>
      <c r="AA206" t="inlineStr">
        <is>
          <t>D042</t>
        </is>
      </c>
      <c r="AB206" t="inlineStr">
        <is>
          <t>PD0406 PLANTA PONIENTE</t>
        </is>
      </c>
      <c r="AC206" t="n">
        <v>56103637</v>
      </c>
      <c r="AD206" t="n">
        <v>6644241540</v>
      </c>
      <c r="AE206" t="n">
        <v>4</v>
      </c>
      <c r="AF206" t="inlineStr">
        <is>
          <t>ENTREGA DIRECTA</t>
        </is>
      </c>
      <c r="AG206" t="n">
        <v>1.395</v>
      </c>
      <c r="AH206" t="inlineStr">
        <is>
          <t>M3</t>
        </is>
      </c>
      <c r="AI206" t="inlineStr">
        <is>
          <t>X</t>
        </is>
      </c>
      <c r="AJ206" t="n">
        <v>4</v>
      </c>
      <c r="AK206" t="inlineStr">
        <is>
          <t>V4</t>
        </is>
      </c>
      <c r="AL206" t="n">
        <v>20260108</v>
      </c>
      <c r="AM206" t="inlineStr">
        <is>
          <t>DW68-900004885-D042-10000388-4</t>
        </is>
      </c>
    </row>
    <row r="207">
      <c r="A207" t="inlineStr">
        <is>
          <t>900004885DW68D26710000191</t>
        </is>
      </c>
      <c r="B207" t="inlineStr">
        <is>
          <t>4600050439-100</t>
        </is>
      </c>
      <c r="C207" t="n">
        <v>4600050439</v>
      </c>
      <c r="D207" t="n">
        <v>100</v>
      </c>
      <c r="E207" t="inlineStr">
        <is>
          <t>MXPO</t>
        </is>
      </c>
      <c r="F207" t="inlineStr">
        <is>
          <t>MXL</t>
        </is>
      </c>
      <c r="G207" t="n">
        <v>900004885</v>
      </c>
      <c r="H207" t="inlineStr">
        <is>
          <t>TC-ED PICA PIEDRA</t>
        </is>
      </c>
      <c r="I207" t="n">
        <v>5064954</v>
      </c>
      <c r="J207" t="inlineStr">
        <is>
          <t>AGREGADOS Y CONCRETOS PICA PIEDRA</t>
        </is>
      </c>
      <c r="K207" t="inlineStr">
        <is>
          <t>N90</t>
        </is>
      </c>
      <c r="L207" t="inlineStr">
        <is>
          <t>(AP) NAFIN 90 Dias</t>
        </is>
      </c>
      <c r="M207" t="n">
        <v>10000191</v>
      </c>
      <c r="N207" t="inlineStr">
        <is>
          <t>Grava Triturada Basalto 20 mm - 3/4"</t>
        </is>
      </c>
      <c r="O207" t="inlineStr">
        <is>
          <t>DW68</t>
        </is>
      </c>
      <c r="P207" t="inlineStr">
        <is>
          <t>MX-CED. GUADALAJARA</t>
        </is>
      </c>
      <c r="Q207" t="n">
        <v>20210801</v>
      </c>
      <c r="R207" t="n">
        <v>20261231</v>
      </c>
      <c r="S207" t="n">
        <v>20210712</v>
      </c>
      <c r="T207" t="n">
        <v>20261231</v>
      </c>
      <c r="U207" t="n">
        <v>269.61</v>
      </c>
      <c r="V207" t="inlineStr">
        <is>
          <t>MXN</t>
        </is>
      </c>
      <c r="W207" t="inlineStr">
        <is>
          <t>M3</t>
        </is>
      </c>
      <c r="X207" t="n">
        <v>139.61</v>
      </c>
      <c r="Y207" t="inlineStr">
        <is>
          <t>MXN</t>
        </is>
      </c>
      <c r="Z207" t="inlineStr">
        <is>
          <t>M3</t>
        </is>
      </c>
      <c r="AA207" t="inlineStr">
        <is>
          <t>D267</t>
        </is>
      </c>
      <c r="AB207" t="inlineStr">
        <is>
          <t>PD0280 PLANTA COLOTLAN</t>
        </is>
      </c>
      <c r="AC207" t="n">
        <v>56103637</v>
      </c>
      <c r="AD207" t="n">
        <v>6644241540</v>
      </c>
      <c r="AE207" t="n">
        <v>4</v>
      </c>
      <c r="AF207" t="inlineStr">
        <is>
          <t>ENTREGA DIRECTA</t>
        </is>
      </c>
      <c r="AG207" t="n">
        <v>1.41</v>
      </c>
      <c r="AH207" t="inlineStr">
        <is>
          <t>M3</t>
        </is>
      </c>
      <c r="AI207" t="inlineStr">
        <is>
          <t>X</t>
        </is>
      </c>
      <c r="AJ207" t="n">
        <v>4</v>
      </c>
      <c r="AK207" t="inlineStr">
        <is>
          <t>V4</t>
        </is>
      </c>
      <c r="AL207" t="n">
        <v>20260108</v>
      </c>
      <c r="AM207" t="inlineStr">
        <is>
          <t>DW68-900004885-D267-10000191-4</t>
        </is>
      </c>
    </row>
    <row r="208">
      <c r="A208" t="inlineStr">
        <is>
          <t>900004885DW68D24210000388</t>
        </is>
      </c>
      <c r="B208" t="inlineStr">
        <is>
          <t>4600050439-110</t>
        </is>
      </c>
      <c r="C208" t="n">
        <v>4600050439</v>
      </c>
      <c r="D208" t="n">
        <v>110</v>
      </c>
      <c r="E208" t="inlineStr">
        <is>
          <t>MXPO</t>
        </is>
      </c>
      <c r="F208" t="inlineStr">
        <is>
          <t>MXL</t>
        </is>
      </c>
      <c r="G208" t="n">
        <v>900004885</v>
      </c>
      <c r="H208" t="inlineStr">
        <is>
          <t>TC-ED PICA PIEDRA</t>
        </is>
      </c>
      <c r="I208" t="n">
        <v>5064954</v>
      </c>
      <c r="J208" t="inlineStr">
        <is>
          <t>AGREGADOS Y CONCRETOS PICA PIEDRA</t>
        </is>
      </c>
      <c r="K208" t="inlineStr">
        <is>
          <t>N90</t>
        </is>
      </c>
      <c r="L208" t="inlineStr">
        <is>
          <t>(AP) NAFIN 90 Dias</t>
        </is>
      </c>
      <c r="M208" t="n">
        <v>10000388</v>
      </c>
      <c r="N208" t="inlineStr">
        <is>
          <t>Grava Triturada Basalto  40 mm - 1 1/2"</t>
        </is>
      </c>
      <c r="O208" t="inlineStr">
        <is>
          <t>DW68</t>
        </is>
      </c>
      <c r="P208" t="inlineStr">
        <is>
          <t>MX-CED. GUADALAJARA</t>
        </is>
      </c>
      <c r="Q208" t="n">
        <v>20210801</v>
      </c>
      <c r="R208" t="n">
        <v>20261231</v>
      </c>
      <c r="S208" t="n">
        <v>20210712</v>
      </c>
      <c r="T208" t="n">
        <v>20261231</v>
      </c>
      <c r="U208" t="n">
        <v>251.74</v>
      </c>
      <c r="V208" t="inlineStr">
        <is>
          <t>MXN</t>
        </is>
      </c>
      <c r="W208" t="inlineStr">
        <is>
          <t>M3</t>
        </is>
      </c>
      <c r="X208" t="n">
        <v>121.74</v>
      </c>
      <c r="Y208" t="inlineStr">
        <is>
          <t>MXN</t>
        </is>
      </c>
      <c r="Z208" t="inlineStr">
        <is>
          <t>M3</t>
        </is>
      </c>
      <c r="AA208" t="inlineStr">
        <is>
          <t>D242</t>
        </is>
      </c>
      <c r="AB208" t="inlineStr">
        <is>
          <t>PD0454 CD. LA GRANJA II</t>
        </is>
      </c>
      <c r="AC208" t="n">
        <v>56103637</v>
      </c>
      <c r="AD208" t="n">
        <v>6644241540</v>
      </c>
      <c r="AE208" t="n">
        <v>4</v>
      </c>
      <c r="AF208" t="inlineStr">
        <is>
          <t>ENTREGA DIRECTA</t>
        </is>
      </c>
      <c r="AG208" t="n">
        <v>1.395</v>
      </c>
      <c r="AH208" t="inlineStr">
        <is>
          <t>M3</t>
        </is>
      </c>
      <c r="AI208" t="inlineStr">
        <is>
          <t>X</t>
        </is>
      </c>
      <c r="AJ208" t="n">
        <v>4</v>
      </c>
      <c r="AK208" t="inlineStr">
        <is>
          <t>V4</t>
        </is>
      </c>
      <c r="AL208" t="n">
        <v>20260108</v>
      </c>
      <c r="AM208" t="inlineStr">
        <is>
          <t>DW68-900004885-D242-10000388-4</t>
        </is>
      </c>
    </row>
    <row r="209">
      <c r="A209" t="inlineStr">
        <is>
          <t>900005508DW68D20910000191</t>
        </is>
      </c>
      <c r="B209" t="inlineStr">
        <is>
          <t>4600050448-20</t>
        </is>
      </c>
      <c r="C209" t="n">
        <v>4600050448</v>
      </c>
      <c r="D209" t="n">
        <v>20</v>
      </c>
      <c r="E209" t="inlineStr">
        <is>
          <t>MXPO</t>
        </is>
      </c>
      <c r="F209" t="inlineStr">
        <is>
          <t>MXL</t>
        </is>
      </c>
      <c r="G209" t="n">
        <v>900005508</v>
      </c>
      <c r="H209" t="inlineStr">
        <is>
          <t>TC-ED JUAN DAVALOS</t>
        </is>
      </c>
      <c r="I209" t="n">
        <v>5014444</v>
      </c>
      <c r="J209" t="inlineStr">
        <is>
          <t>DAVALOS GUTIERREZ JUAN JOSE</t>
        </is>
      </c>
      <c r="K209" t="inlineStr">
        <is>
          <t>N90</t>
        </is>
      </c>
      <c r="L209" t="inlineStr">
        <is>
          <t>(AP) NAFIN 90 Dias</t>
        </is>
      </c>
      <c r="M209" t="n">
        <v>10000191</v>
      </c>
      <c r="N209" t="inlineStr">
        <is>
          <t>Grava Triturada Basalto 20 mm - 3/4"</t>
        </is>
      </c>
      <c r="O209" t="inlineStr">
        <is>
          <t>DW68</t>
        </is>
      </c>
      <c r="P209" t="inlineStr">
        <is>
          <t>MX-CED. GUADALAJARA</t>
        </is>
      </c>
      <c r="Q209" t="n">
        <v>20210801</v>
      </c>
      <c r="R209" t="n">
        <v>20261231</v>
      </c>
      <c r="S209" t="n">
        <v>20210712</v>
      </c>
      <c r="T209" t="n">
        <v>20261231</v>
      </c>
      <c r="U209" t="n">
        <v>191.5</v>
      </c>
      <c r="V209" t="inlineStr">
        <is>
          <t>MXN</t>
        </is>
      </c>
      <c r="W209" t="inlineStr">
        <is>
          <t>M3</t>
        </is>
      </c>
      <c r="X209" t="n">
        <v>81.5</v>
      </c>
      <c r="Y209" t="inlineStr">
        <is>
          <t>MXN</t>
        </is>
      </c>
      <c r="Z209" t="inlineStr">
        <is>
          <t>M3</t>
        </is>
      </c>
      <c r="AA209" t="inlineStr">
        <is>
          <t>D209</t>
        </is>
      </c>
      <c r="AB209" t="inlineStr">
        <is>
          <t>PD0127 MANANTIAL</t>
        </is>
      </c>
      <c r="AC209" t="n">
        <v>56103637</v>
      </c>
      <c r="AD209" t="n">
        <v>6644241540</v>
      </c>
      <c r="AE209" t="n">
        <v>4</v>
      </c>
      <c r="AF209" t="inlineStr">
        <is>
          <t>ENTREGA DIRECTA</t>
        </is>
      </c>
      <c r="AG209" t="n">
        <v>1.41</v>
      </c>
      <c r="AH209" t="inlineStr">
        <is>
          <t>M3</t>
        </is>
      </c>
      <c r="AI209" t="inlineStr">
        <is>
          <t>X</t>
        </is>
      </c>
      <c r="AJ209" t="n">
        <v>4</v>
      </c>
      <c r="AK209" t="inlineStr">
        <is>
          <t>V4</t>
        </is>
      </c>
      <c r="AL209" t="n">
        <v>20260108</v>
      </c>
      <c r="AM209" t="inlineStr">
        <is>
          <t>DW68-900005508-D209-10000191-4</t>
        </is>
      </c>
    </row>
    <row r="210">
      <c r="A210" t="inlineStr">
        <is>
          <t>900005508DW68D21410000388</t>
        </is>
      </c>
      <c r="B210" t="inlineStr">
        <is>
          <t>4600050448-60</t>
        </is>
      </c>
      <c r="C210" t="n">
        <v>4600050448</v>
      </c>
      <c r="D210" t="n">
        <v>60</v>
      </c>
      <c r="E210" t="inlineStr">
        <is>
          <t>MXPO</t>
        </is>
      </c>
      <c r="F210" t="inlineStr">
        <is>
          <t>MXL</t>
        </is>
      </c>
      <c r="G210" t="n">
        <v>900005508</v>
      </c>
      <c r="H210" t="inlineStr">
        <is>
          <t>TC-ED JUAN DAVALOS</t>
        </is>
      </c>
      <c r="I210" t="n">
        <v>5014444</v>
      </c>
      <c r="J210" t="inlineStr">
        <is>
          <t>DAVALOS GUTIERREZ JUAN JOSE</t>
        </is>
      </c>
      <c r="K210" t="inlineStr">
        <is>
          <t>N90</t>
        </is>
      </c>
      <c r="L210" t="inlineStr">
        <is>
          <t>(AP) NAFIN 90 Dias</t>
        </is>
      </c>
      <c r="M210" t="n">
        <v>10000388</v>
      </c>
      <c r="N210" t="inlineStr">
        <is>
          <t>Grava Triturada Basalto  40 mm - 1 1/2"</t>
        </is>
      </c>
      <c r="O210" t="inlineStr">
        <is>
          <t>DW68</t>
        </is>
      </c>
      <c r="P210" t="inlineStr">
        <is>
          <t>MX-CED. GUADALAJARA</t>
        </is>
      </c>
      <c r="Q210" t="n">
        <v>20210801</v>
      </c>
      <c r="R210" t="n">
        <v>20261231</v>
      </c>
      <c r="S210" t="n">
        <v>20210712</v>
      </c>
      <c r="T210" t="n">
        <v>20261231</v>
      </c>
      <c r="U210" t="n">
        <v>222.56</v>
      </c>
      <c r="V210" t="inlineStr">
        <is>
          <t>MXN</t>
        </is>
      </c>
      <c r="W210" t="inlineStr">
        <is>
          <t>M3</t>
        </is>
      </c>
      <c r="X210" t="n">
        <v>112.56</v>
      </c>
      <c r="Y210" t="inlineStr">
        <is>
          <t>MXN</t>
        </is>
      </c>
      <c r="Z210" t="inlineStr">
        <is>
          <t>M3</t>
        </is>
      </c>
      <c r="AA210" t="inlineStr">
        <is>
          <t>D214</t>
        </is>
      </c>
      <c r="AB210" t="inlineStr">
        <is>
          <t>PD0174 EL SALTO 2</t>
        </is>
      </c>
      <c r="AC210" t="n">
        <v>56103637</v>
      </c>
      <c r="AD210" t="n">
        <v>6644241540</v>
      </c>
      <c r="AE210" t="n">
        <v>4</v>
      </c>
      <c r="AF210" t="inlineStr">
        <is>
          <t>ENTREGA DIRECTA</t>
        </is>
      </c>
      <c r="AG210" t="n">
        <v>1.395</v>
      </c>
      <c r="AH210" t="inlineStr">
        <is>
          <t>M3</t>
        </is>
      </c>
      <c r="AI210" t="inlineStr">
        <is>
          <t>X</t>
        </is>
      </c>
      <c r="AJ210" t="n">
        <v>4</v>
      </c>
      <c r="AK210" t="inlineStr">
        <is>
          <t>V4</t>
        </is>
      </c>
      <c r="AL210" t="n">
        <v>20260108</v>
      </c>
      <c r="AM210" t="inlineStr">
        <is>
          <t>DW68-900005508-D214-10000388-4</t>
        </is>
      </c>
    </row>
    <row r="211">
      <c r="A211" t="inlineStr">
        <is>
          <t>900005508DW68D26710000388</t>
        </is>
      </c>
      <c r="B211" t="inlineStr">
        <is>
          <t>4600050448-160</t>
        </is>
      </c>
      <c r="C211" t="n">
        <v>4600050448</v>
      </c>
      <c r="D211" t="n">
        <v>160</v>
      </c>
      <c r="E211" t="inlineStr">
        <is>
          <t>MXPO</t>
        </is>
      </c>
      <c r="F211" t="inlineStr">
        <is>
          <t>MXL</t>
        </is>
      </c>
      <c r="G211" t="n">
        <v>900005508</v>
      </c>
      <c r="H211" t="inlineStr">
        <is>
          <t>TC-ED JUAN DAVALOS</t>
        </is>
      </c>
      <c r="I211" t="n">
        <v>5014444</v>
      </c>
      <c r="J211" t="inlineStr">
        <is>
          <t>DAVALOS GUTIERREZ JUAN JOSE</t>
        </is>
      </c>
      <c r="K211" t="inlineStr">
        <is>
          <t>N90</t>
        </is>
      </c>
      <c r="L211" t="inlineStr">
        <is>
          <t>(AP) NAFIN 90 Dias</t>
        </is>
      </c>
      <c r="M211" t="n">
        <v>10000388</v>
      </c>
      <c r="N211" t="inlineStr">
        <is>
          <t>Grava Triturada Basalto  40 mm - 1 1/2"</t>
        </is>
      </c>
      <c r="O211" t="inlineStr">
        <is>
          <t>DW68</t>
        </is>
      </c>
      <c r="P211" t="inlineStr">
        <is>
          <t>MX-CED. GUADALAJARA</t>
        </is>
      </c>
      <c r="Q211" t="n">
        <v>20210801</v>
      </c>
      <c r="R211" t="n">
        <v>20261231</v>
      </c>
      <c r="S211" t="n">
        <v>20220701</v>
      </c>
      <c r="T211" t="n">
        <v>20271231</v>
      </c>
      <c r="U211" t="n">
        <v>278.35</v>
      </c>
      <c r="V211" t="inlineStr">
        <is>
          <t>MXN</t>
        </is>
      </c>
      <c r="W211" t="inlineStr">
        <is>
          <t>M3</t>
        </is>
      </c>
      <c r="X211" t="n">
        <v>153.35</v>
      </c>
      <c r="Y211" t="inlineStr">
        <is>
          <t>MXN</t>
        </is>
      </c>
      <c r="Z211" t="inlineStr">
        <is>
          <t>M3</t>
        </is>
      </c>
      <c r="AA211" t="inlineStr">
        <is>
          <t>D267</t>
        </is>
      </c>
      <c r="AB211" t="inlineStr">
        <is>
          <t>PD0280 PLANTA COLOTLAN</t>
        </is>
      </c>
      <c r="AC211" t="n">
        <v>56103637</v>
      </c>
      <c r="AD211" t="n">
        <v>6644241540</v>
      </c>
      <c r="AE211" t="n">
        <v>4</v>
      </c>
      <c r="AF211" t="inlineStr">
        <is>
          <t>ENTREGA DIRECTA</t>
        </is>
      </c>
      <c r="AG211" t="n">
        <v>1.395</v>
      </c>
      <c r="AH211" t="inlineStr">
        <is>
          <t>M3</t>
        </is>
      </c>
      <c r="AI211" t="inlineStr">
        <is>
          <t>X</t>
        </is>
      </c>
      <c r="AJ211" t="n">
        <v>4</v>
      </c>
      <c r="AK211" t="inlineStr">
        <is>
          <t>V4</t>
        </is>
      </c>
      <c r="AL211" t="n">
        <v>20230920</v>
      </c>
      <c r="AM211" t="inlineStr">
        <is>
          <t>DW68-900005508-D267-10000388-4</t>
        </is>
      </c>
    </row>
    <row r="212">
      <c r="A212" t="inlineStr">
        <is>
          <t>900005508DW68D25110000191</t>
        </is>
      </c>
      <c r="B212" t="inlineStr">
        <is>
          <t>4600050448-170</t>
        </is>
      </c>
      <c r="C212" t="n">
        <v>4600050448</v>
      </c>
      <c r="D212" t="n">
        <v>170</v>
      </c>
      <c r="E212" t="inlineStr">
        <is>
          <t>MXPO</t>
        </is>
      </c>
      <c r="F212" t="inlineStr">
        <is>
          <t>MXL</t>
        </is>
      </c>
      <c r="G212" t="n">
        <v>900005508</v>
      </c>
      <c r="H212" t="inlineStr">
        <is>
          <t>TC-ED JUAN DAVALOS</t>
        </is>
      </c>
      <c r="I212" t="n">
        <v>5014444</v>
      </c>
      <c r="J212" t="inlineStr">
        <is>
          <t>DAVALOS GUTIERREZ JUAN JOSE</t>
        </is>
      </c>
      <c r="K212" t="inlineStr">
        <is>
          <t>N90</t>
        </is>
      </c>
      <c r="L212" t="inlineStr">
        <is>
          <t>(AP) NAFIN 90 Dias</t>
        </is>
      </c>
      <c r="M212" t="n">
        <v>10000191</v>
      </c>
      <c r="N212" t="inlineStr">
        <is>
          <t>Grava Triturada Basalto 20 mm - 3/4"</t>
        </is>
      </c>
      <c r="O212" t="inlineStr">
        <is>
          <t>DW68</t>
        </is>
      </c>
      <c r="P212" t="inlineStr">
        <is>
          <t>MX-CED. GUADALAJARA</t>
        </is>
      </c>
      <c r="Q212" t="n">
        <v>20210801</v>
      </c>
      <c r="R212" t="n">
        <v>20261231</v>
      </c>
      <c r="S212" t="n">
        <v>20210712</v>
      </c>
      <c r="T212" t="n">
        <v>20261231</v>
      </c>
      <c r="U212" t="n">
        <v>193</v>
      </c>
      <c r="V212" t="inlineStr">
        <is>
          <t>MXN</t>
        </is>
      </c>
      <c r="W212" t="inlineStr">
        <is>
          <t>M3</t>
        </is>
      </c>
      <c r="X212" t="n">
        <v>83</v>
      </c>
      <c r="Y212" t="inlineStr">
        <is>
          <t>MXN</t>
        </is>
      </c>
      <c r="Z212" t="inlineStr">
        <is>
          <t>M3</t>
        </is>
      </c>
      <c r="AA212" t="inlineStr">
        <is>
          <t>D251</t>
        </is>
      </c>
      <c r="AB212" t="inlineStr">
        <is>
          <t>PD0339 EL SALTO</t>
        </is>
      </c>
      <c r="AC212" t="n">
        <v>56103637</v>
      </c>
      <c r="AD212" t="n">
        <v>6644241540</v>
      </c>
      <c r="AE212" t="n">
        <v>4</v>
      </c>
      <c r="AF212" t="inlineStr">
        <is>
          <t>ENTREGA DIRECTA</t>
        </is>
      </c>
      <c r="AG212" t="n">
        <v>1.41</v>
      </c>
      <c r="AH212" t="inlineStr">
        <is>
          <t>M3</t>
        </is>
      </c>
      <c r="AI212" t="inlineStr">
        <is>
          <t>X</t>
        </is>
      </c>
      <c r="AJ212" t="n">
        <v>4</v>
      </c>
      <c r="AK212" t="inlineStr">
        <is>
          <t>V4</t>
        </is>
      </c>
      <c r="AL212" t="n">
        <v>20260108</v>
      </c>
      <c r="AM212" t="inlineStr">
        <is>
          <t>DW68-900005508-D251-10000191-4</t>
        </is>
      </c>
    </row>
    <row r="213">
      <c r="A213" t="inlineStr">
        <is>
          <t>900006441DW68D24210000191</t>
        </is>
      </c>
      <c r="B213" t="inlineStr">
        <is>
          <t>4600050459-90</t>
        </is>
      </c>
      <c r="C213" t="n">
        <v>4600050459</v>
      </c>
      <c r="D213" t="n">
        <v>90</v>
      </c>
      <c r="E213" t="inlineStr">
        <is>
          <t>MXPO</t>
        </is>
      </c>
      <c r="F213" t="inlineStr">
        <is>
          <t>MXL</t>
        </is>
      </c>
      <c r="G213" t="n">
        <v>900006441</v>
      </c>
      <c r="H213" t="inlineStr">
        <is>
          <t>TC-ED INTERCONEXIONES ML</t>
        </is>
      </c>
      <c r="I213" t="n">
        <v>5077556</v>
      </c>
      <c r="J213" t="inlineStr">
        <is>
          <t>INTERCONEXIONES ML SA DE CV</t>
        </is>
      </c>
      <c r="K213" t="inlineStr">
        <is>
          <t>Z09</t>
        </is>
      </c>
      <c r="L213" t="inlineStr">
        <is>
          <t>(AP) 90 Dias</t>
        </is>
      </c>
      <c r="M213" t="n">
        <v>10000191</v>
      </c>
      <c r="N213" t="inlineStr">
        <is>
          <t>Grava Triturada Basalto 20 mm - 3/4"</t>
        </is>
      </c>
      <c r="O213" t="inlineStr">
        <is>
          <t>DW68</t>
        </is>
      </c>
      <c r="P213" t="inlineStr">
        <is>
          <t>MX-CED. GUADALAJARA</t>
        </is>
      </c>
      <c r="Q213" t="n">
        <v>20210801</v>
      </c>
      <c r="R213" t="n">
        <v>20261231</v>
      </c>
      <c r="S213" t="n">
        <v>20210712</v>
      </c>
      <c r="T213" t="n">
        <v>20261231</v>
      </c>
      <c r="U213" t="n">
        <v>295</v>
      </c>
      <c r="V213" t="inlineStr">
        <is>
          <t>MXN</t>
        </is>
      </c>
      <c r="W213" t="inlineStr">
        <is>
          <t>M3</t>
        </is>
      </c>
      <c r="X213" t="n">
        <v>175</v>
      </c>
      <c r="Y213" t="inlineStr">
        <is>
          <t>MXN</t>
        </is>
      </c>
      <c r="Z213" t="inlineStr">
        <is>
          <t>M3</t>
        </is>
      </c>
      <c r="AA213" t="inlineStr">
        <is>
          <t>D242</t>
        </is>
      </c>
      <c r="AB213" t="inlineStr">
        <is>
          <t>PD0454 CD. LA GRANJA II</t>
        </is>
      </c>
      <c r="AC213" t="n">
        <v>56103637</v>
      </c>
      <c r="AD213" t="n">
        <v>6644241540</v>
      </c>
      <c r="AE213" t="n">
        <v>4</v>
      </c>
      <c r="AF213" t="inlineStr">
        <is>
          <t>ENTREGA DIRECTA</t>
        </is>
      </c>
      <c r="AG213" t="n">
        <v>1.41</v>
      </c>
      <c r="AH213" t="inlineStr">
        <is>
          <t>M3</t>
        </is>
      </c>
      <c r="AI213" t="inlineStr">
        <is>
          <t>X</t>
        </is>
      </c>
      <c r="AJ213" t="n">
        <v>4</v>
      </c>
      <c r="AK213" t="inlineStr">
        <is>
          <t>V4</t>
        </is>
      </c>
      <c r="AL213" t="n">
        <v>20260108</v>
      </c>
      <c r="AM213" t="inlineStr">
        <is>
          <t>DW68-900006441-D242-10000191-4</t>
        </is>
      </c>
    </row>
    <row r="214">
      <c r="A214" t="inlineStr">
        <is>
          <t>900008250DW68D25110000388</t>
        </is>
      </c>
      <c r="B214" t="inlineStr">
        <is>
          <t>4600058169-210</t>
        </is>
      </c>
      <c r="C214" t="n">
        <v>4600058169</v>
      </c>
      <c r="D214" t="n">
        <v>210</v>
      </c>
      <c r="E214" t="inlineStr">
        <is>
          <t>MXPO</t>
        </is>
      </c>
      <c r="F214" t="inlineStr">
        <is>
          <t>MXL</t>
        </is>
      </c>
      <c r="G214" t="n">
        <v>900008250</v>
      </c>
      <c r="H214" t="inlineStr">
        <is>
          <t>SF TC-ED-MAREVA GA TONALA</t>
        </is>
      </c>
      <c r="I214" t="n">
        <v>5043944</v>
      </c>
      <c r="J214" t="inlineStr">
        <is>
          <t>CONSTRUCCIONES MAREVA DE OCCIDENTE</t>
        </is>
      </c>
      <c r="K214" t="inlineStr">
        <is>
          <t>Z04</t>
        </is>
      </c>
      <c r="L214" t="inlineStr">
        <is>
          <t>(AP) 30 Dias</t>
        </is>
      </c>
      <c r="M214" t="n">
        <v>10000388</v>
      </c>
      <c r="N214" t="inlineStr">
        <is>
          <t>Grava Triturada Basalto  40 mm - 1 1/2"</t>
        </is>
      </c>
      <c r="O214" t="inlineStr">
        <is>
          <t>DW68</t>
        </is>
      </c>
      <c r="P214" t="inlineStr">
        <is>
          <t>MX-CED. GUADALAJARA</t>
        </is>
      </c>
      <c r="Q214" t="n">
        <v>20230704</v>
      </c>
      <c r="R214" t="n">
        <v>20281231</v>
      </c>
      <c r="S214" t="n">
        <v>20230704</v>
      </c>
      <c r="T214" t="n">
        <v>20281231</v>
      </c>
      <c r="U214" t="n">
        <v>325.4</v>
      </c>
      <c r="V214" t="inlineStr">
        <is>
          <t>MXN</t>
        </is>
      </c>
      <c r="W214" t="inlineStr">
        <is>
          <t>M3</t>
        </is>
      </c>
      <c r="X214" t="n">
        <v>50.4</v>
      </c>
      <c r="Y214" t="inlineStr">
        <is>
          <t>MXN</t>
        </is>
      </c>
      <c r="Z214" t="inlineStr">
        <is>
          <t>M3</t>
        </is>
      </c>
      <c r="AA214" t="inlineStr">
        <is>
          <t>D251</t>
        </is>
      </c>
      <c r="AB214" t="inlineStr">
        <is>
          <t>PD0339 EL SALTO</t>
        </is>
      </c>
      <c r="AC214" t="n">
        <v>56103637</v>
      </c>
      <c r="AD214" t="n">
        <v>6644241540</v>
      </c>
      <c r="AE214" t="n">
        <v>4</v>
      </c>
      <c r="AF214" t="inlineStr">
        <is>
          <t>ENTREGA DIRECTA</t>
        </is>
      </c>
      <c r="AG214" t="n">
        <v>1.395</v>
      </c>
      <c r="AH214" t="inlineStr">
        <is>
          <t>M3</t>
        </is>
      </c>
      <c r="AI214" t="inlineStr">
        <is>
          <t>X</t>
        </is>
      </c>
      <c r="AJ214" t="n">
        <v>4</v>
      </c>
      <c r="AK214" t="inlineStr">
        <is>
          <t>V4</t>
        </is>
      </c>
      <c r="AL214" t="n">
        <v>20230920</v>
      </c>
      <c r="AM214" t="inlineStr">
        <is>
          <t>DW68-900008250-D251-10000388-4</t>
        </is>
      </c>
    </row>
    <row r="215">
      <c r="A215" t="inlineStr">
        <is>
          <t>900008250DW68D26410000388</t>
        </is>
      </c>
      <c r="B215" t="inlineStr">
        <is>
          <t>4600058169-240</t>
        </is>
      </c>
      <c r="C215" t="n">
        <v>4600058169</v>
      </c>
      <c r="D215" t="n">
        <v>240</v>
      </c>
      <c r="E215" t="inlineStr">
        <is>
          <t>MXPO</t>
        </is>
      </c>
      <c r="F215" t="inlineStr">
        <is>
          <t>MXL</t>
        </is>
      </c>
      <c r="G215" t="n">
        <v>900008250</v>
      </c>
      <c r="H215" t="inlineStr">
        <is>
          <t>SF TC-ED-MAREVA GA TONALA</t>
        </is>
      </c>
      <c r="I215" t="n">
        <v>5043944</v>
      </c>
      <c r="J215" t="inlineStr">
        <is>
          <t>CONSTRUCCIONES MAREVA DE OCCIDENTE</t>
        </is>
      </c>
      <c r="K215" t="inlineStr">
        <is>
          <t>Z04</t>
        </is>
      </c>
      <c r="L215" t="inlineStr">
        <is>
          <t>(AP) 30 Dias</t>
        </is>
      </c>
      <c r="M215" t="n">
        <v>10000388</v>
      </c>
      <c r="N215" t="inlineStr">
        <is>
          <t>Grava Triturada Basalto  40 mm - 1 1/2"</t>
        </is>
      </c>
      <c r="O215" t="inlineStr">
        <is>
          <t>DW68</t>
        </is>
      </c>
      <c r="P215" t="inlineStr">
        <is>
          <t>MX-CED. GUADALAJARA</t>
        </is>
      </c>
      <c r="Q215" t="n">
        <v>20230704</v>
      </c>
      <c r="R215" t="n">
        <v>20281231</v>
      </c>
      <c r="S215" t="n">
        <v>20230704</v>
      </c>
      <c r="T215" t="n">
        <v>20281231</v>
      </c>
      <c r="U215" t="n">
        <v>364.6</v>
      </c>
      <c r="V215" t="inlineStr">
        <is>
          <t>MXN</t>
        </is>
      </c>
      <c r="W215" t="inlineStr">
        <is>
          <t>M3</t>
        </is>
      </c>
      <c r="X215" t="n">
        <v>89.59999999999999</v>
      </c>
      <c r="Y215" t="inlineStr">
        <is>
          <t>MXN</t>
        </is>
      </c>
      <c r="Z215" t="inlineStr">
        <is>
          <t>M3</t>
        </is>
      </c>
      <c r="AA215" t="inlineStr">
        <is>
          <t>D264</t>
        </is>
      </c>
      <c r="AB215" t="inlineStr">
        <is>
          <t>PD0083 GUADALAJARA I III</t>
        </is>
      </c>
      <c r="AC215" t="n">
        <v>56103637</v>
      </c>
      <c r="AD215" t="n">
        <v>6644241540</v>
      </c>
      <c r="AE215" t="n">
        <v>4</v>
      </c>
      <c r="AF215" t="inlineStr">
        <is>
          <t>ENTREGA DIRECTA</t>
        </is>
      </c>
      <c r="AG215" t="n">
        <v>1.395</v>
      </c>
      <c r="AH215" t="inlineStr">
        <is>
          <t>M3</t>
        </is>
      </c>
      <c r="AI215" t="inlineStr">
        <is>
          <t>X</t>
        </is>
      </c>
      <c r="AJ215" t="n">
        <v>4</v>
      </c>
      <c r="AK215" t="inlineStr">
        <is>
          <t>V4</t>
        </is>
      </c>
      <c r="AL215" t="n">
        <v>20230920</v>
      </c>
      <c r="AM215" t="inlineStr">
        <is>
          <t>DW68-900008250-D264-10000388-4</t>
        </is>
      </c>
    </row>
    <row r="216">
      <c r="A216" t="inlineStr">
        <is>
          <t>900008250DW68D21110000388</t>
        </is>
      </c>
      <c r="B216" t="inlineStr">
        <is>
          <t>4600058169-260</t>
        </is>
      </c>
      <c r="C216" t="n">
        <v>4600058169</v>
      </c>
      <c r="D216" t="n">
        <v>260</v>
      </c>
      <c r="E216" t="inlineStr">
        <is>
          <t>MXPO</t>
        </is>
      </c>
      <c r="F216" t="inlineStr">
        <is>
          <t>MXL</t>
        </is>
      </c>
      <c r="G216" t="n">
        <v>900008250</v>
      </c>
      <c r="H216" t="inlineStr">
        <is>
          <t>SF TC-ED-MAREVA GA TONALA</t>
        </is>
      </c>
      <c r="I216" t="n">
        <v>5043944</v>
      </c>
      <c r="J216" t="inlineStr">
        <is>
          <t>CONSTRUCCIONES MAREVA DE OCCIDENTE</t>
        </is>
      </c>
      <c r="K216" t="inlineStr">
        <is>
          <t>Z04</t>
        </is>
      </c>
      <c r="L216" t="inlineStr">
        <is>
          <t>(AP) 30 Dias</t>
        </is>
      </c>
      <c r="M216" t="n">
        <v>10000388</v>
      </c>
      <c r="N216" t="inlineStr">
        <is>
          <t>Grava Triturada Basalto  40 mm - 1 1/2"</t>
        </is>
      </c>
      <c r="O216" t="inlineStr">
        <is>
          <t>DW68</t>
        </is>
      </c>
      <c r="P216" t="inlineStr">
        <is>
          <t>MX-CED. GUADALAJARA</t>
        </is>
      </c>
      <c r="Q216" t="n">
        <v>20230704</v>
      </c>
      <c r="R216" t="n">
        <v>20281231</v>
      </c>
      <c r="S216" t="n">
        <v>20230704</v>
      </c>
      <c r="T216" t="n">
        <v>20281231</v>
      </c>
      <c r="U216" t="n">
        <v>373</v>
      </c>
      <c r="V216" t="inlineStr">
        <is>
          <t>MXN</t>
        </is>
      </c>
      <c r="W216" t="inlineStr">
        <is>
          <t>M3</t>
        </is>
      </c>
      <c r="X216" t="n">
        <v>98</v>
      </c>
      <c r="Y216" t="inlineStr">
        <is>
          <t>MXN</t>
        </is>
      </c>
      <c r="Z216" t="inlineStr">
        <is>
          <t>M3</t>
        </is>
      </c>
      <c r="AA216" t="inlineStr">
        <is>
          <t>D211</t>
        </is>
      </c>
      <c r="AB216" t="inlineStr">
        <is>
          <t>PD0149 GDL. MATRIZ</t>
        </is>
      </c>
      <c r="AC216" t="n">
        <v>56103637</v>
      </c>
      <c r="AD216" t="n">
        <v>6644241540</v>
      </c>
      <c r="AE216" t="n">
        <v>4</v>
      </c>
      <c r="AF216" t="inlineStr">
        <is>
          <t>ENTREGA DIRECTA</t>
        </is>
      </c>
      <c r="AG216" t="n">
        <v>1.395</v>
      </c>
      <c r="AH216" t="inlineStr">
        <is>
          <t>M3</t>
        </is>
      </c>
      <c r="AI216" t="inlineStr">
        <is>
          <t>X</t>
        </is>
      </c>
      <c r="AJ216" t="n">
        <v>4</v>
      </c>
      <c r="AK216" t="inlineStr">
        <is>
          <t>V4</t>
        </is>
      </c>
      <c r="AL216" t="n">
        <v>20230920</v>
      </c>
      <c r="AM216" t="inlineStr">
        <is>
          <t>DW68-900008250-D211-10000388-4</t>
        </is>
      </c>
    </row>
    <row r="217">
      <c r="A217" t="inlineStr">
        <is>
          <t>900008250DW68D20910148454</t>
        </is>
      </c>
      <c r="B217" t="inlineStr">
        <is>
          <t>4600058169-350</t>
        </is>
      </c>
      <c r="C217" t="n">
        <v>4600058169</v>
      </c>
      <c r="D217" t="n">
        <v>350</v>
      </c>
      <c r="E217" t="inlineStr">
        <is>
          <t>MXPO</t>
        </is>
      </c>
      <c r="F217" t="inlineStr">
        <is>
          <t>MXL</t>
        </is>
      </c>
      <c r="G217" t="n">
        <v>900008250</v>
      </c>
      <c r="H217" t="inlineStr">
        <is>
          <t>SF TC-ED-MAREVA GA TONALA</t>
        </is>
      </c>
      <c r="I217" t="n">
        <v>5043944</v>
      </c>
      <c r="J217" t="inlineStr">
        <is>
          <t>CONSTRUCCIONES MAREVA DE OCCIDENTE</t>
        </is>
      </c>
      <c r="K217" t="inlineStr">
        <is>
          <t>Z04</t>
        </is>
      </c>
      <c r="L217" t="inlineStr">
        <is>
          <t>(AP) 30 Dias</t>
        </is>
      </c>
      <c r="M217" t="n">
        <v>10148454</v>
      </c>
      <c r="N217" t="inlineStr">
        <is>
          <t>GRAVA TRITURADA BASALTO 40 MM - 1 1/2" A</t>
        </is>
      </c>
      <c r="O217" t="inlineStr">
        <is>
          <t>DW68</t>
        </is>
      </c>
      <c r="P217" t="inlineStr">
        <is>
          <t>MX-CED. GUADALAJARA</t>
        </is>
      </c>
      <c r="Q217" t="n">
        <v>20230704</v>
      </c>
      <c r="R217" t="n">
        <v>20281231</v>
      </c>
      <c r="S217" t="n">
        <v>20230704</v>
      </c>
      <c r="T217" t="n">
        <v>20281231</v>
      </c>
      <c r="U217" t="n">
        <v>403.6</v>
      </c>
      <c r="V217" t="inlineStr">
        <is>
          <t>MXN</t>
        </is>
      </c>
      <c r="W217" t="inlineStr">
        <is>
          <t>M3</t>
        </is>
      </c>
      <c r="X217" t="n">
        <v>103.6</v>
      </c>
      <c r="Y217" t="inlineStr">
        <is>
          <t>MXN</t>
        </is>
      </c>
      <c r="Z217" t="inlineStr">
        <is>
          <t>M3</t>
        </is>
      </c>
      <c r="AA217" t="inlineStr">
        <is>
          <t>D209</t>
        </is>
      </c>
      <c r="AB217" t="inlineStr">
        <is>
          <t>PD0127 MANANTIAL</t>
        </is>
      </c>
      <c r="AC217" t="n">
        <v>56103637</v>
      </c>
      <c r="AD217" t="n">
        <v>6644241540</v>
      </c>
      <c r="AE217" t="n">
        <v>4</v>
      </c>
      <c r="AF217" t="inlineStr">
        <is>
          <t>ENTREGA DIRECTA</t>
        </is>
      </c>
      <c r="AG217" t="n">
        <v>1</v>
      </c>
      <c r="AH217" t="inlineStr">
        <is>
          <t>TO</t>
        </is>
      </c>
      <c r="AI217" t="inlineStr">
        <is>
          <t>X</t>
        </is>
      </c>
      <c r="AJ217" t="n">
        <v>4</v>
      </c>
      <c r="AK217" t="inlineStr">
        <is>
          <t>V4</t>
        </is>
      </c>
      <c r="AL217" t="n">
        <v>20230920</v>
      </c>
      <c r="AM217" t="inlineStr">
        <is>
          <t>DW68-900008250-D209-10148454-4</t>
        </is>
      </c>
    </row>
    <row r="218">
      <c r="A218" t="inlineStr">
        <is>
          <t>900002733DW68D25110018375</t>
        </is>
      </c>
      <c r="B218" t="inlineStr">
        <is>
          <t>4600050422-40</t>
        </is>
      </c>
      <c r="C218" t="n">
        <v>4600050422</v>
      </c>
      <c r="D218" t="n">
        <v>40</v>
      </c>
      <c r="E218" t="inlineStr">
        <is>
          <t>MXPO</t>
        </is>
      </c>
      <c r="F218" t="inlineStr">
        <is>
          <t>MXL</t>
        </is>
      </c>
      <c r="G218" t="n">
        <v>900002733</v>
      </c>
      <c r="H218" t="inlineStr">
        <is>
          <t>TC-ED- BANDERAS</t>
        </is>
      </c>
      <c r="I218" t="n">
        <v>5046238</v>
      </c>
      <c r="J218" t="inlineStr">
        <is>
          <t>SOLUCIONES LOGISTICAS PARA LA</t>
        </is>
      </c>
      <c r="K218" t="inlineStr">
        <is>
          <t>N90</t>
        </is>
      </c>
      <c r="L218" t="inlineStr">
        <is>
          <t>(AP) NAFIN 90 Dias</t>
        </is>
      </c>
      <c r="M218" t="n">
        <v>10018375</v>
      </c>
      <c r="N218" t="inlineStr">
        <is>
          <t>Arena Triturada Basalto Malla 4 - BC</t>
        </is>
      </c>
      <c r="O218" t="inlineStr">
        <is>
          <t>DW68</t>
        </is>
      </c>
      <c r="P218" t="inlineStr">
        <is>
          <t>MX-CED. GUADALAJARA</t>
        </is>
      </c>
      <c r="Q218" t="n">
        <v>20210801</v>
      </c>
      <c r="R218" t="n">
        <v>20261231</v>
      </c>
      <c r="S218" t="n">
        <v>20210712</v>
      </c>
      <c r="T218" t="n">
        <v>20261231</v>
      </c>
      <c r="U218" t="n">
        <v>464.09</v>
      </c>
      <c r="V218" t="inlineStr">
        <is>
          <t>MXN</t>
        </is>
      </c>
      <c r="W218" t="inlineStr">
        <is>
          <t>M3</t>
        </is>
      </c>
      <c r="X218" t="n">
        <v>404.09</v>
      </c>
      <c r="Y218" t="inlineStr">
        <is>
          <t>MXN</t>
        </is>
      </c>
      <c r="Z218" t="inlineStr">
        <is>
          <t>M3</t>
        </is>
      </c>
      <c r="AA218" t="inlineStr">
        <is>
          <t>D251</t>
        </is>
      </c>
      <c r="AB218" t="inlineStr">
        <is>
          <t>PD0339 EL SALTO</t>
        </is>
      </c>
      <c r="AC218" t="n">
        <v>56103638</v>
      </c>
      <c r="AD218" t="n">
        <v>6644241540</v>
      </c>
      <c r="AE218" t="n">
        <v>4</v>
      </c>
      <c r="AF218" t="inlineStr">
        <is>
          <t>ENTREGA DIRECTA</t>
        </is>
      </c>
      <c r="AG218" t="n">
        <v>1.32</v>
      </c>
      <c r="AH218" t="inlineStr">
        <is>
          <t>M3</t>
        </is>
      </c>
      <c r="AI218" t="inlineStr">
        <is>
          <t>X</t>
        </is>
      </c>
      <c r="AJ218" t="n">
        <v>4</v>
      </c>
      <c r="AK218" t="inlineStr">
        <is>
          <t>V4</t>
        </is>
      </c>
      <c r="AL218" t="n">
        <v>20260108</v>
      </c>
      <c r="AM218" t="inlineStr">
        <is>
          <t>DW68-900002733-D251-10018375-4</t>
        </is>
      </c>
    </row>
    <row r="219">
      <c r="A219" t="inlineStr">
        <is>
          <t>900002733DW68D26410018375</t>
        </is>
      </c>
      <c r="B219" t="inlineStr">
        <is>
          <t>4600050422-70</t>
        </is>
      </c>
      <c r="C219" t="n">
        <v>4600050422</v>
      </c>
      <c r="D219" t="n">
        <v>70</v>
      </c>
      <c r="E219" t="inlineStr">
        <is>
          <t>MXPO</t>
        </is>
      </c>
      <c r="F219" t="inlineStr">
        <is>
          <t>MXL</t>
        </is>
      </c>
      <c r="G219" t="n">
        <v>900002733</v>
      </c>
      <c r="H219" t="inlineStr">
        <is>
          <t>TC-ED- BANDERAS</t>
        </is>
      </c>
      <c r="I219" t="n">
        <v>5046238</v>
      </c>
      <c r="J219" t="inlineStr">
        <is>
          <t>SOLUCIONES LOGISTICAS PARA LA</t>
        </is>
      </c>
      <c r="K219" t="inlineStr">
        <is>
          <t>N90</t>
        </is>
      </c>
      <c r="L219" t="inlineStr">
        <is>
          <t>(AP) NAFIN 90 Dias</t>
        </is>
      </c>
      <c r="M219" t="n">
        <v>10018375</v>
      </c>
      <c r="N219" t="inlineStr">
        <is>
          <t>Arena Triturada Basalto Malla 4 - BC</t>
        </is>
      </c>
      <c r="O219" t="inlineStr">
        <is>
          <t>DW68</t>
        </is>
      </c>
      <c r="P219" t="inlineStr">
        <is>
          <t>MX-CED. GUADALAJARA</t>
        </is>
      </c>
      <c r="Q219" t="n">
        <v>20210801</v>
      </c>
      <c r="R219" t="n">
        <v>20261231</v>
      </c>
      <c r="S219" t="n">
        <v>20210712</v>
      </c>
      <c r="T219" t="n">
        <v>20261231</v>
      </c>
      <c r="U219" t="n">
        <v>408</v>
      </c>
      <c r="V219" t="inlineStr">
        <is>
          <t>MXN</t>
        </is>
      </c>
      <c r="W219" t="inlineStr">
        <is>
          <t>M3</t>
        </is>
      </c>
      <c r="X219" t="n">
        <v>348</v>
      </c>
      <c r="Y219" t="inlineStr">
        <is>
          <t>MXN</t>
        </is>
      </c>
      <c r="Z219" t="inlineStr">
        <is>
          <t>M3</t>
        </is>
      </c>
      <c r="AA219" t="inlineStr">
        <is>
          <t>D264</t>
        </is>
      </c>
      <c r="AB219" t="inlineStr">
        <is>
          <t>PD0083 GUADALAJARA I III</t>
        </is>
      </c>
      <c r="AC219" t="n">
        <v>56103638</v>
      </c>
      <c r="AD219" t="n">
        <v>6644241540</v>
      </c>
      <c r="AE219" t="n">
        <v>4</v>
      </c>
      <c r="AF219" t="inlineStr">
        <is>
          <t>ENTREGA DIRECTA</t>
        </is>
      </c>
      <c r="AG219" t="n">
        <v>1.32</v>
      </c>
      <c r="AH219" t="inlineStr">
        <is>
          <t>M3</t>
        </is>
      </c>
      <c r="AI219" t="inlineStr">
        <is>
          <t>X</t>
        </is>
      </c>
      <c r="AJ219" t="n">
        <v>4</v>
      </c>
      <c r="AK219" t="inlineStr">
        <is>
          <t>V4</t>
        </is>
      </c>
      <c r="AL219" t="n">
        <v>20260108</v>
      </c>
      <c r="AM219" t="inlineStr">
        <is>
          <t>DW68-900002733-D264-10018375-4</t>
        </is>
      </c>
    </row>
    <row r="220">
      <c r="A220" t="inlineStr">
        <is>
          <t>900004885DW68D26410000191</t>
        </is>
      </c>
      <c r="B220" t="inlineStr">
        <is>
          <t>4600050439-200</t>
        </is>
      </c>
      <c r="C220" t="n">
        <v>4600050439</v>
      </c>
      <c r="D220" t="n">
        <v>200</v>
      </c>
      <c r="E220" t="inlineStr">
        <is>
          <t>MXPO</t>
        </is>
      </c>
      <c r="F220" t="inlineStr">
        <is>
          <t>MXL</t>
        </is>
      </c>
      <c r="G220" t="n">
        <v>900004885</v>
      </c>
      <c r="H220" t="inlineStr">
        <is>
          <t>TC-ED PICA PIEDRA</t>
        </is>
      </c>
      <c r="I220" t="n">
        <v>5064954</v>
      </c>
      <c r="J220" t="inlineStr">
        <is>
          <t>AGREGADOS Y CONCRETOS PICA PIEDRA</t>
        </is>
      </c>
      <c r="K220" t="inlineStr">
        <is>
          <t>N90</t>
        </is>
      </c>
      <c r="L220" t="inlineStr">
        <is>
          <t>(AP) NAFIN 90 Dias</t>
        </is>
      </c>
      <c r="M220" t="n">
        <v>10000191</v>
      </c>
      <c r="N220" t="inlineStr">
        <is>
          <t>Grava Triturada Basalto 20 mm - 3/4"</t>
        </is>
      </c>
      <c r="O220" t="inlineStr">
        <is>
          <t>DW68</t>
        </is>
      </c>
      <c r="P220" t="inlineStr">
        <is>
          <t>MX-CED. GUADALAJARA</t>
        </is>
      </c>
      <c r="Q220" t="n">
        <v>20210801</v>
      </c>
      <c r="R220" t="n">
        <v>20261231</v>
      </c>
      <c r="S220" t="n">
        <v>20210712</v>
      </c>
      <c r="T220" t="n">
        <v>20261231</v>
      </c>
      <c r="U220" t="n">
        <v>212.03</v>
      </c>
      <c r="V220" t="inlineStr">
        <is>
          <t>MXN</t>
        </is>
      </c>
      <c r="W220" t="inlineStr">
        <is>
          <t>M3</t>
        </is>
      </c>
      <c r="X220" t="n">
        <v>82.03</v>
      </c>
      <c r="Y220" t="inlineStr">
        <is>
          <t>MXN</t>
        </is>
      </c>
      <c r="Z220" t="inlineStr">
        <is>
          <t>M3</t>
        </is>
      </c>
      <c r="AA220" t="inlineStr">
        <is>
          <t>D264</t>
        </is>
      </c>
      <c r="AB220" t="inlineStr">
        <is>
          <t>PD0083 GUADALAJARA I III</t>
        </is>
      </c>
      <c r="AC220" t="n">
        <v>56103637</v>
      </c>
      <c r="AD220" t="n">
        <v>6644241540</v>
      </c>
      <c r="AE220" t="n">
        <v>4</v>
      </c>
      <c r="AF220" t="inlineStr">
        <is>
          <t>ENTREGA DIRECTA</t>
        </is>
      </c>
      <c r="AG220" t="n">
        <v>1.41</v>
      </c>
      <c r="AH220" t="inlineStr">
        <is>
          <t>M3</t>
        </is>
      </c>
      <c r="AI220" t="inlineStr">
        <is>
          <t>X</t>
        </is>
      </c>
      <c r="AJ220" t="n">
        <v>4</v>
      </c>
      <c r="AK220" t="inlineStr">
        <is>
          <t>V4</t>
        </is>
      </c>
      <c r="AL220" t="n">
        <v>20260108</v>
      </c>
      <c r="AM220" t="inlineStr">
        <is>
          <t>DW68-900004885-D264-10000191-4</t>
        </is>
      </c>
    </row>
    <row r="221">
      <c r="A221" t="inlineStr">
        <is>
          <t>900005508DW68D22810000191</t>
        </is>
      </c>
      <c r="B221" t="inlineStr">
        <is>
          <t>4600050448-70</t>
        </is>
      </c>
      <c r="C221" t="n">
        <v>4600050448</v>
      </c>
      <c r="D221" t="n">
        <v>70</v>
      </c>
      <c r="E221" t="inlineStr">
        <is>
          <t>MXPO</t>
        </is>
      </c>
      <c r="F221" t="inlineStr">
        <is>
          <t>MXL</t>
        </is>
      </c>
      <c r="G221" t="n">
        <v>900005508</v>
      </c>
      <c r="H221" t="inlineStr">
        <is>
          <t>TC-ED JUAN DAVALOS</t>
        </is>
      </c>
      <c r="I221" t="n">
        <v>5014444</v>
      </c>
      <c r="J221" t="inlineStr">
        <is>
          <t>DAVALOS GUTIERREZ JUAN JOSE</t>
        </is>
      </c>
      <c r="K221" t="inlineStr">
        <is>
          <t>N90</t>
        </is>
      </c>
      <c r="L221" t="inlineStr">
        <is>
          <t>(AP) NAFIN 90 Dias</t>
        </is>
      </c>
      <c r="M221" t="n">
        <v>10000191</v>
      </c>
      <c r="N221" t="inlineStr">
        <is>
          <t>Grava Triturada Basalto 20 mm - 3/4"</t>
        </is>
      </c>
      <c r="O221" t="inlineStr">
        <is>
          <t>DW68</t>
        </is>
      </c>
      <c r="P221" t="inlineStr">
        <is>
          <t>MX-CED. GUADALAJARA</t>
        </is>
      </c>
      <c r="Q221" t="n">
        <v>20210801</v>
      </c>
      <c r="R221" t="n">
        <v>20261231</v>
      </c>
      <c r="S221" t="n">
        <v>20210712</v>
      </c>
      <c r="T221" t="n">
        <v>20261231</v>
      </c>
      <c r="U221" t="n">
        <v>259.2</v>
      </c>
      <c r="V221" t="inlineStr">
        <is>
          <t>MXN</t>
        </is>
      </c>
      <c r="W221" t="inlineStr">
        <is>
          <t>M3</t>
        </is>
      </c>
      <c r="X221" t="n">
        <v>149.2</v>
      </c>
      <c r="Y221" t="inlineStr">
        <is>
          <t>MXN</t>
        </is>
      </c>
      <c r="Z221" t="inlineStr">
        <is>
          <t>M3</t>
        </is>
      </c>
      <c r="AA221" t="inlineStr">
        <is>
          <t>D228</t>
        </is>
      </c>
      <c r="AB221" t="inlineStr">
        <is>
          <t>PD0123 TLAJOMULCO</t>
        </is>
      </c>
      <c r="AC221" t="n">
        <v>56103637</v>
      </c>
      <c r="AD221" t="n">
        <v>6644241540</v>
      </c>
      <c r="AE221" t="n">
        <v>4</v>
      </c>
      <c r="AF221" t="inlineStr">
        <is>
          <t>ENTREGA DIRECTA</t>
        </is>
      </c>
      <c r="AG221" t="n">
        <v>1.41</v>
      </c>
      <c r="AH221" t="inlineStr">
        <is>
          <t>M3</t>
        </is>
      </c>
      <c r="AI221" t="inlineStr">
        <is>
          <t>X</t>
        </is>
      </c>
      <c r="AJ221" t="n">
        <v>4</v>
      </c>
      <c r="AK221" t="inlineStr">
        <is>
          <t>V4</t>
        </is>
      </c>
      <c r="AL221" t="n">
        <v>20260108</v>
      </c>
      <c r="AM221" t="inlineStr">
        <is>
          <t>DW68-900005508-D228-10000191-4</t>
        </is>
      </c>
    </row>
    <row r="222">
      <c r="A222" t="inlineStr">
        <is>
          <t>900006441DW68D04210000191</t>
        </is>
      </c>
      <c r="B222" t="inlineStr">
        <is>
          <t>4600050459-20</t>
        </is>
      </c>
      <c r="C222" t="n">
        <v>4600050459</v>
      </c>
      <c r="D222" t="n">
        <v>20</v>
      </c>
      <c r="E222" t="inlineStr">
        <is>
          <t>MXPO</t>
        </is>
      </c>
      <c r="F222" t="inlineStr">
        <is>
          <t>MXL</t>
        </is>
      </c>
      <c r="G222" t="n">
        <v>900006441</v>
      </c>
      <c r="H222" t="inlineStr">
        <is>
          <t>TC-ED INTERCONEXIONES ML</t>
        </is>
      </c>
      <c r="I222" t="n">
        <v>5077556</v>
      </c>
      <c r="J222" t="inlineStr">
        <is>
          <t>INTERCONEXIONES ML SA DE CV</t>
        </is>
      </c>
      <c r="K222" t="inlineStr">
        <is>
          <t>Z09</t>
        </is>
      </c>
      <c r="L222" t="inlineStr">
        <is>
          <t>(AP) 90 Dias</t>
        </is>
      </c>
      <c r="M222" t="n">
        <v>10000191</v>
      </c>
      <c r="N222" t="inlineStr">
        <is>
          <t>Grava Triturada Basalto 20 mm - 3/4"</t>
        </is>
      </c>
      <c r="O222" t="inlineStr">
        <is>
          <t>DW68</t>
        </is>
      </c>
      <c r="P222" t="inlineStr">
        <is>
          <t>MX-CED. GUADALAJARA</t>
        </is>
      </c>
      <c r="Q222" t="n">
        <v>20210801</v>
      </c>
      <c r="R222" t="n">
        <v>20261231</v>
      </c>
      <c r="S222" t="n">
        <v>20210712</v>
      </c>
      <c r="T222" t="n">
        <v>20261231</v>
      </c>
      <c r="U222" t="n">
        <v>295</v>
      </c>
      <c r="V222" t="inlineStr">
        <is>
          <t>MXN</t>
        </is>
      </c>
      <c r="W222" t="inlineStr">
        <is>
          <t>M3</t>
        </is>
      </c>
      <c r="X222" t="n">
        <v>175</v>
      </c>
      <c r="Y222" t="inlineStr">
        <is>
          <t>MXN</t>
        </is>
      </c>
      <c r="Z222" t="inlineStr">
        <is>
          <t>M3</t>
        </is>
      </c>
      <c r="AA222" t="inlineStr">
        <is>
          <t>D042</t>
        </is>
      </c>
      <c r="AB222" t="inlineStr">
        <is>
          <t>PD0406 PLANTA PONIENTE</t>
        </is>
      </c>
      <c r="AC222" t="n">
        <v>56103637</v>
      </c>
      <c r="AD222" t="n">
        <v>6644241540</v>
      </c>
      <c r="AE222" t="n">
        <v>4</v>
      </c>
      <c r="AF222" t="inlineStr">
        <is>
          <t>ENTREGA DIRECTA</t>
        </is>
      </c>
      <c r="AG222" t="n">
        <v>1.41</v>
      </c>
      <c r="AH222" t="inlineStr">
        <is>
          <t>M3</t>
        </is>
      </c>
      <c r="AI222" t="inlineStr">
        <is>
          <t>X</t>
        </is>
      </c>
      <c r="AJ222" t="n">
        <v>4</v>
      </c>
      <c r="AK222" t="inlineStr">
        <is>
          <t>V4</t>
        </is>
      </c>
      <c r="AL222" t="n">
        <v>20260108</v>
      </c>
      <c r="AM222" t="inlineStr">
        <is>
          <t>DW68-900006441-D042-10000191-4</t>
        </is>
      </c>
    </row>
    <row r="223">
      <c r="A223" t="inlineStr">
        <is>
          <t>900006441DW68D26710000191</t>
        </is>
      </c>
      <c r="B223" t="inlineStr">
        <is>
          <t>4600050459-80</t>
        </is>
      </c>
      <c r="C223" t="n">
        <v>4600050459</v>
      </c>
      <c r="D223" t="n">
        <v>80</v>
      </c>
      <c r="E223" t="inlineStr">
        <is>
          <t>MXPO</t>
        </is>
      </c>
      <c r="F223" t="inlineStr">
        <is>
          <t>MXL</t>
        </is>
      </c>
      <c r="G223" t="n">
        <v>900006441</v>
      </c>
      <c r="H223" t="inlineStr">
        <is>
          <t>TC-ED INTERCONEXIONES ML</t>
        </is>
      </c>
      <c r="I223" t="n">
        <v>5077556</v>
      </c>
      <c r="J223" t="inlineStr">
        <is>
          <t>INTERCONEXIONES ML SA DE CV</t>
        </is>
      </c>
      <c r="K223" t="inlineStr">
        <is>
          <t>Z09</t>
        </is>
      </c>
      <c r="L223" t="inlineStr">
        <is>
          <t>(AP) 90 Dias</t>
        </is>
      </c>
      <c r="M223" t="n">
        <v>10000191</v>
      </c>
      <c r="N223" t="inlineStr">
        <is>
          <t>Grava Triturada Basalto 20 mm - 3/4"</t>
        </is>
      </c>
      <c r="O223" t="inlineStr">
        <is>
          <t>DW68</t>
        </is>
      </c>
      <c r="P223" t="inlineStr">
        <is>
          <t>MX-CED. GUADALAJARA</t>
        </is>
      </c>
      <c r="Q223" t="n">
        <v>20210801</v>
      </c>
      <c r="R223" t="n">
        <v>20261231</v>
      </c>
      <c r="S223" t="n">
        <v>20210712</v>
      </c>
      <c r="T223" t="n">
        <v>20261231</v>
      </c>
      <c r="U223" t="n">
        <v>315</v>
      </c>
      <c r="V223" t="inlineStr">
        <is>
          <t>MXN</t>
        </is>
      </c>
      <c r="W223" t="inlineStr">
        <is>
          <t>M3</t>
        </is>
      </c>
      <c r="X223" t="n">
        <v>195</v>
      </c>
      <c r="Y223" t="inlineStr">
        <is>
          <t>MXN</t>
        </is>
      </c>
      <c r="Z223" t="inlineStr">
        <is>
          <t>M3</t>
        </is>
      </c>
      <c r="AA223" t="inlineStr">
        <is>
          <t>D267</t>
        </is>
      </c>
      <c r="AB223" t="inlineStr">
        <is>
          <t>PD0280 PLANTA COLOTLAN</t>
        </is>
      </c>
      <c r="AC223" t="n">
        <v>56103637</v>
      </c>
      <c r="AD223" t="n">
        <v>6644241540</v>
      </c>
      <c r="AE223" t="n">
        <v>4</v>
      </c>
      <c r="AF223" t="inlineStr">
        <is>
          <t>ENTREGA DIRECTA</t>
        </is>
      </c>
      <c r="AG223" t="n">
        <v>1.41</v>
      </c>
      <c r="AH223" t="inlineStr">
        <is>
          <t>M3</t>
        </is>
      </c>
      <c r="AI223" t="inlineStr">
        <is>
          <t>X</t>
        </is>
      </c>
      <c r="AJ223" t="n">
        <v>4</v>
      </c>
      <c r="AK223" t="inlineStr">
        <is>
          <t>V4</t>
        </is>
      </c>
      <c r="AL223" t="n">
        <v>20260108</v>
      </c>
      <c r="AM223" t="inlineStr">
        <is>
          <t>DW68-900006441-D267-10000191-4</t>
        </is>
      </c>
    </row>
    <row r="224">
      <c r="A224" t="inlineStr">
        <is>
          <t>900008250DW68D26710000191</t>
        </is>
      </c>
      <c r="B224" t="inlineStr">
        <is>
          <t>4600058169-100</t>
        </is>
      </c>
      <c r="C224" t="n">
        <v>4600058169</v>
      </c>
      <c r="D224" t="n">
        <v>100</v>
      </c>
      <c r="E224" t="inlineStr">
        <is>
          <t>MXPO</t>
        </is>
      </c>
      <c r="F224" t="inlineStr">
        <is>
          <t>MXL</t>
        </is>
      </c>
      <c r="G224" t="n">
        <v>900008250</v>
      </c>
      <c r="H224" t="inlineStr">
        <is>
          <t>SF TC-ED-MAREVA GA TONALA</t>
        </is>
      </c>
      <c r="I224" t="n">
        <v>5043944</v>
      </c>
      <c r="J224" t="inlineStr">
        <is>
          <t>CONSTRUCCIONES MAREVA DE OCCIDENTE</t>
        </is>
      </c>
      <c r="K224" t="inlineStr">
        <is>
          <t>Z04</t>
        </is>
      </c>
      <c r="L224" t="inlineStr">
        <is>
          <t>(AP) 30 Dias</t>
        </is>
      </c>
      <c r="M224" t="n">
        <v>10000191</v>
      </c>
      <c r="N224" t="inlineStr">
        <is>
          <t>Grava Triturada Basalto 20 mm - 3/4"</t>
        </is>
      </c>
      <c r="O224" t="inlineStr">
        <is>
          <t>DW68</t>
        </is>
      </c>
      <c r="P224" t="inlineStr">
        <is>
          <t>MX-CED. GUADALAJARA</t>
        </is>
      </c>
      <c r="Q224" t="n">
        <v>20230704</v>
      </c>
      <c r="R224" t="n">
        <v>20281231</v>
      </c>
      <c r="S224" t="n">
        <v>20230704</v>
      </c>
      <c r="T224" t="n">
        <v>20281231</v>
      </c>
      <c r="U224" t="n">
        <v>431.6</v>
      </c>
      <c r="V224" t="inlineStr">
        <is>
          <t>MXN</t>
        </is>
      </c>
      <c r="W224" t="inlineStr">
        <is>
          <t>M3</t>
        </is>
      </c>
      <c r="X224" t="n">
        <v>131.6</v>
      </c>
      <c r="Y224" t="inlineStr">
        <is>
          <t>MXN</t>
        </is>
      </c>
      <c r="Z224" t="inlineStr">
        <is>
          <t>M3</t>
        </is>
      </c>
      <c r="AA224" t="inlineStr">
        <is>
          <t>D267</t>
        </is>
      </c>
      <c r="AB224" t="inlineStr">
        <is>
          <t>PD0280 PLANTA COLOTLAN</t>
        </is>
      </c>
      <c r="AC224" t="n">
        <v>56103637</v>
      </c>
      <c r="AD224" t="n">
        <v>6644241540</v>
      </c>
      <c r="AE224" t="n">
        <v>4</v>
      </c>
      <c r="AF224" t="inlineStr">
        <is>
          <t>ENTREGA DIRECTA</t>
        </is>
      </c>
      <c r="AG224" t="n">
        <v>1.41</v>
      </c>
      <c r="AH224" t="inlineStr">
        <is>
          <t>M3</t>
        </is>
      </c>
      <c r="AI224" t="inlineStr">
        <is>
          <t>X</t>
        </is>
      </c>
      <c r="AJ224" t="n">
        <v>4</v>
      </c>
      <c r="AK224" t="inlineStr">
        <is>
          <t>V4</t>
        </is>
      </c>
      <c r="AL224" t="n">
        <v>20230920</v>
      </c>
      <c r="AM224" t="inlineStr">
        <is>
          <t>DW68-900008250-D267-10000191-4</t>
        </is>
      </c>
    </row>
    <row r="225">
      <c r="A225" t="inlineStr">
        <is>
          <t>900008250DW68D24710000388</t>
        </is>
      </c>
      <c r="B225" t="inlineStr">
        <is>
          <t>4600058169-200</t>
        </is>
      </c>
      <c r="C225" t="n">
        <v>4600058169</v>
      </c>
      <c r="D225" t="n">
        <v>200</v>
      </c>
      <c r="E225" t="inlineStr">
        <is>
          <t>MXPO</t>
        </is>
      </c>
      <c r="F225" t="inlineStr">
        <is>
          <t>MXL</t>
        </is>
      </c>
      <c r="G225" t="n">
        <v>900008250</v>
      </c>
      <c r="H225" t="inlineStr">
        <is>
          <t>SF TC-ED-MAREVA GA TONALA</t>
        </is>
      </c>
      <c r="I225" t="n">
        <v>5043944</v>
      </c>
      <c r="J225" t="inlineStr">
        <is>
          <t>CONSTRUCCIONES MAREVA DE OCCIDENTE</t>
        </is>
      </c>
      <c r="K225" t="inlineStr">
        <is>
          <t>Z04</t>
        </is>
      </c>
      <c r="L225" t="inlineStr">
        <is>
          <t>(AP) 30 Dias</t>
        </is>
      </c>
      <c r="M225" t="n">
        <v>10000388</v>
      </c>
      <c r="N225" t="inlineStr">
        <is>
          <t>Grava Triturada Basalto  40 mm - 1 1/2"</t>
        </is>
      </c>
      <c r="O225" t="inlineStr">
        <is>
          <t>DW68</t>
        </is>
      </c>
      <c r="P225" t="inlineStr">
        <is>
          <t>MX-CED. GUADALAJARA</t>
        </is>
      </c>
      <c r="Q225" t="n">
        <v>20230704</v>
      </c>
      <c r="R225" t="n">
        <v>20281231</v>
      </c>
      <c r="S225" t="n">
        <v>20230704</v>
      </c>
      <c r="T225" t="n">
        <v>20281231</v>
      </c>
      <c r="U225" t="n">
        <v>314.2</v>
      </c>
      <c r="V225" t="inlineStr">
        <is>
          <t>MXN</t>
        </is>
      </c>
      <c r="W225" t="inlineStr">
        <is>
          <t>M3</t>
        </is>
      </c>
      <c r="X225" t="n">
        <v>39.2</v>
      </c>
      <c r="Y225" t="inlineStr">
        <is>
          <t>MXN</t>
        </is>
      </c>
      <c r="Z225" t="inlineStr">
        <is>
          <t>M3</t>
        </is>
      </c>
      <c r="AA225" t="inlineStr">
        <is>
          <t>D247</t>
        </is>
      </c>
      <c r="AB225" t="inlineStr">
        <is>
          <t>PD0518 TONALA</t>
        </is>
      </c>
      <c r="AC225" t="n">
        <v>56103637</v>
      </c>
      <c r="AD225" t="n">
        <v>6644241540</v>
      </c>
      <c r="AE225" t="n">
        <v>4</v>
      </c>
      <c r="AF225" t="inlineStr">
        <is>
          <t>ENTREGA DIRECTA</t>
        </is>
      </c>
      <c r="AG225" t="n">
        <v>1.395</v>
      </c>
      <c r="AH225" t="inlineStr">
        <is>
          <t>M3</t>
        </is>
      </c>
      <c r="AI225" t="inlineStr">
        <is>
          <t>X</t>
        </is>
      </c>
      <c r="AJ225" t="n">
        <v>4</v>
      </c>
      <c r="AK225" t="inlineStr">
        <is>
          <t>V4</t>
        </is>
      </c>
      <c r="AL225" t="n">
        <v>20230920</v>
      </c>
      <c r="AM225" t="inlineStr">
        <is>
          <t>DW68-900008250-D247-10000388-4</t>
        </is>
      </c>
    </row>
    <row r="226">
      <c r="A226" t="inlineStr">
        <is>
          <t>900009420DW68D57710000439</t>
        </is>
      </c>
      <c r="B226" t="inlineStr">
        <is>
          <t>4600071943-250</t>
        </is>
      </c>
      <c r="C226" t="n">
        <v>4600071943</v>
      </c>
      <c r="D226" t="n">
        <v>250</v>
      </c>
      <c r="E226" t="inlineStr">
        <is>
          <t>MXPO</t>
        </is>
      </c>
      <c r="F226" t="inlineStr">
        <is>
          <t>MXL</t>
        </is>
      </c>
      <c r="G226" t="n">
        <v>900009420</v>
      </c>
      <c r="H226" t="inlineStr">
        <is>
          <t>SF TC-ED HOLCIM GDL</t>
        </is>
      </c>
      <c r="I226" t="n">
        <v>5040590</v>
      </c>
      <c r="J226" t="inlineStr">
        <is>
          <t>HOLCIM MEXICO OPERACIONES SA DE CV</t>
        </is>
      </c>
      <c r="K226" t="inlineStr">
        <is>
          <t>Z06</t>
        </is>
      </c>
      <c r="L226" t="inlineStr">
        <is>
          <t>(AP) 45 Dias</t>
        </is>
      </c>
      <c r="M226" t="n">
        <v>10000439</v>
      </c>
      <c r="N226" t="inlineStr">
        <is>
          <t>Grava Triturada Basalto 10 mm - 3/8"</t>
        </is>
      </c>
      <c r="O226" t="inlineStr">
        <is>
          <t>DW68</t>
        </is>
      </c>
      <c r="P226" t="inlineStr">
        <is>
          <t>MX-CED. GUADALAJARA</t>
        </is>
      </c>
      <c r="Q226" t="n">
        <v>20260126</v>
      </c>
      <c r="R226" t="n">
        <v>20301231</v>
      </c>
      <c r="U226" t="n">
        <v>0</v>
      </c>
      <c r="V226" t="inlineStr">
        <is>
          <t>MXN</t>
        </is>
      </c>
      <c r="W226" t="inlineStr">
        <is>
          <t>TN</t>
        </is>
      </c>
      <c r="AA226" t="inlineStr">
        <is>
          <t>D577</t>
        </is>
      </c>
      <c r="AB226" t="inlineStr">
        <is>
          <t>D577 PD0681 PROY APTO GDL</t>
        </is>
      </c>
      <c r="AC226" t="n">
        <v>56103637</v>
      </c>
      <c r="AD226" t="n">
        <v>6644241540</v>
      </c>
      <c r="AE226" t="n">
        <v>4</v>
      </c>
      <c r="AF226" t="inlineStr">
        <is>
          <t>ENTREGA DIRECTA</t>
        </is>
      </c>
      <c r="AG226" t="n">
        <v>1</v>
      </c>
      <c r="AH226" t="inlineStr">
        <is>
          <t>TO</t>
        </is>
      </c>
      <c r="AI226" t="inlineStr">
        <is>
          <t>X</t>
        </is>
      </c>
      <c r="AJ226" t="n">
        <v>4</v>
      </c>
      <c r="AK226" t="inlineStr">
        <is>
          <t>V4</t>
        </is>
      </c>
      <c r="AL226" t="n">
        <v>20260331</v>
      </c>
      <c r="AM226" t="inlineStr">
        <is>
          <t>DW68-900009420-D577-10000439-4</t>
        </is>
      </c>
    </row>
    <row r="227">
      <c r="A227" t="inlineStr">
        <is>
          <t>900009396DW68D57710209065</t>
        </is>
      </c>
      <c r="B227" t="inlineStr">
        <is>
          <t>4600071942-60</t>
        </is>
      </c>
      <c r="C227" t="n">
        <v>4600071942</v>
      </c>
      <c r="D227" t="n">
        <v>60</v>
      </c>
      <c r="E227" t="inlineStr">
        <is>
          <t>MXPO</t>
        </is>
      </c>
      <c r="F227" t="inlineStr">
        <is>
          <t>MXL</t>
        </is>
      </c>
      <c r="G227" t="n">
        <v>900009396</v>
      </c>
      <c r="H227" t="inlineStr">
        <is>
          <t>SF TC-ED GASA</t>
        </is>
      </c>
      <c r="I227" t="n">
        <v>5097224</v>
      </c>
      <c r="J227" t="inlineStr">
        <is>
          <t>TRITURADOS GASA SA DE CV</t>
        </is>
      </c>
      <c r="K227" t="inlineStr">
        <is>
          <t>Z09</t>
        </is>
      </c>
      <c r="L227" t="inlineStr">
        <is>
          <t>(AP) 90 Dias</t>
        </is>
      </c>
      <c r="M227" t="n">
        <v>10209065</v>
      </c>
      <c r="N227" t="inlineStr">
        <is>
          <t>FILTRO 5" A 7/8"</t>
        </is>
      </c>
      <c r="O227" t="inlineStr">
        <is>
          <t>DW68</t>
        </is>
      </c>
      <c r="P227" t="inlineStr">
        <is>
          <t>MX-CED. GUADALAJARA</t>
        </is>
      </c>
      <c r="Q227" t="n">
        <v>20260126</v>
      </c>
      <c r="R227" t="n">
        <v>20301231</v>
      </c>
      <c r="U227" t="n">
        <v>0</v>
      </c>
      <c r="V227" t="inlineStr">
        <is>
          <t>MXN</t>
        </is>
      </c>
      <c r="W227" t="inlineStr">
        <is>
          <t>M3</t>
        </is>
      </c>
      <c r="AA227" t="inlineStr">
        <is>
          <t>D577</t>
        </is>
      </c>
      <c r="AB227" t="inlineStr">
        <is>
          <t>D577 PD0681 PROY APTO GDL</t>
        </is>
      </c>
      <c r="AC227" t="n">
        <v>56103637</v>
      </c>
      <c r="AD227" t="n">
        <v>6644241540</v>
      </c>
      <c r="AE227" t="n">
        <v>4</v>
      </c>
      <c r="AF227" t="inlineStr">
        <is>
          <t>ENTREGA DIRECTA</t>
        </is>
      </c>
      <c r="AG227" t="n">
        <v>1.365</v>
      </c>
      <c r="AH227" t="inlineStr">
        <is>
          <t>M3</t>
        </is>
      </c>
      <c r="AI227" t="inlineStr">
        <is>
          <t>X</t>
        </is>
      </c>
      <c r="AJ227" t="n">
        <v>4</v>
      </c>
      <c r="AK227" t="inlineStr">
        <is>
          <t>V4</t>
        </is>
      </c>
      <c r="AL227" t="n">
        <v>20260331</v>
      </c>
      <c r="AM227" t="inlineStr">
        <is>
          <t>DW68-900009396-D577-10209065-4</t>
        </is>
      </c>
    </row>
    <row r="228">
      <c r="A228" t="inlineStr">
        <is>
          <t>900008211DW68D24710000384</t>
        </is>
      </c>
      <c r="B228" t="inlineStr">
        <is>
          <t>4600058350-100</t>
        </is>
      </c>
      <c r="C228" t="n">
        <v>4600058350</v>
      </c>
      <c r="D228" t="n">
        <v>100</v>
      </c>
      <c r="E228" t="inlineStr">
        <is>
          <t>MXPO</t>
        </is>
      </c>
      <c r="F228" t="inlineStr">
        <is>
          <t>MXL</t>
        </is>
      </c>
      <c r="G228" t="n">
        <v>900008211</v>
      </c>
      <c r="H228" t="inlineStr">
        <is>
          <t>SF TC-ED-AGG OCCIDENTE</t>
        </is>
      </c>
      <c r="I228" t="n">
        <v>5089478</v>
      </c>
      <c r="J228" t="inlineStr">
        <is>
          <t>MATERIALES CONSTRUCTIVOS Y AGREGADO</t>
        </is>
      </c>
      <c r="K228" t="inlineStr">
        <is>
          <t>N90</t>
        </is>
      </c>
      <c r="L228" t="inlineStr">
        <is>
          <t>(AP) NAFIN 90 Dias</t>
        </is>
      </c>
      <c r="M228" t="n">
        <v>10000384</v>
      </c>
      <c r="N228" t="inlineStr">
        <is>
          <t>Arena Triturada Basalto Malla 4</t>
        </is>
      </c>
      <c r="O228" t="inlineStr">
        <is>
          <t>DW68</t>
        </is>
      </c>
      <c r="P228" t="inlineStr">
        <is>
          <t>MX-CED. GUADALAJARA</t>
        </is>
      </c>
      <c r="Q228" t="n">
        <v>20230814</v>
      </c>
      <c r="R228" t="n">
        <v>20291231</v>
      </c>
      <c r="S228" t="n">
        <v>20240201</v>
      </c>
      <c r="T228" t="n">
        <v>20291231</v>
      </c>
      <c r="U228" t="n">
        <v>365</v>
      </c>
      <c r="V228" t="inlineStr">
        <is>
          <t>MXN</t>
        </is>
      </c>
      <c r="W228" t="inlineStr">
        <is>
          <t>M3</t>
        </is>
      </c>
      <c r="X228" t="n">
        <v>96.25</v>
      </c>
      <c r="Y228" t="inlineStr">
        <is>
          <t>MXN</t>
        </is>
      </c>
      <c r="Z228" t="inlineStr">
        <is>
          <t>M3</t>
        </is>
      </c>
      <c r="AA228" t="inlineStr">
        <is>
          <t>D247</t>
        </is>
      </c>
      <c r="AB228" t="inlineStr">
        <is>
          <t>PD0518 TONALA</t>
        </is>
      </c>
      <c r="AC228" t="n">
        <v>56103638</v>
      </c>
      <c r="AD228" t="n">
        <v>6644241540</v>
      </c>
      <c r="AE228" t="n">
        <v>4</v>
      </c>
      <c r="AF228" t="inlineStr">
        <is>
          <t>ENTREGA DIRECTA</t>
        </is>
      </c>
      <c r="AG228" t="n">
        <v>1.61</v>
      </c>
      <c r="AH228" t="inlineStr">
        <is>
          <t>M3</t>
        </is>
      </c>
      <c r="AI228" t="inlineStr">
        <is>
          <t>X</t>
        </is>
      </c>
      <c r="AJ228" t="n">
        <v>4</v>
      </c>
      <c r="AK228" t="inlineStr">
        <is>
          <t>V4</t>
        </is>
      </c>
      <c r="AL228" t="n">
        <v>20240222</v>
      </c>
      <c r="AM228" t="inlineStr">
        <is>
          <t>DW68-900008211-D247-10000384-4</t>
        </is>
      </c>
    </row>
    <row r="229">
      <c r="A229" t="inlineStr">
        <is>
          <t>900008211DW68D22810000384</t>
        </is>
      </c>
      <c r="B229" t="inlineStr">
        <is>
          <t>4600058350-40</t>
        </is>
      </c>
      <c r="C229" t="n">
        <v>4600058350</v>
      </c>
      <c r="D229" t="n">
        <v>40</v>
      </c>
      <c r="E229" t="inlineStr">
        <is>
          <t>MXPO</t>
        </is>
      </c>
      <c r="F229" t="inlineStr">
        <is>
          <t>MXL</t>
        </is>
      </c>
      <c r="G229" t="n">
        <v>900008211</v>
      </c>
      <c r="H229" t="inlineStr">
        <is>
          <t>SF TC-ED-AGG OCCIDENTE</t>
        </is>
      </c>
      <c r="I229" t="n">
        <v>5089478</v>
      </c>
      <c r="J229" t="inlineStr">
        <is>
          <t>MATERIALES CONSTRUCTIVOS Y AGREGADO</t>
        </is>
      </c>
      <c r="K229" t="inlineStr">
        <is>
          <t>N90</t>
        </is>
      </c>
      <c r="L229" t="inlineStr">
        <is>
          <t>(AP) NAFIN 90 Dias</t>
        </is>
      </c>
      <c r="M229" t="n">
        <v>10000384</v>
      </c>
      <c r="N229" t="inlineStr">
        <is>
          <t>Arena Triturada Basalto Malla 4</t>
        </is>
      </c>
      <c r="O229" t="inlineStr">
        <is>
          <t>DW68</t>
        </is>
      </c>
      <c r="P229" t="inlineStr">
        <is>
          <t>MX-CED. GUADALAJARA</t>
        </is>
      </c>
      <c r="Q229" t="n">
        <v>20230814</v>
      </c>
      <c r="R229" t="n">
        <v>20291231</v>
      </c>
      <c r="S229" t="n">
        <v>20240201</v>
      </c>
      <c r="T229" t="n">
        <v>20291231</v>
      </c>
      <c r="U229" t="n">
        <v>401</v>
      </c>
      <c r="V229" t="inlineStr">
        <is>
          <t>MXN</t>
        </is>
      </c>
      <c r="W229" t="inlineStr">
        <is>
          <t>M3</t>
        </is>
      </c>
      <c r="X229" t="n">
        <v>132.25</v>
      </c>
      <c r="Y229" t="inlineStr">
        <is>
          <t>MXN</t>
        </is>
      </c>
      <c r="Z229" t="inlineStr">
        <is>
          <t>M3</t>
        </is>
      </c>
      <c r="AA229" t="inlineStr">
        <is>
          <t>D228</t>
        </is>
      </c>
      <c r="AB229" t="inlineStr">
        <is>
          <t>PD0123 TLAJOMULCO</t>
        </is>
      </c>
      <c r="AC229" t="n">
        <v>56103638</v>
      </c>
      <c r="AD229" t="n">
        <v>6644241540</v>
      </c>
      <c r="AE229" t="n">
        <v>4</v>
      </c>
      <c r="AF229" t="inlineStr">
        <is>
          <t>ENTREGA DIRECTA</t>
        </is>
      </c>
      <c r="AG229" t="n">
        <v>1.61</v>
      </c>
      <c r="AH229" t="inlineStr">
        <is>
          <t>M3</t>
        </is>
      </c>
      <c r="AI229" t="inlineStr">
        <is>
          <t>X</t>
        </is>
      </c>
      <c r="AJ229" t="n">
        <v>4</v>
      </c>
      <c r="AK229" t="inlineStr">
        <is>
          <t>V4</t>
        </is>
      </c>
      <c r="AL229" t="n">
        <v>20240222</v>
      </c>
      <c r="AM229" t="inlineStr">
        <is>
          <t>DW68-900008211-D228-10000384-4</t>
        </is>
      </c>
    </row>
    <row r="230">
      <c r="A230" t="inlineStr">
        <is>
          <t>900008826DW6810000191</t>
        </is>
      </c>
      <c r="B230" t="inlineStr">
        <is>
          <t>4600069598-20</t>
        </is>
      </c>
      <c r="C230" t="n">
        <v>4600069598</v>
      </c>
      <c r="D230" t="n">
        <v>20</v>
      </c>
      <c r="E230" t="inlineStr">
        <is>
          <t>MXPO</t>
        </is>
      </c>
      <c r="F230" t="inlineStr">
        <is>
          <t>MXL</t>
        </is>
      </c>
      <c r="G230" t="n">
        <v>900008826</v>
      </c>
      <c r="H230" t="inlineStr">
        <is>
          <t>SF TC-MAREVA GA VALLE DE GPE</t>
        </is>
      </c>
      <c r="I230" t="n">
        <v>5043944</v>
      </c>
      <c r="J230" t="inlineStr">
        <is>
          <t>CONSTRUCCIONES MAREVA DE OCCIDENTE</t>
        </is>
      </c>
      <c r="K230" t="inlineStr">
        <is>
          <t>Z04</t>
        </is>
      </c>
      <c r="L230" t="inlineStr">
        <is>
          <t>(AP) 30 Dias</t>
        </is>
      </c>
      <c r="M230" t="n">
        <v>10000191</v>
      </c>
      <c r="N230" t="inlineStr">
        <is>
          <t>Grava Triturada Basalto 20 mm - 3/4"</t>
        </is>
      </c>
      <c r="O230" t="inlineStr">
        <is>
          <t>DW68</t>
        </is>
      </c>
      <c r="P230" t="inlineStr">
        <is>
          <t>MX-CED. GUADALAJARA</t>
        </is>
      </c>
      <c r="Q230" t="n">
        <v>20240528</v>
      </c>
      <c r="R230" t="n">
        <v>20291231</v>
      </c>
      <c r="S230" t="n">
        <v>20260115</v>
      </c>
      <c r="T230" t="n">
        <v>20311231</v>
      </c>
      <c r="U230" t="n">
        <v>297</v>
      </c>
      <c r="V230" t="inlineStr">
        <is>
          <t>MXN</t>
        </is>
      </c>
      <c r="W230" t="inlineStr">
        <is>
          <t>M3</t>
        </is>
      </c>
      <c r="X230" t="n">
        <v>0</v>
      </c>
      <c r="Y230" t="inlineStr">
        <is>
          <t>MXN</t>
        </is>
      </c>
      <c r="Z230" t="inlineStr">
        <is>
          <t>M3</t>
        </is>
      </c>
      <c r="AC230" t="n">
        <v>56103637</v>
      </c>
      <c r="AD230" t="n">
        <v>6644241540</v>
      </c>
      <c r="AE230" t="n">
        <v>1</v>
      </c>
      <c r="AF230" t="inlineStr">
        <is>
          <t>ENTREGADO</t>
        </is>
      </c>
      <c r="AG230" t="n">
        <v>1.41</v>
      </c>
      <c r="AH230" t="inlineStr">
        <is>
          <t>M3</t>
        </is>
      </c>
      <c r="AI230" t="inlineStr">
        <is>
          <t>X</t>
        </is>
      </c>
      <c r="AJ230" t="n">
        <v>4</v>
      </c>
      <c r="AK230" t="inlineStr">
        <is>
          <t>V4</t>
        </is>
      </c>
      <c r="AL230" t="n">
        <v>20260123</v>
      </c>
      <c r="AM230" t="inlineStr">
        <is>
          <t>DW68-900008826-10000191</t>
        </is>
      </c>
    </row>
    <row r="231">
      <c r="A231" t="inlineStr">
        <is>
          <t>900008211DW68D26410000384</t>
        </is>
      </c>
      <c r="B231" t="inlineStr">
        <is>
          <t>4600058350-30</t>
        </is>
      </c>
      <c r="C231" t="n">
        <v>4600058350</v>
      </c>
      <c r="D231" t="n">
        <v>30</v>
      </c>
      <c r="E231" t="inlineStr">
        <is>
          <t>MXPO</t>
        </is>
      </c>
      <c r="F231" t="inlineStr">
        <is>
          <t>MXL</t>
        </is>
      </c>
      <c r="G231" t="n">
        <v>900008211</v>
      </c>
      <c r="H231" t="inlineStr">
        <is>
          <t>SF TC-ED-AGG OCCIDENTE</t>
        </is>
      </c>
      <c r="I231" t="n">
        <v>5089478</v>
      </c>
      <c r="J231" t="inlineStr">
        <is>
          <t>MATERIALES CONSTRUCTIVOS Y AGREGADO</t>
        </is>
      </c>
      <c r="K231" t="inlineStr">
        <is>
          <t>N90</t>
        </is>
      </c>
      <c r="L231" t="inlineStr">
        <is>
          <t>(AP) NAFIN 90 Dias</t>
        </is>
      </c>
      <c r="M231" t="n">
        <v>10000384</v>
      </c>
      <c r="N231" t="inlineStr">
        <is>
          <t>Arena Triturada Basalto Malla 4</t>
        </is>
      </c>
      <c r="O231" t="inlineStr">
        <is>
          <t>DW68</t>
        </is>
      </c>
      <c r="P231" t="inlineStr">
        <is>
          <t>MX-CED. GUADALAJARA</t>
        </is>
      </c>
      <c r="Q231" t="n">
        <v>20230814</v>
      </c>
      <c r="R231" t="n">
        <v>20291231</v>
      </c>
      <c r="S231" t="n">
        <v>20240201</v>
      </c>
      <c r="T231" t="n">
        <v>20291231</v>
      </c>
      <c r="U231" t="n">
        <v>343</v>
      </c>
      <c r="V231" t="inlineStr">
        <is>
          <t>MXN</t>
        </is>
      </c>
      <c r="W231" t="inlineStr">
        <is>
          <t>M3</t>
        </is>
      </c>
      <c r="X231" t="n">
        <v>74.25</v>
      </c>
      <c r="Y231" t="inlineStr">
        <is>
          <t>MXN</t>
        </is>
      </c>
      <c r="Z231" t="inlineStr">
        <is>
          <t>M3</t>
        </is>
      </c>
      <c r="AA231" t="inlineStr">
        <is>
          <t>D264</t>
        </is>
      </c>
      <c r="AB231" t="inlineStr">
        <is>
          <t>PD0083 GUADALAJARA I III</t>
        </is>
      </c>
      <c r="AC231" t="n">
        <v>56103638</v>
      </c>
      <c r="AD231" t="n">
        <v>6644241540</v>
      </c>
      <c r="AE231" t="n">
        <v>4</v>
      </c>
      <c r="AF231" t="inlineStr">
        <is>
          <t>ENTREGA DIRECTA</t>
        </is>
      </c>
      <c r="AG231" t="n">
        <v>1.61</v>
      </c>
      <c r="AH231" t="inlineStr">
        <is>
          <t>M3</t>
        </is>
      </c>
      <c r="AI231" t="inlineStr">
        <is>
          <t>X</t>
        </is>
      </c>
      <c r="AJ231" t="n">
        <v>4</v>
      </c>
      <c r="AK231" t="inlineStr">
        <is>
          <t>V4</t>
        </is>
      </c>
      <c r="AL231" t="n">
        <v>20240222</v>
      </c>
      <c r="AM231" t="inlineStr">
        <is>
          <t>DW68-900008211-D264-10000384-4</t>
        </is>
      </c>
    </row>
    <row r="232">
      <c r="A232" t="inlineStr">
        <is>
          <t>900008211DW68D24210000384</t>
        </is>
      </c>
      <c r="B232" t="inlineStr">
        <is>
          <t>4600058350-50</t>
        </is>
      </c>
      <c r="C232" t="n">
        <v>4600058350</v>
      </c>
      <c r="D232" t="n">
        <v>50</v>
      </c>
      <c r="E232" t="inlineStr">
        <is>
          <t>MXPO</t>
        </is>
      </c>
      <c r="F232" t="inlineStr">
        <is>
          <t>MXL</t>
        </is>
      </c>
      <c r="G232" t="n">
        <v>900008211</v>
      </c>
      <c r="H232" t="inlineStr">
        <is>
          <t>SF TC-ED-AGG OCCIDENTE</t>
        </is>
      </c>
      <c r="I232" t="n">
        <v>5089478</v>
      </c>
      <c r="J232" t="inlineStr">
        <is>
          <t>MATERIALES CONSTRUCTIVOS Y AGREGADO</t>
        </is>
      </c>
      <c r="K232" t="inlineStr">
        <is>
          <t>N90</t>
        </is>
      </c>
      <c r="L232" t="inlineStr">
        <is>
          <t>(AP) NAFIN 90 Dias</t>
        </is>
      </c>
      <c r="M232" t="n">
        <v>10000384</v>
      </c>
      <c r="N232" t="inlineStr">
        <is>
          <t>Arena Triturada Basalto Malla 4</t>
        </is>
      </c>
      <c r="O232" t="inlineStr">
        <is>
          <t>DW68</t>
        </is>
      </c>
      <c r="P232" t="inlineStr">
        <is>
          <t>MX-CED. GUADALAJARA</t>
        </is>
      </c>
      <c r="Q232" t="n">
        <v>20230814</v>
      </c>
      <c r="R232" t="n">
        <v>20291231</v>
      </c>
      <c r="S232" t="n">
        <v>20240201</v>
      </c>
      <c r="T232" t="n">
        <v>20291231</v>
      </c>
      <c r="U232" t="n">
        <v>371</v>
      </c>
      <c r="V232" t="inlineStr">
        <is>
          <t>MXN</t>
        </is>
      </c>
      <c r="W232" t="inlineStr">
        <is>
          <t>M3</t>
        </is>
      </c>
      <c r="X232" t="n">
        <v>102.25</v>
      </c>
      <c r="Y232" t="inlineStr">
        <is>
          <t>MXN</t>
        </is>
      </c>
      <c r="Z232" t="inlineStr">
        <is>
          <t>M3</t>
        </is>
      </c>
      <c r="AA232" t="inlineStr">
        <is>
          <t>D242</t>
        </is>
      </c>
      <c r="AB232" t="inlineStr">
        <is>
          <t>PD0454 CD. LA GRANJA II</t>
        </is>
      </c>
      <c r="AC232" t="n">
        <v>56103638</v>
      </c>
      <c r="AD232" t="n">
        <v>6644241540</v>
      </c>
      <c r="AE232" t="n">
        <v>4</v>
      </c>
      <c r="AF232" t="inlineStr">
        <is>
          <t>ENTREGA DIRECTA</t>
        </is>
      </c>
      <c r="AG232" t="n">
        <v>1.61</v>
      </c>
      <c r="AH232" t="inlineStr">
        <is>
          <t>M3</t>
        </is>
      </c>
      <c r="AI232" t="inlineStr">
        <is>
          <t>X</t>
        </is>
      </c>
      <c r="AJ232" t="n">
        <v>4</v>
      </c>
      <c r="AK232" t="inlineStr">
        <is>
          <t>V4</t>
        </is>
      </c>
      <c r="AL232" t="n">
        <v>20240222</v>
      </c>
      <c r="AM232" t="inlineStr">
        <is>
          <t>DW68-900008211-D242-10000384-4</t>
        </is>
      </c>
    </row>
    <row r="233">
      <c r="A233" t="inlineStr">
        <is>
          <t>900008211DW68D26710000384</t>
        </is>
      </c>
      <c r="B233" t="inlineStr">
        <is>
          <t>4600058350-90</t>
        </is>
      </c>
      <c r="C233" t="n">
        <v>4600058350</v>
      </c>
      <c r="D233" t="n">
        <v>90</v>
      </c>
      <c r="E233" t="inlineStr">
        <is>
          <t>MXPO</t>
        </is>
      </c>
      <c r="F233" t="inlineStr">
        <is>
          <t>MXL</t>
        </is>
      </c>
      <c r="G233" t="n">
        <v>900008211</v>
      </c>
      <c r="H233" t="inlineStr">
        <is>
          <t>SF TC-ED-AGG OCCIDENTE</t>
        </is>
      </c>
      <c r="I233" t="n">
        <v>5089478</v>
      </c>
      <c r="J233" t="inlineStr">
        <is>
          <t>MATERIALES CONSTRUCTIVOS Y AGREGADO</t>
        </is>
      </c>
      <c r="K233" t="inlineStr">
        <is>
          <t>N90</t>
        </is>
      </c>
      <c r="L233" t="inlineStr">
        <is>
          <t>(AP) NAFIN 90 Dias</t>
        </is>
      </c>
      <c r="M233" t="n">
        <v>10000384</v>
      </c>
      <c r="N233" t="inlineStr">
        <is>
          <t>Arena Triturada Basalto Malla 4</t>
        </is>
      </c>
      <c r="O233" t="inlineStr">
        <is>
          <t>DW68</t>
        </is>
      </c>
      <c r="P233" t="inlineStr">
        <is>
          <t>MX-CED. GUADALAJARA</t>
        </is>
      </c>
      <c r="Q233" t="n">
        <v>20230814</v>
      </c>
      <c r="R233" t="n">
        <v>20291231</v>
      </c>
      <c r="S233" t="n">
        <v>20240201</v>
      </c>
      <c r="T233" t="n">
        <v>20291231</v>
      </c>
      <c r="U233" t="n">
        <v>392</v>
      </c>
      <c r="V233" t="inlineStr">
        <is>
          <t>MXN</t>
        </is>
      </c>
      <c r="W233" t="inlineStr">
        <is>
          <t>M3</t>
        </is>
      </c>
      <c r="X233" t="n">
        <v>123.25</v>
      </c>
      <c r="Y233" t="inlineStr">
        <is>
          <t>MXN</t>
        </is>
      </c>
      <c r="Z233" t="inlineStr">
        <is>
          <t>M3</t>
        </is>
      </c>
      <c r="AA233" t="inlineStr">
        <is>
          <t>D267</t>
        </is>
      </c>
      <c r="AB233" t="inlineStr">
        <is>
          <t>PD0280 PLANTA COLOTLAN</t>
        </is>
      </c>
      <c r="AC233" t="n">
        <v>56103638</v>
      </c>
      <c r="AD233" t="n">
        <v>6644241540</v>
      </c>
      <c r="AE233" t="n">
        <v>4</v>
      </c>
      <c r="AF233" t="inlineStr">
        <is>
          <t>ENTREGA DIRECTA</t>
        </is>
      </c>
      <c r="AG233" t="n">
        <v>1.61</v>
      </c>
      <c r="AH233" t="inlineStr">
        <is>
          <t>M3</t>
        </is>
      </c>
      <c r="AI233" t="inlineStr">
        <is>
          <t>X</t>
        </is>
      </c>
      <c r="AJ233" t="n">
        <v>4</v>
      </c>
      <c r="AK233" t="inlineStr">
        <is>
          <t>V4</t>
        </is>
      </c>
      <c r="AL233" t="n">
        <v>20240222</v>
      </c>
      <c r="AM233" t="inlineStr">
        <is>
          <t>DW68-900008211-D267-10000384-4</t>
        </is>
      </c>
    </row>
    <row r="234">
      <c r="A234" t="inlineStr">
        <is>
          <t>900008211DW68D20910000384</t>
        </is>
      </c>
      <c r="B234" t="inlineStr">
        <is>
          <t>4600058350-20</t>
        </is>
      </c>
      <c r="C234" t="n">
        <v>4600058350</v>
      </c>
      <c r="D234" t="n">
        <v>20</v>
      </c>
      <c r="E234" t="inlineStr">
        <is>
          <t>MXPO</t>
        </is>
      </c>
      <c r="F234" t="inlineStr">
        <is>
          <t>MXL</t>
        </is>
      </c>
      <c r="G234" t="n">
        <v>900008211</v>
      </c>
      <c r="H234" t="inlineStr">
        <is>
          <t>SF TC-ED-AGG OCCIDENTE</t>
        </is>
      </c>
      <c r="I234" t="n">
        <v>5089478</v>
      </c>
      <c r="J234" t="inlineStr">
        <is>
          <t>MATERIALES CONSTRUCTIVOS Y AGREGADO</t>
        </is>
      </c>
      <c r="K234" t="inlineStr">
        <is>
          <t>N90</t>
        </is>
      </c>
      <c r="L234" t="inlineStr">
        <is>
          <t>(AP) NAFIN 90 Dias</t>
        </is>
      </c>
      <c r="M234" t="n">
        <v>10000384</v>
      </c>
      <c r="N234" t="inlineStr">
        <is>
          <t>Arena Triturada Basalto Malla 4</t>
        </is>
      </c>
      <c r="O234" t="inlineStr">
        <is>
          <t>DW68</t>
        </is>
      </c>
      <c r="P234" t="inlineStr">
        <is>
          <t>MX-CED. GUADALAJARA</t>
        </is>
      </c>
      <c r="Q234" t="n">
        <v>20230814</v>
      </c>
      <c r="R234" t="n">
        <v>20291231</v>
      </c>
      <c r="S234" t="n">
        <v>20240201</v>
      </c>
      <c r="T234" t="n">
        <v>20291231</v>
      </c>
      <c r="U234" t="n">
        <v>332</v>
      </c>
      <c r="V234" t="inlineStr">
        <is>
          <t>MXN</t>
        </is>
      </c>
      <c r="W234" t="inlineStr">
        <is>
          <t>M3</t>
        </is>
      </c>
      <c r="X234" t="n">
        <v>63.25</v>
      </c>
      <c r="Y234" t="inlineStr">
        <is>
          <t>MXN</t>
        </is>
      </c>
      <c r="Z234" t="inlineStr">
        <is>
          <t>M3</t>
        </is>
      </c>
      <c r="AA234" t="inlineStr">
        <is>
          <t>D209</t>
        </is>
      </c>
      <c r="AB234" t="inlineStr">
        <is>
          <t>PD0127 MANANTIAL</t>
        </is>
      </c>
      <c r="AC234" t="n">
        <v>56103638</v>
      </c>
      <c r="AD234" t="n">
        <v>6644241540</v>
      </c>
      <c r="AE234" t="n">
        <v>4</v>
      </c>
      <c r="AF234" t="inlineStr">
        <is>
          <t>ENTREGA DIRECTA</t>
        </is>
      </c>
      <c r="AG234" t="n">
        <v>1.61</v>
      </c>
      <c r="AH234" t="inlineStr">
        <is>
          <t>M3</t>
        </is>
      </c>
      <c r="AI234" t="inlineStr">
        <is>
          <t>X</t>
        </is>
      </c>
      <c r="AJ234" t="n">
        <v>4</v>
      </c>
      <c r="AK234" t="inlineStr">
        <is>
          <t>V4</t>
        </is>
      </c>
      <c r="AL234" t="n">
        <v>20240222</v>
      </c>
      <c r="AM234" t="inlineStr">
        <is>
          <t>DW68-900008211-D209-10000384-4</t>
        </is>
      </c>
    </row>
    <row r="235">
      <c r="A235" t="inlineStr">
        <is>
          <t>900009396DW68ENV810209065</t>
        </is>
      </c>
      <c r="B235" t="inlineStr">
        <is>
          <t>4600071942-80</t>
        </is>
      </c>
      <c r="C235" t="n">
        <v>4600071942</v>
      </c>
      <c r="D235" t="n">
        <v>80</v>
      </c>
      <c r="E235" t="inlineStr">
        <is>
          <t>MXPO</t>
        </is>
      </c>
      <c r="F235" t="inlineStr">
        <is>
          <t>MXL</t>
        </is>
      </c>
      <c r="G235" t="n">
        <v>900009396</v>
      </c>
      <c r="H235" t="inlineStr">
        <is>
          <t>SF TC-ED GASA</t>
        </is>
      </c>
      <c r="I235" t="n">
        <v>5097224</v>
      </c>
      <c r="J235" t="inlineStr">
        <is>
          <t>TRITURADOS GASA SA DE CV</t>
        </is>
      </c>
      <c r="K235" t="inlineStr">
        <is>
          <t>Z09</t>
        </is>
      </c>
      <c r="L235" t="inlineStr">
        <is>
          <t>(AP) 90 Dias</t>
        </is>
      </c>
      <c r="M235" t="n">
        <v>10209065</v>
      </c>
      <c r="N235" t="inlineStr">
        <is>
          <t>FILTRO 5" A 7/8"</t>
        </is>
      </c>
      <c r="O235" t="inlineStr">
        <is>
          <t>DW68</t>
        </is>
      </c>
      <c r="P235" t="inlineStr">
        <is>
          <t>MX-CED. GUADALAJARA</t>
        </is>
      </c>
      <c r="Q235" t="n">
        <v>20260126</v>
      </c>
      <c r="R235" t="n">
        <v>20301231</v>
      </c>
      <c r="S235" t="n">
        <v>20260401</v>
      </c>
      <c r="T235" t="n">
        <v>20301231</v>
      </c>
      <c r="U235" t="n">
        <v>190</v>
      </c>
      <c r="V235" t="inlineStr">
        <is>
          <t>MXN</t>
        </is>
      </c>
      <c r="W235" t="inlineStr">
        <is>
          <t>M3</t>
        </is>
      </c>
      <c r="X235" t="n">
        <v>0.01</v>
      </c>
      <c r="Y235" t="inlineStr">
        <is>
          <t>MXN</t>
        </is>
      </c>
      <c r="Z235" t="inlineStr">
        <is>
          <t>M3</t>
        </is>
      </c>
      <c r="AA235" t="inlineStr">
        <is>
          <t>ENV8</t>
        </is>
      </c>
      <c r="AB235" t="inlineStr">
        <is>
          <t>Plataforma Aeropuerto GDL / GAP</t>
        </is>
      </c>
      <c r="AC235" t="n">
        <v>56103637</v>
      </c>
      <c r="AD235" t="n">
        <v>6644241540</v>
      </c>
      <c r="AE235" t="n">
        <v>4</v>
      </c>
      <c r="AF235" t="inlineStr">
        <is>
          <t>ENTREGA DIRECTA</t>
        </is>
      </c>
      <c r="AG235" t="n">
        <v>1.365</v>
      </c>
      <c r="AH235" t="inlineStr">
        <is>
          <t>M3</t>
        </is>
      </c>
      <c r="AI235" t="inlineStr">
        <is>
          <t>X</t>
        </is>
      </c>
      <c r="AJ235" t="n">
        <v>4</v>
      </c>
      <c r="AK235" t="inlineStr">
        <is>
          <t>V4</t>
        </is>
      </c>
      <c r="AL235" t="n">
        <v>20260408</v>
      </c>
      <c r="AM235" t="inlineStr">
        <is>
          <t>DW68-900009396-ENV8-10209065-4</t>
        </is>
      </c>
    </row>
    <row r="236">
      <c r="A236" t="inlineStr">
        <is>
          <t>900008826DW6810000388</t>
        </is>
      </c>
      <c r="B236" t="inlineStr">
        <is>
          <t>4600069598-10</t>
        </is>
      </c>
      <c r="C236" t="n">
        <v>4600069598</v>
      </c>
      <c r="D236" t="n">
        <v>10</v>
      </c>
      <c r="E236" t="inlineStr">
        <is>
          <t>MXPO</t>
        </is>
      </c>
      <c r="F236" t="inlineStr">
        <is>
          <t>MXL</t>
        </is>
      </c>
      <c r="G236" t="n">
        <v>900008826</v>
      </c>
      <c r="H236" t="inlineStr">
        <is>
          <t>SF TC-MAREVA GA VALLE DE GPE</t>
        </is>
      </c>
      <c r="I236" t="n">
        <v>5043944</v>
      </c>
      <c r="J236" t="inlineStr">
        <is>
          <t>CONSTRUCCIONES MAREVA DE OCCIDENTE</t>
        </is>
      </c>
      <c r="K236" t="inlineStr">
        <is>
          <t>Z04</t>
        </is>
      </c>
      <c r="L236" t="inlineStr">
        <is>
          <t>(AP) 30 Dias</t>
        </is>
      </c>
      <c r="M236" t="n">
        <v>10000388</v>
      </c>
      <c r="N236" t="inlineStr">
        <is>
          <t>Grava Triturada Basalto  40 mm - 1 1/2"</t>
        </is>
      </c>
      <c r="O236" t="inlineStr">
        <is>
          <t>DW68</t>
        </is>
      </c>
      <c r="P236" t="inlineStr">
        <is>
          <t>MX-CED. GUADALAJARA</t>
        </is>
      </c>
      <c r="Q236" t="n">
        <v>20240528</v>
      </c>
      <c r="R236" t="n">
        <v>20291231</v>
      </c>
      <c r="S236" t="n">
        <v>20260115</v>
      </c>
      <c r="T236" t="n">
        <v>20311231</v>
      </c>
      <c r="U236" t="n">
        <v>297</v>
      </c>
      <c r="V236" t="inlineStr">
        <is>
          <t>MXN</t>
        </is>
      </c>
      <c r="W236" t="inlineStr">
        <is>
          <t>M3</t>
        </is>
      </c>
      <c r="X236" t="n">
        <v>0</v>
      </c>
      <c r="Y236" t="inlineStr">
        <is>
          <t>MXN</t>
        </is>
      </c>
      <c r="Z236" t="inlineStr">
        <is>
          <t>M3</t>
        </is>
      </c>
      <c r="AC236" t="n">
        <v>56103637</v>
      </c>
      <c r="AD236" t="n">
        <v>6644241540</v>
      </c>
      <c r="AE236" t="n">
        <v>1</v>
      </c>
      <c r="AF236" t="inlineStr">
        <is>
          <t>ENTREGADO</t>
        </is>
      </c>
      <c r="AG236" t="n">
        <v>1.395</v>
      </c>
      <c r="AH236" t="inlineStr">
        <is>
          <t>M3</t>
        </is>
      </c>
      <c r="AI236" t="inlineStr">
        <is>
          <t>X</t>
        </is>
      </c>
      <c r="AJ236" t="n">
        <v>4</v>
      </c>
      <c r="AK236" t="inlineStr">
        <is>
          <t>V4</t>
        </is>
      </c>
      <c r="AL236" t="n">
        <v>20260123</v>
      </c>
      <c r="AM236" t="inlineStr">
        <is>
          <t>DW68-900008826-10000388</t>
        </is>
      </c>
    </row>
    <row r="237">
      <c r="A237" t="inlineStr">
        <is>
          <t>900008211DW68D22010000384</t>
        </is>
      </c>
      <c r="B237" t="inlineStr">
        <is>
          <t>4600058350-80</t>
        </is>
      </c>
      <c r="C237" t="n">
        <v>4600058350</v>
      </c>
      <c r="D237" t="n">
        <v>80</v>
      </c>
      <c r="E237" t="inlineStr">
        <is>
          <t>MXPO</t>
        </is>
      </c>
      <c r="F237" t="inlineStr">
        <is>
          <t>MXL</t>
        </is>
      </c>
      <c r="G237" t="n">
        <v>900008211</v>
      </c>
      <c r="H237" t="inlineStr">
        <is>
          <t>SF TC-ED-AGG OCCIDENTE</t>
        </is>
      </c>
      <c r="I237" t="n">
        <v>5089478</v>
      </c>
      <c r="J237" t="inlineStr">
        <is>
          <t>MATERIALES CONSTRUCTIVOS Y AGREGADO</t>
        </is>
      </c>
      <c r="K237" t="inlineStr">
        <is>
          <t>N90</t>
        </is>
      </c>
      <c r="L237" t="inlineStr">
        <is>
          <t>(AP) NAFIN 90 Dias</t>
        </is>
      </c>
      <c r="M237" t="n">
        <v>10000384</v>
      </c>
      <c r="N237" t="inlineStr">
        <is>
          <t>Arena Triturada Basalto Malla 4</t>
        </is>
      </c>
      <c r="O237" t="inlineStr">
        <is>
          <t>DW68</t>
        </is>
      </c>
      <c r="P237" t="inlineStr">
        <is>
          <t>MX-CED. GUADALAJARA</t>
        </is>
      </c>
      <c r="Q237" t="n">
        <v>20230814</v>
      </c>
      <c r="R237" t="n">
        <v>20291231</v>
      </c>
      <c r="S237" t="n">
        <v>20240201</v>
      </c>
      <c r="T237" t="n">
        <v>20291231</v>
      </c>
      <c r="U237" t="n">
        <v>365</v>
      </c>
      <c r="V237" t="inlineStr">
        <is>
          <t>MXN</t>
        </is>
      </c>
      <c r="W237" t="inlineStr">
        <is>
          <t>M3</t>
        </is>
      </c>
      <c r="X237" t="n">
        <v>96.25</v>
      </c>
      <c r="Y237" t="inlineStr">
        <is>
          <t>MXN</t>
        </is>
      </c>
      <c r="Z237" t="inlineStr">
        <is>
          <t>M3</t>
        </is>
      </c>
      <c r="AA237" t="inlineStr">
        <is>
          <t>D220</t>
        </is>
      </c>
      <c r="AB237" t="inlineStr">
        <is>
          <t>PD0131 TEPATITLAN</t>
        </is>
      </c>
      <c r="AC237" t="n">
        <v>56103638</v>
      </c>
      <c r="AD237" t="n">
        <v>6644241540</v>
      </c>
      <c r="AE237" t="n">
        <v>4</v>
      </c>
      <c r="AF237" t="inlineStr">
        <is>
          <t>ENTREGA DIRECTA</t>
        </is>
      </c>
      <c r="AG237" t="n">
        <v>1.61</v>
      </c>
      <c r="AH237" t="inlineStr">
        <is>
          <t>M3</t>
        </is>
      </c>
      <c r="AI237" t="inlineStr">
        <is>
          <t>X</t>
        </is>
      </c>
      <c r="AJ237" t="n">
        <v>4</v>
      </c>
      <c r="AK237" t="inlineStr">
        <is>
          <t>V4</t>
        </is>
      </c>
      <c r="AL237" t="n">
        <v>20240222</v>
      </c>
      <c r="AM237" t="inlineStr">
        <is>
          <t>DW68-900008211-D220-10000384-4</t>
        </is>
      </c>
    </row>
    <row r="238">
      <c r="A238" t="inlineStr">
        <is>
          <t>900008211DW68D21110000384</t>
        </is>
      </c>
      <c r="B238" t="inlineStr">
        <is>
          <t>4600058350-10</t>
        </is>
      </c>
      <c r="C238" t="n">
        <v>4600058350</v>
      </c>
      <c r="D238" t="n">
        <v>10</v>
      </c>
      <c r="E238" t="inlineStr">
        <is>
          <t>MXPO</t>
        </is>
      </c>
      <c r="F238" t="inlineStr">
        <is>
          <t>MXL</t>
        </is>
      </c>
      <c r="G238" t="n">
        <v>900008211</v>
      </c>
      <c r="H238" t="inlineStr">
        <is>
          <t>SF TC-ED-AGG OCCIDENTE</t>
        </is>
      </c>
      <c r="I238" t="n">
        <v>5089478</v>
      </c>
      <c r="J238" t="inlineStr">
        <is>
          <t>MATERIALES CONSTRUCTIVOS Y AGREGADO</t>
        </is>
      </c>
      <c r="K238" t="inlineStr">
        <is>
          <t>N90</t>
        </is>
      </c>
      <c r="L238" t="inlineStr">
        <is>
          <t>(AP) NAFIN 90 Dias</t>
        </is>
      </c>
      <c r="M238" t="n">
        <v>10000384</v>
      </c>
      <c r="N238" t="inlineStr">
        <is>
          <t>Arena Triturada Basalto Malla 4</t>
        </is>
      </c>
      <c r="O238" t="inlineStr">
        <is>
          <t>DW68</t>
        </is>
      </c>
      <c r="P238" t="inlineStr">
        <is>
          <t>MX-CED. GUADALAJARA</t>
        </is>
      </c>
      <c r="Q238" t="n">
        <v>20230814</v>
      </c>
      <c r="R238" t="n">
        <v>20291231</v>
      </c>
      <c r="S238" t="n">
        <v>20240201</v>
      </c>
      <c r="T238" t="n">
        <v>20291231</v>
      </c>
      <c r="U238" t="n">
        <v>337</v>
      </c>
      <c r="V238" t="inlineStr">
        <is>
          <t>MXN</t>
        </is>
      </c>
      <c r="W238" t="inlineStr">
        <is>
          <t>M3</t>
        </is>
      </c>
      <c r="X238" t="n">
        <v>68.25</v>
      </c>
      <c r="Y238" t="inlineStr">
        <is>
          <t>MXN</t>
        </is>
      </c>
      <c r="Z238" t="inlineStr">
        <is>
          <t>M3</t>
        </is>
      </c>
      <c r="AA238" t="inlineStr">
        <is>
          <t>D211</t>
        </is>
      </c>
      <c r="AB238" t="inlineStr">
        <is>
          <t>PD0149 GDL. MATRIZ</t>
        </is>
      </c>
      <c r="AC238" t="n">
        <v>56103638</v>
      </c>
      <c r="AD238" t="n">
        <v>6644241540</v>
      </c>
      <c r="AE238" t="n">
        <v>4</v>
      </c>
      <c r="AF238" t="inlineStr">
        <is>
          <t>ENTREGA DIRECTA</t>
        </is>
      </c>
      <c r="AG238" t="n">
        <v>1.61</v>
      </c>
      <c r="AH238" t="inlineStr">
        <is>
          <t>M3</t>
        </is>
      </c>
      <c r="AI238" t="inlineStr">
        <is>
          <t>X</t>
        </is>
      </c>
      <c r="AJ238" t="n">
        <v>4</v>
      </c>
      <c r="AK238" t="inlineStr">
        <is>
          <t>V4</t>
        </is>
      </c>
      <c r="AL238" t="n">
        <v>20240222</v>
      </c>
      <c r="AM238" t="inlineStr">
        <is>
          <t>DW68-900008211-D211-10000384-4</t>
        </is>
      </c>
    </row>
    <row r="239">
      <c r="A239" t="inlineStr">
        <is>
          <t>900009420DW68ENL110270911</t>
        </is>
      </c>
      <c r="B239" t="inlineStr">
        <is>
          <t>4600071943-100</t>
        </is>
      </c>
      <c r="C239" t="n">
        <v>4600071943</v>
      </c>
      <c r="D239" t="n">
        <v>100</v>
      </c>
      <c r="E239" t="inlineStr">
        <is>
          <t>MXPO</t>
        </is>
      </c>
      <c r="F239" t="inlineStr">
        <is>
          <t>MXL</t>
        </is>
      </c>
      <c r="G239" t="n">
        <v>900009420</v>
      </c>
      <c r="H239" t="inlineStr">
        <is>
          <t>SF TC-ED HOLCIM GDL</t>
        </is>
      </c>
      <c r="I239" t="n">
        <v>5040590</v>
      </c>
      <c r="J239" t="inlineStr">
        <is>
          <t>HOLCIM MEXICO OPERACIONES SA DE CV</t>
        </is>
      </c>
      <c r="K239" t="inlineStr">
        <is>
          <t>Z06</t>
        </is>
      </c>
      <c r="L239" t="inlineStr">
        <is>
          <t>(AP) 45 Dias</t>
        </is>
      </c>
      <c r="M239" t="n">
        <v>10270911</v>
      </c>
      <c r="N239" t="inlineStr">
        <is>
          <t>MP GRAVA TRIT. BASALTO 40 MM - 1 1/2"</t>
        </is>
      </c>
      <c r="O239" t="inlineStr">
        <is>
          <t>DW68</t>
        </is>
      </c>
      <c r="P239" t="inlineStr">
        <is>
          <t>MX-CED. GUADALAJARA</t>
        </is>
      </c>
      <c r="Q239" t="n">
        <v>20260126</v>
      </c>
      <c r="R239" t="n">
        <v>20301231</v>
      </c>
      <c r="S239" t="n">
        <v>20260201</v>
      </c>
      <c r="T239" t="n">
        <v>20301231</v>
      </c>
      <c r="U239" t="n">
        <v>197.74</v>
      </c>
      <c r="V239" t="inlineStr">
        <is>
          <t>MXN</t>
        </is>
      </c>
      <c r="W239" t="inlineStr">
        <is>
          <t>TN</t>
        </is>
      </c>
      <c r="X239" t="n">
        <v>0.01</v>
      </c>
      <c r="Y239" t="inlineStr">
        <is>
          <t>MXN</t>
        </is>
      </c>
      <c r="Z239" t="inlineStr">
        <is>
          <t>TN</t>
        </is>
      </c>
      <c r="AA239" t="inlineStr">
        <is>
          <t>ENL1</t>
        </is>
      </c>
      <c r="AB239" t="inlineStr">
        <is>
          <t>MX-PD0681 INFRA APTO GDL</t>
        </is>
      </c>
      <c r="AC239" t="n">
        <v>56103637</v>
      </c>
      <c r="AD239" t="n">
        <v>6644241540</v>
      </c>
      <c r="AE239" t="n">
        <v>4</v>
      </c>
      <c r="AF239" t="inlineStr">
        <is>
          <t>ENTREGA DIRECTA</t>
        </is>
      </c>
      <c r="AG239" t="n">
        <v>1</v>
      </c>
      <c r="AH239" t="inlineStr">
        <is>
          <t>TO</t>
        </is>
      </c>
      <c r="AI239" t="inlineStr">
        <is>
          <t>X</t>
        </is>
      </c>
      <c r="AJ239" t="n">
        <v>4</v>
      </c>
      <c r="AK239" t="inlineStr">
        <is>
          <t>V4</t>
        </is>
      </c>
      <c r="AL239" t="n">
        <v>20260310</v>
      </c>
      <c r="AM239" t="inlineStr">
        <is>
          <t>DW68-900009420-ENL1-10270911-4</t>
        </is>
      </c>
    </row>
    <row r="240">
      <c r="A240" t="inlineStr">
        <is>
          <t>900009420DW68ENV810270911</t>
        </is>
      </c>
      <c r="B240" t="inlineStr">
        <is>
          <t>4600071943-160</t>
        </is>
      </c>
      <c r="C240" t="n">
        <v>4600071943</v>
      </c>
      <c r="D240" t="n">
        <v>160</v>
      </c>
      <c r="E240" t="inlineStr">
        <is>
          <t>MXPO</t>
        </is>
      </c>
      <c r="F240" t="inlineStr">
        <is>
          <t>MXL</t>
        </is>
      </c>
      <c r="G240" t="n">
        <v>900009420</v>
      </c>
      <c r="H240" t="inlineStr">
        <is>
          <t>SF TC-ED HOLCIM GDL</t>
        </is>
      </c>
      <c r="I240" t="n">
        <v>5040590</v>
      </c>
      <c r="J240" t="inlineStr">
        <is>
          <t>HOLCIM MEXICO OPERACIONES SA DE CV</t>
        </is>
      </c>
      <c r="K240" t="inlineStr">
        <is>
          <t>Z06</t>
        </is>
      </c>
      <c r="L240" t="inlineStr">
        <is>
          <t>(AP) 45 Dias</t>
        </is>
      </c>
      <c r="M240" t="n">
        <v>10270911</v>
      </c>
      <c r="N240" t="inlineStr">
        <is>
          <t>MP GRAVA TRIT. BASALTO 40 MM - 1 1/2"</t>
        </is>
      </c>
      <c r="O240" t="inlineStr">
        <is>
          <t>DW68</t>
        </is>
      </c>
      <c r="P240" t="inlineStr">
        <is>
          <t>MX-CED. GUADALAJARA</t>
        </is>
      </c>
      <c r="Q240" t="n">
        <v>20260126</v>
      </c>
      <c r="R240" t="n">
        <v>20301231</v>
      </c>
      <c r="S240" t="n">
        <v>20260201</v>
      </c>
      <c r="T240" t="n">
        <v>20301231</v>
      </c>
      <c r="U240" t="n">
        <v>197.74</v>
      </c>
      <c r="V240" t="inlineStr">
        <is>
          <t>MXN</t>
        </is>
      </c>
      <c r="W240" t="inlineStr">
        <is>
          <t>TN</t>
        </is>
      </c>
      <c r="X240" t="n">
        <v>0.01</v>
      </c>
      <c r="Y240" t="inlineStr">
        <is>
          <t>MXN</t>
        </is>
      </c>
      <c r="Z240" t="inlineStr">
        <is>
          <t>TN</t>
        </is>
      </c>
      <c r="AA240" t="inlineStr">
        <is>
          <t>ENV8</t>
        </is>
      </c>
      <c r="AB240" t="inlineStr">
        <is>
          <t>Plataforma Aeropuerto GDL / GAP</t>
        </is>
      </c>
      <c r="AC240" t="n">
        <v>56103637</v>
      </c>
      <c r="AD240" t="n">
        <v>6644241540</v>
      </c>
      <c r="AE240" t="n">
        <v>4</v>
      </c>
      <c r="AF240" t="inlineStr">
        <is>
          <t>ENTREGA DIRECTA</t>
        </is>
      </c>
      <c r="AG240" t="n">
        <v>1</v>
      </c>
      <c r="AH240" t="inlineStr">
        <is>
          <t>TO</t>
        </is>
      </c>
      <c r="AI240" t="inlineStr">
        <is>
          <t>X</t>
        </is>
      </c>
      <c r="AJ240" t="n">
        <v>4</v>
      </c>
      <c r="AK240" t="inlineStr">
        <is>
          <t>V4</t>
        </is>
      </c>
      <c r="AL240" t="n">
        <v>20260310</v>
      </c>
      <c r="AM240" t="inlineStr">
        <is>
          <t>DW68-900009420-ENV8-10270911-4</t>
        </is>
      </c>
    </row>
    <row r="241">
      <c r="A241" t="inlineStr">
        <is>
          <t>900009420DW68ENV910270911</t>
        </is>
      </c>
      <c r="B241" t="inlineStr">
        <is>
          <t>4600071943-220</t>
        </is>
      </c>
      <c r="C241" t="n">
        <v>4600071943</v>
      </c>
      <c r="D241" t="n">
        <v>220</v>
      </c>
      <c r="E241" t="inlineStr">
        <is>
          <t>MXPO</t>
        </is>
      </c>
      <c r="F241" t="inlineStr">
        <is>
          <t>MXL</t>
        </is>
      </c>
      <c r="G241" t="n">
        <v>900009420</v>
      </c>
      <c r="H241" t="inlineStr">
        <is>
          <t>SF TC-ED HOLCIM GDL</t>
        </is>
      </c>
      <c r="I241" t="n">
        <v>5040590</v>
      </c>
      <c r="J241" t="inlineStr">
        <is>
          <t>HOLCIM MEXICO OPERACIONES SA DE CV</t>
        </is>
      </c>
      <c r="K241" t="inlineStr">
        <is>
          <t>Z06</t>
        </is>
      </c>
      <c r="L241" t="inlineStr">
        <is>
          <t>(AP) 45 Dias</t>
        </is>
      </c>
      <c r="M241" t="n">
        <v>10270911</v>
      </c>
      <c r="N241" t="inlineStr">
        <is>
          <t>MP GRAVA TRIT. BASALTO 40 MM - 1 1/2"</t>
        </is>
      </c>
      <c r="O241" t="inlineStr">
        <is>
          <t>DW68</t>
        </is>
      </c>
      <c r="P241" t="inlineStr">
        <is>
          <t>MX-CED. GUADALAJARA</t>
        </is>
      </c>
      <c r="Q241" t="n">
        <v>20260126</v>
      </c>
      <c r="R241" t="n">
        <v>20301231</v>
      </c>
      <c r="S241" t="n">
        <v>20260201</v>
      </c>
      <c r="T241" t="n">
        <v>20301231</v>
      </c>
      <c r="U241" t="n">
        <v>197.74</v>
      </c>
      <c r="V241" t="inlineStr">
        <is>
          <t>MXN</t>
        </is>
      </c>
      <c r="W241" t="inlineStr">
        <is>
          <t>TN</t>
        </is>
      </c>
      <c r="X241" t="n">
        <v>0.01</v>
      </c>
      <c r="Y241" t="inlineStr">
        <is>
          <t>MXN</t>
        </is>
      </c>
      <c r="Z241" t="inlineStr">
        <is>
          <t>TN</t>
        </is>
      </c>
      <c r="AA241" t="inlineStr">
        <is>
          <t>ENV9</t>
        </is>
      </c>
      <c r="AB241" t="inlineStr">
        <is>
          <t>VIALIDADES AEROPUERTO GDL F1 Y F2 /</t>
        </is>
      </c>
      <c r="AC241" t="n">
        <v>56103637</v>
      </c>
      <c r="AD241" t="n">
        <v>6644241540</v>
      </c>
      <c r="AE241" t="n">
        <v>4</v>
      </c>
      <c r="AF241" t="inlineStr">
        <is>
          <t>ENTREGA DIRECTA</t>
        </is>
      </c>
      <c r="AG241" t="n">
        <v>1</v>
      </c>
      <c r="AH241" t="inlineStr">
        <is>
          <t>TO</t>
        </is>
      </c>
      <c r="AI241" t="inlineStr">
        <is>
          <t>X</t>
        </is>
      </c>
      <c r="AJ241" t="n">
        <v>4</v>
      </c>
      <c r="AK241" t="inlineStr">
        <is>
          <t>V4</t>
        </is>
      </c>
      <c r="AL241" t="n">
        <v>20260310</v>
      </c>
      <c r="AM241" t="inlineStr">
        <is>
          <t>DW68-900009420-ENV9-10270911-4</t>
        </is>
      </c>
    </row>
    <row r="242">
      <c r="A242" t="inlineStr">
        <is>
          <t>900009420DW68ENEB10270911</t>
        </is>
      </c>
      <c r="B242" t="inlineStr">
        <is>
          <t>4600071943-40</t>
        </is>
      </c>
      <c r="C242" t="n">
        <v>4600071943</v>
      </c>
      <c r="D242" t="n">
        <v>40</v>
      </c>
      <c r="E242" t="inlineStr">
        <is>
          <t>MXPO</t>
        </is>
      </c>
      <c r="F242" t="inlineStr">
        <is>
          <t>MXL</t>
        </is>
      </c>
      <c r="G242" t="n">
        <v>900009420</v>
      </c>
      <c r="H242" t="inlineStr">
        <is>
          <t>SF TC-ED HOLCIM GDL</t>
        </is>
      </c>
      <c r="I242" t="n">
        <v>5040590</v>
      </c>
      <c r="J242" t="inlineStr">
        <is>
          <t>HOLCIM MEXICO OPERACIONES SA DE CV</t>
        </is>
      </c>
      <c r="K242" t="inlineStr">
        <is>
          <t>Z06</t>
        </is>
      </c>
      <c r="L242" t="inlineStr">
        <is>
          <t>(AP) 45 Dias</t>
        </is>
      </c>
      <c r="M242" t="n">
        <v>10270911</v>
      </c>
      <c r="N242" t="inlineStr">
        <is>
          <t>MP GRAVA TRIT. BASALTO 40 MM - 1 1/2"</t>
        </is>
      </c>
      <c r="O242" t="inlineStr">
        <is>
          <t>DW68</t>
        </is>
      </c>
      <c r="P242" t="inlineStr">
        <is>
          <t>MX-CED. GUADALAJARA</t>
        </is>
      </c>
      <c r="Q242" t="n">
        <v>20260126</v>
      </c>
      <c r="R242" t="n">
        <v>20301231</v>
      </c>
      <c r="S242" t="n">
        <v>20260201</v>
      </c>
      <c r="T242" t="n">
        <v>20301231</v>
      </c>
      <c r="U242" t="n">
        <v>197.74</v>
      </c>
      <c r="V242" t="inlineStr">
        <is>
          <t>MXN</t>
        </is>
      </c>
      <c r="W242" t="inlineStr">
        <is>
          <t>TN</t>
        </is>
      </c>
      <c r="X242" t="n">
        <v>0.01</v>
      </c>
      <c r="Y242" t="inlineStr">
        <is>
          <t>MXN</t>
        </is>
      </c>
      <c r="Z242" t="inlineStr">
        <is>
          <t>TN</t>
        </is>
      </c>
      <c r="AA242" t="inlineStr">
        <is>
          <t>ENEB</t>
        </is>
      </c>
      <c r="AB242" t="inlineStr">
        <is>
          <t>DISTRIBUIDOR VIAL AEROP. GDL - T2 /</t>
        </is>
      </c>
      <c r="AC242" t="n">
        <v>56103637</v>
      </c>
      <c r="AD242" t="n">
        <v>6644241540</v>
      </c>
      <c r="AE242" t="n">
        <v>4</v>
      </c>
      <c r="AF242" t="inlineStr">
        <is>
          <t>ENTREGA DIRECTA</t>
        </is>
      </c>
      <c r="AG242" t="n">
        <v>1</v>
      </c>
      <c r="AH242" t="inlineStr">
        <is>
          <t>TO</t>
        </is>
      </c>
      <c r="AI242" t="inlineStr">
        <is>
          <t>X</t>
        </is>
      </c>
      <c r="AJ242" t="n">
        <v>4</v>
      </c>
      <c r="AK242" t="inlineStr">
        <is>
          <t>V4</t>
        </is>
      </c>
      <c r="AL242" t="n">
        <v>20260310</v>
      </c>
      <c r="AM242" t="inlineStr">
        <is>
          <t>DW68-900009420-ENEB-10270911-4</t>
        </is>
      </c>
    </row>
    <row r="243">
      <c r="A243" t="inlineStr">
        <is>
          <t>900004153DW68D24210000191</t>
        </is>
      </c>
      <c r="B243" t="inlineStr">
        <is>
          <t>4600050430-60</t>
        </is>
      </c>
      <c r="C243" t="n">
        <v>4600050430</v>
      </c>
      <c r="D243" t="n">
        <v>60</v>
      </c>
      <c r="E243" t="inlineStr">
        <is>
          <t>MXPO</t>
        </is>
      </c>
      <c r="F243" t="inlineStr">
        <is>
          <t>MXL</t>
        </is>
      </c>
      <c r="G243" t="n">
        <v>900004153</v>
      </c>
      <c r="H243" t="inlineStr">
        <is>
          <t>TC-ED GRAVASE PONCITLAN</t>
        </is>
      </c>
      <c r="I243" t="n">
        <v>5009010</v>
      </c>
      <c r="J243" t="inlineStr">
        <is>
          <t>GRAVASE SA DE CV</t>
        </is>
      </c>
      <c r="K243" t="inlineStr">
        <is>
          <t>Z04</t>
        </is>
      </c>
      <c r="L243" t="inlineStr">
        <is>
          <t>(AP) 30 Dias</t>
        </is>
      </c>
      <c r="M243" t="n">
        <v>10000191</v>
      </c>
      <c r="N243" t="inlineStr">
        <is>
          <t>Grava Triturada Basalto 20 mm - 3/4"</t>
        </is>
      </c>
      <c r="O243" t="inlineStr">
        <is>
          <t>DW68</t>
        </is>
      </c>
      <c r="P243" t="inlineStr">
        <is>
          <t>MX-CED. GUADALAJARA</t>
        </is>
      </c>
      <c r="Q243" t="n">
        <v>20210801</v>
      </c>
      <c r="R243" t="n">
        <v>20291231</v>
      </c>
      <c r="S243" t="n">
        <v>20260201</v>
      </c>
      <c r="T243" t="n">
        <v>20301231</v>
      </c>
      <c r="U243" t="n">
        <v>362.88</v>
      </c>
      <c r="V243" t="inlineStr">
        <is>
          <t>MXN</t>
        </is>
      </c>
      <c r="W243" t="inlineStr">
        <is>
          <t>TN</t>
        </is>
      </c>
      <c r="X243" t="n">
        <v>192.24</v>
      </c>
      <c r="Y243" t="inlineStr">
        <is>
          <t>MXN</t>
        </is>
      </c>
      <c r="Z243" t="inlineStr">
        <is>
          <t>TN</t>
        </is>
      </c>
      <c r="AA243" t="inlineStr">
        <is>
          <t>D242</t>
        </is>
      </c>
      <c r="AB243" t="inlineStr">
        <is>
          <t>PD0454 CD. LA GRANJA II</t>
        </is>
      </c>
      <c r="AC243" t="n">
        <v>56103637</v>
      </c>
      <c r="AD243" t="n">
        <v>6644241540</v>
      </c>
      <c r="AE243" t="n">
        <v>4</v>
      </c>
      <c r="AF243" t="inlineStr">
        <is>
          <t>ENTREGA DIRECTA</t>
        </is>
      </c>
      <c r="AG243" t="n">
        <v>1</v>
      </c>
      <c r="AH243" t="inlineStr">
        <is>
          <t>TO</t>
        </is>
      </c>
      <c r="AI243" t="inlineStr">
        <is>
          <t>X</t>
        </is>
      </c>
      <c r="AJ243" t="n">
        <v>4</v>
      </c>
      <c r="AK243" t="inlineStr">
        <is>
          <t>V4</t>
        </is>
      </c>
      <c r="AL243" t="n">
        <v>20260211</v>
      </c>
      <c r="AM243" t="inlineStr">
        <is>
          <t>DW68-900004153-D242-10000191-4</t>
        </is>
      </c>
    </row>
    <row r="244">
      <c r="A244" t="inlineStr">
        <is>
          <t>900004153DW68D21310000191</t>
        </is>
      </c>
      <c r="B244" t="inlineStr">
        <is>
          <t>4600050430-100</t>
        </is>
      </c>
      <c r="C244" t="n">
        <v>4600050430</v>
      </c>
      <c r="D244" t="n">
        <v>100</v>
      </c>
      <c r="E244" t="inlineStr">
        <is>
          <t>MXPO</t>
        </is>
      </c>
      <c r="F244" t="inlineStr">
        <is>
          <t>MXL</t>
        </is>
      </c>
      <c r="G244" t="n">
        <v>900004153</v>
      </c>
      <c r="H244" t="inlineStr">
        <is>
          <t>TC-ED GRAVASE PONCITLAN</t>
        </is>
      </c>
      <c r="I244" t="n">
        <v>5009010</v>
      </c>
      <c r="J244" t="inlineStr">
        <is>
          <t>GRAVASE SA DE CV</t>
        </is>
      </c>
      <c r="K244" t="inlineStr">
        <is>
          <t>Z04</t>
        </is>
      </c>
      <c r="L244" t="inlineStr">
        <is>
          <t>(AP) 30 Dias</t>
        </is>
      </c>
      <c r="M244" t="n">
        <v>10000191</v>
      </c>
      <c r="N244" t="inlineStr">
        <is>
          <t>Grava Triturada Basalto 20 mm - 3/4"</t>
        </is>
      </c>
      <c r="O244" t="inlineStr">
        <is>
          <t>DW68</t>
        </is>
      </c>
      <c r="P244" t="inlineStr">
        <is>
          <t>MX-CED. GUADALAJARA</t>
        </is>
      </c>
      <c r="Q244" t="n">
        <v>20210801</v>
      </c>
      <c r="R244" t="n">
        <v>20291231</v>
      </c>
      <c r="S244" t="n">
        <v>20260201</v>
      </c>
      <c r="T244" t="n">
        <v>20301231</v>
      </c>
      <c r="U244" t="n">
        <v>207.36</v>
      </c>
      <c r="V244" t="inlineStr">
        <is>
          <t>MXN</t>
        </is>
      </c>
      <c r="W244" t="inlineStr">
        <is>
          <t>TN</t>
        </is>
      </c>
      <c r="X244" t="n">
        <v>36.72</v>
      </c>
      <c r="Y244" t="inlineStr">
        <is>
          <t>MXN</t>
        </is>
      </c>
      <c r="Z244" t="inlineStr">
        <is>
          <t>TN</t>
        </is>
      </c>
      <c r="AA244" t="inlineStr">
        <is>
          <t>D213</t>
        </is>
      </c>
      <c r="AB244" t="inlineStr">
        <is>
          <t>PD0154 OCOTLAN</t>
        </is>
      </c>
      <c r="AC244" t="n">
        <v>56103637</v>
      </c>
      <c r="AD244" t="n">
        <v>6644241540</v>
      </c>
      <c r="AE244" t="n">
        <v>4</v>
      </c>
      <c r="AF244" t="inlineStr">
        <is>
          <t>ENTREGA DIRECTA</t>
        </is>
      </c>
      <c r="AG244" t="n">
        <v>1</v>
      </c>
      <c r="AH244" t="inlineStr">
        <is>
          <t>TO</t>
        </is>
      </c>
      <c r="AI244" t="inlineStr">
        <is>
          <t>X</t>
        </is>
      </c>
      <c r="AJ244" t="n">
        <v>4</v>
      </c>
      <c r="AK244" t="inlineStr">
        <is>
          <t>V4</t>
        </is>
      </c>
      <c r="AL244" t="n">
        <v>20260211</v>
      </c>
      <c r="AM244" t="inlineStr">
        <is>
          <t>DW68-900004153-D213-10000191-4</t>
        </is>
      </c>
    </row>
    <row r="245">
      <c r="A245" t="inlineStr">
        <is>
          <t>900004153DW68D22810000191</t>
        </is>
      </c>
      <c r="B245" t="inlineStr">
        <is>
          <t>4600050430-250</t>
        </is>
      </c>
      <c r="C245" t="n">
        <v>4600050430</v>
      </c>
      <c r="D245" t="n">
        <v>250</v>
      </c>
      <c r="E245" t="inlineStr">
        <is>
          <t>MXPO</t>
        </is>
      </c>
      <c r="F245" t="inlineStr">
        <is>
          <t>MXL</t>
        </is>
      </c>
      <c r="G245" t="n">
        <v>900004153</v>
      </c>
      <c r="H245" t="inlineStr">
        <is>
          <t>TC-ED GRAVASE PONCITLAN</t>
        </is>
      </c>
      <c r="I245" t="n">
        <v>5009010</v>
      </c>
      <c r="J245" t="inlineStr">
        <is>
          <t>GRAVASE SA DE CV</t>
        </is>
      </c>
      <c r="K245" t="inlineStr">
        <is>
          <t>Z04</t>
        </is>
      </c>
      <c r="L245" t="inlineStr">
        <is>
          <t>(AP) 30 Dias</t>
        </is>
      </c>
      <c r="M245" t="n">
        <v>10000191</v>
      </c>
      <c r="N245" t="inlineStr">
        <is>
          <t>Grava Triturada Basalto 20 mm - 3/4"</t>
        </is>
      </c>
      <c r="O245" t="inlineStr">
        <is>
          <t>DW68</t>
        </is>
      </c>
      <c r="P245" t="inlineStr">
        <is>
          <t>MX-CED. GUADALAJARA</t>
        </is>
      </c>
      <c r="Q245" t="n">
        <v>20210801</v>
      </c>
      <c r="R245" t="n">
        <v>20291231</v>
      </c>
      <c r="S245" t="n">
        <v>20260201</v>
      </c>
      <c r="T245" t="n">
        <v>20301231</v>
      </c>
      <c r="U245" t="n">
        <v>373.68</v>
      </c>
      <c r="V245" t="inlineStr">
        <is>
          <t>MXN</t>
        </is>
      </c>
      <c r="W245" t="inlineStr">
        <is>
          <t>TN</t>
        </is>
      </c>
      <c r="X245" t="n">
        <v>203.04</v>
      </c>
      <c r="Y245" t="inlineStr">
        <is>
          <t>MXN</t>
        </is>
      </c>
      <c r="Z245" t="inlineStr">
        <is>
          <t>TN</t>
        </is>
      </c>
      <c r="AA245" t="inlineStr">
        <is>
          <t>D228</t>
        </is>
      </c>
      <c r="AB245" t="inlineStr">
        <is>
          <t>PD0123 TLAJOMULCO</t>
        </is>
      </c>
      <c r="AC245" t="n">
        <v>56103637</v>
      </c>
      <c r="AD245" t="n">
        <v>6644241540</v>
      </c>
      <c r="AE245" t="n">
        <v>4</v>
      </c>
      <c r="AF245" t="inlineStr">
        <is>
          <t>ENTREGA DIRECTA</t>
        </is>
      </c>
      <c r="AG245" t="n">
        <v>1</v>
      </c>
      <c r="AH245" t="inlineStr">
        <is>
          <t>TO</t>
        </is>
      </c>
      <c r="AI245" t="inlineStr">
        <is>
          <t>X</t>
        </is>
      </c>
      <c r="AJ245" t="n">
        <v>4</v>
      </c>
      <c r="AK245" t="inlineStr">
        <is>
          <t>V4</t>
        </is>
      </c>
      <c r="AL245" t="n">
        <v>20260211</v>
      </c>
      <c r="AM245" t="inlineStr">
        <is>
          <t>DW68-900004153-D228-10000191-4</t>
        </is>
      </c>
    </row>
    <row r="246">
      <c r="A246" t="inlineStr">
        <is>
          <t>900004153DW68D25110000191</t>
        </is>
      </c>
      <c r="B246" t="inlineStr">
        <is>
          <t>4600050430-400</t>
        </is>
      </c>
      <c r="C246" t="n">
        <v>4600050430</v>
      </c>
      <c r="D246" t="n">
        <v>400</v>
      </c>
      <c r="E246" t="inlineStr">
        <is>
          <t>MXPO</t>
        </is>
      </c>
      <c r="F246" t="inlineStr">
        <is>
          <t>MXL</t>
        </is>
      </c>
      <c r="G246" t="n">
        <v>900004153</v>
      </c>
      <c r="H246" t="inlineStr">
        <is>
          <t>TC-ED GRAVASE PONCITLAN</t>
        </is>
      </c>
      <c r="I246" t="n">
        <v>5009010</v>
      </c>
      <c r="J246" t="inlineStr">
        <is>
          <t>GRAVASE SA DE CV</t>
        </is>
      </c>
      <c r="K246" t="inlineStr">
        <is>
          <t>Z04</t>
        </is>
      </c>
      <c r="L246" t="inlineStr">
        <is>
          <t>(AP) 30 Dias</t>
        </is>
      </c>
      <c r="M246" t="n">
        <v>10000191</v>
      </c>
      <c r="N246" t="inlineStr">
        <is>
          <t>Grava Triturada Basalto 20 mm - 3/4"</t>
        </is>
      </c>
      <c r="O246" t="inlineStr">
        <is>
          <t>DW68</t>
        </is>
      </c>
      <c r="P246" t="inlineStr">
        <is>
          <t>MX-CED. GUADALAJARA</t>
        </is>
      </c>
      <c r="Q246" t="n">
        <v>20210801</v>
      </c>
      <c r="R246" t="n">
        <v>20291231</v>
      </c>
      <c r="S246" t="n">
        <v>20260201</v>
      </c>
      <c r="T246" t="n">
        <v>20301231</v>
      </c>
      <c r="U246" t="n">
        <v>321.84</v>
      </c>
      <c r="V246" t="inlineStr">
        <is>
          <t>MXN</t>
        </is>
      </c>
      <c r="W246" t="inlineStr">
        <is>
          <t>TN</t>
        </is>
      </c>
      <c r="X246" t="n">
        <v>151.2</v>
      </c>
      <c r="Y246" t="inlineStr">
        <is>
          <t>MXN</t>
        </is>
      </c>
      <c r="Z246" t="inlineStr">
        <is>
          <t>TN</t>
        </is>
      </c>
      <c r="AA246" t="inlineStr">
        <is>
          <t>D251</t>
        </is>
      </c>
      <c r="AB246" t="inlineStr">
        <is>
          <t>PD0339 EL SALTO</t>
        </is>
      </c>
      <c r="AC246" t="n">
        <v>56103637</v>
      </c>
      <c r="AD246" t="n">
        <v>6644241540</v>
      </c>
      <c r="AE246" t="n">
        <v>4</v>
      </c>
      <c r="AF246" t="inlineStr">
        <is>
          <t>ENTREGA DIRECTA</t>
        </is>
      </c>
      <c r="AG246" t="n">
        <v>1</v>
      </c>
      <c r="AH246" t="inlineStr">
        <is>
          <t>TO</t>
        </is>
      </c>
      <c r="AI246" t="inlineStr">
        <is>
          <t>X</t>
        </is>
      </c>
      <c r="AJ246" t="n">
        <v>4</v>
      </c>
      <c r="AK246" t="inlineStr">
        <is>
          <t>V4</t>
        </is>
      </c>
      <c r="AL246" t="n">
        <v>20260211</v>
      </c>
      <c r="AM246" t="inlineStr">
        <is>
          <t>DW68-900004153-D251-10000191-4</t>
        </is>
      </c>
    </row>
    <row r="247">
      <c r="A247" t="inlineStr">
        <is>
          <t>900004153DW68D21110004258</t>
        </is>
      </c>
      <c r="B247" t="inlineStr">
        <is>
          <t>4600050430-90</t>
        </is>
      </c>
      <c r="C247" t="n">
        <v>4600050430</v>
      </c>
      <c r="D247" t="n">
        <v>90</v>
      </c>
      <c r="E247" t="inlineStr">
        <is>
          <t>MXPO</t>
        </is>
      </c>
      <c r="F247" t="inlineStr">
        <is>
          <t>MXL</t>
        </is>
      </c>
      <c r="G247" t="n">
        <v>900004153</v>
      </c>
      <c r="H247" t="inlineStr">
        <is>
          <t>TC-ED GRAVASE PONCITLAN</t>
        </is>
      </c>
      <c r="I247" t="n">
        <v>5009010</v>
      </c>
      <c r="J247" t="inlineStr">
        <is>
          <t>GRAVASE SA DE CV</t>
        </is>
      </c>
      <c r="K247" t="inlineStr">
        <is>
          <t>Z04</t>
        </is>
      </c>
      <c r="L247" t="inlineStr">
        <is>
          <t>(AP) 30 Dias</t>
        </is>
      </c>
      <c r="M247" t="n">
        <v>10004258</v>
      </c>
      <c r="N247" t="inlineStr">
        <is>
          <t>Sello Triturado Basalto 10 mm - 3/8"</t>
        </is>
      </c>
      <c r="O247" t="inlineStr">
        <is>
          <t>DW68</t>
        </is>
      </c>
      <c r="P247" t="inlineStr">
        <is>
          <t>MX-CED. GUADALAJARA</t>
        </is>
      </c>
      <c r="Q247" t="n">
        <v>20210801</v>
      </c>
      <c r="R247" t="n">
        <v>20291231</v>
      </c>
      <c r="S247" t="n">
        <v>20260201</v>
      </c>
      <c r="T247" t="n">
        <v>20301231</v>
      </c>
      <c r="U247" t="n">
        <v>430.92</v>
      </c>
      <c r="V247" t="inlineStr">
        <is>
          <t>MXN</t>
        </is>
      </c>
      <c r="W247" t="inlineStr">
        <is>
          <t>TN</t>
        </is>
      </c>
      <c r="X247" t="n">
        <v>153.36</v>
      </c>
      <c r="Y247" t="inlineStr">
        <is>
          <t>MXN</t>
        </is>
      </c>
      <c r="Z247" t="inlineStr">
        <is>
          <t>TN</t>
        </is>
      </c>
      <c r="AA247" t="inlineStr">
        <is>
          <t>D211</t>
        </is>
      </c>
      <c r="AB247" t="inlineStr">
        <is>
          <t>PD0149 GDL. MATRIZ</t>
        </is>
      </c>
      <c r="AC247" t="n">
        <v>56103637</v>
      </c>
      <c r="AD247" t="n">
        <v>6644241540</v>
      </c>
      <c r="AE247" t="n">
        <v>4</v>
      </c>
      <c r="AF247" t="inlineStr">
        <is>
          <t>ENTREGA DIRECTA</t>
        </is>
      </c>
      <c r="AG247" t="n">
        <v>1</v>
      </c>
      <c r="AH247" t="inlineStr">
        <is>
          <t>TO</t>
        </is>
      </c>
      <c r="AI247" t="inlineStr">
        <is>
          <t>X</t>
        </is>
      </c>
      <c r="AJ247" t="n">
        <v>4</v>
      </c>
      <c r="AK247" t="inlineStr">
        <is>
          <t>V4</t>
        </is>
      </c>
      <c r="AL247" t="n">
        <v>20260211</v>
      </c>
      <c r="AM247" t="inlineStr">
        <is>
          <t>DW68-900004153-D211-10004258-4</t>
        </is>
      </c>
    </row>
    <row r="248">
      <c r="A248" t="inlineStr">
        <is>
          <t>900004153DW68D21310004258</t>
        </is>
      </c>
      <c r="B248" t="inlineStr">
        <is>
          <t>4600050430-440</t>
        </is>
      </c>
      <c r="C248" t="n">
        <v>4600050430</v>
      </c>
      <c r="D248" t="n">
        <v>440</v>
      </c>
      <c r="E248" t="inlineStr">
        <is>
          <t>MXPO</t>
        </is>
      </c>
      <c r="F248" t="inlineStr">
        <is>
          <t>MXL</t>
        </is>
      </c>
      <c r="G248" t="n">
        <v>900004153</v>
      </c>
      <c r="H248" t="inlineStr">
        <is>
          <t>TC-ED GRAVASE PONCITLAN</t>
        </is>
      </c>
      <c r="I248" t="n">
        <v>5009010</v>
      </c>
      <c r="J248" t="inlineStr">
        <is>
          <t>GRAVASE SA DE CV</t>
        </is>
      </c>
      <c r="K248" t="inlineStr">
        <is>
          <t>Z04</t>
        </is>
      </c>
      <c r="L248" t="inlineStr">
        <is>
          <t>(AP) 30 Dias</t>
        </is>
      </c>
      <c r="M248" t="n">
        <v>10004258</v>
      </c>
      <c r="N248" t="inlineStr">
        <is>
          <t>Sello Triturado Basalto 10 mm - 3/8"</t>
        </is>
      </c>
      <c r="O248" t="inlineStr">
        <is>
          <t>DW68</t>
        </is>
      </c>
      <c r="P248" t="inlineStr">
        <is>
          <t>MX-CED. GUADALAJARA</t>
        </is>
      </c>
      <c r="Q248" t="n">
        <v>20210801</v>
      </c>
      <c r="R248" t="n">
        <v>20291231</v>
      </c>
      <c r="S248" t="n">
        <v>20260201</v>
      </c>
      <c r="T248" t="n">
        <v>20301231</v>
      </c>
      <c r="U248" t="n">
        <v>312.12</v>
      </c>
      <c r="V248" t="inlineStr">
        <is>
          <t>MXN</t>
        </is>
      </c>
      <c r="W248" t="inlineStr">
        <is>
          <t>TN</t>
        </is>
      </c>
      <c r="X248" t="n">
        <v>34.56</v>
      </c>
      <c r="Y248" t="inlineStr">
        <is>
          <t>MXN</t>
        </is>
      </c>
      <c r="Z248" t="inlineStr">
        <is>
          <t>TN</t>
        </is>
      </c>
      <c r="AA248" t="inlineStr">
        <is>
          <t>D213</t>
        </is>
      </c>
      <c r="AB248" t="inlineStr">
        <is>
          <t>PD0154 OCOTLAN</t>
        </is>
      </c>
      <c r="AC248" t="n">
        <v>56103637</v>
      </c>
      <c r="AD248" t="n">
        <v>6644241540</v>
      </c>
      <c r="AE248" t="n">
        <v>4</v>
      </c>
      <c r="AF248" t="inlineStr">
        <is>
          <t>ENTREGA DIRECTA</t>
        </is>
      </c>
      <c r="AG248" t="n">
        <v>1</v>
      </c>
      <c r="AH248" t="inlineStr">
        <is>
          <t>TO</t>
        </is>
      </c>
      <c r="AI248" t="inlineStr">
        <is>
          <t>X</t>
        </is>
      </c>
      <c r="AJ248" t="n">
        <v>4</v>
      </c>
      <c r="AK248" t="inlineStr">
        <is>
          <t>V4</t>
        </is>
      </c>
      <c r="AL248" t="n">
        <v>20260211</v>
      </c>
      <c r="AM248" t="inlineStr">
        <is>
          <t>DW68-900004153-D213-10004258-4</t>
        </is>
      </c>
    </row>
    <row r="249">
      <c r="A249" t="inlineStr">
        <is>
          <t>900004153DW68D22010004258</t>
        </is>
      </c>
      <c r="B249" t="inlineStr">
        <is>
          <t>4600050430-320</t>
        </is>
      </c>
      <c r="C249" t="n">
        <v>4600050430</v>
      </c>
      <c r="D249" t="n">
        <v>320</v>
      </c>
      <c r="E249" t="inlineStr">
        <is>
          <t>MXPO</t>
        </is>
      </c>
      <c r="F249" t="inlineStr">
        <is>
          <t>MXL</t>
        </is>
      </c>
      <c r="G249" t="n">
        <v>900004153</v>
      </c>
      <c r="H249" t="inlineStr">
        <is>
          <t>TC-ED GRAVASE PONCITLAN</t>
        </is>
      </c>
      <c r="I249" t="n">
        <v>5009010</v>
      </c>
      <c r="J249" t="inlineStr">
        <is>
          <t>GRAVASE SA DE CV</t>
        </is>
      </c>
      <c r="K249" t="inlineStr">
        <is>
          <t>Z04</t>
        </is>
      </c>
      <c r="L249" t="inlineStr">
        <is>
          <t>(AP) 30 Dias</t>
        </is>
      </c>
      <c r="M249" t="n">
        <v>10004258</v>
      </c>
      <c r="N249" t="inlineStr">
        <is>
          <t>Sello Triturado Basalto 10 mm - 3/8"</t>
        </is>
      </c>
      <c r="O249" t="inlineStr">
        <is>
          <t>DW68</t>
        </is>
      </c>
      <c r="P249" t="inlineStr">
        <is>
          <t>MX-CED. GUADALAJARA</t>
        </is>
      </c>
      <c r="Q249" t="n">
        <v>20210801</v>
      </c>
      <c r="R249" t="n">
        <v>20291231</v>
      </c>
      <c r="S249" t="n">
        <v>20260201</v>
      </c>
      <c r="T249" t="n">
        <v>20301231</v>
      </c>
      <c r="U249" t="n">
        <v>437.4</v>
      </c>
      <c r="V249" t="inlineStr">
        <is>
          <t>MXN</t>
        </is>
      </c>
      <c r="W249" t="inlineStr">
        <is>
          <t>TN</t>
        </is>
      </c>
      <c r="X249" t="n">
        <v>159.84</v>
      </c>
      <c r="Y249" t="inlineStr">
        <is>
          <t>MXN</t>
        </is>
      </c>
      <c r="Z249" t="inlineStr">
        <is>
          <t>TN</t>
        </is>
      </c>
      <c r="AA249" t="inlineStr">
        <is>
          <t>D220</t>
        </is>
      </c>
      <c r="AB249" t="inlineStr">
        <is>
          <t>PD0131 TEPATITLAN</t>
        </is>
      </c>
      <c r="AC249" t="n">
        <v>56103637</v>
      </c>
      <c r="AD249" t="n">
        <v>6644241540</v>
      </c>
      <c r="AE249" t="n">
        <v>4</v>
      </c>
      <c r="AF249" t="inlineStr">
        <is>
          <t>ENTREGA DIRECTA</t>
        </is>
      </c>
      <c r="AG249" t="n">
        <v>1</v>
      </c>
      <c r="AH249" t="inlineStr">
        <is>
          <t>TO</t>
        </is>
      </c>
      <c r="AI249" t="inlineStr">
        <is>
          <t>X</t>
        </is>
      </c>
      <c r="AJ249" t="n">
        <v>4</v>
      </c>
      <c r="AK249" t="inlineStr">
        <is>
          <t>V4</t>
        </is>
      </c>
      <c r="AL249" t="n">
        <v>20260211</v>
      </c>
      <c r="AM249" t="inlineStr">
        <is>
          <t>DW68-900004153-D220-10004258-4</t>
        </is>
      </c>
    </row>
    <row r="250">
      <c r="A250" t="inlineStr">
        <is>
          <t>900004065DW68D04210000320</t>
        </is>
      </c>
      <c r="B250" t="inlineStr">
        <is>
          <t>4600050428-40</t>
        </is>
      </c>
      <c r="C250" t="n">
        <v>4600050428</v>
      </c>
      <c r="D250" t="n">
        <v>40</v>
      </c>
      <c r="E250" t="inlineStr">
        <is>
          <t>MXPO</t>
        </is>
      </c>
      <c r="F250" t="inlineStr">
        <is>
          <t>MXL</t>
        </is>
      </c>
      <c r="G250" t="n">
        <v>900004065</v>
      </c>
      <c r="H250" t="inlineStr">
        <is>
          <t>TC-ED CALIDRA</t>
        </is>
      </c>
      <c r="I250" t="n">
        <v>5002756</v>
      </c>
      <c r="J250" t="inlineStr">
        <is>
          <t>CALIDRA DE OCCIDENTE SA DE CV</t>
        </is>
      </c>
      <c r="K250" t="inlineStr">
        <is>
          <t>Z07</t>
        </is>
      </c>
      <c r="L250" t="inlineStr">
        <is>
          <t>(AP) 60 Dias</t>
        </is>
      </c>
      <c r="M250" t="n">
        <v>10000320</v>
      </c>
      <c r="N250" t="inlineStr">
        <is>
          <t>Arena Triturada Caliza Malla 4</t>
        </is>
      </c>
      <c r="O250" t="inlineStr">
        <is>
          <t>DW68</t>
        </is>
      </c>
      <c r="P250" t="inlineStr">
        <is>
          <t>MX-CED. GUADALAJARA</t>
        </is>
      </c>
      <c r="Q250" t="n">
        <v>20210801</v>
      </c>
      <c r="R250" t="n">
        <v>20281231</v>
      </c>
      <c r="S250" t="n">
        <v>20260201</v>
      </c>
      <c r="T250" t="n">
        <v>20301231</v>
      </c>
      <c r="U250" t="n">
        <v>289.82</v>
      </c>
      <c r="V250" t="inlineStr">
        <is>
          <t>MXN</t>
        </is>
      </c>
      <c r="W250" t="inlineStr">
        <is>
          <t>TN</t>
        </is>
      </c>
      <c r="X250" t="n">
        <v>180.62</v>
      </c>
      <c r="Y250" t="inlineStr">
        <is>
          <t>MXN</t>
        </is>
      </c>
      <c r="Z250" t="inlineStr">
        <is>
          <t>TN</t>
        </is>
      </c>
      <c r="AA250" t="inlineStr">
        <is>
          <t>D042</t>
        </is>
      </c>
      <c r="AB250" t="inlineStr">
        <is>
          <t>PD0406 PLANTA PONIENTE</t>
        </is>
      </c>
      <c r="AC250" t="n">
        <v>56103638</v>
      </c>
      <c r="AD250" t="n">
        <v>6644241540</v>
      </c>
      <c r="AE250" t="n">
        <v>4</v>
      </c>
      <c r="AF250" t="inlineStr">
        <is>
          <t>ENTREGA DIRECTA</t>
        </is>
      </c>
      <c r="AG250" t="n">
        <v>1</v>
      </c>
      <c r="AH250" t="inlineStr">
        <is>
          <t>TO</t>
        </is>
      </c>
      <c r="AI250" t="inlineStr">
        <is>
          <t>X</t>
        </is>
      </c>
      <c r="AJ250" t="n">
        <v>4</v>
      </c>
      <c r="AK250" t="inlineStr">
        <is>
          <t>V4</t>
        </is>
      </c>
      <c r="AL250" t="n">
        <v>20260204</v>
      </c>
      <c r="AM250" t="inlineStr">
        <is>
          <t>DW68-900004065-D042-10000320-4</t>
        </is>
      </c>
    </row>
    <row r="251">
      <c r="A251" t="inlineStr">
        <is>
          <t>900004065DW68D26810000320</t>
        </is>
      </c>
      <c r="B251" t="inlineStr">
        <is>
          <t>4600050428-120</t>
        </is>
      </c>
      <c r="C251" t="n">
        <v>4600050428</v>
      </c>
      <c r="D251" t="n">
        <v>120</v>
      </c>
      <c r="E251" t="inlineStr">
        <is>
          <t>MXPO</t>
        </is>
      </c>
      <c r="F251" t="inlineStr">
        <is>
          <t>MXL</t>
        </is>
      </c>
      <c r="G251" t="n">
        <v>900004065</v>
      </c>
      <c r="H251" t="inlineStr">
        <is>
          <t>TC-ED CALIDRA</t>
        </is>
      </c>
      <c r="I251" t="n">
        <v>5002756</v>
      </c>
      <c r="J251" t="inlineStr">
        <is>
          <t>CALIDRA DE OCCIDENTE SA DE CV</t>
        </is>
      </c>
      <c r="K251" t="inlineStr">
        <is>
          <t>Z07</t>
        </is>
      </c>
      <c r="L251" t="inlineStr">
        <is>
          <t>(AP) 60 Dias</t>
        </is>
      </c>
      <c r="M251" t="n">
        <v>10000320</v>
      </c>
      <c r="N251" t="inlineStr">
        <is>
          <t>Arena Triturada Caliza Malla 4</t>
        </is>
      </c>
      <c r="O251" t="inlineStr">
        <is>
          <t>DW68</t>
        </is>
      </c>
      <c r="P251" t="inlineStr">
        <is>
          <t>MX-CED. GUADALAJARA</t>
        </is>
      </c>
      <c r="Q251" t="n">
        <v>20210801</v>
      </c>
      <c r="R251" t="n">
        <v>20281231</v>
      </c>
      <c r="S251" t="n">
        <v>20260201</v>
      </c>
      <c r="T251" t="n">
        <v>20301231</v>
      </c>
      <c r="U251" t="n">
        <v>328.64</v>
      </c>
      <c r="V251" t="inlineStr">
        <is>
          <t>MXN</t>
        </is>
      </c>
      <c r="W251" t="inlineStr">
        <is>
          <t>TN</t>
        </is>
      </c>
      <c r="X251" t="n">
        <v>219.44</v>
      </c>
      <c r="Y251" t="inlineStr">
        <is>
          <t>MXN</t>
        </is>
      </c>
      <c r="Z251" t="inlineStr">
        <is>
          <t>TN</t>
        </is>
      </c>
      <c r="AA251" t="inlineStr">
        <is>
          <t>D268</t>
        </is>
      </c>
      <c r="AB251" t="inlineStr">
        <is>
          <t>PD418 AEROPUERTO GDL</t>
        </is>
      </c>
      <c r="AC251" t="n">
        <v>56103638</v>
      </c>
      <c r="AD251" t="n">
        <v>6644241540</v>
      </c>
      <c r="AE251" t="n">
        <v>4</v>
      </c>
      <c r="AF251" t="inlineStr">
        <is>
          <t>ENTREGA DIRECTA</t>
        </is>
      </c>
      <c r="AG251" t="n">
        <v>1</v>
      </c>
      <c r="AH251" t="inlineStr">
        <is>
          <t>TO</t>
        </is>
      </c>
      <c r="AI251" t="inlineStr">
        <is>
          <t>X</t>
        </is>
      </c>
      <c r="AJ251" t="n">
        <v>4</v>
      </c>
      <c r="AK251" t="inlineStr">
        <is>
          <t>V4</t>
        </is>
      </c>
      <c r="AL251" t="n">
        <v>20260204</v>
      </c>
      <c r="AM251" t="inlineStr">
        <is>
          <t>DW68-900004065-D268-10000320-4</t>
        </is>
      </c>
    </row>
    <row r="252">
      <c r="A252" t="inlineStr">
        <is>
          <t>900004153DW68D21110000388</t>
        </is>
      </c>
      <c r="B252" t="inlineStr">
        <is>
          <t>4600050430-40</t>
        </is>
      </c>
      <c r="C252" t="n">
        <v>4600050430</v>
      </c>
      <c r="D252" t="n">
        <v>40</v>
      </c>
      <c r="E252" t="inlineStr">
        <is>
          <t>MXPO</t>
        </is>
      </c>
      <c r="F252" t="inlineStr">
        <is>
          <t>MXL</t>
        </is>
      </c>
      <c r="G252" t="n">
        <v>900004153</v>
      </c>
      <c r="H252" t="inlineStr">
        <is>
          <t>TC-ED GRAVASE PONCITLAN</t>
        </is>
      </c>
      <c r="I252" t="n">
        <v>5009010</v>
      </c>
      <c r="J252" t="inlineStr">
        <is>
          <t>GRAVASE SA DE CV</t>
        </is>
      </c>
      <c r="K252" t="inlineStr">
        <is>
          <t>Z04</t>
        </is>
      </c>
      <c r="L252" t="inlineStr">
        <is>
          <t>(AP) 30 Dias</t>
        </is>
      </c>
      <c r="M252" t="n">
        <v>10000388</v>
      </c>
      <c r="N252" t="inlineStr">
        <is>
          <t>Grava Triturada Basalto  40 mm - 1 1/2"</t>
        </is>
      </c>
      <c r="O252" t="inlineStr">
        <is>
          <t>DW68</t>
        </is>
      </c>
      <c r="P252" t="inlineStr">
        <is>
          <t>MX-CED. GUADALAJARA</t>
        </is>
      </c>
      <c r="Q252" t="n">
        <v>20210801</v>
      </c>
      <c r="R252" t="n">
        <v>20291231</v>
      </c>
      <c r="S252" t="n">
        <v>20260201</v>
      </c>
      <c r="T252" t="n">
        <v>20301231</v>
      </c>
      <c r="U252" t="n">
        <v>339.12</v>
      </c>
      <c r="V252" t="inlineStr">
        <is>
          <t>MXN</t>
        </is>
      </c>
      <c r="W252" t="inlineStr">
        <is>
          <t>TN</t>
        </is>
      </c>
      <c r="X252" t="n">
        <v>168.48</v>
      </c>
      <c r="Y252" t="inlineStr">
        <is>
          <t>MXN</t>
        </is>
      </c>
      <c r="Z252" t="inlineStr">
        <is>
          <t>TN</t>
        </is>
      </c>
      <c r="AA252" t="inlineStr">
        <is>
          <t>D211</t>
        </is>
      </c>
      <c r="AB252" t="inlineStr">
        <is>
          <t>PD0149 GDL. MATRIZ</t>
        </is>
      </c>
      <c r="AC252" t="n">
        <v>56103637</v>
      </c>
      <c r="AD252" t="n">
        <v>6644241540</v>
      </c>
      <c r="AE252" t="n">
        <v>4</v>
      </c>
      <c r="AF252" t="inlineStr">
        <is>
          <t>ENTREGA DIRECTA</t>
        </is>
      </c>
      <c r="AG252" t="n">
        <v>1</v>
      </c>
      <c r="AH252" t="inlineStr">
        <is>
          <t>TO</t>
        </is>
      </c>
      <c r="AI252" t="inlineStr">
        <is>
          <t>X</t>
        </is>
      </c>
      <c r="AJ252" t="n">
        <v>4</v>
      </c>
      <c r="AK252" t="inlineStr">
        <is>
          <t>V4</t>
        </is>
      </c>
      <c r="AL252" t="n">
        <v>20260211</v>
      </c>
      <c r="AM252" t="inlineStr">
        <is>
          <t>DW68-900004153-D211-10000388-4</t>
        </is>
      </c>
    </row>
    <row r="253">
      <c r="A253" t="inlineStr">
        <is>
          <t>900004153DW68D21310000388</t>
        </is>
      </c>
      <c r="B253" t="inlineStr">
        <is>
          <t>4600050430-110</t>
        </is>
      </c>
      <c r="C253" t="n">
        <v>4600050430</v>
      </c>
      <c r="D253" t="n">
        <v>110</v>
      </c>
      <c r="E253" t="inlineStr">
        <is>
          <t>MXPO</t>
        </is>
      </c>
      <c r="F253" t="inlineStr">
        <is>
          <t>MXL</t>
        </is>
      </c>
      <c r="G253" t="n">
        <v>900004153</v>
      </c>
      <c r="H253" t="inlineStr">
        <is>
          <t>TC-ED GRAVASE PONCITLAN</t>
        </is>
      </c>
      <c r="I253" t="n">
        <v>5009010</v>
      </c>
      <c r="J253" t="inlineStr">
        <is>
          <t>GRAVASE SA DE CV</t>
        </is>
      </c>
      <c r="K253" t="inlineStr">
        <is>
          <t>Z04</t>
        </is>
      </c>
      <c r="L253" t="inlineStr">
        <is>
          <t>(AP) 30 Dias</t>
        </is>
      </c>
      <c r="M253" t="n">
        <v>10000388</v>
      </c>
      <c r="N253" t="inlineStr">
        <is>
          <t>Grava Triturada Basalto  40 mm - 1 1/2"</t>
        </is>
      </c>
      <c r="O253" t="inlineStr">
        <is>
          <t>DW68</t>
        </is>
      </c>
      <c r="P253" t="inlineStr">
        <is>
          <t>MX-CED. GUADALAJARA</t>
        </is>
      </c>
      <c r="Q253" t="n">
        <v>20210801</v>
      </c>
      <c r="R253" t="n">
        <v>20291231</v>
      </c>
      <c r="S253" t="n">
        <v>20260201</v>
      </c>
      <c r="T253" t="n">
        <v>20301231</v>
      </c>
      <c r="U253" t="n">
        <v>207.36</v>
      </c>
      <c r="V253" t="inlineStr">
        <is>
          <t>MXN</t>
        </is>
      </c>
      <c r="W253" t="inlineStr">
        <is>
          <t>TN</t>
        </is>
      </c>
      <c r="X253" t="n">
        <v>36.72</v>
      </c>
      <c r="Y253" t="inlineStr">
        <is>
          <t>MXN</t>
        </is>
      </c>
      <c r="Z253" t="inlineStr">
        <is>
          <t>TN</t>
        </is>
      </c>
      <c r="AA253" t="inlineStr">
        <is>
          <t>D213</t>
        </is>
      </c>
      <c r="AB253" t="inlineStr">
        <is>
          <t>PD0154 OCOTLAN</t>
        </is>
      </c>
      <c r="AC253" t="n">
        <v>56103637</v>
      </c>
      <c r="AD253" t="n">
        <v>6644241540</v>
      </c>
      <c r="AE253" t="n">
        <v>4</v>
      </c>
      <c r="AF253" t="inlineStr">
        <is>
          <t>ENTREGA DIRECTA</t>
        </is>
      </c>
      <c r="AG253" t="n">
        <v>1</v>
      </c>
      <c r="AH253" t="inlineStr">
        <is>
          <t>TO</t>
        </is>
      </c>
      <c r="AI253" t="inlineStr">
        <is>
          <t>X</t>
        </is>
      </c>
      <c r="AJ253" t="n">
        <v>4</v>
      </c>
      <c r="AK253" t="inlineStr">
        <is>
          <t>V4</t>
        </is>
      </c>
      <c r="AL253" t="n">
        <v>20260211</v>
      </c>
      <c r="AM253" t="inlineStr">
        <is>
          <t>DW68-900004153-D213-10000388-4</t>
        </is>
      </c>
    </row>
    <row r="254">
      <c r="A254" t="inlineStr">
        <is>
          <t>900004153DW68D21310000384</t>
        </is>
      </c>
      <c r="B254" t="inlineStr">
        <is>
          <t>4600050430-380</t>
        </is>
      </c>
      <c r="C254" t="n">
        <v>4600050430</v>
      </c>
      <c r="D254" t="n">
        <v>380</v>
      </c>
      <c r="E254" t="inlineStr">
        <is>
          <t>MXPO</t>
        </is>
      </c>
      <c r="F254" t="inlineStr">
        <is>
          <t>MXL</t>
        </is>
      </c>
      <c r="G254" t="n">
        <v>900004153</v>
      </c>
      <c r="H254" t="inlineStr">
        <is>
          <t>TC-ED GRAVASE PONCITLAN</t>
        </is>
      </c>
      <c r="I254" t="n">
        <v>5009010</v>
      </c>
      <c r="J254" t="inlineStr">
        <is>
          <t>GRAVASE SA DE CV</t>
        </is>
      </c>
      <c r="K254" t="inlineStr">
        <is>
          <t>Z04</t>
        </is>
      </c>
      <c r="L254" t="inlineStr">
        <is>
          <t>(AP) 30 Dias</t>
        </is>
      </c>
      <c r="M254" t="n">
        <v>10000384</v>
      </c>
      <c r="N254" t="inlineStr">
        <is>
          <t>Arena Triturada Basalto Malla 4</t>
        </is>
      </c>
      <c r="O254" t="inlineStr">
        <is>
          <t>DW68</t>
        </is>
      </c>
      <c r="P254" t="inlineStr">
        <is>
          <t>MX-CED. GUADALAJARA</t>
        </is>
      </c>
      <c r="Q254" t="n">
        <v>20210801</v>
      </c>
      <c r="R254" t="n">
        <v>20291231</v>
      </c>
      <c r="S254" t="n">
        <v>20260201</v>
      </c>
      <c r="T254" t="n">
        <v>20301231</v>
      </c>
      <c r="U254" t="n">
        <v>226.8</v>
      </c>
      <c r="V254" t="inlineStr">
        <is>
          <t>MXN</t>
        </is>
      </c>
      <c r="W254" t="inlineStr">
        <is>
          <t>TN</t>
        </is>
      </c>
      <c r="X254" t="n">
        <v>32.4</v>
      </c>
      <c r="Y254" t="inlineStr">
        <is>
          <t>MXN</t>
        </is>
      </c>
      <c r="Z254" t="inlineStr">
        <is>
          <t>TN</t>
        </is>
      </c>
      <c r="AA254" t="inlineStr">
        <is>
          <t>D213</t>
        </is>
      </c>
      <c r="AB254" t="inlineStr">
        <is>
          <t>PD0154 OCOTLAN</t>
        </is>
      </c>
      <c r="AC254" t="n">
        <v>56103638</v>
      </c>
      <c r="AD254" t="n">
        <v>6644241540</v>
      </c>
      <c r="AE254" t="n">
        <v>4</v>
      </c>
      <c r="AF254" t="inlineStr">
        <is>
          <t>ENTREGA DIRECTA</t>
        </is>
      </c>
      <c r="AG254" t="n">
        <v>1</v>
      </c>
      <c r="AH254" t="inlineStr">
        <is>
          <t>TO</t>
        </is>
      </c>
      <c r="AI254" t="inlineStr">
        <is>
          <t>X</t>
        </is>
      </c>
      <c r="AJ254" t="n">
        <v>4</v>
      </c>
      <c r="AK254" t="inlineStr">
        <is>
          <t>V4</t>
        </is>
      </c>
      <c r="AL254" t="n">
        <v>20260211</v>
      </c>
      <c r="AM254" t="inlineStr">
        <is>
          <t>DW68-900004153-D213-10000384-4</t>
        </is>
      </c>
    </row>
    <row r="255">
      <c r="A255" t="inlineStr">
        <is>
          <t>900004153DW68D24210000384</t>
        </is>
      </c>
      <c r="B255" t="inlineStr">
        <is>
          <t>4600050430-210</t>
        </is>
      </c>
      <c r="C255" t="n">
        <v>4600050430</v>
      </c>
      <c r="D255" t="n">
        <v>210</v>
      </c>
      <c r="E255" t="inlineStr">
        <is>
          <t>MXPO</t>
        </is>
      </c>
      <c r="F255" t="inlineStr">
        <is>
          <t>MXL</t>
        </is>
      </c>
      <c r="G255" t="n">
        <v>900004153</v>
      </c>
      <c r="H255" t="inlineStr">
        <is>
          <t>TC-ED GRAVASE PONCITLAN</t>
        </is>
      </c>
      <c r="I255" t="n">
        <v>5009010</v>
      </c>
      <c r="J255" t="inlineStr">
        <is>
          <t>GRAVASE SA DE CV</t>
        </is>
      </c>
      <c r="K255" t="inlineStr">
        <is>
          <t>Z04</t>
        </is>
      </c>
      <c r="L255" t="inlineStr">
        <is>
          <t>(AP) 30 Dias</t>
        </is>
      </c>
      <c r="M255" t="n">
        <v>10000384</v>
      </c>
      <c r="N255" t="inlineStr">
        <is>
          <t>Arena Triturada Basalto Malla 4</t>
        </is>
      </c>
      <c r="O255" t="inlineStr">
        <is>
          <t>DW68</t>
        </is>
      </c>
      <c r="P255" t="inlineStr">
        <is>
          <t>MX-CED. GUADALAJARA</t>
        </is>
      </c>
      <c r="Q255" t="n">
        <v>20210801</v>
      </c>
      <c r="R255" t="n">
        <v>20291231</v>
      </c>
      <c r="S255" t="n">
        <v>20260201</v>
      </c>
      <c r="T255" t="n">
        <v>20301231</v>
      </c>
      <c r="U255" t="n">
        <v>365.04</v>
      </c>
      <c r="V255" t="inlineStr">
        <is>
          <t>MXN</t>
        </is>
      </c>
      <c r="W255" t="inlineStr">
        <is>
          <t>TN</t>
        </is>
      </c>
      <c r="X255" t="n">
        <v>170.64</v>
      </c>
      <c r="Y255" t="inlineStr">
        <is>
          <t>MXN</t>
        </is>
      </c>
      <c r="Z255" t="inlineStr">
        <is>
          <t>TN</t>
        </is>
      </c>
      <c r="AA255" t="inlineStr">
        <is>
          <t>D242</t>
        </is>
      </c>
      <c r="AB255" t="inlineStr">
        <is>
          <t>PD0454 CD. LA GRANJA II</t>
        </is>
      </c>
      <c r="AC255" t="n">
        <v>56103638</v>
      </c>
      <c r="AD255" t="n">
        <v>6644241540</v>
      </c>
      <c r="AE255" t="n">
        <v>4</v>
      </c>
      <c r="AF255" t="inlineStr">
        <is>
          <t>ENTREGA DIRECTA</t>
        </is>
      </c>
      <c r="AG255" t="n">
        <v>1</v>
      </c>
      <c r="AH255" t="inlineStr">
        <is>
          <t>TO</t>
        </is>
      </c>
      <c r="AI255" t="inlineStr">
        <is>
          <t>X</t>
        </is>
      </c>
      <c r="AJ255" t="n">
        <v>4</v>
      </c>
      <c r="AK255" t="inlineStr">
        <is>
          <t>V4</t>
        </is>
      </c>
      <c r="AL255" t="n">
        <v>20260211</v>
      </c>
      <c r="AM255" t="inlineStr">
        <is>
          <t>DW68-900004153-D242-10000384-4</t>
        </is>
      </c>
    </row>
    <row r="256">
      <c r="A256" t="inlineStr">
        <is>
          <t>900004153DW68D20910000388</t>
        </is>
      </c>
      <c r="B256" t="inlineStr">
        <is>
          <t>4600050430-10</t>
        </is>
      </c>
      <c r="C256" t="n">
        <v>4600050430</v>
      </c>
      <c r="D256" t="n">
        <v>10</v>
      </c>
      <c r="E256" t="inlineStr">
        <is>
          <t>MXPO</t>
        </is>
      </c>
      <c r="F256" t="inlineStr">
        <is>
          <t>MXL</t>
        </is>
      </c>
      <c r="G256" t="n">
        <v>900004153</v>
      </c>
      <c r="H256" t="inlineStr">
        <is>
          <t>TC-ED GRAVASE PONCITLAN</t>
        </is>
      </c>
      <c r="I256" t="n">
        <v>5009010</v>
      </c>
      <c r="J256" t="inlineStr">
        <is>
          <t>GRAVASE SA DE CV</t>
        </is>
      </c>
      <c r="K256" t="inlineStr">
        <is>
          <t>Z04</t>
        </is>
      </c>
      <c r="L256" t="inlineStr">
        <is>
          <t>(AP) 30 Dias</t>
        </is>
      </c>
      <c r="M256" t="n">
        <v>10000388</v>
      </c>
      <c r="N256" t="inlineStr">
        <is>
          <t>Grava Triturada Basalto  40 mm - 1 1/2"</t>
        </is>
      </c>
      <c r="O256" t="inlineStr">
        <is>
          <t>DW68</t>
        </is>
      </c>
      <c r="P256" t="inlineStr">
        <is>
          <t>MX-CED. GUADALAJARA</t>
        </is>
      </c>
      <c r="Q256" t="n">
        <v>20210801</v>
      </c>
      <c r="R256" t="n">
        <v>20291231</v>
      </c>
      <c r="S256" t="n">
        <v>20260201</v>
      </c>
      <c r="T256" t="n">
        <v>20301231</v>
      </c>
      <c r="U256" t="n">
        <v>343.44</v>
      </c>
      <c r="V256" t="inlineStr">
        <is>
          <t>MXN</t>
        </is>
      </c>
      <c r="W256" t="inlineStr">
        <is>
          <t>TN</t>
        </is>
      </c>
      <c r="X256" t="n">
        <v>172.8</v>
      </c>
      <c r="Y256" t="inlineStr">
        <is>
          <t>MXN</t>
        </is>
      </c>
      <c r="Z256" t="inlineStr">
        <is>
          <t>TN</t>
        </is>
      </c>
      <c r="AA256" t="inlineStr">
        <is>
          <t>D209</t>
        </is>
      </c>
      <c r="AB256" t="inlineStr">
        <is>
          <t>PD0127 MANANTIAL</t>
        </is>
      </c>
      <c r="AC256" t="n">
        <v>56103637</v>
      </c>
      <c r="AD256" t="n">
        <v>6644241540</v>
      </c>
      <c r="AE256" t="n">
        <v>4</v>
      </c>
      <c r="AF256" t="inlineStr">
        <is>
          <t>ENTREGA DIRECTA</t>
        </is>
      </c>
      <c r="AG256" t="n">
        <v>1</v>
      </c>
      <c r="AH256" t="inlineStr">
        <is>
          <t>TO</t>
        </is>
      </c>
      <c r="AI256" t="inlineStr">
        <is>
          <t>X</t>
        </is>
      </c>
      <c r="AJ256" t="n">
        <v>4</v>
      </c>
      <c r="AK256" t="inlineStr">
        <is>
          <t>V4</t>
        </is>
      </c>
      <c r="AL256" t="n">
        <v>20260211</v>
      </c>
      <c r="AM256" t="inlineStr">
        <is>
          <t>DW68-900004153-D209-10000388-4</t>
        </is>
      </c>
    </row>
    <row r="257">
      <c r="A257" t="inlineStr">
        <is>
          <t>900004065DW68D21310031878</t>
        </is>
      </c>
      <c r="B257" t="inlineStr">
        <is>
          <t>4600050428-170</t>
        </is>
      </c>
      <c r="C257" t="n">
        <v>4600050428</v>
      </c>
      <c r="D257" t="n">
        <v>170</v>
      </c>
      <c r="E257" t="inlineStr">
        <is>
          <t>MXPO</t>
        </is>
      </c>
      <c r="F257" t="inlineStr">
        <is>
          <t>MXL</t>
        </is>
      </c>
      <c r="G257" t="n">
        <v>900004065</v>
      </c>
      <c r="H257" t="inlineStr">
        <is>
          <t>TC-ED CALIDRA</t>
        </is>
      </c>
      <c r="I257" t="n">
        <v>5002756</v>
      </c>
      <c r="J257" t="inlineStr">
        <is>
          <t>CALIDRA DE OCCIDENTE SA DE CV</t>
        </is>
      </c>
      <c r="K257" t="inlineStr">
        <is>
          <t>Z07</t>
        </is>
      </c>
      <c r="L257" t="inlineStr">
        <is>
          <t>(AP) 60 Dias</t>
        </is>
      </c>
      <c r="M257" t="n">
        <v>10031878</v>
      </c>
      <c r="N257" t="inlineStr">
        <is>
          <t>Grava Triturada Caliza 20 mm - 3/4"</t>
        </is>
      </c>
      <c r="O257" t="inlineStr">
        <is>
          <t>DW68</t>
        </is>
      </c>
      <c r="P257" t="inlineStr">
        <is>
          <t>MX-CED. GUADALAJARA</t>
        </is>
      </c>
      <c r="Q257" t="n">
        <v>20210801</v>
      </c>
      <c r="R257" t="n">
        <v>20281231</v>
      </c>
      <c r="S257" t="n">
        <v>20260201</v>
      </c>
      <c r="T257" t="n">
        <v>20301231</v>
      </c>
      <c r="U257" t="n">
        <v>416.15</v>
      </c>
      <c r="V257" t="inlineStr">
        <is>
          <t>MXN</t>
        </is>
      </c>
      <c r="W257" t="inlineStr">
        <is>
          <t>TN</t>
        </is>
      </c>
      <c r="X257" t="n">
        <v>312.15</v>
      </c>
      <c r="Y257" t="inlineStr">
        <is>
          <t>MXN</t>
        </is>
      </c>
      <c r="Z257" t="inlineStr">
        <is>
          <t>TN</t>
        </is>
      </c>
      <c r="AA257" t="inlineStr">
        <is>
          <t>D213</t>
        </is>
      </c>
      <c r="AB257" t="inlineStr">
        <is>
          <t>PD0154 OCOTLAN</t>
        </is>
      </c>
      <c r="AC257" t="n">
        <v>56103637</v>
      </c>
      <c r="AD257" t="n">
        <v>6644241540</v>
      </c>
      <c r="AE257" t="n">
        <v>4</v>
      </c>
      <c r="AF257" t="inlineStr">
        <is>
          <t>ENTREGA DIRECTA</t>
        </is>
      </c>
      <c r="AG257" t="n">
        <v>1</v>
      </c>
      <c r="AH257" t="inlineStr">
        <is>
          <t>TO</t>
        </is>
      </c>
      <c r="AI257" t="inlineStr">
        <is>
          <t>X</t>
        </is>
      </c>
      <c r="AJ257" t="n">
        <v>4</v>
      </c>
      <c r="AK257" t="inlineStr">
        <is>
          <t>V4</t>
        </is>
      </c>
      <c r="AL257" t="n">
        <v>20260204</v>
      </c>
      <c r="AM257" t="inlineStr">
        <is>
          <t>DW68-900004065-D213-10031878-4</t>
        </is>
      </c>
    </row>
    <row r="258">
      <c r="A258" t="inlineStr">
        <is>
          <t>900004065DW68D24210031878</t>
        </is>
      </c>
      <c r="B258" t="inlineStr">
        <is>
          <t>4600050428-190</t>
        </is>
      </c>
      <c r="C258" t="n">
        <v>4600050428</v>
      </c>
      <c r="D258" t="n">
        <v>190</v>
      </c>
      <c r="E258" t="inlineStr">
        <is>
          <t>MXPO</t>
        </is>
      </c>
      <c r="F258" t="inlineStr">
        <is>
          <t>MXL</t>
        </is>
      </c>
      <c r="G258" t="n">
        <v>900004065</v>
      </c>
      <c r="H258" t="inlineStr">
        <is>
          <t>TC-ED CALIDRA</t>
        </is>
      </c>
      <c r="I258" t="n">
        <v>5002756</v>
      </c>
      <c r="J258" t="inlineStr">
        <is>
          <t>CALIDRA DE OCCIDENTE SA DE CV</t>
        </is>
      </c>
      <c r="K258" t="inlineStr">
        <is>
          <t>Z07</t>
        </is>
      </c>
      <c r="L258" t="inlineStr">
        <is>
          <t>(AP) 60 Dias</t>
        </is>
      </c>
      <c r="M258" t="n">
        <v>10031878</v>
      </c>
      <c r="N258" t="inlineStr">
        <is>
          <t>Grava Triturada Caliza 20 mm - 3/4"</t>
        </is>
      </c>
      <c r="O258" t="inlineStr">
        <is>
          <t>DW68</t>
        </is>
      </c>
      <c r="P258" t="inlineStr">
        <is>
          <t>MX-CED. GUADALAJARA</t>
        </is>
      </c>
      <c r="Q258" t="n">
        <v>20210801</v>
      </c>
      <c r="R258" t="n">
        <v>20281231</v>
      </c>
      <c r="S258" t="n">
        <v>20260201</v>
      </c>
      <c r="T258" t="n">
        <v>20301231</v>
      </c>
      <c r="U258" t="n">
        <v>284.62</v>
      </c>
      <c r="V258" t="inlineStr">
        <is>
          <t>MXN</t>
        </is>
      </c>
      <c r="W258" t="inlineStr">
        <is>
          <t>TN</t>
        </is>
      </c>
      <c r="X258" t="n">
        <v>180.62</v>
      </c>
      <c r="Y258" t="inlineStr">
        <is>
          <t>MXN</t>
        </is>
      </c>
      <c r="Z258" t="inlineStr">
        <is>
          <t>TN</t>
        </is>
      </c>
      <c r="AA258" t="inlineStr">
        <is>
          <t>D242</t>
        </is>
      </c>
      <c r="AB258" t="inlineStr">
        <is>
          <t>PD0454 CD. LA GRANJA II</t>
        </is>
      </c>
      <c r="AC258" t="n">
        <v>56103637</v>
      </c>
      <c r="AD258" t="n">
        <v>6644241540</v>
      </c>
      <c r="AE258" t="n">
        <v>4</v>
      </c>
      <c r="AF258" t="inlineStr">
        <is>
          <t>ENTREGA DIRECTA</t>
        </is>
      </c>
      <c r="AG258" t="n">
        <v>1</v>
      </c>
      <c r="AH258" t="inlineStr">
        <is>
          <t>TO</t>
        </is>
      </c>
      <c r="AI258" t="inlineStr">
        <is>
          <t>X</t>
        </is>
      </c>
      <c r="AJ258" t="n">
        <v>4</v>
      </c>
      <c r="AK258" t="inlineStr">
        <is>
          <t>V4</t>
        </is>
      </c>
      <c r="AL258" t="n">
        <v>20260204</v>
      </c>
      <c r="AM258" t="inlineStr">
        <is>
          <t>DW68-900004065-D242-10031878-4</t>
        </is>
      </c>
    </row>
    <row r="259">
      <c r="A259" t="inlineStr">
        <is>
          <t>900004065DW68D25110031878</t>
        </is>
      </c>
      <c r="B259" t="inlineStr">
        <is>
          <t>4600050428-210</t>
        </is>
      </c>
      <c r="C259" t="n">
        <v>4600050428</v>
      </c>
      <c r="D259" t="n">
        <v>210</v>
      </c>
      <c r="E259" t="inlineStr">
        <is>
          <t>MXPO</t>
        </is>
      </c>
      <c r="F259" t="inlineStr">
        <is>
          <t>MXL</t>
        </is>
      </c>
      <c r="G259" t="n">
        <v>900004065</v>
      </c>
      <c r="H259" t="inlineStr">
        <is>
          <t>TC-ED CALIDRA</t>
        </is>
      </c>
      <c r="I259" t="n">
        <v>5002756</v>
      </c>
      <c r="J259" t="inlineStr">
        <is>
          <t>CALIDRA DE OCCIDENTE SA DE CV</t>
        </is>
      </c>
      <c r="K259" t="inlineStr">
        <is>
          <t>Z07</t>
        </is>
      </c>
      <c r="L259" t="inlineStr">
        <is>
          <t>(AP) 60 Dias</t>
        </is>
      </c>
      <c r="M259" t="n">
        <v>10031878</v>
      </c>
      <c r="N259" t="inlineStr">
        <is>
          <t>Grava Triturada Caliza 20 mm - 3/4"</t>
        </is>
      </c>
      <c r="O259" t="inlineStr">
        <is>
          <t>DW68</t>
        </is>
      </c>
      <c r="P259" t="inlineStr">
        <is>
          <t>MX-CED. GUADALAJARA</t>
        </is>
      </c>
      <c r="Q259" t="n">
        <v>20210801</v>
      </c>
      <c r="R259" t="n">
        <v>20281231</v>
      </c>
      <c r="S259" t="n">
        <v>20260201</v>
      </c>
      <c r="T259" t="n">
        <v>20301231</v>
      </c>
      <c r="U259" t="n">
        <v>310.62</v>
      </c>
      <c r="V259" t="inlineStr">
        <is>
          <t>MXN</t>
        </is>
      </c>
      <c r="W259" t="inlineStr">
        <is>
          <t>TN</t>
        </is>
      </c>
      <c r="X259" t="n">
        <v>206.62</v>
      </c>
      <c r="Y259" t="inlineStr">
        <is>
          <t>MXN</t>
        </is>
      </c>
      <c r="Z259" t="inlineStr">
        <is>
          <t>TN</t>
        </is>
      </c>
      <c r="AA259" t="inlineStr">
        <is>
          <t>D251</t>
        </is>
      </c>
      <c r="AB259" t="inlineStr">
        <is>
          <t>PD0339 EL SALTO</t>
        </is>
      </c>
      <c r="AC259" t="n">
        <v>56103637</v>
      </c>
      <c r="AD259" t="n">
        <v>6644241540</v>
      </c>
      <c r="AE259" t="n">
        <v>4</v>
      </c>
      <c r="AF259" t="inlineStr">
        <is>
          <t>ENTREGA DIRECTA</t>
        </is>
      </c>
      <c r="AG259" t="n">
        <v>1</v>
      </c>
      <c r="AH259" t="inlineStr">
        <is>
          <t>TO</t>
        </is>
      </c>
      <c r="AI259" t="inlineStr">
        <is>
          <t>X</t>
        </is>
      </c>
      <c r="AJ259" t="n">
        <v>4</v>
      </c>
      <c r="AK259" t="inlineStr">
        <is>
          <t>V4</t>
        </is>
      </c>
      <c r="AL259" t="n">
        <v>20260204</v>
      </c>
      <c r="AM259" t="inlineStr">
        <is>
          <t>DW68-900004065-D251-10031878-4</t>
        </is>
      </c>
    </row>
    <row r="260">
      <c r="A260" t="inlineStr">
        <is>
          <t>900004153DW68D20910004258</t>
        </is>
      </c>
      <c r="B260" t="inlineStr">
        <is>
          <t>4600050430-130</t>
        </is>
      </c>
      <c r="C260" t="n">
        <v>4600050430</v>
      </c>
      <c r="D260" t="n">
        <v>130</v>
      </c>
      <c r="E260" t="inlineStr">
        <is>
          <t>MXPO</t>
        </is>
      </c>
      <c r="F260" t="inlineStr">
        <is>
          <t>MXL</t>
        </is>
      </c>
      <c r="G260" t="n">
        <v>900004153</v>
      </c>
      <c r="H260" t="inlineStr">
        <is>
          <t>TC-ED GRAVASE PONCITLAN</t>
        </is>
      </c>
      <c r="I260" t="n">
        <v>5009010</v>
      </c>
      <c r="J260" t="inlineStr">
        <is>
          <t>GRAVASE SA DE CV</t>
        </is>
      </c>
      <c r="K260" t="inlineStr">
        <is>
          <t>Z04</t>
        </is>
      </c>
      <c r="L260" t="inlineStr">
        <is>
          <t>(AP) 30 Dias</t>
        </is>
      </c>
      <c r="M260" t="n">
        <v>10004258</v>
      </c>
      <c r="N260" t="inlineStr">
        <is>
          <t>Sello Triturado Basalto 10 mm - 3/8"</t>
        </is>
      </c>
      <c r="O260" t="inlineStr">
        <is>
          <t>DW68</t>
        </is>
      </c>
      <c r="P260" t="inlineStr">
        <is>
          <t>MX-CED. GUADALAJARA</t>
        </is>
      </c>
      <c r="Q260" t="n">
        <v>20210801</v>
      </c>
      <c r="R260" t="n">
        <v>20291231</v>
      </c>
      <c r="S260" t="n">
        <v>20260201</v>
      </c>
      <c r="T260" t="n">
        <v>20301231</v>
      </c>
      <c r="U260" t="n">
        <v>435.24</v>
      </c>
      <c r="V260" t="inlineStr">
        <is>
          <t>MXN</t>
        </is>
      </c>
      <c r="W260" t="inlineStr">
        <is>
          <t>TN</t>
        </is>
      </c>
      <c r="X260" t="n">
        <v>157.68</v>
      </c>
      <c r="Y260" t="inlineStr">
        <is>
          <t>MXN</t>
        </is>
      </c>
      <c r="Z260" t="inlineStr">
        <is>
          <t>TN</t>
        </is>
      </c>
      <c r="AA260" t="inlineStr">
        <is>
          <t>D209</t>
        </is>
      </c>
      <c r="AB260" t="inlineStr">
        <is>
          <t>PD0127 MANANTIAL</t>
        </is>
      </c>
      <c r="AC260" t="n">
        <v>56103637</v>
      </c>
      <c r="AD260" t="n">
        <v>6644241540</v>
      </c>
      <c r="AE260" t="n">
        <v>4</v>
      </c>
      <c r="AF260" t="inlineStr">
        <is>
          <t>ENTREGA DIRECTA</t>
        </is>
      </c>
      <c r="AG260" t="n">
        <v>1</v>
      </c>
      <c r="AH260" t="inlineStr">
        <is>
          <t>TO</t>
        </is>
      </c>
      <c r="AI260" t="inlineStr">
        <is>
          <t>X</t>
        </is>
      </c>
      <c r="AJ260" t="n">
        <v>4</v>
      </c>
      <c r="AK260" t="inlineStr">
        <is>
          <t>V4</t>
        </is>
      </c>
      <c r="AL260" t="n">
        <v>20260211</v>
      </c>
      <c r="AM260" t="inlineStr">
        <is>
          <t>DW68-900004153-D209-10004258-4</t>
        </is>
      </c>
    </row>
    <row r="261">
      <c r="A261" t="inlineStr">
        <is>
          <t>900004153DW68D22810004258</t>
        </is>
      </c>
      <c r="B261" t="inlineStr">
        <is>
          <t>4600050430-160</t>
        </is>
      </c>
      <c r="C261" t="n">
        <v>4600050430</v>
      </c>
      <c r="D261" t="n">
        <v>160</v>
      </c>
      <c r="E261" t="inlineStr">
        <is>
          <t>MXPO</t>
        </is>
      </c>
      <c r="F261" t="inlineStr">
        <is>
          <t>MXL</t>
        </is>
      </c>
      <c r="G261" t="n">
        <v>900004153</v>
      </c>
      <c r="H261" t="inlineStr">
        <is>
          <t>TC-ED GRAVASE PONCITLAN</t>
        </is>
      </c>
      <c r="I261" t="n">
        <v>5009010</v>
      </c>
      <c r="J261" t="inlineStr">
        <is>
          <t>GRAVASE SA DE CV</t>
        </is>
      </c>
      <c r="K261" t="inlineStr">
        <is>
          <t>Z04</t>
        </is>
      </c>
      <c r="L261" t="inlineStr">
        <is>
          <t>(AP) 30 Dias</t>
        </is>
      </c>
      <c r="M261" t="n">
        <v>10004258</v>
      </c>
      <c r="N261" t="inlineStr">
        <is>
          <t>Sello Triturado Basalto 10 mm - 3/8"</t>
        </is>
      </c>
      <c r="O261" t="inlineStr">
        <is>
          <t>DW68</t>
        </is>
      </c>
      <c r="P261" t="inlineStr">
        <is>
          <t>MX-CED. GUADALAJARA</t>
        </is>
      </c>
      <c r="Q261" t="n">
        <v>20210801</v>
      </c>
      <c r="R261" t="n">
        <v>20291231</v>
      </c>
      <c r="S261" t="n">
        <v>20260201</v>
      </c>
      <c r="T261" t="n">
        <v>20301231</v>
      </c>
      <c r="U261" t="n">
        <v>469.8</v>
      </c>
      <c r="V261" t="inlineStr">
        <is>
          <t>MXN</t>
        </is>
      </c>
      <c r="W261" t="inlineStr">
        <is>
          <t>TN</t>
        </is>
      </c>
      <c r="X261" t="n">
        <v>192.24</v>
      </c>
      <c r="Y261" t="inlineStr">
        <is>
          <t>MXN</t>
        </is>
      </c>
      <c r="Z261" t="inlineStr">
        <is>
          <t>TN</t>
        </is>
      </c>
      <c r="AA261" t="inlineStr">
        <is>
          <t>D228</t>
        </is>
      </c>
      <c r="AB261" t="inlineStr">
        <is>
          <t>PD0123 TLAJOMULCO</t>
        </is>
      </c>
      <c r="AC261" t="n">
        <v>56103637</v>
      </c>
      <c r="AD261" t="n">
        <v>6644241540</v>
      </c>
      <c r="AE261" t="n">
        <v>4</v>
      </c>
      <c r="AF261" t="inlineStr">
        <is>
          <t>ENTREGA DIRECTA</t>
        </is>
      </c>
      <c r="AG261" t="n">
        <v>1</v>
      </c>
      <c r="AH261" t="inlineStr">
        <is>
          <t>TO</t>
        </is>
      </c>
      <c r="AI261" t="inlineStr">
        <is>
          <t>X</t>
        </is>
      </c>
      <c r="AJ261" t="n">
        <v>4</v>
      </c>
      <c r="AK261" t="inlineStr">
        <is>
          <t>V4</t>
        </is>
      </c>
      <c r="AL261" t="n">
        <v>20260211</v>
      </c>
      <c r="AM261" t="inlineStr">
        <is>
          <t>DW68-900004153-D228-10004258-4</t>
        </is>
      </c>
    </row>
    <row r="262">
      <c r="A262" t="inlineStr">
        <is>
          <t>900004153DW68D24210004258</t>
        </is>
      </c>
      <c r="B262" t="inlineStr">
        <is>
          <t>4600050430-170</t>
        </is>
      </c>
      <c r="C262" t="n">
        <v>4600050430</v>
      </c>
      <c r="D262" t="n">
        <v>170</v>
      </c>
      <c r="E262" t="inlineStr">
        <is>
          <t>MXPO</t>
        </is>
      </c>
      <c r="F262" t="inlineStr">
        <is>
          <t>MXL</t>
        </is>
      </c>
      <c r="G262" t="n">
        <v>900004153</v>
      </c>
      <c r="H262" t="inlineStr">
        <is>
          <t>TC-ED GRAVASE PONCITLAN</t>
        </is>
      </c>
      <c r="I262" t="n">
        <v>5009010</v>
      </c>
      <c r="J262" t="inlineStr">
        <is>
          <t>GRAVASE SA DE CV</t>
        </is>
      </c>
      <c r="K262" t="inlineStr">
        <is>
          <t>Z04</t>
        </is>
      </c>
      <c r="L262" t="inlineStr">
        <is>
          <t>(AP) 30 Dias</t>
        </is>
      </c>
      <c r="M262" t="n">
        <v>10004258</v>
      </c>
      <c r="N262" t="inlineStr">
        <is>
          <t>Sello Triturado Basalto 10 mm - 3/8"</t>
        </is>
      </c>
      <c r="O262" t="inlineStr">
        <is>
          <t>DW68</t>
        </is>
      </c>
      <c r="P262" t="inlineStr">
        <is>
          <t>MX-CED. GUADALAJARA</t>
        </is>
      </c>
      <c r="Q262" t="n">
        <v>20210801</v>
      </c>
      <c r="R262" t="n">
        <v>20291231</v>
      </c>
      <c r="S262" t="n">
        <v>20260201</v>
      </c>
      <c r="T262" t="n">
        <v>20301231</v>
      </c>
      <c r="U262" t="n">
        <v>461.16</v>
      </c>
      <c r="V262" t="inlineStr">
        <is>
          <t>MXN</t>
        </is>
      </c>
      <c r="W262" t="inlineStr">
        <is>
          <t>TN</t>
        </is>
      </c>
      <c r="X262" t="n">
        <v>183.6</v>
      </c>
      <c r="Y262" t="inlineStr">
        <is>
          <t>MXN</t>
        </is>
      </c>
      <c r="Z262" t="inlineStr">
        <is>
          <t>TN</t>
        </is>
      </c>
      <c r="AA262" t="inlineStr">
        <is>
          <t>D242</t>
        </is>
      </c>
      <c r="AB262" t="inlineStr">
        <is>
          <t>PD0454 CD. LA GRANJA II</t>
        </is>
      </c>
      <c r="AC262" t="n">
        <v>56103637</v>
      </c>
      <c r="AD262" t="n">
        <v>6644241540</v>
      </c>
      <c r="AE262" t="n">
        <v>4</v>
      </c>
      <c r="AF262" t="inlineStr">
        <is>
          <t>ENTREGA DIRECTA</t>
        </is>
      </c>
      <c r="AG262" t="n">
        <v>1</v>
      </c>
      <c r="AH262" t="inlineStr">
        <is>
          <t>TO</t>
        </is>
      </c>
      <c r="AI262" t="inlineStr">
        <is>
          <t>X</t>
        </is>
      </c>
      <c r="AJ262" t="n">
        <v>4</v>
      </c>
      <c r="AK262" t="inlineStr">
        <is>
          <t>V4</t>
        </is>
      </c>
      <c r="AL262" t="n">
        <v>20260211</v>
      </c>
      <c r="AM262" t="inlineStr">
        <is>
          <t>DW68-900004153-D242-10004258-4</t>
        </is>
      </c>
    </row>
    <row r="263">
      <c r="A263" t="inlineStr">
        <is>
          <t>900004153DW68D26410000384</t>
        </is>
      </c>
      <c r="B263" t="inlineStr">
        <is>
          <t>4600050430-290</t>
        </is>
      </c>
      <c r="C263" t="n">
        <v>4600050430</v>
      </c>
      <c r="D263" t="n">
        <v>290</v>
      </c>
      <c r="E263" t="inlineStr">
        <is>
          <t>MXPO</t>
        </is>
      </c>
      <c r="F263" t="inlineStr">
        <is>
          <t>MXL</t>
        </is>
      </c>
      <c r="G263" t="n">
        <v>900004153</v>
      </c>
      <c r="H263" t="inlineStr">
        <is>
          <t>TC-ED GRAVASE PONCITLAN</t>
        </is>
      </c>
      <c r="I263" t="n">
        <v>5009010</v>
      </c>
      <c r="J263" t="inlineStr">
        <is>
          <t>GRAVASE SA DE CV</t>
        </is>
      </c>
      <c r="K263" t="inlineStr">
        <is>
          <t>Z04</t>
        </is>
      </c>
      <c r="L263" t="inlineStr">
        <is>
          <t>(AP) 30 Dias</t>
        </is>
      </c>
      <c r="M263" t="n">
        <v>10000384</v>
      </c>
      <c r="N263" t="inlineStr">
        <is>
          <t>Arena Triturada Basalto Malla 4</t>
        </is>
      </c>
      <c r="O263" t="inlineStr">
        <is>
          <t>DW68</t>
        </is>
      </c>
      <c r="P263" t="inlineStr">
        <is>
          <t>MX-CED. GUADALAJARA</t>
        </is>
      </c>
      <c r="Q263" t="n">
        <v>20210801</v>
      </c>
      <c r="R263" t="n">
        <v>20291231</v>
      </c>
      <c r="S263" t="n">
        <v>20260201</v>
      </c>
      <c r="T263" t="n">
        <v>20301231</v>
      </c>
      <c r="U263" t="n">
        <v>343.44</v>
      </c>
      <c r="V263" t="inlineStr">
        <is>
          <t>MXN</t>
        </is>
      </c>
      <c r="W263" t="inlineStr">
        <is>
          <t>TN</t>
        </is>
      </c>
      <c r="X263" t="n">
        <v>149.04</v>
      </c>
      <c r="Y263" t="inlineStr">
        <is>
          <t>MXN</t>
        </is>
      </c>
      <c r="Z263" t="inlineStr">
        <is>
          <t>TN</t>
        </is>
      </c>
      <c r="AA263" t="inlineStr">
        <is>
          <t>D264</t>
        </is>
      </c>
      <c r="AB263" t="inlineStr">
        <is>
          <t>PD0083 GUADALAJARA I III</t>
        </is>
      </c>
      <c r="AC263" t="n">
        <v>56103638</v>
      </c>
      <c r="AD263" t="n">
        <v>6644241540</v>
      </c>
      <c r="AE263" t="n">
        <v>4</v>
      </c>
      <c r="AF263" t="inlineStr">
        <is>
          <t>ENTREGA DIRECTA</t>
        </is>
      </c>
      <c r="AG263" t="n">
        <v>1</v>
      </c>
      <c r="AH263" t="inlineStr">
        <is>
          <t>TO</t>
        </is>
      </c>
      <c r="AI263" t="inlineStr">
        <is>
          <t>X</t>
        </is>
      </c>
      <c r="AJ263" t="n">
        <v>4</v>
      </c>
      <c r="AK263" t="inlineStr">
        <is>
          <t>V4</t>
        </is>
      </c>
      <c r="AL263" t="n">
        <v>20260211</v>
      </c>
      <c r="AM263" t="inlineStr">
        <is>
          <t>DW68-900004153-D264-10000384-4</t>
        </is>
      </c>
    </row>
    <row r="264">
      <c r="A264" t="inlineStr">
        <is>
          <t>900004153DW68D22010000388</t>
        </is>
      </c>
      <c r="B264" t="inlineStr">
        <is>
          <t>4600050430-310</t>
        </is>
      </c>
      <c r="C264" t="n">
        <v>4600050430</v>
      </c>
      <c r="D264" t="n">
        <v>310</v>
      </c>
      <c r="E264" t="inlineStr">
        <is>
          <t>MXPO</t>
        </is>
      </c>
      <c r="F264" t="inlineStr">
        <is>
          <t>MXL</t>
        </is>
      </c>
      <c r="G264" t="n">
        <v>900004153</v>
      </c>
      <c r="H264" t="inlineStr">
        <is>
          <t>TC-ED GRAVASE PONCITLAN</t>
        </is>
      </c>
      <c r="I264" t="n">
        <v>5009010</v>
      </c>
      <c r="J264" t="inlineStr">
        <is>
          <t>GRAVASE SA DE CV</t>
        </is>
      </c>
      <c r="K264" t="inlineStr">
        <is>
          <t>Z04</t>
        </is>
      </c>
      <c r="L264" t="inlineStr">
        <is>
          <t>(AP) 30 Dias</t>
        </is>
      </c>
      <c r="M264" t="n">
        <v>10000388</v>
      </c>
      <c r="N264" t="inlineStr">
        <is>
          <t>Grava Triturada Basalto  40 mm - 1 1/2"</t>
        </is>
      </c>
      <c r="O264" t="inlineStr">
        <is>
          <t>DW68</t>
        </is>
      </c>
      <c r="P264" t="inlineStr">
        <is>
          <t>MX-CED. GUADALAJARA</t>
        </is>
      </c>
      <c r="Q264" t="n">
        <v>20210801</v>
      </c>
      <c r="R264" t="n">
        <v>20291231</v>
      </c>
      <c r="S264" t="n">
        <v>20260201</v>
      </c>
      <c r="T264" t="n">
        <v>20301231</v>
      </c>
      <c r="U264" t="n">
        <v>345.6</v>
      </c>
      <c r="V264" t="inlineStr">
        <is>
          <t>MXN</t>
        </is>
      </c>
      <c r="W264" t="inlineStr">
        <is>
          <t>TN</t>
        </is>
      </c>
      <c r="X264" t="n">
        <v>174.96</v>
      </c>
      <c r="Y264" t="inlineStr">
        <is>
          <t>MXN</t>
        </is>
      </c>
      <c r="Z264" t="inlineStr">
        <is>
          <t>TN</t>
        </is>
      </c>
      <c r="AA264" t="inlineStr">
        <is>
          <t>D220</t>
        </is>
      </c>
      <c r="AB264" t="inlineStr">
        <is>
          <t>PD0131 TEPATITLAN</t>
        </is>
      </c>
      <c r="AC264" t="n">
        <v>56103637</v>
      </c>
      <c r="AD264" t="n">
        <v>6644241540</v>
      </c>
      <c r="AE264" t="n">
        <v>4</v>
      </c>
      <c r="AF264" t="inlineStr">
        <is>
          <t>ENTREGA DIRECTA</t>
        </is>
      </c>
      <c r="AG264" t="n">
        <v>1</v>
      </c>
      <c r="AH264" t="inlineStr">
        <is>
          <t>TO</t>
        </is>
      </c>
      <c r="AI264" t="inlineStr">
        <is>
          <t>X</t>
        </is>
      </c>
      <c r="AJ264" t="n">
        <v>4</v>
      </c>
      <c r="AK264" t="inlineStr">
        <is>
          <t>V4</t>
        </is>
      </c>
      <c r="AL264" t="n">
        <v>20260211</v>
      </c>
      <c r="AM264" t="inlineStr">
        <is>
          <t>DW68-900004153-D220-10000388-4</t>
        </is>
      </c>
    </row>
    <row r="265">
      <c r="A265" t="inlineStr">
        <is>
          <t>900004153DW68D22010000191</t>
        </is>
      </c>
      <c r="B265" t="inlineStr">
        <is>
          <t>4600050430-300</t>
        </is>
      </c>
      <c r="C265" t="n">
        <v>4600050430</v>
      </c>
      <c r="D265" t="n">
        <v>300</v>
      </c>
      <c r="E265" t="inlineStr">
        <is>
          <t>MXPO</t>
        </is>
      </c>
      <c r="F265" t="inlineStr">
        <is>
          <t>MXL</t>
        </is>
      </c>
      <c r="G265" t="n">
        <v>900004153</v>
      </c>
      <c r="H265" t="inlineStr">
        <is>
          <t>TC-ED GRAVASE PONCITLAN</t>
        </is>
      </c>
      <c r="I265" t="n">
        <v>5009010</v>
      </c>
      <c r="J265" t="inlineStr">
        <is>
          <t>GRAVASE SA DE CV</t>
        </is>
      </c>
      <c r="K265" t="inlineStr">
        <is>
          <t>Z04</t>
        </is>
      </c>
      <c r="L265" t="inlineStr">
        <is>
          <t>(AP) 30 Dias</t>
        </is>
      </c>
      <c r="M265" t="n">
        <v>10000191</v>
      </c>
      <c r="N265" t="inlineStr">
        <is>
          <t>Grava Triturada Basalto 20 mm - 3/4"</t>
        </is>
      </c>
      <c r="O265" t="inlineStr">
        <is>
          <t>DW68</t>
        </is>
      </c>
      <c r="P265" t="inlineStr">
        <is>
          <t>MX-CED. GUADALAJARA</t>
        </is>
      </c>
      <c r="Q265" t="n">
        <v>20210801</v>
      </c>
      <c r="R265" t="n">
        <v>20291231</v>
      </c>
      <c r="S265" t="n">
        <v>20260201</v>
      </c>
      <c r="T265" t="n">
        <v>20301231</v>
      </c>
      <c r="U265" t="n">
        <v>339.12</v>
      </c>
      <c r="V265" t="inlineStr">
        <is>
          <t>MXN</t>
        </is>
      </c>
      <c r="W265" t="inlineStr">
        <is>
          <t>TN</t>
        </is>
      </c>
      <c r="X265" t="n">
        <v>168.48</v>
      </c>
      <c r="Y265" t="inlineStr">
        <is>
          <t>MXN</t>
        </is>
      </c>
      <c r="Z265" t="inlineStr">
        <is>
          <t>TN</t>
        </is>
      </c>
      <c r="AA265" t="inlineStr">
        <is>
          <t>D220</t>
        </is>
      </c>
      <c r="AB265" t="inlineStr">
        <is>
          <t>PD0131 TEPATITLAN</t>
        </is>
      </c>
      <c r="AC265" t="n">
        <v>56103637</v>
      </c>
      <c r="AD265" t="n">
        <v>6644241540</v>
      </c>
      <c r="AE265" t="n">
        <v>4</v>
      </c>
      <c r="AF265" t="inlineStr">
        <is>
          <t>ENTREGA DIRECTA</t>
        </is>
      </c>
      <c r="AG265" t="n">
        <v>1</v>
      </c>
      <c r="AH265" t="inlineStr">
        <is>
          <t>TO</t>
        </is>
      </c>
      <c r="AI265" t="inlineStr">
        <is>
          <t>X</t>
        </is>
      </c>
      <c r="AJ265" t="n">
        <v>4</v>
      </c>
      <c r="AK265" t="inlineStr">
        <is>
          <t>V4</t>
        </is>
      </c>
      <c r="AL265" t="n">
        <v>20260211</v>
      </c>
      <c r="AM265" t="inlineStr">
        <is>
          <t>DW68-900004153-D220-10000191-4</t>
        </is>
      </c>
    </row>
    <row r="266">
      <c r="A266" t="inlineStr">
        <is>
          <t>900004153DW68D25110000384</t>
        </is>
      </c>
      <c r="B266" t="inlineStr">
        <is>
          <t>4600050430-230</t>
        </is>
      </c>
      <c r="C266" t="n">
        <v>4600050430</v>
      </c>
      <c r="D266" t="n">
        <v>230</v>
      </c>
      <c r="E266" t="inlineStr">
        <is>
          <t>MXPO</t>
        </is>
      </c>
      <c r="F266" t="inlineStr">
        <is>
          <t>MXL</t>
        </is>
      </c>
      <c r="G266" t="n">
        <v>900004153</v>
      </c>
      <c r="H266" t="inlineStr">
        <is>
          <t>TC-ED GRAVASE PONCITLAN</t>
        </is>
      </c>
      <c r="I266" t="n">
        <v>5009010</v>
      </c>
      <c r="J266" t="inlineStr">
        <is>
          <t>GRAVASE SA DE CV</t>
        </is>
      </c>
      <c r="K266" t="inlineStr">
        <is>
          <t>Z04</t>
        </is>
      </c>
      <c r="L266" t="inlineStr">
        <is>
          <t>(AP) 30 Dias</t>
        </is>
      </c>
      <c r="M266" t="n">
        <v>10000384</v>
      </c>
      <c r="N266" t="inlineStr">
        <is>
          <t>Arena Triturada Basalto Malla 4</t>
        </is>
      </c>
      <c r="O266" t="inlineStr">
        <is>
          <t>DW68</t>
        </is>
      </c>
      <c r="P266" t="inlineStr">
        <is>
          <t>MX-CED. GUADALAJARA</t>
        </is>
      </c>
      <c r="Q266" t="n">
        <v>20210801</v>
      </c>
      <c r="R266" t="n">
        <v>20291231</v>
      </c>
      <c r="S266" t="n">
        <v>20260201</v>
      </c>
      <c r="T266" t="n">
        <v>20301231</v>
      </c>
      <c r="U266" t="n">
        <v>328.32</v>
      </c>
      <c r="V266" t="inlineStr">
        <is>
          <t>MXN</t>
        </is>
      </c>
      <c r="W266" t="inlineStr">
        <is>
          <t>TN</t>
        </is>
      </c>
      <c r="X266" t="n">
        <v>133.92</v>
      </c>
      <c r="Y266" t="inlineStr">
        <is>
          <t>MXN</t>
        </is>
      </c>
      <c r="Z266" t="inlineStr">
        <is>
          <t>TN</t>
        </is>
      </c>
      <c r="AA266" t="inlineStr">
        <is>
          <t>D251</t>
        </is>
      </c>
      <c r="AB266" t="inlineStr">
        <is>
          <t>PD0339 EL SALTO</t>
        </is>
      </c>
      <c r="AC266" t="n">
        <v>56103638</v>
      </c>
      <c r="AD266" t="n">
        <v>6644241540</v>
      </c>
      <c r="AE266" t="n">
        <v>4</v>
      </c>
      <c r="AF266" t="inlineStr">
        <is>
          <t>ENTREGA DIRECTA</t>
        </is>
      </c>
      <c r="AG266" t="n">
        <v>1</v>
      </c>
      <c r="AH266" t="inlineStr">
        <is>
          <t>TO</t>
        </is>
      </c>
      <c r="AI266" t="inlineStr">
        <is>
          <t>X</t>
        </is>
      </c>
      <c r="AJ266" t="n">
        <v>4</v>
      </c>
      <c r="AK266" t="inlineStr">
        <is>
          <t>V4</t>
        </is>
      </c>
      <c r="AL266" t="n">
        <v>20260211</v>
      </c>
      <c r="AM266" t="inlineStr">
        <is>
          <t>DW68-900004153-D251-10000384-4</t>
        </is>
      </c>
    </row>
    <row r="267">
      <c r="A267" t="inlineStr">
        <is>
          <t>900004153DW68D26710000388</t>
        </is>
      </c>
      <c r="B267" t="inlineStr">
        <is>
          <t>4600050430-470</t>
        </is>
      </c>
      <c r="C267" t="n">
        <v>4600050430</v>
      </c>
      <c r="D267" t="n">
        <v>470</v>
      </c>
      <c r="E267" t="inlineStr">
        <is>
          <t>MXPO</t>
        </is>
      </c>
      <c r="F267" t="inlineStr">
        <is>
          <t>MXL</t>
        </is>
      </c>
      <c r="G267" t="n">
        <v>900004153</v>
      </c>
      <c r="H267" t="inlineStr">
        <is>
          <t>TC-ED GRAVASE PONCITLAN</t>
        </is>
      </c>
      <c r="I267" t="n">
        <v>5009010</v>
      </c>
      <c r="J267" t="inlineStr">
        <is>
          <t>GRAVASE SA DE CV</t>
        </is>
      </c>
      <c r="K267" t="inlineStr">
        <is>
          <t>Z04</t>
        </is>
      </c>
      <c r="L267" t="inlineStr">
        <is>
          <t>(AP) 30 Dias</t>
        </is>
      </c>
      <c r="M267" t="n">
        <v>10000388</v>
      </c>
      <c r="N267" t="inlineStr">
        <is>
          <t>Grava Triturada Basalto  40 mm - 1 1/2"</t>
        </is>
      </c>
      <c r="O267" t="inlineStr">
        <is>
          <t>DW68</t>
        </is>
      </c>
      <c r="P267" t="inlineStr">
        <is>
          <t>MX-CED. GUADALAJARA</t>
        </is>
      </c>
      <c r="Q267" t="n">
        <v>20210801</v>
      </c>
      <c r="R267" t="n">
        <v>20291231</v>
      </c>
      <c r="S267" t="n">
        <v>20260201</v>
      </c>
      <c r="T267" t="n">
        <v>20301231</v>
      </c>
      <c r="U267" t="n">
        <v>419.04</v>
      </c>
      <c r="V267" t="inlineStr">
        <is>
          <t>MXN</t>
        </is>
      </c>
      <c r="W267" t="inlineStr">
        <is>
          <t>TN</t>
        </is>
      </c>
      <c r="X267" t="n">
        <v>248.4</v>
      </c>
      <c r="Y267" t="inlineStr">
        <is>
          <t>MXN</t>
        </is>
      </c>
      <c r="Z267" t="inlineStr">
        <is>
          <t>TN</t>
        </is>
      </c>
      <c r="AA267" t="inlineStr">
        <is>
          <t>D267</t>
        </is>
      </c>
      <c r="AB267" t="inlineStr">
        <is>
          <t>PD0280 PLANTA COLOTLAN</t>
        </is>
      </c>
      <c r="AC267" t="n">
        <v>56103637</v>
      </c>
      <c r="AD267" t="n">
        <v>6644241540</v>
      </c>
      <c r="AE267" t="n">
        <v>4</v>
      </c>
      <c r="AF267" t="inlineStr">
        <is>
          <t>ENTREGA DIRECTA</t>
        </is>
      </c>
      <c r="AG267" t="n">
        <v>1</v>
      </c>
      <c r="AH267" t="inlineStr">
        <is>
          <t>TO</t>
        </is>
      </c>
      <c r="AI267" t="inlineStr">
        <is>
          <t>X</t>
        </is>
      </c>
      <c r="AJ267" t="n">
        <v>4</v>
      </c>
      <c r="AK267" t="inlineStr">
        <is>
          <t>V4</t>
        </is>
      </c>
      <c r="AL267" t="n">
        <v>20260211</v>
      </c>
      <c r="AM267" t="inlineStr">
        <is>
          <t>DW68-900004153-D267-10000388-4</t>
        </is>
      </c>
    </row>
    <row r="268">
      <c r="A268" t="inlineStr">
        <is>
          <t>900004065DW68D26410000320</t>
        </is>
      </c>
      <c r="B268" t="inlineStr">
        <is>
          <t>4600050428-60</t>
        </is>
      </c>
      <c r="C268" t="n">
        <v>4600050428</v>
      </c>
      <c r="D268" t="n">
        <v>60</v>
      </c>
      <c r="E268" t="inlineStr">
        <is>
          <t>MXPO</t>
        </is>
      </c>
      <c r="F268" t="inlineStr">
        <is>
          <t>MXL</t>
        </is>
      </c>
      <c r="G268" t="n">
        <v>900004065</v>
      </c>
      <c r="H268" t="inlineStr">
        <is>
          <t>TC-ED CALIDRA</t>
        </is>
      </c>
      <c r="I268" t="n">
        <v>5002756</v>
      </c>
      <c r="J268" t="inlineStr">
        <is>
          <t>CALIDRA DE OCCIDENTE SA DE CV</t>
        </is>
      </c>
      <c r="K268" t="inlineStr">
        <is>
          <t>Z07</t>
        </is>
      </c>
      <c r="L268" t="inlineStr">
        <is>
          <t>(AP) 60 Dias</t>
        </is>
      </c>
      <c r="M268" t="n">
        <v>10000320</v>
      </c>
      <c r="N268" t="inlineStr">
        <is>
          <t>Arena Triturada Caliza Malla 4</t>
        </is>
      </c>
      <c r="O268" t="inlineStr">
        <is>
          <t>DW68</t>
        </is>
      </c>
      <c r="P268" t="inlineStr">
        <is>
          <t>MX-CED. GUADALAJARA</t>
        </is>
      </c>
      <c r="Q268" t="n">
        <v>20210801</v>
      </c>
      <c r="R268" t="n">
        <v>20281231</v>
      </c>
      <c r="S268" t="n">
        <v>20260201</v>
      </c>
      <c r="T268" t="n">
        <v>20301231</v>
      </c>
      <c r="U268" t="n">
        <v>289.82</v>
      </c>
      <c r="V268" t="inlineStr">
        <is>
          <t>MXN</t>
        </is>
      </c>
      <c r="W268" t="inlineStr">
        <is>
          <t>TN</t>
        </is>
      </c>
      <c r="X268" t="n">
        <v>180.62</v>
      </c>
      <c r="Y268" t="inlineStr">
        <is>
          <t>MXN</t>
        </is>
      </c>
      <c r="Z268" t="inlineStr">
        <is>
          <t>TN</t>
        </is>
      </c>
      <c r="AA268" t="inlineStr">
        <is>
          <t>D264</t>
        </is>
      </c>
      <c r="AB268" t="inlineStr">
        <is>
          <t>PD0083 GUADALAJARA I III</t>
        </is>
      </c>
      <c r="AC268" t="n">
        <v>56103638</v>
      </c>
      <c r="AD268" t="n">
        <v>6644241540</v>
      </c>
      <c r="AE268" t="n">
        <v>4</v>
      </c>
      <c r="AF268" t="inlineStr">
        <is>
          <t>ENTREGA DIRECTA</t>
        </is>
      </c>
      <c r="AG268" t="n">
        <v>1</v>
      </c>
      <c r="AH268" t="inlineStr">
        <is>
          <t>TO</t>
        </is>
      </c>
      <c r="AI268" t="inlineStr">
        <is>
          <t>X</t>
        </is>
      </c>
      <c r="AJ268" t="n">
        <v>4</v>
      </c>
      <c r="AK268" t="inlineStr">
        <is>
          <t>V4</t>
        </is>
      </c>
      <c r="AL268" t="n">
        <v>20260204</v>
      </c>
      <c r="AM268" t="inlineStr">
        <is>
          <t>DW68-900004065-D264-10000320-4</t>
        </is>
      </c>
    </row>
    <row r="269">
      <c r="A269" t="inlineStr">
        <is>
          <t>900004065DW68D17510031878</t>
        </is>
      </c>
      <c r="B269" t="inlineStr">
        <is>
          <t>4600050428-140</t>
        </is>
      </c>
      <c r="C269" t="n">
        <v>4600050428</v>
      </c>
      <c r="D269" t="n">
        <v>140</v>
      </c>
      <c r="E269" t="inlineStr">
        <is>
          <t>MXPO</t>
        </is>
      </c>
      <c r="F269" t="inlineStr">
        <is>
          <t>MXL</t>
        </is>
      </c>
      <c r="G269" t="n">
        <v>900004065</v>
      </c>
      <c r="H269" t="inlineStr">
        <is>
          <t>TC-ED CALIDRA</t>
        </is>
      </c>
      <c r="I269" t="n">
        <v>5002756</v>
      </c>
      <c r="J269" t="inlineStr">
        <is>
          <t>CALIDRA DE OCCIDENTE SA DE CV</t>
        </is>
      </c>
      <c r="K269" t="inlineStr">
        <is>
          <t>Z07</t>
        </is>
      </c>
      <c r="L269" t="inlineStr">
        <is>
          <t>(AP) 60 Dias</t>
        </is>
      </c>
      <c r="M269" t="n">
        <v>10031878</v>
      </c>
      <c r="N269" t="inlineStr">
        <is>
          <t>Grava Triturada Caliza 20 mm - 3/4"</t>
        </is>
      </c>
      <c r="O269" t="inlineStr">
        <is>
          <t>DW68</t>
        </is>
      </c>
      <c r="P269" t="inlineStr">
        <is>
          <t>MX-CED. GUADALAJARA</t>
        </is>
      </c>
      <c r="Q269" t="n">
        <v>20210801</v>
      </c>
      <c r="R269" t="n">
        <v>20281231</v>
      </c>
      <c r="S269" t="n">
        <v>20260201</v>
      </c>
      <c r="T269" t="n">
        <v>20301231</v>
      </c>
      <c r="U269" t="n">
        <v>284.62</v>
      </c>
      <c r="V269" t="inlineStr">
        <is>
          <t>MXN</t>
        </is>
      </c>
      <c r="W269" t="inlineStr">
        <is>
          <t>TN</t>
        </is>
      </c>
      <c r="X269" t="n">
        <v>180.62</v>
      </c>
      <c r="Y269" t="inlineStr">
        <is>
          <t>MXN</t>
        </is>
      </c>
      <c r="Z269" t="inlineStr">
        <is>
          <t>TN</t>
        </is>
      </c>
      <c r="AA269" t="inlineStr">
        <is>
          <t>D175</t>
        </is>
      </c>
      <c r="AB269" t="inlineStr">
        <is>
          <t>PD0494 PLANTA PONIENTE II</t>
        </is>
      </c>
      <c r="AC269" t="n">
        <v>56103637</v>
      </c>
      <c r="AD269" t="n">
        <v>6644241540</v>
      </c>
      <c r="AE269" t="n">
        <v>4</v>
      </c>
      <c r="AF269" t="inlineStr">
        <is>
          <t>ENTREGA DIRECTA</t>
        </is>
      </c>
      <c r="AG269" t="n">
        <v>1</v>
      </c>
      <c r="AH269" t="inlineStr">
        <is>
          <t>TO</t>
        </is>
      </c>
      <c r="AI269" t="inlineStr">
        <is>
          <t>X</t>
        </is>
      </c>
      <c r="AJ269" t="n">
        <v>4</v>
      </c>
      <c r="AK269" t="inlineStr">
        <is>
          <t>V4</t>
        </is>
      </c>
      <c r="AL269" t="n">
        <v>20260204</v>
      </c>
      <c r="AM269" t="inlineStr">
        <is>
          <t>DW68-900004065-D175-10031878-4</t>
        </is>
      </c>
    </row>
    <row r="270">
      <c r="A270" t="inlineStr">
        <is>
          <t>900004065DW68D22810031878</t>
        </is>
      </c>
      <c r="B270" t="inlineStr">
        <is>
          <t>4600050428-180</t>
        </is>
      </c>
      <c r="C270" t="n">
        <v>4600050428</v>
      </c>
      <c r="D270" t="n">
        <v>180</v>
      </c>
      <c r="E270" t="inlineStr">
        <is>
          <t>MXPO</t>
        </is>
      </c>
      <c r="F270" t="inlineStr">
        <is>
          <t>MXL</t>
        </is>
      </c>
      <c r="G270" t="n">
        <v>900004065</v>
      </c>
      <c r="H270" t="inlineStr">
        <is>
          <t>TC-ED CALIDRA</t>
        </is>
      </c>
      <c r="I270" t="n">
        <v>5002756</v>
      </c>
      <c r="J270" t="inlineStr">
        <is>
          <t>CALIDRA DE OCCIDENTE SA DE CV</t>
        </is>
      </c>
      <c r="K270" t="inlineStr">
        <is>
          <t>Z07</t>
        </is>
      </c>
      <c r="L270" t="inlineStr">
        <is>
          <t>(AP) 60 Dias</t>
        </is>
      </c>
      <c r="M270" t="n">
        <v>10031878</v>
      </c>
      <c r="N270" t="inlineStr">
        <is>
          <t>Grava Triturada Caliza 20 mm - 3/4"</t>
        </is>
      </c>
      <c r="O270" t="inlineStr">
        <is>
          <t>DW68</t>
        </is>
      </c>
      <c r="P270" t="inlineStr">
        <is>
          <t>MX-CED. GUADALAJARA</t>
        </is>
      </c>
      <c r="Q270" t="n">
        <v>20210801</v>
      </c>
      <c r="R270" t="n">
        <v>20281231</v>
      </c>
      <c r="S270" t="n">
        <v>20260201</v>
      </c>
      <c r="T270" t="n">
        <v>20301231</v>
      </c>
      <c r="U270" t="n">
        <v>252.5</v>
      </c>
      <c r="V270" t="inlineStr">
        <is>
          <t>MXN</t>
        </is>
      </c>
      <c r="W270" t="inlineStr">
        <is>
          <t>TN</t>
        </is>
      </c>
      <c r="X270" t="n">
        <v>148.5</v>
      </c>
      <c r="Y270" t="inlineStr">
        <is>
          <t>MXN</t>
        </is>
      </c>
      <c r="Z270" t="inlineStr">
        <is>
          <t>TN</t>
        </is>
      </c>
      <c r="AA270" t="inlineStr">
        <is>
          <t>D228</t>
        </is>
      </c>
      <c r="AB270" t="inlineStr">
        <is>
          <t>PD0123 TLAJOMULCO</t>
        </is>
      </c>
      <c r="AC270" t="n">
        <v>56103637</v>
      </c>
      <c r="AD270" t="n">
        <v>6644241540</v>
      </c>
      <c r="AE270" t="n">
        <v>4</v>
      </c>
      <c r="AF270" t="inlineStr">
        <is>
          <t>ENTREGA DIRECTA</t>
        </is>
      </c>
      <c r="AG270" t="n">
        <v>1</v>
      </c>
      <c r="AH270" t="inlineStr">
        <is>
          <t>TO</t>
        </is>
      </c>
      <c r="AI270" t="inlineStr">
        <is>
          <t>X</t>
        </is>
      </c>
      <c r="AJ270" t="n">
        <v>4</v>
      </c>
      <c r="AK270" t="inlineStr">
        <is>
          <t>V4</t>
        </is>
      </c>
      <c r="AL270" t="n">
        <v>20260204</v>
      </c>
      <c r="AM270" t="inlineStr">
        <is>
          <t>DW68-900004065-D228-10031878-4</t>
        </is>
      </c>
    </row>
    <row r="271">
      <c r="A271" t="inlineStr">
        <is>
          <t>900004153DW68D22810000388</t>
        </is>
      </c>
      <c r="B271" t="inlineStr">
        <is>
          <t>4600050430-50</t>
        </is>
      </c>
      <c r="C271" t="n">
        <v>4600050430</v>
      </c>
      <c r="D271" t="n">
        <v>50</v>
      </c>
      <c r="E271" t="inlineStr">
        <is>
          <t>MXPO</t>
        </is>
      </c>
      <c r="F271" t="inlineStr">
        <is>
          <t>MXL</t>
        </is>
      </c>
      <c r="G271" t="n">
        <v>900004153</v>
      </c>
      <c r="H271" t="inlineStr">
        <is>
          <t>TC-ED GRAVASE PONCITLAN</t>
        </is>
      </c>
      <c r="I271" t="n">
        <v>5009010</v>
      </c>
      <c r="J271" t="inlineStr">
        <is>
          <t>GRAVASE SA DE CV</t>
        </is>
      </c>
      <c r="K271" t="inlineStr">
        <is>
          <t>Z04</t>
        </is>
      </c>
      <c r="L271" t="inlineStr">
        <is>
          <t>(AP) 30 Dias</t>
        </is>
      </c>
      <c r="M271" t="n">
        <v>10000388</v>
      </c>
      <c r="N271" t="inlineStr">
        <is>
          <t>Grava Triturada Basalto  40 mm - 1 1/2"</t>
        </is>
      </c>
      <c r="O271" t="inlineStr">
        <is>
          <t>DW68</t>
        </is>
      </c>
      <c r="P271" t="inlineStr">
        <is>
          <t>MX-CED. GUADALAJARA</t>
        </is>
      </c>
      <c r="Q271" t="n">
        <v>20210801</v>
      </c>
      <c r="R271" t="n">
        <v>20291231</v>
      </c>
      <c r="S271" t="n">
        <v>20260201</v>
      </c>
      <c r="T271" t="n">
        <v>20301231</v>
      </c>
      <c r="U271" t="n">
        <v>382.32</v>
      </c>
      <c r="V271" t="inlineStr">
        <is>
          <t>MXN</t>
        </is>
      </c>
      <c r="W271" t="inlineStr">
        <is>
          <t>TN</t>
        </is>
      </c>
      <c r="X271" t="n">
        <v>211.68</v>
      </c>
      <c r="Y271" t="inlineStr">
        <is>
          <t>MXN</t>
        </is>
      </c>
      <c r="Z271" t="inlineStr">
        <is>
          <t>TN</t>
        </is>
      </c>
      <c r="AA271" t="inlineStr">
        <is>
          <t>D228</t>
        </is>
      </c>
      <c r="AB271" t="inlineStr">
        <is>
          <t>PD0123 TLAJOMULCO</t>
        </is>
      </c>
      <c r="AC271" t="n">
        <v>56103637</v>
      </c>
      <c r="AD271" t="n">
        <v>6644241540</v>
      </c>
      <c r="AE271" t="n">
        <v>4</v>
      </c>
      <c r="AF271" t="inlineStr">
        <is>
          <t>ENTREGA DIRECTA</t>
        </is>
      </c>
      <c r="AG271" t="n">
        <v>1</v>
      </c>
      <c r="AH271" t="inlineStr">
        <is>
          <t>TO</t>
        </is>
      </c>
      <c r="AI271" t="inlineStr">
        <is>
          <t>X</t>
        </is>
      </c>
      <c r="AJ271" t="n">
        <v>4</v>
      </c>
      <c r="AK271" t="inlineStr">
        <is>
          <t>V4</t>
        </is>
      </c>
      <c r="AL271" t="n">
        <v>20260211</v>
      </c>
      <c r="AM271" t="inlineStr">
        <is>
          <t>DW68-900004153-D228-10000388-4</t>
        </is>
      </c>
    </row>
    <row r="272">
      <c r="A272" t="inlineStr">
        <is>
          <t>900004153DW68D24710000388</t>
        </is>
      </c>
      <c r="B272" t="inlineStr">
        <is>
          <t>4600050430-350</t>
        </is>
      </c>
      <c r="C272" t="n">
        <v>4600050430</v>
      </c>
      <c r="D272" t="n">
        <v>350</v>
      </c>
      <c r="E272" t="inlineStr">
        <is>
          <t>MXPO</t>
        </is>
      </c>
      <c r="F272" t="inlineStr">
        <is>
          <t>MXL</t>
        </is>
      </c>
      <c r="G272" t="n">
        <v>900004153</v>
      </c>
      <c r="H272" t="inlineStr">
        <is>
          <t>TC-ED GRAVASE PONCITLAN</t>
        </is>
      </c>
      <c r="I272" t="n">
        <v>5009010</v>
      </c>
      <c r="J272" t="inlineStr">
        <is>
          <t>GRAVASE SA DE CV</t>
        </is>
      </c>
      <c r="K272" t="inlineStr">
        <is>
          <t>Z04</t>
        </is>
      </c>
      <c r="L272" t="inlineStr">
        <is>
          <t>(AP) 30 Dias</t>
        </is>
      </c>
      <c r="M272" t="n">
        <v>10000388</v>
      </c>
      <c r="N272" t="inlineStr">
        <is>
          <t>Grava Triturada Basalto  40 mm - 1 1/2"</t>
        </is>
      </c>
      <c r="O272" t="inlineStr">
        <is>
          <t>DW68</t>
        </is>
      </c>
      <c r="P272" t="inlineStr">
        <is>
          <t>MX-CED. GUADALAJARA</t>
        </is>
      </c>
      <c r="Q272" t="n">
        <v>20210801</v>
      </c>
      <c r="R272" t="n">
        <v>20291231</v>
      </c>
      <c r="S272" t="n">
        <v>20260201</v>
      </c>
      <c r="T272" t="n">
        <v>20301231</v>
      </c>
      <c r="U272" t="n">
        <v>362.88</v>
      </c>
      <c r="V272" t="inlineStr">
        <is>
          <t>MXN</t>
        </is>
      </c>
      <c r="W272" t="inlineStr">
        <is>
          <t>TN</t>
        </is>
      </c>
      <c r="X272" t="n">
        <v>192.24</v>
      </c>
      <c r="Y272" t="inlineStr">
        <is>
          <t>MXN</t>
        </is>
      </c>
      <c r="Z272" t="inlineStr">
        <is>
          <t>TN</t>
        </is>
      </c>
      <c r="AA272" t="inlineStr">
        <is>
          <t>D247</t>
        </is>
      </c>
      <c r="AB272" t="inlineStr">
        <is>
          <t>PD0518 TONALA</t>
        </is>
      </c>
      <c r="AC272" t="n">
        <v>56103637</v>
      </c>
      <c r="AD272" t="n">
        <v>6644241540</v>
      </c>
      <c r="AE272" t="n">
        <v>4</v>
      </c>
      <c r="AF272" t="inlineStr">
        <is>
          <t>ENTREGA DIRECTA</t>
        </is>
      </c>
      <c r="AG272" t="n">
        <v>1</v>
      </c>
      <c r="AH272" t="inlineStr">
        <is>
          <t>TO</t>
        </is>
      </c>
      <c r="AI272" t="inlineStr">
        <is>
          <t>X</t>
        </is>
      </c>
      <c r="AJ272" t="n">
        <v>4</v>
      </c>
      <c r="AK272" t="inlineStr">
        <is>
          <t>V4</t>
        </is>
      </c>
      <c r="AL272" t="n">
        <v>20260211</v>
      </c>
      <c r="AM272" t="inlineStr">
        <is>
          <t>DW68-900004153-D247-10000388-4</t>
        </is>
      </c>
    </row>
    <row r="273">
      <c r="A273" t="inlineStr">
        <is>
          <t>900004153DW68D04210004258</t>
        </is>
      </c>
      <c r="B273" t="inlineStr">
        <is>
          <t>4600050430-180</t>
        </is>
      </c>
      <c r="C273" t="n">
        <v>4600050430</v>
      </c>
      <c r="D273" t="n">
        <v>180</v>
      </c>
      <c r="E273" t="inlineStr">
        <is>
          <t>MXPO</t>
        </is>
      </c>
      <c r="F273" t="inlineStr">
        <is>
          <t>MXL</t>
        </is>
      </c>
      <c r="G273" t="n">
        <v>900004153</v>
      </c>
      <c r="H273" t="inlineStr">
        <is>
          <t>TC-ED GRAVASE PONCITLAN</t>
        </is>
      </c>
      <c r="I273" t="n">
        <v>5009010</v>
      </c>
      <c r="J273" t="inlineStr">
        <is>
          <t>GRAVASE SA DE CV</t>
        </is>
      </c>
      <c r="K273" t="inlineStr">
        <is>
          <t>Z04</t>
        </is>
      </c>
      <c r="L273" t="inlineStr">
        <is>
          <t>(AP) 30 Dias</t>
        </is>
      </c>
      <c r="M273" t="n">
        <v>10004258</v>
      </c>
      <c r="N273" t="inlineStr">
        <is>
          <t>Sello Triturado Basalto 10 mm - 3/8"</t>
        </is>
      </c>
      <c r="O273" t="inlineStr">
        <is>
          <t>DW68</t>
        </is>
      </c>
      <c r="P273" t="inlineStr">
        <is>
          <t>MX-CED. GUADALAJARA</t>
        </is>
      </c>
      <c r="Q273" t="n">
        <v>20210801</v>
      </c>
      <c r="R273" t="n">
        <v>20291231</v>
      </c>
      <c r="S273" t="n">
        <v>20260201</v>
      </c>
      <c r="T273" t="n">
        <v>20301231</v>
      </c>
      <c r="U273" t="n">
        <v>463.32</v>
      </c>
      <c r="V273" t="inlineStr">
        <is>
          <t>MXN</t>
        </is>
      </c>
      <c r="W273" t="inlineStr">
        <is>
          <t>TN</t>
        </is>
      </c>
      <c r="X273" t="n">
        <v>185.76</v>
      </c>
      <c r="Y273" t="inlineStr">
        <is>
          <t>MXN</t>
        </is>
      </c>
      <c r="Z273" t="inlineStr">
        <is>
          <t>TN</t>
        </is>
      </c>
      <c r="AA273" t="inlineStr">
        <is>
          <t>D042</t>
        </is>
      </c>
      <c r="AB273" t="inlineStr">
        <is>
          <t>PD0406 PLANTA PONIENTE</t>
        </is>
      </c>
      <c r="AC273" t="n">
        <v>56103637</v>
      </c>
      <c r="AD273" t="n">
        <v>6644241540</v>
      </c>
      <c r="AE273" t="n">
        <v>4</v>
      </c>
      <c r="AF273" t="inlineStr">
        <is>
          <t>ENTREGA DIRECTA</t>
        </is>
      </c>
      <c r="AG273" t="n">
        <v>1</v>
      </c>
      <c r="AH273" t="inlineStr">
        <is>
          <t>TO</t>
        </is>
      </c>
      <c r="AI273" t="inlineStr">
        <is>
          <t>X</t>
        </is>
      </c>
      <c r="AJ273" t="n">
        <v>4</v>
      </c>
      <c r="AK273" t="inlineStr">
        <is>
          <t>V4</t>
        </is>
      </c>
      <c r="AL273" t="n">
        <v>20260211</v>
      </c>
      <c r="AM273" t="inlineStr">
        <is>
          <t>DW68-900004153-D042-10004258-4</t>
        </is>
      </c>
    </row>
    <row r="274">
      <c r="A274" t="inlineStr">
        <is>
          <t>900004153DW68D22010000384</t>
        </is>
      </c>
      <c r="B274" t="inlineStr">
        <is>
          <t>4600050430-330</t>
        </is>
      </c>
      <c r="C274" t="n">
        <v>4600050430</v>
      </c>
      <c r="D274" t="n">
        <v>330</v>
      </c>
      <c r="E274" t="inlineStr">
        <is>
          <t>MXPO</t>
        </is>
      </c>
      <c r="F274" t="inlineStr">
        <is>
          <t>MXL</t>
        </is>
      </c>
      <c r="G274" t="n">
        <v>900004153</v>
      </c>
      <c r="H274" t="inlineStr">
        <is>
          <t>TC-ED GRAVASE PONCITLAN</t>
        </is>
      </c>
      <c r="I274" t="n">
        <v>5009010</v>
      </c>
      <c r="J274" t="inlineStr">
        <is>
          <t>GRAVASE SA DE CV</t>
        </is>
      </c>
      <c r="K274" t="inlineStr">
        <is>
          <t>Z04</t>
        </is>
      </c>
      <c r="L274" t="inlineStr">
        <is>
          <t>(AP) 30 Dias</t>
        </is>
      </c>
      <c r="M274" t="n">
        <v>10000384</v>
      </c>
      <c r="N274" t="inlineStr">
        <is>
          <t>Arena Triturada Basalto Malla 4</t>
        </is>
      </c>
      <c r="O274" t="inlineStr">
        <is>
          <t>DW68</t>
        </is>
      </c>
      <c r="P274" t="inlineStr">
        <is>
          <t>MX-CED. GUADALAJARA</t>
        </is>
      </c>
      <c r="Q274" t="n">
        <v>20210801</v>
      </c>
      <c r="R274" t="n">
        <v>20291231</v>
      </c>
      <c r="S274" t="n">
        <v>20260201</v>
      </c>
      <c r="T274" t="n">
        <v>20301231</v>
      </c>
      <c r="U274" t="n">
        <v>345.6</v>
      </c>
      <c r="V274" t="inlineStr">
        <is>
          <t>MXN</t>
        </is>
      </c>
      <c r="W274" t="inlineStr">
        <is>
          <t>TN</t>
        </is>
      </c>
      <c r="X274" t="n">
        <v>151.2</v>
      </c>
      <c r="Y274" t="inlineStr">
        <is>
          <t>MXN</t>
        </is>
      </c>
      <c r="Z274" t="inlineStr">
        <is>
          <t>TN</t>
        </is>
      </c>
      <c r="AA274" t="inlineStr">
        <is>
          <t>D220</t>
        </is>
      </c>
      <c r="AB274" t="inlineStr">
        <is>
          <t>PD0131 TEPATITLAN</t>
        </is>
      </c>
      <c r="AC274" t="n">
        <v>56103638</v>
      </c>
      <c r="AD274" t="n">
        <v>6644241540</v>
      </c>
      <c r="AE274" t="n">
        <v>4</v>
      </c>
      <c r="AF274" t="inlineStr">
        <is>
          <t>ENTREGA DIRECTA</t>
        </is>
      </c>
      <c r="AG274" t="n">
        <v>1</v>
      </c>
      <c r="AH274" t="inlineStr">
        <is>
          <t>TO</t>
        </is>
      </c>
      <c r="AI274" t="inlineStr">
        <is>
          <t>X</t>
        </is>
      </c>
      <c r="AJ274" t="n">
        <v>4</v>
      </c>
      <c r="AK274" t="inlineStr">
        <is>
          <t>V4</t>
        </is>
      </c>
      <c r="AL274" t="n">
        <v>20260211</v>
      </c>
      <c r="AM274" t="inlineStr">
        <is>
          <t>DW68-900004153-D220-10000384-4</t>
        </is>
      </c>
    </row>
    <row r="275">
      <c r="A275" t="inlineStr">
        <is>
          <t>900004153DW68D04210000191</t>
        </is>
      </c>
      <c r="B275" t="inlineStr">
        <is>
          <t>4600050430-410</t>
        </is>
      </c>
      <c r="C275" t="n">
        <v>4600050430</v>
      </c>
      <c r="D275" t="n">
        <v>410</v>
      </c>
      <c r="E275" t="inlineStr">
        <is>
          <t>MXPO</t>
        </is>
      </c>
      <c r="F275" t="inlineStr">
        <is>
          <t>MXL</t>
        </is>
      </c>
      <c r="G275" t="n">
        <v>900004153</v>
      </c>
      <c r="H275" t="inlineStr">
        <is>
          <t>TC-ED GRAVASE PONCITLAN</t>
        </is>
      </c>
      <c r="I275" t="n">
        <v>5009010</v>
      </c>
      <c r="J275" t="inlineStr">
        <is>
          <t>GRAVASE SA DE CV</t>
        </is>
      </c>
      <c r="K275" t="inlineStr">
        <is>
          <t>Z04</t>
        </is>
      </c>
      <c r="L275" t="inlineStr">
        <is>
          <t>(AP) 30 Dias</t>
        </is>
      </c>
      <c r="M275" t="n">
        <v>10000191</v>
      </c>
      <c r="N275" t="inlineStr">
        <is>
          <t>Grava Triturada Basalto 20 mm - 3/4"</t>
        </is>
      </c>
      <c r="O275" t="inlineStr">
        <is>
          <t>DW68</t>
        </is>
      </c>
      <c r="P275" t="inlineStr">
        <is>
          <t>MX-CED. GUADALAJARA</t>
        </is>
      </c>
      <c r="Q275" t="n">
        <v>20210801</v>
      </c>
      <c r="R275" t="n">
        <v>20291231</v>
      </c>
      <c r="S275" t="n">
        <v>20260201</v>
      </c>
      <c r="T275" t="n">
        <v>20301231</v>
      </c>
      <c r="U275" t="n">
        <v>365.04</v>
      </c>
      <c r="V275" t="inlineStr">
        <is>
          <t>MXN</t>
        </is>
      </c>
      <c r="W275" t="inlineStr">
        <is>
          <t>TN</t>
        </is>
      </c>
      <c r="X275" t="n">
        <v>194.4</v>
      </c>
      <c r="Y275" t="inlineStr">
        <is>
          <t>MXN</t>
        </is>
      </c>
      <c r="Z275" t="inlineStr">
        <is>
          <t>TN</t>
        </is>
      </c>
      <c r="AA275" t="inlineStr">
        <is>
          <t>D042</t>
        </is>
      </c>
      <c r="AB275" t="inlineStr">
        <is>
          <t>PD0406 PLANTA PONIENTE</t>
        </is>
      </c>
      <c r="AC275" t="n">
        <v>56103637</v>
      </c>
      <c r="AD275" t="n">
        <v>6644241540</v>
      </c>
      <c r="AE275" t="n">
        <v>4</v>
      </c>
      <c r="AF275" t="inlineStr">
        <is>
          <t>ENTREGA DIRECTA</t>
        </is>
      </c>
      <c r="AG275" t="n">
        <v>1</v>
      </c>
      <c r="AH275" t="inlineStr">
        <is>
          <t>TO</t>
        </is>
      </c>
      <c r="AI275" t="inlineStr">
        <is>
          <t>X</t>
        </is>
      </c>
      <c r="AJ275" t="n">
        <v>4</v>
      </c>
      <c r="AK275" t="inlineStr">
        <is>
          <t>V4</t>
        </is>
      </c>
      <c r="AL275" t="n">
        <v>20260211</v>
      </c>
      <c r="AM275" t="inlineStr">
        <is>
          <t>DW68-900004153-D042-10000191-4</t>
        </is>
      </c>
    </row>
    <row r="276">
      <c r="A276" t="inlineStr">
        <is>
          <t>900004065DW68D22810000320</t>
        </is>
      </c>
      <c r="B276" t="inlineStr">
        <is>
          <t>4600050428-80</t>
        </is>
      </c>
      <c r="C276" t="n">
        <v>4600050428</v>
      </c>
      <c r="D276" t="n">
        <v>80</v>
      </c>
      <c r="E276" t="inlineStr">
        <is>
          <t>MXPO</t>
        </is>
      </c>
      <c r="F276" t="inlineStr">
        <is>
          <t>MXL</t>
        </is>
      </c>
      <c r="G276" t="n">
        <v>900004065</v>
      </c>
      <c r="H276" t="inlineStr">
        <is>
          <t>TC-ED CALIDRA</t>
        </is>
      </c>
      <c r="I276" t="n">
        <v>5002756</v>
      </c>
      <c r="J276" t="inlineStr">
        <is>
          <t>CALIDRA DE OCCIDENTE SA DE CV</t>
        </is>
      </c>
      <c r="K276" t="inlineStr">
        <is>
          <t>Z07</t>
        </is>
      </c>
      <c r="L276" t="inlineStr">
        <is>
          <t>(AP) 60 Dias</t>
        </is>
      </c>
      <c r="M276" t="n">
        <v>10000320</v>
      </c>
      <c r="N276" t="inlineStr">
        <is>
          <t>Arena Triturada Caliza Malla 4</t>
        </is>
      </c>
      <c r="O276" t="inlineStr">
        <is>
          <t>DW68</t>
        </is>
      </c>
      <c r="P276" t="inlineStr">
        <is>
          <t>MX-CED. GUADALAJARA</t>
        </is>
      </c>
      <c r="Q276" t="n">
        <v>20210801</v>
      </c>
      <c r="R276" t="n">
        <v>20281231</v>
      </c>
      <c r="S276" t="n">
        <v>20260201</v>
      </c>
      <c r="T276" t="n">
        <v>20301231</v>
      </c>
      <c r="U276" t="n">
        <v>257.7</v>
      </c>
      <c r="V276" t="inlineStr">
        <is>
          <t>MXN</t>
        </is>
      </c>
      <c r="W276" t="inlineStr">
        <is>
          <t>TN</t>
        </is>
      </c>
      <c r="X276" t="n">
        <v>148.5</v>
      </c>
      <c r="Y276" t="inlineStr">
        <is>
          <t>MXN</t>
        </is>
      </c>
      <c r="Z276" t="inlineStr">
        <is>
          <t>TN</t>
        </is>
      </c>
      <c r="AA276" t="inlineStr">
        <is>
          <t>D228</t>
        </is>
      </c>
      <c r="AB276" t="inlineStr">
        <is>
          <t>PD0123 TLAJOMULCO</t>
        </is>
      </c>
      <c r="AC276" t="n">
        <v>56103638</v>
      </c>
      <c r="AD276" t="n">
        <v>6644241540</v>
      </c>
      <c r="AE276" t="n">
        <v>4</v>
      </c>
      <c r="AF276" t="inlineStr">
        <is>
          <t>ENTREGA DIRECTA</t>
        </is>
      </c>
      <c r="AG276" t="n">
        <v>1</v>
      </c>
      <c r="AH276" t="inlineStr">
        <is>
          <t>TO</t>
        </is>
      </c>
      <c r="AI276" t="inlineStr">
        <is>
          <t>X</t>
        </is>
      </c>
      <c r="AJ276" t="n">
        <v>4</v>
      </c>
      <c r="AK276" t="inlineStr">
        <is>
          <t>V4</t>
        </is>
      </c>
      <c r="AL276" t="n">
        <v>20260204</v>
      </c>
      <c r="AM276" t="inlineStr">
        <is>
          <t>DW68-900004065-D228-10000320-4</t>
        </is>
      </c>
    </row>
    <row r="277">
      <c r="A277" t="inlineStr">
        <is>
          <t>900004065DW68D26410031878</t>
        </is>
      </c>
      <c r="B277" t="inlineStr">
        <is>
          <t>4600050428-220</t>
        </is>
      </c>
      <c r="C277" t="n">
        <v>4600050428</v>
      </c>
      <c r="D277" t="n">
        <v>220</v>
      </c>
      <c r="E277" t="inlineStr">
        <is>
          <t>MXPO</t>
        </is>
      </c>
      <c r="F277" t="inlineStr">
        <is>
          <t>MXL</t>
        </is>
      </c>
      <c r="G277" t="n">
        <v>900004065</v>
      </c>
      <c r="H277" t="inlineStr">
        <is>
          <t>TC-ED CALIDRA</t>
        </is>
      </c>
      <c r="I277" t="n">
        <v>5002756</v>
      </c>
      <c r="J277" t="inlineStr">
        <is>
          <t>CALIDRA DE OCCIDENTE SA DE CV</t>
        </is>
      </c>
      <c r="K277" t="inlineStr">
        <is>
          <t>Z07</t>
        </is>
      </c>
      <c r="L277" t="inlineStr">
        <is>
          <t>(AP) 60 Dias</t>
        </is>
      </c>
      <c r="M277" t="n">
        <v>10031878</v>
      </c>
      <c r="N277" t="inlineStr">
        <is>
          <t>Grava Triturada Caliza 20 mm - 3/4"</t>
        </is>
      </c>
      <c r="O277" t="inlineStr">
        <is>
          <t>DW68</t>
        </is>
      </c>
      <c r="P277" t="inlineStr">
        <is>
          <t>MX-CED. GUADALAJARA</t>
        </is>
      </c>
      <c r="Q277" t="n">
        <v>20210801</v>
      </c>
      <c r="R277" t="n">
        <v>20281231</v>
      </c>
      <c r="S277" t="n">
        <v>20260201</v>
      </c>
      <c r="T277" t="n">
        <v>20301231</v>
      </c>
      <c r="U277" t="n">
        <v>284.62</v>
      </c>
      <c r="V277" t="inlineStr">
        <is>
          <t>MXN</t>
        </is>
      </c>
      <c r="W277" t="inlineStr">
        <is>
          <t>TN</t>
        </is>
      </c>
      <c r="X277" t="n">
        <v>180.62</v>
      </c>
      <c r="Y277" t="inlineStr">
        <is>
          <t>MXN</t>
        </is>
      </c>
      <c r="Z277" t="inlineStr">
        <is>
          <t>TN</t>
        </is>
      </c>
      <c r="AA277" t="inlineStr">
        <is>
          <t>D264</t>
        </is>
      </c>
      <c r="AB277" t="inlineStr">
        <is>
          <t>PD0083 GUADALAJARA I III</t>
        </is>
      </c>
      <c r="AC277" t="n">
        <v>56103637</v>
      </c>
      <c r="AD277" t="n">
        <v>6644241540</v>
      </c>
      <c r="AE277" t="n">
        <v>4</v>
      </c>
      <c r="AF277" t="inlineStr">
        <is>
          <t>ENTREGA DIRECTA</t>
        </is>
      </c>
      <c r="AG277" t="n">
        <v>1</v>
      </c>
      <c r="AH277" t="inlineStr">
        <is>
          <t>TO</t>
        </is>
      </c>
      <c r="AI277" t="inlineStr">
        <is>
          <t>X</t>
        </is>
      </c>
      <c r="AJ277" t="n">
        <v>4</v>
      </c>
      <c r="AK277" t="inlineStr">
        <is>
          <t>V4</t>
        </is>
      </c>
      <c r="AL277" t="n">
        <v>20260204</v>
      </c>
      <c r="AM277" t="inlineStr">
        <is>
          <t>DW68-900004065-D264-10031878-4</t>
        </is>
      </c>
    </row>
    <row r="278">
      <c r="A278" t="inlineStr">
        <is>
          <t>900004065DW68D20910031878</t>
        </is>
      </c>
      <c r="B278" t="inlineStr">
        <is>
          <t>4600050428-150</t>
        </is>
      </c>
      <c r="C278" t="n">
        <v>4600050428</v>
      </c>
      <c r="D278" t="n">
        <v>150</v>
      </c>
      <c r="E278" t="inlineStr">
        <is>
          <t>MXPO</t>
        </is>
      </c>
      <c r="F278" t="inlineStr">
        <is>
          <t>MXL</t>
        </is>
      </c>
      <c r="G278" t="n">
        <v>900004065</v>
      </c>
      <c r="H278" t="inlineStr">
        <is>
          <t>TC-ED CALIDRA</t>
        </is>
      </c>
      <c r="I278" t="n">
        <v>5002756</v>
      </c>
      <c r="J278" t="inlineStr">
        <is>
          <t>CALIDRA DE OCCIDENTE SA DE CV</t>
        </is>
      </c>
      <c r="K278" t="inlineStr">
        <is>
          <t>Z07</t>
        </is>
      </c>
      <c r="L278" t="inlineStr">
        <is>
          <t>(AP) 60 Dias</t>
        </is>
      </c>
      <c r="M278" t="n">
        <v>10031878</v>
      </c>
      <c r="N278" t="inlineStr">
        <is>
          <t>Grava Triturada Caliza 20 mm - 3/4"</t>
        </is>
      </c>
      <c r="O278" t="inlineStr">
        <is>
          <t>DW68</t>
        </is>
      </c>
      <c r="P278" t="inlineStr">
        <is>
          <t>MX-CED. GUADALAJARA</t>
        </is>
      </c>
      <c r="Q278" t="n">
        <v>20210801</v>
      </c>
      <c r="R278" t="n">
        <v>20281231</v>
      </c>
      <c r="S278" t="n">
        <v>20260201</v>
      </c>
      <c r="T278" t="n">
        <v>20301231</v>
      </c>
      <c r="U278" t="n">
        <v>284.62</v>
      </c>
      <c r="V278" t="inlineStr">
        <is>
          <t>MXN</t>
        </is>
      </c>
      <c r="W278" t="inlineStr">
        <is>
          <t>TN</t>
        </is>
      </c>
      <c r="X278" t="n">
        <v>180.62</v>
      </c>
      <c r="Y278" t="inlineStr">
        <is>
          <t>MXN</t>
        </is>
      </c>
      <c r="Z278" t="inlineStr">
        <is>
          <t>TN</t>
        </is>
      </c>
      <c r="AA278" t="inlineStr">
        <is>
          <t>D209</t>
        </is>
      </c>
      <c r="AB278" t="inlineStr">
        <is>
          <t>PD0127 MANANTIAL</t>
        </is>
      </c>
      <c r="AC278" t="n">
        <v>56103637</v>
      </c>
      <c r="AD278" t="n">
        <v>6644241540</v>
      </c>
      <c r="AE278" t="n">
        <v>4</v>
      </c>
      <c r="AF278" t="inlineStr">
        <is>
          <t>ENTREGA DIRECTA</t>
        </is>
      </c>
      <c r="AG278" t="n">
        <v>1</v>
      </c>
      <c r="AH278" t="inlineStr">
        <is>
          <t>TO</t>
        </is>
      </c>
      <c r="AI278" t="inlineStr">
        <is>
          <t>X</t>
        </is>
      </c>
      <c r="AJ278" t="n">
        <v>4</v>
      </c>
      <c r="AK278" t="inlineStr">
        <is>
          <t>V4</t>
        </is>
      </c>
      <c r="AL278" t="n">
        <v>20260204</v>
      </c>
      <c r="AM278" t="inlineStr">
        <is>
          <t>DW68-900004065-D209-10031878-4</t>
        </is>
      </c>
    </row>
    <row r="279">
      <c r="A279" t="inlineStr">
        <is>
          <t>900004065DW68D04210031878</t>
        </is>
      </c>
      <c r="B279" t="inlineStr">
        <is>
          <t>4600050428-130</t>
        </is>
      </c>
      <c r="C279" t="n">
        <v>4600050428</v>
      </c>
      <c r="D279" t="n">
        <v>130</v>
      </c>
      <c r="E279" t="inlineStr">
        <is>
          <t>MXPO</t>
        </is>
      </c>
      <c r="F279" t="inlineStr">
        <is>
          <t>MXL</t>
        </is>
      </c>
      <c r="G279" t="n">
        <v>900004065</v>
      </c>
      <c r="H279" t="inlineStr">
        <is>
          <t>TC-ED CALIDRA</t>
        </is>
      </c>
      <c r="I279" t="n">
        <v>5002756</v>
      </c>
      <c r="J279" t="inlineStr">
        <is>
          <t>CALIDRA DE OCCIDENTE SA DE CV</t>
        </is>
      </c>
      <c r="K279" t="inlineStr">
        <is>
          <t>Z07</t>
        </is>
      </c>
      <c r="L279" t="inlineStr">
        <is>
          <t>(AP) 60 Dias</t>
        </is>
      </c>
      <c r="M279" t="n">
        <v>10031878</v>
      </c>
      <c r="N279" t="inlineStr">
        <is>
          <t>Grava Triturada Caliza 20 mm - 3/4"</t>
        </is>
      </c>
      <c r="O279" t="inlineStr">
        <is>
          <t>DW68</t>
        </is>
      </c>
      <c r="P279" t="inlineStr">
        <is>
          <t>MX-CED. GUADALAJARA</t>
        </is>
      </c>
      <c r="Q279" t="n">
        <v>20210801</v>
      </c>
      <c r="R279" t="n">
        <v>20281231</v>
      </c>
      <c r="S279" t="n">
        <v>20260201</v>
      </c>
      <c r="T279" t="n">
        <v>20301231</v>
      </c>
      <c r="U279" t="n">
        <v>284.62</v>
      </c>
      <c r="V279" t="inlineStr">
        <is>
          <t>MXN</t>
        </is>
      </c>
      <c r="W279" t="inlineStr">
        <is>
          <t>TN</t>
        </is>
      </c>
      <c r="X279" t="n">
        <v>180.62</v>
      </c>
      <c r="Y279" t="inlineStr">
        <is>
          <t>MXN</t>
        </is>
      </c>
      <c r="Z279" t="inlineStr">
        <is>
          <t>TN</t>
        </is>
      </c>
      <c r="AA279" t="inlineStr">
        <is>
          <t>D042</t>
        </is>
      </c>
      <c r="AB279" t="inlineStr">
        <is>
          <t>PD0406 PLANTA PONIENTE</t>
        </is>
      </c>
      <c r="AC279" t="n">
        <v>56103637</v>
      </c>
      <c r="AD279" t="n">
        <v>6644241540</v>
      </c>
      <c r="AE279" t="n">
        <v>4</v>
      </c>
      <c r="AF279" t="inlineStr">
        <is>
          <t>ENTREGA DIRECTA</t>
        </is>
      </c>
      <c r="AG279" t="n">
        <v>1</v>
      </c>
      <c r="AH279" t="inlineStr">
        <is>
          <t>TO</t>
        </is>
      </c>
      <c r="AI279" t="inlineStr">
        <is>
          <t>X</t>
        </is>
      </c>
      <c r="AJ279" t="n">
        <v>4</v>
      </c>
      <c r="AK279" t="inlineStr">
        <is>
          <t>V4</t>
        </is>
      </c>
      <c r="AL279" t="n">
        <v>20260204</v>
      </c>
      <c r="AM279" t="inlineStr">
        <is>
          <t>DW68-900004065-D042-10031878-4</t>
        </is>
      </c>
    </row>
    <row r="280">
      <c r="A280" t="inlineStr">
        <is>
          <t>900004153DW68D25110004258</t>
        </is>
      </c>
      <c r="B280" t="inlineStr">
        <is>
          <t>4600050430-200</t>
        </is>
      </c>
      <c r="C280" t="n">
        <v>4600050430</v>
      </c>
      <c r="D280" t="n">
        <v>200</v>
      </c>
      <c r="E280" t="inlineStr">
        <is>
          <t>MXPO</t>
        </is>
      </c>
      <c r="F280" t="inlineStr">
        <is>
          <t>MXL</t>
        </is>
      </c>
      <c r="G280" t="n">
        <v>900004153</v>
      </c>
      <c r="H280" t="inlineStr">
        <is>
          <t>TC-ED GRAVASE PONCITLAN</t>
        </is>
      </c>
      <c r="I280" t="n">
        <v>5009010</v>
      </c>
      <c r="J280" t="inlineStr">
        <is>
          <t>GRAVASE SA DE CV</t>
        </is>
      </c>
      <c r="K280" t="inlineStr">
        <is>
          <t>Z04</t>
        </is>
      </c>
      <c r="L280" t="inlineStr">
        <is>
          <t>(AP) 30 Dias</t>
        </is>
      </c>
      <c r="M280" t="n">
        <v>10004258</v>
      </c>
      <c r="N280" t="inlineStr">
        <is>
          <t>Sello Triturado Basalto 10 mm - 3/8"</t>
        </is>
      </c>
      <c r="O280" t="inlineStr">
        <is>
          <t>DW68</t>
        </is>
      </c>
      <c r="P280" t="inlineStr">
        <is>
          <t>MX-CED. GUADALAJARA</t>
        </is>
      </c>
      <c r="Q280" t="n">
        <v>20210801</v>
      </c>
      <c r="R280" t="n">
        <v>20291231</v>
      </c>
      <c r="S280" t="n">
        <v>20260201</v>
      </c>
      <c r="T280" t="n">
        <v>20301231</v>
      </c>
      <c r="U280" t="n">
        <v>422.28</v>
      </c>
      <c r="V280" t="inlineStr">
        <is>
          <t>MXN</t>
        </is>
      </c>
      <c r="W280" t="inlineStr">
        <is>
          <t>TN</t>
        </is>
      </c>
      <c r="X280" t="n">
        <v>144.72</v>
      </c>
      <c r="Y280" t="inlineStr">
        <is>
          <t>MXN</t>
        </is>
      </c>
      <c r="Z280" t="inlineStr">
        <is>
          <t>TN</t>
        </is>
      </c>
      <c r="AA280" t="inlineStr">
        <is>
          <t>D251</t>
        </is>
      </c>
      <c r="AB280" t="inlineStr">
        <is>
          <t>PD0339 EL SALTO</t>
        </is>
      </c>
      <c r="AC280" t="n">
        <v>56103637</v>
      </c>
      <c r="AD280" t="n">
        <v>6644241540</v>
      </c>
      <c r="AE280" t="n">
        <v>4</v>
      </c>
      <c r="AF280" t="inlineStr">
        <is>
          <t>ENTREGA DIRECTA</t>
        </is>
      </c>
      <c r="AG280" t="n">
        <v>1</v>
      </c>
      <c r="AH280" t="inlineStr">
        <is>
          <t>TO</t>
        </is>
      </c>
      <c r="AI280" t="inlineStr">
        <is>
          <t>X</t>
        </is>
      </c>
      <c r="AJ280" t="n">
        <v>4</v>
      </c>
      <c r="AK280" t="inlineStr">
        <is>
          <t>V4</t>
        </is>
      </c>
      <c r="AL280" t="n">
        <v>20260211</v>
      </c>
      <c r="AM280" t="inlineStr">
        <is>
          <t>DW68-900004153-D251-10004258-4</t>
        </is>
      </c>
    </row>
    <row r="281">
      <c r="A281" t="inlineStr">
        <is>
          <t>900004153DW68D20910000191</t>
        </is>
      </c>
      <c r="B281" t="inlineStr">
        <is>
          <t>4600050430-120</t>
        </is>
      </c>
      <c r="C281" t="n">
        <v>4600050430</v>
      </c>
      <c r="D281" t="n">
        <v>120</v>
      </c>
      <c r="E281" t="inlineStr">
        <is>
          <t>MXPO</t>
        </is>
      </c>
      <c r="F281" t="inlineStr">
        <is>
          <t>MXL</t>
        </is>
      </c>
      <c r="G281" t="n">
        <v>900004153</v>
      </c>
      <c r="H281" t="inlineStr">
        <is>
          <t>TC-ED GRAVASE PONCITLAN</t>
        </is>
      </c>
      <c r="I281" t="n">
        <v>5009010</v>
      </c>
      <c r="J281" t="inlineStr">
        <is>
          <t>GRAVASE SA DE CV</t>
        </is>
      </c>
      <c r="K281" t="inlineStr">
        <is>
          <t>Z04</t>
        </is>
      </c>
      <c r="L281" t="inlineStr">
        <is>
          <t>(AP) 30 Dias</t>
        </is>
      </c>
      <c r="M281" t="n">
        <v>10000191</v>
      </c>
      <c r="N281" t="inlineStr">
        <is>
          <t>Grava Triturada Basalto 20 mm - 3/4"</t>
        </is>
      </c>
      <c r="O281" t="inlineStr">
        <is>
          <t>DW68</t>
        </is>
      </c>
      <c r="P281" t="inlineStr">
        <is>
          <t>MX-CED. GUADALAJARA</t>
        </is>
      </c>
      <c r="Q281" t="n">
        <v>20210801</v>
      </c>
      <c r="R281" t="n">
        <v>20291231</v>
      </c>
      <c r="S281" t="n">
        <v>20260201</v>
      </c>
      <c r="T281" t="n">
        <v>20301231</v>
      </c>
      <c r="U281" t="n">
        <v>336.96</v>
      </c>
      <c r="V281" t="inlineStr">
        <is>
          <t>MXN</t>
        </is>
      </c>
      <c r="W281" t="inlineStr">
        <is>
          <t>TN</t>
        </is>
      </c>
      <c r="X281" t="n">
        <v>166.32</v>
      </c>
      <c r="Y281" t="inlineStr">
        <is>
          <t>MXN</t>
        </is>
      </c>
      <c r="Z281" t="inlineStr">
        <is>
          <t>TN</t>
        </is>
      </c>
      <c r="AA281" t="inlineStr">
        <is>
          <t>D209</t>
        </is>
      </c>
      <c r="AB281" t="inlineStr">
        <is>
          <t>PD0127 MANANTIAL</t>
        </is>
      </c>
      <c r="AC281" t="n">
        <v>56103637</v>
      </c>
      <c r="AD281" t="n">
        <v>6644241540</v>
      </c>
      <c r="AE281" t="n">
        <v>4</v>
      </c>
      <c r="AF281" t="inlineStr">
        <is>
          <t>ENTREGA DIRECTA</t>
        </is>
      </c>
      <c r="AG281" t="n">
        <v>1</v>
      </c>
      <c r="AH281" t="inlineStr">
        <is>
          <t>TO</t>
        </is>
      </c>
      <c r="AI281" t="inlineStr">
        <is>
          <t>X</t>
        </is>
      </c>
      <c r="AJ281" t="n">
        <v>4</v>
      </c>
      <c r="AK281" t="inlineStr">
        <is>
          <t>V4</t>
        </is>
      </c>
      <c r="AL281" t="n">
        <v>20260211</v>
      </c>
      <c r="AM281" t="inlineStr">
        <is>
          <t>DW68-900004153-D209-10000191-4</t>
        </is>
      </c>
    </row>
    <row r="282">
      <c r="A282" t="inlineStr">
        <is>
          <t>900004153DW68D24710000191</t>
        </is>
      </c>
      <c r="B282" t="inlineStr">
        <is>
          <t>4600050430-340</t>
        </is>
      </c>
      <c r="C282" t="n">
        <v>4600050430</v>
      </c>
      <c r="D282" t="n">
        <v>340</v>
      </c>
      <c r="E282" t="inlineStr">
        <is>
          <t>MXPO</t>
        </is>
      </c>
      <c r="F282" t="inlineStr">
        <is>
          <t>MXL</t>
        </is>
      </c>
      <c r="G282" t="n">
        <v>900004153</v>
      </c>
      <c r="H282" t="inlineStr">
        <is>
          <t>TC-ED GRAVASE PONCITLAN</t>
        </is>
      </c>
      <c r="I282" t="n">
        <v>5009010</v>
      </c>
      <c r="J282" t="inlineStr">
        <is>
          <t>GRAVASE SA DE CV</t>
        </is>
      </c>
      <c r="K282" t="inlineStr">
        <is>
          <t>Z04</t>
        </is>
      </c>
      <c r="L282" t="inlineStr">
        <is>
          <t>(AP) 30 Dias</t>
        </is>
      </c>
      <c r="M282" t="n">
        <v>10000191</v>
      </c>
      <c r="N282" t="inlineStr">
        <is>
          <t>Grava Triturada Basalto 20 mm - 3/4"</t>
        </is>
      </c>
      <c r="O282" t="inlineStr">
        <is>
          <t>DW68</t>
        </is>
      </c>
      <c r="P282" t="inlineStr">
        <is>
          <t>MX-CED. GUADALAJARA</t>
        </is>
      </c>
      <c r="Q282" t="n">
        <v>20210801</v>
      </c>
      <c r="R282" t="n">
        <v>20291231</v>
      </c>
      <c r="S282" t="n">
        <v>20260201</v>
      </c>
      <c r="T282" t="n">
        <v>20301231</v>
      </c>
      <c r="U282" t="n">
        <v>356.4</v>
      </c>
      <c r="V282" t="inlineStr">
        <is>
          <t>MXN</t>
        </is>
      </c>
      <c r="W282" t="inlineStr">
        <is>
          <t>TN</t>
        </is>
      </c>
      <c r="X282" t="n">
        <v>185.76</v>
      </c>
      <c r="Y282" t="inlineStr">
        <is>
          <t>MXN</t>
        </is>
      </c>
      <c r="Z282" t="inlineStr">
        <is>
          <t>TN</t>
        </is>
      </c>
      <c r="AA282" t="inlineStr">
        <is>
          <t>D247</t>
        </is>
      </c>
      <c r="AB282" t="inlineStr">
        <is>
          <t>PD0518 TONALA</t>
        </is>
      </c>
      <c r="AC282" t="n">
        <v>56103637</v>
      </c>
      <c r="AD282" t="n">
        <v>6644241540</v>
      </c>
      <c r="AE282" t="n">
        <v>4</v>
      </c>
      <c r="AF282" t="inlineStr">
        <is>
          <t>ENTREGA DIRECTA</t>
        </is>
      </c>
      <c r="AG282" t="n">
        <v>1</v>
      </c>
      <c r="AH282" t="inlineStr">
        <is>
          <t>TO</t>
        </is>
      </c>
      <c r="AI282" t="inlineStr">
        <is>
          <t>X</t>
        </is>
      </c>
      <c r="AJ282" t="n">
        <v>4</v>
      </c>
      <c r="AK282" t="inlineStr">
        <is>
          <t>V4</t>
        </is>
      </c>
      <c r="AL282" t="n">
        <v>20260211</v>
      </c>
      <c r="AM282" t="inlineStr">
        <is>
          <t>DW68-900004153-D247-10000191-4</t>
        </is>
      </c>
    </row>
    <row r="283">
      <c r="A283" t="inlineStr">
        <is>
          <t>900004153DW68D04210000144</t>
        </is>
      </c>
      <c r="B283" t="inlineStr">
        <is>
          <t>4600050430-500</t>
        </is>
      </c>
      <c r="C283" t="n">
        <v>4600050430</v>
      </c>
      <c r="D283" t="n">
        <v>500</v>
      </c>
      <c r="E283" t="inlineStr">
        <is>
          <t>MXPO</t>
        </is>
      </c>
      <c r="F283" t="inlineStr">
        <is>
          <t>MXL</t>
        </is>
      </c>
      <c r="G283" t="n">
        <v>900004153</v>
      </c>
      <c r="H283" t="inlineStr">
        <is>
          <t>TC-ED GRAVASE PONCITLAN</t>
        </is>
      </c>
      <c r="I283" t="n">
        <v>5009010</v>
      </c>
      <c r="J283" t="inlineStr">
        <is>
          <t>GRAVASE SA DE CV</t>
        </is>
      </c>
      <c r="K283" t="inlineStr">
        <is>
          <t>Z04</t>
        </is>
      </c>
      <c r="L283" t="inlineStr">
        <is>
          <t>(AP) 30 Dias</t>
        </is>
      </c>
      <c r="M283" t="n">
        <v>10000144</v>
      </c>
      <c r="N283" t="inlineStr">
        <is>
          <t>Grava Triturada Basalto  13 mm - 1/2"</t>
        </is>
      </c>
      <c r="O283" t="inlineStr">
        <is>
          <t>DW68</t>
        </is>
      </c>
      <c r="P283" t="inlineStr">
        <is>
          <t>MX-CED. GUADALAJARA</t>
        </is>
      </c>
      <c r="Q283" t="n">
        <v>20210801</v>
      </c>
      <c r="R283" t="n">
        <v>20291231</v>
      </c>
      <c r="S283" t="n">
        <v>20260201</v>
      </c>
      <c r="T283" t="n">
        <v>20301231</v>
      </c>
      <c r="U283" t="n">
        <v>517.3200000000001</v>
      </c>
      <c r="V283" t="inlineStr">
        <is>
          <t>MXN</t>
        </is>
      </c>
      <c r="W283" t="inlineStr">
        <is>
          <t>TN</t>
        </is>
      </c>
      <c r="X283" t="n">
        <v>198.72</v>
      </c>
      <c r="Y283" t="inlineStr">
        <is>
          <t>MXN</t>
        </is>
      </c>
      <c r="Z283" t="inlineStr">
        <is>
          <t>TN</t>
        </is>
      </c>
      <c r="AA283" t="inlineStr">
        <is>
          <t>D042</t>
        </is>
      </c>
      <c r="AB283" t="inlineStr">
        <is>
          <t>PD0406 PLANTA PONIENTE</t>
        </is>
      </c>
      <c r="AC283" t="n">
        <v>56103637</v>
      </c>
      <c r="AD283" t="n">
        <v>6644241540</v>
      </c>
      <c r="AE283" t="n">
        <v>4</v>
      </c>
      <c r="AF283" t="inlineStr">
        <is>
          <t>ENTREGA DIRECTA</t>
        </is>
      </c>
      <c r="AG283" t="n">
        <v>1</v>
      </c>
      <c r="AH283" t="inlineStr">
        <is>
          <t>TO</t>
        </is>
      </c>
      <c r="AI283" t="inlineStr">
        <is>
          <t>X</t>
        </is>
      </c>
      <c r="AJ283" t="n">
        <v>4</v>
      </c>
      <c r="AK283" t="inlineStr">
        <is>
          <t>V4</t>
        </is>
      </c>
      <c r="AL283" t="n">
        <v>20260211</v>
      </c>
      <c r="AM283" t="inlineStr">
        <is>
          <t>DW68-900004153-D042-10000144-4</t>
        </is>
      </c>
    </row>
    <row r="284">
      <c r="A284" t="inlineStr">
        <is>
          <t>900004153DW68D26410004258</t>
        </is>
      </c>
      <c r="B284" t="inlineStr">
        <is>
          <t>4600050430-140</t>
        </is>
      </c>
      <c r="C284" t="n">
        <v>4600050430</v>
      </c>
      <c r="D284" t="n">
        <v>140</v>
      </c>
      <c r="E284" t="inlineStr">
        <is>
          <t>MXPO</t>
        </is>
      </c>
      <c r="F284" t="inlineStr">
        <is>
          <t>MXL</t>
        </is>
      </c>
      <c r="G284" t="n">
        <v>900004153</v>
      </c>
      <c r="H284" t="inlineStr">
        <is>
          <t>TC-ED GRAVASE PONCITLAN</t>
        </is>
      </c>
      <c r="I284" t="n">
        <v>5009010</v>
      </c>
      <c r="J284" t="inlineStr">
        <is>
          <t>GRAVASE SA DE CV</t>
        </is>
      </c>
      <c r="K284" t="inlineStr">
        <is>
          <t>Z04</t>
        </is>
      </c>
      <c r="L284" t="inlineStr">
        <is>
          <t>(AP) 30 Dias</t>
        </is>
      </c>
      <c r="M284" t="n">
        <v>10004258</v>
      </c>
      <c r="N284" t="inlineStr">
        <is>
          <t>Sello Triturado Basalto 10 mm - 3/8"</t>
        </is>
      </c>
      <c r="O284" t="inlineStr">
        <is>
          <t>DW68</t>
        </is>
      </c>
      <c r="P284" t="inlineStr">
        <is>
          <t>MX-CED. GUADALAJARA</t>
        </is>
      </c>
      <c r="Q284" t="n">
        <v>20210801</v>
      </c>
      <c r="R284" t="n">
        <v>20291231</v>
      </c>
      <c r="S284" t="n">
        <v>20260201</v>
      </c>
      <c r="T284" t="n">
        <v>20301231</v>
      </c>
      <c r="U284" t="n">
        <v>435.24</v>
      </c>
      <c r="V284" t="inlineStr">
        <is>
          <t>MXN</t>
        </is>
      </c>
      <c r="W284" t="inlineStr">
        <is>
          <t>TN</t>
        </is>
      </c>
      <c r="X284" t="n">
        <v>157.68</v>
      </c>
      <c r="Y284" t="inlineStr">
        <is>
          <t>MXN</t>
        </is>
      </c>
      <c r="Z284" t="inlineStr">
        <is>
          <t>TN</t>
        </is>
      </c>
      <c r="AA284" t="inlineStr">
        <is>
          <t>D264</t>
        </is>
      </c>
      <c r="AB284" t="inlineStr">
        <is>
          <t>PD0083 GUADALAJARA I III</t>
        </is>
      </c>
      <c r="AC284" t="n">
        <v>56103637</v>
      </c>
      <c r="AD284" t="n">
        <v>6644241540</v>
      </c>
      <c r="AE284" t="n">
        <v>4</v>
      </c>
      <c r="AF284" t="inlineStr">
        <is>
          <t>ENTREGA DIRECTA</t>
        </is>
      </c>
      <c r="AG284" t="n">
        <v>1</v>
      </c>
      <c r="AH284" t="inlineStr">
        <is>
          <t>TO</t>
        </is>
      </c>
      <c r="AI284" t="inlineStr">
        <is>
          <t>X</t>
        </is>
      </c>
      <c r="AJ284" t="n">
        <v>4</v>
      </c>
      <c r="AK284" t="inlineStr">
        <is>
          <t>V4</t>
        </is>
      </c>
      <c r="AL284" t="n">
        <v>20260211</v>
      </c>
      <c r="AM284" t="inlineStr">
        <is>
          <t>DW68-900004153-D264-10004258-4</t>
        </is>
      </c>
    </row>
    <row r="285">
      <c r="A285" t="inlineStr">
        <is>
          <t>900004153DW68D04210000384</t>
        </is>
      </c>
      <c r="B285" t="inlineStr">
        <is>
          <t>4600050430-220</t>
        </is>
      </c>
      <c r="C285" t="n">
        <v>4600050430</v>
      </c>
      <c r="D285" t="n">
        <v>220</v>
      </c>
      <c r="E285" t="inlineStr">
        <is>
          <t>MXPO</t>
        </is>
      </c>
      <c r="F285" t="inlineStr">
        <is>
          <t>MXL</t>
        </is>
      </c>
      <c r="G285" t="n">
        <v>900004153</v>
      </c>
      <c r="H285" t="inlineStr">
        <is>
          <t>TC-ED GRAVASE PONCITLAN</t>
        </is>
      </c>
      <c r="I285" t="n">
        <v>5009010</v>
      </c>
      <c r="J285" t="inlineStr">
        <is>
          <t>GRAVASE SA DE CV</t>
        </is>
      </c>
      <c r="K285" t="inlineStr">
        <is>
          <t>Z04</t>
        </is>
      </c>
      <c r="L285" t="inlineStr">
        <is>
          <t>(AP) 30 Dias</t>
        </is>
      </c>
      <c r="M285" t="n">
        <v>10000384</v>
      </c>
      <c r="N285" t="inlineStr">
        <is>
          <t>Arena Triturada Basalto Malla 4</t>
        </is>
      </c>
      <c r="O285" t="inlineStr">
        <is>
          <t>DW68</t>
        </is>
      </c>
      <c r="P285" t="inlineStr">
        <is>
          <t>MX-CED. GUADALAJARA</t>
        </is>
      </c>
      <c r="Q285" t="n">
        <v>20210801</v>
      </c>
      <c r="R285" t="n">
        <v>20291231</v>
      </c>
      <c r="S285" t="n">
        <v>20260201</v>
      </c>
      <c r="T285" t="n">
        <v>20301231</v>
      </c>
      <c r="U285" t="n">
        <v>367.2</v>
      </c>
      <c r="V285" t="inlineStr">
        <is>
          <t>MXN</t>
        </is>
      </c>
      <c r="W285" t="inlineStr">
        <is>
          <t>TN</t>
        </is>
      </c>
      <c r="X285" t="n">
        <v>172.8</v>
      </c>
      <c r="Y285" t="inlineStr">
        <is>
          <t>MXN</t>
        </is>
      </c>
      <c r="Z285" t="inlineStr">
        <is>
          <t>TN</t>
        </is>
      </c>
      <c r="AA285" t="inlineStr">
        <is>
          <t>D042</t>
        </is>
      </c>
      <c r="AB285" t="inlineStr">
        <is>
          <t>PD0406 PLANTA PONIENTE</t>
        </is>
      </c>
      <c r="AC285" t="n">
        <v>56103638</v>
      </c>
      <c r="AD285" t="n">
        <v>6644241540</v>
      </c>
      <c r="AE285" t="n">
        <v>4</v>
      </c>
      <c r="AF285" t="inlineStr">
        <is>
          <t>ENTREGA DIRECTA</t>
        </is>
      </c>
      <c r="AG285" t="n">
        <v>1</v>
      </c>
      <c r="AH285" t="inlineStr">
        <is>
          <t>TO</t>
        </is>
      </c>
      <c r="AI285" t="inlineStr">
        <is>
          <t>X</t>
        </is>
      </c>
      <c r="AJ285" t="n">
        <v>4</v>
      </c>
      <c r="AK285" t="inlineStr">
        <is>
          <t>V4</t>
        </is>
      </c>
      <c r="AL285" t="n">
        <v>20260211</v>
      </c>
      <c r="AM285" t="inlineStr">
        <is>
          <t>DW68-900004153-D042-10000384-4</t>
        </is>
      </c>
    </row>
    <row r="286">
      <c r="A286" t="inlineStr">
        <is>
          <t>900004065DW68D26810031878</t>
        </is>
      </c>
      <c r="B286" t="inlineStr">
        <is>
          <t>4600050428-230</t>
        </is>
      </c>
      <c r="C286" t="n">
        <v>4600050428</v>
      </c>
      <c r="D286" t="n">
        <v>230</v>
      </c>
      <c r="E286" t="inlineStr">
        <is>
          <t>MXPO</t>
        </is>
      </c>
      <c r="F286" t="inlineStr">
        <is>
          <t>MXL</t>
        </is>
      </c>
      <c r="G286" t="n">
        <v>900004065</v>
      </c>
      <c r="H286" t="inlineStr">
        <is>
          <t>TC-ED CALIDRA</t>
        </is>
      </c>
      <c r="I286" t="n">
        <v>5002756</v>
      </c>
      <c r="J286" t="inlineStr">
        <is>
          <t>CALIDRA DE OCCIDENTE SA DE CV</t>
        </is>
      </c>
      <c r="K286" t="inlineStr">
        <is>
          <t>Z07</t>
        </is>
      </c>
      <c r="L286" t="inlineStr">
        <is>
          <t>(AP) 60 Dias</t>
        </is>
      </c>
      <c r="M286" t="n">
        <v>10031878</v>
      </c>
      <c r="N286" t="inlineStr">
        <is>
          <t>Grava Triturada Caliza 20 mm - 3/4"</t>
        </is>
      </c>
      <c r="O286" t="inlineStr">
        <is>
          <t>DW68</t>
        </is>
      </c>
      <c r="P286" t="inlineStr">
        <is>
          <t>MX-CED. GUADALAJARA</t>
        </is>
      </c>
      <c r="Q286" t="n">
        <v>20210801</v>
      </c>
      <c r="R286" t="n">
        <v>20281231</v>
      </c>
      <c r="S286" t="n">
        <v>20260201</v>
      </c>
      <c r="T286" t="n">
        <v>20301231</v>
      </c>
      <c r="U286" t="n">
        <v>323.44</v>
      </c>
      <c r="V286" t="inlineStr">
        <is>
          <t>MXN</t>
        </is>
      </c>
      <c r="W286" t="inlineStr">
        <is>
          <t>TN</t>
        </is>
      </c>
      <c r="X286" t="n">
        <v>219.44</v>
      </c>
      <c r="Y286" t="inlineStr">
        <is>
          <t>MXN</t>
        </is>
      </c>
      <c r="Z286" t="inlineStr">
        <is>
          <t>TN</t>
        </is>
      </c>
      <c r="AA286" t="inlineStr">
        <is>
          <t>D268</t>
        </is>
      </c>
      <c r="AB286" t="inlineStr">
        <is>
          <t>PD418 AEROPUERTO GDL</t>
        </is>
      </c>
      <c r="AC286" t="n">
        <v>56103637</v>
      </c>
      <c r="AD286" t="n">
        <v>6644241540</v>
      </c>
      <c r="AE286" t="n">
        <v>4</v>
      </c>
      <c r="AF286" t="inlineStr">
        <is>
          <t>ENTREGA DIRECTA</t>
        </is>
      </c>
      <c r="AG286" t="n">
        <v>1</v>
      </c>
      <c r="AH286" t="inlineStr">
        <is>
          <t>TO</t>
        </is>
      </c>
      <c r="AI286" t="inlineStr">
        <is>
          <t>X</t>
        </is>
      </c>
      <c r="AJ286" t="n">
        <v>4</v>
      </c>
      <c r="AK286" t="inlineStr">
        <is>
          <t>V4</t>
        </is>
      </c>
      <c r="AL286" t="n">
        <v>20260204</v>
      </c>
      <c r="AM286" t="inlineStr">
        <is>
          <t>DW68-900004065-D268-10031878-4</t>
        </is>
      </c>
    </row>
    <row r="287">
      <c r="A287" t="inlineStr">
        <is>
          <t>900004065DW68D21110000320</t>
        </is>
      </c>
      <c r="B287" t="inlineStr">
        <is>
          <t>4600050428-10</t>
        </is>
      </c>
      <c r="C287" t="n">
        <v>4600050428</v>
      </c>
      <c r="D287" t="n">
        <v>10</v>
      </c>
      <c r="E287" t="inlineStr">
        <is>
          <t>MXPO</t>
        </is>
      </c>
      <c r="F287" t="inlineStr">
        <is>
          <t>MXL</t>
        </is>
      </c>
      <c r="G287" t="n">
        <v>900004065</v>
      </c>
      <c r="H287" t="inlineStr">
        <is>
          <t>TC-ED CALIDRA</t>
        </is>
      </c>
      <c r="I287" t="n">
        <v>5002756</v>
      </c>
      <c r="J287" t="inlineStr">
        <is>
          <t>CALIDRA DE OCCIDENTE SA DE CV</t>
        </is>
      </c>
      <c r="K287" t="inlineStr">
        <is>
          <t>Z07</t>
        </is>
      </c>
      <c r="L287" t="inlineStr">
        <is>
          <t>(AP) 60 Dias</t>
        </is>
      </c>
      <c r="M287" t="n">
        <v>10000320</v>
      </c>
      <c r="N287" t="inlineStr">
        <is>
          <t>Arena Triturada Caliza Malla 4</t>
        </is>
      </c>
      <c r="O287" t="inlineStr">
        <is>
          <t>DW68</t>
        </is>
      </c>
      <c r="P287" t="inlineStr">
        <is>
          <t>MX-CED. GUADALAJARA</t>
        </is>
      </c>
      <c r="Q287" t="n">
        <v>20210801</v>
      </c>
      <c r="R287" t="n">
        <v>20281231</v>
      </c>
      <c r="S287" t="n">
        <v>20260201</v>
      </c>
      <c r="T287" t="n">
        <v>20301231</v>
      </c>
      <c r="U287" t="n">
        <v>289.82</v>
      </c>
      <c r="V287" t="inlineStr">
        <is>
          <t>MXN</t>
        </is>
      </c>
      <c r="W287" t="inlineStr">
        <is>
          <t>TN</t>
        </is>
      </c>
      <c r="X287" t="n">
        <v>180.62</v>
      </c>
      <c r="Y287" t="inlineStr">
        <is>
          <t>MXN</t>
        </is>
      </c>
      <c r="Z287" t="inlineStr">
        <is>
          <t>TN</t>
        </is>
      </c>
      <c r="AA287" t="inlineStr">
        <is>
          <t>D211</t>
        </is>
      </c>
      <c r="AB287" t="inlineStr">
        <is>
          <t>PD0149 GDL. MATRIZ</t>
        </is>
      </c>
      <c r="AC287" t="n">
        <v>56103638</v>
      </c>
      <c r="AD287" t="n">
        <v>6644241540</v>
      </c>
      <c r="AE287" t="n">
        <v>4</v>
      </c>
      <c r="AF287" t="inlineStr">
        <is>
          <t>ENTREGA DIRECTA</t>
        </is>
      </c>
      <c r="AG287" t="n">
        <v>1</v>
      </c>
      <c r="AH287" t="inlineStr">
        <is>
          <t>TO</t>
        </is>
      </c>
      <c r="AI287" t="inlineStr">
        <is>
          <t>X</t>
        </is>
      </c>
      <c r="AJ287" t="n">
        <v>4</v>
      </c>
      <c r="AK287" t="inlineStr">
        <is>
          <t>V4</t>
        </is>
      </c>
      <c r="AL287" t="n">
        <v>20260204</v>
      </c>
      <c r="AM287" t="inlineStr">
        <is>
          <t>DW68-900004065-D211-10000320-4</t>
        </is>
      </c>
    </row>
    <row r="288">
      <c r="A288" t="inlineStr">
        <is>
          <t>900004153DW68D26410000191</t>
        </is>
      </c>
      <c r="B288" t="inlineStr">
        <is>
          <t>4600050430-260</t>
        </is>
      </c>
      <c r="C288" t="n">
        <v>4600050430</v>
      </c>
      <c r="D288" t="n">
        <v>260</v>
      </c>
      <c r="E288" t="inlineStr">
        <is>
          <t>MXPO</t>
        </is>
      </c>
      <c r="F288" t="inlineStr">
        <is>
          <t>MXL</t>
        </is>
      </c>
      <c r="G288" t="n">
        <v>900004153</v>
      </c>
      <c r="H288" t="inlineStr">
        <is>
          <t>TC-ED GRAVASE PONCITLAN</t>
        </is>
      </c>
      <c r="I288" t="n">
        <v>5009010</v>
      </c>
      <c r="J288" t="inlineStr">
        <is>
          <t>GRAVASE SA DE CV</t>
        </is>
      </c>
      <c r="K288" t="inlineStr">
        <is>
          <t>Z04</t>
        </is>
      </c>
      <c r="L288" t="inlineStr">
        <is>
          <t>(AP) 30 Dias</t>
        </is>
      </c>
      <c r="M288" t="n">
        <v>10000191</v>
      </c>
      <c r="N288" t="inlineStr">
        <is>
          <t>Grava Triturada Basalto 20 mm - 3/4"</t>
        </is>
      </c>
      <c r="O288" t="inlineStr">
        <is>
          <t>DW68</t>
        </is>
      </c>
      <c r="P288" t="inlineStr">
        <is>
          <t>MX-CED. GUADALAJARA</t>
        </is>
      </c>
      <c r="Q288" t="n">
        <v>20210801</v>
      </c>
      <c r="R288" t="n">
        <v>20291231</v>
      </c>
      <c r="S288" t="n">
        <v>20260201</v>
      </c>
      <c r="T288" t="n">
        <v>20301231</v>
      </c>
      <c r="U288" t="n">
        <v>336.96</v>
      </c>
      <c r="V288" t="inlineStr">
        <is>
          <t>MXN</t>
        </is>
      </c>
      <c r="W288" t="inlineStr">
        <is>
          <t>TN</t>
        </is>
      </c>
      <c r="X288" t="n">
        <v>166.32</v>
      </c>
      <c r="Y288" t="inlineStr">
        <is>
          <t>MXN</t>
        </is>
      </c>
      <c r="Z288" t="inlineStr">
        <is>
          <t>TN</t>
        </is>
      </c>
      <c r="AA288" t="inlineStr">
        <is>
          <t>D264</t>
        </is>
      </c>
      <c r="AB288" t="inlineStr">
        <is>
          <t>PD0083 GUADALAJARA I III</t>
        </is>
      </c>
      <c r="AC288" t="n">
        <v>56103637</v>
      </c>
      <c r="AD288" t="n">
        <v>6644241540</v>
      </c>
      <c r="AE288" t="n">
        <v>4</v>
      </c>
      <c r="AF288" t="inlineStr">
        <is>
          <t>ENTREGA DIRECTA</t>
        </is>
      </c>
      <c r="AG288" t="n">
        <v>1</v>
      </c>
      <c r="AH288" t="inlineStr">
        <is>
          <t>TO</t>
        </is>
      </c>
      <c r="AI288" t="inlineStr">
        <is>
          <t>X</t>
        </is>
      </c>
      <c r="AJ288" t="n">
        <v>4</v>
      </c>
      <c r="AK288" t="inlineStr">
        <is>
          <t>V4</t>
        </is>
      </c>
      <c r="AL288" t="n">
        <v>20260211</v>
      </c>
      <c r="AM288" t="inlineStr">
        <is>
          <t>DW68-900004153-D264-10000191-4</t>
        </is>
      </c>
    </row>
    <row r="289">
      <c r="A289" t="inlineStr">
        <is>
          <t>900004153DW68D21110000191</t>
        </is>
      </c>
      <c r="B289" t="inlineStr">
        <is>
          <t>4600050430-190</t>
        </is>
      </c>
      <c r="C289" t="n">
        <v>4600050430</v>
      </c>
      <c r="D289" t="n">
        <v>190</v>
      </c>
      <c r="E289" t="inlineStr">
        <is>
          <t>MXPO</t>
        </is>
      </c>
      <c r="F289" t="inlineStr">
        <is>
          <t>MXL</t>
        </is>
      </c>
      <c r="G289" t="n">
        <v>900004153</v>
      </c>
      <c r="H289" t="inlineStr">
        <is>
          <t>TC-ED GRAVASE PONCITLAN</t>
        </is>
      </c>
      <c r="I289" t="n">
        <v>5009010</v>
      </c>
      <c r="J289" t="inlineStr">
        <is>
          <t>GRAVASE SA DE CV</t>
        </is>
      </c>
      <c r="K289" t="inlineStr">
        <is>
          <t>Z04</t>
        </is>
      </c>
      <c r="L289" t="inlineStr">
        <is>
          <t>(AP) 30 Dias</t>
        </is>
      </c>
      <c r="M289" t="n">
        <v>10000191</v>
      </c>
      <c r="N289" t="inlineStr">
        <is>
          <t>Grava Triturada Basalto 20 mm - 3/4"</t>
        </is>
      </c>
      <c r="O289" t="inlineStr">
        <is>
          <t>DW68</t>
        </is>
      </c>
      <c r="P289" t="inlineStr">
        <is>
          <t>MX-CED. GUADALAJARA</t>
        </is>
      </c>
      <c r="Q289" t="n">
        <v>20210801</v>
      </c>
      <c r="R289" t="n">
        <v>20291231</v>
      </c>
      <c r="S289" t="n">
        <v>20260201</v>
      </c>
      <c r="T289" t="n">
        <v>20301231</v>
      </c>
      <c r="U289" t="n">
        <v>332.64</v>
      </c>
      <c r="V289" t="inlineStr">
        <is>
          <t>MXN</t>
        </is>
      </c>
      <c r="W289" t="inlineStr">
        <is>
          <t>TN</t>
        </is>
      </c>
      <c r="X289" t="n">
        <v>162</v>
      </c>
      <c r="Y289" t="inlineStr">
        <is>
          <t>MXN</t>
        </is>
      </c>
      <c r="Z289" t="inlineStr">
        <is>
          <t>TN</t>
        </is>
      </c>
      <c r="AA289" t="inlineStr">
        <is>
          <t>D211</t>
        </is>
      </c>
      <c r="AB289" t="inlineStr">
        <is>
          <t>PD0149 GDL. MATRIZ</t>
        </is>
      </c>
      <c r="AC289" t="n">
        <v>56103637</v>
      </c>
      <c r="AD289" t="n">
        <v>6644241540</v>
      </c>
      <c r="AE289" t="n">
        <v>4</v>
      </c>
      <c r="AF289" t="inlineStr">
        <is>
          <t>ENTREGA DIRECTA</t>
        </is>
      </c>
      <c r="AG289" t="n">
        <v>1</v>
      </c>
      <c r="AH289" t="inlineStr">
        <is>
          <t>TO</t>
        </is>
      </c>
      <c r="AI289" t="inlineStr">
        <is>
          <t>X</t>
        </is>
      </c>
      <c r="AJ289" t="n">
        <v>4</v>
      </c>
      <c r="AK289" t="inlineStr">
        <is>
          <t>V4</t>
        </is>
      </c>
      <c r="AL289" t="n">
        <v>20260211</v>
      </c>
      <c r="AM289" t="inlineStr">
        <is>
          <t>DW68-900004153-D211-10000191-4</t>
        </is>
      </c>
    </row>
    <row r="290">
      <c r="A290" t="inlineStr">
        <is>
          <t>900004153DW68D26710000384</t>
        </is>
      </c>
      <c r="B290" t="inlineStr">
        <is>
          <t>4600050430-460</t>
        </is>
      </c>
      <c r="C290" t="n">
        <v>4600050430</v>
      </c>
      <c r="D290" t="n">
        <v>460</v>
      </c>
      <c r="E290" t="inlineStr">
        <is>
          <t>MXPO</t>
        </is>
      </c>
      <c r="F290" t="inlineStr">
        <is>
          <t>MXL</t>
        </is>
      </c>
      <c r="G290" t="n">
        <v>900004153</v>
      </c>
      <c r="H290" t="inlineStr">
        <is>
          <t>TC-ED GRAVASE PONCITLAN</t>
        </is>
      </c>
      <c r="I290" t="n">
        <v>5009010</v>
      </c>
      <c r="J290" t="inlineStr">
        <is>
          <t>GRAVASE SA DE CV</t>
        </is>
      </c>
      <c r="K290" t="inlineStr">
        <is>
          <t>Z04</t>
        </is>
      </c>
      <c r="L290" t="inlineStr">
        <is>
          <t>(AP) 30 Dias</t>
        </is>
      </c>
      <c r="M290" t="n">
        <v>10000384</v>
      </c>
      <c r="N290" t="inlineStr">
        <is>
          <t>Arena Triturada Basalto Malla 4</t>
        </is>
      </c>
      <c r="O290" t="inlineStr">
        <is>
          <t>DW68</t>
        </is>
      </c>
      <c r="P290" t="inlineStr">
        <is>
          <t>MX-CED. GUADALAJARA</t>
        </is>
      </c>
      <c r="Q290" t="n">
        <v>20210801</v>
      </c>
      <c r="R290" t="n">
        <v>20291231</v>
      </c>
      <c r="S290" t="n">
        <v>20260201</v>
      </c>
      <c r="T290" t="n">
        <v>20301231</v>
      </c>
      <c r="U290" t="n">
        <v>408.24</v>
      </c>
      <c r="V290" t="inlineStr">
        <is>
          <t>MXN</t>
        </is>
      </c>
      <c r="W290" t="inlineStr">
        <is>
          <t>TN</t>
        </is>
      </c>
      <c r="X290" t="n">
        <v>213.84</v>
      </c>
      <c r="Y290" t="inlineStr">
        <is>
          <t>MXN</t>
        </is>
      </c>
      <c r="Z290" t="inlineStr">
        <is>
          <t>TN</t>
        </is>
      </c>
      <c r="AA290" t="inlineStr">
        <is>
          <t>D267</t>
        </is>
      </c>
      <c r="AB290" t="inlineStr">
        <is>
          <t>PD0280 PLANTA COLOTLAN</t>
        </is>
      </c>
      <c r="AC290" t="n">
        <v>56103638</v>
      </c>
      <c r="AD290" t="n">
        <v>6644241540</v>
      </c>
      <c r="AE290" t="n">
        <v>4</v>
      </c>
      <c r="AF290" t="inlineStr">
        <is>
          <t>ENTREGA DIRECTA</t>
        </is>
      </c>
      <c r="AG290" t="n">
        <v>1</v>
      </c>
      <c r="AH290" t="inlineStr">
        <is>
          <t>TO</t>
        </is>
      </c>
      <c r="AI290" t="inlineStr">
        <is>
          <t>X</t>
        </is>
      </c>
      <c r="AJ290" t="n">
        <v>4</v>
      </c>
      <c r="AK290" t="inlineStr">
        <is>
          <t>V4</t>
        </is>
      </c>
      <c r="AL290" t="n">
        <v>20260211</v>
      </c>
      <c r="AM290" t="inlineStr">
        <is>
          <t>DW68-900004153-D267-10000384-4</t>
        </is>
      </c>
    </row>
    <row r="291">
      <c r="A291" t="inlineStr">
        <is>
          <t>900004153DW68D24710000384</t>
        </is>
      </c>
      <c r="B291" t="inlineStr">
        <is>
          <t>4600050430-80</t>
        </is>
      </c>
      <c r="C291" t="n">
        <v>4600050430</v>
      </c>
      <c r="D291" t="n">
        <v>80</v>
      </c>
      <c r="E291" t="inlineStr">
        <is>
          <t>MXPO</t>
        </is>
      </c>
      <c r="F291" t="inlineStr">
        <is>
          <t>MXL</t>
        </is>
      </c>
      <c r="G291" t="n">
        <v>900004153</v>
      </c>
      <c r="H291" t="inlineStr">
        <is>
          <t>TC-ED GRAVASE PONCITLAN</t>
        </is>
      </c>
      <c r="I291" t="n">
        <v>5009010</v>
      </c>
      <c r="J291" t="inlineStr">
        <is>
          <t>GRAVASE SA DE CV</t>
        </is>
      </c>
      <c r="K291" t="inlineStr">
        <is>
          <t>Z04</t>
        </is>
      </c>
      <c r="L291" t="inlineStr">
        <is>
          <t>(AP) 30 Dias</t>
        </is>
      </c>
      <c r="M291" t="n">
        <v>10000384</v>
      </c>
      <c r="N291" t="inlineStr">
        <is>
          <t>Arena Triturada Basalto Malla 4</t>
        </is>
      </c>
      <c r="O291" t="inlineStr">
        <is>
          <t>DW68</t>
        </is>
      </c>
      <c r="P291" t="inlineStr">
        <is>
          <t>MX-CED. GUADALAJARA</t>
        </is>
      </c>
      <c r="Q291" t="n">
        <v>20210801</v>
      </c>
      <c r="R291" t="n">
        <v>20291231</v>
      </c>
      <c r="S291" t="n">
        <v>20260201</v>
      </c>
      <c r="T291" t="n">
        <v>20301231</v>
      </c>
      <c r="U291" t="n">
        <v>360.72</v>
      </c>
      <c r="V291" t="inlineStr">
        <is>
          <t>MXN</t>
        </is>
      </c>
      <c r="W291" t="inlineStr">
        <is>
          <t>TN</t>
        </is>
      </c>
      <c r="X291" t="n">
        <v>166.32</v>
      </c>
      <c r="Y291" t="inlineStr">
        <is>
          <t>MXN</t>
        </is>
      </c>
      <c r="Z291" t="inlineStr">
        <is>
          <t>TN</t>
        </is>
      </c>
      <c r="AA291" t="inlineStr">
        <is>
          <t>D247</t>
        </is>
      </c>
      <c r="AB291" t="inlineStr">
        <is>
          <t>PD0518 TONALA</t>
        </is>
      </c>
      <c r="AC291" t="n">
        <v>56103638</v>
      </c>
      <c r="AD291" t="n">
        <v>6644241540</v>
      </c>
      <c r="AE291" t="n">
        <v>4</v>
      </c>
      <c r="AF291" t="inlineStr">
        <is>
          <t>ENTREGA DIRECTA</t>
        </is>
      </c>
      <c r="AG291" t="n">
        <v>1</v>
      </c>
      <c r="AH291" t="inlineStr">
        <is>
          <t>TO</t>
        </is>
      </c>
      <c r="AI291" t="inlineStr">
        <is>
          <t>X</t>
        </is>
      </c>
      <c r="AJ291" t="n">
        <v>4</v>
      </c>
      <c r="AK291" t="inlineStr">
        <is>
          <t>V4</t>
        </is>
      </c>
      <c r="AL291" t="n">
        <v>20260211</v>
      </c>
      <c r="AM291" t="inlineStr">
        <is>
          <t>DW68-900004153-D247-10000384-4</t>
        </is>
      </c>
    </row>
    <row r="292">
      <c r="A292" t="inlineStr">
        <is>
          <t>900004153DW68D26410000388</t>
        </is>
      </c>
      <c r="B292" t="inlineStr">
        <is>
          <t>4600050430-20</t>
        </is>
      </c>
      <c r="C292" t="n">
        <v>4600050430</v>
      </c>
      <c r="D292" t="n">
        <v>20</v>
      </c>
      <c r="E292" t="inlineStr">
        <is>
          <t>MXPO</t>
        </is>
      </c>
      <c r="F292" t="inlineStr">
        <is>
          <t>MXL</t>
        </is>
      </c>
      <c r="G292" t="n">
        <v>900004153</v>
      </c>
      <c r="H292" t="inlineStr">
        <is>
          <t>TC-ED GRAVASE PONCITLAN</t>
        </is>
      </c>
      <c r="I292" t="n">
        <v>5009010</v>
      </c>
      <c r="J292" t="inlineStr">
        <is>
          <t>GRAVASE SA DE CV</t>
        </is>
      </c>
      <c r="K292" t="inlineStr">
        <is>
          <t>Z04</t>
        </is>
      </c>
      <c r="L292" t="inlineStr">
        <is>
          <t>(AP) 30 Dias</t>
        </is>
      </c>
      <c r="M292" t="n">
        <v>10000388</v>
      </c>
      <c r="N292" t="inlineStr">
        <is>
          <t>Grava Triturada Basalto  40 mm - 1 1/2"</t>
        </is>
      </c>
      <c r="O292" t="inlineStr">
        <is>
          <t>DW68</t>
        </is>
      </c>
      <c r="P292" t="inlineStr">
        <is>
          <t>MX-CED. GUADALAJARA</t>
        </is>
      </c>
      <c r="Q292" t="n">
        <v>20210801</v>
      </c>
      <c r="R292" t="n">
        <v>20291231</v>
      </c>
      <c r="S292" t="n">
        <v>20260201</v>
      </c>
      <c r="T292" t="n">
        <v>20301231</v>
      </c>
      <c r="U292" t="n">
        <v>343.44</v>
      </c>
      <c r="V292" t="inlineStr">
        <is>
          <t>MXN</t>
        </is>
      </c>
      <c r="W292" t="inlineStr">
        <is>
          <t>TN</t>
        </is>
      </c>
      <c r="X292" t="n">
        <v>172.8</v>
      </c>
      <c r="Y292" t="inlineStr">
        <is>
          <t>MXN</t>
        </is>
      </c>
      <c r="Z292" t="inlineStr">
        <is>
          <t>TN</t>
        </is>
      </c>
      <c r="AA292" t="inlineStr">
        <is>
          <t>D264</t>
        </is>
      </c>
      <c r="AB292" t="inlineStr">
        <is>
          <t>PD0083 GUADALAJARA I III</t>
        </is>
      </c>
      <c r="AC292" t="n">
        <v>56103637</v>
      </c>
      <c r="AD292" t="n">
        <v>6644241540</v>
      </c>
      <c r="AE292" t="n">
        <v>4</v>
      </c>
      <c r="AF292" t="inlineStr">
        <is>
          <t>ENTREGA DIRECTA</t>
        </is>
      </c>
      <c r="AG292" t="n">
        <v>1</v>
      </c>
      <c r="AH292" t="inlineStr">
        <is>
          <t>TO</t>
        </is>
      </c>
      <c r="AI292" t="inlineStr">
        <is>
          <t>X</t>
        </is>
      </c>
      <c r="AJ292" t="n">
        <v>4</v>
      </c>
      <c r="AK292" t="inlineStr">
        <is>
          <t>V4</t>
        </is>
      </c>
      <c r="AL292" t="n">
        <v>20260211</v>
      </c>
      <c r="AM292" t="inlineStr">
        <is>
          <t>DW68-900004153-D264-10000388-4</t>
        </is>
      </c>
    </row>
    <row r="293">
      <c r="A293" t="inlineStr">
        <is>
          <t>900004153DW68D21110000384</t>
        </is>
      </c>
      <c r="B293" t="inlineStr">
        <is>
          <t>4600050430-370</t>
        </is>
      </c>
      <c r="C293" t="n">
        <v>4600050430</v>
      </c>
      <c r="D293" t="n">
        <v>370</v>
      </c>
      <c r="E293" t="inlineStr">
        <is>
          <t>MXPO</t>
        </is>
      </c>
      <c r="F293" t="inlineStr">
        <is>
          <t>MXL</t>
        </is>
      </c>
      <c r="G293" t="n">
        <v>900004153</v>
      </c>
      <c r="H293" t="inlineStr">
        <is>
          <t>TC-ED GRAVASE PONCITLAN</t>
        </is>
      </c>
      <c r="I293" t="n">
        <v>5009010</v>
      </c>
      <c r="J293" t="inlineStr">
        <is>
          <t>GRAVASE SA DE CV</t>
        </is>
      </c>
      <c r="K293" t="inlineStr">
        <is>
          <t>Z04</t>
        </is>
      </c>
      <c r="L293" t="inlineStr">
        <is>
          <t>(AP) 30 Dias</t>
        </is>
      </c>
      <c r="M293" t="n">
        <v>10000384</v>
      </c>
      <c r="N293" t="inlineStr">
        <is>
          <t>Arena Triturada Basalto Malla 4</t>
        </is>
      </c>
      <c r="O293" t="inlineStr">
        <is>
          <t>DW68</t>
        </is>
      </c>
      <c r="P293" t="inlineStr">
        <is>
          <t>MX-CED. GUADALAJARA</t>
        </is>
      </c>
      <c r="Q293" t="n">
        <v>20210801</v>
      </c>
      <c r="R293" t="n">
        <v>20291231</v>
      </c>
      <c r="S293" t="n">
        <v>20260201</v>
      </c>
      <c r="T293" t="n">
        <v>20301231</v>
      </c>
      <c r="U293" t="n">
        <v>339.12</v>
      </c>
      <c r="V293" t="inlineStr">
        <is>
          <t>MXN</t>
        </is>
      </c>
      <c r="W293" t="inlineStr">
        <is>
          <t>TN</t>
        </is>
      </c>
      <c r="X293" t="n">
        <v>144.72</v>
      </c>
      <c r="Y293" t="inlineStr">
        <is>
          <t>MXN</t>
        </is>
      </c>
      <c r="Z293" t="inlineStr">
        <is>
          <t>TN</t>
        </is>
      </c>
      <c r="AA293" t="inlineStr">
        <is>
          <t>D211</t>
        </is>
      </c>
      <c r="AB293" t="inlineStr">
        <is>
          <t>PD0149 GDL. MATRIZ</t>
        </is>
      </c>
      <c r="AC293" t="n">
        <v>56103638</v>
      </c>
      <c r="AD293" t="n">
        <v>6644241540</v>
      </c>
      <c r="AE293" t="n">
        <v>4</v>
      </c>
      <c r="AF293" t="inlineStr">
        <is>
          <t>ENTREGA DIRECTA</t>
        </is>
      </c>
      <c r="AG293" t="n">
        <v>1</v>
      </c>
      <c r="AH293" t="inlineStr">
        <is>
          <t>TO</t>
        </is>
      </c>
      <c r="AI293" t="inlineStr">
        <is>
          <t>X</t>
        </is>
      </c>
      <c r="AJ293" t="n">
        <v>4</v>
      </c>
      <c r="AK293" t="inlineStr">
        <is>
          <t>V4</t>
        </is>
      </c>
      <c r="AL293" t="n">
        <v>20260211</v>
      </c>
      <c r="AM293" t="inlineStr">
        <is>
          <t>DW68-900004153-D211-10000384-4</t>
        </is>
      </c>
    </row>
    <row r="294">
      <c r="A294" t="inlineStr">
        <is>
          <t>900004065DW68D24210000320</t>
        </is>
      </c>
      <c r="B294" t="inlineStr">
        <is>
          <t>4600050428-70</t>
        </is>
      </c>
      <c r="C294" t="n">
        <v>4600050428</v>
      </c>
      <c r="D294" t="n">
        <v>70</v>
      </c>
      <c r="E294" t="inlineStr">
        <is>
          <t>MXPO</t>
        </is>
      </c>
      <c r="F294" t="inlineStr">
        <is>
          <t>MXL</t>
        </is>
      </c>
      <c r="G294" t="n">
        <v>900004065</v>
      </c>
      <c r="H294" t="inlineStr">
        <is>
          <t>TC-ED CALIDRA</t>
        </is>
      </c>
      <c r="I294" t="n">
        <v>5002756</v>
      </c>
      <c r="J294" t="inlineStr">
        <is>
          <t>CALIDRA DE OCCIDENTE SA DE CV</t>
        </is>
      </c>
      <c r="K294" t="inlineStr">
        <is>
          <t>Z07</t>
        </is>
      </c>
      <c r="L294" t="inlineStr">
        <is>
          <t>(AP) 60 Dias</t>
        </is>
      </c>
      <c r="M294" t="n">
        <v>10000320</v>
      </c>
      <c r="N294" t="inlineStr">
        <is>
          <t>Arena Triturada Caliza Malla 4</t>
        </is>
      </c>
      <c r="O294" t="inlineStr">
        <is>
          <t>DW68</t>
        </is>
      </c>
      <c r="P294" t="inlineStr">
        <is>
          <t>MX-CED. GUADALAJARA</t>
        </is>
      </c>
      <c r="Q294" t="n">
        <v>20210801</v>
      </c>
      <c r="R294" t="n">
        <v>20281231</v>
      </c>
      <c r="S294" t="n">
        <v>20260201</v>
      </c>
      <c r="T294" t="n">
        <v>20301231</v>
      </c>
      <c r="U294" t="n">
        <v>289.82</v>
      </c>
      <c r="V294" t="inlineStr">
        <is>
          <t>MXN</t>
        </is>
      </c>
      <c r="W294" t="inlineStr">
        <is>
          <t>TN</t>
        </is>
      </c>
      <c r="X294" t="n">
        <v>180.62</v>
      </c>
      <c r="Y294" t="inlineStr">
        <is>
          <t>MXN</t>
        </is>
      </c>
      <c r="Z294" t="inlineStr">
        <is>
          <t>TN</t>
        </is>
      </c>
      <c r="AA294" t="inlineStr">
        <is>
          <t>D242</t>
        </is>
      </c>
      <c r="AB294" t="inlineStr">
        <is>
          <t>PD0454 CD. LA GRANJA II</t>
        </is>
      </c>
      <c r="AC294" t="n">
        <v>56103638</v>
      </c>
      <c r="AD294" t="n">
        <v>6644241540</v>
      </c>
      <c r="AE294" t="n">
        <v>4</v>
      </c>
      <c r="AF294" t="inlineStr">
        <is>
          <t>ENTREGA DIRECTA</t>
        </is>
      </c>
      <c r="AG294" t="n">
        <v>1</v>
      </c>
      <c r="AH294" t="inlineStr">
        <is>
          <t>TO</t>
        </is>
      </c>
      <c r="AI294" t="inlineStr">
        <is>
          <t>X</t>
        </is>
      </c>
      <c r="AJ294" t="n">
        <v>4</v>
      </c>
      <c r="AK294" t="inlineStr">
        <is>
          <t>V4</t>
        </is>
      </c>
      <c r="AL294" t="n">
        <v>20260204</v>
      </c>
      <c r="AM294" t="inlineStr">
        <is>
          <t>DW68-900004065-D242-10000320-4</t>
        </is>
      </c>
    </row>
    <row r="295">
      <c r="A295" t="inlineStr">
        <is>
          <t>900004153DW68D24710004258</t>
        </is>
      </c>
      <c r="B295" t="inlineStr">
        <is>
          <t>4600050430-30</t>
        </is>
      </c>
      <c r="C295" t="n">
        <v>4600050430</v>
      </c>
      <c r="D295" t="n">
        <v>30</v>
      </c>
      <c r="E295" t="inlineStr">
        <is>
          <t>MXPO</t>
        </is>
      </c>
      <c r="F295" t="inlineStr">
        <is>
          <t>MXL</t>
        </is>
      </c>
      <c r="G295" t="n">
        <v>900004153</v>
      </c>
      <c r="H295" t="inlineStr">
        <is>
          <t>TC-ED GRAVASE PONCITLAN</t>
        </is>
      </c>
      <c r="I295" t="n">
        <v>5009010</v>
      </c>
      <c r="J295" t="inlineStr">
        <is>
          <t>GRAVASE SA DE CV</t>
        </is>
      </c>
      <c r="K295" t="inlineStr">
        <is>
          <t>Z04</t>
        </is>
      </c>
      <c r="L295" t="inlineStr">
        <is>
          <t>(AP) 30 Dias</t>
        </is>
      </c>
      <c r="M295" t="n">
        <v>10004258</v>
      </c>
      <c r="N295" t="inlineStr">
        <is>
          <t>Sello Triturado Basalto 10 mm - 3/8"</t>
        </is>
      </c>
      <c r="O295" t="inlineStr">
        <is>
          <t>DW68</t>
        </is>
      </c>
      <c r="P295" t="inlineStr">
        <is>
          <t>MX-CED. GUADALAJARA</t>
        </is>
      </c>
      <c r="Q295" t="n">
        <v>20210801</v>
      </c>
      <c r="R295" t="n">
        <v>20291231</v>
      </c>
      <c r="S295" t="n">
        <v>20260201</v>
      </c>
      <c r="T295" t="n">
        <v>20301231</v>
      </c>
      <c r="U295" t="n">
        <v>454.68</v>
      </c>
      <c r="V295" t="inlineStr">
        <is>
          <t>MXN</t>
        </is>
      </c>
      <c r="W295" t="inlineStr">
        <is>
          <t>TN</t>
        </is>
      </c>
      <c r="X295" t="n">
        <v>177.12</v>
      </c>
      <c r="Y295" t="inlineStr">
        <is>
          <t>MXN</t>
        </is>
      </c>
      <c r="Z295" t="inlineStr">
        <is>
          <t>TN</t>
        </is>
      </c>
      <c r="AA295" t="inlineStr">
        <is>
          <t>D247</t>
        </is>
      </c>
      <c r="AB295" t="inlineStr">
        <is>
          <t>PD0518 TONALA</t>
        </is>
      </c>
      <c r="AC295" t="n">
        <v>56103637</v>
      </c>
      <c r="AD295" t="n">
        <v>6644241540</v>
      </c>
      <c r="AE295" t="n">
        <v>4</v>
      </c>
      <c r="AF295" t="inlineStr">
        <is>
          <t>ENTREGA DIRECTA</t>
        </is>
      </c>
      <c r="AG295" t="n">
        <v>1</v>
      </c>
      <c r="AH295" t="inlineStr">
        <is>
          <t>TO</t>
        </is>
      </c>
      <c r="AI295" t="inlineStr">
        <is>
          <t>X</t>
        </is>
      </c>
      <c r="AJ295" t="n">
        <v>4</v>
      </c>
      <c r="AK295" t="inlineStr">
        <is>
          <t>V4</t>
        </is>
      </c>
      <c r="AL295" t="n">
        <v>20260211</v>
      </c>
      <c r="AM295" t="inlineStr">
        <is>
          <t>DW68-900004153-D247-10004258-4</t>
        </is>
      </c>
    </row>
    <row r="296">
      <c r="A296" t="inlineStr">
        <is>
          <t>900004153DW68D04210000388</t>
        </is>
      </c>
      <c r="B296" t="inlineStr">
        <is>
          <t>4600050430-490</t>
        </is>
      </c>
      <c r="C296" t="n">
        <v>4600050430</v>
      </c>
      <c r="D296" t="n">
        <v>490</v>
      </c>
      <c r="E296" t="inlineStr">
        <is>
          <t>MXPO</t>
        </is>
      </c>
      <c r="F296" t="inlineStr">
        <is>
          <t>MXL</t>
        </is>
      </c>
      <c r="G296" t="n">
        <v>900004153</v>
      </c>
      <c r="H296" t="inlineStr">
        <is>
          <t>TC-ED GRAVASE PONCITLAN</t>
        </is>
      </c>
      <c r="I296" t="n">
        <v>5009010</v>
      </c>
      <c r="J296" t="inlineStr">
        <is>
          <t>GRAVASE SA DE CV</t>
        </is>
      </c>
      <c r="K296" t="inlineStr">
        <is>
          <t>Z04</t>
        </is>
      </c>
      <c r="L296" t="inlineStr">
        <is>
          <t>(AP) 30 Dias</t>
        </is>
      </c>
      <c r="M296" t="n">
        <v>10000388</v>
      </c>
      <c r="N296" t="inlineStr">
        <is>
          <t>Grava Triturada Basalto  40 mm - 1 1/2"</t>
        </is>
      </c>
      <c r="O296" t="inlineStr">
        <is>
          <t>DW68</t>
        </is>
      </c>
      <c r="P296" t="inlineStr">
        <is>
          <t>MX-CED. GUADALAJARA</t>
        </is>
      </c>
      <c r="Q296" t="n">
        <v>20210801</v>
      </c>
      <c r="R296" t="n">
        <v>20291231</v>
      </c>
      <c r="S296" t="n">
        <v>20260201</v>
      </c>
      <c r="T296" t="n">
        <v>20301231</v>
      </c>
      <c r="U296" t="n">
        <v>373.68</v>
      </c>
      <c r="V296" t="inlineStr">
        <is>
          <t>MXN</t>
        </is>
      </c>
      <c r="W296" t="inlineStr">
        <is>
          <t>TN</t>
        </is>
      </c>
      <c r="X296" t="n">
        <v>203.04</v>
      </c>
      <c r="Y296" t="inlineStr">
        <is>
          <t>MXN</t>
        </is>
      </c>
      <c r="Z296" t="inlineStr">
        <is>
          <t>TN</t>
        </is>
      </c>
      <c r="AA296" t="inlineStr">
        <is>
          <t>D042</t>
        </is>
      </c>
      <c r="AB296" t="inlineStr">
        <is>
          <t>PD0406 PLANTA PONIENTE</t>
        </is>
      </c>
      <c r="AC296" t="n">
        <v>56103637</v>
      </c>
      <c r="AD296" t="n">
        <v>6644241540</v>
      </c>
      <c r="AE296" t="n">
        <v>4</v>
      </c>
      <c r="AF296" t="inlineStr">
        <is>
          <t>ENTREGA DIRECTA</t>
        </is>
      </c>
      <c r="AG296" t="n">
        <v>1</v>
      </c>
      <c r="AH296" t="inlineStr">
        <is>
          <t>TO</t>
        </is>
      </c>
      <c r="AI296" t="inlineStr">
        <is>
          <t>X</t>
        </is>
      </c>
      <c r="AJ296" t="n">
        <v>4</v>
      </c>
      <c r="AK296" t="inlineStr">
        <is>
          <t>V4</t>
        </is>
      </c>
      <c r="AL296" t="n">
        <v>20260211</v>
      </c>
      <c r="AM296" t="inlineStr">
        <is>
          <t>DW68-900004153-D042-10000388-4</t>
        </is>
      </c>
    </row>
    <row r="297">
      <c r="A297" t="inlineStr">
        <is>
          <t>900004153DW68D22810000384</t>
        </is>
      </c>
      <c r="B297" t="inlineStr">
        <is>
          <t>4600050430-270</t>
        </is>
      </c>
      <c r="C297" t="n">
        <v>4600050430</v>
      </c>
      <c r="D297" t="n">
        <v>270</v>
      </c>
      <c r="E297" t="inlineStr">
        <is>
          <t>MXPO</t>
        </is>
      </c>
      <c r="F297" t="inlineStr">
        <is>
          <t>MXL</t>
        </is>
      </c>
      <c r="G297" t="n">
        <v>900004153</v>
      </c>
      <c r="H297" t="inlineStr">
        <is>
          <t>TC-ED GRAVASE PONCITLAN</t>
        </is>
      </c>
      <c r="I297" t="n">
        <v>5009010</v>
      </c>
      <c r="J297" t="inlineStr">
        <is>
          <t>GRAVASE SA DE CV</t>
        </is>
      </c>
      <c r="K297" t="inlineStr">
        <is>
          <t>Z04</t>
        </is>
      </c>
      <c r="L297" t="inlineStr">
        <is>
          <t>(AP) 30 Dias</t>
        </is>
      </c>
      <c r="M297" t="n">
        <v>10000384</v>
      </c>
      <c r="N297" t="inlineStr">
        <is>
          <t>Arena Triturada Basalto Malla 4</t>
        </is>
      </c>
      <c r="O297" t="inlineStr">
        <is>
          <t>DW68</t>
        </is>
      </c>
      <c r="P297" t="inlineStr">
        <is>
          <t>MX-CED. GUADALAJARA</t>
        </is>
      </c>
      <c r="Q297" t="n">
        <v>20210801</v>
      </c>
      <c r="R297" t="n">
        <v>20291231</v>
      </c>
      <c r="S297" t="n">
        <v>20260201</v>
      </c>
      <c r="T297" t="n">
        <v>20301231</v>
      </c>
      <c r="U297" t="n">
        <v>375.84</v>
      </c>
      <c r="V297" t="inlineStr">
        <is>
          <t>MXN</t>
        </is>
      </c>
      <c r="W297" t="inlineStr">
        <is>
          <t>TN</t>
        </is>
      </c>
      <c r="X297" t="n">
        <v>181.44</v>
      </c>
      <c r="Y297" t="inlineStr">
        <is>
          <t>MXN</t>
        </is>
      </c>
      <c r="Z297" t="inlineStr">
        <is>
          <t>TN</t>
        </is>
      </c>
      <c r="AA297" t="inlineStr">
        <is>
          <t>D228</t>
        </is>
      </c>
      <c r="AB297" t="inlineStr">
        <is>
          <t>PD0123 TLAJOMULCO</t>
        </is>
      </c>
      <c r="AC297" t="n">
        <v>56103638</v>
      </c>
      <c r="AD297" t="n">
        <v>6644241540</v>
      </c>
      <c r="AE297" t="n">
        <v>4</v>
      </c>
      <c r="AF297" t="inlineStr">
        <is>
          <t>ENTREGA DIRECTA</t>
        </is>
      </c>
      <c r="AG297" t="n">
        <v>1</v>
      </c>
      <c r="AH297" t="inlineStr">
        <is>
          <t>TO</t>
        </is>
      </c>
      <c r="AI297" t="inlineStr">
        <is>
          <t>X</t>
        </is>
      </c>
      <c r="AJ297" t="n">
        <v>4</v>
      </c>
      <c r="AK297" t="inlineStr">
        <is>
          <t>V4</t>
        </is>
      </c>
      <c r="AL297" t="n">
        <v>20260211</v>
      </c>
      <c r="AM297" t="inlineStr">
        <is>
          <t>DW68-900004153-D228-10000384-4</t>
        </is>
      </c>
    </row>
    <row r="298">
      <c r="A298" t="inlineStr">
        <is>
          <t>900004153DW68D20910000384</t>
        </is>
      </c>
      <c r="B298" t="inlineStr">
        <is>
          <t>4600050430-360</t>
        </is>
      </c>
      <c r="C298" t="n">
        <v>4600050430</v>
      </c>
      <c r="D298" t="n">
        <v>360</v>
      </c>
      <c r="E298" t="inlineStr">
        <is>
          <t>MXPO</t>
        </is>
      </c>
      <c r="F298" t="inlineStr">
        <is>
          <t>MXL</t>
        </is>
      </c>
      <c r="G298" t="n">
        <v>900004153</v>
      </c>
      <c r="H298" t="inlineStr">
        <is>
          <t>TC-ED GRAVASE PONCITLAN</t>
        </is>
      </c>
      <c r="I298" t="n">
        <v>5009010</v>
      </c>
      <c r="J298" t="inlineStr">
        <is>
          <t>GRAVASE SA DE CV</t>
        </is>
      </c>
      <c r="K298" t="inlineStr">
        <is>
          <t>Z04</t>
        </is>
      </c>
      <c r="L298" t="inlineStr">
        <is>
          <t>(AP) 30 Dias</t>
        </is>
      </c>
      <c r="M298" t="n">
        <v>10000384</v>
      </c>
      <c r="N298" t="inlineStr">
        <is>
          <t>Arena Triturada Basalto Malla 4</t>
        </is>
      </c>
      <c r="O298" t="inlineStr">
        <is>
          <t>DW68</t>
        </is>
      </c>
      <c r="P298" t="inlineStr">
        <is>
          <t>MX-CED. GUADALAJARA</t>
        </is>
      </c>
      <c r="Q298" t="n">
        <v>20210801</v>
      </c>
      <c r="R298" t="n">
        <v>20291231</v>
      </c>
      <c r="S298" t="n">
        <v>20260201</v>
      </c>
      <c r="T298" t="n">
        <v>20301231</v>
      </c>
      <c r="U298" t="n">
        <v>343.44</v>
      </c>
      <c r="V298" t="inlineStr">
        <is>
          <t>MXN</t>
        </is>
      </c>
      <c r="W298" t="inlineStr">
        <is>
          <t>TN</t>
        </is>
      </c>
      <c r="X298" t="n">
        <v>149.04</v>
      </c>
      <c r="Y298" t="inlineStr">
        <is>
          <t>MXN</t>
        </is>
      </c>
      <c r="Z298" t="inlineStr">
        <is>
          <t>TN</t>
        </is>
      </c>
      <c r="AA298" t="inlineStr">
        <is>
          <t>D209</t>
        </is>
      </c>
      <c r="AB298" t="inlineStr">
        <is>
          <t>PD0127 MANANTIAL</t>
        </is>
      </c>
      <c r="AC298" t="n">
        <v>56103638</v>
      </c>
      <c r="AD298" t="n">
        <v>6644241540</v>
      </c>
      <c r="AE298" t="n">
        <v>4</v>
      </c>
      <c r="AF298" t="inlineStr">
        <is>
          <t>ENTREGA DIRECTA</t>
        </is>
      </c>
      <c r="AG298" t="n">
        <v>1</v>
      </c>
      <c r="AH298" t="inlineStr">
        <is>
          <t>TO</t>
        </is>
      </c>
      <c r="AI298" t="inlineStr">
        <is>
          <t>X</t>
        </is>
      </c>
      <c r="AJ298" t="n">
        <v>4</v>
      </c>
      <c r="AK298" t="inlineStr">
        <is>
          <t>V4</t>
        </is>
      </c>
      <c r="AL298" t="n">
        <v>20260211</v>
      </c>
      <c r="AM298" t="inlineStr">
        <is>
          <t>DW68-900004153-D209-10000384-4</t>
        </is>
      </c>
    </row>
    <row r="299">
      <c r="A299" t="inlineStr">
        <is>
          <t>900004153DW68D24210000388</t>
        </is>
      </c>
      <c r="B299" t="inlineStr">
        <is>
          <t>4600050430-430</t>
        </is>
      </c>
      <c r="C299" t="n">
        <v>4600050430</v>
      </c>
      <c r="D299" t="n">
        <v>430</v>
      </c>
      <c r="E299" t="inlineStr">
        <is>
          <t>MXPO</t>
        </is>
      </c>
      <c r="F299" t="inlineStr">
        <is>
          <t>MXL</t>
        </is>
      </c>
      <c r="G299" t="n">
        <v>900004153</v>
      </c>
      <c r="H299" t="inlineStr">
        <is>
          <t>TC-ED GRAVASE PONCITLAN</t>
        </is>
      </c>
      <c r="I299" t="n">
        <v>5009010</v>
      </c>
      <c r="J299" t="inlineStr">
        <is>
          <t>GRAVASE SA DE CV</t>
        </is>
      </c>
      <c r="K299" t="inlineStr">
        <is>
          <t>Z04</t>
        </is>
      </c>
      <c r="L299" t="inlineStr">
        <is>
          <t>(AP) 30 Dias</t>
        </is>
      </c>
      <c r="M299" t="n">
        <v>10000388</v>
      </c>
      <c r="N299" t="inlineStr">
        <is>
          <t>Grava Triturada Basalto  40 mm - 1 1/2"</t>
        </is>
      </c>
      <c r="O299" t="inlineStr">
        <is>
          <t>DW68</t>
        </is>
      </c>
      <c r="P299" t="inlineStr">
        <is>
          <t>MX-CED. GUADALAJARA</t>
        </is>
      </c>
      <c r="Q299" t="n">
        <v>20210801</v>
      </c>
      <c r="R299" t="n">
        <v>20291231</v>
      </c>
      <c r="S299" t="n">
        <v>20260201</v>
      </c>
      <c r="T299" t="n">
        <v>20301231</v>
      </c>
      <c r="U299" t="n">
        <v>371.52</v>
      </c>
      <c r="V299" t="inlineStr">
        <is>
          <t>MXN</t>
        </is>
      </c>
      <c r="W299" t="inlineStr">
        <is>
          <t>TN</t>
        </is>
      </c>
      <c r="X299" t="n">
        <v>200.88</v>
      </c>
      <c r="Y299" t="inlineStr">
        <is>
          <t>MXN</t>
        </is>
      </c>
      <c r="Z299" t="inlineStr">
        <is>
          <t>TN</t>
        </is>
      </c>
      <c r="AA299" t="inlineStr">
        <is>
          <t>D242</t>
        </is>
      </c>
      <c r="AB299" t="inlineStr">
        <is>
          <t>PD0454 CD. LA GRANJA II</t>
        </is>
      </c>
      <c r="AC299" t="n">
        <v>56103637</v>
      </c>
      <c r="AD299" t="n">
        <v>6644241540</v>
      </c>
      <c r="AE299" t="n">
        <v>4</v>
      </c>
      <c r="AF299" t="inlineStr">
        <is>
          <t>ENTREGA DIRECTA</t>
        </is>
      </c>
      <c r="AG299" t="n">
        <v>1</v>
      </c>
      <c r="AH299" t="inlineStr">
        <is>
          <t>TO</t>
        </is>
      </c>
      <c r="AI299" t="inlineStr">
        <is>
          <t>X</t>
        </is>
      </c>
      <c r="AJ299" t="n">
        <v>4</v>
      </c>
      <c r="AK299" t="inlineStr">
        <is>
          <t>V4</t>
        </is>
      </c>
      <c r="AL299" t="n">
        <v>20260211</v>
      </c>
      <c r="AM299" t="inlineStr">
        <is>
          <t>DW68-900004153-D242-10000388-4</t>
        </is>
      </c>
    </row>
    <row r="300">
      <c r="A300" t="inlineStr">
        <is>
          <t>900004065DW68D24710031878</t>
        </is>
      </c>
      <c r="B300" t="inlineStr">
        <is>
          <t>4600050428-200</t>
        </is>
      </c>
      <c r="C300" t="n">
        <v>4600050428</v>
      </c>
      <c r="D300" t="n">
        <v>200</v>
      </c>
      <c r="E300" t="inlineStr">
        <is>
          <t>MXPO</t>
        </is>
      </c>
      <c r="F300" t="inlineStr">
        <is>
          <t>MXL</t>
        </is>
      </c>
      <c r="G300" t="n">
        <v>900004065</v>
      </c>
      <c r="H300" t="inlineStr">
        <is>
          <t>TC-ED CALIDRA</t>
        </is>
      </c>
      <c r="I300" t="n">
        <v>5002756</v>
      </c>
      <c r="J300" t="inlineStr">
        <is>
          <t>CALIDRA DE OCCIDENTE SA DE CV</t>
        </is>
      </c>
      <c r="K300" t="inlineStr">
        <is>
          <t>Z07</t>
        </is>
      </c>
      <c r="L300" t="inlineStr">
        <is>
          <t>(AP) 60 Dias</t>
        </is>
      </c>
      <c r="M300" t="n">
        <v>10031878</v>
      </c>
      <c r="N300" t="inlineStr">
        <is>
          <t>Grava Triturada Caliza 20 mm - 3/4"</t>
        </is>
      </c>
      <c r="O300" t="inlineStr">
        <is>
          <t>DW68</t>
        </is>
      </c>
      <c r="P300" t="inlineStr">
        <is>
          <t>MX-CED. GUADALAJARA</t>
        </is>
      </c>
      <c r="Q300" t="n">
        <v>20210801</v>
      </c>
      <c r="R300" t="n">
        <v>20281231</v>
      </c>
      <c r="S300" t="n">
        <v>20260201</v>
      </c>
      <c r="T300" t="n">
        <v>20301231</v>
      </c>
      <c r="U300" t="n">
        <v>310.62</v>
      </c>
      <c r="V300" t="inlineStr">
        <is>
          <t>MXN</t>
        </is>
      </c>
      <c r="W300" t="inlineStr">
        <is>
          <t>TN</t>
        </is>
      </c>
      <c r="X300" t="n">
        <v>206.62</v>
      </c>
      <c r="Y300" t="inlineStr">
        <is>
          <t>MXN</t>
        </is>
      </c>
      <c r="Z300" t="inlineStr">
        <is>
          <t>TN</t>
        </is>
      </c>
      <c r="AA300" t="inlineStr">
        <is>
          <t>D247</t>
        </is>
      </c>
      <c r="AB300" t="inlineStr">
        <is>
          <t>PD0518 TONALA</t>
        </is>
      </c>
      <c r="AC300" t="n">
        <v>56103637</v>
      </c>
      <c r="AD300" t="n">
        <v>6644241540</v>
      </c>
      <c r="AE300" t="n">
        <v>4</v>
      </c>
      <c r="AF300" t="inlineStr">
        <is>
          <t>ENTREGA DIRECTA</t>
        </is>
      </c>
      <c r="AG300" t="n">
        <v>1</v>
      </c>
      <c r="AH300" t="inlineStr">
        <is>
          <t>TO</t>
        </is>
      </c>
      <c r="AI300" t="inlineStr">
        <is>
          <t>X</t>
        </is>
      </c>
      <c r="AJ300" t="n">
        <v>4</v>
      </c>
      <c r="AK300" t="inlineStr">
        <is>
          <t>V4</t>
        </is>
      </c>
      <c r="AL300" t="n">
        <v>20260204</v>
      </c>
      <c r="AM300" t="inlineStr">
        <is>
          <t>DW68-900004065-D247-10031878-4</t>
        </is>
      </c>
    </row>
    <row r="301">
      <c r="A301" t="inlineStr">
        <is>
          <t>900004065DW68D20910000320</t>
        </is>
      </c>
      <c r="B301" t="inlineStr">
        <is>
          <t>4600050428-100</t>
        </is>
      </c>
      <c r="C301" t="n">
        <v>4600050428</v>
      </c>
      <c r="D301" t="n">
        <v>100</v>
      </c>
      <c r="E301" t="inlineStr">
        <is>
          <t>MXPO</t>
        </is>
      </c>
      <c r="F301" t="inlineStr">
        <is>
          <t>MXL</t>
        </is>
      </c>
      <c r="G301" t="n">
        <v>900004065</v>
      </c>
      <c r="H301" t="inlineStr">
        <is>
          <t>TC-ED CALIDRA</t>
        </is>
      </c>
      <c r="I301" t="n">
        <v>5002756</v>
      </c>
      <c r="J301" t="inlineStr">
        <is>
          <t>CALIDRA DE OCCIDENTE SA DE CV</t>
        </is>
      </c>
      <c r="K301" t="inlineStr">
        <is>
          <t>Z07</t>
        </is>
      </c>
      <c r="L301" t="inlineStr">
        <is>
          <t>(AP) 60 Dias</t>
        </is>
      </c>
      <c r="M301" t="n">
        <v>10000320</v>
      </c>
      <c r="N301" t="inlineStr">
        <is>
          <t>Arena Triturada Caliza Malla 4</t>
        </is>
      </c>
      <c r="O301" t="inlineStr">
        <is>
          <t>DW68</t>
        </is>
      </c>
      <c r="P301" t="inlineStr">
        <is>
          <t>MX-CED. GUADALAJARA</t>
        </is>
      </c>
      <c r="Q301" t="n">
        <v>20210801</v>
      </c>
      <c r="R301" t="n">
        <v>20281231</v>
      </c>
      <c r="S301" t="n">
        <v>20260201</v>
      </c>
      <c r="T301" t="n">
        <v>20301231</v>
      </c>
      <c r="U301" t="n">
        <v>289.82</v>
      </c>
      <c r="V301" t="inlineStr">
        <is>
          <t>MXN</t>
        </is>
      </c>
      <c r="W301" t="inlineStr">
        <is>
          <t>TN</t>
        </is>
      </c>
      <c r="X301" t="n">
        <v>180.62</v>
      </c>
      <c r="Y301" t="inlineStr">
        <is>
          <t>MXN</t>
        </is>
      </c>
      <c r="Z301" t="inlineStr">
        <is>
          <t>TN</t>
        </is>
      </c>
      <c r="AA301" t="inlineStr">
        <is>
          <t>D209</t>
        </is>
      </c>
      <c r="AB301" t="inlineStr">
        <is>
          <t>PD0127 MANANTIAL</t>
        </is>
      </c>
      <c r="AC301" t="n">
        <v>56103638</v>
      </c>
      <c r="AD301" t="n">
        <v>6644241540</v>
      </c>
      <c r="AE301" t="n">
        <v>4</v>
      </c>
      <c r="AF301" t="inlineStr">
        <is>
          <t>ENTREGA DIRECTA</t>
        </is>
      </c>
      <c r="AG301" t="n">
        <v>1</v>
      </c>
      <c r="AH301" t="inlineStr">
        <is>
          <t>TO</t>
        </is>
      </c>
      <c r="AI301" t="inlineStr">
        <is>
          <t>X</t>
        </is>
      </c>
      <c r="AJ301" t="n">
        <v>4</v>
      </c>
      <c r="AK301" t="inlineStr">
        <is>
          <t>V4</t>
        </is>
      </c>
      <c r="AL301" t="n">
        <v>20260204</v>
      </c>
      <c r="AM301" t="inlineStr">
        <is>
          <t>DW68-900004065-D209-10000320-4</t>
        </is>
      </c>
    </row>
    <row r="302">
      <c r="A302" t="inlineStr">
        <is>
          <t>900004065DW68D21310000320</t>
        </is>
      </c>
      <c r="B302" t="inlineStr">
        <is>
          <t>4600050428-110</t>
        </is>
      </c>
      <c r="C302" t="n">
        <v>4600050428</v>
      </c>
      <c r="D302" t="n">
        <v>110</v>
      </c>
      <c r="E302" t="inlineStr">
        <is>
          <t>MXPO</t>
        </is>
      </c>
      <c r="F302" t="inlineStr">
        <is>
          <t>MXL</t>
        </is>
      </c>
      <c r="G302" t="n">
        <v>900004065</v>
      </c>
      <c r="H302" t="inlineStr">
        <is>
          <t>TC-ED CALIDRA</t>
        </is>
      </c>
      <c r="I302" t="n">
        <v>5002756</v>
      </c>
      <c r="J302" t="inlineStr">
        <is>
          <t>CALIDRA DE OCCIDENTE SA DE CV</t>
        </is>
      </c>
      <c r="K302" t="inlineStr">
        <is>
          <t>Z07</t>
        </is>
      </c>
      <c r="L302" t="inlineStr">
        <is>
          <t>(AP) 60 Dias</t>
        </is>
      </c>
      <c r="M302" t="n">
        <v>10000320</v>
      </c>
      <c r="N302" t="inlineStr">
        <is>
          <t>Arena Triturada Caliza Malla 4</t>
        </is>
      </c>
      <c r="O302" t="inlineStr">
        <is>
          <t>DW68</t>
        </is>
      </c>
      <c r="P302" t="inlineStr">
        <is>
          <t>MX-CED. GUADALAJARA</t>
        </is>
      </c>
      <c r="Q302" t="n">
        <v>20210801</v>
      </c>
      <c r="R302" t="n">
        <v>20281231</v>
      </c>
      <c r="S302" t="n">
        <v>20260201</v>
      </c>
      <c r="T302" t="n">
        <v>20301231</v>
      </c>
      <c r="U302" t="n">
        <v>421.35</v>
      </c>
      <c r="V302" t="inlineStr">
        <is>
          <t>MXN</t>
        </is>
      </c>
      <c r="W302" t="inlineStr">
        <is>
          <t>TN</t>
        </is>
      </c>
      <c r="X302" t="n">
        <v>312.15</v>
      </c>
      <c r="Y302" t="inlineStr">
        <is>
          <t>MXN</t>
        </is>
      </c>
      <c r="Z302" t="inlineStr">
        <is>
          <t>TN</t>
        </is>
      </c>
      <c r="AA302" t="inlineStr">
        <is>
          <t>D213</t>
        </is>
      </c>
      <c r="AB302" t="inlineStr">
        <is>
          <t>PD0154 OCOTLAN</t>
        </is>
      </c>
      <c r="AC302" t="n">
        <v>56103638</v>
      </c>
      <c r="AD302" t="n">
        <v>6644241540</v>
      </c>
      <c r="AE302" t="n">
        <v>4</v>
      </c>
      <c r="AF302" t="inlineStr">
        <is>
          <t>ENTREGA DIRECTA</t>
        </is>
      </c>
      <c r="AG302" t="n">
        <v>1</v>
      </c>
      <c r="AH302" t="inlineStr">
        <is>
          <t>TO</t>
        </is>
      </c>
      <c r="AI302" t="inlineStr">
        <is>
          <t>X</t>
        </is>
      </c>
      <c r="AJ302" t="n">
        <v>4</v>
      </c>
      <c r="AK302" t="inlineStr">
        <is>
          <t>V4</t>
        </is>
      </c>
      <c r="AL302" t="n">
        <v>20260204</v>
      </c>
      <c r="AM302" t="inlineStr">
        <is>
          <t>DW68-900004065-D213-10000320-4</t>
        </is>
      </c>
    </row>
    <row r="303">
      <c r="A303" t="inlineStr">
        <is>
          <t>900004065DW68D17510000320</t>
        </is>
      </c>
      <c r="B303" t="inlineStr">
        <is>
          <t>4600050428-50</t>
        </is>
      </c>
      <c r="C303" t="n">
        <v>4600050428</v>
      </c>
      <c r="D303" t="n">
        <v>50</v>
      </c>
      <c r="E303" t="inlineStr">
        <is>
          <t>MXPO</t>
        </is>
      </c>
      <c r="F303" t="inlineStr">
        <is>
          <t>MXL</t>
        </is>
      </c>
      <c r="G303" t="n">
        <v>900004065</v>
      </c>
      <c r="H303" t="inlineStr">
        <is>
          <t>TC-ED CALIDRA</t>
        </is>
      </c>
      <c r="I303" t="n">
        <v>5002756</v>
      </c>
      <c r="J303" t="inlineStr">
        <is>
          <t>CALIDRA DE OCCIDENTE SA DE CV</t>
        </is>
      </c>
      <c r="K303" t="inlineStr">
        <is>
          <t>Z07</t>
        </is>
      </c>
      <c r="L303" t="inlineStr">
        <is>
          <t>(AP) 60 Dias</t>
        </is>
      </c>
      <c r="M303" t="n">
        <v>10000320</v>
      </c>
      <c r="N303" t="inlineStr">
        <is>
          <t>Arena Triturada Caliza Malla 4</t>
        </is>
      </c>
      <c r="O303" t="inlineStr">
        <is>
          <t>DW68</t>
        </is>
      </c>
      <c r="P303" t="inlineStr">
        <is>
          <t>MX-CED. GUADALAJARA</t>
        </is>
      </c>
      <c r="Q303" t="n">
        <v>20210801</v>
      </c>
      <c r="R303" t="n">
        <v>20281231</v>
      </c>
      <c r="S303" t="n">
        <v>20260201</v>
      </c>
      <c r="T303" t="n">
        <v>20301231</v>
      </c>
      <c r="U303" t="n">
        <v>289.82</v>
      </c>
      <c r="V303" t="inlineStr">
        <is>
          <t>MXN</t>
        </is>
      </c>
      <c r="W303" t="inlineStr">
        <is>
          <t>TN</t>
        </is>
      </c>
      <c r="X303" t="n">
        <v>180.62</v>
      </c>
      <c r="Y303" t="inlineStr">
        <is>
          <t>MXN</t>
        </is>
      </c>
      <c r="Z303" t="inlineStr">
        <is>
          <t>TN</t>
        </is>
      </c>
      <c r="AA303" t="inlineStr">
        <is>
          <t>D175</t>
        </is>
      </c>
      <c r="AB303" t="inlineStr">
        <is>
          <t>PD0494 PLANTA PONIENTE II</t>
        </is>
      </c>
      <c r="AC303" t="n">
        <v>56103638</v>
      </c>
      <c r="AD303" t="n">
        <v>6644241540</v>
      </c>
      <c r="AE303" t="n">
        <v>4</v>
      </c>
      <c r="AF303" t="inlineStr">
        <is>
          <t>ENTREGA DIRECTA</t>
        </is>
      </c>
      <c r="AG303" t="n">
        <v>1</v>
      </c>
      <c r="AH303" t="inlineStr">
        <is>
          <t>TO</t>
        </is>
      </c>
      <c r="AI303" t="inlineStr">
        <is>
          <t>X</t>
        </is>
      </c>
      <c r="AJ303" t="n">
        <v>4</v>
      </c>
      <c r="AK303" t="inlineStr">
        <is>
          <t>V4</t>
        </is>
      </c>
      <c r="AL303" t="n">
        <v>20260204</v>
      </c>
      <c r="AM303" t="inlineStr">
        <is>
          <t>DW68-900004065-D175-10000320-4</t>
        </is>
      </c>
    </row>
    <row r="304">
      <c r="A304" t="inlineStr">
        <is>
          <t>900004065DW68D21110031878</t>
        </is>
      </c>
      <c r="B304" t="inlineStr">
        <is>
          <t>4600050428-160</t>
        </is>
      </c>
      <c r="C304" t="n">
        <v>4600050428</v>
      </c>
      <c r="D304" t="n">
        <v>160</v>
      </c>
      <c r="E304" t="inlineStr">
        <is>
          <t>MXPO</t>
        </is>
      </c>
      <c r="F304" t="inlineStr">
        <is>
          <t>MXL</t>
        </is>
      </c>
      <c r="G304" t="n">
        <v>900004065</v>
      </c>
      <c r="H304" t="inlineStr">
        <is>
          <t>TC-ED CALIDRA</t>
        </is>
      </c>
      <c r="I304" t="n">
        <v>5002756</v>
      </c>
      <c r="J304" t="inlineStr">
        <is>
          <t>CALIDRA DE OCCIDENTE SA DE CV</t>
        </is>
      </c>
      <c r="K304" t="inlineStr">
        <is>
          <t>Z07</t>
        </is>
      </c>
      <c r="L304" t="inlineStr">
        <is>
          <t>(AP) 60 Dias</t>
        </is>
      </c>
      <c r="M304" t="n">
        <v>10031878</v>
      </c>
      <c r="N304" t="inlineStr">
        <is>
          <t>Grava Triturada Caliza 20 mm - 3/4"</t>
        </is>
      </c>
      <c r="O304" t="inlineStr">
        <is>
          <t>DW68</t>
        </is>
      </c>
      <c r="P304" t="inlineStr">
        <is>
          <t>MX-CED. GUADALAJARA</t>
        </is>
      </c>
      <c r="Q304" t="n">
        <v>20210801</v>
      </c>
      <c r="R304" t="n">
        <v>20281231</v>
      </c>
      <c r="S304" t="n">
        <v>20260201</v>
      </c>
      <c r="T304" t="n">
        <v>20301231</v>
      </c>
      <c r="U304" t="n">
        <v>284.62</v>
      </c>
      <c r="V304" t="inlineStr">
        <is>
          <t>MXN</t>
        </is>
      </c>
      <c r="W304" t="inlineStr">
        <is>
          <t>TN</t>
        </is>
      </c>
      <c r="X304" t="n">
        <v>180.62</v>
      </c>
      <c r="Y304" t="inlineStr">
        <is>
          <t>MXN</t>
        </is>
      </c>
      <c r="Z304" t="inlineStr">
        <is>
          <t>TN</t>
        </is>
      </c>
      <c r="AA304" t="inlineStr">
        <is>
          <t>D211</t>
        </is>
      </c>
      <c r="AB304" t="inlineStr">
        <is>
          <t>PD0149 GDL. MATRIZ</t>
        </is>
      </c>
      <c r="AC304" t="n">
        <v>56103637</v>
      </c>
      <c r="AD304" t="n">
        <v>6644241540</v>
      </c>
      <c r="AE304" t="n">
        <v>4</v>
      </c>
      <c r="AF304" t="inlineStr">
        <is>
          <t>ENTREGA DIRECTA</t>
        </is>
      </c>
      <c r="AG304" t="n">
        <v>1</v>
      </c>
      <c r="AH304" t="inlineStr">
        <is>
          <t>TO</t>
        </is>
      </c>
      <c r="AI304" t="inlineStr">
        <is>
          <t>X</t>
        </is>
      </c>
      <c r="AJ304" t="n">
        <v>4</v>
      </c>
      <c r="AK304" t="inlineStr">
        <is>
          <t>V4</t>
        </is>
      </c>
      <c r="AL304" t="n">
        <v>20260204</v>
      </c>
      <c r="AM304" t="inlineStr">
        <is>
          <t>DW68-900004065-D211-10031878-4</t>
        </is>
      </c>
    </row>
    <row r="305">
      <c r="A305" t="inlineStr">
        <is>
          <t>900004065DW68D25110000320</t>
        </is>
      </c>
      <c r="B305" t="inlineStr">
        <is>
          <t>4600050428-30</t>
        </is>
      </c>
      <c r="C305" t="n">
        <v>4600050428</v>
      </c>
      <c r="D305" t="n">
        <v>30</v>
      </c>
      <c r="E305" t="inlineStr">
        <is>
          <t>MXPO</t>
        </is>
      </c>
      <c r="F305" t="inlineStr">
        <is>
          <t>MXL</t>
        </is>
      </c>
      <c r="G305" t="n">
        <v>900004065</v>
      </c>
      <c r="H305" t="inlineStr">
        <is>
          <t>TC-ED CALIDRA</t>
        </is>
      </c>
      <c r="I305" t="n">
        <v>5002756</v>
      </c>
      <c r="J305" t="inlineStr">
        <is>
          <t>CALIDRA DE OCCIDENTE SA DE CV</t>
        </is>
      </c>
      <c r="K305" t="inlineStr">
        <is>
          <t>Z07</t>
        </is>
      </c>
      <c r="L305" t="inlineStr">
        <is>
          <t>(AP) 60 Dias</t>
        </is>
      </c>
      <c r="M305" t="n">
        <v>10000320</v>
      </c>
      <c r="N305" t="inlineStr">
        <is>
          <t>Arena Triturada Caliza Malla 4</t>
        </is>
      </c>
      <c r="O305" t="inlineStr">
        <is>
          <t>DW68</t>
        </is>
      </c>
      <c r="P305" t="inlineStr">
        <is>
          <t>MX-CED. GUADALAJARA</t>
        </is>
      </c>
      <c r="Q305" t="n">
        <v>20210801</v>
      </c>
      <c r="R305" t="n">
        <v>20281231</v>
      </c>
      <c r="S305" t="n">
        <v>20260201</v>
      </c>
      <c r="T305" t="n">
        <v>20301231</v>
      </c>
      <c r="U305" t="n">
        <v>315.82</v>
      </c>
      <c r="V305" t="inlineStr">
        <is>
          <t>MXN</t>
        </is>
      </c>
      <c r="W305" t="inlineStr">
        <is>
          <t>TN</t>
        </is>
      </c>
      <c r="X305" t="n">
        <v>206.62</v>
      </c>
      <c r="Y305" t="inlineStr">
        <is>
          <t>MXN</t>
        </is>
      </c>
      <c r="Z305" t="inlineStr">
        <is>
          <t>TN</t>
        </is>
      </c>
      <c r="AA305" t="inlineStr">
        <is>
          <t>D251</t>
        </is>
      </c>
      <c r="AB305" t="inlineStr">
        <is>
          <t>PD0339 EL SALTO</t>
        </is>
      </c>
      <c r="AC305" t="n">
        <v>56103638</v>
      </c>
      <c r="AD305" t="n">
        <v>6644241540</v>
      </c>
      <c r="AE305" t="n">
        <v>4</v>
      </c>
      <c r="AF305" t="inlineStr">
        <is>
          <t>ENTREGA DIRECTA</t>
        </is>
      </c>
      <c r="AG305" t="n">
        <v>1</v>
      </c>
      <c r="AH305" t="inlineStr">
        <is>
          <t>TO</t>
        </is>
      </c>
      <c r="AI305" t="inlineStr">
        <is>
          <t>X</t>
        </is>
      </c>
      <c r="AJ305" t="n">
        <v>4</v>
      </c>
      <c r="AK305" t="inlineStr">
        <is>
          <t>V4</t>
        </is>
      </c>
      <c r="AL305" t="n">
        <v>20260204</v>
      </c>
      <c r="AM305" t="inlineStr">
        <is>
          <t>DW68-900004065-D251-10000320-4</t>
        </is>
      </c>
    </row>
    <row r="306">
      <c r="A306" t="inlineStr">
        <is>
          <t>900004153DW68D26710000191</t>
        </is>
      </c>
      <c r="B306" t="inlineStr">
        <is>
          <t>4600050430-450</t>
        </is>
      </c>
      <c r="C306" t="n">
        <v>4600050430</v>
      </c>
      <c r="D306" t="n">
        <v>450</v>
      </c>
      <c r="E306" t="inlineStr">
        <is>
          <t>MXPO</t>
        </is>
      </c>
      <c r="F306" t="inlineStr">
        <is>
          <t>MXL</t>
        </is>
      </c>
      <c r="G306" t="n">
        <v>900004153</v>
      </c>
      <c r="H306" t="inlineStr">
        <is>
          <t>TC-ED GRAVASE PONCITLAN</t>
        </is>
      </c>
      <c r="I306" t="n">
        <v>5009010</v>
      </c>
      <c r="J306" t="inlineStr">
        <is>
          <t>GRAVASE SA DE CV</t>
        </is>
      </c>
      <c r="K306" t="inlineStr">
        <is>
          <t>Z04</t>
        </is>
      </c>
      <c r="L306" t="inlineStr">
        <is>
          <t>(AP) 30 Dias</t>
        </is>
      </c>
      <c r="M306" t="n">
        <v>10000191</v>
      </c>
      <c r="N306" t="inlineStr">
        <is>
          <t>Grava Triturada Basalto 20 mm - 3/4"</t>
        </is>
      </c>
      <c r="O306" t="inlineStr">
        <is>
          <t>DW68</t>
        </is>
      </c>
      <c r="P306" t="inlineStr">
        <is>
          <t>MX-CED. GUADALAJARA</t>
        </is>
      </c>
      <c r="Q306" t="n">
        <v>20210801</v>
      </c>
      <c r="R306" t="n">
        <v>20291231</v>
      </c>
      <c r="S306" t="n">
        <v>20260201</v>
      </c>
      <c r="T306" t="n">
        <v>20301231</v>
      </c>
      <c r="U306" t="n">
        <v>410.4</v>
      </c>
      <c r="V306" t="inlineStr">
        <is>
          <t>MXN</t>
        </is>
      </c>
      <c r="W306" t="inlineStr">
        <is>
          <t>TN</t>
        </is>
      </c>
      <c r="X306" t="n">
        <v>239.76</v>
      </c>
      <c r="Y306" t="inlineStr">
        <is>
          <t>MXN</t>
        </is>
      </c>
      <c r="Z306" t="inlineStr">
        <is>
          <t>TN</t>
        </is>
      </c>
      <c r="AA306" t="inlineStr">
        <is>
          <t>D267</t>
        </is>
      </c>
      <c r="AB306" t="inlineStr">
        <is>
          <t>PD0280 PLANTA COLOTLAN</t>
        </is>
      </c>
      <c r="AC306" t="n">
        <v>56103637</v>
      </c>
      <c r="AD306" t="n">
        <v>6644241540</v>
      </c>
      <c r="AE306" t="n">
        <v>4</v>
      </c>
      <c r="AF306" t="inlineStr">
        <is>
          <t>ENTREGA DIRECTA</t>
        </is>
      </c>
      <c r="AG306" t="n">
        <v>1</v>
      </c>
      <c r="AH306" t="inlineStr">
        <is>
          <t>TO</t>
        </is>
      </c>
      <c r="AI306" t="inlineStr">
        <is>
          <t>X</t>
        </is>
      </c>
      <c r="AJ306" t="n">
        <v>4</v>
      </c>
      <c r="AK306" t="inlineStr">
        <is>
          <t>V4</t>
        </is>
      </c>
      <c r="AL306" t="n">
        <v>20260211</v>
      </c>
      <c r="AM306" t="inlineStr">
        <is>
          <t>DW68-900004153-D267-10000191-4</t>
        </is>
      </c>
    </row>
    <row r="307">
      <c r="A307" t="inlineStr">
        <is>
          <t>900004153DW68D26710004258</t>
        </is>
      </c>
      <c r="B307" t="inlineStr">
        <is>
          <t>4600050430-480</t>
        </is>
      </c>
      <c r="C307" t="n">
        <v>4600050430</v>
      </c>
      <c r="D307" t="n">
        <v>480</v>
      </c>
      <c r="E307" t="inlineStr">
        <is>
          <t>MXPO</t>
        </is>
      </c>
      <c r="F307" t="inlineStr">
        <is>
          <t>MXL</t>
        </is>
      </c>
      <c r="G307" t="n">
        <v>900004153</v>
      </c>
      <c r="H307" t="inlineStr">
        <is>
          <t>TC-ED GRAVASE PONCITLAN</t>
        </is>
      </c>
      <c r="I307" t="n">
        <v>5009010</v>
      </c>
      <c r="J307" t="inlineStr">
        <is>
          <t>GRAVASE SA DE CV</t>
        </is>
      </c>
      <c r="K307" t="inlineStr">
        <is>
          <t>Z04</t>
        </is>
      </c>
      <c r="L307" t="inlineStr">
        <is>
          <t>(AP) 30 Dias</t>
        </is>
      </c>
      <c r="M307" t="n">
        <v>10004258</v>
      </c>
      <c r="N307" t="inlineStr">
        <is>
          <t>Sello Triturado Basalto 10 mm - 3/8"</t>
        </is>
      </c>
      <c r="O307" t="inlineStr">
        <is>
          <t>DW68</t>
        </is>
      </c>
      <c r="P307" t="inlineStr">
        <is>
          <t>MX-CED. GUADALAJARA</t>
        </is>
      </c>
      <c r="Q307" t="n">
        <v>20210801</v>
      </c>
      <c r="R307" t="n">
        <v>20291231</v>
      </c>
      <c r="S307" t="n">
        <v>20260201</v>
      </c>
      <c r="T307" t="n">
        <v>20301231</v>
      </c>
      <c r="U307" t="n">
        <v>504.36</v>
      </c>
      <c r="V307" t="inlineStr">
        <is>
          <t>MXN</t>
        </is>
      </c>
      <c r="W307" t="inlineStr">
        <is>
          <t>TN</t>
        </is>
      </c>
      <c r="X307" t="n">
        <v>226.8</v>
      </c>
      <c r="Y307" t="inlineStr">
        <is>
          <t>MXN</t>
        </is>
      </c>
      <c r="Z307" t="inlineStr">
        <is>
          <t>TN</t>
        </is>
      </c>
      <c r="AA307" t="inlineStr">
        <is>
          <t>D267</t>
        </is>
      </c>
      <c r="AB307" t="inlineStr">
        <is>
          <t>PD0280 PLANTA COLOTLAN</t>
        </is>
      </c>
      <c r="AC307" t="n">
        <v>56103637</v>
      </c>
      <c r="AD307" t="n">
        <v>6644241540</v>
      </c>
      <c r="AE307" t="n">
        <v>4</v>
      </c>
      <c r="AF307" t="inlineStr">
        <is>
          <t>ENTREGA DIRECTA</t>
        </is>
      </c>
      <c r="AG307" t="n">
        <v>1</v>
      </c>
      <c r="AH307" t="inlineStr">
        <is>
          <t>TO</t>
        </is>
      </c>
      <c r="AI307" t="inlineStr">
        <is>
          <t>X</t>
        </is>
      </c>
      <c r="AJ307" t="n">
        <v>4</v>
      </c>
      <c r="AK307" t="inlineStr">
        <is>
          <t>V4</t>
        </is>
      </c>
      <c r="AL307" t="n">
        <v>20260211</v>
      </c>
      <c r="AM307" t="inlineStr">
        <is>
          <t>DW68-900004153-D267-10004258-4</t>
        </is>
      </c>
    </row>
    <row r="308">
      <c r="A308" t="inlineStr">
        <is>
          <t>900004065DW68D24710000320</t>
        </is>
      </c>
      <c r="B308" t="inlineStr">
        <is>
          <t>4600050428-20</t>
        </is>
      </c>
      <c r="C308" t="n">
        <v>4600050428</v>
      </c>
      <c r="D308" t="n">
        <v>20</v>
      </c>
      <c r="E308" t="inlineStr">
        <is>
          <t>MXPO</t>
        </is>
      </c>
      <c r="F308" t="inlineStr">
        <is>
          <t>MXL</t>
        </is>
      </c>
      <c r="G308" t="n">
        <v>900004065</v>
      </c>
      <c r="H308" t="inlineStr">
        <is>
          <t>TC-ED CALIDRA</t>
        </is>
      </c>
      <c r="I308" t="n">
        <v>5002756</v>
      </c>
      <c r="J308" t="inlineStr">
        <is>
          <t>CALIDRA DE OCCIDENTE SA DE CV</t>
        </is>
      </c>
      <c r="K308" t="inlineStr">
        <is>
          <t>Z07</t>
        </is>
      </c>
      <c r="L308" t="inlineStr">
        <is>
          <t>(AP) 60 Dias</t>
        </is>
      </c>
      <c r="M308" t="n">
        <v>10000320</v>
      </c>
      <c r="N308" t="inlineStr">
        <is>
          <t>Arena Triturada Caliza Malla 4</t>
        </is>
      </c>
      <c r="O308" t="inlineStr">
        <is>
          <t>DW68</t>
        </is>
      </c>
      <c r="P308" t="inlineStr">
        <is>
          <t>MX-CED. GUADALAJARA</t>
        </is>
      </c>
      <c r="Q308" t="n">
        <v>20210801</v>
      </c>
      <c r="R308" t="n">
        <v>20281231</v>
      </c>
      <c r="S308" t="n">
        <v>20260201</v>
      </c>
      <c r="T308" t="n">
        <v>20301231</v>
      </c>
      <c r="U308" t="n">
        <v>315.82</v>
      </c>
      <c r="V308" t="inlineStr">
        <is>
          <t>MXN</t>
        </is>
      </c>
      <c r="W308" t="inlineStr">
        <is>
          <t>TN</t>
        </is>
      </c>
      <c r="X308" t="n">
        <v>206.62</v>
      </c>
      <c r="Y308" t="inlineStr">
        <is>
          <t>MXN</t>
        </is>
      </c>
      <c r="Z308" t="inlineStr">
        <is>
          <t>TN</t>
        </is>
      </c>
      <c r="AA308" t="inlineStr">
        <is>
          <t>D247</t>
        </is>
      </c>
      <c r="AB308" t="inlineStr">
        <is>
          <t>PD0518 TONALA</t>
        </is>
      </c>
      <c r="AC308" t="n">
        <v>56103638</v>
      </c>
      <c r="AD308" t="n">
        <v>6644241540</v>
      </c>
      <c r="AE308" t="n">
        <v>4</v>
      </c>
      <c r="AF308" t="inlineStr">
        <is>
          <t>ENTREGA DIRECTA</t>
        </is>
      </c>
      <c r="AG308" t="n">
        <v>1</v>
      </c>
      <c r="AH308" t="inlineStr">
        <is>
          <t>TO</t>
        </is>
      </c>
      <c r="AI308" t="inlineStr">
        <is>
          <t>X</t>
        </is>
      </c>
      <c r="AJ308" t="n">
        <v>4</v>
      </c>
      <c r="AK308" t="inlineStr">
        <is>
          <t>V4</t>
        </is>
      </c>
      <c r="AL308" t="n">
        <v>20260204</v>
      </c>
      <c r="AM308" t="inlineStr">
        <is>
          <t>DW68-900004065-D247-10000320-4</t>
        </is>
      </c>
    </row>
    <row r="309">
      <c r="A309" t="inlineStr">
        <is>
          <t>900009420DW68D57710270912</t>
        </is>
      </c>
      <c r="B309" t="inlineStr">
        <is>
          <t>4600071943-290</t>
        </is>
      </c>
      <c r="C309" t="n">
        <v>4600071943</v>
      </c>
      <c r="D309" t="n">
        <v>290</v>
      </c>
      <c r="E309" t="inlineStr">
        <is>
          <t>MXPO</t>
        </is>
      </c>
      <c r="F309" t="inlineStr">
        <is>
          <t>MXL</t>
        </is>
      </c>
      <c r="G309" t="n">
        <v>900009420</v>
      </c>
      <c r="H309" t="inlineStr">
        <is>
          <t>SF TC-ED HOLCIM GDL</t>
        </is>
      </c>
      <c r="I309" t="n">
        <v>5040590</v>
      </c>
      <c r="J309" t="inlineStr">
        <is>
          <t>HOLCIM MEXICO OPERACIONES SA DE CV</t>
        </is>
      </c>
      <c r="K309" t="inlineStr">
        <is>
          <t>Z06</t>
        </is>
      </c>
      <c r="L309" t="inlineStr">
        <is>
          <t>(AP) 45 Dias</t>
        </is>
      </c>
      <c r="M309" t="n">
        <v>10270912</v>
      </c>
      <c r="N309" t="inlineStr">
        <is>
          <t>MP ARENA TRIT. BASALTO MALLA 4</t>
        </is>
      </c>
      <c r="O309" t="inlineStr">
        <is>
          <t>DW68</t>
        </is>
      </c>
      <c r="P309" t="inlineStr">
        <is>
          <t>MX-CED. GUADALAJARA</t>
        </is>
      </c>
      <c r="Q309" t="n">
        <v>20260126</v>
      </c>
      <c r="R309" t="n">
        <v>20301231</v>
      </c>
      <c r="U309" t="n">
        <v>0</v>
      </c>
      <c r="V309" t="inlineStr">
        <is>
          <t>MXN</t>
        </is>
      </c>
      <c r="W309" t="inlineStr">
        <is>
          <t>TN</t>
        </is>
      </c>
      <c r="AA309" t="inlineStr">
        <is>
          <t>D577</t>
        </is>
      </c>
      <c r="AB309" t="inlineStr">
        <is>
          <t>D577 PD0681 PROY APTO GDL</t>
        </is>
      </c>
      <c r="AC309" t="n">
        <v>56103638</v>
      </c>
      <c r="AD309" t="n">
        <v>6644241540</v>
      </c>
      <c r="AE309" t="n">
        <v>4</v>
      </c>
      <c r="AF309" t="inlineStr">
        <is>
          <t>ENTREGA DIRECTA</t>
        </is>
      </c>
      <c r="AG309" t="n">
        <v>1</v>
      </c>
      <c r="AH309" t="inlineStr">
        <is>
          <t>TO</t>
        </is>
      </c>
      <c r="AI309" t="inlineStr">
        <is>
          <t>X</t>
        </is>
      </c>
      <c r="AJ309" t="n">
        <v>4</v>
      </c>
      <c r="AK309" t="inlineStr">
        <is>
          <t>V4</t>
        </is>
      </c>
      <c r="AL309" t="n">
        <v>20260331</v>
      </c>
      <c r="AM309" t="inlineStr">
        <is>
          <t>DW68-900009420-D577-10270912-4</t>
        </is>
      </c>
    </row>
    <row r="310">
      <c r="A310" t="inlineStr">
        <is>
          <t>900009420DW68D57710209065</t>
        </is>
      </c>
      <c r="B310" t="inlineStr">
        <is>
          <t>4600071943-260</t>
        </is>
      </c>
      <c r="C310" t="n">
        <v>4600071943</v>
      </c>
      <c r="D310" t="n">
        <v>260</v>
      </c>
      <c r="E310" t="inlineStr">
        <is>
          <t>MXPO</t>
        </is>
      </c>
      <c r="F310" t="inlineStr">
        <is>
          <t>MXL</t>
        </is>
      </c>
      <c r="G310" t="n">
        <v>900009420</v>
      </c>
      <c r="H310" t="inlineStr">
        <is>
          <t>SF TC-ED HOLCIM GDL</t>
        </is>
      </c>
      <c r="I310" t="n">
        <v>5040590</v>
      </c>
      <c r="J310" t="inlineStr">
        <is>
          <t>HOLCIM MEXICO OPERACIONES SA DE CV</t>
        </is>
      </c>
      <c r="K310" t="inlineStr">
        <is>
          <t>Z06</t>
        </is>
      </c>
      <c r="L310" t="inlineStr">
        <is>
          <t>(AP) 45 Dias</t>
        </is>
      </c>
      <c r="M310" t="n">
        <v>10209065</v>
      </c>
      <c r="N310" t="inlineStr">
        <is>
          <t>FILTRO 5" A 7/8"</t>
        </is>
      </c>
      <c r="O310" t="inlineStr">
        <is>
          <t>DW68</t>
        </is>
      </c>
      <c r="P310" t="inlineStr">
        <is>
          <t>MX-CED. GUADALAJARA</t>
        </is>
      </c>
      <c r="Q310" t="n">
        <v>20260126</v>
      </c>
      <c r="R310" t="n">
        <v>20301231</v>
      </c>
      <c r="U310" t="n">
        <v>0</v>
      </c>
      <c r="V310" t="inlineStr">
        <is>
          <t>MXN</t>
        </is>
      </c>
      <c r="W310" t="inlineStr">
        <is>
          <t>TN</t>
        </is>
      </c>
      <c r="AA310" t="inlineStr">
        <is>
          <t>D577</t>
        </is>
      </c>
      <c r="AB310" t="inlineStr">
        <is>
          <t>D577 PD0681 PROY APTO GDL</t>
        </is>
      </c>
      <c r="AC310" t="n">
        <v>56103637</v>
      </c>
      <c r="AD310" t="n">
        <v>6644241540</v>
      </c>
      <c r="AE310" t="n">
        <v>4</v>
      </c>
      <c r="AF310" t="inlineStr">
        <is>
          <t>ENTREGA DIRECTA</t>
        </is>
      </c>
      <c r="AG310" t="n">
        <v>1</v>
      </c>
      <c r="AH310" t="inlineStr">
        <is>
          <t>TO</t>
        </is>
      </c>
      <c r="AI310" t="inlineStr">
        <is>
          <t>X</t>
        </is>
      </c>
      <c r="AJ310" t="n">
        <v>4</v>
      </c>
      <c r="AK310" t="inlineStr">
        <is>
          <t>V4</t>
        </is>
      </c>
      <c r="AL310" t="n">
        <v>20260331</v>
      </c>
      <c r="AM310" t="inlineStr">
        <is>
          <t>DW68-900009420-D577-10209065-4</t>
        </is>
      </c>
    </row>
    <row r="311">
      <c r="A311" t="inlineStr">
        <is>
          <t>900008250DW68D26710004258</t>
        </is>
      </c>
      <c r="B311" t="inlineStr">
        <is>
          <t>4600058169-10</t>
        </is>
      </c>
      <c r="C311" t="n">
        <v>4600058169</v>
      </c>
      <c r="D311" t="n">
        <v>10</v>
      </c>
      <c r="E311" t="inlineStr">
        <is>
          <t>MXPO</t>
        </is>
      </c>
      <c r="F311" t="inlineStr">
        <is>
          <t>MXL</t>
        </is>
      </c>
      <c r="G311" t="n">
        <v>900008250</v>
      </c>
      <c r="H311" t="inlineStr">
        <is>
          <t>SF TC-ED-MAREVA GA TONALA</t>
        </is>
      </c>
      <c r="I311" t="n">
        <v>5043944</v>
      </c>
      <c r="J311" t="inlineStr">
        <is>
          <t>CONSTRUCCIONES MAREVA DE OCCIDENTE</t>
        </is>
      </c>
      <c r="K311" t="inlineStr">
        <is>
          <t>Z04</t>
        </is>
      </c>
      <c r="L311" t="inlineStr">
        <is>
          <t>(AP) 30 Dias</t>
        </is>
      </c>
      <c r="M311" t="n">
        <v>10004258</v>
      </c>
      <c r="N311" t="inlineStr">
        <is>
          <t>Sello Triturado Basalto 10 mm - 3/8"</t>
        </is>
      </c>
      <c r="O311" t="inlineStr">
        <is>
          <t>DW68</t>
        </is>
      </c>
      <c r="P311" t="inlineStr">
        <is>
          <t>MX-CED. GUADALAJARA</t>
        </is>
      </c>
      <c r="Q311" t="n">
        <v>20230704</v>
      </c>
      <c r="R311" t="n">
        <v>20281231</v>
      </c>
      <c r="U311" t="n">
        <v>746.6</v>
      </c>
      <c r="V311" t="inlineStr">
        <is>
          <t>MXN</t>
        </is>
      </c>
      <c r="W311" t="inlineStr">
        <is>
          <t>M3</t>
        </is>
      </c>
      <c r="AA311" t="inlineStr">
        <is>
          <t>D267</t>
        </is>
      </c>
      <c r="AB311" t="inlineStr">
        <is>
          <t>PD0280 PLANTA COLOTLAN</t>
        </is>
      </c>
      <c r="AC311" t="n">
        <v>56103637</v>
      </c>
      <c r="AD311" t="n">
        <v>6644241540</v>
      </c>
      <c r="AE311" t="n">
        <v>4</v>
      </c>
      <c r="AF311" t="inlineStr">
        <is>
          <t>ENTREGA DIRECTA</t>
        </is>
      </c>
      <c r="AG311" t="n">
        <v>1.53</v>
      </c>
      <c r="AH311" t="inlineStr">
        <is>
          <t>M3</t>
        </is>
      </c>
      <c r="AI311" t="inlineStr">
        <is>
          <t>X</t>
        </is>
      </c>
      <c r="AJ311" t="n">
        <v>4</v>
      </c>
      <c r="AK311" t="inlineStr">
        <is>
          <t>V4</t>
        </is>
      </c>
      <c r="AL311" t="n">
        <v>20230920</v>
      </c>
      <c r="AM311" t="inlineStr">
        <is>
          <t>DW68-900008250-D267-10004258-4</t>
        </is>
      </c>
    </row>
    <row r="312">
      <c r="A312" t="inlineStr">
        <is>
          <t>900004995DW68ENL110270914</t>
        </is>
      </c>
      <c r="B312" t="inlineStr">
        <is>
          <t>4600050440-160</t>
        </is>
      </c>
      <c r="C312" t="n">
        <v>4600050440</v>
      </c>
      <c r="D312" t="n">
        <v>160</v>
      </c>
      <c r="E312" t="inlineStr">
        <is>
          <t>MXPO</t>
        </is>
      </c>
      <c r="F312" t="inlineStr">
        <is>
          <t>MXL</t>
        </is>
      </c>
      <c r="G312" t="n">
        <v>900004995</v>
      </c>
      <c r="H312" t="inlineStr">
        <is>
          <t>TC-ED LA FUNDICION</t>
        </is>
      </c>
      <c r="I312" t="n">
        <v>5065714</v>
      </c>
      <c r="J312" t="inlineStr">
        <is>
          <t>GRUPO MINERO LA FUNDICION SA DE CV</t>
        </is>
      </c>
      <c r="K312" t="inlineStr">
        <is>
          <t>N60</t>
        </is>
      </c>
      <c r="L312" t="inlineStr">
        <is>
          <t>(AP) NAFIN 60 Dias</t>
        </is>
      </c>
      <c r="M312" t="n">
        <v>10270914</v>
      </c>
      <c r="N312" t="inlineStr">
        <is>
          <t>MP ARENA ANDESITA BC</t>
        </is>
      </c>
      <c r="O312" t="inlineStr">
        <is>
          <t>DW68</t>
        </is>
      </c>
      <c r="P312" t="inlineStr">
        <is>
          <t>MX-CED. GUADALAJARA</t>
        </is>
      </c>
      <c r="Q312" t="n">
        <v>20210801</v>
      </c>
      <c r="R312" t="n">
        <v>20291231</v>
      </c>
      <c r="S312" t="n">
        <v>20250915</v>
      </c>
      <c r="T312" t="n">
        <v>20301231</v>
      </c>
      <c r="U312" t="n">
        <v>660</v>
      </c>
      <c r="V312" t="inlineStr">
        <is>
          <t>MXN</t>
        </is>
      </c>
      <c r="W312" t="inlineStr">
        <is>
          <t>M3</t>
        </is>
      </c>
      <c r="X312" t="n">
        <v>548</v>
      </c>
      <c r="Y312" t="inlineStr">
        <is>
          <t>MXN</t>
        </is>
      </c>
      <c r="Z312" t="inlineStr">
        <is>
          <t>M3</t>
        </is>
      </c>
      <c r="AA312" t="inlineStr">
        <is>
          <t>ENL1</t>
        </is>
      </c>
      <c r="AB312" t="inlineStr">
        <is>
          <t>MX-PD0681 INFRA APTO GDL</t>
        </is>
      </c>
      <c r="AC312" t="n">
        <v>56103638</v>
      </c>
      <c r="AD312" t="n">
        <v>6644241540</v>
      </c>
      <c r="AE312" t="n">
        <v>4</v>
      </c>
      <c r="AF312" t="inlineStr">
        <is>
          <t>ENTREGA DIRECTA</t>
        </is>
      </c>
      <c r="AG312" t="n">
        <v>1.623</v>
      </c>
      <c r="AH312" t="inlineStr">
        <is>
          <t>M3</t>
        </is>
      </c>
      <c r="AI312" t="inlineStr">
        <is>
          <t>X</t>
        </is>
      </c>
      <c r="AJ312" t="n">
        <v>4</v>
      </c>
      <c r="AK312" t="inlineStr">
        <is>
          <t>V4</t>
        </is>
      </c>
      <c r="AL312" t="n">
        <v>20250919</v>
      </c>
      <c r="AM312" t="inlineStr">
        <is>
          <t>DW68-900004995-ENL1-10270914-4</t>
        </is>
      </c>
    </row>
    <row r="313">
      <c r="A313" t="inlineStr">
        <is>
          <t>900004995DW68ENV910270914</t>
        </is>
      </c>
      <c r="B313" t="inlineStr">
        <is>
          <t>4600050440-170</t>
        </is>
      </c>
      <c r="C313" t="n">
        <v>4600050440</v>
      </c>
      <c r="D313" t="n">
        <v>170</v>
      </c>
      <c r="E313" t="inlineStr">
        <is>
          <t>MXPO</t>
        </is>
      </c>
      <c r="F313" t="inlineStr">
        <is>
          <t>MXL</t>
        </is>
      </c>
      <c r="G313" t="n">
        <v>900004995</v>
      </c>
      <c r="H313" t="inlineStr">
        <is>
          <t>TC-ED LA FUNDICION</t>
        </is>
      </c>
      <c r="I313" t="n">
        <v>5065714</v>
      </c>
      <c r="J313" t="inlineStr">
        <is>
          <t>GRUPO MINERO LA FUNDICION SA DE CV</t>
        </is>
      </c>
      <c r="K313" t="inlineStr">
        <is>
          <t>N60</t>
        </is>
      </c>
      <c r="L313" t="inlineStr">
        <is>
          <t>(AP) NAFIN 60 Dias</t>
        </is>
      </c>
      <c r="M313" t="n">
        <v>10270914</v>
      </c>
      <c r="N313" t="inlineStr">
        <is>
          <t>MP ARENA ANDESITA BC</t>
        </is>
      </c>
      <c r="O313" t="inlineStr">
        <is>
          <t>DW68</t>
        </is>
      </c>
      <c r="P313" t="inlineStr">
        <is>
          <t>MX-CED. GUADALAJARA</t>
        </is>
      </c>
      <c r="Q313" t="n">
        <v>20210801</v>
      </c>
      <c r="R313" t="n">
        <v>20291231</v>
      </c>
      <c r="S313" t="n">
        <v>20250917</v>
      </c>
      <c r="T313" t="n">
        <v>20301231</v>
      </c>
      <c r="U313" t="n">
        <v>660</v>
      </c>
      <c r="V313" t="inlineStr">
        <is>
          <t>MXN</t>
        </is>
      </c>
      <c r="W313" t="inlineStr">
        <is>
          <t>M3</t>
        </is>
      </c>
      <c r="X313" t="n">
        <v>548</v>
      </c>
      <c r="Y313" t="inlineStr">
        <is>
          <t>MXN</t>
        </is>
      </c>
      <c r="Z313" t="inlineStr">
        <is>
          <t>M3</t>
        </is>
      </c>
      <c r="AA313" t="inlineStr">
        <is>
          <t>ENV9</t>
        </is>
      </c>
      <c r="AB313" t="inlineStr">
        <is>
          <t>VIALIDADES AEROPUERTO GDL F1 Y F2 /</t>
        </is>
      </c>
      <c r="AC313" t="n">
        <v>56103638</v>
      </c>
      <c r="AD313" t="n">
        <v>6644241540</v>
      </c>
      <c r="AE313" t="n">
        <v>4</v>
      </c>
      <c r="AF313" t="inlineStr">
        <is>
          <t>ENTREGA DIRECTA</t>
        </is>
      </c>
      <c r="AG313" t="n">
        <v>1.623</v>
      </c>
      <c r="AH313" t="inlineStr">
        <is>
          <t>M3</t>
        </is>
      </c>
      <c r="AI313" t="inlineStr">
        <is>
          <t>X</t>
        </is>
      </c>
      <c r="AJ313" t="n">
        <v>4</v>
      </c>
      <c r="AK313" t="inlineStr">
        <is>
          <t>V4</t>
        </is>
      </c>
      <c r="AL313" t="n">
        <v>20250923</v>
      </c>
      <c r="AM313" t="inlineStr">
        <is>
          <t>DW68-900004995-ENV9-10270914-4</t>
        </is>
      </c>
    </row>
    <row r="314">
      <c r="A314" t="inlineStr">
        <is>
          <t>900009220DW68D04210000437</t>
        </is>
      </c>
      <c r="B314" t="inlineStr">
        <is>
          <t>4600071229-10</t>
        </is>
      </c>
      <c r="C314" t="n">
        <v>4600071229</v>
      </c>
      <c r="D314" t="n">
        <v>10</v>
      </c>
      <c r="E314" t="inlineStr">
        <is>
          <t>MXPO</t>
        </is>
      </c>
      <c r="F314" t="inlineStr">
        <is>
          <t>MXL</t>
        </is>
      </c>
      <c r="G314" t="n">
        <v>900009220</v>
      </c>
      <c r="H314" t="inlineStr">
        <is>
          <t>SF TC ED-AKOPAN</t>
        </is>
      </c>
      <c r="I314" t="n">
        <v>5060172</v>
      </c>
      <c r="J314" t="inlineStr">
        <is>
          <t>DESARROLLADORA AKOPAN SA DE CV</t>
        </is>
      </c>
      <c r="K314" t="inlineStr">
        <is>
          <t>N30</t>
        </is>
      </c>
      <c r="L314" t="inlineStr">
        <is>
          <t>(AP) NAFIN 30 Dias</t>
        </is>
      </c>
      <c r="M314" t="n">
        <v>10000437</v>
      </c>
      <c r="N314" t="inlineStr">
        <is>
          <t>Grava Triturada Basalto 20 mm - 3/4"</t>
        </is>
      </c>
      <c r="O314" t="inlineStr">
        <is>
          <t>DW68</t>
        </is>
      </c>
      <c r="P314" t="inlineStr">
        <is>
          <t>MX-CED. GUADALAJARA</t>
        </is>
      </c>
      <c r="Q314" t="n">
        <v>20250507</v>
      </c>
      <c r="R314" t="n">
        <v>20301231</v>
      </c>
      <c r="S314" t="n">
        <v>20250507</v>
      </c>
      <c r="T314" t="n">
        <v>20301231</v>
      </c>
      <c r="U314" t="n">
        <v>403.49</v>
      </c>
      <c r="V314" t="inlineStr">
        <is>
          <t>MXN</t>
        </is>
      </c>
      <c r="W314" t="inlineStr">
        <is>
          <t>M3</t>
        </is>
      </c>
      <c r="X314" t="n">
        <v>108.49</v>
      </c>
      <c r="Y314" t="inlineStr">
        <is>
          <t>MXN</t>
        </is>
      </c>
      <c r="Z314" t="inlineStr">
        <is>
          <t>M3</t>
        </is>
      </c>
      <c r="AA314" t="inlineStr">
        <is>
          <t>D042</t>
        </is>
      </c>
      <c r="AB314" t="inlineStr">
        <is>
          <t>PD0406 PLANTA PONIENTE</t>
        </is>
      </c>
      <c r="AC314" t="n">
        <v>56103637</v>
      </c>
      <c r="AD314" t="n">
        <v>6644241540</v>
      </c>
      <c r="AE314" t="n">
        <v>4</v>
      </c>
      <c r="AF314" t="inlineStr">
        <is>
          <t>ENTREGA DIRECTA</t>
        </is>
      </c>
      <c r="AG314" t="n">
        <v>1.505</v>
      </c>
      <c r="AH314" t="inlineStr">
        <is>
          <t>M3</t>
        </is>
      </c>
      <c r="AI314" t="inlineStr">
        <is>
          <t>X</t>
        </is>
      </c>
      <c r="AJ314" t="n">
        <v>4</v>
      </c>
      <c r="AK314" t="inlineStr">
        <is>
          <t>V4</t>
        </is>
      </c>
      <c r="AL314" t="n">
        <v>20250513</v>
      </c>
      <c r="AM314" t="inlineStr">
        <is>
          <t>DW68-900009220-D042-10000437-4</t>
        </is>
      </c>
    </row>
    <row r="315">
      <c r="A315" t="inlineStr">
        <is>
          <t>900009220DW68D24210000437</t>
        </is>
      </c>
      <c r="B315" t="inlineStr">
        <is>
          <t>4600071229-50</t>
        </is>
      </c>
      <c r="C315" t="n">
        <v>4600071229</v>
      </c>
      <c r="D315" t="n">
        <v>50</v>
      </c>
      <c r="E315" t="inlineStr">
        <is>
          <t>MXPO</t>
        </is>
      </c>
      <c r="F315" t="inlineStr">
        <is>
          <t>MXL</t>
        </is>
      </c>
      <c r="G315" t="n">
        <v>900009220</v>
      </c>
      <c r="H315" t="inlineStr">
        <is>
          <t>SF TC ED-AKOPAN</t>
        </is>
      </c>
      <c r="I315" t="n">
        <v>5060172</v>
      </c>
      <c r="J315" t="inlineStr">
        <is>
          <t>DESARROLLADORA AKOPAN SA DE CV</t>
        </is>
      </c>
      <c r="K315" t="inlineStr">
        <is>
          <t>N30</t>
        </is>
      </c>
      <c r="L315" t="inlineStr">
        <is>
          <t>(AP) NAFIN 30 Dias</t>
        </is>
      </c>
      <c r="M315" t="n">
        <v>10000437</v>
      </c>
      <c r="N315" t="inlineStr">
        <is>
          <t>Grava Triturada Basalto 20 mm - 3/4"</t>
        </is>
      </c>
      <c r="O315" t="inlineStr">
        <is>
          <t>DW68</t>
        </is>
      </c>
      <c r="P315" t="inlineStr">
        <is>
          <t>MX-CED. GUADALAJARA</t>
        </is>
      </c>
      <c r="Q315" t="n">
        <v>20250507</v>
      </c>
      <c r="R315" t="n">
        <v>20301231</v>
      </c>
      <c r="S315" t="n">
        <v>20250507</v>
      </c>
      <c r="T315" t="n">
        <v>20301231</v>
      </c>
      <c r="U315" t="n">
        <v>408.44</v>
      </c>
      <c r="V315" t="inlineStr">
        <is>
          <t>MXN</t>
        </is>
      </c>
      <c r="W315" t="inlineStr">
        <is>
          <t>M3</t>
        </is>
      </c>
      <c r="X315" t="n">
        <v>113.44</v>
      </c>
      <c r="Y315" t="inlineStr">
        <is>
          <t>MXN</t>
        </is>
      </c>
      <c r="Z315" t="inlineStr">
        <is>
          <t>M3</t>
        </is>
      </c>
      <c r="AA315" t="inlineStr">
        <is>
          <t>D242</t>
        </is>
      </c>
      <c r="AB315" t="inlineStr">
        <is>
          <t>PD0454 CD. LA GRANJA II</t>
        </is>
      </c>
      <c r="AC315" t="n">
        <v>56103637</v>
      </c>
      <c r="AD315" t="n">
        <v>6644241540</v>
      </c>
      <c r="AE315" t="n">
        <v>4</v>
      </c>
      <c r="AF315" t="inlineStr">
        <is>
          <t>ENTREGA DIRECTA</t>
        </is>
      </c>
      <c r="AG315" t="n">
        <v>1.505</v>
      </c>
      <c r="AH315" t="inlineStr">
        <is>
          <t>M3</t>
        </is>
      </c>
      <c r="AI315" t="inlineStr">
        <is>
          <t>X</t>
        </is>
      </c>
      <c r="AJ315" t="n">
        <v>4</v>
      </c>
      <c r="AK315" t="inlineStr">
        <is>
          <t>V4</t>
        </is>
      </c>
      <c r="AL315" t="n">
        <v>20250513</v>
      </c>
      <c r="AM315" t="inlineStr">
        <is>
          <t>DW68-900009220-D242-10000437-4</t>
        </is>
      </c>
    </row>
    <row r="316">
      <c r="A316" t="inlineStr">
        <is>
          <t>900009220DW68D26410000437</t>
        </is>
      </c>
      <c r="B316" t="inlineStr">
        <is>
          <t>4600071229-80</t>
        </is>
      </c>
      <c r="C316" t="n">
        <v>4600071229</v>
      </c>
      <c r="D316" t="n">
        <v>80</v>
      </c>
      <c r="E316" t="inlineStr">
        <is>
          <t>MXPO</t>
        </is>
      </c>
      <c r="F316" t="inlineStr">
        <is>
          <t>MXL</t>
        </is>
      </c>
      <c r="G316" t="n">
        <v>900009220</v>
      </c>
      <c r="H316" t="inlineStr">
        <is>
          <t>SF TC ED-AKOPAN</t>
        </is>
      </c>
      <c r="I316" t="n">
        <v>5060172</v>
      </c>
      <c r="J316" t="inlineStr">
        <is>
          <t>DESARROLLADORA AKOPAN SA DE CV</t>
        </is>
      </c>
      <c r="K316" t="inlineStr">
        <is>
          <t>N30</t>
        </is>
      </c>
      <c r="L316" t="inlineStr">
        <is>
          <t>(AP) NAFIN 30 Dias</t>
        </is>
      </c>
      <c r="M316" t="n">
        <v>10000437</v>
      </c>
      <c r="N316" t="inlineStr">
        <is>
          <t>Grava Triturada Basalto 20 mm - 3/4"</t>
        </is>
      </c>
      <c r="O316" t="inlineStr">
        <is>
          <t>DW68</t>
        </is>
      </c>
      <c r="P316" t="inlineStr">
        <is>
          <t>MX-CED. GUADALAJARA</t>
        </is>
      </c>
      <c r="Q316" t="n">
        <v>20250507</v>
      </c>
      <c r="R316" t="n">
        <v>20301231</v>
      </c>
      <c r="S316" t="n">
        <v>20250507</v>
      </c>
      <c r="T316" t="n">
        <v>20301231</v>
      </c>
      <c r="U316" t="n">
        <v>391.14</v>
      </c>
      <c r="V316" t="inlineStr">
        <is>
          <t>MXN</t>
        </is>
      </c>
      <c r="W316" t="inlineStr">
        <is>
          <t>M3</t>
        </is>
      </c>
      <c r="X316" t="n">
        <v>96.14</v>
      </c>
      <c r="Y316" t="inlineStr">
        <is>
          <t>MXN</t>
        </is>
      </c>
      <c r="Z316" t="inlineStr">
        <is>
          <t>M3</t>
        </is>
      </c>
      <c r="AA316" t="inlineStr">
        <is>
          <t>D264</t>
        </is>
      </c>
      <c r="AB316" t="inlineStr">
        <is>
          <t>PD0083 GUADALAJARA I III</t>
        </is>
      </c>
      <c r="AC316" t="n">
        <v>56103637</v>
      </c>
      <c r="AD316" t="n">
        <v>6644241540</v>
      </c>
      <c r="AE316" t="n">
        <v>4</v>
      </c>
      <c r="AF316" t="inlineStr">
        <is>
          <t>ENTREGA DIRECTA</t>
        </is>
      </c>
      <c r="AG316" t="n">
        <v>1.505</v>
      </c>
      <c r="AH316" t="inlineStr">
        <is>
          <t>M3</t>
        </is>
      </c>
      <c r="AI316" t="inlineStr">
        <is>
          <t>X</t>
        </is>
      </c>
      <c r="AJ316" t="n">
        <v>4</v>
      </c>
      <c r="AK316" t="inlineStr">
        <is>
          <t>V4</t>
        </is>
      </c>
      <c r="AL316" t="n">
        <v>20250513</v>
      </c>
      <c r="AM316" t="inlineStr">
        <is>
          <t>DW68-900009220-D264-10000437-4</t>
        </is>
      </c>
    </row>
    <row r="317">
      <c r="A317" t="inlineStr">
        <is>
          <t>900009220DW68D21110000437</t>
        </is>
      </c>
      <c r="B317" t="inlineStr">
        <is>
          <t>4600071229-30</t>
        </is>
      </c>
      <c r="C317" t="n">
        <v>4600071229</v>
      </c>
      <c r="D317" t="n">
        <v>30</v>
      </c>
      <c r="E317" t="inlineStr">
        <is>
          <t>MXPO</t>
        </is>
      </c>
      <c r="F317" t="inlineStr">
        <is>
          <t>MXL</t>
        </is>
      </c>
      <c r="G317" t="n">
        <v>900009220</v>
      </c>
      <c r="H317" t="inlineStr">
        <is>
          <t>SF TC ED-AKOPAN</t>
        </is>
      </c>
      <c r="I317" t="n">
        <v>5060172</v>
      </c>
      <c r="J317" t="inlineStr">
        <is>
          <t>DESARROLLADORA AKOPAN SA DE CV</t>
        </is>
      </c>
      <c r="K317" t="inlineStr">
        <is>
          <t>N30</t>
        </is>
      </c>
      <c r="L317" t="inlineStr">
        <is>
          <t>(AP) NAFIN 30 Dias</t>
        </is>
      </c>
      <c r="M317" t="n">
        <v>10000437</v>
      </c>
      <c r="N317" t="inlineStr">
        <is>
          <t>Grava Triturada Basalto 20 mm - 3/4"</t>
        </is>
      </c>
      <c r="O317" t="inlineStr">
        <is>
          <t>DW68</t>
        </is>
      </c>
      <c r="P317" t="inlineStr">
        <is>
          <t>MX-CED. GUADALAJARA</t>
        </is>
      </c>
      <c r="Q317" t="n">
        <v>20250507</v>
      </c>
      <c r="R317" t="n">
        <v>20301231</v>
      </c>
      <c r="S317" t="n">
        <v>20250507</v>
      </c>
      <c r="T317" t="n">
        <v>20301231</v>
      </c>
      <c r="U317" t="n">
        <v>428.85</v>
      </c>
      <c r="V317" t="inlineStr">
        <is>
          <t>MXN</t>
        </is>
      </c>
      <c r="W317" t="inlineStr">
        <is>
          <t>M3</t>
        </is>
      </c>
      <c r="X317" t="n">
        <v>133.85</v>
      </c>
      <c r="Y317" t="inlineStr">
        <is>
          <t>MXN</t>
        </is>
      </c>
      <c r="Z317" t="inlineStr">
        <is>
          <t>M3</t>
        </is>
      </c>
      <c r="AA317" t="inlineStr">
        <is>
          <t>D211</t>
        </is>
      </c>
      <c r="AB317" t="inlineStr">
        <is>
          <t>PD0149 GDL. MATRIZ</t>
        </is>
      </c>
      <c r="AC317" t="n">
        <v>56103637</v>
      </c>
      <c r="AD317" t="n">
        <v>6644241540</v>
      </c>
      <c r="AE317" t="n">
        <v>4</v>
      </c>
      <c r="AF317" t="inlineStr">
        <is>
          <t>ENTREGA DIRECTA</t>
        </is>
      </c>
      <c r="AG317" t="n">
        <v>1.505</v>
      </c>
      <c r="AH317" t="inlineStr">
        <is>
          <t>M3</t>
        </is>
      </c>
      <c r="AI317" t="inlineStr">
        <is>
          <t>X</t>
        </is>
      </c>
      <c r="AJ317" t="n">
        <v>4</v>
      </c>
      <c r="AK317" t="inlineStr">
        <is>
          <t>V4</t>
        </is>
      </c>
      <c r="AL317" t="n">
        <v>20250513</v>
      </c>
      <c r="AM317" t="inlineStr">
        <is>
          <t>DW68-900009220-D211-10000437-4</t>
        </is>
      </c>
    </row>
    <row r="318">
      <c r="A318" t="inlineStr">
        <is>
          <t>900009220DW68D26710000437</t>
        </is>
      </c>
      <c r="B318" t="inlineStr">
        <is>
          <t>4600071229-90</t>
        </is>
      </c>
      <c r="C318" t="n">
        <v>4600071229</v>
      </c>
      <c r="D318" t="n">
        <v>90</v>
      </c>
      <c r="E318" t="inlineStr">
        <is>
          <t>MXPO</t>
        </is>
      </c>
      <c r="F318" t="inlineStr">
        <is>
          <t>MXL</t>
        </is>
      </c>
      <c r="G318" t="n">
        <v>900009220</v>
      </c>
      <c r="H318" t="inlineStr">
        <is>
          <t>SF TC ED-AKOPAN</t>
        </is>
      </c>
      <c r="I318" t="n">
        <v>5060172</v>
      </c>
      <c r="J318" t="inlineStr">
        <is>
          <t>DESARROLLADORA AKOPAN SA DE CV</t>
        </is>
      </c>
      <c r="K318" t="inlineStr">
        <is>
          <t>N30</t>
        </is>
      </c>
      <c r="L318" t="inlineStr">
        <is>
          <t>(AP) NAFIN 30 Dias</t>
        </is>
      </c>
      <c r="M318" t="n">
        <v>10000437</v>
      </c>
      <c r="N318" t="inlineStr">
        <is>
          <t>Grava Triturada Basalto 20 mm - 3/4"</t>
        </is>
      </c>
      <c r="O318" t="inlineStr">
        <is>
          <t>DW68</t>
        </is>
      </c>
      <c r="P318" t="inlineStr">
        <is>
          <t>MX-CED. GUADALAJARA</t>
        </is>
      </c>
      <c r="Q318" t="n">
        <v>20250507</v>
      </c>
      <c r="R318" t="n">
        <v>20301231</v>
      </c>
      <c r="S318" t="n">
        <v>20250507</v>
      </c>
      <c r="T318" t="n">
        <v>20301231</v>
      </c>
      <c r="U318" t="n">
        <v>412.26</v>
      </c>
      <c r="V318" t="inlineStr">
        <is>
          <t>MXN</t>
        </is>
      </c>
      <c r="W318" t="inlineStr">
        <is>
          <t>M3</t>
        </is>
      </c>
      <c r="X318" t="n">
        <v>117.26</v>
      </c>
      <c r="Y318" t="inlineStr">
        <is>
          <t>MXN</t>
        </is>
      </c>
      <c r="Z318" t="inlineStr">
        <is>
          <t>M3</t>
        </is>
      </c>
      <c r="AA318" t="inlineStr">
        <is>
          <t>D267</t>
        </is>
      </c>
      <c r="AB318" t="inlineStr">
        <is>
          <t>PD0280 PLANTA COLOTLAN</t>
        </is>
      </c>
      <c r="AC318" t="n">
        <v>56103637</v>
      </c>
      <c r="AD318" t="n">
        <v>6644241540</v>
      </c>
      <c r="AE318" t="n">
        <v>4</v>
      </c>
      <c r="AF318" t="inlineStr">
        <is>
          <t>ENTREGA DIRECTA</t>
        </is>
      </c>
      <c r="AG318" t="n">
        <v>1.505</v>
      </c>
      <c r="AH318" t="inlineStr">
        <is>
          <t>M3</t>
        </is>
      </c>
      <c r="AI318" t="inlineStr">
        <is>
          <t>X</t>
        </is>
      </c>
      <c r="AJ318" t="n">
        <v>4</v>
      </c>
      <c r="AK318" t="inlineStr">
        <is>
          <t>V4</t>
        </is>
      </c>
      <c r="AL318" t="n">
        <v>20250513</v>
      </c>
      <c r="AM318" t="inlineStr">
        <is>
          <t>DW68-900009220-D267-10000437-4</t>
        </is>
      </c>
    </row>
    <row r="319">
      <c r="A319" t="inlineStr">
        <is>
          <t>900009220DW68D22810000437</t>
        </is>
      </c>
      <c r="B319" t="inlineStr">
        <is>
          <t>4600071229-40</t>
        </is>
      </c>
      <c r="C319" t="n">
        <v>4600071229</v>
      </c>
      <c r="D319" t="n">
        <v>40</v>
      </c>
      <c r="E319" t="inlineStr">
        <is>
          <t>MXPO</t>
        </is>
      </c>
      <c r="F319" t="inlineStr">
        <is>
          <t>MXL</t>
        </is>
      </c>
      <c r="G319" t="n">
        <v>900009220</v>
      </c>
      <c r="H319" t="inlineStr">
        <is>
          <t>SF TC ED-AKOPAN</t>
        </is>
      </c>
      <c r="I319" t="n">
        <v>5060172</v>
      </c>
      <c r="J319" t="inlineStr">
        <is>
          <t>DESARROLLADORA AKOPAN SA DE CV</t>
        </is>
      </c>
      <c r="K319" t="inlineStr">
        <is>
          <t>N30</t>
        </is>
      </c>
      <c r="L319" t="inlineStr">
        <is>
          <t>(AP) NAFIN 30 Dias</t>
        </is>
      </c>
      <c r="M319" t="n">
        <v>10000437</v>
      </c>
      <c r="N319" t="inlineStr">
        <is>
          <t>Grava Triturada Basalto 20 mm - 3/4"</t>
        </is>
      </c>
      <c r="O319" t="inlineStr">
        <is>
          <t>DW68</t>
        </is>
      </c>
      <c r="P319" t="inlineStr">
        <is>
          <t>MX-CED. GUADALAJARA</t>
        </is>
      </c>
      <c r="Q319" t="n">
        <v>20250507</v>
      </c>
      <c r="R319" t="n">
        <v>20301231</v>
      </c>
      <c r="S319" t="n">
        <v>20250507</v>
      </c>
      <c r="T319" t="n">
        <v>20301231</v>
      </c>
      <c r="U319" t="n">
        <v>443.18</v>
      </c>
      <c r="V319" t="inlineStr">
        <is>
          <t>MXN</t>
        </is>
      </c>
      <c r="W319" t="inlineStr">
        <is>
          <t>M3</t>
        </is>
      </c>
      <c r="X319" t="n">
        <v>148.18</v>
      </c>
      <c r="Y319" t="inlineStr">
        <is>
          <t>MXN</t>
        </is>
      </c>
      <c r="Z319" t="inlineStr">
        <is>
          <t>M3</t>
        </is>
      </c>
      <c r="AA319" t="inlineStr">
        <is>
          <t>D228</t>
        </is>
      </c>
      <c r="AB319" t="inlineStr">
        <is>
          <t>PD0123 TLAJOMULCO</t>
        </is>
      </c>
      <c r="AC319" t="n">
        <v>56103637</v>
      </c>
      <c r="AD319" t="n">
        <v>6644241540</v>
      </c>
      <c r="AE319" t="n">
        <v>4</v>
      </c>
      <c r="AF319" t="inlineStr">
        <is>
          <t>ENTREGA DIRECTA</t>
        </is>
      </c>
      <c r="AG319" t="n">
        <v>1.505</v>
      </c>
      <c r="AH319" t="inlineStr">
        <is>
          <t>M3</t>
        </is>
      </c>
      <c r="AI319" t="inlineStr">
        <is>
          <t>X</t>
        </is>
      </c>
      <c r="AJ319" t="n">
        <v>4</v>
      </c>
      <c r="AK319" t="inlineStr">
        <is>
          <t>V4</t>
        </is>
      </c>
      <c r="AL319" t="n">
        <v>20250513</v>
      </c>
      <c r="AM319" t="inlineStr">
        <is>
          <t>DW68-900009220-D228-10000437-4</t>
        </is>
      </c>
    </row>
    <row r="320">
      <c r="A320" t="inlineStr">
        <is>
          <t>900009220DW68D20910000437</t>
        </is>
      </c>
      <c r="B320" t="inlineStr">
        <is>
          <t>4600071229-20</t>
        </is>
      </c>
      <c r="C320" t="n">
        <v>4600071229</v>
      </c>
      <c r="D320" t="n">
        <v>20</v>
      </c>
      <c r="E320" t="inlineStr">
        <is>
          <t>MXPO</t>
        </is>
      </c>
      <c r="F320" t="inlineStr">
        <is>
          <t>MXL</t>
        </is>
      </c>
      <c r="G320" t="n">
        <v>900009220</v>
      </c>
      <c r="H320" t="inlineStr">
        <is>
          <t>SF TC ED-AKOPAN</t>
        </is>
      </c>
      <c r="I320" t="n">
        <v>5060172</v>
      </c>
      <c r="J320" t="inlineStr">
        <is>
          <t>DESARROLLADORA AKOPAN SA DE CV</t>
        </is>
      </c>
      <c r="K320" t="inlineStr">
        <is>
          <t>N30</t>
        </is>
      </c>
      <c r="L320" t="inlineStr">
        <is>
          <t>(AP) NAFIN 30 Dias</t>
        </is>
      </c>
      <c r="M320" t="n">
        <v>10000437</v>
      </c>
      <c r="N320" t="inlineStr">
        <is>
          <t>Grava Triturada Basalto 20 mm - 3/4"</t>
        </is>
      </c>
      <c r="O320" t="inlineStr">
        <is>
          <t>DW68</t>
        </is>
      </c>
      <c r="P320" t="inlineStr">
        <is>
          <t>MX-CED. GUADALAJARA</t>
        </is>
      </c>
      <c r="Q320" t="n">
        <v>20250507</v>
      </c>
      <c r="R320" t="n">
        <v>20301231</v>
      </c>
      <c r="S320" t="n">
        <v>20250507</v>
      </c>
      <c r="T320" t="n">
        <v>20301231</v>
      </c>
      <c r="U320" t="n">
        <v>382.32</v>
      </c>
      <c r="V320" t="inlineStr">
        <is>
          <t>MXN</t>
        </is>
      </c>
      <c r="W320" t="inlineStr">
        <is>
          <t>M3</t>
        </is>
      </c>
      <c r="X320" t="n">
        <v>87.31999999999999</v>
      </c>
      <c r="Y320" t="inlineStr">
        <is>
          <t>MXN</t>
        </is>
      </c>
      <c r="Z320" t="inlineStr">
        <is>
          <t>M3</t>
        </is>
      </c>
      <c r="AA320" t="inlineStr">
        <is>
          <t>D209</t>
        </is>
      </c>
      <c r="AB320" t="inlineStr">
        <is>
          <t>PD0127 MANANTIAL</t>
        </is>
      </c>
      <c r="AC320" t="n">
        <v>56103637</v>
      </c>
      <c r="AD320" t="n">
        <v>6644241540</v>
      </c>
      <c r="AE320" t="n">
        <v>4</v>
      </c>
      <c r="AF320" t="inlineStr">
        <is>
          <t>ENTREGA DIRECTA</t>
        </is>
      </c>
      <c r="AG320" t="n">
        <v>1.505</v>
      </c>
      <c r="AH320" t="inlineStr">
        <is>
          <t>M3</t>
        </is>
      </c>
      <c r="AI320" t="inlineStr">
        <is>
          <t>X</t>
        </is>
      </c>
      <c r="AJ320" t="n">
        <v>4</v>
      </c>
      <c r="AK320" t="inlineStr">
        <is>
          <t>V4</t>
        </is>
      </c>
      <c r="AL320" t="n">
        <v>20250513</v>
      </c>
      <c r="AM320" t="inlineStr">
        <is>
          <t>DW68-900009220-D209-10000437-4</t>
        </is>
      </c>
    </row>
    <row r="321">
      <c r="A321" t="inlineStr">
        <is>
          <t>900009220DW68D25110000437</t>
        </is>
      </c>
      <c r="B321" t="inlineStr">
        <is>
          <t>4600071229-70</t>
        </is>
      </c>
      <c r="C321" t="n">
        <v>4600071229</v>
      </c>
      <c r="D321" t="n">
        <v>70</v>
      </c>
      <c r="E321" t="inlineStr">
        <is>
          <t>MXPO</t>
        </is>
      </c>
      <c r="F321" t="inlineStr">
        <is>
          <t>MXL</t>
        </is>
      </c>
      <c r="G321" t="n">
        <v>900009220</v>
      </c>
      <c r="H321" t="inlineStr">
        <is>
          <t>SF TC ED-AKOPAN</t>
        </is>
      </c>
      <c r="I321" t="n">
        <v>5060172</v>
      </c>
      <c r="J321" t="inlineStr">
        <is>
          <t>DESARROLLADORA AKOPAN SA DE CV</t>
        </is>
      </c>
      <c r="K321" t="inlineStr">
        <is>
          <t>N30</t>
        </is>
      </c>
      <c r="L321" t="inlineStr">
        <is>
          <t>(AP) NAFIN 30 Dias</t>
        </is>
      </c>
      <c r="M321" t="n">
        <v>10000437</v>
      </c>
      <c r="N321" t="inlineStr">
        <is>
          <t>Grava Triturada Basalto 20 mm - 3/4"</t>
        </is>
      </c>
      <c r="O321" t="inlineStr">
        <is>
          <t>DW68</t>
        </is>
      </c>
      <c r="P321" t="inlineStr">
        <is>
          <t>MX-CED. GUADALAJARA</t>
        </is>
      </c>
      <c r="Q321" t="n">
        <v>20250507</v>
      </c>
      <c r="R321" t="n">
        <v>20301231</v>
      </c>
      <c r="S321" t="n">
        <v>20250507</v>
      </c>
      <c r="T321" t="n">
        <v>20301231</v>
      </c>
      <c r="U321" t="n">
        <v>385.09</v>
      </c>
      <c r="V321" t="inlineStr">
        <is>
          <t>MXN</t>
        </is>
      </c>
      <c r="W321" t="inlineStr">
        <is>
          <t>M3</t>
        </is>
      </c>
      <c r="X321" t="n">
        <v>90.09</v>
      </c>
      <c r="Y321" t="inlineStr">
        <is>
          <t>MXN</t>
        </is>
      </c>
      <c r="Z321" t="inlineStr">
        <is>
          <t>M3</t>
        </is>
      </c>
      <c r="AA321" t="inlineStr">
        <is>
          <t>D251</t>
        </is>
      </c>
      <c r="AB321" t="inlineStr">
        <is>
          <t>PD0339 EL SALTO</t>
        </is>
      </c>
      <c r="AC321" t="n">
        <v>56103637</v>
      </c>
      <c r="AD321" t="n">
        <v>6644241540</v>
      </c>
      <c r="AE321" t="n">
        <v>4</v>
      </c>
      <c r="AF321" t="inlineStr">
        <is>
          <t>ENTREGA DIRECTA</t>
        </is>
      </c>
      <c r="AG321" t="n">
        <v>1.505</v>
      </c>
      <c r="AH321" t="inlineStr">
        <is>
          <t>M3</t>
        </is>
      </c>
      <c r="AI321" t="inlineStr">
        <is>
          <t>X</t>
        </is>
      </c>
      <c r="AJ321" t="n">
        <v>4</v>
      </c>
      <c r="AK321" t="inlineStr">
        <is>
          <t>V4</t>
        </is>
      </c>
      <c r="AL321" t="n">
        <v>20250513</v>
      </c>
      <c r="AM321" t="inlineStr">
        <is>
          <t>DW68-900009220-D251-10000437-4</t>
        </is>
      </c>
    </row>
    <row r="322">
      <c r="A322" t="inlineStr">
        <is>
          <t>900000620DW68ENV910270912</t>
        </is>
      </c>
      <c r="B322" t="inlineStr">
        <is>
          <t>4600071941-100</t>
        </is>
      </c>
      <c r="C322" t="n">
        <v>4600071941</v>
      </c>
      <c r="D322" t="n">
        <v>100</v>
      </c>
      <c r="E322" t="inlineStr">
        <is>
          <t>MXPO</t>
        </is>
      </c>
      <c r="F322" t="inlineStr">
        <is>
          <t>MXL</t>
        </is>
      </c>
      <c r="G322" t="n">
        <v>900000620</v>
      </c>
      <c r="H322" t="inlineStr">
        <is>
          <t>TC-ED- GRAVASE STA. ROSA</t>
        </is>
      </c>
      <c r="I322" t="n">
        <v>5009010</v>
      </c>
      <c r="J322" t="inlineStr">
        <is>
          <t>GRAVASE SA DE CV</t>
        </is>
      </c>
      <c r="K322" t="inlineStr">
        <is>
          <t>Z04</t>
        </is>
      </c>
      <c r="L322" t="inlineStr">
        <is>
          <t>(AP) 30 Dias</t>
        </is>
      </c>
      <c r="M322" t="n">
        <v>10270912</v>
      </c>
      <c r="N322" t="inlineStr">
        <is>
          <t>MP ARENA TRIT. BASALTO MALLA 4</t>
        </is>
      </c>
      <c r="O322" t="inlineStr">
        <is>
          <t>DW68</t>
        </is>
      </c>
      <c r="P322" t="inlineStr">
        <is>
          <t>MX-CED. GUADALAJARA</t>
        </is>
      </c>
      <c r="Q322" t="n">
        <v>20260126</v>
      </c>
      <c r="R322" t="n">
        <v>20301231</v>
      </c>
      <c r="S322" t="n">
        <v>20260301</v>
      </c>
      <c r="T322" t="n">
        <v>20301231</v>
      </c>
      <c r="U322" t="n">
        <v>245</v>
      </c>
      <c r="V322" t="inlineStr">
        <is>
          <t>MXN</t>
        </is>
      </c>
      <c r="W322" t="inlineStr">
        <is>
          <t>TN</t>
        </is>
      </c>
      <c r="X322" t="n">
        <v>0.01</v>
      </c>
      <c r="Y322" t="inlineStr">
        <is>
          <t>MXN</t>
        </is>
      </c>
      <c r="Z322" t="inlineStr">
        <is>
          <t>TN</t>
        </is>
      </c>
      <c r="AA322" t="inlineStr">
        <is>
          <t>ENV9</t>
        </is>
      </c>
      <c r="AB322" t="inlineStr">
        <is>
          <t>VIALIDADES AEROPUERTO GDL F1 Y F2 /</t>
        </is>
      </c>
      <c r="AC322" t="n">
        <v>56103638</v>
      </c>
      <c r="AD322" t="n">
        <v>6644241540</v>
      </c>
      <c r="AE322" t="n">
        <v>4</v>
      </c>
      <c r="AF322" t="inlineStr">
        <is>
          <t>ENTREGA DIRECTA</t>
        </is>
      </c>
      <c r="AG322" t="n">
        <v>1</v>
      </c>
      <c r="AH322" t="inlineStr">
        <is>
          <t>TO</t>
        </is>
      </c>
      <c r="AI322" t="inlineStr">
        <is>
          <t>X</t>
        </is>
      </c>
      <c r="AJ322" t="n">
        <v>4</v>
      </c>
      <c r="AK322" t="inlineStr">
        <is>
          <t>V4</t>
        </is>
      </c>
      <c r="AL322" t="n">
        <v>20260331</v>
      </c>
      <c r="AM322" t="inlineStr">
        <is>
          <t>DW68-900000620-ENV9-10270912-4</t>
        </is>
      </c>
    </row>
    <row r="323">
      <c r="A323" t="inlineStr">
        <is>
          <t>900000620DW68D57710000439</t>
        </is>
      </c>
      <c r="B323" t="inlineStr">
        <is>
          <t>4600071941-160</t>
        </is>
      </c>
      <c r="C323" t="n">
        <v>4600071941</v>
      </c>
      <c r="D323" t="n">
        <v>160</v>
      </c>
      <c r="E323" t="inlineStr">
        <is>
          <t>MXPO</t>
        </is>
      </c>
      <c r="F323" t="inlineStr">
        <is>
          <t>MXL</t>
        </is>
      </c>
      <c r="G323" t="n">
        <v>900000620</v>
      </c>
      <c r="H323" t="inlineStr">
        <is>
          <t>TC-ED- GRAVASE STA. ROSA</t>
        </is>
      </c>
      <c r="I323" t="n">
        <v>5009010</v>
      </c>
      <c r="J323" t="inlineStr">
        <is>
          <t>GRAVASE SA DE CV</t>
        </is>
      </c>
      <c r="K323" t="inlineStr">
        <is>
          <t>Z04</t>
        </is>
      </c>
      <c r="L323" t="inlineStr">
        <is>
          <t>(AP) 30 Dias</t>
        </is>
      </c>
      <c r="M323" t="n">
        <v>10000439</v>
      </c>
      <c r="N323" t="inlineStr">
        <is>
          <t>Grava Triturada Basalto 10 mm - 3/8"</t>
        </is>
      </c>
      <c r="O323" t="inlineStr">
        <is>
          <t>DW68</t>
        </is>
      </c>
      <c r="P323" t="inlineStr">
        <is>
          <t>MX-CED. GUADALAJARA</t>
        </is>
      </c>
      <c r="Q323" t="n">
        <v>20260126</v>
      </c>
      <c r="R323" t="n">
        <v>20301231</v>
      </c>
      <c r="S323" t="n">
        <v>20260407</v>
      </c>
      <c r="T323" t="n">
        <v>20301231</v>
      </c>
      <c r="U323" t="n">
        <v>254.01</v>
      </c>
      <c r="V323" t="inlineStr">
        <is>
          <t>MXN</t>
        </is>
      </c>
      <c r="W323" t="inlineStr">
        <is>
          <t>TN</t>
        </is>
      </c>
      <c r="X323" t="n">
        <v>0.01</v>
      </c>
      <c r="Y323" t="inlineStr">
        <is>
          <t>MXN</t>
        </is>
      </c>
      <c r="Z323" t="inlineStr">
        <is>
          <t>TN</t>
        </is>
      </c>
      <c r="AA323" t="inlineStr">
        <is>
          <t>D577</t>
        </is>
      </c>
      <c r="AB323" t="inlineStr">
        <is>
          <t>D577 PD0681 PROY APTO GDL</t>
        </is>
      </c>
      <c r="AC323" t="n">
        <v>56103637</v>
      </c>
      <c r="AD323" t="n">
        <v>6644241540</v>
      </c>
      <c r="AE323" t="n">
        <v>4</v>
      </c>
      <c r="AF323" t="inlineStr">
        <is>
          <t>ENTREGA DIRECTA</t>
        </is>
      </c>
      <c r="AG323" t="n">
        <v>1</v>
      </c>
      <c r="AH323" t="inlineStr">
        <is>
          <t>TO</t>
        </is>
      </c>
      <c r="AI323" t="inlineStr">
        <is>
          <t>X</t>
        </is>
      </c>
      <c r="AJ323" t="n">
        <v>4</v>
      </c>
      <c r="AK323" t="inlineStr">
        <is>
          <t>V4</t>
        </is>
      </c>
      <c r="AL323" t="n">
        <v>20260409</v>
      </c>
      <c r="AM323" t="inlineStr">
        <is>
          <t>DW68-900000620-D577-10000439-4</t>
        </is>
      </c>
    </row>
    <row r="324">
      <c r="A324" t="inlineStr">
        <is>
          <t>900000620DW68D57710270911</t>
        </is>
      </c>
      <c r="B324" t="inlineStr">
        <is>
          <t>4600071941-190</t>
        </is>
      </c>
      <c r="C324" t="n">
        <v>4600071941</v>
      </c>
      <c r="D324" t="n">
        <v>190</v>
      </c>
      <c r="E324" t="inlineStr">
        <is>
          <t>MXPO</t>
        </is>
      </c>
      <c r="F324" t="inlineStr">
        <is>
          <t>MXL</t>
        </is>
      </c>
      <c r="G324" t="n">
        <v>900000620</v>
      </c>
      <c r="H324" t="inlineStr">
        <is>
          <t>TC-ED- GRAVASE STA. ROSA</t>
        </is>
      </c>
      <c r="I324" t="n">
        <v>5009010</v>
      </c>
      <c r="J324" t="inlineStr">
        <is>
          <t>GRAVASE SA DE CV</t>
        </is>
      </c>
      <c r="K324" t="inlineStr">
        <is>
          <t>Z04</t>
        </is>
      </c>
      <c r="L324" t="inlineStr">
        <is>
          <t>(AP) 30 Dias</t>
        </is>
      </c>
      <c r="M324" t="n">
        <v>10270911</v>
      </c>
      <c r="N324" t="inlineStr">
        <is>
          <t>MP GRAVA TRIT. BASALTO 40 MM - 1 1/2"</t>
        </is>
      </c>
      <c r="O324" t="inlineStr">
        <is>
          <t>DW68</t>
        </is>
      </c>
      <c r="P324" t="inlineStr">
        <is>
          <t>MX-CED. GUADALAJARA</t>
        </is>
      </c>
      <c r="Q324" t="n">
        <v>20260126</v>
      </c>
      <c r="R324" t="n">
        <v>20301231</v>
      </c>
      <c r="S324" t="n">
        <v>20260326</v>
      </c>
      <c r="T324" t="n">
        <v>20301231</v>
      </c>
      <c r="U324" t="n">
        <v>214</v>
      </c>
      <c r="V324" t="inlineStr">
        <is>
          <t>MXN</t>
        </is>
      </c>
      <c r="W324" t="inlineStr">
        <is>
          <t>TN</t>
        </is>
      </c>
      <c r="X324" t="n">
        <v>0.01</v>
      </c>
      <c r="Y324" t="inlineStr">
        <is>
          <t>MXN</t>
        </is>
      </c>
      <c r="Z324" t="inlineStr">
        <is>
          <t>TN</t>
        </is>
      </c>
      <c r="AA324" t="inlineStr">
        <is>
          <t>D577</t>
        </is>
      </c>
      <c r="AB324" t="inlineStr">
        <is>
          <t>D577 PD0681 PROY APTO GDL</t>
        </is>
      </c>
      <c r="AC324" t="n">
        <v>56103637</v>
      </c>
      <c r="AD324" t="n">
        <v>6644241540</v>
      </c>
      <c r="AE324" t="n">
        <v>4</v>
      </c>
      <c r="AF324" t="inlineStr">
        <is>
          <t>ENTREGA DIRECTA</t>
        </is>
      </c>
      <c r="AG324" t="n">
        <v>1</v>
      </c>
      <c r="AH324" t="inlineStr">
        <is>
          <t>TO</t>
        </is>
      </c>
      <c r="AI324" t="inlineStr">
        <is>
          <t>X</t>
        </is>
      </c>
      <c r="AJ324" t="n">
        <v>4</v>
      </c>
      <c r="AK324" t="inlineStr">
        <is>
          <t>V4</t>
        </is>
      </c>
      <c r="AL324" t="n">
        <v>20260331</v>
      </c>
      <c r="AM324" t="inlineStr">
        <is>
          <t>DW68-900000620-D577-10270911-4</t>
        </is>
      </c>
    </row>
    <row r="325">
      <c r="A325" t="inlineStr">
        <is>
          <t>900000620DW68ENV910270913</t>
        </is>
      </c>
      <c r="B325" t="inlineStr">
        <is>
          <t>4600071941-110</t>
        </is>
      </c>
      <c r="C325" t="n">
        <v>4600071941</v>
      </c>
      <c r="D325" t="n">
        <v>110</v>
      </c>
      <c r="E325" t="inlineStr">
        <is>
          <t>MXPO</t>
        </is>
      </c>
      <c r="F325" t="inlineStr">
        <is>
          <t>MXL</t>
        </is>
      </c>
      <c r="G325" t="n">
        <v>900000620</v>
      </c>
      <c r="H325" t="inlineStr">
        <is>
          <t>TC-ED- GRAVASE STA. ROSA</t>
        </is>
      </c>
      <c r="I325" t="n">
        <v>5009010</v>
      </c>
      <c r="J325" t="inlineStr">
        <is>
          <t>GRAVASE SA DE CV</t>
        </is>
      </c>
      <c r="K325" t="inlineStr">
        <is>
          <t>Z04</t>
        </is>
      </c>
      <c r="L325" t="inlineStr">
        <is>
          <t>(AP) 30 Dias</t>
        </is>
      </c>
      <c r="M325" t="n">
        <v>10270913</v>
      </c>
      <c r="N325" t="inlineStr">
        <is>
          <t>MP GRAVA TRIT. BASALTO 20 MM - 3/4</t>
        </is>
      </c>
      <c r="O325" t="inlineStr">
        <is>
          <t>DW68</t>
        </is>
      </c>
      <c r="P325" t="inlineStr">
        <is>
          <t>MX-CED. GUADALAJARA</t>
        </is>
      </c>
      <c r="Q325" t="n">
        <v>20260126</v>
      </c>
      <c r="R325" t="n">
        <v>20301231</v>
      </c>
      <c r="S325" t="n">
        <v>20260301</v>
      </c>
      <c r="T325" t="n">
        <v>20301231</v>
      </c>
      <c r="U325" t="n">
        <v>231.12</v>
      </c>
      <c r="V325" t="inlineStr">
        <is>
          <t>MXN</t>
        </is>
      </c>
      <c r="W325" t="inlineStr">
        <is>
          <t>TN</t>
        </is>
      </c>
      <c r="X325" t="n">
        <v>0.01</v>
      </c>
      <c r="Y325" t="inlineStr">
        <is>
          <t>MXN</t>
        </is>
      </c>
      <c r="Z325" t="inlineStr">
        <is>
          <t>TN</t>
        </is>
      </c>
      <c r="AA325" t="inlineStr">
        <is>
          <t>ENV9</t>
        </is>
      </c>
      <c r="AB325" t="inlineStr">
        <is>
          <t>VIALIDADES AEROPUERTO GDL F1 Y F2 /</t>
        </is>
      </c>
      <c r="AC325" t="n">
        <v>56103637</v>
      </c>
      <c r="AD325" t="n">
        <v>6644241540</v>
      </c>
      <c r="AE325" t="n">
        <v>4</v>
      </c>
      <c r="AF325" t="inlineStr">
        <is>
          <t>ENTREGA DIRECTA</t>
        </is>
      </c>
      <c r="AG325" t="n">
        <v>1</v>
      </c>
      <c r="AH325" t="inlineStr">
        <is>
          <t>TO</t>
        </is>
      </c>
      <c r="AI325" t="inlineStr">
        <is>
          <t>X</t>
        </is>
      </c>
      <c r="AJ325" t="n">
        <v>4</v>
      </c>
      <c r="AK325" t="inlineStr">
        <is>
          <t>V4</t>
        </is>
      </c>
      <c r="AL325" t="n">
        <v>20260331</v>
      </c>
      <c r="AM325" t="inlineStr">
        <is>
          <t>DW68-900000620-ENV9-10270913-4</t>
        </is>
      </c>
    </row>
    <row r="326">
      <c r="A326" t="inlineStr">
        <is>
          <t>900000620DW68D57710270913</t>
        </is>
      </c>
      <c r="B326" t="inlineStr">
        <is>
          <t>4600071941-210</t>
        </is>
      </c>
      <c r="C326" t="n">
        <v>4600071941</v>
      </c>
      <c r="D326" t="n">
        <v>210</v>
      </c>
      <c r="E326" t="inlineStr">
        <is>
          <t>MXPO</t>
        </is>
      </c>
      <c r="F326" t="inlineStr">
        <is>
          <t>MXL</t>
        </is>
      </c>
      <c r="G326" t="n">
        <v>900000620</v>
      </c>
      <c r="H326" t="inlineStr">
        <is>
          <t>TC-ED- GRAVASE STA. ROSA</t>
        </is>
      </c>
      <c r="I326" t="n">
        <v>5009010</v>
      </c>
      <c r="J326" t="inlineStr">
        <is>
          <t>GRAVASE SA DE CV</t>
        </is>
      </c>
      <c r="K326" t="inlineStr">
        <is>
          <t>Z04</t>
        </is>
      </c>
      <c r="L326" t="inlineStr">
        <is>
          <t>(AP) 30 Dias</t>
        </is>
      </c>
      <c r="M326" t="n">
        <v>10270913</v>
      </c>
      <c r="N326" t="inlineStr">
        <is>
          <t>MP GRAVA TRIT. BASALTO 20 MM - 3/4</t>
        </is>
      </c>
      <c r="O326" t="inlineStr">
        <is>
          <t>DW68</t>
        </is>
      </c>
      <c r="P326" t="inlineStr">
        <is>
          <t>MX-CED. GUADALAJARA</t>
        </is>
      </c>
      <c r="Q326" t="n">
        <v>20260126</v>
      </c>
      <c r="R326" t="n">
        <v>20301231</v>
      </c>
      <c r="S326" t="n">
        <v>20260326</v>
      </c>
      <c r="T326" t="n">
        <v>20301231</v>
      </c>
      <c r="U326" t="n">
        <v>231.12</v>
      </c>
      <c r="V326" t="inlineStr">
        <is>
          <t>MXN</t>
        </is>
      </c>
      <c r="W326" t="inlineStr">
        <is>
          <t>TN</t>
        </is>
      </c>
      <c r="X326" t="n">
        <v>0.01</v>
      </c>
      <c r="Y326" t="inlineStr">
        <is>
          <t>MXN</t>
        </is>
      </c>
      <c r="Z326" t="inlineStr">
        <is>
          <t>TN</t>
        </is>
      </c>
      <c r="AA326" t="inlineStr">
        <is>
          <t>D577</t>
        </is>
      </c>
      <c r="AB326" t="inlineStr">
        <is>
          <t>D577 PD0681 PROY APTO GDL</t>
        </is>
      </c>
      <c r="AC326" t="n">
        <v>56103637</v>
      </c>
      <c r="AD326" t="n">
        <v>6644241540</v>
      </c>
      <c r="AE326" t="n">
        <v>4</v>
      </c>
      <c r="AF326" t="inlineStr">
        <is>
          <t>ENTREGA DIRECTA</t>
        </is>
      </c>
      <c r="AG326" t="n">
        <v>1</v>
      </c>
      <c r="AH326" t="inlineStr">
        <is>
          <t>TO</t>
        </is>
      </c>
      <c r="AI326" t="inlineStr">
        <is>
          <t>X</t>
        </is>
      </c>
      <c r="AJ326" t="n">
        <v>4</v>
      </c>
      <c r="AK326" t="inlineStr">
        <is>
          <t>V4</t>
        </is>
      </c>
      <c r="AL326" t="n">
        <v>20260331</v>
      </c>
      <c r="AM326" t="inlineStr">
        <is>
          <t>DW68-900000620-D577-10270913-4</t>
        </is>
      </c>
    </row>
    <row r="327">
      <c r="A327" t="inlineStr">
        <is>
          <t>900000620DW68D57710270912</t>
        </is>
      </c>
      <c r="B327" t="inlineStr">
        <is>
          <t>4600071941-200</t>
        </is>
      </c>
      <c r="C327" t="n">
        <v>4600071941</v>
      </c>
      <c r="D327" t="n">
        <v>200</v>
      </c>
      <c r="E327" t="inlineStr">
        <is>
          <t>MXPO</t>
        </is>
      </c>
      <c r="F327" t="inlineStr">
        <is>
          <t>MXL</t>
        </is>
      </c>
      <c r="G327" t="n">
        <v>900000620</v>
      </c>
      <c r="H327" t="inlineStr">
        <is>
          <t>TC-ED- GRAVASE STA. ROSA</t>
        </is>
      </c>
      <c r="I327" t="n">
        <v>5009010</v>
      </c>
      <c r="J327" t="inlineStr">
        <is>
          <t>GRAVASE SA DE CV</t>
        </is>
      </c>
      <c r="K327" t="inlineStr">
        <is>
          <t>Z04</t>
        </is>
      </c>
      <c r="L327" t="inlineStr">
        <is>
          <t>(AP) 30 Dias</t>
        </is>
      </c>
      <c r="M327" t="n">
        <v>10270912</v>
      </c>
      <c r="N327" t="inlineStr">
        <is>
          <t>MP ARENA TRIT. BASALTO MALLA 4</t>
        </is>
      </c>
      <c r="O327" t="inlineStr">
        <is>
          <t>DW68</t>
        </is>
      </c>
      <c r="P327" t="inlineStr">
        <is>
          <t>MX-CED. GUADALAJARA</t>
        </is>
      </c>
      <c r="Q327" t="n">
        <v>20260126</v>
      </c>
      <c r="R327" t="n">
        <v>20301231</v>
      </c>
      <c r="S327" t="n">
        <v>20260326</v>
      </c>
      <c r="T327" t="n">
        <v>20301231</v>
      </c>
      <c r="U327" t="n">
        <v>245</v>
      </c>
      <c r="V327" t="inlineStr">
        <is>
          <t>MXN</t>
        </is>
      </c>
      <c r="W327" t="inlineStr">
        <is>
          <t>TN</t>
        </is>
      </c>
      <c r="X327" t="n">
        <v>0.01</v>
      </c>
      <c r="Y327" t="inlineStr">
        <is>
          <t>MXN</t>
        </is>
      </c>
      <c r="Z327" t="inlineStr">
        <is>
          <t>TN</t>
        </is>
      </c>
      <c r="AA327" t="inlineStr">
        <is>
          <t>D577</t>
        </is>
      </c>
      <c r="AB327" t="inlineStr">
        <is>
          <t>D577 PD0681 PROY APTO GDL</t>
        </is>
      </c>
      <c r="AC327" t="n">
        <v>56103638</v>
      </c>
      <c r="AD327" t="n">
        <v>6644241540</v>
      </c>
      <c r="AE327" t="n">
        <v>4</v>
      </c>
      <c r="AF327" t="inlineStr">
        <is>
          <t>ENTREGA DIRECTA</t>
        </is>
      </c>
      <c r="AG327" t="n">
        <v>1</v>
      </c>
      <c r="AH327" t="inlineStr">
        <is>
          <t>TO</t>
        </is>
      </c>
      <c r="AI327" t="inlineStr">
        <is>
          <t>X</t>
        </is>
      </c>
      <c r="AJ327" t="n">
        <v>4</v>
      </c>
      <c r="AK327" t="inlineStr">
        <is>
          <t>V4</t>
        </is>
      </c>
      <c r="AL327" t="n">
        <v>20260331</v>
      </c>
      <c r="AM327" t="inlineStr">
        <is>
          <t>DW68-900000620-D577-10270912-4</t>
        </is>
      </c>
    </row>
    <row r="328">
      <c r="A328" t="inlineStr">
        <is>
          <t>900000620DW68ENV910270911</t>
        </is>
      </c>
      <c r="B328" t="inlineStr">
        <is>
          <t>4600071941-90</t>
        </is>
      </c>
      <c r="C328" t="n">
        <v>4600071941</v>
      </c>
      <c r="D328" t="n">
        <v>90</v>
      </c>
      <c r="E328" t="inlineStr">
        <is>
          <t>MXPO</t>
        </is>
      </c>
      <c r="F328" t="inlineStr">
        <is>
          <t>MXL</t>
        </is>
      </c>
      <c r="G328" t="n">
        <v>900000620</v>
      </c>
      <c r="H328" t="inlineStr">
        <is>
          <t>TC-ED- GRAVASE STA. ROSA</t>
        </is>
      </c>
      <c r="I328" t="n">
        <v>5009010</v>
      </c>
      <c r="J328" t="inlineStr">
        <is>
          <t>GRAVASE SA DE CV</t>
        </is>
      </c>
      <c r="K328" t="inlineStr">
        <is>
          <t>Z04</t>
        </is>
      </c>
      <c r="L328" t="inlineStr">
        <is>
          <t>(AP) 30 Dias</t>
        </is>
      </c>
      <c r="M328" t="n">
        <v>10270911</v>
      </c>
      <c r="N328" t="inlineStr">
        <is>
          <t>MP GRAVA TRIT. BASALTO 40 MM - 1 1/2"</t>
        </is>
      </c>
      <c r="O328" t="inlineStr">
        <is>
          <t>DW68</t>
        </is>
      </c>
      <c r="P328" t="inlineStr">
        <is>
          <t>MX-CED. GUADALAJARA</t>
        </is>
      </c>
      <c r="Q328" t="n">
        <v>20260126</v>
      </c>
      <c r="R328" t="n">
        <v>20301231</v>
      </c>
      <c r="S328" t="n">
        <v>20260301</v>
      </c>
      <c r="T328" t="n">
        <v>20301231</v>
      </c>
      <c r="U328" t="n">
        <v>214</v>
      </c>
      <c r="V328" t="inlineStr">
        <is>
          <t>MXN</t>
        </is>
      </c>
      <c r="W328" t="inlineStr">
        <is>
          <t>TN</t>
        </is>
      </c>
      <c r="X328" t="n">
        <v>0.01</v>
      </c>
      <c r="Y328" t="inlineStr">
        <is>
          <t>MXN</t>
        </is>
      </c>
      <c r="Z328" t="inlineStr">
        <is>
          <t>TN</t>
        </is>
      </c>
      <c r="AA328" t="inlineStr">
        <is>
          <t>ENV9</t>
        </is>
      </c>
      <c r="AB328" t="inlineStr">
        <is>
          <t>VIALIDADES AEROPUERTO GDL F1 Y F2 /</t>
        </is>
      </c>
      <c r="AC328" t="n">
        <v>56103637</v>
      </c>
      <c r="AD328" t="n">
        <v>6644241540</v>
      </c>
      <c r="AE328" t="n">
        <v>4</v>
      </c>
      <c r="AF328" t="inlineStr">
        <is>
          <t>ENTREGA DIRECTA</t>
        </is>
      </c>
      <c r="AG328" t="n">
        <v>1</v>
      </c>
      <c r="AH328" t="inlineStr">
        <is>
          <t>TO</t>
        </is>
      </c>
      <c r="AI328" t="inlineStr">
        <is>
          <t>X</t>
        </is>
      </c>
      <c r="AJ328" t="n">
        <v>4</v>
      </c>
      <c r="AK328" t="inlineStr">
        <is>
          <t>V4</t>
        </is>
      </c>
      <c r="AL328" t="n">
        <v>20260331</v>
      </c>
      <c r="AM328" t="inlineStr">
        <is>
          <t>DW68-900000620-ENV9-10270911-4</t>
        </is>
      </c>
    </row>
    <row r="329">
      <c r="A329" t="inlineStr">
        <is>
          <t>900000085DW6810141571</t>
        </is>
      </c>
      <c r="B329" t="inlineStr">
        <is>
          <t>4600050405-10</t>
        </is>
      </c>
      <c r="C329" t="n">
        <v>4600050405</v>
      </c>
      <c r="D329" t="n">
        <v>10</v>
      </c>
      <c r="E329" t="inlineStr">
        <is>
          <t>MXPO</t>
        </is>
      </c>
      <c r="F329" t="inlineStr">
        <is>
          <t>MXL</t>
        </is>
      </c>
      <c r="G329" t="n">
        <v>900000085</v>
      </c>
      <c r="H329" t="inlineStr">
        <is>
          <t>TC ASFALTOS GUADALAJARA- TONALA</t>
        </is>
      </c>
      <c r="I329" t="n">
        <v>5003735</v>
      </c>
      <c r="J329" t="inlineStr">
        <is>
          <t>ASFALTOS GUADALAJARA SAPI DE CV</t>
        </is>
      </c>
      <c r="K329" t="inlineStr">
        <is>
          <t>Z04</t>
        </is>
      </c>
      <c r="L329" t="inlineStr">
        <is>
          <t>(AP) 30 Dias</t>
        </is>
      </c>
      <c r="M329" t="n">
        <v>10141571</v>
      </c>
      <c r="N329" t="inlineStr">
        <is>
          <t>POLVO TRITURADO BASALTO</t>
        </is>
      </c>
      <c r="O329" t="inlineStr">
        <is>
          <t>DW68</t>
        </is>
      </c>
      <c r="P329" t="inlineStr">
        <is>
          <t>MX-CED. GUADALAJARA</t>
        </is>
      </c>
      <c r="Q329" t="n">
        <v>20210712</v>
      </c>
      <c r="R329" t="n">
        <v>20261231</v>
      </c>
      <c r="S329" t="n">
        <v>20210712</v>
      </c>
      <c r="T329" t="n">
        <v>20261231</v>
      </c>
      <c r="U329" t="n">
        <v>310</v>
      </c>
      <c r="V329" t="inlineStr">
        <is>
          <t>MXN</t>
        </is>
      </c>
      <c r="W329" t="inlineStr">
        <is>
          <t>M3</t>
        </is>
      </c>
      <c r="X329" t="n">
        <v>0</v>
      </c>
      <c r="Y329" t="inlineStr">
        <is>
          <t>MXN</t>
        </is>
      </c>
      <c r="Z329" t="inlineStr">
        <is>
          <t>M3</t>
        </is>
      </c>
      <c r="AC329" t="n">
        <v>56103638</v>
      </c>
      <c r="AD329" t="n">
        <v>6644241540</v>
      </c>
      <c r="AE329" t="n">
        <v>1</v>
      </c>
      <c r="AF329" t="inlineStr">
        <is>
          <t>ENTREGADO</t>
        </is>
      </c>
      <c r="AG329" t="n">
        <v>1.34</v>
      </c>
      <c r="AH329" t="inlineStr">
        <is>
          <t>M3</t>
        </is>
      </c>
      <c r="AI329" t="inlineStr">
        <is>
          <t>X</t>
        </is>
      </c>
      <c r="AJ329" t="n">
        <v>4</v>
      </c>
      <c r="AK329" t="inlineStr">
        <is>
          <t>V4</t>
        </is>
      </c>
      <c r="AL329" t="n">
        <v>20260108</v>
      </c>
      <c r="AM329" t="inlineStr">
        <is>
          <t>DW68-900000085-10141571</t>
        </is>
      </c>
    </row>
    <row r="330">
      <c r="A330" t="inlineStr">
        <is>
          <t>900000085DW6810000191</t>
        </is>
      </c>
      <c r="B330" t="inlineStr">
        <is>
          <t>4600050405-20</t>
        </is>
      </c>
      <c r="C330" t="n">
        <v>4600050405</v>
      </c>
      <c r="D330" t="n">
        <v>20</v>
      </c>
      <c r="E330" t="inlineStr">
        <is>
          <t>MXPO</t>
        </is>
      </c>
      <c r="F330" t="inlineStr">
        <is>
          <t>MXL</t>
        </is>
      </c>
      <c r="G330" t="n">
        <v>900000085</v>
      </c>
      <c r="H330" t="inlineStr">
        <is>
          <t>TC ASFALTOS GUADALAJARA- TONALA</t>
        </is>
      </c>
      <c r="I330" t="n">
        <v>5003735</v>
      </c>
      <c r="J330" t="inlineStr">
        <is>
          <t>ASFALTOS GUADALAJARA SAPI DE CV</t>
        </is>
      </c>
      <c r="K330" t="inlineStr">
        <is>
          <t>Z04</t>
        </is>
      </c>
      <c r="L330" t="inlineStr">
        <is>
          <t>(AP) 30 Dias</t>
        </is>
      </c>
      <c r="M330" t="n">
        <v>10000191</v>
      </c>
      <c r="N330" t="inlineStr">
        <is>
          <t>Grava Triturada Basalto 20 mm - 3/4"</t>
        </is>
      </c>
      <c r="O330" t="inlineStr">
        <is>
          <t>DW68</t>
        </is>
      </c>
      <c r="P330" t="inlineStr">
        <is>
          <t>MX-CED. GUADALAJARA</t>
        </is>
      </c>
      <c r="Q330" t="n">
        <v>20210712</v>
      </c>
      <c r="R330" t="n">
        <v>20261231</v>
      </c>
      <c r="S330" t="n">
        <v>20210712</v>
      </c>
      <c r="T330" t="n">
        <v>20261231</v>
      </c>
      <c r="U330" t="n">
        <v>175</v>
      </c>
      <c r="V330" t="inlineStr">
        <is>
          <t>MXN</t>
        </is>
      </c>
      <c r="W330" t="inlineStr">
        <is>
          <t>M3</t>
        </is>
      </c>
      <c r="X330" t="n">
        <v>0</v>
      </c>
      <c r="Y330" t="inlineStr">
        <is>
          <t>MXN</t>
        </is>
      </c>
      <c r="Z330" t="inlineStr">
        <is>
          <t>M3</t>
        </is>
      </c>
      <c r="AC330" t="n">
        <v>56103637</v>
      </c>
      <c r="AD330" t="n">
        <v>6644241540</v>
      </c>
      <c r="AE330" t="n">
        <v>1</v>
      </c>
      <c r="AF330" t="inlineStr">
        <is>
          <t>ENTREGADO</t>
        </is>
      </c>
      <c r="AG330" t="n">
        <v>1.41</v>
      </c>
      <c r="AH330" t="inlineStr">
        <is>
          <t>M3</t>
        </is>
      </c>
      <c r="AI330" t="inlineStr">
        <is>
          <t>X</t>
        </is>
      </c>
      <c r="AJ330" t="n">
        <v>4</v>
      </c>
      <c r="AK330" t="inlineStr">
        <is>
          <t>V4</t>
        </is>
      </c>
      <c r="AL330" t="n">
        <v>20260108</v>
      </c>
      <c r="AM330" t="inlineStr">
        <is>
          <t>DW68-900000085-10000191</t>
        </is>
      </c>
    </row>
    <row r="331">
      <c r="A331" t="inlineStr">
        <is>
          <t>900000367DW6810000191</t>
        </is>
      </c>
      <c r="B331" t="inlineStr">
        <is>
          <t>4600050407-20</t>
        </is>
      </c>
      <c r="C331" t="n">
        <v>4600050407</v>
      </c>
      <c r="D331" t="n">
        <v>20</v>
      </c>
      <c r="E331" t="inlineStr">
        <is>
          <t>MXPO</t>
        </is>
      </c>
      <c r="F331" t="inlineStr">
        <is>
          <t>MXL</t>
        </is>
      </c>
      <c r="G331" t="n">
        <v>900000367</v>
      </c>
      <c r="H331" t="inlineStr">
        <is>
          <t>TC ASFALTOS GUADALAJARA- ZAPOTE</t>
        </is>
      </c>
      <c r="I331" t="n">
        <v>5003735</v>
      </c>
      <c r="J331" t="inlineStr">
        <is>
          <t>ASFALTOS GUADALAJARA SAPI DE CV</t>
        </is>
      </c>
      <c r="K331" t="inlineStr">
        <is>
          <t>Z04</t>
        </is>
      </c>
      <c r="L331" t="inlineStr">
        <is>
          <t>(AP) 30 Dias</t>
        </is>
      </c>
      <c r="M331" t="n">
        <v>10000191</v>
      </c>
      <c r="N331" t="inlineStr">
        <is>
          <t>Grava Triturada Basalto 20 mm - 3/4"</t>
        </is>
      </c>
      <c r="O331" t="inlineStr">
        <is>
          <t>DW68</t>
        </is>
      </c>
      <c r="P331" t="inlineStr">
        <is>
          <t>MX-CED. GUADALAJARA</t>
        </is>
      </c>
      <c r="Q331" t="n">
        <v>20210712</v>
      </c>
      <c r="R331" t="n">
        <v>20261231</v>
      </c>
      <c r="S331" t="n">
        <v>20210712</v>
      </c>
      <c r="T331" t="n">
        <v>20261231</v>
      </c>
      <c r="U331" t="n">
        <v>170</v>
      </c>
      <c r="V331" t="inlineStr">
        <is>
          <t>MXN</t>
        </is>
      </c>
      <c r="W331" t="inlineStr">
        <is>
          <t>M3</t>
        </is>
      </c>
      <c r="X331" t="n">
        <v>0</v>
      </c>
      <c r="Y331" t="inlineStr">
        <is>
          <t>MXN</t>
        </is>
      </c>
      <c r="Z331" t="inlineStr">
        <is>
          <t>M3</t>
        </is>
      </c>
      <c r="AC331" t="n">
        <v>56103637</v>
      </c>
      <c r="AD331" t="n">
        <v>6644241540</v>
      </c>
      <c r="AE331" t="n">
        <v>1</v>
      </c>
      <c r="AF331" t="inlineStr">
        <is>
          <t>ENTREGADO</t>
        </is>
      </c>
      <c r="AG331" t="n">
        <v>1.41</v>
      </c>
      <c r="AH331" t="inlineStr">
        <is>
          <t>M3</t>
        </is>
      </c>
      <c r="AI331" t="inlineStr">
        <is>
          <t>X</t>
        </is>
      </c>
      <c r="AJ331" t="n">
        <v>4</v>
      </c>
      <c r="AK331" t="inlineStr">
        <is>
          <t>V4</t>
        </is>
      </c>
      <c r="AL331" t="n">
        <v>20260108</v>
      </c>
      <c r="AM331" t="inlineStr">
        <is>
          <t>DW68-900000367-10000191</t>
        </is>
      </c>
    </row>
    <row r="332">
      <c r="A332" t="inlineStr">
        <is>
          <t>900002461DW6810132394</t>
        </is>
      </c>
      <c r="B332" t="inlineStr">
        <is>
          <t>4600050420-10</t>
        </is>
      </c>
      <c r="C332" t="n">
        <v>4600050420</v>
      </c>
      <c r="D332" t="n">
        <v>10</v>
      </c>
      <c r="E332" t="inlineStr">
        <is>
          <t>MXPO</t>
        </is>
      </c>
      <c r="F332" t="inlineStr">
        <is>
          <t>MXL</t>
        </is>
      </c>
      <c r="G332" t="n">
        <v>900002461</v>
      </c>
      <c r="H332" t="inlineStr">
        <is>
          <t>TC- ASFALTOS GDL ESPECIAL LA VEGA</t>
        </is>
      </c>
      <c r="I332" t="n">
        <v>5003735</v>
      </c>
      <c r="J332" t="inlineStr">
        <is>
          <t>ASFALTOS GUADALAJARA SAPI DE CV</t>
        </is>
      </c>
      <c r="K332" t="inlineStr">
        <is>
          <t>Z04</t>
        </is>
      </c>
      <c r="L332" t="inlineStr">
        <is>
          <t>(AP) 30 Dias</t>
        </is>
      </c>
      <c r="M332" t="n">
        <v>10132394</v>
      </c>
      <c r="N332" t="inlineStr">
        <is>
          <t>GRAVA TRITURADA BASALTO 40 MM - MALLA #4</t>
        </is>
      </c>
      <c r="O332" t="inlineStr">
        <is>
          <t>DW68</t>
        </is>
      </c>
      <c r="P332" t="inlineStr">
        <is>
          <t>MX-CED. GUADALAJARA</t>
        </is>
      </c>
      <c r="Q332" t="n">
        <v>20210712</v>
      </c>
      <c r="R332" t="n">
        <v>20261231</v>
      </c>
      <c r="S332" t="n">
        <v>20210712</v>
      </c>
      <c r="T332" t="n">
        <v>20261231</v>
      </c>
      <c r="U332" t="n">
        <v>160</v>
      </c>
      <c r="V332" t="inlineStr">
        <is>
          <t>MXN</t>
        </is>
      </c>
      <c r="W332" t="inlineStr">
        <is>
          <t>M3</t>
        </is>
      </c>
      <c r="X332" t="n">
        <v>0</v>
      </c>
      <c r="Y332" t="inlineStr">
        <is>
          <t>MXN</t>
        </is>
      </c>
      <c r="Z332" t="inlineStr">
        <is>
          <t>M3</t>
        </is>
      </c>
      <c r="AC332" t="n">
        <v>56103637</v>
      </c>
      <c r="AD332" t="n">
        <v>6644241540</v>
      </c>
      <c r="AE332" t="n">
        <v>1</v>
      </c>
      <c r="AF332" t="inlineStr">
        <is>
          <t>ENTREGADO</t>
        </is>
      </c>
      <c r="AG332" t="n">
        <v>1.396</v>
      </c>
      <c r="AH332" t="inlineStr">
        <is>
          <t>M3</t>
        </is>
      </c>
      <c r="AI332" t="inlineStr">
        <is>
          <t>X</t>
        </is>
      </c>
      <c r="AJ332" t="n">
        <v>4</v>
      </c>
      <c r="AK332" t="inlineStr">
        <is>
          <t>V4</t>
        </is>
      </c>
      <c r="AL332" t="n">
        <v>20260108</v>
      </c>
      <c r="AM332" t="inlineStr">
        <is>
          <t>DW68-900002461-10132394</t>
        </is>
      </c>
    </row>
    <row r="333">
      <c r="A333" t="inlineStr">
        <is>
          <t>900004700DW6810004258</t>
        </is>
      </c>
      <c r="B333" t="inlineStr">
        <is>
          <t>4600058264-40</t>
        </is>
      </c>
      <c r="C333" t="n">
        <v>4600058264</v>
      </c>
      <c r="D333" t="n">
        <v>40</v>
      </c>
      <c r="E333" t="inlineStr">
        <is>
          <t>MXPO</t>
        </is>
      </c>
      <c r="F333" t="inlineStr">
        <is>
          <t>MXL</t>
        </is>
      </c>
      <c r="G333" t="n">
        <v>900004700</v>
      </c>
      <c r="H333" t="inlineStr">
        <is>
          <t>TC-GRAVASE OCOTLAN</t>
        </is>
      </c>
      <c r="I333" t="n">
        <v>5009010</v>
      </c>
      <c r="J333" t="inlineStr">
        <is>
          <t>GRAVASE SA DE CV</t>
        </is>
      </c>
      <c r="K333" t="inlineStr">
        <is>
          <t>Z04</t>
        </is>
      </c>
      <c r="L333" t="inlineStr">
        <is>
          <t>(AP) 30 Dias</t>
        </is>
      </c>
      <c r="M333" t="n">
        <v>10004258</v>
      </c>
      <c r="N333" t="inlineStr">
        <is>
          <t>Sello Triturado Basalto 10 mm - 3/8"</t>
        </is>
      </c>
      <c r="O333" t="inlineStr">
        <is>
          <t>DW68</t>
        </is>
      </c>
      <c r="P333" t="inlineStr">
        <is>
          <t>MX-CED. GUADALAJARA</t>
        </is>
      </c>
      <c r="Q333" t="n">
        <v>20230802</v>
      </c>
      <c r="R333" t="n">
        <v>20281231</v>
      </c>
      <c r="S333" t="n">
        <v>20230802</v>
      </c>
      <c r="T333" t="n">
        <v>20281231</v>
      </c>
      <c r="U333" t="n">
        <v>233.82</v>
      </c>
      <c r="V333" t="inlineStr">
        <is>
          <t>MXN</t>
        </is>
      </c>
      <c r="W333" t="inlineStr">
        <is>
          <t>TN</t>
        </is>
      </c>
      <c r="X333" t="n">
        <v>0</v>
      </c>
      <c r="Y333" t="inlineStr">
        <is>
          <t>MXN</t>
        </is>
      </c>
      <c r="Z333" t="inlineStr">
        <is>
          <t>TN</t>
        </is>
      </c>
      <c r="AC333" t="n">
        <v>56103637</v>
      </c>
      <c r="AD333" t="n">
        <v>6644241540</v>
      </c>
      <c r="AE333" t="n">
        <v>1</v>
      </c>
      <c r="AF333" t="inlineStr">
        <is>
          <t>ENTREGADO</t>
        </is>
      </c>
      <c r="AG333" t="n">
        <v>1</v>
      </c>
      <c r="AH333" t="inlineStr">
        <is>
          <t>TO</t>
        </is>
      </c>
      <c r="AI333" t="inlineStr">
        <is>
          <t>X</t>
        </is>
      </c>
      <c r="AJ333" t="n">
        <v>4</v>
      </c>
      <c r="AK333" t="inlineStr">
        <is>
          <t>V4</t>
        </is>
      </c>
      <c r="AL333" t="n">
        <v>20230920</v>
      </c>
      <c r="AM333" t="inlineStr">
        <is>
          <t>DW68-900004700-10004258</t>
        </is>
      </c>
    </row>
    <row r="334">
      <c r="A334" t="inlineStr">
        <is>
          <t>900004885DW68D24710000191</t>
        </is>
      </c>
      <c r="B334" t="inlineStr">
        <is>
          <t>4600050439-20</t>
        </is>
      </c>
      <c r="C334" t="n">
        <v>4600050439</v>
      </c>
      <c r="D334" t="n">
        <v>20</v>
      </c>
      <c r="E334" t="inlineStr">
        <is>
          <t>MXPO</t>
        </is>
      </c>
      <c r="F334" t="inlineStr">
        <is>
          <t>MXL</t>
        </is>
      </c>
      <c r="G334" t="n">
        <v>900004885</v>
      </c>
      <c r="H334" t="inlineStr">
        <is>
          <t>TC-ED PICA PIEDRA</t>
        </is>
      </c>
      <c r="I334" t="n">
        <v>5064954</v>
      </c>
      <c r="J334" t="inlineStr">
        <is>
          <t>AGREGADOS Y CONCRETOS PICA PIEDRA</t>
        </is>
      </c>
      <c r="K334" t="inlineStr">
        <is>
          <t>N90</t>
        </is>
      </c>
      <c r="L334" t="inlineStr">
        <is>
          <t>(AP) NAFIN 90 Dias</t>
        </is>
      </c>
      <c r="M334" t="n">
        <v>10000191</v>
      </c>
      <c r="N334" t="inlineStr">
        <is>
          <t>Grava Triturada Basalto 20 mm - 3/4"</t>
        </is>
      </c>
      <c r="O334" t="inlineStr">
        <is>
          <t>DW68</t>
        </is>
      </c>
      <c r="P334" t="inlineStr">
        <is>
          <t>MX-CED. GUADALAJARA</t>
        </is>
      </c>
      <c r="Q334" t="n">
        <v>20210801</v>
      </c>
      <c r="R334" t="n">
        <v>20261231</v>
      </c>
      <c r="S334" t="n">
        <v>20210712</v>
      </c>
      <c r="T334" t="n">
        <v>20261231</v>
      </c>
      <c r="U334" t="n">
        <v>205</v>
      </c>
      <c r="V334" t="inlineStr">
        <is>
          <t>MXN</t>
        </is>
      </c>
      <c r="W334" t="inlineStr">
        <is>
          <t>M3</t>
        </is>
      </c>
      <c r="X334" t="n">
        <v>100</v>
      </c>
      <c r="Y334" t="inlineStr">
        <is>
          <t>MXN</t>
        </is>
      </c>
      <c r="Z334" t="inlineStr">
        <is>
          <t>M3</t>
        </is>
      </c>
      <c r="AA334" t="inlineStr">
        <is>
          <t>D247</t>
        </is>
      </c>
      <c r="AB334" t="inlineStr">
        <is>
          <t>PD0518 TONALA</t>
        </is>
      </c>
      <c r="AC334" t="n">
        <v>56103637</v>
      </c>
      <c r="AD334" t="n">
        <v>6644241540</v>
      </c>
      <c r="AE334" t="n">
        <v>4</v>
      </c>
      <c r="AF334" t="inlineStr">
        <is>
          <t>ENTREGA DIRECTA</t>
        </is>
      </c>
      <c r="AG334" t="n">
        <v>1.41</v>
      </c>
      <c r="AH334" t="inlineStr">
        <is>
          <t>M3</t>
        </is>
      </c>
      <c r="AI334" t="inlineStr">
        <is>
          <t>X</t>
        </is>
      </c>
      <c r="AJ334" t="n">
        <v>4</v>
      </c>
      <c r="AK334" t="inlineStr">
        <is>
          <t>V4</t>
        </is>
      </c>
      <c r="AL334" t="n">
        <v>20260108</v>
      </c>
      <c r="AM334" t="inlineStr">
        <is>
          <t>DW68-900004885-D247-10000191-4</t>
        </is>
      </c>
    </row>
    <row r="335">
      <c r="A335" t="inlineStr">
        <is>
          <t>900004700DW6810000384</t>
        </is>
      </c>
      <c r="B335" t="inlineStr">
        <is>
          <t>4600058264-20</t>
        </is>
      </c>
      <c r="C335" t="n">
        <v>4600058264</v>
      </c>
      <c r="D335" t="n">
        <v>20</v>
      </c>
      <c r="E335" t="inlineStr">
        <is>
          <t>MXPO</t>
        </is>
      </c>
      <c r="F335" t="inlineStr">
        <is>
          <t>MXL</t>
        </is>
      </c>
      <c r="G335" t="n">
        <v>900004700</v>
      </c>
      <c r="H335" t="inlineStr">
        <is>
          <t>TC-GRAVASE OCOTLAN</t>
        </is>
      </c>
      <c r="I335" t="n">
        <v>5009010</v>
      </c>
      <c r="J335" t="inlineStr">
        <is>
          <t>GRAVASE SA DE CV</t>
        </is>
      </c>
      <c r="K335" t="inlineStr">
        <is>
          <t>Z04</t>
        </is>
      </c>
      <c r="L335" t="inlineStr">
        <is>
          <t>(AP) 30 Dias</t>
        </is>
      </c>
      <c r="M335" t="n">
        <v>10000384</v>
      </c>
      <c r="N335" t="inlineStr">
        <is>
          <t>Arena Triturada Basalto Malla 4</t>
        </is>
      </c>
      <c r="O335" t="inlineStr">
        <is>
          <t>DW68</t>
        </is>
      </c>
      <c r="P335" t="inlineStr">
        <is>
          <t>MX-CED. GUADALAJARA</t>
        </is>
      </c>
      <c r="Q335" t="n">
        <v>20230802</v>
      </c>
      <c r="R335" t="n">
        <v>20281231</v>
      </c>
      <c r="S335" t="n">
        <v>20230802</v>
      </c>
      <c r="T335" t="n">
        <v>20281231</v>
      </c>
      <c r="U335" t="n">
        <v>170.97</v>
      </c>
      <c r="V335" t="inlineStr">
        <is>
          <t>MXN</t>
        </is>
      </c>
      <c r="W335" t="inlineStr">
        <is>
          <t>TN</t>
        </is>
      </c>
      <c r="X335" t="n">
        <v>0</v>
      </c>
      <c r="Y335" t="inlineStr">
        <is>
          <t>MXN</t>
        </is>
      </c>
      <c r="Z335" t="inlineStr">
        <is>
          <t>TN</t>
        </is>
      </c>
      <c r="AC335" t="n">
        <v>56103638</v>
      </c>
      <c r="AD335" t="n">
        <v>6644241540</v>
      </c>
      <c r="AE335" t="n">
        <v>1</v>
      </c>
      <c r="AF335" t="inlineStr">
        <is>
          <t>ENTREGADO</t>
        </is>
      </c>
      <c r="AG335" t="n">
        <v>1</v>
      </c>
      <c r="AH335" t="inlineStr">
        <is>
          <t>TO</t>
        </is>
      </c>
      <c r="AI335" t="inlineStr">
        <is>
          <t>X</t>
        </is>
      </c>
      <c r="AJ335" t="n">
        <v>4</v>
      </c>
      <c r="AK335" t="inlineStr">
        <is>
          <t>V4</t>
        </is>
      </c>
      <c r="AL335" t="n">
        <v>20230920</v>
      </c>
      <c r="AM335" t="inlineStr">
        <is>
          <t>DW68-900004700-10000384</t>
        </is>
      </c>
    </row>
    <row r="336">
      <c r="A336" t="inlineStr">
        <is>
          <t>900004885DW68D25110000388</t>
        </is>
      </c>
      <c r="B336" t="inlineStr">
        <is>
          <t>4600050439-30</t>
        </is>
      </c>
      <c r="C336" t="n">
        <v>4600050439</v>
      </c>
      <c r="D336" t="n">
        <v>30</v>
      </c>
      <c r="E336" t="inlineStr">
        <is>
          <t>MXPO</t>
        </is>
      </c>
      <c r="F336" t="inlineStr">
        <is>
          <t>MXL</t>
        </is>
      </c>
      <c r="G336" t="n">
        <v>900004885</v>
      </c>
      <c r="H336" t="inlineStr">
        <is>
          <t>TC-ED PICA PIEDRA</t>
        </is>
      </c>
      <c r="I336" t="n">
        <v>5064954</v>
      </c>
      <c r="J336" t="inlineStr">
        <is>
          <t>AGREGADOS Y CONCRETOS PICA PIEDRA</t>
        </is>
      </c>
      <c r="K336" t="inlineStr">
        <is>
          <t>N90</t>
        </is>
      </c>
      <c r="L336" t="inlineStr">
        <is>
          <t>(AP) NAFIN 90 Dias</t>
        </is>
      </c>
      <c r="M336" t="n">
        <v>10000388</v>
      </c>
      <c r="N336" t="inlineStr">
        <is>
          <t>Grava Triturada Basalto  40 mm - 1 1/2"</t>
        </is>
      </c>
      <c r="O336" t="inlineStr">
        <is>
          <t>DW68</t>
        </is>
      </c>
      <c r="P336" t="inlineStr">
        <is>
          <t>MX-CED. GUADALAJARA</t>
        </is>
      </c>
      <c r="Q336" t="n">
        <v>20210801</v>
      </c>
      <c r="R336" t="n">
        <v>20261231</v>
      </c>
      <c r="S336" t="n">
        <v>20210712</v>
      </c>
      <c r="T336" t="n">
        <v>20261231</v>
      </c>
      <c r="U336" t="n">
        <v>209</v>
      </c>
      <c r="V336" t="inlineStr">
        <is>
          <t>MXN</t>
        </is>
      </c>
      <c r="W336" t="inlineStr">
        <is>
          <t>M3</t>
        </is>
      </c>
      <c r="X336" t="n">
        <v>100</v>
      </c>
      <c r="Y336" t="inlineStr">
        <is>
          <t>MXN</t>
        </is>
      </c>
      <c r="Z336" t="inlineStr">
        <is>
          <t>M3</t>
        </is>
      </c>
      <c r="AA336" t="inlineStr">
        <is>
          <t>D251</t>
        </is>
      </c>
      <c r="AB336" t="inlineStr">
        <is>
          <t>PD0339 EL SALTO</t>
        </is>
      </c>
      <c r="AC336" t="n">
        <v>56103637</v>
      </c>
      <c r="AD336" t="n">
        <v>6644241540</v>
      </c>
      <c r="AE336" t="n">
        <v>4</v>
      </c>
      <c r="AF336" t="inlineStr">
        <is>
          <t>ENTREGA DIRECTA</t>
        </is>
      </c>
      <c r="AG336" t="n">
        <v>1.395</v>
      </c>
      <c r="AH336" t="inlineStr">
        <is>
          <t>M3</t>
        </is>
      </c>
      <c r="AI336" t="inlineStr">
        <is>
          <t>X</t>
        </is>
      </c>
      <c r="AJ336" t="n">
        <v>4</v>
      </c>
      <c r="AK336" t="inlineStr">
        <is>
          <t>V4</t>
        </is>
      </c>
      <c r="AL336" t="n">
        <v>20260108</v>
      </c>
      <c r="AM336" t="inlineStr">
        <is>
          <t>DW68-900004885-D251-10000388-4</t>
        </is>
      </c>
    </row>
    <row r="337">
      <c r="A337" t="inlineStr">
        <is>
          <t>900004885DW68D25110000191</t>
        </is>
      </c>
      <c r="B337" t="inlineStr">
        <is>
          <t>4600050439-40</t>
        </is>
      </c>
      <c r="C337" t="n">
        <v>4600050439</v>
      </c>
      <c r="D337" t="n">
        <v>40</v>
      </c>
      <c r="E337" t="inlineStr">
        <is>
          <t>MXPO</t>
        </is>
      </c>
      <c r="F337" t="inlineStr">
        <is>
          <t>MXL</t>
        </is>
      </c>
      <c r="G337" t="n">
        <v>900004885</v>
      </c>
      <c r="H337" t="inlineStr">
        <is>
          <t>TC-ED PICA PIEDRA</t>
        </is>
      </c>
      <c r="I337" t="n">
        <v>5064954</v>
      </c>
      <c r="J337" t="inlineStr">
        <is>
          <t>AGREGADOS Y CONCRETOS PICA PIEDRA</t>
        </is>
      </c>
      <c r="K337" t="inlineStr">
        <is>
          <t>N90</t>
        </is>
      </c>
      <c r="L337" t="inlineStr">
        <is>
          <t>(AP) NAFIN 90 Dias</t>
        </is>
      </c>
      <c r="M337" t="n">
        <v>10000191</v>
      </c>
      <c r="N337" t="inlineStr">
        <is>
          <t>Grava Triturada Basalto 20 mm - 3/4"</t>
        </is>
      </c>
      <c r="O337" t="inlineStr">
        <is>
          <t>DW68</t>
        </is>
      </c>
      <c r="P337" t="inlineStr">
        <is>
          <t>MX-CED. GUADALAJARA</t>
        </is>
      </c>
      <c r="Q337" t="n">
        <v>20210801</v>
      </c>
      <c r="R337" t="n">
        <v>20261231</v>
      </c>
      <c r="S337" t="n">
        <v>20210712</v>
      </c>
      <c r="T337" t="n">
        <v>20261231</v>
      </c>
      <c r="U337" t="n">
        <v>209</v>
      </c>
      <c r="V337" t="inlineStr">
        <is>
          <t>MXN</t>
        </is>
      </c>
      <c r="W337" t="inlineStr">
        <is>
          <t>M3</t>
        </is>
      </c>
      <c r="X337" t="n">
        <v>100</v>
      </c>
      <c r="Y337" t="inlineStr">
        <is>
          <t>MXN</t>
        </is>
      </c>
      <c r="Z337" t="inlineStr">
        <is>
          <t>M3</t>
        </is>
      </c>
      <c r="AA337" t="inlineStr">
        <is>
          <t>D251</t>
        </is>
      </c>
      <c r="AB337" t="inlineStr">
        <is>
          <t>PD0339 EL SALTO</t>
        </is>
      </c>
      <c r="AC337" t="n">
        <v>56103637</v>
      </c>
      <c r="AD337" t="n">
        <v>6644241540</v>
      </c>
      <c r="AE337" t="n">
        <v>4</v>
      </c>
      <c r="AF337" t="inlineStr">
        <is>
          <t>ENTREGA DIRECTA</t>
        </is>
      </c>
      <c r="AG337" t="n">
        <v>1.41</v>
      </c>
      <c r="AH337" t="inlineStr">
        <is>
          <t>M3</t>
        </is>
      </c>
      <c r="AI337" t="inlineStr">
        <is>
          <t>X</t>
        </is>
      </c>
      <c r="AJ337" t="n">
        <v>4</v>
      </c>
      <c r="AK337" t="inlineStr">
        <is>
          <t>V4</t>
        </is>
      </c>
      <c r="AL337" t="n">
        <v>20260108</v>
      </c>
      <c r="AM337" t="inlineStr">
        <is>
          <t>DW68-900004885-D251-10000191-4</t>
        </is>
      </c>
    </row>
    <row r="338">
      <c r="A338" t="inlineStr">
        <is>
          <t>900004700DW6810000191</t>
        </is>
      </c>
      <c r="B338" t="inlineStr">
        <is>
          <t>4600058264-10</t>
        </is>
      </c>
      <c r="C338" t="n">
        <v>4600058264</v>
      </c>
      <c r="D338" t="n">
        <v>10</v>
      </c>
      <c r="E338" t="inlineStr">
        <is>
          <t>MXPO</t>
        </is>
      </c>
      <c r="F338" t="inlineStr">
        <is>
          <t>MXL</t>
        </is>
      </c>
      <c r="G338" t="n">
        <v>900004700</v>
      </c>
      <c r="H338" t="inlineStr">
        <is>
          <t>TC-GRAVASE OCOTLAN</t>
        </is>
      </c>
      <c r="I338" t="n">
        <v>5009010</v>
      </c>
      <c r="J338" t="inlineStr">
        <is>
          <t>GRAVASE SA DE CV</t>
        </is>
      </c>
      <c r="K338" t="inlineStr">
        <is>
          <t>Z04</t>
        </is>
      </c>
      <c r="L338" t="inlineStr">
        <is>
          <t>(AP) 30 Dias</t>
        </is>
      </c>
      <c r="M338" t="n">
        <v>10000191</v>
      </c>
      <c r="N338" t="inlineStr">
        <is>
          <t>Grava Triturada Basalto 20 mm - 3/4"</t>
        </is>
      </c>
      <c r="O338" t="inlineStr">
        <is>
          <t>DW68</t>
        </is>
      </c>
      <c r="P338" t="inlineStr">
        <is>
          <t>MX-CED. GUADALAJARA</t>
        </is>
      </c>
      <c r="Q338" t="n">
        <v>20230802</v>
      </c>
      <c r="R338" t="n">
        <v>20281231</v>
      </c>
      <c r="S338" t="n">
        <v>20230802</v>
      </c>
      <c r="T338" t="n">
        <v>20281231</v>
      </c>
      <c r="U338" t="n">
        <v>149.14</v>
      </c>
      <c r="V338" t="inlineStr">
        <is>
          <t>MXN</t>
        </is>
      </c>
      <c r="W338" t="inlineStr">
        <is>
          <t>TN</t>
        </is>
      </c>
      <c r="X338" t="n">
        <v>0</v>
      </c>
      <c r="Y338" t="inlineStr">
        <is>
          <t>MXN</t>
        </is>
      </c>
      <c r="Z338" t="inlineStr">
        <is>
          <t>TN</t>
        </is>
      </c>
      <c r="AC338" t="n">
        <v>56103637</v>
      </c>
      <c r="AD338" t="n">
        <v>6644241540</v>
      </c>
      <c r="AE338" t="n">
        <v>1</v>
      </c>
      <c r="AF338" t="inlineStr">
        <is>
          <t>ENTREGADO</t>
        </is>
      </c>
      <c r="AG338" t="n">
        <v>1</v>
      </c>
      <c r="AH338" t="inlineStr">
        <is>
          <t>TO</t>
        </is>
      </c>
      <c r="AI338" t="inlineStr">
        <is>
          <t>X</t>
        </is>
      </c>
      <c r="AJ338" t="n">
        <v>4</v>
      </c>
      <c r="AK338" t="inlineStr">
        <is>
          <t>V4</t>
        </is>
      </c>
      <c r="AL338" t="n">
        <v>20230920</v>
      </c>
      <c r="AM338" t="inlineStr">
        <is>
          <t>DW68-900004700-10000191</t>
        </is>
      </c>
    </row>
    <row r="339">
      <c r="A339" t="inlineStr">
        <is>
          <t>900004700DW6810000388</t>
        </is>
      </c>
      <c r="B339" t="inlineStr">
        <is>
          <t>4600058264-30</t>
        </is>
      </c>
      <c r="C339" t="n">
        <v>4600058264</v>
      </c>
      <c r="D339" t="n">
        <v>30</v>
      </c>
      <c r="E339" t="inlineStr">
        <is>
          <t>MXPO</t>
        </is>
      </c>
      <c r="F339" t="inlineStr">
        <is>
          <t>MXL</t>
        </is>
      </c>
      <c r="G339" t="n">
        <v>900004700</v>
      </c>
      <c r="H339" t="inlineStr">
        <is>
          <t>TC-GRAVASE OCOTLAN</t>
        </is>
      </c>
      <c r="I339" t="n">
        <v>5009010</v>
      </c>
      <c r="J339" t="inlineStr">
        <is>
          <t>GRAVASE SA DE CV</t>
        </is>
      </c>
      <c r="K339" t="inlineStr">
        <is>
          <t>Z04</t>
        </is>
      </c>
      <c r="L339" t="inlineStr">
        <is>
          <t>(AP) 30 Dias</t>
        </is>
      </c>
      <c r="M339" t="n">
        <v>10000388</v>
      </c>
      <c r="N339" t="inlineStr">
        <is>
          <t>Grava Triturada Basalto  40 mm - 1 1/2"</t>
        </is>
      </c>
      <c r="O339" t="inlineStr">
        <is>
          <t>DW68</t>
        </is>
      </c>
      <c r="P339" t="inlineStr">
        <is>
          <t>MX-CED. GUADALAJARA</t>
        </is>
      </c>
      <c r="Q339" t="n">
        <v>20230802</v>
      </c>
      <c r="R339" t="n">
        <v>20281231</v>
      </c>
      <c r="S339" t="n">
        <v>20230802</v>
      </c>
      <c r="T339" t="n">
        <v>20281231</v>
      </c>
      <c r="U339" t="n">
        <v>149.57</v>
      </c>
      <c r="V339" t="inlineStr">
        <is>
          <t>MXN</t>
        </is>
      </c>
      <c r="W339" t="inlineStr">
        <is>
          <t>TN</t>
        </is>
      </c>
      <c r="X339" t="n">
        <v>0</v>
      </c>
      <c r="Y339" t="inlineStr">
        <is>
          <t>MXN</t>
        </is>
      </c>
      <c r="Z339" t="inlineStr">
        <is>
          <t>TN</t>
        </is>
      </c>
      <c r="AC339" t="n">
        <v>56103637</v>
      </c>
      <c r="AD339" t="n">
        <v>6644241540</v>
      </c>
      <c r="AE339" t="n">
        <v>1</v>
      </c>
      <c r="AF339" t="inlineStr">
        <is>
          <t>ENTREGADO</t>
        </is>
      </c>
      <c r="AG339" t="n">
        <v>1</v>
      </c>
      <c r="AH339" t="inlineStr">
        <is>
          <t>TO</t>
        </is>
      </c>
      <c r="AI339" t="inlineStr">
        <is>
          <t>X</t>
        </is>
      </c>
      <c r="AJ339" t="n">
        <v>4</v>
      </c>
      <c r="AK339" t="inlineStr">
        <is>
          <t>V4</t>
        </is>
      </c>
      <c r="AL339" t="n">
        <v>20230920</v>
      </c>
      <c r="AM339" t="inlineStr">
        <is>
          <t>DW68-900004700-10000388</t>
        </is>
      </c>
    </row>
    <row r="340">
      <c r="A340" t="inlineStr">
        <is>
          <t>900004885DW68D24710000388</t>
        </is>
      </c>
      <c r="B340" t="inlineStr">
        <is>
          <t>4600050439-10</t>
        </is>
      </c>
      <c r="C340" t="n">
        <v>4600050439</v>
      </c>
      <c r="D340" t="n">
        <v>10</v>
      </c>
      <c r="E340" t="inlineStr">
        <is>
          <t>MXPO</t>
        </is>
      </c>
      <c r="F340" t="inlineStr">
        <is>
          <t>MXL</t>
        </is>
      </c>
      <c r="G340" t="n">
        <v>900004885</v>
      </c>
      <c r="H340" t="inlineStr">
        <is>
          <t>TC-ED PICA PIEDRA</t>
        </is>
      </c>
      <c r="I340" t="n">
        <v>5064954</v>
      </c>
      <c r="J340" t="inlineStr">
        <is>
          <t>AGREGADOS Y CONCRETOS PICA PIEDRA</t>
        </is>
      </c>
      <c r="K340" t="inlineStr">
        <is>
          <t>N90</t>
        </is>
      </c>
      <c r="L340" t="inlineStr">
        <is>
          <t>(AP) NAFIN 90 Dias</t>
        </is>
      </c>
      <c r="M340" t="n">
        <v>10000388</v>
      </c>
      <c r="N340" t="inlineStr">
        <is>
          <t>Grava Triturada Basalto  40 mm - 1 1/2"</t>
        </is>
      </c>
      <c r="O340" t="inlineStr">
        <is>
          <t>DW68</t>
        </is>
      </c>
      <c r="P340" t="inlineStr">
        <is>
          <t>MX-CED. GUADALAJARA</t>
        </is>
      </c>
      <c r="Q340" t="n">
        <v>20210801</v>
      </c>
      <c r="R340" t="n">
        <v>20261231</v>
      </c>
      <c r="S340" t="n">
        <v>20210712</v>
      </c>
      <c r="T340" t="n">
        <v>20261231</v>
      </c>
      <c r="U340" t="n">
        <v>205</v>
      </c>
      <c r="V340" t="inlineStr">
        <is>
          <t>MXN</t>
        </is>
      </c>
      <c r="W340" t="inlineStr">
        <is>
          <t>M3</t>
        </is>
      </c>
      <c r="X340" t="n">
        <v>100</v>
      </c>
      <c r="Y340" t="inlineStr">
        <is>
          <t>MXN</t>
        </is>
      </c>
      <c r="Z340" t="inlineStr">
        <is>
          <t>M3</t>
        </is>
      </c>
      <c r="AA340" t="inlineStr">
        <is>
          <t>D247</t>
        </is>
      </c>
      <c r="AB340" t="inlineStr">
        <is>
          <t>PD0518 TONALA</t>
        </is>
      </c>
      <c r="AC340" t="n">
        <v>56103637</v>
      </c>
      <c r="AD340" t="n">
        <v>6644241540</v>
      </c>
      <c r="AE340" t="n">
        <v>4</v>
      </c>
      <c r="AF340" t="inlineStr">
        <is>
          <t>ENTREGA DIRECTA</t>
        </is>
      </c>
      <c r="AG340" t="n">
        <v>1.395</v>
      </c>
      <c r="AH340" t="inlineStr">
        <is>
          <t>M3</t>
        </is>
      </c>
      <c r="AI340" t="inlineStr">
        <is>
          <t>X</t>
        </is>
      </c>
      <c r="AJ340" t="n">
        <v>4</v>
      </c>
      <c r="AK340" t="inlineStr">
        <is>
          <t>V4</t>
        </is>
      </c>
      <c r="AL340" t="n">
        <v>20260108</v>
      </c>
      <c r="AM340" t="inlineStr">
        <is>
          <t>DW68-900004885-D247-10000388-4</t>
        </is>
      </c>
    </row>
    <row r="341">
      <c r="A341" t="inlineStr">
        <is>
          <t>900005660DW68D20910000320</t>
        </is>
      </c>
      <c r="B341" t="inlineStr">
        <is>
          <t>4600050452-100</t>
        </is>
      </c>
      <c r="C341" t="n">
        <v>4600050452</v>
      </c>
      <c r="D341" t="n">
        <v>100</v>
      </c>
      <c r="E341" t="inlineStr">
        <is>
          <t>MXPO</t>
        </is>
      </c>
      <c r="F341" t="inlineStr">
        <is>
          <t>MXL</t>
        </is>
      </c>
      <c r="G341" t="n">
        <v>900005660</v>
      </c>
      <c r="H341" t="inlineStr">
        <is>
          <t>TC-ED CACOSA</t>
        </is>
      </c>
      <c r="I341" t="n">
        <v>5071856</v>
      </c>
      <c r="J341" t="inlineStr">
        <is>
          <t>CARBONATO DE CALCIO SOL SA DE</t>
        </is>
      </c>
      <c r="K341" t="inlineStr">
        <is>
          <t>Z09</t>
        </is>
      </c>
      <c r="L341" t="inlineStr">
        <is>
          <t>(AP) 90 Dias</t>
        </is>
      </c>
      <c r="M341" t="n">
        <v>10000320</v>
      </c>
      <c r="N341" t="inlineStr">
        <is>
          <t>Arena Triturada Caliza Malla 4</t>
        </is>
      </c>
      <c r="O341" t="inlineStr">
        <is>
          <t>DW68</t>
        </is>
      </c>
      <c r="P341" t="inlineStr">
        <is>
          <t>MX-CED. GUADALAJARA</t>
        </is>
      </c>
      <c r="Q341" t="n">
        <v>20210801</v>
      </c>
      <c r="R341" t="n">
        <v>20261231</v>
      </c>
      <c r="S341" t="n">
        <v>20210712</v>
      </c>
      <c r="T341" t="n">
        <v>20261231</v>
      </c>
      <c r="U341" t="n">
        <v>330</v>
      </c>
      <c r="V341" t="inlineStr">
        <is>
          <t>MXN</t>
        </is>
      </c>
      <c r="W341" t="inlineStr">
        <is>
          <t>TN</t>
        </is>
      </c>
      <c r="X341" t="n">
        <v>200</v>
      </c>
      <c r="Y341" t="inlineStr">
        <is>
          <t>MXN</t>
        </is>
      </c>
      <c r="Z341" t="inlineStr">
        <is>
          <t>TN</t>
        </is>
      </c>
      <c r="AA341" t="inlineStr">
        <is>
          <t>D209</t>
        </is>
      </c>
      <c r="AB341" t="inlineStr">
        <is>
          <t>PD0127 MANANTIAL</t>
        </is>
      </c>
      <c r="AC341" t="n">
        <v>56103638</v>
      </c>
      <c r="AD341" t="n">
        <v>6644241540</v>
      </c>
      <c r="AE341" t="n">
        <v>4</v>
      </c>
      <c r="AF341" t="inlineStr">
        <is>
          <t>ENTREGA DIRECTA</t>
        </is>
      </c>
      <c r="AG341" t="n">
        <v>1</v>
      </c>
      <c r="AH341" t="inlineStr">
        <is>
          <t>TO</t>
        </is>
      </c>
      <c r="AI341" t="inlineStr">
        <is>
          <t>X</t>
        </is>
      </c>
      <c r="AJ341" t="n">
        <v>4</v>
      </c>
      <c r="AK341" t="inlineStr">
        <is>
          <t>V4</t>
        </is>
      </c>
      <c r="AL341" t="n">
        <v>20260108</v>
      </c>
      <c r="AM341" t="inlineStr">
        <is>
          <t>DW68-900005660-D209-10000320-4</t>
        </is>
      </c>
    </row>
    <row r="342">
      <c r="A342" t="inlineStr">
        <is>
          <t>900004885DW68D22010000388</t>
        </is>
      </c>
      <c r="B342" t="inlineStr">
        <is>
          <t>4600050439-210</t>
        </is>
      </c>
      <c r="C342" t="n">
        <v>4600050439</v>
      </c>
      <c r="D342" t="n">
        <v>210</v>
      </c>
      <c r="E342" t="inlineStr">
        <is>
          <t>MXPO</t>
        </is>
      </c>
      <c r="F342" t="inlineStr">
        <is>
          <t>MXL</t>
        </is>
      </c>
      <c r="G342" t="n">
        <v>900004885</v>
      </c>
      <c r="H342" t="inlineStr">
        <is>
          <t>TC-ED PICA PIEDRA</t>
        </is>
      </c>
      <c r="I342" t="n">
        <v>5064954</v>
      </c>
      <c r="J342" t="inlineStr">
        <is>
          <t>AGREGADOS Y CONCRETOS PICA PIEDRA</t>
        </is>
      </c>
      <c r="K342" t="inlineStr">
        <is>
          <t>N90</t>
        </is>
      </c>
      <c r="L342" t="inlineStr">
        <is>
          <t>(AP) NAFIN 90 Dias</t>
        </is>
      </c>
      <c r="M342" t="n">
        <v>10000388</v>
      </c>
      <c r="N342" t="inlineStr">
        <is>
          <t>Grava Triturada Basalto  40 mm - 1 1/2"</t>
        </is>
      </c>
      <c r="O342" t="inlineStr">
        <is>
          <t>DW68</t>
        </is>
      </c>
      <c r="P342" t="inlineStr">
        <is>
          <t>MX-CED. GUADALAJARA</t>
        </is>
      </c>
      <c r="Q342" t="n">
        <v>20210801</v>
      </c>
      <c r="R342" t="n">
        <v>20261231</v>
      </c>
      <c r="S342" t="n">
        <v>20210712</v>
      </c>
      <c r="T342" t="n">
        <v>20261231</v>
      </c>
      <c r="U342" t="n">
        <v>240</v>
      </c>
      <c r="V342" t="inlineStr">
        <is>
          <t>MXN</t>
        </is>
      </c>
      <c r="W342" t="inlineStr">
        <is>
          <t>M3</t>
        </is>
      </c>
      <c r="X342" t="n">
        <v>120</v>
      </c>
      <c r="Y342" t="inlineStr">
        <is>
          <t>MXN</t>
        </is>
      </c>
      <c r="Z342" t="inlineStr">
        <is>
          <t>M3</t>
        </is>
      </c>
      <c r="AA342" t="inlineStr">
        <is>
          <t>D220</t>
        </is>
      </c>
      <c r="AB342" t="inlineStr">
        <is>
          <t>PD0131 TEPATITLAN</t>
        </is>
      </c>
      <c r="AC342" t="n">
        <v>56103637</v>
      </c>
      <c r="AD342" t="n">
        <v>6644241540</v>
      </c>
      <c r="AE342" t="n">
        <v>4</v>
      </c>
      <c r="AF342" t="inlineStr">
        <is>
          <t>ENTREGA DIRECTA</t>
        </is>
      </c>
      <c r="AG342" t="n">
        <v>1.395</v>
      </c>
      <c r="AH342" t="inlineStr">
        <is>
          <t>M3</t>
        </is>
      </c>
      <c r="AI342" t="inlineStr">
        <is>
          <t>X</t>
        </is>
      </c>
      <c r="AJ342" t="n">
        <v>4</v>
      </c>
      <c r="AK342" t="inlineStr">
        <is>
          <t>V4</t>
        </is>
      </c>
      <c r="AL342" t="n">
        <v>20260108</v>
      </c>
      <c r="AM342" t="inlineStr">
        <is>
          <t>DW68-900004885-D220-10000388-4</t>
        </is>
      </c>
    </row>
    <row r="343">
      <c r="A343" t="inlineStr">
        <is>
          <t>900005660DW68D24210000320</t>
        </is>
      </c>
      <c r="B343" t="inlineStr">
        <is>
          <t>4600050452-50</t>
        </is>
      </c>
      <c r="C343" t="n">
        <v>4600050452</v>
      </c>
      <c r="D343" t="n">
        <v>50</v>
      </c>
      <c r="E343" t="inlineStr">
        <is>
          <t>MXPO</t>
        </is>
      </c>
      <c r="F343" t="inlineStr">
        <is>
          <t>MXL</t>
        </is>
      </c>
      <c r="G343" t="n">
        <v>900005660</v>
      </c>
      <c r="H343" t="inlineStr">
        <is>
          <t>TC-ED CACOSA</t>
        </is>
      </c>
      <c r="I343" t="n">
        <v>5071856</v>
      </c>
      <c r="J343" t="inlineStr">
        <is>
          <t>CARBONATO DE CALCIO SOL SA DE</t>
        </is>
      </c>
      <c r="K343" t="inlineStr">
        <is>
          <t>Z09</t>
        </is>
      </c>
      <c r="L343" t="inlineStr">
        <is>
          <t>(AP) 90 Dias</t>
        </is>
      </c>
      <c r="M343" t="n">
        <v>10000320</v>
      </c>
      <c r="N343" t="inlineStr">
        <is>
          <t>Arena Triturada Caliza Malla 4</t>
        </is>
      </c>
      <c r="O343" t="inlineStr">
        <is>
          <t>DW68</t>
        </is>
      </c>
      <c r="P343" t="inlineStr">
        <is>
          <t>MX-CED. GUADALAJARA</t>
        </is>
      </c>
      <c r="Q343" t="n">
        <v>20210801</v>
      </c>
      <c r="R343" t="n">
        <v>20261231</v>
      </c>
      <c r="S343" t="n">
        <v>20210712</v>
      </c>
      <c r="T343" t="n">
        <v>20261231</v>
      </c>
      <c r="U343" t="n">
        <v>330</v>
      </c>
      <c r="V343" t="inlineStr">
        <is>
          <t>MXN</t>
        </is>
      </c>
      <c r="W343" t="inlineStr">
        <is>
          <t>TN</t>
        </is>
      </c>
      <c r="X343" t="n">
        <v>200</v>
      </c>
      <c r="Y343" t="inlineStr">
        <is>
          <t>MXN</t>
        </is>
      </c>
      <c r="Z343" t="inlineStr">
        <is>
          <t>TN</t>
        </is>
      </c>
      <c r="AA343" t="inlineStr">
        <is>
          <t>D242</t>
        </is>
      </c>
      <c r="AB343" t="inlineStr">
        <is>
          <t>PD0454 CD. LA GRANJA II</t>
        </is>
      </c>
      <c r="AC343" t="n">
        <v>56103638</v>
      </c>
      <c r="AD343" t="n">
        <v>6644241540</v>
      </c>
      <c r="AE343" t="n">
        <v>4</v>
      </c>
      <c r="AF343" t="inlineStr">
        <is>
          <t>ENTREGA DIRECTA</t>
        </is>
      </c>
      <c r="AG343" t="n">
        <v>1</v>
      </c>
      <c r="AH343" t="inlineStr">
        <is>
          <t>TO</t>
        </is>
      </c>
      <c r="AI343" t="inlineStr">
        <is>
          <t>X</t>
        </is>
      </c>
      <c r="AJ343" t="n">
        <v>4</v>
      </c>
      <c r="AK343" t="inlineStr">
        <is>
          <t>V4</t>
        </is>
      </c>
      <c r="AL343" t="n">
        <v>20260108</v>
      </c>
      <c r="AM343" t="inlineStr">
        <is>
          <t>DW68-900005660-D242-10000320-4</t>
        </is>
      </c>
    </row>
    <row r="344">
      <c r="A344" t="inlineStr">
        <is>
          <t>900005660DW68D25110000320</t>
        </is>
      </c>
      <c r="B344" t="inlineStr">
        <is>
          <t>4600050452-40</t>
        </is>
      </c>
      <c r="C344" t="n">
        <v>4600050452</v>
      </c>
      <c r="D344" t="n">
        <v>40</v>
      </c>
      <c r="E344" t="inlineStr">
        <is>
          <t>MXPO</t>
        </is>
      </c>
      <c r="F344" t="inlineStr">
        <is>
          <t>MXL</t>
        </is>
      </c>
      <c r="G344" t="n">
        <v>900005660</v>
      </c>
      <c r="H344" t="inlineStr">
        <is>
          <t>TC-ED CACOSA</t>
        </is>
      </c>
      <c r="I344" t="n">
        <v>5071856</v>
      </c>
      <c r="J344" t="inlineStr">
        <is>
          <t>CARBONATO DE CALCIO SOL SA DE</t>
        </is>
      </c>
      <c r="K344" t="inlineStr">
        <is>
          <t>Z09</t>
        </is>
      </c>
      <c r="L344" t="inlineStr">
        <is>
          <t>(AP) 90 Dias</t>
        </is>
      </c>
      <c r="M344" t="n">
        <v>10000320</v>
      </c>
      <c r="N344" t="inlineStr">
        <is>
          <t>Arena Triturada Caliza Malla 4</t>
        </is>
      </c>
      <c r="O344" t="inlineStr">
        <is>
          <t>DW68</t>
        </is>
      </c>
      <c r="P344" t="inlineStr">
        <is>
          <t>MX-CED. GUADALAJARA</t>
        </is>
      </c>
      <c r="Q344" t="n">
        <v>20210801</v>
      </c>
      <c r="R344" t="n">
        <v>20261231</v>
      </c>
      <c r="S344" t="n">
        <v>20210712</v>
      </c>
      <c r="T344" t="n">
        <v>20261231</v>
      </c>
      <c r="U344" t="n">
        <v>350</v>
      </c>
      <c r="V344" t="inlineStr">
        <is>
          <t>MXN</t>
        </is>
      </c>
      <c r="W344" t="inlineStr">
        <is>
          <t>TN</t>
        </is>
      </c>
      <c r="X344" t="n">
        <v>220</v>
      </c>
      <c r="Y344" t="inlineStr">
        <is>
          <t>MXN</t>
        </is>
      </c>
      <c r="Z344" t="inlineStr">
        <is>
          <t>TN</t>
        </is>
      </c>
      <c r="AA344" t="inlineStr">
        <is>
          <t>D251</t>
        </is>
      </c>
      <c r="AB344" t="inlineStr">
        <is>
          <t>PD0339 EL SALTO</t>
        </is>
      </c>
      <c r="AC344" t="n">
        <v>56103638</v>
      </c>
      <c r="AD344" t="n">
        <v>6644241540</v>
      </c>
      <c r="AE344" t="n">
        <v>4</v>
      </c>
      <c r="AF344" t="inlineStr">
        <is>
          <t>ENTREGA DIRECTA</t>
        </is>
      </c>
      <c r="AG344" t="n">
        <v>1</v>
      </c>
      <c r="AH344" t="inlineStr">
        <is>
          <t>TO</t>
        </is>
      </c>
      <c r="AI344" t="inlineStr">
        <is>
          <t>X</t>
        </is>
      </c>
      <c r="AJ344" t="n">
        <v>4</v>
      </c>
      <c r="AK344" t="inlineStr">
        <is>
          <t>V4</t>
        </is>
      </c>
      <c r="AL344" t="n">
        <v>20260108</v>
      </c>
      <c r="AM344" t="inlineStr">
        <is>
          <t>DW68-900005660-D251-10000320-4</t>
        </is>
      </c>
    </row>
    <row r="345">
      <c r="A345" t="inlineStr">
        <is>
          <t>900006441DW68D22810000191</t>
        </is>
      </c>
      <c r="B345" t="inlineStr">
        <is>
          <t>4600050459-40</t>
        </is>
      </c>
      <c r="C345" t="n">
        <v>4600050459</v>
      </c>
      <c r="D345" t="n">
        <v>40</v>
      </c>
      <c r="E345" t="inlineStr">
        <is>
          <t>MXPO</t>
        </is>
      </c>
      <c r="F345" t="inlineStr">
        <is>
          <t>MXL</t>
        </is>
      </c>
      <c r="G345" t="n">
        <v>900006441</v>
      </c>
      <c r="H345" t="inlineStr">
        <is>
          <t>TC-ED INTERCONEXIONES ML</t>
        </is>
      </c>
      <c r="I345" t="n">
        <v>5077556</v>
      </c>
      <c r="J345" t="inlineStr">
        <is>
          <t>INTERCONEXIONES ML SA DE CV</t>
        </is>
      </c>
      <c r="K345" t="inlineStr">
        <is>
          <t>Z09</t>
        </is>
      </c>
      <c r="L345" t="inlineStr">
        <is>
          <t>(AP) 90 Dias</t>
        </is>
      </c>
      <c r="M345" t="n">
        <v>10000191</v>
      </c>
      <c r="N345" t="inlineStr">
        <is>
          <t>Grava Triturada Basalto 20 mm - 3/4"</t>
        </is>
      </c>
      <c r="O345" t="inlineStr">
        <is>
          <t>DW68</t>
        </is>
      </c>
      <c r="P345" t="inlineStr">
        <is>
          <t>MX-CED. GUADALAJARA</t>
        </is>
      </c>
      <c r="Q345" t="n">
        <v>20210801</v>
      </c>
      <c r="R345" t="n">
        <v>20261231</v>
      </c>
      <c r="S345" t="n">
        <v>20210712</v>
      </c>
      <c r="T345" t="n">
        <v>20261231</v>
      </c>
      <c r="U345" t="n">
        <v>245</v>
      </c>
      <c r="V345" t="inlineStr">
        <is>
          <t>MXN</t>
        </is>
      </c>
      <c r="W345" t="inlineStr">
        <is>
          <t>M3</t>
        </is>
      </c>
      <c r="X345" t="n">
        <v>125</v>
      </c>
      <c r="Y345" t="inlineStr">
        <is>
          <t>MXN</t>
        </is>
      </c>
      <c r="Z345" t="inlineStr">
        <is>
          <t>M3</t>
        </is>
      </c>
      <c r="AA345" t="inlineStr">
        <is>
          <t>D228</t>
        </is>
      </c>
      <c r="AB345" t="inlineStr">
        <is>
          <t>PD0123 TLAJOMULCO</t>
        </is>
      </c>
      <c r="AC345" t="n">
        <v>56103637</v>
      </c>
      <c r="AD345" t="n">
        <v>6644241540</v>
      </c>
      <c r="AE345" t="n">
        <v>4</v>
      </c>
      <c r="AF345" t="inlineStr">
        <is>
          <t>ENTREGA DIRECTA</t>
        </is>
      </c>
      <c r="AG345" t="n">
        <v>1.41</v>
      </c>
      <c r="AH345" t="inlineStr">
        <is>
          <t>M3</t>
        </is>
      </c>
      <c r="AI345" t="inlineStr">
        <is>
          <t>X</t>
        </is>
      </c>
      <c r="AJ345" t="n">
        <v>4</v>
      </c>
      <c r="AK345" t="inlineStr">
        <is>
          <t>V4</t>
        </is>
      </c>
      <c r="AL345" t="n">
        <v>20260108</v>
      </c>
      <c r="AM345" t="inlineStr">
        <is>
          <t>DW68-900006441-D228-10000191-4</t>
        </is>
      </c>
    </row>
    <row r="346">
      <c r="A346" t="inlineStr">
        <is>
          <t>900005660DW68D26710000320</t>
        </is>
      </c>
      <c r="B346" t="inlineStr">
        <is>
          <t>4600050452-10</t>
        </is>
      </c>
      <c r="C346" t="n">
        <v>4600050452</v>
      </c>
      <c r="D346" t="n">
        <v>10</v>
      </c>
      <c r="E346" t="inlineStr">
        <is>
          <t>MXPO</t>
        </is>
      </c>
      <c r="F346" t="inlineStr">
        <is>
          <t>MXL</t>
        </is>
      </c>
      <c r="G346" t="n">
        <v>900005660</v>
      </c>
      <c r="H346" t="inlineStr">
        <is>
          <t>TC-ED CACOSA</t>
        </is>
      </c>
      <c r="I346" t="n">
        <v>5071856</v>
      </c>
      <c r="J346" t="inlineStr">
        <is>
          <t>CARBONATO DE CALCIO SOL SA DE</t>
        </is>
      </c>
      <c r="K346" t="inlineStr">
        <is>
          <t>Z09</t>
        </is>
      </c>
      <c r="L346" t="inlineStr">
        <is>
          <t>(AP) 90 Dias</t>
        </is>
      </c>
      <c r="M346" t="n">
        <v>10000320</v>
      </c>
      <c r="N346" t="inlineStr">
        <is>
          <t>Arena Triturada Caliza Malla 4</t>
        </is>
      </c>
      <c r="O346" t="inlineStr">
        <is>
          <t>DW68</t>
        </is>
      </c>
      <c r="P346" t="inlineStr">
        <is>
          <t>MX-CED. GUADALAJARA</t>
        </is>
      </c>
      <c r="Q346" t="n">
        <v>20210801</v>
      </c>
      <c r="R346" t="n">
        <v>20261231</v>
      </c>
      <c r="S346" t="n">
        <v>20210712</v>
      </c>
      <c r="T346" t="n">
        <v>20261231</v>
      </c>
      <c r="U346" t="n">
        <v>350</v>
      </c>
      <c r="V346" t="inlineStr">
        <is>
          <t>MXN</t>
        </is>
      </c>
      <c r="W346" t="inlineStr">
        <is>
          <t>TN</t>
        </is>
      </c>
      <c r="X346" t="n">
        <v>220</v>
      </c>
      <c r="Y346" t="inlineStr">
        <is>
          <t>MXN</t>
        </is>
      </c>
      <c r="Z346" t="inlineStr">
        <is>
          <t>TN</t>
        </is>
      </c>
      <c r="AA346" t="inlineStr">
        <is>
          <t>D267</t>
        </is>
      </c>
      <c r="AB346" t="inlineStr">
        <is>
          <t>PD0280 PLANTA COLOTLAN</t>
        </is>
      </c>
      <c r="AC346" t="n">
        <v>56103638</v>
      </c>
      <c r="AD346" t="n">
        <v>6644241540</v>
      </c>
      <c r="AE346" t="n">
        <v>4</v>
      </c>
      <c r="AF346" t="inlineStr">
        <is>
          <t>ENTREGA DIRECTA</t>
        </is>
      </c>
      <c r="AG346" t="n">
        <v>1</v>
      </c>
      <c r="AH346" t="inlineStr">
        <is>
          <t>TO</t>
        </is>
      </c>
      <c r="AI346" t="inlineStr">
        <is>
          <t>X</t>
        </is>
      </c>
      <c r="AJ346" t="n">
        <v>4</v>
      </c>
      <c r="AK346" t="inlineStr">
        <is>
          <t>V4</t>
        </is>
      </c>
      <c r="AL346" t="n">
        <v>20260108</v>
      </c>
      <c r="AM346" t="inlineStr">
        <is>
          <t>DW68-900005660-D267-10000320-4</t>
        </is>
      </c>
    </row>
    <row r="347">
      <c r="A347" t="inlineStr">
        <is>
          <t>900005508DW68D26810000388</t>
        </is>
      </c>
      <c r="B347" t="inlineStr">
        <is>
          <t>4600050448-190</t>
        </is>
      </c>
      <c r="C347" t="n">
        <v>4600050448</v>
      </c>
      <c r="D347" t="n">
        <v>190</v>
      </c>
      <c r="E347" t="inlineStr">
        <is>
          <t>MXPO</t>
        </is>
      </c>
      <c r="F347" t="inlineStr">
        <is>
          <t>MXL</t>
        </is>
      </c>
      <c r="G347" t="n">
        <v>900005508</v>
      </c>
      <c r="H347" t="inlineStr">
        <is>
          <t>TC-ED JUAN DAVALOS</t>
        </is>
      </c>
      <c r="I347" t="n">
        <v>5014444</v>
      </c>
      <c r="J347" t="inlineStr">
        <is>
          <t>DAVALOS GUTIERREZ JUAN JOSE</t>
        </is>
      </c>
      <c r="K347" t="inlineStr">
        <is>
          <t>N90</t>
        </is>
      </c>
      <c r="L347" t="inlineStr">
        <is>
          <t>(AP) NAFIN 90 Dias</t>
        </is>
      </c>
      <c r="M347" t="n">
        <v>10000388</v>
      </c>
      <c r="N347" t="inlineStr">
        <is>
          <t>Grava Triturada Basalto  40 mm - 1 1/2"</t>
        </is>
      </c>
      <c r="O347" t="inlineStr">
        <is>
          <t>DW68</t>
        </is>
      </c>
      <c r="P347" t="inlineStr">
        <is>
          <t>MX-CED. GUADALAJARA</t>
        </is>
      </c>
      <c r="Q347" t="n">
        <v>20210801</v>
      </c>
      <c r="R347" t="n">
        <v>20261231</v>
      </c>
      <c r="S347" t="n">
        <v>20211213</v>
      </c>
      <c r="T347" t="n">
        <v>20261231</v>
      </c>
      <c r="U347" t="n">
        <v>250</v>
      </c>
      <c r="V347" t="inlineStr">
        <is>
          <t>MXN</t>
        </is>
      </c>
      <c r="W347" t="inlineStr">
        <is>
          <t>M3</t>
        </is>
      </c>
      <c r="X347" t="n">
        <v>140</v>
      </c>
      <c r="Y347" t="inlineStr">
        <is>
          <t>MXN</t>
        </is>
      </c>
      <c r="Z347" t="inlineStr">
        <is>
          <t>M3</t>
        </is>
      </c>
      <c r="AA347" t="inlineStr">
        <is>
          <t>D268</t>
        </is>
      </c>
      <c r="AB347" t="inlineStr">
        <is>
          <t>PD418 AEROPUERTO GDL</t>
        </is>
      </c>
      <c r="AC347" t="n">
        <v>56103637</v>
      </c>
      <c r="AD347" t="n">
        <v>6644241540</v>
      </c>
      <c r="AE347" t="n">
        <v>4</v>
      </c>
      <c r="AF347" t="inlineStr">
        <is>
          <t>ENTREGA DIRECTA</t>
        </is>
      </c>
      <c r="AG347" t="n">
        <v>1.395</v>
      </c>
      <c r="AH347" t="inlineStr">
        <is>
          <t>M3</t>
        </is>
      </c>
      <c r="AI347" t="inlineStr">
        <is>
          <t>X</t>
        </is>
      </c>
      <c r="AJ347" t="n">
        <v>4</v>
      </c>
      <c r="AK347" t="inlineStr">
        <is>
          <t>V4</t>
        </is>
      </c>
      <c r="AL347" t="n">
        <v>20260108</v>
      </c>
      <c r="AM347" t="inlineStr">
        <is>
          <t>DW68-900005508-D268-10000388-4</t>
        </is>
      </c>
    </row>
    <row r="348">
      <c r="A348" t="inlineStr">
        <is>
          <t>900005660DW68D26410000320</t>
        </is>
      </c>
      <c r="B348" t="inlineStr">
        <is>
          <t>4600050452-30</t>
        </is>
      </c>
      <c r="C348" t="n">
        <v>4600050452</v>
      </c>
      <c r="D348" t="n">
        <v>30</v>
      </c>
      <c r="E348" t="inlineStr">
        <is>
          <t>MXPO</t>
        </is>
      </c>
      <c r="F348" t="inlineStr">
        <is>
          <t>MXL</t>
        </is>
      </c>
      <c r="G348" t="n">
        <v>900005660</v>
      </c>
      <c r="H348" t="inlineStr">
        <is>
          <t>TC-ED CACOSA</t>
        </is>
      </c>
      <c r="I348" t="n">
        <v>5071856</v>
      </c>
      <c r="J348" t="inlineStr">
        <is>
          <t>CARBONATO DE CALCIO SOL SA DE</t>
        </is>
      </c>
      <c r="K348" t="inlineStr">
        <is>
          <t>Z09</t>
        </is>
      </c>
      <c r="L348" t="inlineStr">
        <is>
          <t>(AP) 90 Dias</t>
        </is>
      </c>
      <c r="M348" t="n">
        <v>10000320</v>
      </c>
      <c r="N348" t="inlineStr">
        <is>
          <t>Arena Triturada Caliza Malla 4</t>
        </is>
      </c>
      <c r="O348" t="inlineStr">
        <is>
          <t>DW68</t>
        </is>
      </c>
      <c r="P348" t="inlineStr">
        <is>
          <t>MX-CED. GUADALAJARA</t>
        </is>
      </c>
      <c r="Q348" t="n">
        <v>20210801</v>
      </c>
      <c r="R348" t="n">
        <v>20261231</v>
      </c>
      <c r="S348" t="n">
        <v>20210712</v>
      </c>
      <c r="T348" t="n">
        <v>20261231</v>
      </c>
      <c r="U348" t="n">
        <v>330</v>
      </c>
      <c r="V348" t="inlineStr">
        <is>
          <t>MXN</t>
        </is>
      </c>
      <c r="W348" t="inlineStr">
        <is>
          <t>TN</t>
        </is>
      </c>
      <c r="X348" t="n">
        <v>200</v>
      </c>
      <c r="Y348" t="inlineStr">
        <is>
          <t>MXN</t>
        </is>
      </c>
      <c r="Z348" t="inlineStr">
        <is>
          <t>TN</t>
        </is>
      </c>
      <c r="AA348" t="inlineStr">
        <is>
          <t>D264</t>
        </is>
      </c>
      <c r="AB348" t="inlineStr">
        <is>
          <t>PD0083 GUADALAJARA I III</t>
        </is>
      </c>
      <c r="AC348" t="n">
        <v>56103638</v>
      </c>
      <c r="AD348" t="n">
        <v>6644241540</v>
      </c>
      <c r="AE348" t="n">
        <v>4</v>
      </c>
      <c r="AF348" t="inlineStr">
        <is>
          <t>ENTREGA DIRECTA</t>
        </is>
      </c>
      <c r="AG348" t="n">
        <v>1</v>
      </c>
      <c r="AH348" t="inlineStr">
        <is>
          <t>TO</t>
        </is>
      </c>
      <c r="AI348" t="inlineStr">
        <is>
          <t>X</t>
        </is>
      </c>
      <c r="AJ348" t="n">
        <v>4</v>
      </c>
      <c r="AK348" t="inlineStr">
        <is>
          <t>V4</t>
        </is>
      </c>
      <c r="AL348" t="n">
        <v>20260108</v>
      </c>
      <c r="AM348" t="inlineStr">
        <is>
          <t>DW68-900005660-D264-10000320-4</t>
        </is>
      </c>
    </row>
    <row r="349">
      <c r="A349" t="inlineStr">
        <is>
          <t>900005660DW68D22810000320</t>
        </is>
      </c>
      <c r="B349" t="inlineStr">
        <is>
          <t>4600050452-60</t>
        </is>
      </c>
      <c r="C349" t="n">
        <v>4600050452</v>
      </c>
      <c r="D349" t="n">
        <v>60</v>
      </c>
      <c r="E349" t="inlineStr">
        <is>
          <t>MXPO</t>
        </is>
      </c>
      <c r="F349" t="inlineStr">
        <is>
          <t>MXL</t>
        </is>
      </c>
      <c r="G349" t="n">
        <v>900005660</v>
      </c>
      <c r="H349" t="inlineStr">
        <is>
          <t>TC-ED CACOSA</t>
        </is>
      </c>
      <c r="I349" t="n">
        <v>5071856</v>
      </c>
      <c r="J349" t="inlineStr">
        <is>
          <t>CARBONATO DE CALCIO SOL SA DE</t>
        </is>
      </c>
      <c r="K349" t="inlineStr">
        <is>
          <t>Z09</t>
        </is>
      </c>
      <c r="L349" t="inlineStr">
        <is>
          <t>(AP) 90 Dias</t>
        </is>
      </c>
      <c r="M349" t="n">
        <v>10000320</v>
      </c>
      <c r="N349" t="inlineStr">
        <is>
          <t>Arena Triturada Caliza Malla 4</t>
        </is>
      </c>
      <c r="O349" t="inlineStr">
        <is>
          <t>DW68</t>
        </is>
      </c>
      <c r="P349" t="inlineStr">
        <is>
          <t>MX-CED. GUADALAJARA</t>
        </is>
      </c>
      <c r="Q349" t="n">
        <v>20210801</v>
      </c>
      <c r="R349" t="n">
        <v>20261231</v>
      </c>
      <c r="S349" t="n">
        <v>20210712</v>
      </c>
      <c r="T349" t="n">
        <v>20261231</v>
      </c>
      <c r="U349" t="n">
        <v>330</v>
      </c>
      <c r="V349" t="inlineStr">
        <is>
          <t>MXN</t>
        </is>
      </c>
      <c r="W349" t="inlineStr">
        <is>
          <t>TN</t>
        </is>
      </c>
      <c r="X349" t="n">
        <v>200</v>
      </c>
      <c r="Y349" t="inlineStr">
        <is>
          <t>MXN</t>
        </is>
      </c>
      <c r="Z349" t="inlineStr">
        <is>
          <t>TN</t>
        </is>
      </c>
      <c r="AA349" t="inlineStr">
        <is>
          <t>D228</t>
        </is>
      </c>
      <c r="AB349" t="inlineStr">
        <is>
          <t>PD0123 TLAJOMULCO</t>
        </is>
      </c>
      <c r="AC349" t="n">
        <v>56103638</v>
      </c>
      <c r="AD349" t="n">
        <v>6644241540</v>
      </c>
      <c r="AE349" t="n">
        <v>4</v>
      </c>
      <c r="AF349" t="inlineStr">
        <is>
          <t>ENTREGA DIRECTA</t>
        </is>
      </c>
      <c r="AG349" t="n">
        <v>1</v>
      </c>
      <c r="AH349" t="inlineStr">
        <is>
          <t>TO</t>
        </is>
      </c>
      <c r="AI349" t="inlineStr">
        <is>
          <t>X</t>
        </is>
      </c>
      <c r="AJ349" t="n">
        <v>4</v>
      </c>
      <c r="AK349" t="inlineStr">
        <is>
          <t>V4</t>
        </is>
      </c>
      <c r="AL349" t="n">
        <v>20260108</v>
      </c>
      <c r="AM349" t="inlineStr">
        <is>
          <t>DW68-900005660-D228-10000320-4</t>
        </is>
      </c>
    </row>
    <row r="350">
      <c r="A350" t="inlineStr">
        <is>
          <t>900005660DW68D21110000320</t>
        </is>
      </c>
      <c r="B350" t="inlineStr">
        <is>
          <t>4600050452-90</t>
        </is>
      </c>
      <c r="C350" t="n">
        <v>4600050452</v>
      </c>
      <c r="D350" t="n">
        <v>90</v>
      </c>
      <c r="E350" t="inlineStr">
        <is>
          <t>MXPO</t>
        </is>
      </c>
      <c r="F350" t="inlineStr">
        <is>
          <t>MXL</t>
        </is>
      </c>
      <c r="G350" t="n">
        <v>900005660</v>
      </c>
      <c r="H350" t="inlineStr">
        <is>
          <t>TC-ED CACOSA</t>
        </is>
      </c>
      <c r="I350" t="n">
        <v>5071856</v>
      </c>
      <c r="J350" t="inlineStr">
        <is>
          <t>CARBONATO DE CALCIO SOL SA DE</t>
        </is>
      </c>
      <c r="K350" t="inlineStr">
        <is>
          <t>Z09</t>
        </is>
      </c>
      <c r="L350" t="inlineStr">
        <is>
          <t>(AP) 90 Dias</t>
        </is>
      </c>
      <c r="M350" t="n">
        <v>10000320</v>
      </c>
      <c r="N350" t="inlineStr">
        <is>
          <t>Arena Triturada Caliza Malla 4</t>
        </is>
      </c>
      <c r="O350" t="inlineStr">
        <is>
          <t>DW68</t>
        </is>
      </c>
      <c r="P350" t="inlineStr">
        <is>
          <t>MX-CED. GUADALAJARA</t>
        </is>
      </c>
      <c r="Q350" t="n">
        <v>20210801</v>
      </c>
      <c r="R350" t="n">
        <v>20261231</v>
      </c>
      <c r="S350" t="n">
        <v>20210712</v>
      </c>
      <c r="T350" t="n">
        <v>20261231</v>
      </c>
      <c r="U350" t="n">
        <v>330</v>
      </c>
      <c r="V350" t="inlineStr">
        <is>
          <t>MXN</t>
        </is>
      </c>
      <c r="W350" t="inlineStr">
        <is>
          <t>TN</t>
        </is>
      </c>
      <c r="X350" t="n">
        <v>200</v>
      </c>
      <c r="Y350" t="inlineStr">
        <is>
          <t>MXN</t>
        </is>
      </c>
      <c r="Z350" t="inlineStr">
        <is>
          <t>TN</t>
        </is>
      </c>
      <c r="AA350" t="inlineStr">
        <is>
          <t>D211</t>
        </is>
      </c>
      <c r="AB350" t="inlineStr">
        <is>
          <t>PD0149 GDL. MATRIZ</t>
        </is>
      </c>
      <c r="AC350" t="n">
        <v>56103638</v>
      </c>
      <c r="AD350" t="n">
        <v>6644241540</v>
      </c>
      <c r="AE350" t="n">
        <v>4</v>
      </c>
      <c r="AF350" t="inlineStr">
        <is>
          <t>ENTREGA DIRECTA</t>
        </is>
      </c>
      <c r="AG350" t="n">
        <v>1</v>
      </c>
      <c r="AH350" t="inlineStr">
        <is>
          <t>TO</t>
        </is>
      </c>
      <c r="AI350" t="inlineStr">
        <is>
          <t>X</t>
        </is>
      </c>
      <c r="AJ350" t="n">
        <v>4</v>
      </c>
      <c r="AK350" t="inlineStr">
        <is>
          <t>V4</t>
        </is>
      </c>
      <c r="AL350" t="n">
        <v>20260108</v>
      </c>
      <c r="AM350" t="inlineStr">
        <is>
          <t>DW68-900005660-D211-10000320-4</t>
        </is>
      </c>
    </row>
    <row r="351">
      <c r="A351" t="inlineStr">
        <is>
          <t>900004885DW68D22010000191</t>
        </is>
      </c>
      <c r="B351" t="inlineStr">
        <is>
          <t>4600050439-220</t>
        </is>
      </c>
      <c r="C351" t="n">
        <v>4600050439</v>
      </c>
      <c r="D351" t="n">
        <v>220</v>
      </c>
      <c r="E351" t="inlineStr">
        <is>
          <t>MXPO</t>
        </is>
      </c>
      <c r="F351" t="inlineStr">
        <is>
          <t>MXL</t>
        </is>
      </c>
      <c r="G351" t="n">
        <v>900004885</v>
      </c>
      <c r="H351" t="inlineStr">
        <is>
          <t>TC-ED PICA PIEDRA</t>
        </is>
      </c>
      <c r="I351" t="n">
        <v>5064954</v>
      </c>
      <c r="J351" t="inlineStr">
        <is>
          <t>AGREGADOS Y CONCRETOS PICA PIEDRA</t>
        </is>
      </c>
      <c r="K351" t="inlineStr">
        <is>
          <t>N90</t>
        </is>
      </c>
      <c r="L351" t="inlineStr">
        <is>
          <t>(AP) NAFIN 90 Dias</t>
        </is>
      </c>
      <c r="M351" t="n">
        <v>10000191</v>
      </c>
      <c r="N351" t="inlineStr">
        <is>
          <t>Grava Triturada Basalto 20 mm - 3/4"</t>
        </is>
      </c>
      <c r="O351" t="inlineStr">
        <is>
          <t>DW68</t>
        </is>
      </c>
      <c r="P351" t="inlineStr">
        <is>
          <t>MX-CED. GUADALAJARA</t>
        </is>
      </c>
      <c r="Q351" t="n">
        <v>20210801</v>
      </c>
      <c r="R351" t="n">
        <v>20261231</v>
      </c>
      <c r="S351" t="n">
        <v>20210712</v>
      </c>
      <c r="T351" t="n">
        <v>20261231</v>
      </c>
      <c r="U351" t="n">
        <v>240</v>
      </c>
      <c r="V351" t="inlineStr">
        <is>
          <t>MXN</t>
        </is>
      </c>
      <c r="W351" t="inlineStr">
        <is>
          <t>M3</t>
        </is>
      </c>
      <c r="X351" t="n">
        <v>120</v>
      </c>
      <c r="Y351" t="inlineStr">
        <is>
          <t>MXN</t>
        </is>
      </c>
      <c r="Z351" t="inlineStr">
        <is>
          <t>M3</t>
        </is>
      </c>
      <c r="AA351" t="inlineStr">
        <is>
          <t>D220</t>
        </is>
      </c>
      <c r="AB351" t="inlineStr">
        <is>
          <t>PD0131 TEPATITLAN</t>
        </is>
      </c>
      <c r="AC351" t="n">
        <v>56103637</v>
      </c>
      <c r="AD351" t="n">
        <v>6644241540</v>
      </c>
      <c r="AE351" t="n">
        <v>4</v>
      </c>
      <c r="AF351" t="inlineStr">
        <is>
          <t>ENTREGA DIRECTA</t>
        </is>
      </c>
      <c r="AG351" t="n">
        <v>1.41</v>
      </c>
      <c r="AH351" t="inlineStr">
        <is>
          <t>M3</t>
        </is>
      </c>
      <c r="AI351" t="inlineStr">
        <is>
          <t>X</t>
        </is>
      </c>
      <c r="AJ351" t="n">
        <v>4</v>
      </c>
      <c r="AK351" t="inlineStr">
        <is>
          <t>V4</t>
        </is>
      </c>
      <c r="AL351" t="n">
        <v>20260108</v>
      </c>
      <c r="AM351" t="inlineStr">
        <is>
          <t>DW68-900004885-D220-10000191-4</t>
        </is>
      </c>
    </row>
    <row r="352">
      <c r="A352" t="inlineStr">
        <is>
          <t>900006441DW68D26410000191</t>
        </is>
      </c>
      <c r="B352" t="inlineStr">
        <is>
          <t>4600050459-30</t>
        </is>
      </c>
      <c r="C352" t="n">
        <v>4600050459</v>
      </c>
      <c r="D352" t="n">
        <v>30</v>
      </c>
      <c r="E352" t="inlineStr">
        <is>
          <t>MXPO</t>
        </is>
      </c>
      <c r="F352" t="inlineStr">
        <is>
          <t>MXL</t>
        </is>
      </c>
      <c r="G352" t="n">
        <v>900006441</v>
      </c>
      <c r="H352" t="inlineStr">
        <is>
          <t>TC-ED INTERCONEXIONES ML</t>
        </is>
      </c>
      <c r="I352" t="n">
        <v>5077556</v>
      </c>
      <c r="J352" t="inlineStr">
        <is>
          <t>INTERCONEXIONES ML SA DE CV</t>
        </is>
      </c>
      <c r="K352" t="inlineStr">
        <is>
          <t>Z09</t>
        </is>
      </c>
      <c r="L352" t="inlineStr">
        <is>
          <t>(AP) 90 Dias</t>
        </is>
      </c>
      <c r="M352" t="n">
        <v>10000191</v>
      </c>
      <c r="N352" t="inlineStr">
        <is>
          <t>Grava Triturada Basalto 20 mm - 3/4"</t>
        </is>
      </c>
      <c r="O352" t="inlineStr">
        <is>
          <t>DW68</t>
        </is>
      </c>
      <c r="P352" t="inlineStr">
        <is>
          <t>MX-CED. GUADALAJARA</t>
        </is>
      </c>
      <c r="Q352" t="n">
        <v>20210801</v>
      </c>
      <c r="R352" t="n">
        <v>20261231</v>
      </c>
      <c r="S352" t="n">
        <v>20210712</v>
      </c>
      <c r="T352" t="n">
        <v>20261231</v>
      </c>
      <c r="U352" t="n">
        <v>290</v>
      </c>
      <c r="V352" t="inlineStr">
        <is>
          <t>MXN</t>
        </is>
      </c>
      <c r="W352" t="inlineStr">
        <is>
          <t>M3</t>
        </is>
      </c>
      <c r="X352" t="n">
        <v>170</v>
      </c>
      <c r="Y352" t="inlineStr">
        <is>
          <t>MXN</t>
        </is>
      </c>
      <c r="Z352" t="inlineStr">
        <is>
          <t>M3</t>
        </is>
      </c>
      <c r="AA352" t="inlineStr">
        <is>
          <t>D264</t>
        </is>
      </c>
      <c r="AB352" t="inlineStr">
        <is>
          <t>PD0083 GUADALAJARA I III</t>
        </is>
      </c>
      <c r="AC352" t="n">
        <v>56103637</v>
      </c>
      <c r="AD352" t="n">
        <v>6644241540</v>
      </c>
      <c r="AE352" t="n">
        <v>4</v>
      </c>
      <c r="AF352" t="inlineStr">
        <is>
          <t>ENTREGA DIRECTA</t>
        </is>
      </c>
      <c r="AG352" t="n">
        <v>1.41</v>
      </c>
      <c r="AH352" t="inlineStr">
        <is>
          <t>M3</t>
        </is>
      </c>
      <c r="AI352" t="inlineStr">
        <is>
          <t>X</t>
        </is>
      </c>
      <c r="AJ352" t="n">
        <v>4</v>
      </c>
      <c r="AK352" t="inlineStr">
        <is>
          <t>V4</t>
        </is>
      </c>
      <c r="AL352" t="n">
        <v>20260108</v>
      </c>
      <c r="AM352" t="inlineStr">
        <is>
          <t>DW68-900006441-D264-10000191-4</t>
        </is>
      </c>
    </row>
    <row r="353">
      <c r="A353" t="inlineStr">
        <is>
          <t>900005660DW68D21410000320</t>
        </is>
      </c>
      <c r="B353" t="inlineStr">
        <is>
          <t>4600050452-70</t>
        </is>
      </c>
      <c r="C353" t="n">
        <v>4600050452</v>
      </c>
      <c r="D353" t="n">
        <v>70</v>
      </c>
      <c r="E353" t="inlineStr">
        <is>
          <t>MXPO</t>
        </is>
      </c>
      <c r="F353" t="inlineStr">
        <is>
          <t>MXL</t>
        </is>
      </c>
      <c r="G353" t="n">
        <v>900005660</v>
      </c>
      <c r="H353" t="inlineStr">
        <is>
          <t>TC-ED CACOSA</t>
        </is>
      </c>
      <c r="I353" t="n">
        <v>5071856</v>
      </c>
      <c r="J353" t="inlineStr">
        <is>
          <t>CARBONATO DE CALCIO SOL SA DE</t>
        </is>
      </c>
      <c r="K353" t="inlineStr">
        <is>
          <t>Z09</t>
        </is>
      </c>
      <c r="L353" t="inlineStr">
        <is>
          <t>(AP) 90 Dias</t>
        </is>
      </c>
      <c r="M353" t="n">
        <v>10000320</v>
      </c>
      <c r="N353" t="inlineStr">
        <is>
          <t>Arena Triturada Caliza Malla 4</t>
        </is>
      </c>
      <c r="O353" t="inlineStr">
        <is>
          <t>DW68</t>
        </is>
      </c>
      <c r="P353" t="inlineStr">
        <is>
          <t>MX-CED. GUADALAJARA</t>
        </is>
      </c>
      <c r="Q353" t="n">
        <v>20210801</v>
      </c>
      <c r="R353" t="n">
        <v>20261231</v>
      </c>
      <c r="S353" t="n">
        <v>20210712</v>
      </c>
      <c r="T353" t="n">
        <v>20261231</v>
      </c>
      <c r="U353" t="n">
        <v>350</v>
      </c>
      <c r="V353" t="inlineStr">
        <is>
          <t>MXN</t>
        </is>
      </c>
      <c r="W353" t="inlineStr">
        <is>
          <t>TN</t>
        </is>
      </c>
      <c r="X353" t="n">
        <v>220</v>
      </c>
      <c r="Y353" t="inlineStr">
        <is>
          <t>MXN</t>
        </is>
      </c>
      <c r="Z353" t="inlineStr">
        <is>
          <t>TN</t>
        </is>
      </c>
      <c r="AA353" t="inlineStr">
        <is>
          <t>D214</t>
        </is>
      </c>
      <c r="AB353" t="inlineStr">
        <is>
          <t>PD0174 EL SALTO 2</t>
        </is>
      </c>
      <c r="AC353" t="n">
        <v>56103638</v>
      </c>
      <c r="AD353" t="n">
        <v>6644241540</v>
      </c>
      <c r="AE353" t="n">
        <v>4</v>
      </c>
      <c r="AF353" t="inlineStr">
        <is>
          <t>ENTREGA DIRECTA</t>
        </is>
      </c>
      <c r="AG353" t="n">
        <v>1</v>
      </c>
      <c r="AH353" t="inlineStr">
        <is>
          <t>TO</t>
        </is>
      </c>
      <c r="AI353" t="inlineStr">
        <is>
          <t>X</t>
        </is>
      </c>
      <c r="AJ353" t="n">
        <v>4</v>
      </c>
      <c r="AK353" t="inlineStr">
        <is>
          <t>V4</t>
        </is>
      </c>
      <c r="AL353" t="n">
        <v>20260108</v>
      </c>
      <c r="AM353" t="inlineStr">
        <is>
          <t>DW68-900005660-D214-10000320-4</t>
        </is>
      </c>
    </row>
    <row r="354">
      <c r="A354" t="inlineStr">
        <is>
          <t>900004995DW68D26810018375</t>
        </is>
      </c>
      <c r="B354" t="inlineStr">
        <is>
          <t>4600050440-140</t>
        </is>
      </c>
      <c r="C354" t="n">
        <v>4600050440</v>
      </c>
      <c r="D354" t="n">
        <v>140</v>
      </c>
      <c r="E354" t="inlineStr">
        <is>
          <t>MXPO</t>
        </is>
      </c>
      <c r="F354" t="inlineStr">
        <is>
          <t>MXL</t>
        </is>
      </c>
      <c r="G354" t="n">
        <v>900004995</v>
      </c>
      <c r="H354" t="inlineStr">
        <is>
          <t>TC-ED LA FUNDICION</t>
        </is>
      </c>
      <c r="I354" t="n">
        <v>5065714</v>
      </c>
      <c r="J354" t="inlineStr">
        <is>
          <t>GRUPO MINERO LA FUNDICION SA DE CV</t>
        </is>
      </c>
      <c r="K354" t="inlineStr">
        <is>
          <t>N60</t>
        </is>
      </c>
      <c r="L354" t="inlineStr">
        <is>
          <t>(AP) NAFIN 60 Dias</t>
        </is>
      </c>
      <c r="M354" t="n">
        <v>10018375</v>
      </c>
      <c r="N354" t="inlineStr">
        <is>
          <t>Arena Triturada Basalto Malla 4 - BC</t>
        </is>
      </c>
      <c r="O354" t="inlineStr">
        <is>
          <t>DW68</t>
        </is>
      </c>
      <c r="P354" t="inlineStr">
        <is>
          <t>MX-CED. GUADALAJARA</t>
        </is>
      </c>
      <c r="Q354" t="n">
        <v>20210801</v>
      </c>
      <c r="R354" t="n">
        <v>20291231</v>
      </c>
      <c r="S354" t="n">
        <v>20260415</v>
      </c>
      <c r="T354" t="n">
        <v>20301231</v>
      </c>
      <c r="U354" t="n">
        <v>676.86</v>
      </c>
      <c r="V354" t="inlineStr">
        <is>
          <t>MXN</t>
        </is>
      </c>
      <c r="W354" t="inlineStr">
        <is>
          <t>M3</t>
        </is>
      </c>
      <c r="X354" t="n">
        <v>557.76</v>
      </c>
      <c r="Y354" t="inlineStr">
        <is>
          <t>MXN</t>
        </is>
      </c>
      <c r="Z354" t="inlineStr">
        <is>
          <t>M3</t>
        </is>
      </c>
      <c r="AA354" t="inlineStr">
        <is>
          <t>D268</t>
        </is>
      </c>
      <c r="AB354" t="inlineStr">
        <is>
          <t>PD418 AEROPUERTO GDL</t>
        </is>
      </c>
      <c r="AC354" t="n">
        <v>56103638</v>
      </c>
      <c r="AD354" t="n">
        <v>6644241540</v>
      </c>
      <c r="AE354" t="n">
        <v>4</v>
      </c>
      <c r="AF354" t="inlineStr">
        <is>
          <t>ENTREGA DIRECTA</t>
        </is>
      </c>
      <c r="AG354" t="n">
        <v>1.32</v>
      </c>
      <c r="AH354" t="inlineStr">
        <is>
          <t>M3</t>
        </is>
      </c>
      <c r="AI354" t="inlineStr">
        <is>
          <t>X</t>
        </is>
      </c>
      <c r="AJ354" t="n">
        <v>4</v>
      </c>
      <c r="AK354" t="inlineStr">
        <is>
          <t>V4</t>
        </is>
      </c>
      <c r="AL354" t="n">
        <v>20260430</v>
      </c>
      <c r="AM354" t="inlineStr">
        <is>
          <t>DW68-900004995-D268-10018375-4</t>
        </is>
      </c>
    </row>
    <row r="355">
      <c r="A355" t="inlineStr">
        <is>
          <t>900004995DW68D21410018375</t>
        </is>
      </c>
      <c r="B355" t="inlineStr">
        <is>
          <t>4600050440-40</t>
        </is>
      </c>
      <c r="C355" t="n">
        <v>4600050440</v>
      </c>
      <c r="D355" t="n">
        <v>40</v>
      </c>
      <c r="E355" t="inlineStr">
        <is>
          <t>MXPO</t>
        </is>
      </c>
      <c r="F355" t="inlineStr">
        <is>
          <t>MXL</t>
        </is>
      </c>
      <c r="G355" t="n">
        <v>900004995</v>
      </c>
      <c r="H355" t="inlineStr">
        <is>
          <t>TC-ED LA FUNDICION</t>
        </is>
      </c>
      <c r="I355" t="n">
        <v>5065714</v>
      </c>
      <c r="J355" t="inlineStr">
        <is>
          <t>GRUPO MINERO LA FUNDICION SA DE CV</t>
        </is>
      </c>
      <c r="K355" t="inlineStr">
        <is>
          <t>N60</t>
        </is>
      </c>
      <c r="L355" t="inlineStr">
        <is>
          <t>(AP) NAFIN 60 Dias</t>
        </is>
      </c>
      <c r="M355" t="n">
        <v>10018375</v>
      </c>
      <c r="N355" t="inlineStr">
        <is>
          <t>Arena Triturada Basalto Malla 4 - BC</t>
        </is>
      </c>
      <c r="O355" t="inlineStr">
        <is>
          <t>DW68</t>
        </is>
      </c>
      <c r="P355" t="inlineStr">
        <is>
          <t>MX-CED. GUADALAJARA</t>
        </is>
      </c>
      <c r="Q355" t="n">
        <v>20210801</v>
      </c>
      <c r="R355" t="n">
        <v>20291231</v>
      </c>
      <c r="S355" t="n">
        <v>20260415</v>
      </c>
      <c r="T355" t="n">
        <v>20301231</v>
      </c>
      <c r="U355" t="n">
        <v>701.87</v>
      </c>
      <c r="V355" t="inlineStr">
        <is>
          <t>MXN</t>
        </is>
      </c>
      <c r="W355" t="inlineStr">
        <is>
          <t>M3</t>
        </is>
      </c>
      <c r="X355" t="n">
        <v>582.77</v>
      </c>
      <c r="Y355" t="inlineStr">
        <is>
          <t>MXN</t>
        </is>
      </c>
      <c r="Z355" t="inlineStr">
        <is>
          <t>M3</t>
        </is>
      </c>
      <c r="AA355" t="inlineStr">
        <is>
          <t>D214</t>
        </is>
      </c>
      <c r="AB355" t="inlineStr">
        <is>
          <t>PD0174 EL SALTO 2</t>
        </is>
      </c>
      <c r="AC355" t="n">
        <v>56103638</v>
      </c>
      <c r="AD355" t="n">
        <v>6644241540</v>
      </c>
      <c r="AE355" t="n">
        <v>4</v>
      </c>
      <c r="AF355" t="inlineStr">
        <is>
          <t>ENTREGA DIRECTA</t>
        </is>
      </c>
      <c r="AG355" t="n">
        <v>1.32</v>
      </c>
      <c r="AH355" t="inlineStr">
        <is>
          <t>M3</t>
        </is>
      </c>
      <c r="AI355" t="inlineStr">
        <is>
          <t>X</t>
        </is>
      </c>
      <c r="AJ355" t="n">
        <v>4</v>
      </c>
      <c r="AK355" t="inlineStr">
        <is>
          <t>V4</t>
        </is>
      </c>
      <c r="AL355" t="n">
        <v>20260430</v>
      </c>
      <c r="AM355" t="inlineStr">
        <is>
          <t>DW68-900004995-D214-10018375-4</t>
        </is>
      </c>
    </row>
    <row r="356">
      <c r="A356" t="inlineStr">
        <is>
          <t>900004995DW68D21310018375</t>
        </is>
      </c>
      <c r="B356" t="inlineStr">
        <is>
          <t>4600050440-30</t>
        </is>
      </c>
      <c r="C356" t="n">
        <v>4600050440</v>
      </c>
      <c r="D356" t="n">
        <v>30</v>
      </c>
      <c r="E356" t="inlineStr">
        <is>
          <t>MXPO</t>
        </is>
      </c>
      <c r="F356" t="inlineStr">
        <is>
          <t>MXL</t>
        </is>
      </c>
      <c r="G356" t="n">
        <v>900004995</v>
      </c>
      <c r="H356" t="inlineStr">
        <is>
          <t>TC-ED LA FUNDICION</t>
        </is>
      </c>
      <c r="I356" t="n">
        <v>5065714</v>
      </c>
      <c r="J356" t="inlineStr">
        <is>
          <t>GRUPO MINERO LA FUNDICION SA DE CV</t>
        </is>
      </c>
      <c r="K356" t="inlineStr">
        <is>
          <t>N60</t>
        </is>
      </c>
      <c r="L356" t="inlineStr">
        <is>
          <t>(AP) NAFIN 60 Dias</t>
        </is>
      </c>
      <c r="M356" t="n">
        <v>10018375</v>
      </c>
      <c r="N356" t="inlineStr">
        <is>
          <t>Arena Triturada Basalto Malla 4 - BC</t>
        </is>
      </c>
      <c r="O356" t="inlineStr">
        <is>
          <t>DW68</t>
        </is>
      </c>
      <c r="P356" t="inlineStr">
        <is>
          <t>MX-CED. GUADALAJARA</t>
        </is>
      </c>
      <c r="Q356" t="n">
        <v>20210801</v>
      </c>
      <c r="R356" t="n">
        <v>20291231</v>
      </c>
      <c r="S356" t="n">
        <v>20260415</v>
      </c>
      <c r="T356" t="n">
        <v>20301231</v>
      </c>
      <c r="U356" t="n">
        <v>824.42</v>
      </c>
      <c r="V356" t="inlineStr">
        <is>
          <t>MXN</t>
        </is>
      </c>
      <c r="W356" t="inlineStr">
        <is>
          <t>M3</t>
        </is>
      </c>
      <c r="X356" t="n">
        <v>705.3200000000001</v>
      </c>
      <c r="Y356" t="inlineStr">
        <is>
          <t>MXN</t>
        </is>
      </c>
      <c r="Z356" t="inlineStr">
        <is>
          <t>M3</t>
        </is>
      </c>
      <c r="AA356" t="inlineStr">
        <is>
          <t>D213</t>
        </is>
      </c>
      <c r="AB356" t="inlineStr">
        <is>
          <t>PD0154 OCOTLAN</t>
        </is>
      </c>
      <c r="AC356" t="n">
        <v>56103638</v>
      </c>
      <c r="AD356" t="n">
        <v>6644241540</v>
      </c>
      <c r="AE356" t="n">
        <v>4</v>
      </c>
      <c r="AF356" t="inlineStr">
        <is>
          <t>ENTREGA DIRECTA</t>
        </is>
      </c>
      <c r="AG356" t="n">
        <v>1.32</v>
      </c>
      <c r="AH356" t="inlineStr">
        <is>
          <t>M3</t>
        </is>
      </c>
      <c r="AI356" t="inlineStr">
        <is>
          <t>X</t>
        </is>
      </c>
      <c r="AJ356" t="n">
        <v>4</v>
      </c>
      <c r="AK356" t="inlineStr">
        <is>
          <t>V4</t>
        </is>
      </c>
      <c r="AL356" t="n">
        <v>20260430</v>
      </c>
      <c r="AM356" t="inlineStr">
        <is>
          <t>DW68-900004995-D213-10018375-4</t>
        </is>
      </c>
    </row>
    <row r="357">
      <c r="A357" t="inlineStr">
        <is>
          <t>900004995DW68D24710018375</t>
        </is>
      </c>
      <c r="B357" t="inlineStr">
        <is>
          <t>4600050440-110</t>
        </is>
      </c>
      <c r="C357" t="n">
        <v>4600050440</v>
      </c>
      <c r="D357" t="n">
        <v>110</v>
      </c>
      <c r="E357" t="inlineStr">
        <is>
          <t>MXPO</t>
        </is>
      </c>
      <c r="F357" t="inlineStr">
        <is>
          <t>MXL</t>
        </is>
      </c>
      <c r="G357" t="n">
        <v>900004995</v>
      </c>
      <c r="H357" t="inlineStr">
        <is>
          <t>TC-ED LA FUNDICION</t>
        </is>
      </c>
      <c r="I357" t="n">
        <v>5065714</v>
      </c>
      <c r="J357" t="inlineStr">
        <is>
          <t>GRUPO MINERO LA FUNDICION SA DE CV</t>
        </is>
      </c>
      <c r="K357" t="inlineStr">
        <is>
          <t>N60</t>
        </is>
      </c>
      <c r="L357" t="inlineStr">
        <is>
          <t>(AP) NAFIN 60 Dias</t>
        </is>
      </c>
      <c r="M357" t="n">
        <v>10018375</v>
      </c>
      <c r="N357" t="inlineStr">
        <is>
          <t>Arena Triturada Basalto Malla 4 - BC</t>
        </is>
      </c>
      <c r="O357" t="inlineStr">
        <is>
          <t>DW68</t>
        </is>
      </c>
      <c r="P357" t="inlineStr">
        <is>
          <t>MX-CED. GUADALAJARA</t>
        </is>
      </c>
      <c r="Q357" t="n">
        <v>20210801</v>
      </c>
      <c r="R357" t="n">
        <v>20291231</v>
      </c>
      <c r="S357" t="n">
        <v>20260415</v>
      </c>
      <c r="T357" t="n">
        <v>20301231</v>
      </c>
      <c r="U357" t="n">
        <v>701.87</v>
      </c>
      <c r="V357" t="inlineStr">
        <is>
          <t>MXN</t>
        </is>
      </c>
      <c r="W357" t="inlineStr">
        <is>
          <t>M3</t>
        </is>
      </c>
      <c r="X357" t="n">
        <v>582.77</v>
      </c>
      <c r="Y357" t="inlineStr">
        <is>
          <t>MXN</t>
        </is>
      </c>
      <c r="Z357" t="inlineStr">
        <is>
          <t>M3</t>
        </is>
      </c>
      <c r="AA357" t="inlineStr">
        <is>
          <t>D247</t>
        </is>
      </c>
      <c r="AB357" t="inlineStr">
        <is>
          <t>PD0518 TONALA</t>
        </is>
      </c>
      <c r="AC357" t="n">
        <v>56103638</v>
      </c>
      <c r="AD357" t="n">
        <v>6644241540</v>
      </c>
      <c r="AE357" t="n">
        <v>4</v>
      </c>
      <c r="AF357" t="inlineStr">
        <is>
          <t>ENTREGA DIRECTA</t>
        </is>
      </c>
      <c r="AG357" t="n">
        <v>1.32</v>
      </c>
      <c r="AH357" t="inlineStr">
        <is>
          <t>M3</t>
        </is>
      </c>
      <c r="AI357" t="inlineStr">
        <is>
          <t>X</t>
        </is>
      </c>
      <c r="AJ357" t="n">
        <v>4</v>
      </c>
      <c r="AK357" t="inlineStr">
        <is>
          <t>V4</t>
        </is>
      </c>
      <c r="AL357" t="n">
        <v>20260430</v>
      </c>
      <c r="AM357" t="inlineStr">
        <is>
          <t>DW68-900004995-D247-10018375-4</t>
        </is>
      </c>
    </row>
    <row r="358">
      <c r="A358" t="inlineStr">
        <is>
          <t>900000620DW68ENL110270898</t>
        </is>
      </c>
      <c r="B358" t="inlineStr">
        <is>
          <t>4600071941-10</t>
        </is>
      </c>
      <c r="C358" t="n">
        <v>4600071941</v>
      </c>
      <c r="D358" t="n">
        <v>10</v>
      </c>
      <c r="E358" t="inlineStr">
        <is>
          <t>MXPO</t>
        </is>
      </c>
      <c r="F358" t="inlineStr">
        <is>
          <t>MXL</t>
        </is>
      </c>
      <c r="G358" t="n">
        <v>900000620</v>
      </c>
      <c r="H358" t="inlineStr">
        <is>
          <t>TC-ED- GRAVASE STA. ROSA</t>
        </is>
      </c>
      <c r="I358" t="n">
        <v>5009010</v>
      </c>
      <c r="J358" t="inlineStr">
        <is>
          <t>GRAVASE SA DE CV</t>
        </is>
      </c>
      <c r="K358" t="inlineStr">
        <is>
          <t>Z04</t>
        </is>
      </c>
      <c r="L358" t="inlineStr">
        <is>
          <t>(AP) 30 Dias</t>
        </is>
      </c>
      <c r="M358" t="n">
        <v>10270898</v>
      </c>
      <c r="N358" t="inlineStr">
        <is>
          <t>MP BASE H. TRIT. BASALTO 1 1/2" A FINOS</t>
        </is>
      </c>
      <c r="O358" t="inlineStr">
        <is>
          <t>DW68</t>
        </is>
      </c>
      <c r="P358" t="inlineStr">
        <is>
          <t>MX-CED. GUADALAJARA</t>
        </is>
      </c>
      <c r="Q358" t="n">
        <v>20260126</v>
      </c>
      <c r="R358" t="n">
        <v>20301231</v>
      </c>
      <c r="S358" t="n">
        <v>20260301</v>
      </c>
      <c r="T358" t="n">
        <v>20301231</v>
      </c>
      <c r="U358" t="n">
        <v>184.44</v>
      </c>
      <c r="V358" t="inlineStr">
        <is>
          <t>MXN</t>
        </is>
      </c>
      <c r="W358" t="inlineStr">
        <is>
          <t>TN</t>
        </is>
      </c>
      <c r="X358" t="n">
        <v>0.01</v>
      </c>
      <c r="Y358" t="inlineStr">
        <is>
          <t>MXN</t>
        </is>
      </c>
      <c r="Z358" t="inlineStr">
        <is>
          <t>TN</t>
        </is>
      </c>
      <c r="AA358" t="inlineStr">
        <is>
          <t>ENL1</t>
        </is>
      </c>
      <c r="AB358" t="inlineStr">
        <is>
          <t>MX-PD0681 INFRA APTO GDL</t>
        </is>
      </c>
      <c r="AC358" t="n">
        <v>56103590</v>
      </c>
      <c r="AD358" t="n">
        <v>6644241540</v>
      </c>
      <c r="AE358" t="n">
        <v>4</v>
      </c>
      <c r="AF358" t="inlineStr">
        <is>
          <t>ENTREGA DIRECTA</t>
        </is>
      </c>
      <c r="AG358" t="n">
        <v>1</v>
      </c>
      <c r="AH358" t="inlineStr">
        <is>
          <t>TO</t>
        </is>
      </c>
      <c r="AI358" t="inlineStr">
        <is>
          <t>X</t>
        </is>
      </c>
      <c r="AJ358" t="n">
        <v>4</v>
      </c>
      <c r="AK358" t="inlineStr">
        <is>
          <t>V4</t>
        </is>
      </c>
      <c r="AL358" t="n">
        <v>20260430</v>
      </c>
      <c r="AM358" t="inlineStr">
        <is>
          <t>DW68-900000620-ENL1-10270898-4</t>
        </is>
      </c>
    </row>
    <row r="359">
      <c r="A359" t="inlineStr">
        <is>
          <t>900004995DW68D21110018375</t>
        </is>
      </c>
      <c r="B359" t="inlineStr">
        <is>
          <t>4600050440-10</t>
        </is>
      </c>
      <c r="C359" t="n">
        <v>4600050440</v>
      </c>
      <c r="D359" t="n">
        <v>10</v>
      </c>
      <c r="E359" t="inlineStr">
        <is>
          <t>MXPO</t>
        </is>
      </c>
      <c r="F359" t="inlineStr">
        <is>
          <t>MXL</t>
        </is>
      </c>
      <c r="G359" t="n">
        <v>900004995</v>
      </c>
      <c r="H359" t="inlineStr">
        <is>
          <t>TC-ED LA FUNDICION</t>
        </is>
      </c>
      <c r="I359" t="n">
        <v>5065714</v>
      </c>
      <c r="J359" t="inlineStr">
        <is>
          <t>GRUPO MINERO LA FUNDICION SA DE CV</t>
        </is>
      </c>
      <c r="K359" t="inlineStr">
        <is>
          <t>N60</t>
        </is>
      </c>
      <c r="L359" t="inlineStr">
        <is>
          <t>(AP) NAFIN 60 Dias</t>
        </is>
      </c>
      <c r="M359" t="n">
        <v>10018375</v>
      </c>
      <c r="N359" t="inlineStr">
        <is>
          <t>Arena Triturada Basalto Malla 4 - BC</t>
        </is>
      </c>
      <c r="O359" t="inlineStr">
        <is>
          <t>DW68</t>
        </is>
      </c>
      <c r="P359" t="inlineStr">
        <is>
          <t>MX-CED. GUADALAJARA</t>
        </is>
      </c>
      <c r="Q359" t="n">
        <v>20210801</v>
      </c>
      <c r="R359" t="n">
        <v>20291231</v>
      </c>
      <c r="S359" t="n">
        <v>20260415</v>
      </c>
      <c r="T359" t="n">
        <v>20301231</v>
      </c>
      <c r="U359" t="n">
        <v>631.83</v>
      </c>
      <c r="V359" t="inlineStr">
        <is>
          <t>MXN</t>
        </is>
      </c>
      <c r="W359" t="inlineStr">
        <is>
          <t>M3</t>
        </is>
      </c>
      <c r="X359" t="n">
        <v>512.73</v>
      </c>
      <c r="Y359" t="inlineStr">
        <is>
          <t>MXN</t>
        </is>
      </c>
      <c r="Z359" t="inlineStr">
        <is>
          <t>M3</t>
        </is>
      </c>
      <c r="AA359" t="inlineStr">
        <is>
          <t>D211</t>
        </is>
      </c>
      <c r="AB359" t="inlineStr">
        <is>
          <t>PD0149 GDL. MATRIZ</t>
        </is>
      </c>
      <c r="AC359" t="n">
        <v>56103638</v>
      </c>
      <c r="AD359" t="n">
        <v>6644241540</v>
      </c>
      <c r="AE359" t="n">
        <v>4</v>
      </c>
      <c r="AF359" t="inlineStr">
        <is>
          <t>ENTREGA DIRECTA</t>
        </is>
      </c>
      <c r="AG359" t="n">
        <v>1.32</v>
      </c>
      <c r="AH359" t="inlineStr">
        <is>
          <t>M3</t>
        </is>
      </c>
      <c r="AI359" t="inlineStr">
        <is>
          <t>X</t>
        </is>
      </c>
      <c r="AJ359" t="n">
        <v>4</v>
      </c>
      <c r="AK359" t="inlineStr">
        <is>
          <t>V4</t>
        </is>
      </c>
      <c r="AL359" t="n">
        <v>20260430</v>
      </c>
      <c r="AM359" t="inlineStr">
        <is>
          <t>DW68-900004995-D211-10018375-4</t>
        </is>
      </c>
    </row>
    <row r="360">
      <c r="A360" t="inlineStr">
        <is>
          <t>900004995DW68D25110018375</t>
        </is>
      </c>
      <c r="B360" t="inlineStr">
        <is>
          <t>4600050440-120</t>
        </is>
      </c>
      <c r="C360" t="n">
        <v>4600050440</v>
      </c>
      <c r="D360" t="n">
        <v>120</v>
      </c>
      <c r="E360" t="inlineStr">
        <is>
          <t>MXPO</t>
        </is>
      </c>
      <c r="F360" t="inlineStr">
        <is>
          <t>MXL</t>
        </is>
      </c>
      <c r="G360" t="n">
        <v>900004995</v>
      </c>
      <c r="H360" t="inlineStr">
        <is>
          <t>TC-ED LA FUNDICION</t>
        </is>
      </c>
      <c r="I360" t="n">
        <v>5065714</v>
      </c>
      <c r="J360" t="inlineStr">
        <is>
          <t>GRUPO MINERO LA FUNDICION SA DE CV</t>
        </is>
      </c>
      <c r="K360" t="inlineStr">
        <is>
          <t>N60</t>
        </is>
      </c>
      <c r="L360" t="inlineStr">
        <is>
          <t>(AP) NAFIN 60 Dias</t>
        </is>
      </c>
      <c r="M360" t="n">
        <v>10018375</v>
      </c>
      <c r="N360" t="inlineStr">
        <is>
          <t>Arena Triturada Basalto Malla 4 - BC</t>
        </is>
      </c>
      <c r="O360" t="inlineStr">
        <is>
          <t>DW68</t>
        </is>
      </c>
      <c r="P360" t="inlineStr">
        <is>
          <t>MX-CED. GUADALAJARA</t>
        </is>
      </c>
      <c r="Q360" t="n">
        <v>20210801</v>
      </c>
      <c r="R360" t="n">
        <v>20291231</v>
      </c>
      <c r="S360" t="n">
        <v>20260415</v>
      </c>
      <c r="T360" t="n">
        <v>20301231</v>
      </c>
      <c r="U360" t="n">
        <v>701.87</v>
      </c>
      <c r="V360" t="inlineStr">
        <is>
          <t>MXN</t>
        </is>
      </c>
      <c r="W360" t="inlineStr">
        <is>
          <t>M3</t>
        </is>
      </c>
      <c r="X360" t="n">
        <v>582.77</v>
      </c>
      <c r="Y360" t="inlineStr">
        <is>
          <t>MXN</t>
        </is>
      </c>
      <c r="Z360" t="inlineStr">
        <is>
          <t>M3</t>
        </is>
      </c>
      <c r="AA360" t="inlineStr">
        <is>
          <t>D251</t>
        </is>
      </c>
      <c r="AB360" t="inlineStr">
        <is>
          <t>PD0339 EL SALTO</t>
        </is>
      </c>
      <c r="AC360" t="n">
        <v>56103638</v>
      </c>
      <c r="AD360" t="n">
        <v>6644241540</v>
      </c>
      <c r="AE360" t="n">
        <v>4</v>
      </c>
      <c r="AF360" t="inlineStr">
        <is>
          <t>ENTREGA DIRECTA</t>
        </is>
      </c>
      <c r="AG360" t="n">
        <v>1.32</v>
      </c>
      <c r="AH360" t="inlineStr">
        <is>
          <t>M3</t>
        </is>
      </c>
      <c r="AI360" t="inlineStr">
        <is>
          <t>X</t>
        </is>
      </c>
      <c r="AJ360" t="n">
        <v>4</v>
      </c>
      <c r="AK360" t="inlineStr">
        <is>
          <t>V4</t>
        </is>
      </c>
      <c r="AL360" t="n">
        <v>20260430</v>
      </c>
      <c r="AM360" t="inlineStr">
        <is>
          <t>DW68-900004995-D251-10018375-4</t>
        </is>
      </c>
    </row>
    <row r="361">
      <c r="A361" t="inlineStr">
        <is>
          <t>900000620DW68ENL110209065</t>
        </is>
      </c>
      <c r="B361" t="inlineStr">
        <is>
          <t>4600071941-170</t>
        </is>
      </c>
      <c r="C361" t="n">
        <v>4600071941</v>
      </c>
      <c r="D361" t="n">
        <v>170</v>
      </c>
      <c r="E361" t="inlineStr">
        <is>
          <t>MXPO</t>
        </is>
      </c>
      <c r="F361" t="inlineStr">
        <is>
          <t>MXL</t>
        </is>
      </c>
      <c r="G361" t="n">
        <v>900000620</v>
      </c>
      <c r="H361" t="inlineStr">
        <is>
          <t>TC-ED- GRAVASE STA. ROSA</t>
        </is>
      </c>
      <c r="I361" t="n">
        <v>5009010</v>
      </c>
      <c r="J361" t="inlineStr">
        <is>
          <t>GRAVASE SA DE CV</t>
        </is>
      </c>
      <c r="K361" t="inlineStr">
        <is>
          <t>Z04</t>
        </is>
      </c>
      <c r="L361" t="inlineStr">
        <is>
          <t>(AP) 30 Dias</t>
        </is>
      </c>
      <c r="M361" t="n">
        <v>10209065</v>
      </c>
      <c r="N361" t="inlineStr">
        <is>
          <t>FILTRO 5" A 7/8"</t>
        </is>
      </c>
      <c r="O361" t="inlineStr">
        <is>
          <t>DW68</t>
        </is>
      </c>
      <c r="P361" t="inlineStr">
        <is>
          <t>MX-CED. GUADALAJARA</t>
        </is>
      </c>
      <c r="Q361" t="n">
        <v>20260126</v>
      </c>
      <c r="R361" t="n">
        <v>20301231</v>
      </c>
      <c r="S361" t="n">
        <v>20260301</v>
      </c>
      <c r="T361" t="n">
        <v>20301231</v>
      </c>
      <c r="U361" t="n">
        <v>107.12</v>
      </c>
      <c r="V361" t="inlineStr">
        <is>
          <t>MXN</t>
        </is>
      </c>
      <c r="W361" t="inlineStr">
        <is>
          <t>TN</t>
        </is>
      </c>
      <c r="X361" t="n">
        <v>0.01</v>
      </c>
      <c r="Y361" t="inlineStr">
        <is>
          <t>MXN</t>
        </is>
      </c>
      <c r="Z361" t="inlineStr">
        <is>
          <t>TN</t>
        </is>
      </c>
      <c r="AA361" t="inlineStr">
        <is>
          <t>ENL1</t>
        </is>
      </c>
      <c r="AB361" t="inlineStr">
        <is>
          <t>MX-PD0681 INFRA APTO GDL</t>
        </is>
      </c>
      <c r="AC361" t="n">
        <v>56103637</v>
      </c>
      <c r="AD361" t="n">
        <v>6644241540</v>
      </c>
      <c r="AE361" t="n">
        <v>4</v>
      </c>
      <c r="AF361" t="inlineStr">
        <is>
          <t>ENTREGA DIRECTA</t>
        </is>
      </c>
      <c r="AG361" t="n">
        <v>1</v>
      </c>
      <c r="AH361" t="inlineStr">
        <is>
          <t>TO</t>
        </is>
      </c>
      <c r="AI361" t="inlineStr">
        <is>
          <t>X</t>
        </is>
      </c>
      <c r="AJ361" t="n">
        <v>4</v>
      </c>
      <c r="AK361" t="inlineStr">
        <is>
          <t>V4</t>
        </is>
      </c>
      <c r="AL361" t="n">
        <v>20260430</v>
      </c>
      <c r="AM361" t="inlineStr">
        <is>
          <t>DW68-900000620-ENL1-10209065-4</t>
        </is>
      </c>
    </row>
    <row r="362">
      <c r="A362" t="inlineStr">
        <is>
          <t>900000620DW68D57710270898</t>
        </is>
      </c>
      <c r="B362" t="inlineStr">
        <is>
          <t>4600071941-180</t>
        </is>
      </c>
      <c r="C362" t="n">
        <v>4600071941</v>
      </c>
      <c r="D362" t="n">
        <v>180</v>
      </c>
      <c r="E362" t="inlineStr">
        <is>
          <t>MXPO</t>
        </is>
      </c>
      <c r="F362" t="inlineStr">
        <is>
          <t>MXL</t>
        </is>
      </c>
      <c r="G362" t="n">
        <v>900000620</v>
      </c>
      <c r="H362" t="inlineStr">
        <is>
          <t>TC-ED- GRAVASE STA. ROSA</t>
        </is>
      </c>
      <c r="I362" t="n">
        <v>5009010</v>
      </c>
      <c r="J362" t="inlineStr">
        <is>
          <t>GRAVASE SA DE CV</t>
        </is>
      </c>
      <c r="K362" t="inlineStr">
        <is>
          <t>Z04</t>
        </is>
      </c>
      <c r="L362" t="inlineStr">
        <is>
          <t>(AP) 30 Dias</t>
        </is>
      </c>
      <c r="M362" t="n">
        <v>10270898</v>
      </c>
      <c r="N362" t="inlineStr">
        <is>
          <t>MP BASE H. TRIT. BASALTO 1 1/2" A FINOS</t>
        </is>
      </c>
      <c r="O362" t="inlineStr">
        <is>
          <t>DW68</t>
        </is>
      </c>
      <c r="P362" t="inlineStr">
        <is>
          <t>MX-CED. GUADALAJARA</t>
        </is>
      </c>
      <c r="Q362" t="n">
        <v>20260126</v>
      </c>
      <c r="R362" t="n">
        <v>20301231</v>
      </c>
      <c r="S362" t="n">
        <v>20260301</v>
      </c>
      <c r="T362" t="n">
        <v>20301231</v>
      </c>
      <c r="U362" t="n">
        <v>184.44</v>
      </c>
      <c r="V362" t="inlineStr">
        <is>
          <t>MXN</t>
        </is>
      </c>
      <c r="W362" t="inlineStr">
        <is>
          <t>TN</t>
        </is>
      </c>
      <c r="X362" t="n">
        <v>0.01</v>
      </c>
      <c r="Y362" t="inlineStr">
        <is>
          <t>MXN</t>
        </is>
      </c>
      <c r="Z362" t="inlineStr">
        <is>
          <t>TN</t>
        </is>
      </c>
      <c r="AA362" t="inlineStr">
        <is>
          <t>D577</t>
        </is>
      </c>
      <c r="AB362" t="inlineStr">
        <is>
          <t>D577 PD0681 PROY APTO GDL</t>
        </is>
      </c>
      <c r="AC362" t="n">
        <v>56103590</v>
      </c>
      <c r="AD362" t="n">
        <v>6644241540</v>
      </c>
      <c r="AE362" t="n">
        <v>4</v>
      </c>
      <c r="AF362" t="inlineStr">
        <is>
          <t>ENTREGA DIRECTA</t>
        </is>
      </c>
      <c r="AG362" t="n">
        <v>1</v>
      </c>
      <c r="AH362" t="inlineStr">
        <is>
          <t>TO</t>
        </is>
      </c>
      <c r="AI362" t="inlineStr">
        <is>
          <t>X</t>
        </is>
      </c>
      <c r="AJ362" t="n">
        <v>4</v>
      </c>
      <c r="AK362" t="inlineStr">
        <is>
          <t>V4</t>
        </is>
      </c>
      <c r="AL362" t="n">
        <v>20260430</v>
      </c>
      <c r="AM362" t="inlineStr">
        <is>
          <t>DW68-900000620-D577-10270898-4</t>
        </is>
      </c>
    </row>
    <row r="363">
      <c r="A363" t="inlineStr">
        <is>
          <t>900004995DW68D22810018375</t>
        </is>
      </c>
      <c r="B363" t="inlineStr">
        <is>
          <t>4600050440-50</t>
        </is>
      </c>
      <c r="C363" t="n">
        <v>4600050440</v>
      </c>
      <c r="D363" t="n">
        <v>50</v>
      </c>
      <c r="E363" t="inlineStr">
        <is>
          <t>MXPO</t>
        </is>
      </c>
      <c r="F363" t="inlineStr">
        <is>
          <t>MXL</t>
        </is>
      </c>
      <c r="G363" t="n">
        <v>900004995</v>
      </c>
      <c r="H363" t="inlineStr">
        <is>
          <t>TC-ED LA FUNDICION</t>
        </is>
      </c>
      <c r="I363" t="n">
        <v>5065714</v>
      </c>
      <c r="J363" t="inlineStr">
        <is>
          <t>GRUPO MINERO LA FUNDICION SA DE CV</t>
        </is>
      </c>
      <c r="K363" t="inlineStr">
        <is>
          <t>N60</t>
        </is>
      </c>
      <c r="L363" t="inlineStr">
        <is>
          <t>(AP) NAFIN 60 Dias</t>
        </is>
      </c>
      <c r="M363" t="n">
        <v>10018375</v>
      </c>
      <c r="N363" t="inlineStr">
        <is>
          <t>Arena Triturada Basalto Malla 4 - BC</t>
        </is>
      </c>
      <c r="O363" t="inlineStr">
        <is>
          <t>DW68</t>
        </is>
      </c>
      <c r="P363" t="inlineStr">
        <is>
          <t>MX-CED. GUADALAJARA</t>
        </is>
      </c>
      <c r="Q363" t="n">
        <v>20210801</v>
      </c>
      <c r="R363" t="n">
        <v>20291231</v>
      </c>
      <c r="S363" t="n">
        <v>20260415</v>
      </c>
      <c r="T363" t="n">
        <v>20301231</v>
      </c>
      <c r="U363" t="n">
        <v>574.3099999999999</v>
      </c>
      <c r="V363" t="inlineStr">
        <is>
          <t>MXN</t>
        </is>
      </c>
      <c r="W363" t="inlineStr">
        <is>
          <t>M3</t>
        </is>
      </c>
      <c r="X363" t="n">
        <v>455.2</v>
      </c>
      <c r="Y363" t="inlineStr">
        <is>
          <t>MXN</t>
        </is>
      </c>
      <c r="Z363" t="inlineStr">
        <is>
          <t>M3</t>
        </is>
      </c>
      <c r="AA363" t="inlineStr">
        <is>
          <t>D228</t>
        </is>
      </c>
      <c r="AB363" t="inlineStr">
        <is>
          <t>PD0123 TLAJOMULCO</t>
        </is>
      </c>
      <c r="AC363" t="n">
        <v>56103638</v>
      </c>
      <c r="AD363" t="n">
        <v>6644241540</v>
      </c>
      <c r="AE363" t="n">
        <v>4</v>
      </c>
      <c r="AF363" t="inlineStr">
        <is>
          <t>ENTREGA DIRECTA</t>
        </is>
      </c>
      <c r="AG363" t="n">
        <v>1.32</v>
      </c>
      <c r="AH363" t="inlineStr">
        <is>
          <t>M3</t>
        </is>
      </c>
      <c r="AI363" t="inlineStr">
        <is>
          <t>X</t>
        </is>
      </c>
      <c r="AJ363" t="n">
        <v>4</v>
      </c>
      <c r="AK363" t="inlineStr">
        <is>
          <t>V4</t>
        </is>
      </c>
      <c r="AL363" t="n">
        <v>20260430</v>
      </c>
      <c r="AM363" t="inlineStr">
        <is>
          <t>DW68-900004995-D228-10018375-4</t>
        </is>
      </c>
    </row>
    <row r="364">
      <c r="A364" t="inlineStr">
        <is>
          <t>900004995DW68D26710018375</t>
        </is>
      </c>
      <c r="B364" t="inlineStr">
        <is>
          <t>4600050440-130</t>
        </is>
      </c>
      <c r="C364" t="n">
        <v>4600050440</v>
      </c>
      <c r="D364" t="n">
        <v>130</v>
      </c>
      <c r="E364" t="inlineStr">
        <is>
          <t>MXPO</t>
        </is>
      </c>
      <c r="F364" t="inlineStr">
        <is>
          <t>MXL</t>
        </is>
      </c>
      <c r="G364" t="n">
        <v>900004995</v>
      </c>
      <c r="H364" t="inlineStr">
        <is>
          <t>TC-ED LA FUNDICION</t>
        </is>
      </c>
      <c r="I364" t="n">
        <v>5065714</v>
      </c>
      <c r="J364" t="inlineStr">
        <is>
          <t>GRUPO MINERO LA FUNDICION SA DE CV</t>
        </is>
      </c>
      <c r="K364" t="inlineStr">
        <is>
          <t>N60</t>
        </is>
      </c>
      <c r="L364" t="inlineStr">
        <is>
          <t>(AP) NAFIN 60 Dias</t>
        </is>
      </c>
      <c r="M364" t="n">
        <v>10018375</v>
      </c>
      <c r="N364" t="inlineStr">
        <is>
          <t>Arena Triturada Basalto Malla 4 - BC</t>
        </is>
      </c>
      <c r="O364" t="inlineStr">
        <is>
          <t>DW68</t>
        </is>
      </c>
      <c r="P364" t="inlineStr">
        <is>
          <t>MX-CED. GUADALAJARA</t>
        </is>
      </c>
      <c r="Q364" t="n">
        <v>20210801</v>
      </c>
      <c r="R364" t="n">
        <v>20291231</v>
      </c>
      <c r="S364" t="n">
        <v>20260415</v>
      </c>
      <c r="T364" t="n">
        <v>20301231</v>
      </c>
      <c r="U364" t="n">
        <v>699.36</v>
      </c>
      <c r="V364" t="inlineStr">
        <is>
          <t>MXN</t>
        </is>
      </c>
      <c r="W364" t="inlineStr">
        <is>
          <t>M3</t>
        </is>
      </c>
      <c r="X364" t="n">
        <v>580.26</v>
      </c>
      <c r="Y364" t="inlineStr">
        <is>
          <t>MXN</t>
        </is>
      </c>
      <c r="Z364" t="inlineStr">
        <is>
          <t>M3</t>
        </is>
      </c>
      <c r="AA364" t="inlineStr">
        <is>
          <t>D267</t>
        </is>
      </c>
      <c r="AB364" t="inlineStr">
        <is>
          <t>PD0280 PLANTA COLOTLAN</t>
        </is>
      </c>
      <c r="AC364" t="n">
        <v>56103638</v>
      </c>
      <c r="AD364" t="n">
        <v>6644241540</v>
      </c>
      <c r="AE364" t="n">
        <v>4</v>
      </c>
      <c r="AF364" t="inlineStr">
        <is>
          <t>ENTREGA DIRECTA</t>
        </is>
      </c>
      <c r="AG364" t="n">
        <v>1.32</v>
      </c>
      <c r="AH364" t="inlineStr">
        <is>
          <t>M3</t>
        </is>
      </c>
      <c r="AI364" t="inlineStr">
        <is>
          <t>X</t>
        </is>
      </c>
      <c r="AJ364" t="n">
        <v>4</v>
      </c>
      <c r="AK364" t="inlineStr">
        <is>
          <t>V4</t>
        </is>
      </c>
      <c r="AL364" t="n">
        <v>20260430</v>
      </c>
      <c r="AM364" t="inlineStr">
        <is>
          <t>DW68-900004995-D267-10018375-4</t>
        </is>
      </c>
    </row>
    <row r="365">
      <c r="A365" t="inlineStr">
        <is>
          <t>900000620DW68ENL110270913</t>
        </is>
      </c>
      <c r="B365" t="inlineStr">
        <is>
          <t>4600071941-40</t>
        </is>
      </c>
      <c r="C365" t="n">
        <v>4600071941</v>
      </c>
      <c r="D365" t="n">
        <v>40</v>
      </c>
      <c r="E365" t="inlineStr">
        <is>
          <t>MXPO</t>
        </is>
      </c>
      <c r="F365" t="inlineStr">
        <is>
          <t>MXL</t>
        </is>
      </c>
      <c r="G365" t="n">
        <v>900000620</v>
      </c>
      <c r="H365" t="inlineStr">
        <is>
          <t>TC-ED- GRAVASE STA. ROSA</t>
        </is>
      </c>
      <c r="I365" t="n">
        <v>5009010</v>
      </c>
      <c r="J365" t="inlineStr">
        <is>
          <t>GRAVASE SA DE CV</t>
        </is>
      </c>
      <c r="K365" t="inlineStr">
        <is>
          <t>Z04</t>
        </is>
      </c>
      <c r="L365" t="inlineStr">
        <is>
          <t>(AP) 30 Dias</t>
        </is>
      </c>
      <c r="M365" t="n">
        <v>10270913</v>
      </c>
      <c r="N365" t="inlineStr">
        <is>
          <t>MP GRAVA TRIT. BASALTO 20 MM - 3/4</t>
        </is>
      </c>
      <c r="O365" t="inlineStr">
        <is>
          <t>DW68</t>
        </is>
      </c>
      <c r="P365" t="inlineStr">
        <is>
          <t>MX-CED. GUADALAJARA</t>
        </is>
      </c>
      <c r="Q365" t="n">
        <v>20260126</v>
      </c>
      <c r="R365" t="n">
        <v>20301231</v>
      </c>
      <c r="S365" t="n">
        <v>20260301</v>
      </c>
      <c r="T365" t="n">
        <v>20301231</v>
      </c>
      <c r="U365" t="n">
        <v>231.12</v>
      </c>
      <c r="V365" t="inlineStr">
        <is>
          <t>MXN</t>
        </is>
      </c>
      <c r="W365" t="inlineStr">
        <is>
          <t>TN</t>
        </is>
      </c>
      <c r="X365" t="n">
        <v>0.01</v>
      </c>
      <c r="Y365" t="inlineStr">
        <is>
          <t>MXN</t>
        </is>
      </c>
      <c r="Z365" t="inlineStr">
        <is>
          <t>TN</t>
        </is>
      </c>
      <c r="AA365" t="inlineStr">
        <is>
          <t>ENL1</t>
        </is>
      </c>
      <c r="AB365" t="inlineStr">
        <is>
          <t>MX-PD0681 INFRA APTO GDL</t>
        </is>
      </c>
      <c r="AC365" t="n">
        <v>56103637</v>
      </c>
      <c r="AD365" t="n">
        <v>6644241540</v>
      </c>
      <c r="AE365" t="n">
        <v>4</v>
      </c>
      <c r="AF365" t="inlineStr">
        <is>
          <t>ENTREGA DIRECTA</t>
        </is>
      </c>
      <c r="AG365" t="n">
        <v>1</v>
      </c>
      <c r="AH365" t="inlineStr">
        <is>
          <t>TO</t>
        </is>
      </c>
      <c r="AI365" t="inlineStr">
        <is>
          <t>X</t>
        </is>
      </c>
      <c r="AJ365" t="n">
        <v>4</v>
      </c>
      <c r="AK365" t="inlineStr">
        <is>
          <t>V4</t>
        </is>
      </c>
      <c r="AL365" t="n">
        <v>20260430</v>
      </c>
      <c r="AM365" t="inlineStr">
        <is>
          <t>DW68-900000620-ENL1-10270913-4</t>
        </is>
      </c>
    </row>
    <row r="366">
      <c r="A366" t="inlineStr">
        <is>
          <t>900000620DW68ENV810209065</t>
        </is>
      </c>
      <c r="B366" t="inlineStr">
        <is>
          <t>4600071941-50</t>
        </is>
      </c>
      <c r="C366" t="n">
        <v>4600071941</v>
      </c>
      <c r="D366" t="n">
        <v>50</v>
      </c>
      <c r="E366" t="inlineStr">
        <is>
          <t>MXPO</t>
        </is>
      </c>
      <c r="F366" t="inlineStr">
        <is>
          <t>MXL</t>
        </is>
      </c>
      <c r="G366" t="n">
        <v>900000620</v>
      </c>
      <c r="H366" t="inlineStr">
        <is>
          <t>TC-ED- GRAVASE STA. ROSA</t>
        </is>
      </c>
      <c r="I366" t="n">
        <v>5009010</v>
      </c>
      <c r="J366" t="inlineStr">
        <is>
          <t>GRAVASE SA DE CV</t>
        </is>
      </c>
      <c r="K366" t="inlineStr">
        <is>
          <t>Z04</t>
        </is>
      </c>
      <c r="L366" t="inlineStr">
        <is>
          <t>(AP) 30 Dias</t>
        </is>
      </c>
      <c r="M366" t="n">
        <v>10209065</v>
      </c>
      <c r="N366" t="inlineStr">
        <is>
          <t>FILTRO 5" A 7/8"</t>
        </is>
      </c>
      <c r="O366" t="inlineStr">
        <is>
          <t>DW68</t>
        </is>
      </c>
      <c r="P366" t="inlineStr">
        <is>
          <t>MX-CED. GUADALAJARA</t>
        </is>
      </c>
      <c r="Q366" t="n">
        <v>20260126</v>
      </c>
      <c r="R366" t="n">
        <v>20301231</v>
      </c>
      <c r="S366" t="n">
        <v>20260301</v>
      </c>
      <c r="T366" t="n">
        <v>20301231</v>
      </c>
      <c r="U366" t="n">
        <v>107.12</v>
      </c>
      <c r="V366" t="inlineStr">
        <is>
          <t>MXN</t>
        </is>
      </c>
      <c r="W366" t="inlineStr">
        <is>
          <t>TN</t>
        </is>
      </c>
      <c r="X366" t="n">
        <v>0.01</v>
      </c>
      <c r="Y366" t="inlineStr">
        <is>
          <t>MXN</t>
        </is>
      </c>
      <c r="Z366" t="inlineStr">
        <is>
          <t>TN</t>
        </is>
      </c>
      <c r="AA366" t="inlineStr">
        <is>
          <t>ENV8</t>
        </is>
      </c>
      <c r="AB366" t="inlineStr">
        <is>
          <t>Plataforma Aeropuerto GDL / GAP</t>
        </is>
      </c>
      <c r="AC366" t="n">
        <v>56103637</v>
      </c>
      <c r="AD366" t="n">
        <v>6644241540</v>
      </c>
      <c r="AE366" t="n">
        <v>4</v>
      </c>
      <c r="AF366" t="inlineStr">
        <is>
          <t>ENTREGA DIRECTA</t>
        </is>
      </c>
      <c r="AG366" t="n">
        <v>1</v>
      </c>
      <c r="AH366" t="inlineStr">
        <is>
          <t>TO</t>
        </is>
      </c>
      <c r="AI366" t="inlineStr">
        <is>
          <t>X</t>
        </is>
      </c>
      <c r="AJ366" t="n">
        <v>4</v>
      </c>
      <c r="AK366" t="inlineStr">
        <is>
          <t>V4</t>
        </is>
      </c>
      <c r="AL366" t="n">
        <v>20260430</v>
      </c>
      <c r="AM366" t="inlineStr">
        <is>
          <t>DW68-900000620-ENV8-10209065-4</t>
        </is>
      </c>
    </row>
    <row r="367">
      <c r="A367" t="inlineStr">
        <is>
          <t>900000620DW68ENV910270898</t>
        </is>
      </c>
      <c r="B367" t="inlineStr">
        <is>
          <t>4600071941-80</t>
        </is>
      </c>
      <c r="C367" t="n">
        <v>4600071941</v>
      </c>
      <c r="D367" t="n">
        <v>80</v>
      </c>
      <c r="E367" t="inlineStr">
        <is>
          <t>MXPO</t>
        </is>
      </c>
      <c r="F367" t="inlineStr">
        <is>
          <t>MXL</t>
        </is>
      </c>
      <c r="G367" t="n">
        <v>900000620</v>
      </c>
      <c r="H367" t="inlineStr">
        <is>
          <t>TC-ED- GRAVASE STA. ROSA</t>
        </is>
      </c>
      <c r="I367" t="n">
        <v>5009010</v>
      </c>
      <c r="J367" t="inlineStr">
        <is>
          <t>GRAVASE SA DE CV</t>
        </is>
      </c>
      <c r="K367" t="inlineStr">
        <is>
          <t>Z04</t>
        </is>
      </c>
      <c r="L367" t="inlineStr">
        <is>
          <t>(AP) 30 Dias</t>
        </is>
      </c>
      <c r="M367" t="n">
        <v>10270898</v>
      </c>
      <c r="N367" t="inlineStr">
        <is>
          <t>MP BASE H. TRIT. BASALTO 1 1/2" A FINOS</t>
        </is>
      </c>
      <c r="O367" t="inlineStr">
        <is>
          <t>DW68</t>
        </is>
      </c>
      <c r="P367" t="inlineStr">
        <is>
          <t>MX-CED. GUADALAJARA</t>
        </is>
      </c>
      <c r="Q367" t="n">
        <v>20260126</v>
      </c>
      <c r="R367" t="n">
        <v>20301231</v>
      </c>
      <c r="S367" t="n">
        <v>20260301</v>
      </c>
      <c r="T367" t="n">
        <v>20301231</v>
      </c>
      <c r="U367" t="n">
        <v>184.44</v>
      </c>
      <c r="V367" t="inlineStr">
        <is>
          <t>MXN</t>
        </is>
      </c>
      <c r="W367" t="inlineStr">
        <is>
          <t>TN</t>
        </is>
      </c>
      <c r="X367" t="n">
        <v>0.01</v>
      </c>
      <c r="Y367" t="inlineStr">
        <is>
          <t>MXN</t>
        </is>
      </c>
      <c r="Z367" t="inlineStr">
        <is>
          <t>TN</t>
        </is>
      </c>
      <c r="AA367" t="inlineStr">
        <is>
          <t>ENV9</t>
        </is>
      </c>
      <c r="AB367" t="inlineStr">
        <is>
          <t>VIALIDADES AEROPUERTO GDL F1 Y F2 /</t>
        </is>
      </c>
      <c r="AC367" t="n">
        <v>56103590</v>
      </c>
      <c r="AD367" t="n">
        <v>6644241540</v>
      </c>
      <c r="AE367" t="n">
        <v>4</v>
      </c>
      <c r="AF367" t="inlineStr">
        <is>
          <t>ENTREGA DIRECTA</t>
        </is>
      </c>
      <c r="AG367" t="n">
        <v>1</v>
      </c>
      <c r="AH367" t="inlineStr">
        <is>
          <t>TO</t>
        </is>
      </c>
      <c r="AI367" t="inlineStr">
        <is>
          <t>X</t>
        </is>
      </c>
      <c r="AJ367" t="n">
        <v>4</v>
      </c>
      <c r="AK367" t="inlineStr">
        <is>
          <t>V4</t>
        </is>
      </c>
      <c r="AL367" t="n">
        <v>20260430</v>
      </c>
      <c r="AM367" t="inlineStr">
        <is>
          <t>DW68-900000620-ENV9-10270898-4</t>
        </is>
      </c>
    </row>
    <row r="368">
      <c r="A368" t="inlineStr">
        <is>
          <t>900004996DW6810018375</t>
        </is>
      </c>
      <c r="B368" t="inlineStr">
        <is>
          <t>4600050442-10</t>
        </is>
      </c>
      <c r="C368" t="n">
        <v>4600050442</v>
      </c>
      <c r="D368" t="n">
        <v>10</v>
      </c>
      <c r="E368" t="inlineStr">
        <is>
          <t>MXPO</t>
        </is>
      </c>
      <c r="F368" t="inlineStr">
        <is>
          <t>MXL</t>
        </is>
      </c>
      <c r="G368" t="n">
        <v>900004996</v>
      </c>
      <c r="H368" t="inlineStr">
        <is>
          <t>TC- LA FUNDICION</t>
        </is>
      </c>
      <c r="I368" t="n">
        <v>5065714</v>
      </c>
      <c r="J368" t="inlineStr">
        <is>
          <t>GRUPO MINERO LA FUNDICION SA DE CV</t>
        </is>
      </c>
      <c r="K368" t="inlineStr">
        <is>
          <t>N60</t>
        </is>
      </c>
      <c r="L368" t="inlineStr">
        <is>
          <t>(AP) NAFIN 60 Dias</t>
        </is>
      </c>
      <c r="M368" t="n">
        <v>10018375</v>
      </c>
      <c r="N368" t="inlineStr">
        <is>
          <t>Arena Triturada Basalto Malla 4 - BC</t>
        </is>
      </c>
      <c r="O368" t="inlineStr">
        <is>
          <t>DW68</t>
        </is>
      </c>
      <c r="P368" t="inlineStr">
        <is>
          <t>MX-CED. GUADALAJARA</t>
        </is>
      </c>
      <c r="Q368" t="n">
        <v>20210801</v>
      </c>
      <c r="R368" t="n">
        <v>20291231</v>
      </c>
      <c r="S368" t="n">
        <v>20260415</v>
      </c>
      <c r="T368" t="n">
        <v>20301231</v>
      </c>
      <c r="U368" t="n">
        <v>118.72</v>
      </c>
      <c r="V368" t="inlineStr">
        <is>
          <t>MXN</t>
        </is>
      </c>
      <c r="W368" t="inlineStr">
        <is>
          <t>M3</t>
        </is>
      </c>
      <c r="X368" t="n">
        <v>0</v>
      </c>
      <c r="Y368" t="inlineStr">
        <is>
          <t>MXN</t>
        </is>
      </c>
      <c r="Z368" t="inlineStr">
        <is>
          <t>M3</t>
        </is>
      </c>
      <c r="AC368" t="n">
        <v>56103638</v>
      </c>
      <c r="AD368" t="n">
        <v>6644241540</v>
      </c>
      <c r="AE368" t="n">
        <v>1</v>
      </c>
      <c r="AF368" t="inlineStr">
        <is>
          <t>ENTREGADO</t>
        </is>
      </c>
      <c r="AG368" t="n">
        <v>1.32</v>
      </c>
      <c r="AH368" t="inlineStr">
        <is>
          <t>M3</t>
        </is>
      </c>
      <c r="AI368" t="inlineStr">
        <is>
          <t>X</t>
        </is>
      </c>
      <c r="AJ368" t="n">
        <v>4</v>
      </c>
      <c r="AK368" t="inlineStr">
        <is>
          <t>V4</t>
        </is>
      </c>
      <c r="AL368" t="n">
        <v>20260430</v>
      </c>
      <c r="AM368" t="inlineStr">
        <is>
          <t>DW68-900004996-10018375</t>
        </is>
      </c>
    </row>
    <row r="369">
      <c r="A369" t="inlineStr">
        <is>
          <t>900004995DW68D20910018375</t>
        </is>
      </c>
      <c r="B369" t="inlineStr">
        <is>
          <t>4600050440-20</t>
        </is>
      </c>
      <c r="C369" t="n">
        <v>4600050440</v>
      </c>
      <c r="D369" t="n">
        <v>20</v>
      </c>
      <c r="E369" t="inlineStr">
        <is>
          <t>MXPO</t>
        </is>
      </c>
      <c r="F369" t="inlineStr">
        <is>
          <t>MXL</t>
        </is>
      </c>
      <c r="G369" t="n">
        <v>900004995</v>
      </c>
      <c r="H369" t="inlineStr">
        <is>
          <t>TC-ED LA FUNDICION</t>
        </is>
      </c>
      <c r="I369" t="n">
        <v>5065714</v>
      </c>
      <c r="J369" t="inlineStr">
        <is>
          <t>GRUPO MINERO LA FUNDICION SA DE CV</t>
        </is>
      </c>
      <c r="K369" t="inlineStr">
        <is>
          <t>N60</t>
        </is>
      </c>
      <c r="L369" t="inlineStr">
        <is>
          <t>(AP) NAFIN 60 Dias</t>
        </is>
      </c>
      <c r="M369" t="n">
        <v>10018375</v>
      </c>
      <c r="N369" t="inlineStr">
        <is>
          <t>Arena Triturada Basalto Malla 4 - BC</t>
        </is>
      </c>
      <c r="O369" t="inlineStr">
        <is>
          <t>DW68</t>
        </is>
      </c>
      <c r="P369" t="inlineStr">
        <is>
          <t>MX-CED. GUADALAJARA</t>
        </is>
      </c>
      <c r="Q369" t="n">
        <v>20210801</v>
      </c>
      <c r="R369" t="n">
        <v>20291231</v>
      </c>
      <c r="S369" t="n">
        <v>20260415</v>
      </c>
      <c r="T369" t="n">
        <v>20301231</v>
      </c>
      <c r="U369" t="n">
        <v>639.34</v>
      </c>
      <c r="V369" t="inlineStr">
        <is>
          <t>MXN</t>
        </is>
      </c>
      <c r="W369" t="inlineStr">
        <is>
          <t>M3</t>
        </is>
      </c>
      <c r="X369" t="n">
        <v>520.24</v>
      </c>
      <c r="Y369" t="inlineStr">
        <is>
          <t>MXN</t>
        </is>
      </c>
      <c r="Z369" t="inlineStr">
        <is>
          <t>M3</t>
        </is>
      </c>
      <c r="AA369" t="inlineStr">
        <is>
          <t>D209</t>
        </is>
      </c>
      <c r="AB369" t="inlineStr">
        <is>
          <t>PD0127 MANANTIAL</t>
        </is>
      </c>
      <c r="AC369" t="n">
        <v>56103638</v>
      </c>
      <c r="AD369" t="n">
        <v>6644241540</v>
      </c>
      <c r="AE369" t="n">
        <v>4</v>
      </c>
      <c r="AF369" t="inlineStr">
        <is>
          <t>ENTREGA DIRECTA</t>
        </is>
      </c>
      <c r="AG369" t="n">
        <v>1.32</v>
      </c>
      <c r="AH369" t="inlineStr">
        <is>
          <t>M3</t>
        </is>
      </c>
      <c r="AI369" t="inlineStr">
        <is>
          <t>X</t>
        </is>
      </c>
      <c r="AJ369" t="n">
        <v>4</v>
      </c>
      <c r="AK369" t="inlineStr">
        <is>
          <t>V4</t>
        </is>
      </c>
      <c r="AL369" t="n">
        <v>20260430</v>
      </c>
      <c r="AM369" t="inlineStr">
        <is>
          <t>DW68-900004995-D209-10018375-4</t>
        </is>
      </c>
    </row>
    <row r="370">
      <c r="A370" t="inlineStr">
        <is>
          <t>900004995DW68D26410018375</t>
        </is>
      </c>
      <c r="B370" t="inlineStr">
        <is>
          <t>4600050440-70</t>
        </is>
      </c>
      <c r="C370" t="n">
        <v>4600050440</v>
      </c>
      <c r="D370" t="n">
        <v>70</v>
      </c>
      <c r="E370" t="inlineStr">
        <is>
          <t>MXPO</t>
        </is>
      </c>
      <c r="F370" t="inlineStr">
        <is>
          <t>MXL</t>
        </is>
      </c>
      <c r="G370" t="n">
        <v>900004995</v>
      </c>
      <c r="H370" t="inlineStr">
        <is>
          <t>TC-ED LA FUNDICION</t>
        </is>
      </c>
      <c r="I370" t="n">
        <v>5065714</v>
      </c>
      <c r="J370" t="inlineStr">
        <is>
          <t>GRUPO MINERO LA FUNDICION SA DE CV</t>
        </is>
      </c>
      <c r="K370" t="inlineStr">
        <is>
          <t>N60</t>
        </is>
      </c>
      <c r="L370" t="inlineStr">
        <is>
          <t>(AP) NAFIN 60 Dias</t>
        </is>
      </c>
      <c r="M370" t="n">
        <v>10018375</v>
      </c>
      <c r="N370" t="inlineStr">
        <is>
          <t>Arena Triturada Basalto Malla 4 - BC</t>
        </is>
      </c>
      <c r="O370" t="inlineStr">
        <is>
          <t>DW68</t>
        </is>
      </c>
      <c r="P370" t="inlineStr">
        <is>
          <t>MX-CED. GUADALAJARA</t>
        </is>
      </c>
      <c r="Q370" t="n">
        <v>20210801</v>
      </c>
      <c r="R370" t="n">
        <v>20291231</v>
      </c>
      <c r="S370" t="n">
        <v>20260415</v>
      </c>
      <c r="T370" t="n">
        <v>20301231</v>
      </c>
      <c r="U370" t="n">
        <v>636.83</v>
      </c>
      <c r="V370" t="inlineStr">
        <is>
          <t>MXN</t>
        </is>
      </c>
      <c r="W370" t="inlineStr">
        <is>
          <t>M3</t>
        </is>
      </c>
      <c r="X370" t="n">
        <v>517.73</v>
      </c>
      <c r="Y370" t="inlineStr">
        <is>
          <t>MXN</t>
        </is>
      </c>
      <c r="Z370" t="inlineStr">
        <is>
          <t>M3</t>
        </is>
      </c>
      <c r="AA370" t="inlineStr">
        <is>
          <t>D264</t>
        </is>
      </c>
      <c r="AB370" t="inlineStr">
        <is>
          <t>PD0083 GUADALAJARA I III</t>
        </is>
      </c>
      <c r="AC370" t="n">
        <v>56103638</v>
      </c>
      <c r="AD370" t="n">
        <v>6644241540</v>
      </c>
      <c r="AE370" t="n">
        <v>4</v>
      </c>
      <c r="AF370" t="inlineStr">
        <is>
          <t>ENTREGA DIRECTA</t>
        </is>
      </c>
      <c r="AG370" t="n">
        <v>1.32</v>
      </c>
      <c r="AH370" t="inlineStr">
        <is>
          <t>M3</t>
        </is>
      </c>
      <c r="AI370" t="inlineStr">
        <is>
          <t>X</t>
        </is>
      </c>
      <c r="AJ370" t="n">
        <v>4</v>
      </c>
      <c r="AK370" t="inlineStr">
        <is>
          <t>V4</t>
        </is>
      </c>
      <c r="AL370" t="n">
        <v>20260430</v>
      </c>
      <c r="AM370" t="inlineStr">
        <is>
          <t>DW68-900004995-D264-10018375-4</t>
        </is>
      </c>
    </row>
    <row r="371">
      <c r="A371" t="inlineStr">
        <is>
          <t>900000620DW68D57710209065</t>
        </is>
      </c>
      <c r="B371" t="inlineStr">
        <is>
          <t>4600071941-220</t>
        </is>
      </c>
      <c r="C371" t="n">
        <v>4600071941</v>
      </c>
      <c r="D371" t="n">
        <v>220</v>
      </c>
      <c r="E371" t="inlineStr">
        <is>
          <t>MXPO</t>
        </is>
      </c>
      <c r="F371" t="inlineStr">
        <is>
          <t>MXL</t>
        </is>
      </c>
      <c r="G371" t="n">
        <v>900000620</v>
      </c>
      <c r="H371" t="inlineStr">
        <is>
          <t>TC-ED- GRAVASE STA. ROSA</t>
        </is>
      </c>
      <c r="I371" t="n">
        <v>5009010</v>
      </c>
      <c r="J371" t="inlineStr">
        <is>
          <t>GRAVASE SA DE CV</t>
        </is>
      </c>
      <c r="K371" t="inlineStr">
        <is>
          <t>Z04</t>
        </is>
      </c>
      <c r="L371" t="inlineStr">
        <is>
          <t>(AP) 30 Dias</t>
        </is>
      </c>
      <c r="M371" t="n">
        <v>10209065</v>
      </c>
      <c r="N371" t="inlineStr">
        <is>
          <t>FILTRO 5" A 7/8"</t>
        </is>
      </c>
      <c r="O371" t="inlineStr">
        <is>
          <t>DW68</t>
        </is>
      </c>
      <c r="P371" t="inlineStr">
        <is>
          <t>MX-CED. GUADALAJARA</t>
        </is>
      </c>
      <c r="Q371" t="n">
        <v>20260126</v>
      </c>
      <c r="R371" t="n">
        <v>20301231</v>
      </c>
      <c r="S371" t="n">
        <v>20260301</v>
      </c>
      <c r="T371" t="n">
        <v>20301231</v>
      </c>
      <c r="U371" t="n">
        <v>107.12</v>
      </c>
      <c r="V371" t="inlineStr">
        <is>
          <t>MXN</t>
        </is>
      </c>
      <c r="W371" t="inlineStr">
        <is>
          <t>TN</t>
        </is>
      </c>
      <c r="X371" t="n">
        <v>0.01</v>
      </c>
      <c r="Y371" t="inlineStr">
        <is>
          <t>MXN</t>
        </is>
      </c>
      <c r="Z371" t="inlineStr">
        <is>
          <t>TN</t>
        </is>
      </c>
      <c r="AA371" t="inlineStr">
        <is>
          <t>D577</t>
        </is>
      </c>
      <c r="AB371" t="inlineStr">
        <is>
          <t>D577 PD0681 PROY APTO GDL</t>
        </is>
      </c>
      <c r="AC371" t="n">
        <v>56103637</v>
      </c>
      <c r="AD371" t="n">
        <v>6644241540</v>
      </c>
      <c r="AE371" t="n">
        <v>4</v>
      </c>
      <c r="AF371" t="inlineStr">
        <is>
          <t>ENTREGA DIRECTA</t>
        </is>
      </c>
      <c r="AG371" t="n">
        <v>1</v>
      </c>
      <c r="AH371" t="inlineStr">
        <is>
          <t>TO</t>
        </is>
      </c>
      <c r="AI371" t="inlineStr">
        <is>
          <t>X</t>
        </is>
      </c>
      <c r="AJ371" t="n">
        <v>4</v>
      </c>
      <c r="AK371" t="inlineStr">
        <is>
          <t>V4</t>
        </is>
      </c>
      <c r="AL371" t="n">
        <v>20260428</v>
      </c>
      <c r="AM371" t="inlineStr">
        <is>
          <t>DW68-900000620-D577-10209065-4</t>
        </is>
      </c>
    </row>
    <row r="372">
      <c r="A372" t="inlineStr">
        <is>
          <t>900004995DW68D04210018375</t>
        </is>
      </c>
      <c r="B372" t="inlineStr">
        <is>
          <t>4600050440-90</t>
        </is>
      </c>
      <c r="C372" t="n">
        <v>4600050440</v>
      </c>
      <c r="D372" t="n">
        <v>90</v>
      </c>
      <c r="E372" t="inlineStr">
        <is>
          <t>MXPO</t>
        </is>
      </c>
      <c r="F372" t="inlineStr">
        <is>
          <t>MXL</t>
        </is>
      </c>
      <c r="G372" t="n">
        <v>900004995</v>
      </c>
      <c r="H372" t="inlineStr">
        <is>
          <t>TC-ED LA FUNDICION</t>
        </is>
      </c>
      <c r="I372" t="n">
        <v>5065714</v>
      </c>
      <c r="J372" t="inlineStr">
        <is>
          <t>GRUPO MINERO LA FUNDICION SA DE CV</t>
        </is>
      </c>
      <c r="K372" t="inlineStr">
        <is>
          <t>N60</t>
        </is>
      </c>
      <c r="L372" t="inlineStr">
        <is>
          <t>(AP) NAFIN 60 Dias</t>
        </is>
      </c>
      <c r="M372" t="n">
        <v>10018375</v>
      </c>
      <c r="N372" t="inlineStr">
        <is>
          <t>Arena Triturada Basalto Malla 4 - BC</t>
        </is>
      </c>
      <c r="O372" t="inlineStr">
        <is>
          <t>DW68</t>
        </is>
      </c>
      <c r="P372" t="inlineStr">
        <is>
          <t>MX-CED. GUADALAJARA</t>
        </is>
      </c>
      <c r="Q372" t="n">
        <v>20210801</v>
      </c>
      <c r="R372" t="n">
        <v>20291231</v>
      </c>
      <c r="S372" t="n">
        <v>20260415</v>
      </c>
      <c r="T372" t="n">
        <v>20301231</v>
      </c>
      <c r="U372" t="n">
        <v>639.34</v>
      </c>
      <c r="V372" t="inlineStr">
        <is>
          <t>MXN</t>
        </is>
      </c>
      <c r="W372" t="inlineStr">
        <is>
          <t>M3</t>
        </is>
      </c>
      <c r="X372" t="n">
        <v>520.24</v>
      </c>
      <c r="Y372" t="inlineStr">
        <is>
          <t>MXN</t>
        </is>
      </c>
      <c r="Z372" t="inlineStr">
        <is>
          <t>M3</t>
        </is>
      </c>
      <c r="AA372" t="inlineStr">
        <is>
          <t>D042</t>
        </is>
      </c>
      <c r="AB372" t="inlineStr">
        <is>
          <t>PD0406 PLANTA PONIENTE</t>
        </is>
      </c>
      <c r="AC372" t="n">
        <v>56103638</v>
      </c>
      <c r="AD372" t="n">
        <v>6644241540</v>
      </c>
      <c r="AE372" t="n">
        <v>4</v>
      </c>
      <c r="AF372" t="inlineStr">
        <is>
          <t>ENTREGA DIRECTA</t>
        </is>
      </c>
      <c r="AG372" t="n">
        <v>1.32</v>
      </c>
      <c r="AH372" t="inlineStr">
        <is>
          <t>M3</t>
        </is>
      </c>
      <c r="AI372" t="inlineStr">
        <is>
          <t>X</t>
        </is>
      </c>
      <c r="AJ372" t="n">
        <v>4</v>
      </c>
      <c r="AK372" t="inlineStr">
        <is>
          <t>V4</t>
        </is>
      </c>
      <c r="AL372" t="n">
        <v>20260430</v>
      </c>
      <c r="AM372" t="inlineStr">
        <is>
          <t>DW68-900004995-D042-10018375-4</t>
        </is>
      </c>
    </row>
    <row r="373">
      <c r="A373" t="inlineStr">
        <is>
          <t>900004995DW68D24210018375</t>
        </is>
      </c>
      <c r="B373" t="inlineStr">
        <is>
          <t>4600050440-60</t>
        </is>
      </c>
      <c r="C373" t="n">
        <v>4600050440</v>
      </c>
      <c r="D373" t="n">
        <v>60</v>
      </c>
      <c r="E373" t="inlineStr">
        <is>
          <t>MXPO</t>
        </is>
      </c>
      <c r="F373" t="inlineStr">
        <is>
          <t>MXL</t>
        </is>
      </c>
      <c r="G373" t="n">
        <v>900004995</v>
      </c>
      <c r="H373" t="inlineStr">
        <is>
          <t>TC-ED LA FUNDICION</t>
        </is>
      </c>
      <c r="I373" t="n">
        <v>5065714</v>
      </c>
      <c r="J373" t="inlineStr">
        <is>
          <t>GRUPO MINERO LA FUNDICION SA DE CV</t>
        </is>
      </c>
      <c r="K373" t="inlineStr">
        <is>
          <t>N60</t>
        </is>
      </c>
      <c r="L373" t="inlineStr">
        <is>
          <t>(AP) NAFIN 60 Dias</t>
        </is>
      </c>
      <c r="M373" t="n">
        <v>10018375</v>
      </c>
      <c r="N373" t="inlineStr">
        <is>
          <t>Arena Triturada Basalto Malla 4 - BC</t>
        </is>
      </c>
      <c r="O373" t="inlineStr">
        <is>
          <t>DW68</t>
        </is>
      </c>
      <c r="P373" t="inlineStr">
        <is>
          <t>MX-CED. GUADALAJARA</t>
        </is>
      </c>
      <c r="Q373" t="n">
        <v>20210801</v>
      </c>
      <c r="R373" t="n">
        <v>20291231</v>
      </c>
      <c r="S373" t="n">
        <v>20260415</v>
      </c>
      <c r="T373" t="n">
        <v>20301231</v>
      </c>
      <c r="U373" t="n">
        <v>644.34</v>
      </c>
      <c r="V373" t="inlineStr">
        <is>
          <t>MXN</t>
        </is>
      </c>
      <c r="W373" t="inlineStr">
        <is>
          <t>M3</t>
        </is>
      </c>
      <c r="X373" t="n">
        <v>525.24</v>
      </c>
      <c r="Y373" t="inlineStr">
        <is>
          <t>MXN</t>
        </is>
      </c>
      <c r="Z373" t="inlineStr">
        <is>
          <t>M3</t>
        </is>
      </c>
      <c r="AA373" t="inlineStr">
        <is>
          <t>D242</t>
        </is>
      </c>
      <c r="AB373" t="inlineStr">
        <is>
          <t>PD0454 CD. LA GRANJA II</t>
        </is>
      </c>
      <c r="AC373" t="n">
        <v>56103638</v>
      </c>
      <c r="AD373" t="n">
        <v>6644241540</v>
      </c>
      <c r="AE373" t="n">
        <v>4</v>
      </c>
      <c r="AF373" t="inlineStr">
        <is>
          <t>ENTREGA DIRECTA</t>
        </is>
      </c>
      <c r="AG373" t="n">
        <v>1.32</v>
      </c>
      <c r="AH373" t="inlineStr">
        <is>
          <t>M3</t>
        </is>
      </c>
      <c r="AI373" t="inlineStr">
        <is>
          <t>X</t>
        </is>
      </c>
      <c r="AJ373" t="n">
        <v>4</v>
      </c>
      <c r="AK373" t="inlineStr">
        <is>
          <t>V4</t>
        </is>
      </c>
      <c r="AL373" t="n">
        <v>20260430</v>
      </c>
      <c r="AM373" t="inlineStr">
        <is>
          <t>DW68-900004995-D242-10018375-4</t>
        </is>
      </c>
    </row>
    <row r="374">
      <c r="A374" t="inlineStr">
        <is>
          <t>900000620DW68ENL110270912</t>
        </is>
      </c>
      <c r="B374" t="inlineStr">
        <is>
          <t>4600071941-30</t>
        </is>
      </c>
      <c r="C374" t="n">
        <v>4600071941</v>
      </c>
      <c r="D374" t="n">
        <v>30</v>
      </c>
      <c r="E374" t="inlineStr">
        <is>
          <t>MXPO</t>
        </is>
      </c>
      <c r="F374" t="inlineStr">
        <is>
          <t>MXL</t>
        </is>
      </c>
      <c r="G374" t="n">
        <v>900000620</v>
      </c>
      <c r="H374" t="inlineStr">
        <is>
          <t>TC-ED- GRAVASE STA. ROSA</t>
        </is>
      </c>
      <c r="I374" t="n">
        <v>5009010</v>
      </c>
      <c r="J374" t="inlineStr">
        <is>
          <t>GRAVASE SA DE CV</t>
        </is>
      </c>
      <c r="K374" t="inlineStr">
        <is>
          <t>Z04</t>
        </is>
      </c>
      <c r="L374" t="inlineStr">
        <is>
          <t>(AP) 30 Dias</t>
        </is>
      </c>
      <c r="M374" t="n">
        <v>10270912</v>
      </c>
      <c r="N374" t="inlineStr">
        <is>
          <t>MP ARENA TRIT. BASALTO MALLA 4</t>
        </is>
      </c>
      <c r="O374" t="inlineStr">
        <is>
          <t>DW68</t>
        </is>
      </c>
      <c r="P374" t="inlineStr">
        <is>
          <t>MX-CED. GUADALAJARA</t>
        </is>
      </c>
      <c r="Q374" t="n">
        <v>20260126</v>
      </c>
      <c r="R374" t="n">
        <v>20301231</v>
      </c>
      <c r="S374" t="n">
        <v>20260301</v>
      </c>
      <c r="T374" t="n">
        <v>20301231</v>
      </c>
      <c r="U374" t="n">
        <v>245</v>
      </c>
      <c r="V374" t="inlineStr">
        <is>
          <t>MXN</t>
        </is>
      </c>
      <c r="W374" t="inlineStr">
        <is>
          <t>TN</t>
        </is>
      </c>
      <c r="X374" t="n">
        <v>0.01</v>
      </c>
      <c r="Y374" t="inlineStr">
        <is>
          <t>MXN</t>
        </is>
      </c>
      <c r="Z374" t="inlineStr">
        <is>
          <t>TN</t>
        </is>
      </c>
      <c r="AA374" t="inlineStr">
        <is>
          <t>ENL1</t>
        </is>
      </c>
      <c r="AB374" t="inlineStr">
        <is>
          <t>MX-PD0681 INFRA APTO GDL</t>
        </is>
      </c>
      <c r="AC374" t="n">
        <v>56103638</v>
      </c>
      <c r="AD374" t="n">
        <v>6644241540</v>
      </c>
      <c r="AE374" t="n">
        <v>4</v>
      </c>
      <c r="AF374" t="inlineStr">
        <is>
          <t>ENTREGA DIRECTA</t>
        </is>
      </c>
      <c r="AG374" t="n">
        <v>1</v>
      </c>
      <c r="AH374" t="inlineStr">
        <is>
          <t>TO</t>
        </is>
      </c>
      <c r="AI374" t="inlineStr">
        <is>
          <t>X</t>
        </is>
      </c>
      <c r="AJ374" t="n">
        <v>4</v>
      </c>
      <c r="AK374" t="inlineStr">
        <is>
          <t>V4</t>
        </is>
      </c>
      <c r="AL374" t="n">
        <v>20260430</v>
      </c>
      <c r="AM374" t="inlineStr">
        <is>
          <t>DW68-900000620-ENL1-10270912-4</t>
        </is>
      </c>
    </row>
    <row r="375">
      <c r="A375" t="inlineStr">
        <is>
          <t>900004995DW68D22010018375</t>
        </is>
      </c>
      <c r="B375" t="inlineStr">
        <is>
          <t>4600050440-80</t>
        </is>
      </c>
      <c r="C375" t="n">
        <v>4600050440</v>
      </c>
      <c r="D375" t="n">
        <v>80</v>
      </c>
      <c r="E375" t="inlineStr">
        <is>
          <t>MXPO</t>
        </is>
      </c>
      <c r="F375" t="inlineStr">
        <is>
          <t>MXL</t>
        </is>
      </c>
      <c r="G375" t="n">
        <v>900004995</v>
      </c>
      <c r="H375" t="inlineStr">
        <is>
          <t>TC-ED LA FUNDICION</t>
        </is>
      </c>
      <c r="I375" t="n">
        <v>5065714</v>
      </c>
      <c r="J375" t="inlineStr">
        <is>
          <t>GRUPO MINERO LA FUNDICION SA DE CV</t>
        </is>
      </c>
      <c r="K375" t="inlineStr">
        <is>
          <t>N60</t>
        </is>
      </c>
      <c r="L375" t="inlineStr">
        <is>
          <t>(AP) NAFIN 60 Dias</t>
        </is>
      </c>
      <c r="M375" t="n">
        <v>10018375</v>
      </c>
      <c r="N375" t="inlineStr">
        <is>
          <t>Arena Triturada Basalto Malla 4 - BC</t>
        </is>
      </c>
      <c r="O375" t="inlineStr">
        <is>
          <t>DW68</t>
        </is>
      </c>
      <c r="P375" t="inlineStr">
        <is>
          <t>MX-CED. GUADALAJARA</t>
        </is>
      </c>
      <c r="Q375" t="n">
        <v>20210801</v>
      </c>
      <c r="R375" t="n">
        <v>20291231</v>
      </c>
      <c r="S375" t="n">
        <v>20260415</v>
      </c>
      <c r="T375" t="n">
        <v>20301231</v>
      </c>
      <c r="U375" t="n">
        <v>821.92</v>
      </c>
      <c r="V375" t="inlineStr">
        <is>
          <t>MXN</t>
        </is>
      </c>
      <c r="W375" t="inlineStr">
        <is>
          <t>M3</t>
        </is>
      </c>
      <c r="X375" t="n">
        <v>702.8200000000001</v>
      </c>
      <c r="Y375" t="inlineStr">
        <is>
          <t>MXN</t>
        </is>
      </c>
      <c r="Z375" t="inlineStr">
        <is>
          <t>M3</t>
        </is>
      </c>
      <c r="AA375" t="inlineStr">
        <is>
          <t>D220</t>
        </is>
      </c>
      <c r="AB375" t="inlineStr">
        <is>
          <t>PD0131 TEPATITLAN</t>
        </is>
      </c>
      <c r="AC375" t="n">
        <v>56103638</v>
      </c>
      <c r="AD375" t="n">
        <v>6644241540</v>
      </c>
      <c r="AE375" t="n">
        <v>4</v>
      </c>
      <c r="AF375" t="inlineStr">
        <is>
          <t>ENTREGA DIRECTA</t>
        </is>
      </c>
      <c r="AG375" t="n">
        <v>1.32</v>
      </c>
      <c r="AH375" t="inlineStr">
        <is>
          <t>M3</t>
        </is>
      </c>
      <c r="AI375" t="inlineStr">
        <is>
          <t>X</t>
        </is>
      </c>
      <c r="AJ375" t="n">
        <v>4</v>
      </c>
      <c r="AK375" t="inlineStr">
        <is>
          <t>V4</t>
        </is>
      </c>
      <c r="AL375" t="n">
        <v>20260430</v>
      </c>
      <c r="AM375" t="inlineStr">
        <is>
          <t>DW68-900004995-D220-10018375-4</t>
        </is>
      </c>
    </row>
    <row r="376">
      <c r="A376" t="inlineStr">
        <is>
          <t>900000620DW68ENV910209065</t>
        </is>
      </c>
      <c r="B376" t="inlineStr">
        <is>
          <t>4600071941-70</t>
        </is>
      </c>
      <c r="C376" t="n">
        <v>4600071941</v>
      </c>
      <c r="D376" t="n">
        <v>70</v>
      </c>
      <c r="E376" t="inlineStr">
        <is>
          <t>MXPO</t>
        </is>
      </c>
      <c r="F376" t="inlineStr">
        <is>
          <t>MXL</t>
        </is>
      </c>
      <c r="G376" t="n">
        <v>900000620</v>
      </c>
      <c r="H376" t="inlineStr">
        <is>
          <t>TC-ED- GRAVASE STA. ROSA</t>
        </is>
      </c>
      <c r="I376" t="n">
        <v>5009010</v>
      </c>
      <c r="J376" t="inlineStr">
        <is>
          <t>GRAVASE SA DE CV</t>
        </is>
      </c>
      <c r="K376" t="inlineStr">
        <is>
          <t>Z04</t>
        </is>
      </c>
      <c r="L376" t="inlineStr">
        <is>
          <t>(AP) 30 Dias</t>
        </is>
      </c>
      <c r="M376" t="n">
        <v>10209065</v>
      </c>
      <c r="N376" t="inlineStr">
        <is>
          <t>FILTRO 5" A 7/8"</t>
        </is>
      </c>
      <c r="O376" t="inlineStr">
        <is>
          <t>DW68</t>
        </is>
      </c>
      <c r="P376" t="inlineStr">
        <is>
          <t>MX-CED. GUADALAJARA</t>
        </is>
      </c>
      <c r="Q376" t="n">
        <v>20260126</v>
      </c>
      <c r="R376" t="n">
        <v>20301231</v>
      </c>
      <c r="S376" t="n">
        <v>20260301</v>
      </c>
      <c r="T376" t="n">
        <v>20301231</v>
      </c>
      <c r="U376" t="n">
        <v>107.12</v>
      </c>
      <c r="V376" t="inlineStr">
        <is>
          <t>MXN</t>
        </is>
      </c>
      <c r="W376" t="inlineStr">
        <is>
          <t>TN</t>
        </is>
      </c>
      <c r="X376" t="n">
        <v>0.01</v>
      </c>
      <c r="Y376" t="inlineStr">
        <is>
          <t>MXN</t>
        </is>
      </c>
      <c r="Z376" t="inlineStr">
        <is>
          <t>TN</t>
        </is>
      </c>
      <c r="AA376" t="inlineStr">
        <is>
          <t>ENV9</t>
        </is>
      </c>
      <c r="AB376" t="inlineStr">
        <is>
          <t>VIALIDADES AEROPUERTO GDL F1 Y F2 /</t>
        </is>
      </c>
      <c r="AC376" t="n">
        <v>56103637</v>
      </c>
      <c r="AD376" t="n">
        <v>6644241540</v>
      </c>
      <c r="AE376" t="n">
        <v>4</v>
      </c>
      <c r="AF376" t="inlineStr">
        <is>
          <t>ENTREGA DIRECTA</t>
        </is>
      </c>
      <c r="AG376" t="n">
        <v>1</v>
      </c>
      <c r="AH376" t="inlineStr">
        <is>
          <t>TO</t>
        </is>
      </c>
      <c r="AI376" t="inlineStr">
        <is>
          <t>X</t>
        </is>
      </c>
      <c r="AJ376" t="n">
        <v>4</v>
      </c>
      <c r="AK376" t="inlineStr">
        <is>
          <t>V4</t>
        </is>
      </c>
      <c r="AL376" t="n">
        <v>20260430</v>
      </c>
      <c r="AM376" t="inlineStr">
        <is>
          <t>DW68-900000620-ENV9-10209065-4</t>
        </is>
      </c>
    </row>
    <row r="377">
      <c r="A377" t="inlineStr">
        <is>
          <t>900000620DW68ENEB10209065</t>
        </is>
      </c>
      <c r="B377" t="inlineStr">
        <is>
          <t>4600071941-150</t>
        </is>
      </c>
      <c r="C377" t="n">
        <v>4600071941</v>
      </c>
      <c r="D377" t="n">
        <v>150</v>
      </c>
      <c r="E377" t="inlineStr">
        <is>
          <t>MXPO</t>
        </is>
      </c>
      <c r="F377" t="inlineStr">
        <is>
          <t>MXL</t>
        </is>
      </c>
      <c r="G377" t="n">
        <v>900000620</v>
      </c>
      <c r="H377" t="inlineStr">
        <is>
          <t>TC-ED- GRAVASE STA. ROSA</t>
        </is>
      </c>
      <c r="I377" t="n">
        <v>5009010</v>
      </c>
      <c r="J377" t="inlineStr">
        <is>
          <t>GRAVASE SA DE CV</t>
        </is>
      </c>
      <c r="K377" t="inlineStr">
        <is>
          <t>Z04</t>
        </is>
      </c>
      <c r="L377" t="inlineStr">
        <is>
          <t>(AP) 30 Dias</t>
        </is>
      </c>
      <c r="M377" t="n">
        <v>10209065</v>
      </c>
      <c r="N377" t="inlineStr">
        <is>
          <t>FILTRO 5" A 7/8"</t>
        </is>
      </c>
      <c r="O377" t="inlineStr">
        <is>
          <t>DW68</t>
        </is>
      </c>
      <c r="P377" t="inlineStr">
        <is>
          <t>MX-CED. GUADALAJARA</t>
        </is>
      </c>
      <c r="Q377" t="n">
        <v>20260126</v>
      </c>
      <c r="R377" t="n">
        <v>20301231</v>
      </c>
      <c r="S377" t="n">
        <v>20260301</v>
      </c>
      <c r="T377" t="n">
        <v>20301231</v>
      </c>
      <c r="U377" t="n">
        <v>107.12</v>
      </c>
      <c r="V377" t="inlineStr">
        <is>
          <t>MXN</t>
        </is>
      </c>
      <c r="W377" t="inlineStr">
        <is>
          <t>TN</t>
        </is>
      </c>
      <c r="X377" t="n">
        <v>0.01</v>
      </c>
      <c r="Y377" t="inlineStr">
        <is>
          <t>MXN</t>
        </is>
      </c>
      <c r="Z377" t="inlineStr">
        <is>
          <t>TN</t>
        </is>
      </c>
      <c r="AA377" t="inlineStr">
        <is>
          <t>ENEB</t>
        </is>
      </c>
      <c r="AB377" t="inlineStr">
        <is>
          <t>DISTRIBUIDOR VIAL AEROP. GDL - T2 /</t>
        </is>
      </c>
      <c r="AC377" t="n">
        <v>56103637</v>
      </c>
      <c r="AD377" t="n">
        <v>6644241540</v>
      </c>
      <c r="AE377" t="n">
        <v>4</v>
      </c>
      <c r="AF377" t="inlineStr">
        <is>
          <t>ENTREGA DIRECTA</t>
        </is>
      </c>
      <c r="AG377" t="n">
        <v>1</v>
      </c>
      <c r="AH377" t="inlineStr">
        <is>
          <t>TO</t>
        </is>
      </c>
      <c r="AI377" t="inlineStr">
        <is>
          <t>X</t>
        </is>
      </c>
      <c r="AJ377" t="n">
        <v>4</v>
      </c>
      <c r="AK377" t="inlineStr">
        <is>
          <t>V4</t>
        </is>
      </c>
      <c r="AL377" t="n">
        <v>20260430</v>
      </c>
      <c r="AM377" t="inlineStr">
        <is>
          <t>DW68-900000620-ENEB-10209065-4</t>
        </is>
      </c>
    </row>
    <row r="378">
      <c r="A378" t="inlineStr">
        <is>
          <t>900008251DW68D20910004258</t>
        </is>
      </c>
      <c r="B378" t="inlineStr">
        <is>
          <t>4600058168-70</t>
        </is>
      </c>
      <c r="C378" t="n">
        <v>4600058168</v>
      </c>
      <c r="D378" t="n">
        <v>70</v>
      </c>
      <c r="E378" t="inlineStr">
        <is>
          <t>MXPO</t>
        </is>
      </c>
      <c r="F378" t="inlineStr">
        <is>
          <t>MXL</t>
        </is>
      </c>
      <c r="G378" t="n">
        <v>900008251</v>
      </c>
      <c r="H378" t="inlineStr">
        <is>
          <t>SF TC-ED-MAREVA LA VEGA</t>
        </is>
      </c>
      <c r="I378" t="n">
        <v>5043944</v>
      </c>
      <c r="J378" t="inlineStr">
        <is>
          <t>CONSTRUCCIONES MAREVA DE OCCIDENTE</t>
        </is>
      </c>
      <c r="K378" t="inlineStr">
        <is>
          <t>Z04</t>
        </is>
      </c>
      <c r="L378" t="inlineStr">
        <is>
          <t>(AP) 30 Dias</t>
        </is>
      </c>
      <c r="M378" t="n">
        <v>10004258</v>
      </c>
      <c r="N378" t="inlineStr">
        <is>
          <t>Sello Triturado Basalto 10 mm - 3/8"</t>
        </is>
      </c>
      <c r="O378" t="inlineStr">
        <is>
          <t>DW68</t>
        </is>
      </c>
      <c r="P378" t="inlineStr">
        <is>
          <t>MX-CED. GUADALAJARA</t>
        </is>
      </c>
      <c r="Q378" t="n">
        <v>20230724</v>
      </c>
      <c r="R378" t="n">
        <v>20281231</v>
      </c>
      <c r="S378" t="n">
        <v>20240601</v>
      </c>
      <c r="T378" t="n">
        <v>20291231</v>
      </c>
      <c r="U378" t="n">
        <v>736.13</v>
      </c>
      <c r="V378" t="inlineStr">
        <is>
          <t>MXN</t>
        </is>
      </c>
      <c r="W378" t="inlineStr">
        <is>
          <t>M3</t>
        </is>
      </c>
      <c r="X378" t="n">
        <v>217.72</v>
      </c>
      <c r="Y378" t="inlineStr">
        <is>
          <t>MXN</t>
        </is>
      </c>
      <c r="Z378" t="inlineStr">
        <is>
          <t>M3</t>
        </is>
      </c>
      <c r="AA378" t="inlineStr">
        <is>
          <t>D209</t>
        </is>
      </c>
      <c r="AB378" t="inlineStr">
        <is>
          <t>PD0127 MANANTIAL</t>
        </is>
      </c>
      <c r="AC378" t="n">
        <v>56103637</v>
      </c>
      <c r="AD378" t="n">
        <v>6644241540</v>
      </c>
      <c r="AE378" t="n">
        <v>4</v>
      </c>
      <c r="AF378" t="inlineStr">
        <is>
          <t>ENTREGA DIRECTA</t>
        </is>
      </c>
      <c r="AG378" t="n">
        <v>1.53</v>
      </c>
      <c r="AH378" t="inlineStr">
        <is>
          <t>M3</t>
        </is>
      </c>
      <c r="AI378" t="inlineStr">
        <is>
          <t>X</t>
        </is>
      </c>
      <c r="AJ378" t="n">
        <v>4</v>
      </c>
      <c r="AK378" t="inlineStr">
        <is>
          <t>V4</t>
        </is>
      </c>
      <c r="AL378" t="n">
        <v>20240619</v>
      </c>
      <c r="AM378" t="inlineStr">
        <is>
          <t>DW68-900008251-D209-10004258-4</t>
        </is>
      </c>
    </row>
    <row r="379">
      <c r="A379" t="inlineStr">
        <is>
          <t>900008251DW68D24210000191</t>
        </is>
      </c>
      <c r="B379" t="inlineStr">
        <is>
          <t>4600058168-160</t>
        </is>
      </c>
      <c r="C379" t="n">
        <v>4600058168</v>
      </c>
      <c r="D379" t="n">
        <v>160</v>
      </c>
      <c r="E379" t="inlineStr">
        <is>
          <t>MXPO</t>
        </is>
      </c>
      <c r="F379" t="inlineStr">
        <is>
          <t>MXL</t>
        </is>
      </c>
      <c r="G379" t="n">
        <v>900008251</v>
      </c>
      <c r="H379" t="inlineStr">
        <is>
          <t>SF TC-ED-MAREVA LA VEGA</t>
        </is>
      </c>
      <c r="I379" t="n">
        <v>5043944</v>
      </c>
      <c r="J379" t="inlineStr">
        <is>
          <t>CONSTRUCCIONES MAREVA DE OCCIDENTE</t>
        </is>
      </c>
      <c r="K379" t="inlineStr">
        <is>
          <t>Z04</t>
        </is>
      </c>
      <c r="L379" t="inlineStr">
        <is>
          <t>(AP) 30 Dias</t>
        </is>
      </c>
      <c r="M379" t="n">
        <v>10000191</v>
      </c>
      <c r="N379" t="inlineStr">
        <is>
          <t>Grava Triturada Basalto 20 mm - 3/4"</t>
        </is>
      </c>
      <c r="O379" t="inlineStr">
        <is>
          <t>DW68</t>
        </is>
      </c>
      <c r="P379" t="inlineStr">
        <is>
          <t>MX-CED. GUADALAJARA</t>
        </is>
      </c>
      <c r="Q379" t="n">
        <v>20230724</v>
      </c>
      <c r="R379" t="n">
        <v>20281231</v>
      </c>
      <c r="S379" t="n">
        <v>20240601</v>
      </c>
      <c r="T379" t="n">
        <v>20291231</v>
      </c>
      <c r="U379" t="n">
        <v>409.1</v>
      </c>
      <c r="V379" t="inlineStr">
        <is>
          <t>MXN</t>
        </is>
      </c>
      <c r="W379" t="inlineStr">
        <is>
          <t>M3</t>
        </is>
      </c>
      <c r="X379" t="n">
        <v>139.1</v>
      </c>
      <c r="Y379" t="inlineStr">
        <is>
          <t>MXN</t>
        </is>
      </c>
      <c r="Z379" t="inlineStr">
        <is>
          <t>M3</t>
        </is>
      </c>
      <c r="AA379" t="inlineStr">
        <is>
          <t>D242</t>
        </is>
      </c>
      <c r="AB379" t="inlineStr">
        <is>
          <t>PD0454 CD. LA GRANJA II</t>
        </is>
      </c>
      <c r="AC379" t="n">
        <v>56103637</v>
      </c>
      <c r="AD379" t="n">
        <v>6644241540</v>
      </c>
      <c r="AE379" t="n">
        <v>4</v>
      </c>
      <c r="AF379" t="inlineStr">
        <is>
          <t>ENTREGA DIRECTA</t>
        </is>
      </c>
      <c r="AG379" t="n">
        <v>1.41</v>
      </c>
      <c r="AH379" t="inlineStr">
        <is>
          <t>M3</t>
        </is>
      </c>
      <c r="AI379" t="inlineStr">
        <is>
          <t>X</t>
        </is>
      </c>
      <c r="AJ379" t="n">
        <v>4</v>
      </c>
      <c r="AK379" t="inlineStr">
        <is>
          <t>V4</t>
        </is>
      </c>
      <c r="AL379" t="n">
        <v>20240619</v>
      </c>
      <c r="AM379" t="inlineStr">
        <is>
          <t>DW68-900008251-D242-10000191-4</t>
        </is>
      </c>
    </row>
    <row r="380">
      <c r="A380" t="inlineStr">
        <is>
          <t>900008251DW68D21110000388</t>
        </is>
      </c>
      <c r="B380" t="inlineStr">
        <is>
          <t>4600058168-260</t>
        </is>
      </c>
      <c r="C380" t="n">
        <v>4600058168</v>
      </c>
      <c r="D380" t="n">
        <v>260</v>
      </c>
      <c r="E380" t="inlineStr">
        <is>
          <t>MXPO</t>
        </is>
      </c>
      <c r="F380" t="inlineStr">
        <is>
          <t>MXL</t>
        </is>
      </c>
      <c r="G380" t="n">
        <v>900008251</v>
      </c>
      <c r="H380" t="inlineStr">
        <is>
          <t>SF TC-ED-MAREVA LA VEGA</t>
        </is>
      </c>
      <c r="I380" t="n">
        <v>5043944</v>
      </c>
      <c r="J380" t="inlineStr">
        <is>
          <t>CONSTRUCCIONES MAREVA DE OCCIDENTE</t>
        </is>
      </c>
      <c r="K380" t="inlineStr">
        <is>
          <t>Z04</t>
        </is>
      </c>
      <c r="L380" t="inlineStr">
        <is>
          <t>(AP) 30 Dias</t>
        </is>
      </c>
      <c r="M380" t="n">
        <v>10000388</v>
      </c>
      <c r="N380" t="inlineStr">
        <is>
          <t>Grava Triturada Basalto  40 mm - 1 1/2"</t>
        </is>
      </c>
      <c r="O380" t="inlineStr">
        <is>
          <t>DW68</t>
        </is>
      </c>
      <c r="P380" t="inlineStr">
        <is>
          <t>MX-CED. GUADALAJARA</t>
        </is>
      </c>
      <c r="Q380" t="n">
        <v>20230724</v>
      </c>
      <c r="R380" t="n">
        <v>20281231</v>
      </c>
      <c r="S380" t="n">
        <v>20240601</v>
      </c>
      <c r="T380" t="n">
        <v>20291231</v>
      </c>
      <c r="U380" t="n">
        <v>456.41</v>
      </c>
      <c r="V380" t="inlineStr">
        <is>
          <t>MXN</t>
        </is>
      </c>
      <c r="W380" t="inlineStr">
        <is>
          <t>M3</t>
        </is>
      </c>
      <c r="X380" t="n">
        <v>202.61</v>
      </c>
      <c r="Y380" t="inlineStr">
        <is>
          <t>MXN</t>
        </is>
      </c>
      <c r="Z380" t="inlineStr">
        <is>
          <t>M3</t>
        </is>
      </c>
      <c r="AA380" t="inlineStr">
        <is>
          <t>D211</t>
        </is>
      </c>
      <c r="AB380" t="inlineStr">
        <is>
          <t>PD0149 GDL. MATRIZ</t>
        </is>
      </c>
      <c r="AC380" t="n">
        <v>56103637</v>
      </c>
      <c r="AD380" t="n">
        <v>6644241540</v>
      </c>
      <c r="AE380" t="n">
        <v>4</v>
      </c>
      <c r="AF380" t="inlineStr">
        <is>
          <t>ENTREGA DIRECTA</t>
        </is>
      </c>
      <c r="AG380" t="n">
        <v>1.395</v>
      </c>
      <c r="AH380" t="inlineStr">
        <is>
          <t>M3</t>
        </is>
      </c>
      <c r="AI380" t="inlineStr">
        <is>
          <t>X</t>
        </is>
      </c>
      <c r="AJ380" t="n">
        <v>4</v>
      </c>
      <c r="AK380" t="inlineStr">
        <is>
          <t>V4</t>
        </is>
      </c>
      <c r="AL380" t="n">
        <v>20240619</v>
      </c>
      <c r="AM380" t="inlineStr">
        <is>
          <t>DW68-900008251-D211-10000388-4</t>
        </is>
      </c>
    </row>
    <row r="381">
      <c r="A381" t="inlineStr">
        <is>
          <t>900008251DW68D25110004258</t>
        </is>
      </c>
      <c r="B381" t="inlineStr">
        <is>
          <t>4600058168-20</t>
        </is>
      </c>
      <c r="C381" t="n">
        <v>4600058168</v>
      </c>
      <c r="D381" t="n">
        <v>20</v>
      </c>
      <c r="E381" t="inlineStr">
        <is>
          <t>MXPO</t>
        </is>
      </c>
      <c r="F381" t="inlineStr">
        <is>
          <t>MXL</t>
        </is>
      </c>
      <c r="G381" t="n">
        <v>900008251</v>
      </c>
      <c r="H381" t="inlineStr">
        <is>
          <t>SF TC-ED-MAREVA LA VEGA</t>
        </is>
      </c>
      <c r="I381" t="n">
        <v>5043944</v>
      </c>
      <c r="J381" t="inlineStr">
        <is>
          <t>CONSTRUCCIONES MAREVA DE OCCIDENTE</t>
        </is>
      </c>
      <c r="K381" t="inlineStr">
        <is>
          <t>Z04</t>
        </is>
      </c>
      <c r="L381" t="inlineStr">
        <is>
          <t>(AP) 30 Dias</t>
        </is>
      </c>
      <c r="M381" t="n">
        <v>10004258</v>
      </c>
      <c r="N381" t="inlineStr">
        <is>
          <t>Sello Triturado Basalto 10 mm - 3/8"</t>
        </is>
      </c>
      <c r="O381" t="inlineStr">
        <is>
          <t>DW68</t>
        </is>
      </c>
      <c r="P381" t="inlineStr">
        <is>
          <t>MX-CED. GUADALAJARA</t>
        </is>
      </c>
      <c r="Q381" t="n">
        <v>20230724</v>
      </c>
      <c r="R381" t="n">
        <v>20281231</v>
      </c>
      <c r="S381" t="n">
        <v>20240601</v>
      </c>
      <c r="T381" t="n">
        <v>20291231</v>
      </c>
      <c r="U381" t="n">
        <v>781.49</v>
      </c>
      <c r="V381" t="inlineStr">
        <is>
          <t>MXN</t>
        </is>
      </c>
      <c r="W381" t="inlineStr">
        <is>
          <t>M3</t>
        </is>
      </c>
      <c r="X381" t="n">
        <v>263.08</v>
      </c>
      <c r="Y381" t="inlineStr">
        <is>
          <t>MXN</t>
        </is>
      </c>
      <c r="Z381" t="inlineStr">
        <is>
          <t>M3</t>
        </is>
      </c>
      <c r="AA381" t="inlineStr">
        <is>
          <t>D251</t>
        </is>
      </c>
      <c r="AB381" t="inlineStr">
        <is>
          <t>PD0339 EL SALTO</t>
        </is>
      </c>
      <c r="AC381" t="n">
        <v>56103637</v>
      </c>
      <c r="AD381" t="n">
        <v>6644241540</v>
      </c>
      <c r="AE381" t="n">
        <v>4</v>
      </c>
      <c r="AF381" t="inlineStr">
        <is>
          <t>ENTREGA DIRECTA</t>
        </is>
      </c>
      <c r="AG381" t="n">
        <v>1.53</v>
      </c>
      <c r="AH381" t="inlineStr">
        <is>
          <t>M3</t>
        </is>
      </c>
      <c r="AI381" t="inlineStr">
        <is>
          <t>X</t>
        </is>
      </c>
      <c r="AJ381" t="n">
        <v>4</v>
      </c>
      <c r="AK381" t="inlineStr">
        <is>
          <t>V4</t>
        </is>
      </c>
      <c r="AL381" t="n">
        <v>20240619</v>
      </c>
      <c r="AM381" t="inlineStr">
        <is>
          <t>DW68-900008251-D251-10004258-4</t>
        </is>
      </c>
    </row>
    <row r="382">
      <c r="A382" t="inlineStr">
        <is>
          <t>900008251DW68D20910000388</t>
        </is>
      </c>
      <c r="B382" t="inlineStr">
        <is>
          <t>4600058168-250</t>
        </is>
      </c>
      <c r="C382" t="n">
        <v>4600058168</v>
      </c>
      <c r="D382" t="n">
        <v>250</v>
      </c>
      <c r="E382" t="inlineStr">
        <is>
          <t>MXPO</t>
        </is>
      </c>
      <c r="F382" t="inlineStr">
        <is>
          <t>MXL</t>
        </is>
      </c>
      <c r="G382" t="n">
        <v>900008251</v>
      </c>
      <c r="H382" t="inlineStr">
        <is>
          <t>SF TC-ED-MAREVA LA VEGA</t>
        </is>
      </c>
      <c r="I382" t="n">
        <v>5043944</v>
      </c>
      <c r="J382" t="inlineStr">
        <is>
          <t>CONSTRUCCIONES MAREVA DE OCCIDENTE</t>
        </is>
      </c>
      <c r="K382" t="inlineStr">
        <is>
          <t>Z04</t>
        </is>
      </c>
      <c r="L382" t="inlineStr">
        <is>
          <t>(AP) 30 Dias</t>
        </is>
      </c>
      <c r="M382" t="n">
        <v>10000388</v>
      </c>
      <c r="N382" t="inlineStr">
        <is>
          <t>Grava Triturada Basalto  40 mm - 1 1/2"</t>
        </is>
      </c>
      <c r="O382" t="inlineStr">
        <is>
          <t>DW68</t>
        </is>
      </c>
      <c r="P382" t="inlineStr">
        <is>
          <t>MX-CED. GUADALAJARA</t>
        </is>
      </c>
      <c r="Q382" t="n">
        <v>20230724</v>
      </c>
      <c r="R382" t="n">
        <v>20281231</v>
      </c>
      <c r="S382" t="n">
        <v>20240601</v>
      </c>
      <c r="T382" t="n">
        <v>20291231</v>
      </c>
      <c r="U382" t="n">
        <v>471.53</v>
      </c>
      <c r="V382" t="inlineStr">
        <is>
          <t>MXN</t>
        </is>
      </c>
      <c r="W382" t="inlineStr">
        <is>
          <t>M3</t>
        </is>
      </c>
      <c r="X382" t="n">
        <v>217.73</v>
      </c>
      <c r="Y382" t="inlineStr">
        <is>
          <t>MXN</t>
        </is>
      </c>
      <c r="Z382" t="inlineStr">
        <is>
          <t>M3</t>
        </is>
      </c>
      <c r="AA382" t="inlineStr">
        <is>
          <t>D209</t>
        </is>
      </c>
      <c r="AB382" t="inlineStr">
        <is>
          <t>PD0127 MANANTIAL</t>
        </is>
      </c>
      <c r="AC382" t="n">
        <v>56103637</v>
      </c>
      <c r="AD382" t="n">
        <v>6644241540</v>
      </c>
      <c r="AE382" t="n">
        <v>4</v>
      </c>
      <c r="AF382" t="inlineStr">
        <is>
          <t>ENTREGA DIRECTA</t>
        </is>
      </c>
      <c r="AG382" t="n">
        <v>1.395</v>
      </c>
      <c r="AH382" t="inlineStr">
        <is>
          <t>M3</t>
        </is>
      </c>
      <c r="AI382" t="inlineStr">
        <is>
          <t>X</t>
        </is>
      </c>
      <c r="AJ382" t="n">
        <v>4</v>
      </c>
      <c r="AK382" t="inlineStr">
        <is>
          <t>V4</t>
        </is>
      </c>
      <c r="AL382" t="n">
        <v>20240619</v>
      </c>
      <c r="AM382" t="inlineStr">
        <is>
          <t>DW68-900008251-D209-10000388-4</t>
        </is>
      </c>
    </row>
    <row r="383">
      <c r="A383" t="inlineStr">
        <is>
          <t>900008251DW68D21110000384</t>
        </is>
      </c>
      <c r="B383" t="inlineStr">
        <is>
          <t>4600058168-360</t>
        </is>
      </c>
      <c r="C383" t="n">
        <v>4600058168</v>
      </c>
      <c r="D383" t="n">
        <v>360</v>
      </c>
      <c r="E383" t="inlineStr">
        <is>
          <t>MXPO</t>
        </is>
      </c>
      <c r="F383" t="inlineStr">
        <is>
          <t>MXL</t>
        </is>
      </c>
      <c r="G383" t="n">
        <v>900008251</v>
      </c>
      <c r="H383" t="inlineStr">
        <is>
          <t>SF TC-ED-MAREVA LA VEGA</t>
        </is>
      </c>
      <c r="I383" t="n">
        <v>5043944</v>
      </c>
      <c r="J383" t="inlineStr">
        <is>
          <t>CONSTRUCCIONES MAREVA DE OCCIDENTE</t>
        </is>
      </c>
      <c r="K383" t="inlineStr">
        <is>
          <t>Z04</t>
        </is>
      </c>
      <c r="L383" t="inlineStr">
        <is>
          <t>(AP) 30 Dias</t>
        </is>
      </c>
      <c r="M383" t="n">
        <v>10000384</v>
      </c>
      <c r="N383" t="inlineStr">
        <is>
          <t>Arena Triturada Basalto Malla 4</t>
        </is>
      </c>
      <c r="O383" t="inlineStr">
        <is>
          <t>DW68</t>
        </is>
      </c>
      <c r="P383" t="inlineStr">
        <is>
          <t>MX-CED. GUADALAJARA</t>
        </is>
      </c>
      <c r="Q383" t="n">
        <v>20230724</v>
      </c>
      <c r="R383" t="n">
        <v>20281231</v>
      </c>
      <c r="S383" t="n">
        <v>20240601</v>
      </c>
      <c r="T383" t="n">
        <v>20291231</v>
      </c>
      <c r="U383" t="n">
        <v>559.01</v>
      </c>
      <c r="V383" t="inlineStr">
        <is>
          <t>MXN</t>
        </is>
      </c>
      <c r="W383" t="inlineStr">
        <is>
          <t>M3</t>
        </is>
      </c>
      <c r="X383" t="n">
        <v>202.61</v>
      </c>
      <c r="Y383" t="inlineStr">
        <is>
          <t>MXN</t>
        </is>
      </c>
      <c r="Z383" t="inlineStr">
        <is>
          <t>M3</t>
        </is>
      </c>
      <c r="AA383" t="inlineStr">
        <is>
          <t>D211</t>
        </is>
      </c>
      <c r="AB383" t="inlineStr">
        <is>
          <t>PD0149 GDL. MATRIZ</t>
        </is>
      </c>
      <c r="AC383" t="n">
        <v>56103638</v>
      </c>
      <c r="AD383" t="n">
        <v>6644241540</v>
      </c>
      <c r="AE383" t="n">
        <v>4</v>
      </c>
      <c r="AF383" t="inlineStr">
        <is>
          <t>ENTREGA DIRECTA</t>
        </is>
      </c>
      <c r="AG383" t="n">
        <v>1.61</v>
      </c>
      <c r="AH383" t="inlineStr">
        <is>
          <t>M3</t>
        </is>
      </c>
      <c r="AI383" t="inlineStr">
        <is>
          <t>X</t>
        </is>
      </c>
      <c r="AJ383" t="n">
        <v>4</v>
      </c>
      <c r="AK383" t="inlineStr">
        <is>
          <t>V4</t>
        </is>
      </c>
      <c r="AL383" t="n">
        <v>20240619</v>
      </c>
      <c r="AM383" t="inlineStr">
        <is>
          <t>DW68-900008251-D211-10000384-4</t>
        </is>
      </c>
    </row>
    <row r="384">
      <c r="A384" t="inlineStr">
        <is>
          <t>900008251DW68D26710000388</t>
        </is>
      </c>
      <c r="B384" t="inlineStr">
        <is>
          <t>4600058168-190</t>
        </is>
      </c>
      <c r="C384" t="n">
        <v>4600058168</v>
      </c>
      <c r="D384" t="n">
        <v>190</v>
      </c>
      <c r="E384" t="inlineStr">
        <is>
          <t>MXPO</t>
        </is>
      </c>
      <c r="F384" t="inlineStr">
        <is>
          <t>MXL</t>
        </is>
      </c>
      <c r="G384" t="n">
        <v>900008251</v>
      </c>
      <c r="H384" t="inlineStr">
        <is>
          <t>SF TC-ED-MAREVA LA VEGA</t>
        </is>
      </c>
      <c r="I384" t="n">
        <v>5043944</v>
      </c>
      <c r="J384" t="inlineStr">
        <is>
          <t>CONSTRUCCIONES MAREVA DE OCCIDENTE</t>
        </is>
      </c>
      <c r="K384" t="inlineStr">
        <is>
          <t>Z04</t>
        </is>
      </c>
      <c r="L384" t="inlineStr">
        <is>
          <t>(AP) 30 Dias</t>
        </is>
      </c>
      <c r="M384" t="n">
        <v>10000388</v>
      </c>
      <c r="N384" t="inlineStr">
        <is>
          <t>Grava Triturada Basalto  40 mm - 1 1/2"</t>
        </is>
      </c>
      <c r="O384" t="inlineStr">
        <is>
          <t>DW68</t>
        </is>
      </c>
      <c r="P384" t="inlineStr">
        <is>
          <t>MX-CED. GUADALAJARA</t>
        </is>
      </c>
      <c r="Q384" t="n">
        <v>20230724</v>
      </c>
      <c r="R384" t="n">
        <v>20281231</v>
      </c>
      <c r="S384" t="n">
        <v>20240601</v>
      </c>
      <c r="T384" t="n">
        <v>20291231</v>
      </c>
      <c r="U384" t="n">
        <v>474.55</v>
      </c>
      <c r="V384" t="inlineStr">
        <is>
          <t>MXN</t>
        </is>
      </c>
      <c r="W384" t="inlineStr">
        <is>
          <t>M3</t>
        </is>
      </c>
      <c r="X384" t="n">
        <v>220.75</v>
      </c>
      <c r="Y384" t="inlineStr">
        <is>
          <t>MXN</t>
        </is>
      </c>
      <c r="Z384" t="inlineStr">
        <is>
          <t>M3</t>
        </is>
      </c>
      <c r="AA384" t="inlineStr">
        <is>
          <t>D267</t>
        </is>
      </c>
      <c r="AB384" t="inlineStr">
        <is>
          <t>PD0280 PLANTA COLOTLAN</t>
        </is>
      </c>
      <c r="AC384" t="n">
        <v>56103637</v>
      </c>
      <c r="AD384" t="n">
        <v>6644241540</v>
      </c>
      <c r="AE384" t="n">
        <v>4</v>
      </c>
      <c r="AF384" t="inlineStr">
        <is>
          <t>ENTREGA DIRECTA</t>
        </is>
      </c>
      <c r="AG384" t="n">
        <v>1.395</v>
      </c>
      <c r="AH384" t="inlineStr">
        <is>
          <t>M3</t>
        </is>
      </c>
      <c r="AI384" t="inlineStr">
        <is>
          <t>X</t>
        </is>
      </c>
      <c r="AJ384" t="n">
        <v>4</v>
      </c>
      <c r="AK384" t="inlineStr">
        <is>
          <t>V4</t>
        </is>
      </c>
      <c r="AL384" t="n">
        <v>20240619</v>
      </c>
      <c r="AM384" t="inlineStr">
        <is>
          <t>DW68-900008251-D267-10000388-4</t>
        </is>
      </c>
    </row>
    <row r="385">
      <c r="A385" t="inlineStr">
        <is>
          <t>900008251DW68D26410000388</t>
        </is>
      </c>
      <c r="B385" t="inlineStr">
        <is>
          <t>4600058168-240</t>
        </is>
      </c>
      <c r="C385" t="n">
        <v>4600058168</v>
      </c>
      <c r="D385" t="n">
        <v>240</v>
      </c>
      <c r="E385" t="inlineStr">
        <is>
          <t>MXPO</t>
        </is>
      </c>
      <c r="F385" t="inlineStr">
        <is>
          <t>MXL</t>
        </is>
      </c>
      <c r="G385" t="n">
        <v>900008251</v>
      </c>
      <c r="H385" t="inlineStr">
        <is>
          <t>SF TC-ED-MAREVA LA VEGA</t>
        </is>
      </c>
      <c r="I385" t="n">
        <v>5043944</v>
      </c>
      <c r="J385" t="inlineStr">
        <is>
          <t>CONSTRUCCIONES MAREVA DE OCCIDENTE</t>
        </is>
      </c>
      <c r="K385" t="inlineStr">
        <is>
          <t>Z04</t>
        </is>
      </c>
      <c r="L385" t="inlineStr">
        <is>
          <t>(AP) 30 Dias</t>
        </is>
      </c>
      <c r="M385" t="n">
        <v>10000388</v>
      </c>
      <c r="N385" t="inlineStr">
        <is>
          <t>Grava Triturada Basalto  40 mm - 1 1/2"</t>
        </is>
      </c>
      <c r="O385" t="inlineStr">
        <is>
          <t>DW68</t>
        </is>
      </c>
      <c r="P385" t="inlineStr">
        <is>
          <t>MX-CED. GUADALAJARA</t>
        </is>
      </c>
      <c r="Q385" t="n">
        <v>20230724</v>
      </c>
      <c r="R385" t="n">
        <v>20281231</v>
      </c>
      <c r="S385" t="n">
        <v>20240601</v>
      </c>
      <c r="T385" t="n">
        <v>20291231</v>
      </c>
      <c r="U385" t="n">
        <v>483.62</v>
      </c>
      <c r="V385" t="inlineStr">
        <is>
          <t>MXN</t>
        </is>
      </c>
      <c r="W385" t="inlineStr">
        <is>
          <t>M3</t>
        </is>
      </c>
      <c r="X385" t="n">
        <v>229.82</v>
      </c>
      <c r="Y385" t="inlineStr">
        <is>
          <t>MXN</t>
        </is>
      </c>
      <c r="Z385" t="inlineStr">
        <is>
          <t>M3</t>
        </is>
      </c>
      <c r="AA385" t="inlineStr">
        <is>
          <t>D264</t>
        </is>
      </c>
      <c r="AB385" t="inlineStr">
        <is>
          <t>PD0083 GUADALAJARA I III</t>
        </is>
      </c>
      <c r="AC385" t="n">
        <v>56103637</v>
      </c>
      <c r="AD385" t="n">
        <v>6644241540</v>
      </c>
      <c r="AE385" t="n">
        <v>4</v>
      </c>
      <c r="AF385" t="inlineStr">
        <is>
          <t>ENTREGA DIRECTA</t>
        </is>
      </c>
      <c r="AG385" t="n">
        <v>1.395</v>
      </c>
      <c r="AH385" t="inlineStr">
        <is>
          <t>M3</t>
        </is>
      </c>
      <c r="AI385" t="inlineStr">
        <is>
          <t>X</t>
        </is>
      </c>
      <c r="AJ385" t="n">
        <v>4</v>
      </c>
      <c r="AK385" t="inlineStr">
        <is>
          <t>V4</t>
        </is>
      </c>
      <c r="AL385" t="n">
        <v>20240619</v>
      </c>
      <c r="AM385" t="inlineStr">
        <is>
          <t>DW68-900008251-D264-10000388-4</t>
        </is>
      </c>
    </row>
    <row r="386">
      <c r="A386" t="inlineStr">
        <is>
          <t>900008251DW68D22810000388</t>
        </is>
      </c>
      <c r="B386" t="inlineStr">
        <is>
          <t>4600058168-270</t>
        </is>
      </c>
      <c r="C386" t="n">
        <v>4600058168</v>
      </c>
      <c r="D386" t="n">
        <v>270</v>
      </c>
      <c r="E386" t="inlineStr">
        <is>
          <t>MXPO</t>
        </is>
      </c>
      <c r="F386" t="inlineStr">
        <is>
          <t>MXL</t>
        </is>
      </c>
      <c r="G386" t="n">
        <v>900008251</v>
      </c>
      <c r="H386" t="inlineStr">
        <is>
          <t>SF TC-ED-MAREVA LA VEGA</t>
        </is>
      </c>
      <c r="I386" t="n">
        <v>5043944</v>
      </c>
      <c r="J386" t="inlineStr">
        <is>
          <t>CONSTRUCCIONES MAREVA DE OCCIDENTE</t>
        </is>
      </c>
      <c r="K386" t="inlineStr">
        <is>
          <t>Z04</t>
        </is>
      </c>
      <c r="L386" t="inlineStr">
        <is>
          <t>(AP) 30 Dias</t>
        </is>
      </c>
      <c r="M386" t="n">
        <v>10000388</v>
      </c>
      <c r="N386" t="inlineStr">
        <is>
          <t>Grava Triturada Basalto  40 mm - 1 1/2"</t>
        </is>
      </c>
      <c r="O386" t="inlineStr">
        <is>
          <t>DW68</t>
        </is>
      </c>
      <c r="P386" t="inlineStr">
        <is>
          <t>MX-CED. GUADALAJARA</t>
        </is>
      </c>
      <c r="Q386" t="n">
        <v>20230724</v>
      </c>
      <c r="R386" t="n">
        <v>20281231</v>
      </c>
      <c r="S386" t="n">
        <v>20240601</v>
      </c>
      <c r="T386" t="n">
        <v>20291231</v>
      </c>
      <c r="U386" t="n">
        <v>408.02</v>
      </c>
      <c r="V386" t="inlineStr">
        <is>
          <t>MXN</t>
        </is>
      </c>
      <c r="W386" t="inlineStr">
        <is>
          <t>M3</t>
        </is>
      </c>
      <c r="X386" t="n">
        <v>154.22</v>
      </c>
      <c r="Y386" t="inlineStr">
        <is>
          <t>MXN</t>
        </is>
      </c>
      <c r="Z386" t="inlineStr">
        <is>
          <t>M3</t>
        </is>
      </c>
      <c r="AA386" t="inlineStr">
        <is>
          <t>D228</t>
        </is>
      </c>
      <c r="AB386" t="inlineStr">
        <is>
          <t>PD0123 TLAJOMULCO</t>
        </is>
      </c>
      <c r="AC386" t="n">
        <v>56103637</v>
      </c>
      <c r="AD386" t="n">
        <v>6644241540</v>
      </c>
      <c r="AE386" t="n">
        <v>4</v>
      </c>
      <c r="AF386" t="inlineStr">
        <is>
          <t>ENTREGA DIRECTA</t>
        </is>
      </c>
      <c r="AG386" t="n">
        <v>1.395</v>
      </c>
      <c r="AH386" t="inlineStr">
        <is>
          <t>M3</t>
        </is>
      </c>
      <c r="AI386" t="inlineStr">
        <is>
          <t>X</t>
        </is>
      </c>
      <c r="AJ386" t="n">
        <v>4</v>
      </c>
      <c r="AK386" t="inlineStr">
        <is>
          <t>V4</t>
        </is>
      </c>
      <c r="AL386" t="n">
        <v>20240619</v>
      </c>
      <c r="AM386" t="inlineStr">
        <is>
          <t>DW68-900008251-D228-10000388-4</t>
        </is>
      </c>
    </row>
    <row r="387">
      <c r="A387" t="inlineStr">
        <is>
          <t>900008251DW68D26410000191</t>
        </is>
      </c>
      <c r="B387" t="inlineStr">
        <is>
          <t>4600058168-120</t>
        </is>
      </c>
      <c r="C387" t="n">
        <v>4600058168</v>
      </c>
      <c r="D387" t="n">
        <v>120</v>
      </c>
      <c r="E387" t="inlineStr">
        <is>
          <t>MXPO</t>
        </is>
      </c>
      <c r="F387" t="inlineStr">
        <is>
          <t>MXL</t>
        </is>
      </c>
      <c r="G387" t="n">
        <v>900008251</v>
      </c>
      <c r="H387" t="inlineStr">
        <is>
          <t>SF TC-ED-MAREVA LA VEGA</t>
        </is>
      </c>
      <c r="I387" t="n">
        <v>5043944</v>
      </c>
      <c r="J387" t="inlineStr">
        <is>
          <t>CONSTRUCCIONES MAREVA DE OCCIDENTE</t>
        </is>
      </c>
      <c r="K387" t="inlineStr">
        <is>
          <t>Z04</t>
        </is>
      </c>
      <c r="L387" t="inlineStr">
        <is>
          <t>(AP) 30 Dias</t>
        </is>
      </c>
      <c r="M387" t="n">
        <v>10000191</v>
      </c>
      <c r="N387" t="inlineStr">
        <is>
          <t>Grava Triturada Basalto 20 mm - 3/4"</t>
        </is>
      </c>
      <c r="O387" t="inlineStr">
        <is>
          <t>DW68</t>
        </is>
      </c>
      <c r="P387" t="inlineStr">
        <is>
          <t>MX-CED. GUADALAJARA</t>
        </is>
      </c>
      <c r="Q387" t="n">
        <v>20230724</v>
      </c>
      <c r="R387" t="n">
        <v>20281231</v>
      </c>
      <c r="S387" t="n">
        <v>20240601</v>
      </c>
      <c r="T387" t="n">
        <v>20291231</v>
      </c>
      <c r="U387" t="n">
        <v>499.82</v>
      </c>
      <c r="V387" t="inlineStr">
        <is>
          <t>MXN</t>
        </is>
      </c>
      <c r="W387" t="inlineStr">
        <is>
          <t>M3</t>
        </is>
      </c>
      <c r="X387" t="n">
        <v>229.82</v>
      </c>
      <c r="Y387" t="inlineStr">
        <is>
          <t>MXN</t>
        </is>
      </c>
      <c r="Z387" t="inlineStr">
        <is>
          <t>M3</t>
        </is>
      </c>
      <c r="AA387" t="inlineStr">
        <is>
          <t>D264</t>
        </is>
      </c>
      <c r="AB387" t="inlineStr">
        <is>
          <t>PD0083 GUADALAJARA I III</t>
        </is>
      </c>
      <c r="AC387" t="n">
        <v>56103637</v>
      </c>
      <c r="AD387" t="n">
        <v>6644241540</v>
      </c>
      <c r="AE387" t="n">
        <v>4</v>
      </c>
      <c r="AF387" t="inlineStr">
        <is>
          <t>ENTREGA DIRECTA</t>
        </is>
      </c>
      <c r="AG387" t="n">
        <v>1.41</v>
      </c>
      <c r="AH387" t="inlineStr">
        <is>
          <t>M3</t>
        </is>
      </c>
      <c r="AI387" t="inlineStr">
        <is>
          <t>X</t>
        </is>
      </c>
      <c r="AJ387" t="n">
        <v>4</v>
      </c>
      <c r="AK387" t="inlineStr">
        <is>
          <t>V4</t>
        </is>
      </c>
      <c r="AL387" t="n">
        <v>20240619</v>
      </c>
      <c r="AM387" t="inlineStr">
        <is>
          <t>DW68-900008251-D264-10000191-4</t>
        </is>
      </c>
    </row>
    <row r="388">
      <c r="A388" t="inlineStr">
        <is>
          <t>900008251DW68D24710000388</t>
        </is>
      </c>
      <c r="B388" t="inlineStr">
        <is>
          <t>4600058168-200</t>
        </is>
      </c>
      <c r="C388" t="n">
        <v>4600058168</v>
      </c>
      <c r="D388" t="n">
        <v>200</v>
      </c>
      <c r="E388" t="inlineStr">
        <is>
          <t>MXPO</t>
        </is>
      </c>
      <c r="F388" t="inlineStr">
        <is>
          <t>MXL</t>
        </is>
      </c>
      <c r="G388" t="n">
        <v>900008251</v>
      </c>
      <c r="H388" t="inlineStr">
        <is>
          <t>SF TC-ED-MAREVA LA VEGA</t>
        </is>
      </c>
      <c r="I388" t="n">
        <v>5043944</v>
      </c>
      <c r="J388" t="inlineStr">
        <is>
          <t>CONSTRUCCIONES MAREVA DE OCCIDENTE</t>
        </is>
      </c>
      <c r="K388" t="inlineStr">
        <is>
          <t>Z04</t>
        </is>
      </c>
      <c r="L388" t="inlineStr">
        <is>
          <t>(AP) 30 Dias</t>
        </is>
      </c>
      <c r="M388" t="n">
        <v>10000388</v>
      </c>
      <c r="N388" t="inlineStr">
        <is>
          <t>Grava Triturada Basalto  40 mm - 1 1/2"</t>
        </is>
      </c>
      <c r="O388" t="inlineStr">
        <is>
          <t>DW68</t>
        </is>
      </c>
      <c r="P388" t="inlineStr">
        <is>
          <t>MX-CED. GUADALAJARA</t>
        </is>
      </c>
      <c r="Q388" t="n">
        <v>20230724</v>
      </c>
      <c r="R388" t="n">
        <v>20281231</v>
      </c>
      <c r="S388" t="n">
        <v>20240601</v>
      </c>
      <c r="T388" t="n">
        <v>20291231</v>
      </c>
      <c r="U388" t="n">
        <v>480.6</v>
      </c>
      <c r="V388" t="inlineStr">
        <is>
          <t>MXN</t>
        </is>
      </c>
      <c r="W388" t="inlineStr">
        <is>
          <t>M3</t>
        </is>
      </c>
      <c r="X388" t="n">
        <v>226.8</v>
      </c>
      <c r="Y388" t="inlineStr">
        <is>
          <t>MXN</t>
        </is>
      </c>
      <c r="Z388" t="inlineStr">
        <is>
          <t>M3</t>
        </is>
      </c>
      <c r="AA388" t="inlineStr">
        <is>
          <t>D247</t>
        </is>
      </c>
      <c r="AB388" t="inlineStr">
        <is>
          <t>PD0518 TONALA</t>
        </is>
      </c>
      <c r="AC388" t="n">
        <v>56103637</v>
      </c>
      <c r="AD388" t="n">
        <v>6644241540</v>
      </c>
      <c r="AE388" t="n">
        <v>4</v>
      </c>
      <c r="AF388" t="inlineStr">
        <is>
          <t>ENTREGA DIRECTA</t>
        </is>
      </c>
      <c r="AG388" t="n">
        <v>1.395</v>
      </c>
      <c r="AH388" t="inlineStr">
        <is>
          <t>M3</t>
        </is>
      </c>
      <c r="AI388" t="inlineStr">
        <is>
          <t>X</t>
        </is>
      </c>
      <c r="AJ388" t="n">
        <v>4</v>
      </c>
      <c r="AK388" t="inlineStr">
        <is>
          <t>V4</t>
        </is>
      </c>
      <c r="AL388" t="n">
        <v>20240619</v>
      </c>
      <c r="AM388" t="inlineStr">
        <is>
          <t>DW68-900008251-D247-10000388-4</t>
        </is>
      </c>
    </row>
    <row r="389">
      <c r="A389" t="inlineStr">
        <is>
          <t>900008251DW68D04210000388</t>
        </is>
      </c>
      <c r="B389" t="inlineStr">
        <is>
          <t>4600058168-220</t>
        </is>
      </c>
      <c r="C389" t="n">
        <v>4600058168</v>
      </c>
      <c r="D389" t="n">
        <v>220</v>
      </c>
      <c r="E389" t="inlineStr">
        <is>
          <t>MXPO</t>
        </is>
      </c>
      <c r="F389" t="inlineStr">
        <is>
          <t>MXL</t>
        </is>
      </c>
      <c r="G389" t="n">
        <v>900008251</v>
      </c>
      <c r="H389" t="inlineStr">
        <is>
          <t>SF TC-ED-MAREVA LA VEGA</t>
        </is>
      </c>
      <c r="I389" t="n">
        <v>5043944</v>
      </c>
      <c r="J389" t="inlineStr">
        <is>
          <t>CONSTRUCCIONES MAREVA DE OCCIDENTE</t>
        </is>
      </c>
      <c r="K389" t="inlineStr">
        <is>
          <t>Z04</t>
        </is>
      </c>
      <c r="L389" t="inlineStr">
        <is>
          <t>(AP) 30 Dias</t>
        </is>
      </c>
      <c r="M389" t="n">
        <v>10000388</v>
      </c>
      <c r="N389" t="inlineStr">
        <is>
          <t>Grava Triturada Basalto  40 mm - 1 1/2"</t>
        </is>
      </c>
      <c r="O389" t="inlineStr">
        <is>
          <t>DW68</t>
        </is>
      </c>
      <c r="P389" t="inlineStr">
        <is>
          <t>MX-CED. GUADALAJARA</t>
        </is>
      </c>
      <c r="Q389" t="n">
        <v>20230724</v>
      </c>
      <c r="R389" t="n">
        <v>20281231</v>
      </c>
      <c r="S389" t="n">
        <v>20240601</v>
      </c>
      <c r="T389" t="n">
        <v>20291231</v>
      </c>
      <c r="U389" t="n">
        <v>405</v>
      </c>
      <c r="V389" t="inlineStr">
        <is>
          <t>MXN</t>
        </is>
      </c>
      <c r="W389" t="inlineStr">
        <is>
          <t>M3</t>
        </is>
      </c>
      <c r="X389" t="n">
        <v>151.2</v>
      </c>
      <c r="Y389" t="inlineStr">
        <is>
          <t>MXN</t>
        </is>
      </c>
      <c r="Z389" t="inlineStr">
        <is>
          <t>M3</t>
        </is>
      </c>
      <c r="AA389" t="inlineStr">
        <is>
          <t>D042</t>
        </is>
      </c>
      <c r="AB389" t="inlineStr">
        <is>
          <t>PD0406 PLANTA PONIENTE</t>
        </is>
      </c>
      <c r="AC389" t="n">
        <v>56103637</v>
      </c>
      <c r="AD389" t="n">
        <v>6644241540</v>
      </c>
      <c r="AE389" t="n">
        <v>4</v>
      </c>
      <c r="AF389" t="inlineStr">
        <is>
          <t>ENTREGA DIRECTA</t>
        </is>
      </c>
      <c r="AG389" t="n">
        <v>1.395</v>
      </c>
      <c r="AH389" t="inlineStr">
        <is>
          <t>M3</t>
        </is>
      </c>
      <c r="AI389" t="inlineStr">
        <is>
          <t>X</t>
        </is>
      </c>
      <c r="AJ389" t="n">
        <v>4</v>
      </c>
      <c r="AK389" t="inlineStr">
        <is>
          <t>V4</t>
        </is>
      </c>
      <c r="AL389" t="n">
        <v>20240619</v>
      </c>
      <c r="AM389" t="inlineStr">
        <is>
          <t>DW68-900008251-D042-10000388-4</t>
        </is>
      </c>
    </row>
    <row r="390">
      <c r="A390" t="inlineStr">
        <is>
          <t>900008251DW68D22810000191</t>
        </is>
      </c>
      <c r="B390" t="inlineStr">
        <is>
          <t>4600058168-130</t>
        </is>
      </c>
      <c r="C390" t="n">
        <v>4600058168</v>
      </c>
      <c r="D390" t="n">
        <v>130</v>
      </c>
      <c r="E390" t="inlineStr">
        <is>
          <t>MXPO</t>
        </is>
      </c>
      <c r="F390" t="inlineStr">
        <is>
          <t>MXL</t>
        </is>
      </c>
      <c r="G390" t="n">
        <v>900008251</v>
      </c>
      <c r="H390" t="inlineStr">
        <is>
          <t>SF TC-ED-MAREVA LA VEGA</t>
        </is>
      </c>
      <c r="I390" t="n">
        <v>5043944</v>
      </c>
      <c r="J390" t="inlineStr">
        <is>
          <t>CONSTRUCCIONES MAREVA DE OCCIDENTE</t>
        </is>
      </c>
      <c r="K390" t="inlineStr">
        <is>
          <t>Z04</t>
        </is>
      </c>
      <c r="L390" t="inlineStr">
        <is>
          <t>(AP) 30 Dias</t>
        </is>
      </c>
      <c r="M390" t="n">
        <v>10000191</v>
      </c>
      <c r="N390" t="inlineStr">
        <is>
          <t>Grava Triturada Basalto 20 mm - 3/4"</t>
        </is>
      </c>
      <c r="O390" t="inlineStr">
        <is>
          <t>DW68</t>
        </is>
      </c>
      <c r="P390" t="inlineStr">
        <is>
          <t>MX-CED. GUADALAJARA</t>
        </is>
      </c>
      <c r="Q390" t="n">
        <v>20230724</v>
      </c>
      <c r="R390" t="n">
        <v>20281231</v>
      </c>
      <c r="S390" t="n">
        <v>20240601</v>
      </c>
      <c r="T390" t="n">
        <v>20291231</v>
      </c>
      <c r="U390" t="n">
        <v>424.22</v>
      </c>
      <c r="V390" t="inlineStr">
        <is>
          <t>MXN</t>
        </is>
      </c>
      <c r="W390" t="inlineStr">
        <is>
          <t>M3</t>
        </is>
      </c>
      <c r="X390" t="n">
        <v>154.22</v>
      </c>
      <c r="Y390" t="inlineStr">
        <is>
          <t>MXN</t>
        </is>
      </c>
      <c r="Z390" t="inlineStr">
        <is>
          <t>M3</t>
        </is>
      </c>
      <c r="AA390" t="inlineStr">
        <is>
          <t>D228</t>
        </is>
      </c>
      <c r="AB390" t="inlineStr">
        <is>
          <t>PD0123 TLAJOMULCO</t>
        </is>
      </c>
      <c r="AC390" t="n">
        <v>56103637</v>
      </c>
      <c r="AD390" t="n">
        <v>6644241540</v>
      </c>
      <c r="AE390" t="n">
        <v>4</v>
      </c>
      <c r="AF390" t="inlineStr">
        <is>
          <t>ENTREGA DIRECTA</t>
        </is>
      </c>
      <c r="AG390" t="n">
        <v>1.41</v>
      </c>
      <c r="AH390" t="inlineStr">
        <is>
          <t>M3</t>
        </is>
      </c>
      <c r="AI390" t="inlineStr">
        <is>
          <t>X</t>
        </is>
      </c>
      <c r="AJ390" t="n">
        <v>4</v>
      </c>
      <c r="AK390" t="inlineStr">
        <is>
          <t>V4</t>
        </is>
      </c>
      <c r="AL390" t="n">
        <v>20240619</v>
      </c>
      <c r="AM390" t="inlineStr">
        <is>
          <t>DW68-900008251-D228-10000191-4</t>
        </is>
      </c>
    </row>
    <row r="391">
      <c r="A391" t="inlineStr">
        <is>
          <t>900008251DW68D21110004258</t>
        </is>
      </c>
      <c r="B391" t="inlineStr">
        <is>
          <t>4600058168-80</t>
        </is>
      </c>
      <c r="C391" t="n">
        <v>4600058168</v>
      </c>
      <c r="D391" t="n">
        <v>80</v>
      </c>
      <c r="E391" t="inlineStr">
        <is>
          <t>MXPO</t>
        </is>
      </c>
      <c r="F391" t="inlineStr">
        <is>
          <t>MXL</t>
        </is>
      </c>
      <c r="G391" t="n">
        <v>900008251</v>
      </c>
      <c r="H391" t="inlineStr">
        <is>
          <t>SF TC-ED-MAREVA LA VEGA</t>
        </is>
      </c>
      <c r="I391" t="n">
        <v>5043944</v>
      </c>
      <c r="J391" t="inlineStr">
        <is>
          <t>CONSTRUCCIONES MAREVA DE OCCIDENTE</t>
        </is>
      </c>
      <c r="K391" t="inlineStr">
        <is>
          <t>Z04</t>
        </is>
      </c>
      <c r="L391" t="inlineStr">
        <is>
          <t>(AP) 30 Dias</t>
        </is>
      </c>
      <c r="M391" t="n">
        <v>10004258</v>
      </c>
      <c r="N391" t="inlineStr">
        <is>
          <t>Sello Triturado Basalto 10 mm - 3/8"</t>
        </is>
      </c>
      <c r="O391" t="inlineStr">
        <is>
          <t>DW68</t>
        </is>
      </c>
      <c r="P391" t="inlineStr">
        <is>
          <t>MX-CED. GUADALAJARA</t>
        </is>
      </c>
      <c r="Q391" t="n">
        <v>20230724</v>
      </c>
      <c r="R391" t="n">
        <v>20281231</v>
      </c>
      <c r="S391" t="n">
        <v>20240601</v>
      </c>
      <c r="T391" t="n">
        <v>20291231</v>
      </c>
      <c r="U391" t="n">
        <v>721.01</v>
      </c>
      <c r="V391" t="inlineStr">
        <is>
          <t>MXN</t>
        </is>
      </c>
      <c r="W391" t="inlineStr">
        <is>
          <t>M3</t>
        </is>
      </c>
      <c r="X391" t="n">
        <v>202.6</v>
      </c>
      <c r="Y391" t="inlineStr">
        <is>
          <t>MXN</t>
        </is>
      </c>
      <c r="Z391" t="inlineStr">
        <is>
          <t>M3</t>
        </is>
      </c>
      <c r="AA391" t="inlineStr">
        <is>
          <t>D211</t>
        </is>
      </c>
      <c r="AB391" t="inlineStr">
        <is>
          <t>PD0149 GDL. MATRIZ</t>
        </is>
      </c>
      <c r="AC391" t="n">
        <v>56103637</v>
      </c>
      <c r="AD391" t="n">
        <v>6644241540</v>
      </c>
      <c r="AE391" t="n">
        <v>4</v>
      </c>
      <c r="AF391" t="inlineStr">
        <is>
          <t>ENTREGA DIRECTA</t>
        </is>
      </c>
      <c r="AG391" t="n">
        <v>1.53</v>
      </c>
      <c r="AH391" t="inlineStr">
        <is>
          <t>M3</t>
        </is>
      </c>
      <c r="AI391" t="inlineStr">
        <is>
          <t>X</t>
        </is>
      </c>
      <c r="AJ391" t="n">
        <v>4</v>
      </c>
      <c r="AK391" t="inlineStr">
        <is>
          <t>V4</t>
        </is>
      </c>
      <c r="AL391" t="n">
        <v>20240619</v>
      </c>
      <c r="AM391" t="inlineStr">
        <is>
          <t>DW68-900008251-D211-10004258-4</t>
        </is>
      </c>
    </row>
    <row r="392">
      <c r="A392" t="inlineStr">
        <is>
          <t>900008251DW68D20910000191</t>
        </is>
      </c>
      <c r="B392" t="inlineStr">
        <is>
          <t>4600058168-170</t>
        </is>
      </c>
      <c r="C392" t="n">
        <v>4600058168</v>
      </c>
      <c r="D392" t="n">
        <v>170</v>
      </c>
      <c r="E392" t="inlineStr">
        <is>
          <t>MXPO</t>
        </is>
      </c>
      <c r="F392" t="inlineStr">
        <is>
          <t>MXL</t>
        </is>
      </c>
      <c r="G392" t="n">
        <v>900008251</v>
      </c>
      <c r="H392" t="inlineStr">
        <is>
          <t>SF TC-ED-MAREVA LA VEGA</t>
        </is>
      </c>
      <c r="I392" t="n">
        <v>5043944</v>
      </c>
      <c r="J392" t="inlineStr">
        <is>
          <t>CONSTRUCCIONES MAREVA DE OCCIDENTE</t>
        </is>
      </c>
      <c r="K392" t="inlineStr">
        <is>
          <t>Z04</t>
        </is>
      </c>
      <c r="L392" t="inlineStr">
        <is>
          <t>(AP) 30 Dias</t>
        </is>
      </c>
      <c r="M392" t="n">
        <v>10000191</v>
      </c>
      <c r="N392" t="inlineStr">
        <is>
          <t>Grava Triturada Basalto 20 mm - 3/4"</t>
        </is>
      </c>
      <c r="O392" t="inlineStr">
        <is>
          <t>DW68</t>
        </is>
      </c>
      <c r="P392" t="inlineStr">
        <is>
          <t>MX-CED. GUADALAJARA</t>
        </is>
      </c>
      <c r="Q392" t="n">
        <v>20230724</v>
      </c>
      <c r="R392" t="n">
        <v>20281231</v>
      </c>
      <c r="S392" t="n">
        <v>20240601</v>
      </c>
      <c r="T392" t="n">
        <v>20291231</v>
      </c>
      <c r="U392" t="n">
        <v>487.73</v>
      </c>
      <c r="V392" t="inlineStr">
        <is>
          <t>MXN</t>
        </is>
      </c>
      <c r="W392" t="inlineStr">
        <is>
          <t>M3</t>
        </is>
      </c>
      <c r="X392" t="n">
        <v>217.73</v>
      </c>
      <c r="Y392" t="inlineStr">
        <is>
          <t>MXN</t>
        </is>
      </c>
      <c r="Z392" t="inlineStr">
        <is>
          <t>M3</t>
        </is>
      </c>
      <c r="AA392" t="inlineStr">
        <is>
          <t>D209</t>
        </is>
      </c>
      <c r="AB392" t="inlineStr">
        <is>
          <t>PD0127 MANANTIAL</t>
        </is>
      </c>
      <c r="AC392" t="n">
        <v>56103637</v>
      </c>
      <c r="AD392" t="n">
        <v>6644241540</v>
      </c>
      <c r="AE392" t="n">
        <v>4</v>
      </c>
      <c r="AF392" t="inlineStr">
        <is>
          <t>ENTREGA DIRECTA</t>
        </is>
      </c>
      <c r="AG392" t="n">
        <v>1.41</v>
      </c>
      <c r="AH392" t="inlineStr">
        <is>
          <t>M3</t>
        </is>
      </c>
      <c r="AI392" t="inlineStr">
        <is>
          <t>X</t>
        </is>
      </c>
      <c r="AJ392" t="n">
        <v>4</v>
      </c>
      <c r="AK392" t="inlineStr">
        <is>
          <t>V4</t>
        </is>
      </c>
      <c r="AL392" t="n">
        <v>20240619</v>
      </c>
      <c r="AM392" t="inlineStr">
        <is>
          <t>DW68-900008251-D209-10000191-4</t>
        </is>
      </c>
    </row>
    <row r="393">
      <c r="A393" t="inlineStr">
        <is>
          <t>900008251DW68D22810000384</t>
        </is>
      </c>
      <c r="B393" t="inlineStr">
        <is>
          <t>4600058168-330</t>
        </is>
      </c>
      <c r="C393" t="n">
        <v>4600058168</v>
      </c>
      <c r="D393" t="n">
        <v>330</v>
      </c>
      <c r="E393" t="inlineStr">
        <is>
          <t>MXPO</t>
        </is>
      </c>
      <c r="F393" t="inlineStr">
        <is>
          <t>MXL</t>
        </is>
      </c>
      <c r="G393" t="n">
        <v>900008251</v>
      </c>
      <c r="H393" t="inlineStr">
        <is>
          <t>SF TC-ED-MAREVA LA VEGA</t>
        </is>
      </c>
      <c r="I393" t="n">
        <v>5043944</v>
      </c>
      <c r="J393" t="inlineStr">
        <is>
          <t>CONSTRUCCIONES MAREVA DE OCCIDENTE</t>
        </is>
      </c>
      <c r="K393" t="inlineStr">
        <is>
          <t>Z04</t>
        </is>
      </c>
      <c r="L393" t="inlineStr">
        <is>
          <t>(AP) 30 Dias</t>
        </is>
      </c>
      <c r="M393" t="n">
        <v>10000384</v>
      </c>
      <c r="N393" t="inlineStr">
        <is>
          <t>Arena Triturada Basalto Malla 4</t>
        </is>
      </c>
      <c r="O393" t="inlineStr">
        <is>
          <t>DW68</t>
        </is>
      </c>
      <c r="P393" t="inlineStr">
        <is>
          <t>MX-CED. GUADALAJARA</t>
        </is>
      </c>
      <c r="Q393" t="n">
        <v>20230724</v>
      </c>
      <c r="R393" t="n">
        <v>20281231</v>
      </c>
      <c r="S393" t="n">
        <v>20240601</v>
      </c>
      <c r="T393" t="n">
        <v>20291231</v>
      </c>
      <c r="U393" t="n">
        <v>510.62</v>
      </c>
      <c r="V393" t="inlineStr">
        <is>
          <t>MXN</t>
        </is>
      </c>
      <c r="W393" t="inlineStr">
        <is>
          <t>M3</t>
        </is>
      </c>
      <c r="X393" t="n">
        <v>154.22</v>
      </c>
      <c r="Y393" t="inlineStr">
        <is>
          <t>MXN</t>
        </is>
      </c>
      <c r="Z393" t="inlineStr">
        <is>
          <t>M3</t>
        </is>
      </c>
      <c r="AA393" t="inlineStr">
        <is>
          <t>D228</t>
        </is>
      </c>
      <c r="AB393" t="inlineStr">
        <is>
          <t>PD0123 TLAJOMULCO</t>
        </is>
      </c>
      <c r="AC393" t="n">
        <v>56103638</v>
      </c>
      <c r="AD393" t="n">
        <v>6644241540</v>
      </c>
      <c r="AE393" t="n">
        <v>4</v>
      </c>
      <c r="AF393" t="inlineStr">
        <is>
          <t>ENTREGA DIRECTA</t>
        </is>
      </c>
      <c r="AG393" t="n">
        <v>1.61</v>
      </c>
      <c r="AH393" t="inlineStr">
        <is>
          <t>M3</t>
        </is>
      </c>
      <c r="AI393" t="inlineStr">
        <is>
          <t>X</t>
        </is>
      </c>
      <c r="AJ393" t="n">
        <v>4</v>
      </c>
      <c r="AK393" t="inlineStr">
        <is>
          <t>V4</t>
        </is>
      </c>
      <c r="AL393" t="n">
        <v>20240619</v>
      </c>
      <c r="AM393" t="inlineStr">
        <is>
          <t>DW68-900008251-D228-10000384-4</t>
        </is>
      </c>
    </row>
    <row r="394">
      <c r="A394" t="inlineStr">
        <is>
          <t>900008251DW68D22810004258</t>
        </is>
      </c>
      <c r="B394" t="inlineStr">
        <is>
          <t>4600058168-50</t>
        </is>
      </c>
      <c r="C394" t="n">
        <v>4600058168</v>
      </c>
      <c r="D394" t="n">
        <v>50</v>
      </c>
      <c r="E394" t="inlineStr">
        <is>
          <t>MXPO</t>
        </is>
      </c>
      <c r="F394" t="inlineStr">
        <is>
          <t>MXL</t>
        </is>
      </c>
      <c r="G394" t="n">
        <v>900008251</v>
      </c>
      <c r="H394" t="inlineStr">
        <is>
          <t>SF TC-ED-MAREVA LA VEGA</t>
        </is>
      </c>
      <c r="I394" t="n">
        <v>5043944</v>
      </c>
      <c r="J394" t="inlineStr">
        <is>
          <t>CONSTRUCCIONES MAREVA DE OCCIDENTE</t>
        </is>
      </c>
      <c r="K394" t="inlineStr">
        <is>
          <t>Z04</t>
        </is>
      </c>
      <c r="L394" t="inlineStr">
        <is>
          <t>(AP) 30 Dias</t>
        </is>
      </c>
      <c r="M394" t="n">
        <v>10004258</v>
      </c>
      <c r="N394" t="inlineStr">
        <is>
          <t>Sello Triturado Basalto 10 mm - 3/8"</t>
        </is>
      </c>
      <c r="O394" t="inlineStr">
        <is>
          <t>DW68</t>
        </is>
      </c>
      <c r="P394" t="inlineStr">
        <is>
          <t>MX-CED. GUADALAJARA</t>
        </is>
      </c>
      <c r="Q394" t="n">
        <v>20230724</v>
      </c>
      <c r="R394" t="n">
        <v>20281231</v>
      </c>
      <c r="S394" t="n">
        <v>20240601</v>
      </c>
      <c r="T394" t="n">
        <v>20291231</v>
      </c>
      <c r="U394" t="n">
        <v>672.62</v>
      </c>
      <c r="V394" t="inlineStr">
        <is>
          <t>MXN</t>
        </is>
      </c>
      <c r="W394" t="inlineStr">
        <is>
          <t>M3</t>
        </is>
      </c>
      <c r="X394" t="n">
        <v>154.21</v>
      </c>
      <c r="Y394" t="inlineStr">
        <is>
          <t>MXN</t>
        </is>
      </c>
      <c r="Z394" t="inlineStr">
        <is>
          <t>M3</t>
        </is>
      </c>
      <c r="AA394" t="inlineStr">
        <is>
          <t>D228</t>
        </is>
      </c>
      <c r="AB394" t="inlineStr">
        <is>
          <t>PD0123 TLAJOMULCO</t>
        </is>
      </c>
      <c r="AC394" t="n">
        <v>56103637</v>
      </c>
      <c r="AD394" t="n">
        <v>6644241540</v>
      </c>
      <c r="AE394" t="n">
        <v>4</v>
      </c>
      <c r="AF394" t="inlineStr">
        <is>
          <t>ENTREGA DIRECTA</t>
        </is>
      </c>
      <c r="AG394" t="n">
        <v>1.53</v>
      </c>
      <c r="AH394" t="inlineStr">
        <is>
          <t>M3</t>
        </is>
      </c>
      <c r="AI394" t="inlineStr">
        <is>
          <t>X</t>
        </is>
      </c>
      <c r="AJ394" t="n">
        <v>4</v>
      </c>
      <c r="AK394" t="inlineStr">
        <is>
          <t>V4</t>
        </is>
      </c>
      <c r="AL394" t="n">
        <v>20240619</v>
      </c>
      <c r="AM394" t="inlineStr">
        <is>
          <t>DW68-900008251-D228-10004258-4</t>
        </is>
      </c>
    </row>
    <row r="395">
      <c r="A395" t="inlineStr">
        <is>
          <t>900008251DW68D26710000191</t>
        </is>
      </c>
      <c r="B395" t="inlineStr">
        <is>
          <t>4600058168-100</t>
        </is>
      </c>
      <c r="C395" t="n">
        <v>4600058168</v>
      </c>
      <c r="D395" t="n">
        <v>100</v>
      </c>
      <c r="E395" t="inlineStr">
        <is>
          <t>MXPO</t>
        </is>
      </c>
      <c r="F395" t="inlineStr">
        <is>
          <t>MXL</t>
        </is>
      </c>
      <c r="G395" t="n">
        <v>900008251</v>
      </c>
      <c r="H395" t="inlineStr">
        <is>
          <t>SF TC-ED-MAREVA LA VEGA</t>
        </is>
      </c>
      <c r="I395" t="n">
        <v>5043944</v>
      </c>
      <c r="J395" t="inlineStr">
        <is>
          <t>CONSTRUCCIONES MAREVA DE OCCIDENTE</t>
        </is>
      </c>
      <c r="K395" t="inlineStr">
        <is>
          <t>Z04</t>
        </is>
      </c>
      <c r="L395" t="inlineStr">
        <is>
          <t>(AP) 30 Dias</t>
        </is>
      </c>
      <c r="M395" t="n">
        <v>10000191</v>
      </c>
      <c r="N395" t="inlineStr">
        <is>
          <t>Grava Triturada Basalto 20 mm - 3/4"</t>
        </is>
      </c>
      <c r="O395" t="inlineStr">
        <is>
          <t>DW68</t>
        </is>
      </c>
      <c r="P395" t="inlineStr">
        <is>
          <t>MX-CED. GUADALAJARA</t>
        </is>
      </c>
      <c r="Q395" t="n">
        <v>20230724</v>
      </c>
      <c r="R395" t="n">
        <v>20281231</v>
      </c>
      <c r="S395" t="n">
        <v>20240601</v>
      </c>
      <c r="T395" t="n">
        <v>20291231</v>
      </c>
      <c r="U395" t="n">
        <v>490.75</v>
      </c>
      <c r="V395" t="inlineStr">
        <is>
          <t>MXN</t>
        </is>
      </c>
      <c r="W395" t="inlineStr">
        <is>
          <t>M3</t>
        </is>
      </c>
      <c r="X395" t="n">
        <v>220.75</v>
      </c>
      <c r="Y395" t="inlineStr">
        <is>
          <t>MXN</t>
        </is>
      </c>
      <c r="Z395" t="inlineStr">
        <is>
          <t>M3</t>
        </is>
      </c>
      <c r="AA395" t="inlineStr">
        <is>
          <t>D267</t>
        </is>
      </c>
      <c r="AB395" t="inlineStr">
        <is>
          <t>PD0280 PLANTA COLOTLAN</t>
        </is>
      </c>
      <c r="AC395" t="n">
        <v>56103637</v>
      </c>
      <c r="AD395" t="n">
        <v>6644241540</v>
      </c>
      <c r="AE395" t="n">
        <v>4</v>
      </c>
      <c r="AF395" t="inlineStr">
        <is>
          <t>ENTREGA DIRECTA</t>
        </is>
      </c>
      <c r="AG395" t="n">
        <v>1.41</v>
      </c>
      <c r="AH395" t="inlineStr">
        <is>
          <t>M3</t>
        </is>
      </c>
      <c r="AI395" t="inlineStr">
        <is>
          <t>X</t>
        </is>
      </c>
      <c r="AJ395" t="n">
        <v>4</v>
      </c>
      <c r="AK395" t="inlineStr">
        <is>
          <t>V4</t>
        </is>
      </c>
      <c r="AL395" t="n">
        <v>20240619</v>
      </c>
      <c r="AM395" t="inlineStr">
        <is>
          <t>DW68-900008251-D267-10000191-4</t>
        </is>
      </c>
    </row>
    <row r="396">
      <c r="A396" t="inlineStr">
        <is>
          <t>900008251DW68D04210000191</t>
        </is>
      </c>
      <c r="B396" t="inlineStr">
        <is>
          <t>4600058168-150</t>
        </is>
      </c>
      <c r="C396" t="n">
        <v>4600058168</v>
      </c>
      <c r="D396" t="n">
        <v>150</v>
      </c>
      <c r="E396" t="inlineStr">
        <is>
          <t>MXPO</t>
        </is>
      </c>
      <c r="F396" t="inlineStr">
        <is>
          <t>MXL</t>
        </is>
      </c>
      <c r="G396" t="n">
        <v>900008251</v>
      </c>
      <c r="H396" t="inlineStr">
        <is>
          <t>SF TC-ED-MAREVA LA VEGA</t>
        </is>
      </c>
      <c r="I396" t="n">
        <v>5043944</v>
      </c>
      <c r="J396" t="inlineStr">
        <is>
          <t>CONSTRUCCIONES MAREVA DE OCCIDENTE</t>
        </is>
      </c>
      <c r="K396" t="inlineStr">
        <is>
          <t>Z04</t>
        </is>
      </c>
      <c r="L396" t="inlineStr">
        <is>
          <t>(AP) 30 Dias</t>
        </is>
      </c>
      <c r="M396" t="n">
        <v>10000191</v>
      </c>
      <c r="N396" t="inlineStr">
        <is>
          <t>Grava Triturada Basalto 20 mm - 3/4"</t>
        </is>
      </c>
      <c r="O396" t="inlineStr">
        <is>
          <t>DW68</t>
        </is>
      </c>
      <c r="P396" t="inlineStr">
        <is>
          <t>MX-CED. GUADALAJARA</t>
        </is>
      </c>
      <c r="Q396" t="n">
        <v>20230724</v>
      </c>
      <c r="R396" t="n">
        <v>20281231</v>
      </c>
      <c r="S396" t="n">
        <v>20240601</v>
      </c>
      <c r="T396" t="n">
        <v>20291231</v>
      </c>
      <c r="U396" t="n">
        <v>421.2</v>
      </c>
      <c r="V396" t="inlineStr">
        <is>
          <t>MXN</t>
        </is>
      </c>
      <c r="W396" t="inlineStr">
        <is>
          <t>M3</t>
        </is>
      </c>
      <c r="X396" t="n">
        <v>151.2</v>
      </c>
      <c r="Y396" t="inlineStr">
        <is>
          <t>MXN</t>
        </is>
      </c>
      <c r="Z396" t="inlineStr">
        <is>
          <t>M3</t>
        </is>
      </c>
      <c r="AA396" t="inlineStr">
        <is>
          <t>D042</t>
        </is>
      </c>
      <c r="AB396" t="inlineStr">
        <is>
          <t>PD0406 PLANTA PONIENTE</t>
        </is>
      </c>
      <c r="AC396" t="n">
        <v>56103637</v>
      </c>
      <c r="AD396" t="n">
        <v>6644241540</v>
      </c>
      <c r="AE396" t="n">
        <v>4</v>
      </c>
      <c r="AF396" t="inlineStr">
        <is>
          <t>ENTREGA DIRECTA</t>
        </is>
      </c>
      <c r="AG396" t="n">
        <v>1.41</v>
      </c>
      <c r="AH396" t="inlineStr">
        <is>
          <t>M3</t>
        </is>
      </c>
      <c r="AI396" t="inlineStr">
        <is>
          <t>X</t>
        </is>
      </c>
      <c r="AJ396" t="n">
        <v>4</v>
      </c>
      <c r="AK396" t="inlineStr">
        <is>
          <t>V4</t>
        </is>
      </c>
      <c r="AL396" t="n">
        <v>20240619</v>
      </c>
      <c r="AM396" t="inlineStr">
        <is>
          <t>DW68-900008251-D042-10000191-4</t>
        </is>
      </c>
    </row>
    <row r="397">
      <c r="A397" t="inlineStr">
        <is>
          <t>900008251DW68D24710000191</t>
        </is>
      </c>
      <c r="B397" t="inlineStr">
        <is>
          <t>4600058168-110</t>
        </is>
      </c>
      <c r="C397" t="n">
        <v>4600058168</v>
      </c>
      <c r="D397" t="n">
        <v>110</v>
      </c>
      <c r="E397" t="inlineStr">
        <is>
          <t>MXPO</t>
        </is>
      </c>
      <c r="F397" t="inlineStr">
        <is>
          <t>MXL</t>
        </is>
      </c>
      <c r="G397" t="n">
        <v>900008251</v>
      </c>
      <c r="H397" t="inlineStr">
        <is>
          <t>SF TC-ED-MAREVA LA VEGA</t>
        </is>
      </c>
      <c r="I397" t="n">
        <v>5043944</v>
      </c>
      <c r="J397" t="inlineStr">
        <is>
          <t>CONSTRUCCIONES MAREVA DE OCCIDENTE</t>
        </is>
      </c>
      <c r="K397" t="inlineStr">
        <is>
          <t>Z04</t>
        </is>
      </c>
      <c r="L397" t="inlineStr">
        <is>
          <t>(AP) 30 Dias</t>
        </is>
      </c>
      <c r="M397" t="n">
        <v>10000191</v>
      </c>
      <c r="N397" t="inlineStr">
        <is>
          <t>Grava Triturada Basalto 20 mm - 3/4"</t>
        </is>
      </c>
      <c r="O397" t="inlineStr">
        <is>
          <t>DW68</t>
        </is>
      </c>
      <c r="P397" t="inlineStr">
        <is>
          <t>MX-CED. GUADALAJARA</t>
        </is>
      </c>
      <c r="Q397" t="n">
        <v>20230724</v>
      </c>
      <c r="R397" t="n">
        <v>20281231</v>
      </c>
      <c r="S397" t="n">
        <v>20240601</v>
      </c>
      <c r="T397" t="n">
        <v>20291231</v>
      </c>
      <c r="U397" t="n">
        <v>496.8</v>
      </c>
      <c r="V397" t="inlineStr">
        <is>
          <t>MXN</t>
        </is>
      </c>
      <c r="W397" t="inlineStr">
        <is>
          <t>M3</t>
        </is>
      </c>
      <c r="X397" t="n">
        <v>226.8</v>
      </c>
      <c r="Y397" t="inlineStr">
        <is>
          <t>MXN</t>
        </is>
      </c>
      <c r="Z397" t="inlineStr">
        <is>
          <t>M3</t>
        </is>
      </c>
      <c r="AA397" t="inlineStr">
        <is>
          <t>D247</t>
        </is>
      </c>
      <c r="AB397" t="inlineStr">
        <is>
          <t>PD0518 TONALA</t>
        </is>
      </c>
      <c r="AC397" t="n">
        <v>56103637</v>
      </c>
      <c r="AD397" t="n">
        <v>6644241540</v>
      </c>
      <c r="AE397" t="n">
        <v>4</v>
      </c>
      <c r="AF397" t="inlineStr">
        <is>
          <t>ENTREGA DIRECTA</t>
        </is>
      </c>
      <c r="AG397" t="n">
        <v>1.41</v>
      </c>
      <c r="AH397" t="inlineStr">
        <is>
          <t>M3</t>
        </is>
      </c>
      <c r="AI397" t="inlineStr">
        <is>
          <t>X</t>
        </is>
      </c>
      <c r="AJ397" t="n">
        <v>4</v>
      </c>
      <c r="AK397" t="inlineStr">
        <is>
          <t>V4</t>
        </is>
      </c>
      <c r="AL397" t="n">
        <v>20240619</v>
      </c>
      <c r="AM397" t="inlineStr">
        <is>
          <t>DW68-900008251-D247-10000191-4</t>
        </is>
      </c>
    </row>
    <row r="398">
      <c r="A398" t="inlineStr">
        <is>
          <t>900008251DW68D26710004258</t>
        </is>
      </c>
      <c r="B398" t="inlineStr">
        <is>
          <t>4600058168-10</t>
        </is>
      </c>
      <c r="C398" t="n">
        <v>4600058168</v>
      </c>
      <c r="D398" t="n">
        <v>10</v>
      </c>
      <c r="E398" t="inlineStr">
        <is>
          <t>MXPO</t>
        </is>
      </c>
      <c r="F398" t="inlineStr">
        <is>
          <t>MXL</t>
        </is>
      </c>
      <c r="G398" t="n">
        <v>900008251</v>
      </c>
      <c r="H398" t="inlineStr">
        <is>
          <t>SF TC-ED-MAREVA LA VEGA</t>
        </is>
      </c>
      <c r="I398" t="n">
        <v>5043944</v>
      </c>
      <c r="J398" t="inlineStr">
        <is>
          <t>CONSTRUCCIONES MAREVA DE OCCIDENTE</t>
        </is>
      </c>
      <c r="K398" t="inlineStr">
        <is>
          <t>Z04</t>
        </is>
      </c>
      <c r="L398" t="inlineStr">
        <is>
          <t>(AP) 30 Dias</t>
        </is>
      </c>
      <c r="M398" t="n">
        <v>10004258</v>
      </c>
      <c r="N398" t="inlineStr">
        <is>
          <t>Sello Triturado Basalto 10 mm - 3/8"</t>
        </is>
      </c>
      <c r="O398" t="inlineStr">
        <is>
          <t>DW68</t>
        </is>
      </c>
      <c r="P398" t="inlineStr">
        <is>
          <t>MX-CED. GUADALAJARA</t>
        </is>
      </c>
      <c r="Q398" t="n">
        <v>20230724</v>
      </c>
      <c r="R398" t="n">
        <v>20281231</v>
      </c>
      <c r="S398" t="n">
        <v>20240601</v>
      </c>
      <c r="T398" t="n">
        <v>20291231</v>
      </c>
      <c r="U398" t="n">
        <v>739.15</v>
      </c>
      <c r="V398" t="inlineStr">
        <is>
          <t>MXN</t>
        </is>
      </c>
      <c r="W398" t="inlineStr">
        <is>
          <t>M3</t>
        </is>
      </c>
      <c r="X398" t="n">
        <v>220.75</v>
      </c>
      <c r="Y398" t="inlineStr">
        <is>
          <t>MXN</t>
        </is>
      </c>
      <c r="Z398" t="inlineStr">
        <is>
          <t>M3</t>
        </is>
      </c>
      <c r="AA398" t="inlineStr">
        <is>
          <t>D267</t>
        </is>
      </c>
      <c r="AB398" t="inlineStr">
        <is>
          <t>PD0280 PLANTA COLOTLAN</t>
        </is>
      </c>
      <c r="AC398" t="n">
        <v>56103637</v>
      </c>
      <c r="AD398" t="n">
        <v>6644241540</v>
      </c>
      <c r="AE398" t="n">
        <v>4</v>
      </c>
      <c r="AF398" t="inlineStr">
        <is>
          <t>ENTREGA DIRECTA</t>
        </is>
      </c>
      <c r="AG398" t="n">
        <v>1.53</v>
      </c>
      <c r="AH398" t="inlineStr">
        <is>
          <t>M3</t>
        </is>
      </c>
      <c r="AI398" t="inlineStr">
        <is>
          <t>X</t>
        </is>
      </c>
      <c r="AJ398" t="n">
        <v>4</v>
      </c>
      <c r="AK398" t="inlineStr">
        <is>
          <t>V4</t>
        </is>
      </c>
      <c r="AL398" t="n">
        <v>20240619</v>
      </c>
      <c r="AM398" t="inlineStr">
        <is>
          <t>DW68-900008251-D267-10004258-4</t>
        </is>
      </c>
    </row>
    <row r="399">
      <c r="A399" t="inlineStr">
        <is>
          <t>900008251DW68D25110000388</t>
        </is>
      </c>
      <c r="B399" t="inlineStr">
        <is>
          <t>4600058168-210</t>
        </is>
      </c>
      <c r="C399" t="n">
        <v>4600058168</v>
      </c>
      <c r="D399" t="n">
        <v>210</v>
      </c>
      <c r="E399" t="inlineStr">
        <is>
          <t>MXPO</t>
        </is>
      </c>
      <c r="F399" t="inlineStr">
        <is>
          <t>MXL</t>
        </is>
      </c>
      <c r="G399" t="n">
        <v>900008251</v>
      </c>
      <c r="H399" t="inlineStr">
        <is>
          <t>SF TC-ED-MAREVA LA VEGA</t>
        </is>
      </c>
      <c r="I399" t="n">
        <v>5043944</v>
      </c>
      <c r="J399" t="inlineStr">
        <is>
          <t>CONSTRUCCIONES MAREVA DE OCCIDENTE</t>
        </is>
      </c>
      <c r="K399" t="inlineStr">
        <is>
          <t>Z04</t>
        </is>
      </c>
      <c r="L399" t="inlineStr">
        <is>
          <t>(AP) 30 Dias</t>
        </is>
      </c>
      <c r="M399" t="n">
        <v>10000388</v>
      </c>
      <c r="N399" t="inlineStr">
        <is>
          <t>Grava Triturada Basalto  40 mm - 1 1/2"</t>
        </is>
      </c>
      <c r="O399" t="inlineStr">
        <is>
          <t>DW68</t>
        </is>
      </c>
      <c r="P399" t="inlineStr">
        <is>
          <t>MX-CED. GUADALAJARA</t>
        </is>
      </c>
      <c r="Q399" t="n">
        <v>20230724</v>
      </c>
      <c r="R399" t="n">
        <v>20281231</v>
      </c>
      <c r="S399" t="n">
        <v>20240601</v>
      </c>
      <c r="T399" t="n">
        <v>20291231</v>
      </c>
      <c r="U399" t="n">
        <v>516.89</v>
      </c>
      <c r="V399" t="inlineStr">
        <is>
          <t>MXN</t>
        </is>
      </c>
      <c r="W399" t="inlineStr">
        <is>
          <t>M3</t>
        </is>
      </c>
      <c r="X399" t="n">
        <v>263.09</v>
      </c>
      <c r="Y399" t="inlineStr">
        <is>
          <t>MXN</t>
        </is>
      </c>
      <c r="Z399" t="inlineStr">
        <is>
          <t>M3</t>
        </is>
      </c>
      <c r="AA399" t="inlineStr">
        <is>
          <t>D251</t>
        </is>
      </c>
      <c r="AB399" t="inlineStr">
        <is>
          <t>PD0339 EL SALTO</t>
        </is>
      </c>
      <c r="AC399" t="n">
        <v>56103637</v>
      </c>
      <c r="AD399" t="n">
        <v>6644241540</v>
      </c>
      <c r="AE399" t="n">
        <v>4</v>
      </c>
      <c r="AF399" t="inlineStr">
        <is>
          <t>ENTREGA DIRECTA</t>
        </is>
      </c>
      <c r="AG399" t="n">
        <v>1.395</v>
      </c>
      <c r="AH399" t="inlineStr">
        <is>
          <t>M3</t>
        </is>
      </c>
      <c r="AI399" t="inlineStr">
        <is>
          <t>X</t>
        </is>
      </c>
      <c r="AJ399" t="n">
        <v>4</v>
      </c>
      <c r="AK399" t="inlineStr">
        <is>
          <t>V4</t>
        </is>
      </c>
      <c r="AL399" t="n">
        <v>20240619</v>
      </c>
      <c r="AM399" t="inlineStr">
        <is>
          <t>DW68-900008251-D251-10000388-4</t>
        </is>
      </c>
    </row>
    <row r="400">
      <c r="A400" t="inlineStr">
        <is>
          <t>900008251DW68D24210000388</t>
        </is>
      </c>
      <c r="B400" t="inlineStr">
        <is>
          <t>4600058168-230</t>
        </is>
      </c>
      <c r="C400" t="n">
        <v>4600058168</v>
      </c>
      <c r="D400" t="n">
        <v>230</v>
      </c>
      <c r="E400" t="inlineStr">
        <is>
          <t>MXPO</t>
        </is>
      </c>
      <c r="F400" t="inlineStr">
        <is>
          <t>MXL</t>
        </is>
      </c>
      <c r="G400" t="n">
        <v>900008251</v>
      </c>
      <c r="H400" t="inlineStr">
        <is>
          <t>SF TC-ED-MAREVA LA VEGA</t>
        </is>
      </c>
      <c r="I400" t="n">
        <v>5043944</v>
      </c>
      <c r="J400" t="inlineStr">
        <is>
          <t>CONSTRUCCIONES MAREVA DE OCCIDENTE</t>
        </is>
      </c>
      <c r="K400" t="inlineStr">
        <is>
          <t>Z04</t>
        </is>
      </c>
      <c r="L400" t="inlineStr">
        <is>
          <t>(AP) 30 Dias</t>
        </is>
      </c>
      <c r="M400" t="n">
        <v>10000388</v>
      </c>
      <c r="N400" t="inlineStr">
        <is>
          <t>Grava Triturada Basalto  40 mm - 1 1/2"</t>
        </is>
      </c>
      <c r="O400" t="inlineStr">
        <is>
          <t>DW68</t>
        </is>
      </c>
      <c r="P400" t="inlineStr">
        <is>
          <t>MX-CED. GUADALAJARA</t>
        </is>
      </c>
      <c r="Q400" t="n">
        <v>20230724</v>
      </c>
      <c r="R400" t="n">
        <v>20281231</v>
      </c>
      <c r="S400" t="n">
        <v>20240601</v>
      </c>
      <c r="T400" t="n">
        <v>20291231</v>
      </c>
      <c r="U400" t="n">
        <v>392.9</v>
      </c>
      <c r="V400" t="inlineStr">
        <is>
          <t>MXN</t>
        </is>
      </c>
      <c r="W400" t="inlineStr">
        <is>
          <t>M3</t>
        </is>
      </c>
      <c r="X400" t="n">
        <v>139.1</v>
      </c>
      <c r="Y400" t="inlineStr">
        <is>
          <t>MXN</t>
        </is>
      </c>
      <c r="Z400" t="inlineStr">
        <is>
          <t>M3</t>
        </is>
      </c>
      <c r="AA400" t="inlineStr">
        <is>
          <t>D242</t>
        </is>
      </c>
      <c r="AB400" t="inlineStr">
        <is>
          <t>PD0454 CD. LA GRANJA II</t>
        </is>
      </c>
      <c r="AC400" t="n">
        <v>56103637</v>
      </c>
      <c r="AD400" t="n">
        <v>6644241540</v>
      </c>
      <c r="AE400" t="n">
        <v>4</v>
      </c>
      <c r="AF400" t="inlineStr">
        <is>
          <t>ENTREGA DIRECTA</t>
        </is>
      </c>
      <c r="AG400" t="n">
        <v>1.395</v>
      </c>
      <c r="AH400" t="inlineStr">
        <is>
          <t>M3</t>
        </is>
      </c>
      <c r="AI400" t="inlineStr">
        <is>
          <t>X</t>
        </is>
      </c>
      <c r="AJ400" t="n">
        <v>4</v>
      </c>
      <c r="AK400" t="inlineStr">
        <is>
          <t>V4</t>
        </is>
      </c>
      <c r="AL400" t="n">
        <v>20240619</v>
      </c>
      <c r="AM400" t="inlineStr">
        <is>
          <t>DW68-900008251-D242-10000388-4</t>
        </is>
      </c>
    </row>
    <row r="401">
      <c r="A401" t="inlineStr">
        <is>
          <t>900008251DW68D24710000384</t>
        </is>
      </c>
      <c r="B401" t="inlineStr">
        <is>
          <t>4600058168-280</t>
        </is>
      </c>
      <c r="C401" t="n">
        <v>4600058168</v>
      </c>
      <c r="D401" t="n">
        <v>280</v>
      </c>
      <c r="E401" t="inlineStr">
        <is>
          <t>MXPO</t>
        </is>
      </c>
      <c r="F401" t="inlineStr">
        <is>
          <t>MXL</t>
        </is>
      </c>
      <c r="G401" t="n">
        <v>900008251</v>
      </c>
      <c r="H401" t="inlineStr">
        <is>
          <t>SF TC-ED-MAREVA LA VEGA</t>
        </is>
      </c>
      <c r="I401" t="n">
        <v>5043944</v>
      </c>
      <c r="J401" t="inlineStr">
        <is>
          <t>CONSTRUCCIONES MAREVA DE OCCIDENTE</t>
        </is>
      </c>
      <c r="K401" t="inlineStr">
        <is>
          <t>Z04</t>
        </is>
      </c>
      <c r="L401" t="inlineStr">
        <is>
          <t>(AP) 30 Dias</t>
        </is>
      </c>
      <c r="M401" t="n">
        <v>10000384</v>
      </c>
      <c r="N401" t="inlineStr">
        <is>
          <t>Arena Triturada Basalto Malla 4</t>
        </is>
      </c>
      <c r="O401" t="inlineStr">
        <is>
          <t>DW68</t>
        </is>
      </c>
      <c r="P401" t="inlineStr">
        <is>
          <t>MX-CED. GUADALAJARA</t>
        </is>
      </c>
      <c r="Q401" t="n">
        <v>20230724</v>
      </c>
      <c r="R401" t="n">
        <v>20281231</v>
      </c>
      <c r="S401" t="n">
        <v>20240601</v>
      </c>
      <c r="T401" t="n">
        <v>20291231</v>
      </c>
      <c r="U401" t="n">
        <v>583.2</v>
      </c>
      <c r="V401" t="inlineStr">
        <is>
          <t>MXN</t>
        </is>
      </c>
      <c r="W401" t="inlineStr">
        <is>
          <t>M3</t>
        </is>
      </c>
      <c r="X401" t="n">
        <v>226.8</v>
      </c>
      <c r="Y401" t="inlineStr">
        <is>
          <t>MXN</t>
        </is>
      </c>
      <c r="Z401" t="inlineStr">
        <is>
          <t>M3</t>
        </is>
      </c>
      <c r="AA401" t="inlineStr">
        <is>
          <t>D247</t>
        </is>
      </c>
      <c r="AB401" t="inlineStr">
        <is>
          <t>PD0518 TONALA</t>
        </is>
      </c>
      <c r="AC401" t="n">
        <v>56103638</v>
      </c>
      <c r="AD401" t="n">
        <v>6644241540</v>
      </c>
      <c r="AE401" t="n">
        <v>4</v>
      </c>
      <c r="AF401" t="inlineStr">
        <is>
          <t>ENTREGA DIRECTA</t>
        </is>
      </c>
      <c r="AG401" t="n">
        <v>1.61</v>
      </c>
      <c r="AH401" t="inlineStr">
        <is>
          <t>M3</t>
        </is>
      </c>
      <c r="AI401" t="inlineStr">
        <is>
          <t>X</t>
        </is>
      </c>
      <c r="AJ401" t="n">
        <v>4</v>
      </c>
      <c r="AK401" t="inlineStr">
        <is>
          <t>V4</t>
        </is>
      </c>
      <c r="AL401" t="n">
        <v>20240619</v>
      </c>
      <c r="AM401" t="inlineStr">
        <is>
          <t>DW68-900008251-D247-10000384-4</t>
        </is>
      </c>
    </row>
    <row r="402">
      <c r="A402" t="inlineStr">
        <is>
          <t>900008251DW68D26710000384</t>
        </is>
      </c>
      <c r="B402" t="inlineStr">
        <is>
          <t>4600058168-290</t>
        </is>
      </c>
      <c r="C402" t="n">
        <v>4600058168</v>
      </c>
      <c r="D402" t="n">
        <v>290</v>
      </c>
      <c r="E402" t="inlineStr">
        <is>
          <t>MXPO</t>
        </is>
      </c>
      <c r="F402" t="inlineStr">
        <is>
          <t>MXL</t>
        </is>
      </c>
      <c r="G402" t="n">
        <v>900008251</v>
      </c>
      <c r="H402" t="inlineStr">
        <is>
          <t>SF TC-ED-MAREVA LA VEGA</t>
        </is>
      </c>
      <c r="I402" t="n">
        <v>5043944</v>
      </c>
      <c r="J402" t="inlineStr">
        <is>
          <t>CONSTRUCCIONES MAREVA DE OCCIDENTE</t>
        </is>
      </c>
      <c r="K402" t="inlineStr">
        <is>
          <t>Z04</t>
        </is>
      </c>
      <c r="L402" t="inlineStr">
        <is>
          <t>(AP) 30 Dias</t>
        </is>
      </c>
      <c r="M402" t="n">
        <v>10000384</v>
      </c>
      <c r="N402" t="inlineStr">
        <is>
          <t>Arena Triturada Basalto Malla 4</t>
        </is>
      </c>
      <c r="O402" t="inlineStr">
        <is>
          <t>DW68</t>
        </is>
      </c>
      <c r="P402" t="inlineStr">
        <is>
          <t>MX-CED. GUADALAJARA</t>
        </is>
      </c>
      <c r="Q402" t="n">
        <v>20230724</v>
      </c>
      <c r="R402" t="n">
        <v>20281231</v>
      </c>
      <c r="S402" t="n">
        <v>20240601</v>
      </c>
      <c r="T402" t="n">
        <v>20291231</v>
      </c>
      <c r="U402" t="n">
        <v>577.15</v>
      </c>
      <c r="V402" t="inlineStr">
        <is>
          <t>MXN</t>
        </is>
      </c>
      <c r="W402" t="inlineStr">
        <is>
          <t>M3</t>
        </is>
      </c>
      <c r="X402" t="n">
        <v>220.75</v>
      </c>
      <c r="Y402" t="inlineStr">
        <is>
          <t>MXN</t>
        </is>
      </c>
      <c r="Z402" t="inlineStr">
        <is>
          <t>M3</t>
        </is>
      </c>
      <c r="AA402" t="inlineStr">
        <is>
          <t>D267</t>
        </is>
      </c>
      <c r="AB402" t="inlineStr">
        <is>
          <t>PD0280 PLANTA COLOTLAN</t>
        </is>
      </c>
      <c r="AC402" t="n">
        <v>56103638</v>
      </c>
      <c r="AD402" t="n">
        <v>6644241540</v>
      </c>
      <c r="AE402" t="n">
        <v>4</v>
      </c>
      <c r="AF402" t="inlineStr">
        <is>
          <t>ENTREGA DIRECTA</t>
        </is>
      </c>
      <c r="AG402" t="n">
        <v>1.61</v>
      </c>
      <c r="AH402" t="inlineStr">
        <is>
          <t>M3</t>
        </is>
      </c>
      <c r="AI402" t="inlineStr">
        <is>
          <t>X</t>
        </is>
      </c>
      <c r="AJ402" t="n">
        <v>4</v>
      </c>
      <c r="AK402" t="inlineStr">
        <is>
          <t>V4</t>
        </is>
      </c>
      <c r="AL402" t="n">
        <v>20240619</v>
      </c>
      <c r="AM402" t="inlineStr">
        <is>
          <t>DW68-900008251-D267-10000384-4</t>
        </is>
      </c>
    </row>
    <row r="403">
      <c r="A403" t="inlineStr">
        <is>
          <t>900008211DW68D04210000384</t>
        </is>
      </c>
      <c r="B403" t="inlineStr">
        <is>
          <t>4600058350-60</t>
        </is>
      </c>
      <c r="C403" t="n">
        <v>4600058350</v>
      </c>
      <c r="D403" t="n">
        <v>60</v>
      </c>
      <c r="E403" t="inlineStr">
        <is>
          <t>MXPO</t>
        </is>
      </c>
      <c r="F403" t="inlineStr">
        <is>
          <t>MXL</t>
        </is>
      </c>
      <c r="G403" t="n">
        <v>900008211</v>
      </c>
      <c r="H403" t="inlineStr">
        <is>
          <t>SF TC-ED-AGG OCCIDENTE</t>
        </is>
      </c>
      <c r="I403" t="n">
        <v>5089478</v>
      </c>
      <c r="J403" t="inlineStr">
        <is>
          <t>MATERIALES CONSTRUCTIVOS Y AGREGADO</t>
        </is>
      </c>
      <c r="K403" t="inlineStr">
        <is>
          <t>N90</t>
        </is>
      </c>
      <c r="L403" t="inlineStr">
        <is>
          <t>(AP) NAFIN 90 Dias</t>
        </is>
      </c>
      <c r="M403" t="n">
        <v>10000384</v>
      </c>
      <c r="N403" t="inlineStr">
        <is>
          <t>Arena Triturada Basalto Malla 4</t>
        </is>
      </c>
      <c r="O403" t="inlineStr">
        <is>
          <t>DW68</t>
        </is>
      </c>
      <c r="P403" t="inlineStr">
        <is>
          <t>MX-CED. GUADALAJARA</t>
        </is>
      </c>
      <c r="Q403" t="n">
        <v>20230814</v>
      </c>
      <c r="R403" t="n">
        <v>20291231</v>
      </c>
      <c r="S403" t="n">
        <v>20240201</v>
      </c>
      <c r="T403" t="n">
        <v>20291231</v>
      </c>
      <c r="U403" t="n">
        <v>390</v>
      </c>
      <c r="V403" t="inlineStr">
        <is>
          <t>MXN</t>
        </is>
      </c>
      <c r="W403" t="inlineStr">
        <is>
          <t>M3</t>
        </is>
      </c>
      <c r="X403" t="n">
        <v>121.25</v>
      </c>
      <c r="Y403" t="inlineStr">
        <is>
          <t>MXN</t>
        </is>
      </c>
      <c r="Z403" t="inlineStr">
        <is>
          <t>M3</t>
        </is>
      </c>
      <c r="AA403" t="inlineStr">
        <is>
          <t>D042</t>
        </is>
      </c>
      <c r="AB403" t="inlineStr">
        <is>
          <t>PD0406 PLANTA PONIENTE</t>
        </is>
      </c>
      <c r="AC403" t="n">
        <v>56103638</v>
      </c>
      <c r="AD403" t="n">
        <v>6644241540</v>
      </c>
      <c r="AE403" t="n">
        <v>4</v>
      </c>
      <c r="AF403" t="inlineStr">
        <is>
          <t>ENTREGA DIRECTA</t>
        </is>
      </c>
      <c r="AG403" t="n">
        <v>1.61</v>
      </c>
      <c r="AH403" t="inlineStr">
        <is>
          <t>M3</t>
        </is>
      </c>
      <c r="AI403" t="inlineStr">
        <is>
          <t>X</t>
        </is>
      </c>
      <c r="AJ403" t="n">
        <v>4</v>
      </c>
      <c r="AK403" t="inlineStr">
        <is>
          <t>V4</t>
        </is>
      </c>
      <c r="AL403" t="n">
        <v>20240222</v>
      </c>
      <c r="AM403" t="inlineStr">
        <is>
          <t>DW68-900008211-D042-10000384-4</t>
        </is>
      </c>
    </row>
    <row r="404">
      <c r="A404" t="inlineStr">
        <is>
          <t>900008251DW68D24210004258</t>
        </is>
      </c>
      <c r="B404" t="inlineStr">
        <is>
          <t>4600058168-40</t>
        </is>
      </c>
      <c r="C404" t="n">
        <v>4600058168</v>
      </c>
      <c r="D404" t="n">
        <v>40</v>
      </c>
      <c r="E404" t="inlineStr">
        <is>
          <t>MXPO</t>
        </is>
      </c>
      <c r="F404" t="inlineStr">
        <is>
          <t>MXL</t>
        </is>
      </c>
      <c r="G404" t="n">
        <v>900008251</v>
      </c>
      <c r="H404" t="inlineStr">
        <is>
          <t>SF TC-ED-MAREVA LA VEGA</t>
        </is>
      </c>
      <c r="I404" t="n">
        <v>5043944</v>
      </c>
      <c r="J404" t="inlineStr">
        <is>
          <t>CONSTRUCCIONES MAREVA DE OCCIDENTE</t>
        </is>
      </c>
      <c r="K404" t="inlineStr">
        <is>
          <t>Z04</t>
        </is>
      </c>
      <c r="L404" t="inlineStr">
        <is>
          <t>(AP) 30 Dias</t>
        </is>
      </c>
      <c r="M404" t="n">
        <v>10004258</v>
      </c>
      <c r="N404" t="inlineStr">
        <is>
          <t>Sello Triturado Basalto 10 mm - 3/8"</t>
        </is>
      </c>
      <c r="O404" t="inlineStr">
        <is>
          <t>DW68</t>
        </is>
      </c>
      <c r="P404" t="inlineStr">
        <is>
          <t>MX-CED. GUADALAJARA</t>
        </is>
      </c>
      <c r="Q404" t="n">
        <v>20230724</v>
      </c>
      <c r="R404" t="n">
        <v>20281231</v>
      </c>
      <c r="S404" t="n">
        <v>20240601</v>
      </c>
      <c r="T404" t="n">
        <v>20291231</v>
      </c>
      <c r="U404" t="n">
        <v>657.5</v>
      </c>
      <c r="V404" t="inlineStr">
        <is>
          <t>MXN</t>
        </is>
      </c>
      <c r="W404" t="inlineStr">
        <is>
          <t>M3</t>
        </is>
      </c>
      <c r="X404" t="n">
        <v>139.09</v>
      </c>
      <c r="Y404" t="inlineStr">
        <is>
          <t>MXN</t>
        </is>
      </c>
      <c r="Z404" t="inlineStr">
        <is>
          <t>M3</t>
        </is>
      </c>
      <c r="AA404" t="inlineStr">
        <is>
          <t>D242</t>
        </is>
      </c>
      <c r="AB404" t="inlineStr">
        <is>
          <t>PD0454 CD. LA GRANJA II</t>
        </is>
      </c>
      <c r="AC404" t="n">
        <v>56103637</v>
      </c>
      <c r="AD404" t="n">
        <v>6644241540</v>
      </c>
      <c r="AE404" t="n">
        <v>4</v>
      </c>
      <c r="AF404" t="inlineStr">
        <is>
          <t>ENTREGA DIRECTA</t>
        </is>
      </c>
      <c r="AG404" t="n">
        <v>1.53</v>
      </c>
      <c r="AH404" t="inlineStr">
        <is>
          <t>M3</t>
        </is>
      </c>
      <c r="AI404" t="inlineStr">
        <is>
          <t>X</t>
        </is>
      </c>
      <c r="AJ404" t="n">
        <v>4</v>
      </c>
      <c r="AK404" t="inlineStr">
        <is>
          <t>V4</t>
        </is>
      </c>
      <c r="AL404" t="n">
        <v>20240619</v>
      </c>
      <c r="AM404" t="inlineStr">
        <is>
          <t>DW68-900008251-D242-10004258-4</t>
        </is>
      </c>
    </row>
    <row r="405">
      <c r="A405" t="inlineStr">
        <is>
          <t>900008251DW68D24710004258</t>
        </is>
      </c>
      <c r="B405" t="inlineStr">
        <is>
          <t>4600058168-90</t>
        </is>
      </c>
      <c r="C405" t="n">
        <v>4600058168</v>
      </c>
      <c r="D405" t="n">
        <v>90</v>
      </c>
      <c r="E405" t="inlineStr">
        <is>
          <t>MXPO</t>
        </is>
      </c>
      <c r="F405" t="inlineStr">
        <is>
          <t>MXL</t>
        </is>
      </c>
      <c r="G405" t="n">
        <v>900008251</v>
      </c>
      <c r="H405" t="inlineStr">
        <is>
          <t>SF TC-ED-MAREVA LA VEGA</t>
        </is>
      </c>
      <c r="I405" t="n">
        <v>5043944</v>
      </c>
      <c r="J405" t="inlineStr">
        <is>
          <t>CONSTRUCCIONES MAREVA DE OCCIDENTE</t>
        </is>
      </c>
      <c r="K405" t="inlineStr">
        <is>
          <t>Z04</t>
        </is>
      </c>
      <c r="L405" t="inlineStr">
        <is>
          <t>(AP) 30 Dias</t>
        </is>
      </c>
      <c r="M405" t="n">
        <v>10004258</v>
      </c>
      <c r="N405" t="inlineStr">
        <is>
          <t>Sello Triturado Basalto 10 mm - 3/8"</t>
        </is>
      </c>
      <c r="O405" t="inlineStr">
        <is>
          <t>DW68</t>
        </is>
      </c>
      <c r="P405" t="inlineStr">
        <is>
          <t>MX-CED. GUADALAJARA</t>
        </is>
      </c>
      <c r="Q405" t="n">
        <v>20230724</v>
      </c>
      <c r="R405" t="n">
        <v>20281231</v>
      </c>
      <c r="S405" t="n">
        <v>20240601</v>
      </c>
      <c r="T405" t="n">
        <v>20291231</v>
      </c>
      <c r="U405" t="n">
        <v>745.2</v>
      </c>
      <c r="V405" t="inlineStr">
        <is>
          <t>MXN</t>
        </is>
      </c>
      <c r="W405" t="inlineStr">
        <is>
          <t>M3</t>
        </is>
      </c>
      <c r="X405" t="n">
        <v>226.79</v>
      </c>
      <c r="Y405" t="inlineStr">
        <is>
          <t>MXN</t>
        </is>
      </c>
      <c r="Z405" t="inlineStr">
        <is>
          <t>M3</t>
        </is>
      </c>
      <c r="AA405" t="inlineStr">
        <is>
          <t>D247</t>
        </is>
      </c>
      <c r="AB405" t="inlineStr">
        <is>
          <t>PD0518 TONALA</t>
        </is>
      </c>
      <c r="AC405" t="n">
        <v>56103637</v>
      </c>
      <c r="AD405" t="n">
        <v>6644241540</v>
      </c>
      <c r="AE405" t="n">
        <v>4</v>
      </c>
      <c r="AF405" t="inlineStr">
        <is>
          <t>ENTREGA DIRECTA</t>
        </is>
      </c>
      <c r="AG405" t="n">
        <v>1.53</v>
      </c>
      <c r="AH405" t="inlineStr">
        <is>
          <t>M3</t>
        </is>
      </c>
      <c r="AI405" t="inlineStr">
        <is>
          <t>X</t>
        </is>
      </c>
      <c r="AJ405" t="n">
        <v>4</v>
      </c>
      <c r="AK405" t="inlineStr">
        <is>
          <t>V4</t>
        </is>
      </c>
      <c r="AL405" t="n">
        <v>20240619</v>
      </c>
      <c r="AM405" t="inlineStr">
        <is>
          <t>DW68-900008251-D247-10004258-4</t>
        </is>
      </c>
    </row>
    <row r="406">
      <c r="A406" t="inlineStr">
        <is>
          <t>900008251DW68D25110000384</t>
        </is>
      </c>
      <c r="B406" t="inlineStr">
        <is>
          <t>4600058168-300</t>
        </is>
      </c>
      <c r="C406" t="n">
        <v>4600058168</v>
      </c>
      <c r="D406" t="n">
        <v>300</v>
      </c>
      <c r="E406" t="inlineStr">
        <is>
          <t>MXPO</t>
        </is>
      </c>
      <c r="F406" t="inlineStr">
        <is>
          <t>MXL</t>
        </is>
      </c>
      <c r="G406" t="n">
        <v>900008251</v>
      </c>
      <c r="H406" t="inlineStr">
        <is>
          <t>SF TC-ED-MAREVA LA VEGA</t>
        </is>
      </c>
      <c r="I406" t="n">
        <v>5043944</v>
      </c>
      <c r="J406" t="inlineStr">
        <is>
          <t>CONSTRUCCIONES MAREVA DE OCCIDENTE</t>
        </is>
      </c>
      <c r="K406" t="inlineStr">
        <is>
          <t>Z04</t>
        </is>
      </c>
      <c r="L406" t="inlineStr">
        <is>
          <t>(AP) 30 Dias</t>
        </is>
      </c>
      <c r="M406" t="n">
        <v>10000384</v>
      </c>
      <c r="N406" t="inlineStr">
        <is>
          <t>Arena Triturada Basalto Malla 4</t>
        </is>
      </c>
      <c r="O406" t="inlineStr">
        <is>
          <t>DW68</t>
        </is>
      </c>
      <c r="P406" t="inlineStr">
        <is>
          <t>MX-CED. GUADALAJARA</t>
        </is>
      </c>
      <c r="Q406" t="n">
        <v>20230724</v>
      </c>
      <c r="R406" t="n">
        <v>20281231</v>
      </c>
      <c r="S406" t="n">
        <v>20240601</v>
      </c>
      <c r="T406" t="n">
        <v>20291231</v>
      </c>
      <c r="U406" t="n">
        <v>619.49</v>
      </c>
      <c r="V406" t="inlineStr">
        <is>
          <t>MXN</t>
        </is>
      </c>
      <c r="W406" t="inlineStr">
        <is>
          <t>M3</t>
        </is>
      </c>
      <c r="X406" t="n">
        <v>263.09</v>
      </c>
      <c r="Y406" t="inlineStr">
        <is>
          <t>MXN</t>
        </is>
      </c>
      <c r="Z406" t="inlineStr">
        <is>
          <t>M3</t>
        </is>
      </c>
      <c r="AA406" t="inlineStr">
        <is>
          <t>D251</t>
        </is>
      </c>
      <c r="AB406" t="inlineStr">
        <is>
          <t>PD0339 EL SALTO</t>
        </is>
      </c>
      <c r="AC406" t="n">
        <v>56103638</v>
      </c>
      <c r="AD406" t="n">
        <v>6644241540</v>
      </c>
      <c r="AE406" t="n">
        <v>4</v>
      </c>
      <c r="AF406" t="inlineStr">
        <is>
          <t>ENTREGA DIRECTA</t>
        </is>
      </c>
      <c r="AG406" t="n">
        <v>1.61</v>
      </c>
      <c r="AH406" t="inlineStr">
        <is>
          <t>M3</t>
        </is>
      </c>
      <c r="AI406" t="inlineStr">
        <is>
          <t>X</t>
        </is>
      </c>
      <c r="AJ406" t="n">
        <v>4</v>
      </c>
      <c r="AK406" t="inlineStr">
        <is>
          <t>V4</t>
        </is>
      </c>
      <c r="AL406" t="n">
        <v>20240619</v>
      </c>
      <c r="AM406" t="inlineStr">
        <is>
          <t>DW68-900008251-D251-10000384-4</t>
        </is>
      </c>
    </row>
    <row r="407">
      <c r="A407" t="inlineStr">
        <is>
          <t>900008251DW68D26410000384</t>
        </is>
      </c>
      <c r="B407" t="inlineStr">
        <is>
          <t>4600058168-340</t>
        </is>
      </c>
      <c r="C407" t="n">
        <v>4600058168</v>
      </c>
      <c r="D407" t="n">
        <v>340</v>
      </c>
      <c r="E407" t="inlineStr">
        <is>
          <t>MXPO</t>
        </is>
      </c>
      <c r="F407" t="inlineStr">
        <is>
          <t>MXL</t>
        </is>
      </c>
      <c r="G407" t="n">
        <v>900008251</v>
      </c>
      <c r="H407" t="inlineStr">
        <is>
          <t>SF TC-ED-MAREVA LA VEGA</t>
        </is>
      </c>
      <c r="I407" t="n">
        <v>5043944</v>
      </c>
      <c r="J407" t="inlineStr">
        <is>
          <t>CONSTRUCCIONES MAREVA DE OCCIDENTE</t>
        </is>
      </c>
      <c r="K407" t="inlineStr">
        <is>
          <t>Z04</t>
        </is>
      </c>
      <c r="L407" t="inlineStr">
        <is>
          <t>(AP) 30 Dias</t>
        </is>
      </c>
      <c r="M407" t="n">
        <v>10000384</v>
      </c>
      <c r="N407" t="inlineStr">
        <is>
          <t>Arena Triturada Basalto Malla 4</t>
        </is>
      </c>
      <c r="O407" t="inlineStr">
        <is>
          <t>DW68</t>
        </is>
      </c>
      <c r="P407" t="inlineStr">
        <is>
          <t>MX-CED. GUADALAJARA</t>
        </is>
      </c>
      <c r="Q407" t="n">
        <v>20230724</v>
      </c>
      <c r="R407" t="n">
        <v>20281231</v>
      </c>
      <c r="S407" t="n">
        <v>20240601</v>
      </c>
      <c r="T407" t="n">
        <v>20291231</v>
      </c>
      <c r="U407" t="n">
        <v>586.22</v>
      </c>
      <c r="V407" t="inlineStr">
        <is>
          <t>MXN</t>
        </is>
      </c>
      <c r="W407" t="inlineStr">
        <is>
          <t>M3</t>
        </is>
      </c>
      <c r="X407" t="n">
        <v>229.82</v>
      </c>
      <c r="Y407" t="inlineStr">
        <is>
          <t>MXN</t>
        </is>
      </c>
      <c r="Z407" t="inlineStr">
        <is>
          <t>M3</t>
        </is>
      </c>
      <c r="AA407" t="inlineStr">
        <is>
          <t>D264</t>
        </is>
      </c>
      <c r="AB407" t="inlineStr">
        <is>
          <t>PD0083 GUADALAJARA I III</t>
        </is>
      </c>
      <c r="AC407" t="n">
        <v>56103638</v>
      </c>
      <c r="AD407" t="n">
        <v>6644241540</v>
      </c>
      <c r="AE407" t="n">
        <v>4</v>
      </c>
      <c r="AF407" t="inlineStr">
        <is>
          <t>ENTREGA DIRECTA</t>
        </is>
      </c>
      <c r="AG407" t="n">
        <v>1.61</v>
      </c>
      <c r="AH407" t="inlineStr">
        <is>
          <t>M3</t>
        </is>
      </c>
      <c r="AI407" t="inlineStr">
        <is>
          <t>X</t>
        </is>
      </c>
      <c r="AJ407" t="n">
        <v>4</v>
      </c>
      <c r="AK407" t="inlineStr">
        <is>
          <t>V4</t>
        </is>
      </c>
      <c r="AL407" t="n">
        <v>20240619</v>
      </c>
      <c r="AM407" t="inlineStr">
        <is>
          <t>DW68-900008251-D264-10000384-4</t>
        </is>
      </c>
    </row>
    <row r="408">
      <c r="A408" t="inlineStr">
        <is>
          <t>900008251DW68D26410004258</t>
        </is>
      </c>
      <c r="B408" t="inlineStr">
        <is>
          <t>4600058168-60</t>
        </is>
      </c>
      <c r="C408" t="n">
        <v>4600058168</v>
      </c>
      <c r="D408" t="n">
        <v>60</v>
      </c>
      <c r="E408" t="inlineStr">
        <is>
          <t>MXPO</t>
        </is>
      </c>
      <c r="F408" t="inlineStr">
        <is>
          <t>MXL</t>
        </is>
      </c>
      <c r="G408" t="n">
        <v>900008251</v>
      </c>
      <c r="H408" t="inlineStr">
        <is>
          <t>SF TC-ED-MAREVA LA VEGA</t>
        </is>
      </c>
      <c r="I408" t="n">
        <v>5043944</v>
      </c>
      <c r="J408" t="inlineStr">
        <is>
          <t>CONSTRUCCIONES MAREVA DE OCCIDENTE</t>
        </is>
      </c>
      <c r="K408" t="inlineStr">
        <is>
          <t>Z04</t>
        </is>
      </c>
      <c r="L408" t="inlineStr">
        <is>
          <t>(AP) 30 Dias</t>
        </is>
      </c>
      <c r="M408" t="n">
        <v>10004258</v>
      </c>
      <c r="N408" t="inlineStr">
        <is>
          <t>Sello Triturado Basalto 10 mm - 3/8"</t>
        </is>
      </c>
      <c r="O408" t="inlineStr">
        <is>
          <t>DW68</t>
        </is>
      </c>
      <c r="P408" t="inlineStr">
        <is>
          <t>MX-CED. GUADALAJARA</t>
        </is>
      </c>
      <c r="Q408" t="n">
        <v>20230724</v>
      </c>
      <c r="R408" t="n">
        <v>20281231</v>
      </c>
      <c r="S408" t="n">
        <v>20240601</v>
      </c>
      <c r="T408" t="n">
        <v>20291231</v>
      </c>
      <c r="U408" t="n">
        <v>748.22</v>
      </c>
      <c r="V408" t="inlineStr">
        <is>
          <t>MXN</t>
        </is>
      </c>
      <c r="W408" t="inlineStr">
        <is>
          <t>M3</t>
        </is>
      </c>
      <c r="X408" t="n">
        <v>229.82</v>
      </c>
      <c r="Y408" t="inlineStr">
        <is>
          <t>MXN</t>
        </is>
      </c>
      <c r="Z408" t="inlineStr">
        <is>
          <t>M3</t>
        </is>
      </c>
      <c r="AA408" t="inlineStr">
        <is>
          <t>D264</t>
        </is>
      </c>
      <c r="AB408" t="inlineStr">
        <is>
          <t>PD0083 GUADALAJARA I III</t>
        </is>
      </c>
      <c r="AC408" t="n">
        <v>56103637</v>
      </c>
      <c r="AD408" t="n">
        <v>6644241540</v>
      </c>
      <c r="AE408" t="n">
        <v>4</v>
      </c>
      <c r="AF408" t="inlineStr">
        <is>
          <t>ENTREGA DIRECTA</t>
        </is>
      </c>
      <c r="AG408" t="n">
        <v>1.53</v>
      </c>
      <c r="AH408" t="inlineStr">
        <is>
          <t>M3</t>
        </is>
      </c>
      <c r="AI408" t="inlineStr">
        <is>
          <t>X</t>
        </is>
      </c>
      <c r="AJ408" t="n">
        <v>4</v>
      </c>
      <c r="AK408" t="inlineStr">
        <is>
          <t>V4</t>
        </is>
      </c>
      <c r="AL408" t="n">
        <v>20240619</v>
      </c>
      <c r="AM408" t="inlineStr">
        <is>
          <t>DW68-900008251-D264-10004258-4</t>
        </is>
      </c>
    </row>
    <row r="409">
      <c r="A409" t="inlineStr">
        <is>
          <t>900008251DW68D25110000191</t>
        </is>
      </c>
      <c r="B409" t="inlineStr">
        <is>
          <t>4600058168-140</t>
        </is>
      </c>
      <c r="C409" t="n">
        <v>4600058168</v>
      </c>
      <c r="D409" t="n">
        <v>140</v>
      </c>
      <c r="E409" t="inlineStr">
        <is>
          <t>MXPO</t>
        </is>
      </c>
      <c r="F409" t="inlineStr">
        <is>
          <t>MXL</t>
        </is>
      </c>
      <c r="G409" t="n">
        <v>900008251</v>
      </c>
      <c r="H409" t="inlineStr">
        <is>
          <t>SF TC-ED-MAREVA LA VEGA</t>
        </is>
      </c>
      <c r="I409" t="n">
        <v>5043944</v>
      </c>
      <c r="J409" t="inlineStr">
        <is>
          <t>CONSTRUCCIONES MAREVA DE OCCIDENTE</t>
        </is>
      </c>
      <c r="K409" t="inlineStr">
        <is>
          <t>Z04</t>
        </is>
      </c>
      <c r="L409" t="inlineStr">
        <is>
          <t>(AP) 30 Dias</t>
        </is>
      </c>
      <c r="M409" t="n">
        <v>10000191</v>
      </c>
      <c r="N409" t="inlineStr">
        <is>
          <t>Grava Triturada Basalto 20 mm - 3/4"</t>
        </is>
      </c>
      <c r="O409" t="inlineStr">
        <is>
          <t>DW68</t>
        </is>
      </c>
      <c r="P409" t="inlineStr">
        <is>
          <t>MX-CED. GUADALAJARA</t>
        </is>
      </c>
      <c r="Q409" t="n">
        <v>20230724</v>
      </c>
      <c r="R409" t="n">
        <v>20281231</v>
      </c>
      <c r="S409" t="n">
        <v>20240601</v>
      </c>
      <c r="T409" t="n">
        <v>20291231</v>
      </c>
      <c r="U409" t="n">
        <v>533.09</v>
      </c>
      <c r="V409" t="inlineStr">
        <is>
          <t>MXN</t>
        </is>
      </c>
      <c r="W409" t="inlineStr">
        <is>
          <t>M3</t>
        </is>
      </c>
      <c r="X409" t="n">
        <v>263.09</v>
      </c>
      <c r="Y409" t="inlineStr">
        <is>
          <t>MXN</t>
        </is>
      </c>
      <c r="Z409" t="inlineStr">
        <is>
          <t>M3</t>
        </is>
      </c>
      <c r="AA409" t="inlineStr">
        <is>
          <t>D251</t>
        </is>
      </c>
      <c r="AB409" t="inlineStr">
        <is>
          <t>PD0339 EL SALTO</t>
        </is>
      </c>
      <c r="AC409" t="n">
        <v>56103637</v>
      </c>
      <c r="AD409" t="n">
        <v>6644241540</v>
      </c>
      <c r="AE409" t="n">
        <v>4</v>
      </c>
      <c r="AF409" t="inlineStr">
        <is>
          <t>ENTREGA DIRECTA</t>
        </is>
      </c>
      <c r="AG409" t="n">
        <v>1.41</v>
      </c>
      <c r="AH409" t="inlineStr">
        <is>
          <t>M3</t>
        </is>
      </c>
      <c r="AI409" t="inlineStr">
        <is>
          <t>X</t>
        </is>
      </c>
      <c r="AJ409" t="n">
        <v>4</v>
      </c>
      <c r="AK409" t="inlineStr">
        <is>
          <t>V4</t>
        </is>
      </c>
      <c r="AL409" t="n">
        <v>20240619</v>
      </c>
      <c r="AM409" t="inlineStr">
        <is>
          <t>DW68-900008251-D251-10000191-4</t>
        </is>
      </c>
    </row>
    <row r="410">
      <c r="A410" t="inlineStr">
        <is>
          <t>900008251DW68D24210000384</t>
        </is>
      </c>
      <c r="B410" t="inlineStr">
        <is>
          <t>4600058168-320</t>
        </is>
      </c>
      <c r="C410" t="n">
        <v>4600058168</v>
      </c>
      <c r="D410" t="n">
        <v>320</v>
      </c>
      <c r="E410" t="inlineStr">
        <is>
          <t>MXPO</t>
        </is>
      </c>
      <c r="F410" t="inlineStr">
        <is>
          <t>MXL</t>
        </is>
      </c>
      <c r="G410" t="n">
        <v>900008251</v>
      </c>
      <c r="H410" t="inlineStr">
        <is>
          <t>SF TC-ED-MAREVA LA VEGA</t>
        </is>
      </c>
      <c r="I410" t="n">
        <v>5043944</v>
      </c>
      <c r="J410" t="inlineStr">
        <is>
          <t>CONSTRUCCIONES MAREVA DE OCCIDENTE</t>
        </is>
      </c>
      <c r="K410" t="inlineStr">
        <is>
          <t>Z04</t>
        </is>
      </c>
      <c r="L410" t="inlineStr">
        <is>
          <t>(AP) 30 Dias</t>
        </is>
      </c>
      <c r="M410" t="n">
        <v>10000384</v>
      </c>
      <c r="N410" t="inlineStr">
        <is>
          <t>Arena Triturada Basalto Malla 4</t>
        </is>
      </c>
      <c r="O410" t="inlineStr">
        <is>
          <t>DW68</t>
        </is>
      </c>
      <c r="P410" t="inlineStr">
        <is>
          <t>MX-CED. GUADALAJARA</t>
        </is>
      </c>
      <c r="Q410" t="n">
        <v>20230724</v>
      </c>
      <c r="R410" t="n">
        <v>20281231</v>
      </c>
      <c r="S410" t="n">
        <v>20240601</v>
      </c>
      <c r="T410" t="n">
        <v>20291231</v>
      </c>
      <c r="U410" t="n">
        <v>495.5</v>
      </c>
      <c r="V410" t="inlineStr">
        <is>
          <t>MXN</t>
        </is>
      </c>
      <c r="W410" t="inlineStr">
        <is>
          <t>M3</t>
        </is>
      </c>
      <c r="X410" t="n">
        <v>139.1</v>
      </c>
      <c r="Y410" t="inlineStr">
        <is>
          <t>MXN</t>
        </is>
      </c>
      <c r="Z410" t="inlineStr">
        <is>
          <t>M3</t>
        </is>
      </c>
      <c r="AA410" t="inlineStr">
        <is>
          <t>D242</t>
        </is>
      </c>
      <c r="AB410" t="inlineStr">
        <is>
          <t>PD0454 CD. LA GRANJA II</t>
        </is>
      </c>
      <c r="AC410" t="n">
        <v>56103638</v>
      </c>
      <c r="AD410" t="n">
        <v>6644241540</v>
      </c>
      <c r="AE410" t="n">
        <v>4</v>
      </c>
      <c r="AF410" t="inlineStr">
        <is>
          <t>ENTREGA DIRECTA</t>
        </is>
      </c>
      <c r="AG410" t="n">
        <v>1.61</v>
      </c>
      <c r="AH410" t="inlineStr">
        <is>
          <t>M3</t>
        </is>
      </c>
      <c r="AI410" t="inlineStr">
        <is>
          <t>X</t>
        </is>
      </c>
      <c r="AJ410" t="n">
        <v>4</v>
      </c>
      <c r="AK410" t="inlineStr">
        <is>
          <t>V4</t>
        </is>
      </c>
      <c r="AL410" t="n">
        <v>20240619</v>
      </c>
      <c r="AM410" t="inlineStr">
        <is>
          <t>DW68-900008251-D242-10000384-4</t>
        </is>
      </c>
    </row>
    <row r="411">
      <c r="A411" t="inlineStr">
        <is>
          <t>900008251DW68D04210000384</t>
        </is>
      </c>
      <c r="B411" t="inlineStr">
        <is>
          <t>4600058168-310</t>
        </is>
      </c>
      <c r="C411" t="n">
        <v>4600058168</v>
      </c>
      <c r="D411" t="n">
        <v>310</v>
      </c>
      <c r="E411" t="inlineStr">
        <is>
          <t>MXPO</t>
        </is>
      </c>
      <c r="F411" t="inlineStr">
        <is>
          <t>MXL</t>
        </is>
      </c>
      <c r="G411" t="n">
        <v>900008251</v>
      </c>
      <c r="H411" t="inlineStr">
        <is>
          <t>SF TC-ED-MAREVA LA VEGA</t>
        </is>
      </c>
      <c r="I411" t="n">
        <v>5043944</v>
      </c>
      <c r="J411" t="inlineStr">
        <is>
          <t>CONSTRUCCIONES MAREVA DE OCCIDENTE</t>
        </is>
      </c>
      <c r="K411" t="inlineStr">
        <is>
          <t>Z04</t>
        </is>
      </c>
      <c r="L411" t="inlineStr">
        <is>
          <t>(AP) 30 Dias</t>
        </is>
      </c>
      <c r="M411" t="n">
        <v>10000384</v>
      </c>
      <c r="N411" t="inlineStr">
        <is>
          <t>Arena Triturada Basalto Malla 4</t>
        </is>
      </c>
      <c r="O411" t="inlineStr">
        <is>
          <t>DW68</t>
        </is>
      </c>
      <c r="P411" t="inlineStr">
        <is>
          <t>MX-CED. GUADALAJARA</t>
        </is>
      </c>
      <c r="Q411" t="n">
        <v>20230724</v>
      </c>
      <c r="R411" t="n">
        <v>20281231</v>
      </c>
      <c r="S411" t="n">
        <v>20240601</v>
      </c>
      <c r="T411" t="n">
        <v>20291231</v>
      </c>
      <c r="U411" t="n">
        <v>507.6</v>
      </c>
      <c r="V411" t="inlineStr">
        <is>
          <t>MXN</t>
        </is>
      </c>
      <c r="W411" t="inlineStr">
        <is>
          <t>M3</t>
        </is>
      </c>
      <c r="X411" t="n">
        <v>151.2</v>
      </c>
      <c r="Y411" t="inlineStr">
        <is>
          <t>MXN</t>
        </is>
      </c>
      <c r="Z411" t="inlineStr">
        <is>
          <t>M3</t>
        </is>
      </c>
      <c r="AA411" t="inlineStr">
        <is>
          <t>D042</t>
        </is>
      </c>
      <c r="AB411" t="inlineStr">
        <is>
          <t>PD0406 PLANTA PONIENTE</t>
        </is>
      </c>
      <c r="AC411" t="n">
        <v>56103638</v>
      </c>
      <c r="AD411" t="n">
        <v>6644241540</v>
      </c>
      <c r="AE411" t="n">
        <v>4</v>
      </c>
      <c r="AF411" t="inlineStr">
        <is>
          <t>ENTREGA DIRECTA</t>
        </is>
      </c>
      <c r="AG411" t="n">
        <v>1.61</v>
      </c>
      <c r="AH411" t="inlineStr">
        <is>
          <t>M3</t>
        </is>
      </c>
      <c r="AI411" t="inlineStr">
        <is>
          <t>X</t>
        </is>
      </c>
      <c r="AJ411" t="n">
        <v>4</v>
      </c>
      <c r="AK411" t="inlineStr">
        <is>
          <t>V4</t>
        </is>
      </c>
      <c r="AL411" t="n">
        <v>20240619</v>
      </c>
      <c r="AM411" t="inlineStr">
        <is>
          <t>DW68-900008251-D042-10000384-4</t>
        </is>
      </c>
    </row>
    <row r="412">
      <c r="A412" t="inlineStr">
        <is>
          <t>900008251DW68D20910000384</t>
        </is>
      </c>
      <c r="B412" t="inlineStr">
        <is>
          <t>4600058168-350</t>
        </is>
      </c>
      <c r="C412" t="n">
        <v>4600058168</v>
      </c>
      <c r="D412" t="n">
        <v>350</v>
      </c>
      <c r="E412" t="inlineStr">
        <is>
          <t>MXPO</t>
        </is>
      </c>
      <c r="F412" t="inlineStr">
        <is>
          <t>MXL</t>
        </is>
      </c>
      <c r="G412" t="n">
        <v>900008251</v>
      </c>
      <c r="H412" t="inlineStr">
        <is>
          <t>SF TC-ED-MAREVA LA VEGA</t>
        </is>
      </c>
      <c r="I412" t="n">
        <v>5043944</v>
      </c>
      <c r="J412" t="inlineStr">
        <is>
          <t>CONSTRUCCIONES MAREVA DE OCCIDENTE</t>
        </is>
      </c>
      <c r="K412" t="inlineStr">
        <is>
          <t>Z04</t>
        </is>
      </c>
      <c r="L412" t="inlineStr">
        <is>
          <t>(AP) 30 Dias</t>
        </is>
      </c>
      <c r="M412" t="n">
        <v>10000384</v>
      </c>
      <c r="N412" t="inlineStr">
        <is>
          <t>Arena Triturada Basalto Malla 4</t>
        </is>
      </c>
      <c r="O412" t="inlineStr">
        <is>
          <t>DW68</t>
        </is>
      </c>
      <c r="P412" t="inlineStr">
        <is>
          <t>MX-CED. GUADALAJARA</t>
        </is>
      </c>
      <c r="Q412" t="n">
        <v>20230724</v>
      </c>
      <c r="R412" t="n">
        <v>20281231</v>
      </c>
      <c r="S412" t="n">
        <v>20240601</v>
      </c>
      <c r="T412" t="n">
        <v>20291231</v>
      </c>
      <c r="U412" t="n">
        <v>574.13</v>
      </c>
      <c r="V412" t="inlineStr">
        <is>
          <t>MXN</t>
        </is>
      </c>
      <c r="W412" t="inlineStr">
        <is>
          <t>M3</t>
        </is>
      </c>
      <c r="X412" t="n">
        <v>217.73</v>
      </c>
      <c r="Y412" t="inlineStr">
        <is>
          <t>MXN</t>
        </is>
      </c>
      <c r="Z412" t="inlineStr">
        <is>
          <t>M3</t>
        </is>
      </c>
      <c r="AA412" t="inlineStr">
        <is>
          <t>D209</t>
        </is>
      </c>
      <c r="AB412" t="inlineStr">
        <is>
          <t>PD0127 MANANTIAL</t>
        </is>
      </c>
      <c r="AC412" t="n">
        <v>56103638</v>
      </c>
      <c r="AD412" t="n">
        <v>6644241540</v>
      </c>
      <c r="AE412" t="n">
        <v>4</v>
      </c>
      <c r="AF412" t="inlineStr">
        <is>
          <t>ENTREGA DIRECTA</t>
        </is>
      </c>
      <c r="AG412" t="n">
        <v>1.61</v>
      </c>
      <c r="AH412" t="inlineStr">
        <is>
          <t>M3</t>
        </is>
      </c>
      <c r="AI412" t="inlineStr">
        <is>
          <t>X</t>
        </is>
      </c>
      <c r="AJ412" t="n">
        <v>4</v>
      </c>
      <c r="AK412" t="inlineStr">
        <is>
          <t>V4</t>
        </is>
      </c>
      <c r="AL412" t="n">
        <v>20240619</v>
      </c>
      <c r="AM412" t="inlineStr">
        <is>
          <t>DW68-900008251-D209-10000384-4</t>
        </is>
      </c>
    </row>
    <row r="413">
      <c r="A413" t="inlineStr">
        <is>
          <t>900008251DW68D04210004258</t>
        </is>
      </c>
      <c r="B413" t="inlineStr">
        <is>
          <t>4600058168-30</t>
        </is>
      </c>
      <c r="C413" t="n">
        <v>4600058168</v>
      </c>
      <c r="D413" t="n">
        <v>30</v>
      </c>
      <c r="E413" t="inlineStr">
        <is>
          <t>MXPO</t>
        </is>
      </c>
      <c r="F413" t="inlineStr">
        <is>
          <t>MXL</t>
        </is>
      </c>
      <c r="G413" t="n">
        <v>900008251</v>
      </c>
      <c r="H413" t="inlineStr">
        <is>
          <t>SF TC-ED-MAREVA LA VEGA</t>
        </is>
      </c>
      <c r="I413" t="n">
        <v>5043944</v>
      </c>
      <c r="J413" t="inlineStr">
        <is>
          <t>CONSTRUCCIONES MAREVA DE OCCIDENTE</t>
        </is>
      </c>
      <c r="K413" t="inlineStr">
        <is>
          <t>Z04</t>
        </is>
      </c>
      <c r="L413" t="inlineStr">
        <is>
          <t>(AP) 30 Dias</t>
        </is>
      </c>
      <c r="M413" t="n">
        <v>10004258</v>
      </c>
      <c r="N413" t="inlineStr">
        <is>
          <t>Sello Triturado Basalto 10 mm - 3/8"</t>
        </is>
      </c>
      <c r="O413" t="inlineStr">
        <is>
          <t>DW68</t>
        </is>
      </c>
      <c r="P413" t="inlineStr">
        <is>
          <t>MX-CED. GUADALAJARA</t>
        </is>
      </c>
      <c r="Q413" t="n">
        <v>20230724</v>
      </c>
      <c r="R413" t="n">
        <v>20281231</v>
      </c>
      <c r="S413" t="n">
        <v>20240601</v>
      </c>
      <c r="T413" t="n">
        <v>20291231</v>
      </c>
      <c r="U413" t="n">
        <v>669.6</v>
      </c>
      <c r="V413" t="inlineStr">
        <is>
          <t>MXN</t>
        </is>
      </c>
      <c r="W413" t="inlineStr">
        <is>
          <t>M3</t>
        </is>
      </c>
      <c r="X413" t="n">
        <v>151.19</v>
      </c>
      <c r="Y413" t="inlineStr">
        <is>
          <t>MXN</t>
        </is>
      </c>
      <c r="Z413" t="inlineStr">
        <is>
          <t>M3</t>
        </is>
      </c>
      <c r="AA413" t="inlineStr">
        <is>
          <t>D042</t>
        </is>
      </c>
      <c r="AB413" t="inlineStr">
        <is>
          <t>PD0406 PLANTA PONIENTE</t>
        </is>
      </c>
      <c r="AC413" t="n">
        <v>56103637</v>
      </c>
      <c r="AD413" t="n">
        <v>6644241540</v>
      </c>
      <c r="AE413" t="n">
        <v>4</v>
      </c>
      <c r="AF413" t="inlineStr">
        <is>
          <t>ENTREGA DIRECTA</t>
        </is>
      </c>
      <c r="AG413" t="n">
        <v>1.53</v>
      </c>
      <c r="AH413" t="inlineStr">
        <is>
          <t>M3</t>
        </is>
      </c>
      <c r="AI413" t="inlineStr">
        <is>
          <t>X</t>
        </is>
      </c>
      <c r="AJ413" t="n">
        <v>4</v>
      </c>
      <c r="AK413" t="inlineStr">
        <is>
          <t>V4</t>
        </is>
      </c>
      <c r="AL413" t="n">
        <v>20240619</v>
      </c>
      <c r="AM413" t="inlineStr">
        <is>
          <t>DW68-900008251-D042-10004258-4</t>
        </is>
      </c>
    </row>
    <row r="414">
      <c r="A414" t="inlineStr">
        <is>
          <t>900008251DW68D21110000191</t>
        </is>
      </c>
      <c r="B414" t="inlineStr">
        <is>
          <t>4600058168-180</t>
        </is>
      </c>
      <c r="C414" t="n">
        <v>4600058168</v>
      </c>
      <c r="D414" t="n">
        <v>180</v>
      </c>
      <c r="E414" t="inlineStr">
        <is>
          <t>MXPO</t>
        </is>
      </c>
      <c r="F414" t="inlineStr">
        <is>
          <t>MXL</t>
        </is>
      </c>
      <c r="G414" t="n">
        <v>900008251</v>
      </c>
      <c r="H414" t="inlineStr">
        <is>
          <t>SF TC-ED-MAREVA LA VEGA</t>
        </is>
      </c>
      <c r="I414" t="n">
        <v>5043944</v>
      </c>
      <c r="J414" t="inlineStr">
        <is>
          <t>CONSTRUCCIONES MAREVA DE OCCIDENTE</t>
        </is>
      </c>
      <c r="K414" t="inlineStr">
        <is>
          <t>Z04</t>
        </is>
      </c>
      <c r="L414" t="inlineStr">
        <is>
          <t>(AP) 30 Dias</t>
        </is>
      </c>
      <c r="M414" t="n">
        <v>10000191</v>
      </c>
      <c r="N414" t="inlineStr">
        <is>
          <t>Grava Triturada Basalto 20 mm - 3/4"</t>
        </is>
      </c>
      <c r="O414" t="inlineStr">
        <is>
          <t>DW68</t>
        </is>
      </c>
      <c r="P414" t="inlineStr">
        <is>
          <t>MX-CED. GUADALAJARA</t>
        </is>
      </c>
      <c r="Q414" t="n">
        <v>20230724</v>
      </c>
      <c r="R414" t="n">
        <v>20281231</v>
      </c>
      <c r="S414" t="n">
        <v>20240601</v>
      </c>
      <c r="T414" t="n">
        <v>20291231</v>
      </c>
      <c r="U414" t="n">
        <v>472.61</v>
      </c>
      <c r="V414" t="inlineStr">
        <is>
          <t>MXN</t>
        </is>
      </c>
      <c r="W414" t="inlineStr">
        <is>
          <t>M3</t>
        </is>
      </c>
      <c r="X414" t="n">
        <v>202.61</v>
      </c>
      <c r="Y414" t="inlineStr">
        <is>
          <t>MXN</t>
        </is>
      </c>
      <c r="Z414" t="inlineStr">
        <is>
          <t>M3</t>
        </is>
      </c>
      <c r="AA414" t="inlineStr">
        <is>
          <t>D211</t>
        </is>
      </c>
      <c r="AB414" t="inlineStr">
        <is>
          <t>PD0149 GDL. MATRIZ</t>
        </is>
      </c>
      <c r="AC414" t="n">
        <v>56103637</v>
      </c>
      <c r="AD414" t="n">
        <v>6644241540</v>
      </c>
      <c r="AE414" t="n">
        <v>4</v>
      </c>
      <c r="AF414" t="inlineStr">
        <is>
          <t>ENTREGA DIRECTA</t>
        </is>
      </c>
      <c r="AG414" t="n">
        <v>1.41</v>
      </c>
      <c r="AH414" t="inlineStr">
        <is>
          <t>M3</t>
        </is>
      </c>
      <c r="AI414" t="inlineStr">
        <is>
          <t>X</t>
        </is>
      </c>
      <c r="AJ414" t="n">
        <v>4</v>
      </c>
      <c r="AK414" t="inlineStr">
        <is>
          <t>V4</t>
        </is>
      </c>
      <c r="AL414" t="n">
        <v>20240619</v>
      </c>
      <c r="AM414" t="inlineStr">
        <is>
          <t>DW68-900008251-D211-10000191-4</t>
        </is>
      </c>
    </row>
    <row r="415">
      <c r="A415" t="inlineStr">
        <is>
          <t>900009420DW68D57710270911</t>
        </is>
      </c>
      <c r="B415" t="inlineStr">
        <is>
          <t>4600071943-280</t>
        </is>
      </c>
      <c r="C415" t="n">
        <v>4600071943</v>
      </c>
      <c r="D415" t="n">
        <v>280</v>
      </c>
      <c r="E415" t="inlineStr">
        <is>
          <t>MXPO</t>
        </is>
      </c>
      <c r="F415" t="inlineStr">
        <is>
          <t>MXL</t>
        </is>
      </c>
      <c r="G415" t="n">
        <v>900009420</v>
      </c>
      <c r="H415" t="inlineStr">
        <is>
          <t>SF TC-ED HOLCIM GDL</t>
        </is>
      </c>
      <c r="I415" t="n">
        <v>5040590</v>
      </c>
      <c r="J415" t="inlineStr">
        <is>
          <t>HOLCIM MEXICO OPERACIONES SA DE CV</t>
        </is>
      </c>
      <c r="K415" t="inlineStr">
        <is>
          <t>Z06</t>
        </is>
      </c>
      <c r="L415" t="inlineStr">
        <is>
          <t>(AP) 45 Dias</t>
        </is>
      </c>
      <c r="M415" t="n">
        <v>10270911</v>
      </c>
      <c r="N415" t="inlineStr">
        <is>
          <t>MP GRAVA TRIT. BASALTO 40 MM - 1 1/2"</t>
        </is>
      </c>
      <c r="O415" t="inlineStr">
        <is>
          <t>DW68</t>
        </is>
      </c>
      <c r="P415" t="inlineStr">
        <is>
          <t>MX-CED. GUADALAJARA</t>
        </is>
      </c>
      <c r="Q415" t="n">
        <v>20260126</v>
      </c>
      <c r="R415" t="n">
        <v>20301231</v>
      </c>
      <c r="U415" t="n">
        <v>0</v>
      </c>
      <c r="V415" t="inlineStr">
        <is>
          <t>MXN</t>
        </is>
      </c>
      <c r="W415" t="inlineStr">
        <is>
          <t>TN</t>
        </is>
      </c>
      <c r="AA415" t="inlineStr">
        <is>
          <t>D577</t>
        </is>
      </c>
      <c r="AB415" t="inlineStr">
        <is>
          <t>D577 PD0681 PROY APTO GDL</t>
        </is>
      </c>
      <c r="AC415" t="n">
        <v>56103637</v>
      </c>
      <c r="AD415" t="n">
        <v>6644241540</v>
      </c>
      <c r="AE415" t="n">
        <v>4</v>
      </c>
      <c r="AF415" t="inlineStr">
        <is>
          <t>ENTREGA DIRECTA</t>
        </is>
      </c>
      <c r="AG415" t="n">
        <v>1</v>
      </c>
      <c r="AH415" t="inlineStr">
        <is>
          <t>TO</t>
        </is>
      </c>
      <c r="AI415" t="inlineStr">
        <is>
          <t>X</t>
        </is>
      </c>
      <c r="AJ415" t="n">
        <v>4</v>
      </c>
      <c r="AK415" t="inlineStr">
        <is>
          <t>V4</t>
        </is>
      </c>
      <c r="AL415" t="n">
        <v>20260331</v>
      </c>
      <c r="AM415" t="inlineStr">
        <is>
          <t>DW68-900009420-D577-10270911-4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2026-09-14T14:22:27Z</dcterms:created>
  <dcterms:modified xsi:type="dcterms:W3CDTF">2026-09-14T14:22:29Z</dcterms:modified>
</cp:coreProperties>
</file>