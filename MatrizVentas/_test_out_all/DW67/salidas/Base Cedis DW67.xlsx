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67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900000000</t>
        </is>
      </c>
      <c r="B3" s="8" t="inlineStr">
        <is>
          <t>TC-ED-LAZCANO HUERTA</t>
        </is>
      </c>
      <c r="C3" s="7" t="inlineStr">
        <is>
          <t>DW67</t>
        </is>
      </c>
      <c r="D3" s="7" t="inlineStr">
        <is>
          <t>D180</t>
        </is>
      </c>
      <c r="E3" s="7" t="inlineStr"/>
      <c r="F3" s="8" t="inlineStr"/>
      <c r="G3" s="8" t="inlineStr">
        <is>
          <t>10000178</t>
        </is>
      </c>
      <c r="H3" s="8" t="inlineStr">
        <is>
          <t>Grava Clasificada Río 20 mm - 3/4"</t>
        </is>
      </c>
      <c r="I3" s="9" t="n">
        <v>1507</v>
      </c>
      <c r="J3" s="7" t="inlineStr">
        <is>
          <t>20220516</t>
        </is>
      </c>
      <c r="K3" s="7" t="inlineStr">
        <is>
          <t>20230511</t>
        </is>
      </c>
      <c r="L3" s="10" t="n">
        <v>82.95</v>
      </c>
      <c r="M3" s="10" t="n"/>
      <c r="N3" s="7" t="inlineStr">
        <is>
          <t>TN</t>
        </is>
      </c>
      <c r="O3" s="10" t="n">
        <v>500</v>
      </c>
      <c r="P3" s="7" t="inlineStr">
        <is>
          <t>M3</t>
        </is>
      </c>
      <c r="Q3" s="10">
        <f>IF(AND(N3="TN",P3="TN"),L3+N(M3),IF(E3&amp;""="1",N(I3)*L3,(L3+N(M3))*N(I3)))</f>
        <v/>
      </c>
      <c r="R3" s="11">
        <f>O3-Q3</f>
        <v/>
      </c>
    </row>
    <row r="4">
      <c r="A4" s="7" t="inlineStr">
        <is>
          <t>900000000</t>
        </is>
      </c>
      <c r="B4" s="8" t="inlineStr">
        <is>
          <t>TC-ED-LAZCANO HUERTA</t>
        </is>
      </c>
      <c r="C4" s="7" t="inlineStr">
        <is>
          <t>DW67</t>
        </is>
      </c>
      <c r="D4" s="7" t="inlineStr">
        <is>
          <t>D180</t>
        </is>
      </c>
      <c r="E4" s="7" t="inlineStr"/>
      <c r="F4" s="8" t="inlineStr"/>
      <c r="G4" s="8" t="inlineStr">
        <is>
          <t>10000826</t>
        </is>
      </c>
      <c r="H4" s="8" t="inlineStr">
        <is>
          <t>Arena Clasificada Río Malla 4</t>
        </is>
      </c>
      <c r="I4" s="9" t="n">
        <v>1450</v>
      </c>
      <c r="J4" s="7" t="inlineStr">
        <is>
          <t>20220516</t>
        </is>
      </c>
      <c r="K4" s="7" t="inlineStr">
        <is>
          <t>20230511</t>
        </is>
      </c>
      <c r="L4" s="10" t="n">
        <v>62.07</v>
      </c>
      <c r="M4" s="10" t="n"/>
      <c r="N4" s="7" t="inlineStr">
        <is>
          <t>TN</t>
        </is>
      </c>
      <c r="O4" s="10" t="n">
        <v>450</v>
      </c>
      <c r="P4" s="7" t="inlineStr">
        <is>
          <t>M3</t>
        </is>
      </c>
      <c r="Q4" s="10">
        <f>IF(AND(N4="TN",P4="TN"),L4+N(M4),IF(E4&amp;""="1",N(I4)*L4,(L4+N(M4))*N(I4)))</f>
        <v/>
      </c>
      <c r="R4" s="11">
        <f>O4-Q4</f>
        <v/>
      </c>
    </row>
    <row r="5">
      <c r="A5" s="7" t="inlineStr">
        <is>
          <t>900000000</t>
        </is>
      </c>
      <c r="B5" s="8" t="inlineStr">
        <is>
          <t>TC-ED-LAZCANO HUERTA</t>
        </is>
      </c>
      <c r="C5" s="7" t="inlineStr">
        <is>
          <t>DW67</t>
        </is>
      </c>
      <c r="D5" s="7" t="inlineStr">
        <is>
          <t>D302</t>
        </is>
      </c>
      <c r="E5" s="7" t="inlineStr">
        <is>
          <t>4</t>
        </is>
      </c>
      <c r="F5" s="8" t="inlineStr">
        <is>
          <t>PD0471 COATZACOALCOS</t>
        </is>
      </c>
      <c r="G5" s="8" t="inlineStr">
        <is>
          <t>10000139</t>
        </is>
      </c>
      <c r="H5" s="8" t="inlineStr">
        <is>
          <t>Grava Triturada Andesita 20 mm - 3/4"</t>
        </is>
      </c>
      <c r="I5" s="9" t="n">
        <v>1311</v>
      </c>
      <c r="J5" s="7" t="inlineStr">
        <is>
          <t>20220516</t>
        </is>
      </c>
      <c r="K5" s="7" t="inlineStr">
        <is>
          <t>20241113</t>
        </is>
      </c>
      <c r="L5" s="10" t="n">
        <v>53.39</v>
      </c>
      <c r="M5" s="10" t="n">
        <v>221.21</v>
      </c>
      <c r="N5" s="7" t="inlineStr">
        <is>
          <t>TN</t>
        </is>
      </c>
      <c r="O5" s="10" t="n"/>
      <c r="P5" s="7" t="inlineStr"/>
      <c r="Q5" s="10">
        <f>IF(AND(N5="TN",P5="TN"),L5+N(M5),IF(E5&amp;""="1",N(I5)*L5,(L5+N(M5))*N(I5)))</f>
        <v/>
      </c>
      <c r="R5" s="10">
        <f>O5-Q5</f>
        <v/>
      </c>
    </row>
    <row r="6">
      <c r="A6" s="7" t="inlineStr">
        <is>
          <t>900000000</t>
        </is>
      </c>
      <c r="B6" s="8" t="inlineStr">
        <is>
          <t>TC-ED-LAZCANO HUERTA</t>
        </is>
      </c>
      <c r="C6" s="7" t="inlineStr">
        <is>
          <t>DW67</t>
        </is>
      </c>
      <c r="D6" s="7" t="inlineStr">
        <is>
          <t>D302</t>
        </is>
      </c>
      <c r="E6" s="7" t="inlineStr">
        <is>
          <t>4</t>
        </is>
      </c>
      <c r="F6" s="8" t="inlineStr">
        <is>
          <t>PD0471 COATZACOALCOS</t>
        </is>
      </c>
      <c r="G6" s="8" t="inlineStr">
        <is>
          <t>10000178</t>
        </is>
      </c>
      <c r="H6" s="8" t="inlineStr">
        <is>
          <t>Grava Clasificada Río 20 mm - 3/4"</t>
        </is>
      </c>
      <c r="I6" s="9" t="n">
        <v>1507</v>
      </c>
      <c r="J6" s="7" t="inlineStr">
        <is>
          <t>20240723</t>
        </is>
      </c>
      <c r="K6" s="7" t="inlineStr">
        <is>
          <t>99991231</t>
        </is>
      </c>
      <c r="L6" s="10" t="n">
        <v>232.25</v>
      </c>
      <c r="M6" s="10" t="n">
        <v>99.54000000000001</v>
      </c>
      <c r="N6" s="7" t="inlineStr">
        <is>
          <t>TN</t>
        </is>
      </c>
      <c r="O6" s="10" t="n">
        <v>500</v>
      </c>
      <c r="P6" s="7" t="inlineStr">
        <is>
          <t>M3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900000000</t>
        </is>
      </c>
      <c r="B7" s="8" t="inlineStr">
        <is>
          <t>TC-ED-LAZCANO HUERTA</t>
        </is>
      </c>
      <c r="C7" s="7" t="inlineStr">
        <is>
          <t>DW67</t>
        </is>
      </c>
      <c r="D7" s="7" t="inlineStr">
        <is>
          <t>D302</t>
        </is>
      </c>
      <c r="E7" s="7" t="inlineStr">
        <is>
          <t>4</t>
        </is>
      </c>
      <c r="F7" s="8" t="inlineStr">
        <is>
          <t>PD0471 COATZACOALCOS</t>
        </is>
      </c>
      <c r="G7" s="8" t="inlineStr">
        <is>
          <t>10000398</t>
        </is>
      </c>
      <c r="H7" s="8" t="inlineStr">
        <is>
          <t>Grava Triturada Andesita 20 mm - 3/4"</t>
        </is>
      </c>
      <c r="I7" s="9" t="n">
        <v>1311</v>
      </c>
      <c r="J7" s="7" t="inlineStr">
        <is>
          <t>20220516</t>
        </is>
      </c>
      <c r="K7" s="7" t="inlineStr">
        <is>
          <t>20241113</t>
        </is>
      </c>
      <c r="L7" s="10" t="n">
        <v>48.43</v>
      </c>
      <c r="M7" s="10" t="n">
        <v>191.85</v>
      </c>
      <c r="N7" s="7" t="inlineStr">
        <is>
          <t>TN</t>
        </is>
      </c>
      <c r="O7" s="10" t="n"/>
      <c r="P7" s="7" t="inlineStr"/>
      <c r="Q7" s="10">
        <f>IF(AND(N7="TN",P7="TN"),L7+N(M7),IF(E7&amp;""="1",N(I7)*L7,(L7+N(M7))*N(I7)))</f>
        <v/>
      </c>
      <c r="R7" s="10">
        <f>O7-Q7</f>
        <v/>
      </c>
    </row>
    <row r="8">
      <c r="A8" s="7" t="inlineStr">
        <is>
          <t>900000000</t>
        </is>
      </c>
      <c r="B8" s="8" t="inlineStr">
        <is>
          <t>TC-ED-LAZCANO HUERTA</t>
        </is>
      </c>
      <c r="C8" s="7" t="inlineStr">
        <is>
          <t>DW67</t>
        </is>
      </c>
      <c r="D8" s="7" t="inlineStr">
        <is>
          <t>D302</t>
        </is>
      </c>
      <c r="E8" s="7" t="inlineStr">
        <is>
          <t>4</t>
        </is>
      </c>
      <c r="F8" s="8" t="inlineStr">
        <is>
          <t>PD0471 COATZACOALCOS</t>
        </is>
      </c>
      <c r="G8" s="8" t="inlineStr">
        <is>
          <t>10000541</t>
        </is>
      </c>
      <c r="H8" s="8" t="inlineStr">
        <is>
          <t>Grava Clasificada Río 10 mm - 3/8"</t>
        </is>
      </c>
      <c r="I8" s="9" t="n">
        <v>1528</v>
      </c>
      <c r="J8" s="7" t="inlineStr">
        <is>
          <t>20250923</t>
        </is>
      </c>
      <c r="K8" s="7" t="inlineStr">
        <is>
          <t>99991231</t>
        </is>
      </c>
      <c r="L8" s="10" t="n">
        <v>163.61</v>
      </c>
      <c r="M8" s="10" t="n">
        <v>163.61</v>
      </c>
      <c r="N8" s="7" t="inlineStr">
        <is>
          <t>TN</t>
        </is>
      </c>
      <c r="O8" s="10" t="n">
        <v>500</v>
      </c>
      <c r="P8" s="7" t="inlineStr">
        <is>
          <t>M3</t>
        </is>
      </c>
      <c r="Q8" s="10">
        <f>IF(AND(N8="TN",P8="TN"),L8+N(M8),IF(E8&amp;""="1",N(I8)*L8,(L8+N(M8))*N(I8)))</f>
        <v/>
      </c>
      <c r="R8" s="11">
        <f>O8-Q8</f>
        <v/>
      </c>
    </row>
    <row r="9">
      <c r="A9" s="7" t="inlineStr">
        <is>
          <t>900000000</t>
        </is>
      </c>
      <c r="B9" s="8" t="inlineStr">
        <is>
          <t>TC-ED-LAZCANO HUERTA</t>
        </is>
      </c>
      <c r="C9" s="7" t="inlineStr">
        <is>
          <t>DW67</t>
        </is>
      </c>
      <c r="D9" s="7" t="inlineStr">
        <is>
          <t>D302</t>
        </is>
      </c>
      <c r="E9" s="7" t="inlineStr">
        <is>
          <t>4</t>
        </is>
      </c>
      <c r="F9" s="8" t="inlineStr">
        <is>
          <t>PD0471 COATZACOALCOS</t>
        </is>
      </c>
      <c r="G9" s="8" t="inlineStr">
        <is>
          <t>10000826</t>
        </is>
      </c>
      <c r="H9" s="8" t="inlineStr">
        <is>
          <t>Arena Clasificada Río Malla 4</t>
        </is>
      </c>
      <c r="I9" s="9" t="n">
        <v>1450</v>
      </c>
      <c r="J9" s="7" t="inlineStr">
        <is>
          <t>20250707</t>
        </is>
      </c>
      <c r="K9" s="7" t="inlineStr">
        <is>
          <t>99991231</t>
        </is>
      </c>
      <c r="L9" s="10" t="n">
        <v>172.41</v>
      </c>
      <c r="M9" s="10" t="n">
        <v>137.93</v>
      </c>
      <c r="N9" s="7" t="inlineStr">
        <is>
          <t>TN</t>
        </is>
      </c>
      <c r="O9" s="10" t="n">
        <v>450</v>
      </c>
      <c r="P9" s="7" t="inlineStr">
        <is>
          <t>M3</t>
        </is>
      </c>
      <c r="Q9" s="10">
        <f>IF(AND(N9="TN",P9="TN"),L9+N(M9),IF(E9&amp;""="1",N(I9)*L9,(L9+N(M9))*N(I9)))</f>
        <v/>
      </c>
      <c r="R9" s="11">
        <f>O9-Q9</f>
        <v/>
      </c>
    </row>
    <row r="10">
      <c r="A10" s="7" t="inlineStr">
        <is>
          <t>900000000</t>
        </is>
      </c>
      <c r="B10" s="8" t="inlineStr">
        <is>
          <t>TC-ED-LAZCANO HUERTA</t>
        </is>
      </c>
      <c r="C10" s="7" t="inlineStr">
        <is>
          <t>DW67</t>
        </is>
      </c>
      <c r="D10" s="7" t="inlineStr">
        <is>
          <t>D310</t>
        </is>
      </c>
      <c r="E10" s="7" t="inlineStr">
        <is>
          <t>4</t>
        </is>
      </c>
      <c r="F10" s="8" t="inlineStr"/>
      <c r="G10" s="8" t="inlineStr">
        <is>
          <t>10000178</t>
        </is>
      </c>
      <c r="H10" s="8" t="inlineStr">
        <is>
          <t>Grava Clasificada Río 20 mm - 3/4"</t>
        </is>
      </c>
      <c r="I10" s="9" t="n">
        <v>1507</v>
      </c>
      <c r="J10" s="7" t="inlineStr">
        <is>
          <t>20220516</t>
        </is>
      </c>
      <c r="K10" s="7" t="inlineStr">
        <is>
          <t>20241113</t>
        </is>
      </c>
      <c r="L10" s="10" t="n">
        <v>86</v>
      </c>
      <c r="M10" s="10" t="n">
        <v>40.13</v>
      </c>
      <c r="N10" s="7" t="inlineStr">
        <is>
          <t>TN</t>
        </is>
      </c>
      <c r="O10" s="10" t="n">
        <v>500</v>
      </c>
      <c r="P10" s="7" t="inlineStr">
        <is>
          <t>M3</t>
        </is>
      </c>
      <c r="Q10" s="10">
        <f>IF(AND(N10="TN",P10="TN"),L10+N(M10),IF(E10&amp;""="1",N(I10)*L10,(L10+N(M10))*N(I10)))</f>
        <v/>
      </c>
      <c r="R10" s="11">
        <f>O10-Q10</f>
        <v/>
      </c>
    </row>
    <row r="11">
      <c r="A11" s="7" t="inlineStr">
        <is>
          <t>900000000</t>
        </is>
      </c>
      <c r="B11" s="8" t="inlineStr">
        <is>
          <t>TC-ED-LAZCANO HUERTA</t>
        </is>
      </c>
      <c r="C11" s="7" t="inlineStr">
        <is>
          <t>DW67</t>
        </is>
      </c>
      <c r="D11" s="7" t="inlineStr">
        <is>
          <t>D310</t>
        </is>
      </c>
      <c r="E11" s="7" t="inlineStr">
        <is>
          <t>4</t>
        </is>
      </c>
      <c r="F11" s="8" t="inlineStr"/>
      <c r="G11" s="8" t="inlineStr">
        <is>
          <t>10000398</t>
        </is>
      </c>
      <c r="H11" s="8" t="inlineStr">
        <is>
          <t>Grava Triturada Andesita 20 mm - 3/4"</t>
        </is>
      </c>
      <c r="I11" s="9" t="n">
        <v>1311</v>
      </c>
      <c r="J11" s="7" t="inlineStr">
        <is>
          <t>20220516</t>
        </is>
      </c>
      <c r="K11" s="7" t="inlineStr">
        <is>
          <t>20241113</t>
        </is>
      </c>
      <c r="L11" s="10" t="n">
        <v>26.36</v>
      </c>
      <c r="M11" s="10" t="n">
        <v>169.7</v>
      </c>
      <c r="N11" s="7" t="inlineStr">
        <is>
          <t>TN</t>
        </is>
      </c>
      <c r="O11" s="10" t="n"/>
      <c r="P11" s="7" t="inlineStr"/>
      <c r="Q11" s="10">
        <f>IF(AND(N11="TN",P11="TN"),L11+N(M11),IF(E11&amp;""="1",N(I11)*L11,(L11+N(M11))*N(I11)))</f>
        <v/>
      </c>
      <c r="R11" s="10">
        <f>O11-Q11</f>
        <v/>
      </c>
    </row>
    <row r="12">
      <c r="A12" s="7" t="inlineStr">
        <is>
          <t>900000000</t>
        </is>
      </c>
      <c r="B12" s="8" t="inlineStr">
        <is>
          <t>TC-ED-LAZCANO HUERTA</t>
        </is>
      </c>
      <c r="C12" s="7" t="inlineStr">
        <is>
          <t>DW67</t>
        </is>
      </c>
      <c r="D12" s="7" t="inlineStr">
        <is>
          <t>D310</t>
        </is>
      </c>
      <c r="E12" s="7" t="inlineStr">
        <is>
          <t>4</t>
        </is>
      </c>
      <c r="F12" s="8" t="inlineStr"/>
      <c r="G12" s="8" t="inlineStr">
        <is>
          <t>10000541</t>
        </is>
      </c>
      <c r="H12" s="8" t="inlineStr">
        <is>
          <t>Grava Clasificada Río 10 mm - 3/8"</t>
        </is>
      </c>
      <c r="I12" s="9" t="n">
        <v>1528</v>
      </c>
      <c r="J12" s="7" t="inlineStr">
        <is>
          <t>20220516</t>
        </is>
      </c>
      <c r="K12" s="7" t="inlineStr">
        <is>
          <t>20241113</t>
        </is>
      </c>
      <c r="L12" s="10" t="n">
        <v>84.81999999999999</v>
      </c>
      <c r="M12" s="10" t="n">
        <v>42.41</v>
      </c>
      <c r="N12" s="7" t="inlineStr">
        <is>
          <t>TN</t>
        </is>
      </c>
      <c r="O12" s="10" t="n">
        <v>500</v>
      </c>
      <c r="P12" s="7" t="inlineStr">
        <is>
          <t>M3</t>
        </is>
      </c>
      <c r="Q12" s="10">
        <f>IF(AND(N12="TN",P12="TN"),L12+N(M12),IF(E12&amp;""="1",N(I12)*L12,(L12+N(M12))*N(I12)))</f>
        <v/>
      </c>
      <c r="R12" s="11">
        <f>O12-Q12</f>
        <v/>
      </c>
    </row>
    <row r="13">
      <c r="A13" s="7" t="inlineStr">
        <is>
          <t>900000000</t>
        </is>
      </c>
      <c r="B13" s="8" t="inlineStr">
        <is>
          <t>TC-ED-LAZCANO HUERTA</t>
        </is>
      </c>
      <c r="C13" s="7" t="inlineStr">
        <is>
          <t>DW67</t>
        </is>
      </c>
      <c r="D13" s="7" t="inlineStr">
        <is>
          <t>D310</t>
        </is>
      </c>
      <c r="E13" s="7" t="inlineStr">
        <is>
          <t>4</t>
        </is>
      </c>
      <c r="F13" s="8" t="inlineStr"/>
      <c r="G13" s="8" t="inlineStr">
        <is>
          <t>10000826</t>
        </is>
      </c>
      <c r="H13" s="8" t="inlineStr">
        <is>
          <t>Arena Clasificada Río Malla 4</t>
        </is>
      </c>
      <c r="I13" s="9" t="n">
        <v>1450</v>
      </c>
      <c r="J13" s="7" t="inlineStr">
        <is>
          <t>20220516</t>
        </is>
      </c>
      <c r="K13" s="7" t="inlineStr">
        <is>
          <t>20241113</t>
        </is>
      </c>
      <c r="L13" s="10" t="n">
        <v>58.1</v>
      </c>
      <c r="M13" s="10" t="n">
        <v>61.08</v>
      </c>
      <c r="N13" s="7" t="inlineStr">
        <is>
          <t>TN</t>
        </is>
      </c>
      <c r="O13" s="10" t="n">
        <v>450</v>
      </c>
      <c r="P13" s="7" t="inlineStr">
        <is>
          <t>M3</t>
        </is>
      </c>
      <c r="Q13" s="10">
        <f>IF(AND(N13="TN",P13="TN"),L13+N(M13),IF(E13&amp;""="1",N(I13)*L13,(L13+N(M13))*N(I13)))</f>
        <v/>
      </c>
      <c r="R13" s="11">
        <f>O13-Q13</f>
        <v/>
      </c>
    </row>
    <row r="14">
      <c r="A14" s="7" t="inlineStr">
        <is>
          <t>900000037</t>
        </is>
      </c>
      <c r="B14" s="8" t="inlineStr">
        <is>
          <t>TC-THOME VILLALBA</t>
        </is>
      </c>
      <c r="C14" s="7" t="inlineStr">
        <is>
          <t>DW67</t>
        </is>
      </c>
      <c r="D14" s="7" t="inlineStr">
        <is>
          <t>D180</t>
        </is>
      </c>
      <c r="E14" s="7" t="inlineStr"/>
      <c r="F14" s="8" t="inlineStr"/>
      <c r="G14" s="8" t="inlineStr">
        <is>
          <t>10000139</t>
        </is>
      </c>
      <c r="H14" s="8" t="inlineStr">
        <is>
          <t>Grava Triturada Andesita 20 mm - 3/4"</t>
        </is>
      </c>
      <c r="I14" s="9" t="n">
        <v>1311</v>
      </c>
      <c r="J14" s="7" t="inlineStr">
        <is>
          <t>20220516</t>
        </is>
      </c>
      <c r="K14" s="7" t="inlineStr">
        <is>
          <t>20230511</t>
        </is>
      </c>
      <c r="L14" s="10" t="n">
        <v>44.85</v>
      </c>
      <c r="M14" s="10" t="n"/>
      <c r="N14" s="7" t="inlineStr">
        <is>
          <t>TN</t>
        </is>
      </c>
      <c r="O14" s="10" t="n">
        <v>95</v>
      </c>
      <c r="P14" s="7" t="inlineStr">
        <is>
          <t>M3</t>
        </is>
      </c>
      <c r="Q14" s="10">
        <f>IF(AND(N14="TN",P14="TN"),L14+N(M14),IF(E14&amp;""="1",N(I14)*L14,(L14+N(M14))*N(I14)))</f>
        <v/>
      </c>
      <c r="R14" s="11">
        <f>O14-Q14</f>
        <v/>
      </c>
    </row>
    <row r="15">
      <c r="A15" s="7" t="inlineStr">
        <is>
          <t>900000037</t>
        </is>
      </c>
      <c r="B15" s="8" t="inlineStr">
        <is>
          <t>TC-THOME VILLALBA</t>
        </is>
      </c>
      <c r="C15" s="7" t="inlineStr">
        <is>
          <t>DW67</t>
        </is>
      </c>
      <c r="D15" s="7" t="inlineStr">
        <is>
          <t>D302</t>
        </is>
      </c>
      <c r="E15" s="7" t="inlineStr">
        <is>
          <t>1</t>
        </is>
      </c>
      <c r="F15" s="8" t="inlineStr">
        <is>
          <t>PD0471 COATZACOALCOS</t>
        </is>
      </c>
      <c r="G15" s="8" t="inlineStr">
        <is>
          <t>10000139</t>
        </is>
      </c>
      <c r="H15" s="8" t="inlineStr">
        <is>
          <t>Grava Triturada Andesita 20 mm - 3/4"</t>
        </is>
      </c>
      <c r="I15" s="9" t="n">
        <v>1311</v>
      </c>
      <c r="J15" s="7" t="inlineStr">
        <is>
          <t>20240101</t>
        </is>
      </c>
      <c r="K15" s="7" t="inlineStr">
        <is>
          <t>99991231</t>
        </is>
      </c>
      <c r="L15" s="10" t="n">
        <v>72.45999999999999</v>
      </c>
      <c r="M15" s="10" t="n">
        <v>361.32</v>
      </c>
      <c r="N15" s="7" t="inlineStr">
        <is>
          <t>TN</t>
        </is>
      </c>
      <c r="O15" s="10" t="n">
        <v>95</v>
      </c>
      <c r="P15" s="7" t="inlineStr">
        <is>
          <t>M3</t>
        </is>
      </c>
      <c r="Q15" s="10">
        <f>IF(AND(N15="TN",P15="TN"),L15+N(M15),IF(E15&amp;""="1",N(I15)*L15,(L15+N(M15))*N(I15)))</f>
        <v/>
      </c>
      <c r="R15" s="11">
        <f>O15-Q15</f>
        <v/>
      </c>
    </row>
    <row r="16">
      <c r="A16" s="7" t="inlineStr">
        <is>
          <t>900000037</t>
        </is>
      </c>
      <c r="B16" s="8" t="inlineStr">
        <is>
          <t>TC-THOME VILLALBA</t>
        </is>
      </c>
      <c r="C16" s="7" t="inlineStr">
        <is>
          <t>DW67</t>
        </is>
      </c>
      <c r="D16" s="7" t="inlineStr">
        <is>
          <t>D302</t>
        </is>
      </c>
      <c r="E16" s="7" t="inlineStr">
        <is>
          <t>1</t>
        </is>
      </c>
      <c r="F16" s="8" t="inlineStr">
        <is>
          <t>PD0471 COATZACOALCOS</t>
        </is>
      </c>
      <c r="G16" s="8" t="inlineStr">
        <is>
          <t>10000140</t>
        </is>
      </c>
      <c r="H16" s="8" t="inlineStr">
        <is>
          <t>Grava Triturada Andesita 40 mm - 1 1/2"</t>
        </is>
      </c>
      <c r="I16" s="9" t="n">
        <v>1290</v>
      </c>
      <c r="J16" s="7" t="inlineStr">
        <is>
          <t>20250428</t>
        </is>
      </c>
      <c r="K16" s="7" t="inlineStr">
        <is>
          <t>20251031</t>
        </is>
      </c>
      <c r="L16" s="10" t="n">
        <v>54.26</v>
      </c>
      <c r="M16" s="10" t="n">
        <v>234.91</v>
      </c>
      <c r="N16" s="7" t="inlineStr">
        <is>
          <t>TN</t>
        </is>
      </c>
      <c r="O16" s="10" t="n">
        <v>70</v>
      </c>
      <c r="P16" s="7" t="inlineStr">
        <is>
          <t>M3</t>
        </is>
      </c>
      <c r="Q16" s="10">
        <f>IF(AND(N16="TN",P16="TN"),L16+N(M16),IF(E16&amp;""="1",N(I16)*L16,(L16+N(M16))*N(I16)))</f>
        <v/>
      </c>
      <c r="R16" s="11">
        <f>O16-Q16</f>
        <v/>
      </c>
    </row>
    <row r="17">
      <c r="A17" s="7" t="inlineStr">
        <is>
          <t>900000037</t>
        </is>
      </c>
      <c r="B17" s="8" t="inlineStr">
        <is>
          <t>TC-THOME VILLALBA</t>
        </is>
      </c>
      <c r="C17" s="7" t="inlineStr">
        <is>
          <t>DW67</t>
        </is>
      </c>
      <c r="D17" s="7" t="inlineStr">
        <is>
          <t>D302</t>
        </is>
      </c>
      <c r="E17" s="7" t="inlineStr">
        <is>
          <t>1</t>
        </is>
      </c>
      <c r="F17" s="8" t="inlineStr">
        <is>
          <t>PD0471 COATZACOALCOS</t>
        </is>
      </c>
      <c r="G17" s="8" t="inlineStr">
        <is>
          <t>10000444</t>
        </is>
      </c>
      <c r="H17" s="8" t="inlineStr">
        <is>
          <t>Arena Triturada Andesita Malla 4</t>
        </is>
      </c>
      <c r="I17" s="9" t="n">
        <v>1473</v>
      </c>
      <c r="J17" s="7" t="inlineStr">
        <is>
          <t>20240101</t>
        </is>
      </c>
      <c r="K17" s="7" t="inlineStr">
        <is>
          <t>99991231</t>
        </is>
      </c>
      <c r="L17" s="10" t="n">
        <v>61.1</v>
      </c>
      <c r="M17" s="10" t="n">
        <v>205.72</v>
      </c>
      <c r="N17" s="7" t="inlineStr">
        <is>
          <t>TN</t>
        </is>
      </c>
      <c r="O17" s="10" t="n">
        <v>90</v>
      </c>
      <c r="P17" s="7" t="inlineStr">
        <is>
          <t>M3</t>
        </is>
      </c>
      <c r="Q17" s="10">
        <f>IF(AND(N17="TN",P17="TN"),L17+N(M17),IF(E17&amp;""="1",N(I17)*L17,(L17+N(M17))*N(I17)))</f>
        <v/>
      </c>
      <c r="R17" s="11">
        <f>O17-Q17</f>
        <v/>
      </c>
    </row>
    <row r="18">
      <c r="A18" s="7" t="inlineStr">
        <is>
          <t>900000037</t>
        </is>
      </c>
      <c r="B18" s="8" t="inlineStr">
        <is>
          <t>TC-THOME VILLALBA</t>
        </is>
      </c>
      <c r="C18" s="7" t="inlineStr">
        <is>
          <t>DW67</t>
        </is>
      </c>
      <c r="D18" s="7" t="inlineStr">
        <is>
          <t>D302</t>
        </is>
      </c>
      <c r="E18" s="7" t="inlineStr">
        <is>
          <t>1</t>
        </is>
      </c>
      <c r="F18" s="8" t="inlineStr">
        <is>
          <t>PD0471 COATZACOALCOS</t>
        </is>
      </c>
      <c r="G18" s="8" t="inlineStr">
        <is>
          <t>10000548</t>
        </is>
      </c>
      <c r="H18" s="8" t="inlineStr">
        <is>
          <t>Grava Triturada Andesita 10 mm - 3/8"</t>
        </is>
      </c>
      <c r="I18" s="9" t="n">
        <v>1315</v>
      </c>
      <c r="J18" s="7" t="inlineStr">
        <is>
          <t>20250428</t>
        </is>
      </c>
      <c r="K18" s="7" t="inlineStr">
        <is>
          <t>20251031</t>
        </is>
      </c>
      <c r="L18" s="10" t="n">
        <v>35.97</v>
      </c>
      <c r="M18" s="10" t="n">
        <v>182.26</v>
      </c>
      <c r="N18" s="7" t="inlineStr">
        <is>
          <t>TN</t>
        </is>
      </c>
      <c r="O18" s="10" t="n">
        <v>47.3</v>
      </c>
      <c r="P18" s="7" t="inlineStr">
        <is>
          <t>M3</t>
        </is>
      </c>
      <c r="Q18" s="10">
        <f>IF(AND(N18="TN",P18="TN"),L18+N(M18),IF(E18&amp;""="1",N(I18)*L18,(L18+N(M18))*N(I18)))</f>
        <v/>
      </c>
      <c r="R18" s="11">
        <f>O18-Q18</f>
        <v/>
      </c>
    </row>
    <row r="19">
      <c r="A19" s="7" t="inlineStr">
        <is>
          <t>900000037</t>
        </is>
      </c>
      <c r="B19" s="8" t="inlineStr">
        <is>
          <t>TC-THOME VILLALBA</t>
        </is>
      </c>
      <c r="C19" s="7" t="inlineStr">
        <is>
          <t>DW67</t>
        </is>
      </c>
      <c r="D19" s="7" t="inlineStr">
        <is>
          <t>D310</t>
        </is>
      </c>
      <c r="E19" s="7" t="inlineStr">
        <is>
          <t>1</t>
        </is>
      </c>
      <c r="F19" s="8" t="inlineStr"/>
      <c r="G19" s="8" t="inlineStr">
        <is>
          <t>10000139</t>
        </is>
      </c>
      <c r="H19" s="8" t="inlineStr">
        <is>
          <t>Grava Triturada Andesita 20 mm - 3/4"</t>
        </is>
      </c>
      <c r="I19" s="9" t="n">
        <v>1311</v>
      </c>
      <c r="J19" s="7" t="inlineStr">
        <is>
          <t>20220516</t>
        </is>
      </c>
      <c r="K19" s="7" t="inlineStr">
        <is>
          <t>20241113</t>
        </is>
      </c>
      <c r="L19" s="10" t="n">
        <v>40.64</v>
      </c>
      <c r="M19" s="10" t="n">
        <v>183.27</v>
      </c>
      <c r="N19" s="7" t="inlineStr">
        <is>
          <t>TN</t>
        </is>
      </c>
      <c r="O19" s="10" t="n">
        <v>95</v>
      </c>
      <c r="P19" s="7" t="inlineStr">
        <is>
          <t>M3</t>
        </is>
      </c>
      <c r="Q19" s="10">
        <f>IF(AND(N19="TN",P19="TN"),L19+N(M19),IF(E19&amp;""="1",N(I19)*L19,(L19+N(M19))*N(I19)))</f>
        <v/>
      </c>
      <c r="R19" s="11">
        <f>O19-Q19</f>
        <v/>
      </c>
    </row>
    <row r="20">
      <c r="A20" s="7" t="inlineStr">
        <is>
          <t>900000037</t>
        </is>
      </c>
      <c r="B20" s="8" t="inlineStr">
        <is>
          <t>TC-THOME VILLALBA</t>
        </is>
      </c>
      <c r="C20" s="7" t="inlineStr">
        <is>
          <t>DW67</t>
        </is>
      </c>
      <c r="D20" s="7" t="inlineStr">
        <is>
          <t>D310</t>
        </is>
      </c>
      <c r="E20" s="7" t="inlineStr">
        <is>
          <t>1</t>
        </is>
      </c>
      <c r="F20" s="8" t="inlineStr"/>
      <c r="G20" s="8" t="inlineStr">
        <is>
          <t>10000140</t>
        </is>
      </c>
      <c r="H20" s="8" t="inlineStr">
        <is>
          <t>Grava Triturada Andesita 40 mm - 1 1/2"</t>
        </is>
      </c>
      <c r="I20" s="9" t="n">
        <v>1290</v>
      </c>
      <c r="J20" s="7" t="inlineStr">
        <is>
          <t>20220516</t>
        </is>
      </c>
      <c r="K20" s="7" t="inlineStr">
        <is>
          <t>20241113</t>
        </is>
      </c>
      <c r="L20" s="10" t="n">
        <v>49.69</v>
      </c>
      <c r="M20" s="10" t="n">
        <v>172.36</v>
      </c>
      <c r="N20" s="7" t="inlineStr">
        <is>
          <t>TN</t>
        </is>
      </c>
      <c r="O20" s="10" t="n">
        <v>70</v>
      </c>
      <c r="P20" s="7" t="inlineStr">
        <is>
          <t>M3</t>
        </is>
      </c>
      <c r="Q20" s="10">
        <f>IF(AND(N20="TN",P20="TN"),L20+N(M20),IF(E20&amp;""="1",N(I20)*L20,(L20+N(M20))*N(I20)))</f>
        <v/>
      </c>
      <c r="R20" s="11">
        <f>O20-Q20</f>
        <v/>
      </c>
    </row>
    <row r="21">
      <c r="A21" s="7" t="inlineStr">
        <is>
          <t>900000037</t>
        </is>
      </c>
      <c r="B21" s="8" t="inlineStr">
        <is>
          <t>TC-THOME VILLALBA</t>
        </is>
      </c>
      <c r="C21" s="7" t="inlineStr">
        <is>
          <t>DW67</t>
        </is>
      </c>
      <c r="D21" s="7" t="inlineStr">
        <is>
          <t>D310</t>
        </is>
      </c>
      <c r="E21" s="7" t="inlineStr">
        <is>
          <t>1</t>
        </is>
      </c>
      <c r="F21" s="8" t="inlineStr"/>
      <c r="G21" s="8" t="inlineStr">
        <is>
          <t>10000444</t>
        </is>
      </c>
      <c r="H21" s="8" t="inlineStr">
        <is>
          <t>Arena Triturada Andesita Malla 4</t>
        </is>
      </c>
      <c r="I21" s="9" t="n">
        <v>1473</v>
      </c>
      <c r="J21" s="7" t="inlineStr">
        <is>
          <t>20220516</t>
        </is>
      </c>
      <c r="K21" s="7" t="inlineStr">
        <is>
          <t>20241113</t>
        </is>
      </c>
      <c r="L21" s="10" t="n">
        <v>27.23</v>
      </c>
      <c r="M21" s="10" t="n">
        <v>163.12</v>
      </c>
      <c r="N21" s="7" t="inlineStr">
        <is>
          <t>TN</t>
        </is>
      </c>
      <c r="O21" s="10" t="n">
        <v>90</v>
      </c>
      <c r="P21" s="7" t="inlineStr">
        <is>
          <t>M3</t>
        </is>
      </c>
      <c r="Q21" s="10">
        <f>IF(AND(N21="TN",P21="TN"),L21+N(M21),IF(E21&amp;""="1",N(I21)*L21,(L21+N(M21))*N(I21)))</f>
        <v/>
      </c>
      <c r="R21" s="11">
        <f>O21-Q21</f>
        <v/>
      </c>
    </row>
    <row r="22">
      <c r="A22" s="7" t="inlineStr">
        <is>
          <t>900000037</t>
        </is>
      </c>
      <c r="B22" s="8" t="inlineStr">
        <is>
          <t>TC-THOME VILLALBA</t>
        </is>
      </c>
      <c r="C22" s="7" t="inlineStr">
        <is>
          <t>DW67</t>
        </is>
      </c>
      <c r="D22" s="7" t="inlineStr">
        <is>
          <t>D310</t>
        </is>
      </c>
      <c r="E22" s="7" t="inlineStr">
        <is>
          <t>1</t>
        </is>
      </c>
      <c r="F22" s="8" t="inlineStr"/>
      <c r="G22" s="8" t="inlineStr">
        <is>
          <t>10000548</t>
        </is>
      </c>
      <c r="H22" s="8" t="inlineStr">
        <is>
          <t>Grava Triturada Andesita 10 mm - 3/8"</t>
        </is>
      </c>
      <c r="I22" s="9" t="n">
        <v>1315</v>
      </c>
      <c r="J22" s="7" t="inlineStr">
        <is>
          <t>20220516</t>
        </is>
      </c>
      <c r="K22" s="7" t="inlineStr">
        <is>
          <t>20241113</t>
        </is>
      </c>
      <c r="L22" s="10" t="n">
        <v>35.97</v>
      </c>
      <c r="M22" s="10" t="n">
        <v>169.08</v>
      </c>
      <c r="N22" s="7" t="inlineStr">
        <is>
          <t>TN</t>
        </is>
      </c>
      <c r="O22" s="10" t="n">
        <v>47.3</v>
      </c>
      <c r="P22" s="7" t="inlineStr">
        <is>
          <t>M3</t>
        </is>
      </c>
      <c r="Q22" s="10">
        <f>IF(AND(N22="TN",P22="TN"),L22+N(M22),IF(E22&amp;""="1",N(I22)*L22,(L22+N(M22))*N(I22)))</f>
        <v/>
      </c>
      <c r="R22" s="11">
        <f>O22-Q22</f>
        <v/>
      </c>
    </row>
    <row r="23">
      <c r="A23" s="7" t="inlineStr">
        <is>
          <t>900000037</t>
        </is>
      </c>
      <c r="B23" s="8" t="inlineStr">
        <is>
          <t>TC-THOME VILLALBA</t>
        </is>
      </c>
      <c r="C23" s="7" t="inlineStr">
        <is>
          <t>DW67</t>
        </is>
      </c>
      <c r="D23" s="7" t="inlineStr">
        <is>
          <t>D316</t>
        </is>
      </c>
      <c r="E23" s="7" t="inlineStr">
        <is>
          <t>1</t>
        </is>
      </c>
      <c r="F23" s="8" t="inlineStr"/>
      <c r="G23" s="8" t="inlineStr">
        <is>
          <t>10000139</t>
        </is>
      </c>
      <c r="H23" s="8" t="inlineStr">
        <is>
          <t>Grava Triturada Andesita 20 mm - 3/4"</t>
        </is>
      </c>
      <c r="I23" s="9" t="n">
        <v>1311</v>
      </c>
      <c r="J23" s="7" t="inlineStr">
        <is>
          <t>20220516</t>
        </is>
      </c>
      <c r="K23" s="7" t="inlineStr">
        <is>
          <t>20241113</t>
        </is>
      </c>
      <c r="L23" s="10" t="n">
        <v>37.98</v>
      </c>
      <c r="M23" s="10" t="n">
        <v>171.31</v>
      </c>
      <c r="N23" s="7" t="inlineStr">
        <is>
          <t>TN</t>
        </is>
      </c>
      <c r="O23" s="10" t="n">
        <v>95</v>
      </c>
      <c r="P23" s="7" t="inlineStr">
        <is>
          <t>M3</t>
        </is>
      </c>
      <c r="Q23" s="10">
        <f>IF(AND(N23="TN",P23="TN"),L23+N(M23),IF(E23&amp;""="1",N(I23)*L23,(L23+N(M23))*N(I23)))</f>
        <v/>
      </c>
      <c r="R23" s="11">
        <f>O23-Q23</f>
        <v/>
      </c>
    </row>
    <row r="24">
      <c r="A24" s="7" t="inlineStr">
        <is>
          <t>900000037</t>
        </is>
      </c>
      <c r="B24" s="8" t="inlineStr">
        <is>
          <t>TC-THOME VILLALBA</t>
        </is>
      </c>
      <c r="C24" s="7" t="inlineStr">
        <is>
          <t>DW67</t>
        </is>
      </c>
      <c r="D24" s="7" t="inlineStr">
        <is>
          <t>D316</t>
        </is>
      </c>
      <c r="E24" s="7" t="inlineStr">
        <is>
          <t>1</t>
        </is>
      </c>
      <c r="F24" s="8" t="inlineStr"/>
      <c r="G24" s="8" t="inlineStr">
        <is>
          <t>10000140</t>
        </is>
      </c>
      <c r="H24" s="8" t="inlineStr">
        <is>
          <t>Grava Triturada Andesita 40 mm - 1 1/2"</t>
        </is>
      </c>
      <c r="I24" s="9" t="n">
        <v>1290</v>
      </c>
      <c r="J24" s="7" t="inlineStr">
        <is>
          <t>20220516</t>
        </is>
      </c>
      <c r="K24" s="7" t="inlineStr">
        <is>
          <t>20241113</t>
        </is>
      </c>
      <c r="L24" s="10" t="n">
        <v>49.69</v>
      </c>
      <c r="M24" s="10" t="n">
        <v>172.36</v>
      </c>
      <c r="N24" s="7" t="inlineStr">
        <is>
          <t>TN</t>
        </is>
      </c>
      <c r="O24" s="10" t="n">
        <v>70</v>
      </c>
      <c r="P24" s="7" t="inlineStr">
        <is>
          <t>M3</t>
        </is>
      </c>
      <c r="Q24" s="10">
        <f>IF(AND(N24="TN",P24="TN"),L24+N(M24),IF(E24&amp;""="1",N(I24)*L24,(L24+N(M24))*N(I24)))</f>
        <v/>
      </c>
      <c r="R24" s="11">
        <f>O24-Q24</f>
        <v/>
      </c>
    </row>
    <row r="25">
      <c r="A25" s="7" t="inlineStr">
        <is>
          <t>900000037</t>
        </is>
      </c>
      <c r="B25" s="8" t="inlineStr">
        <is>
          <t>TC-THOME VILLALBA</t>
        </is>
      </c>
      <c r="C25" s="7" t="inlineStr">
        <is>
          <t>DW67</t>
        </is>
      </c>
      <c r="D25" s="7" t="inlineStr">
        <is>
          <t>D316</t>
        </is>
      </c>
      <c r="E25" s="7" t="inlineStr">
        <is>
          <t>1</t>
        </is>
      </c>
      <c r="F25" s="8" t="inlineStr"/>
      <c r="G25" s="8" t="inlineStr">
        <is>
          <t>10000548</t>
        </is>
      </c>
      <c r="H25" s="8" t="inlineStr">
        <is>
          <t>Grava Triturada Andesita 10 mm - 3/8"</t>
        </is>
      </c>
      <c r="I25" s="9" t="n">
        <v>1315</v>
      </c>
      <c r="J25" s="7" t="inlineStr">
        <is>
          <t>20220516</t>
        </is>
      </c>
      <c r="K25" s="7" t="inlineStr">
        <is>
          <t>20241113</t>
        </is>
      </c>
      <c r="L25" s="10" t="n">
        <v>35.97</v>
      </c>
      <c r="M25" s="10" t="n">
        <v>169.08</v>
      </c>
      <c r="N25" s="7" t="inlineStr">
        <is>
          <t>TN</t>
        </is>
      </c>
      <c r="O25" s="10" t="n">
        <v>47.3</v>
      </c>
      <c r="P25" s="7" t="inlineStr">
        <is>
          <t>M3</t>
        </is>
      </c>
      <c r="Q25" s="10">
        <f>IF(AND(N25="TN",P25="TN"),L25+N(M25),IF(E25&amp;""="1",N(I25)*L25,(L25+N(M25))*N(I25)))</f>
        <v/>
      </c>
      <c r="R25" s="11">
        <f>O25-Q25</f>
        <v/>
      </c>
    </row>
    <row r="26">
      <c r="A26" s="7" t="inlineStr">
        <is>
          <t>900000086</t>
        </is>
      </c>
      <c r="B26" s="8" t="inlineStr"/>
      <c r="C26" s="7" t="inlineStr">
        <is>
          <t>DW67</t>
        </is>
      </c>
      <c r="D26" s="7" t="inlineStr">
        <is>
          <t>D302</t>
        </is>
      </c>
      <c r="E26" s="7" t="inlineStr">
        <is>
          <t>1</t>
        </is>
      </c>
      <c r="F26" s="8" t="inlineStr">
        <is>
          <t>PD0471 COATZACOALCOS</t>
        </is>
      </c>
      <c r="G26" s="8" t="inlineStr">
        <is>
          <t>10000511</t>
        </is>
      </c>
      <c r="H26" s="8" t="inlineStr">
        <is>
          <t>Arena Triturada Andesita Malla 4</t>
        </is>
      </c>
      <c r="I26" s="9" t="n">
        <v>1500</v>
      </c>
      <c r="J26" s="7" t="inlineStr">
        <is>
          <t>20220516</t>
        </is>
      </c>
      <c r="K26" s="7" t="inlineStr">
        <is>
          <t>20240320</t>
        </is>
      </c>
      <c r="L26" s="10" t="n">
        <v>20.92</v>
      </c>
      <c r="M26" s="10" t="n">
        <v>279.73</v>
      </c>
      <c r="N26" s="7" t="inlineStr">
        <is>
          <t>TN</t>
        </is>
      </c>
      <c r="O26" s="10" t="n"/>
      <c r="P26" s="7" t="inlineStr"/>
      <c r="Q26" s="10">
        <f>IF(AND(N26="TN",P26="TN"),L26+N(M26),IF(E26&amp;""="1",N(I26)*L26,(L26+N(M26))*N(I26)))</f>
        <v/>
      </c>
      <c r="R26" s="10">
        <f>O26-Q26</f>
        <v/>
      </c>
    </row>
    <row r="27">
      <c r="A27" s="7" t="inlineStr">
        <is>
          <t>900000110</t>
        </is>
      </c>
      <c r="B27" s="8" t="inlineStr"/>
      <c r="C27" s="7" t="inlineStr">
        <is>
          <t>DW67</t>
        </is>
      </c>
      <c r="D27" s="7" t="inlineStr">
        <is>
          <t>D302</t>
        </is>
      </c>
      <c r="E27" s="7" t="inlineStr">
        <is>
          <t>1</t>
        </is>
      </c>
      <c r="F27" s="8" t="inlineStr">
        <is>
          <t>PD0471 COATZACOALCOS</t>
        </is>
      </c>
      <c r="G27" s="8" t="inlineStr">
        <is>
          <t>10000397</t>
        </is>
      </c>
      <c r="H27" s="8" t="inlineStr">
        <is>
          <t>Grava Triturada Andesita 10 mm - 3/8"</t>
        </is>
      </c>
      <c r="I27" s="9" t="n">
        <v>1315</v>
      </c>
      <c r="J27" s="7" t="inlineStr">
        <is>
          <t>20220516</t>
        </is>
      </c>
      <c r="K27" s="7" t="inlineStr">
        <is>
          <t>20241113</t>
        </is>
      </c>
      <c r="L27" s="10" t="n">
        <v>53.23</v>
      </c>
      <c r="M27" s="10" t="n">
        <v>245.8</v>
      </c>
      <c r="N27" s="7" t="inlineStr">
        <is>
          <t>TN</t>
        </is>
      </c>
      <c r="O27" s="10" t="n"/>
      <c r="P27" s="7" t="inlineStr"/>
      <c r="Q27" s="10">
        <f>IF(AND(N27="TN",P27="TN"),L27+N(M27),IF(E27&amp;""="1",N(I27)*L27,(L27+N(M27))*N(I27)))</f>
        <v/>
      </c>
      <c r="R27" s="10">
        <f>O27-Q27</f>
        <v/>
      </c>
    </row>
    <row r="28">
      <c r="A28" s="7" t="inlineStr">
        <is>
          <t>900000129</t>
        </is>
      </c>
      <c r="B28" s="8" t="inlineStr"/>
      <c r="C28" s="7" t="inlineStr">
        <is>
          <t>DW67</t>
        </is>
      </c>
      <c r="D28" s="7" t="inlineStr">
        <is>
          <t>D302</t>
        </is>
      </c>
      <c r="E28" s="7" t="inlineStr"/>
      <c r="F28" s="8" t="inlineStr">
        <is>
          <t>PD0471 COATZACOALCOS</t>
        </is>
      </c>
      <c r="G28" s="8" t="inlineStr">
        <is>
          <t>10079650</t>
        </is>
      </c>
      <c r="H28" s="8" t="inlineStr">
        <is>
          <t>ARENA DE RIO MALLA 4</t>
        </is>
      </c>
      <c r="I28" s="9" t="n">
        <v>1448</v>
      </c>
      <c r="J28" s="7" t="inlineStr">
        <is>
          <t>20220516</t>
        </is>
      </c>
      <c r="K28" s="7" t="inlineStr">
        <is>
          <t>20230615</t>
        </is>
      </c>
      <c r="L28" s="10" t="n">
        <v>31.08</v>
      </c>
      <c r="M28" s="10" t="n"/>
      <c r="N28" s="7" t="inlineStr">
        <is>
          <t>TN</t>
        </is>
      </c>
      <c r="O28" s="10" t="n"/>
      <c r="P28" s="7" t="inlineStr"/>
      <c r="Q28" s="10">
        <f>IF(AND(N28="TN",P28="TN"),L28+N(M28),IF(E28&amp;""="1",N(I28)*L28,(L28+N(M28))*N(I28)))</f>
        <v/>
      </c>
      <c r="R28" s="10">
        <f>O28-Q28</f>
        <v/>
      </c>
    </row>
    <row r="29">
      <c r="A29" s="7" t="inlineStr">
        <is>
          <t>900000743</t>
        </is>
      </c>
      <c r="B29" s="8" t="inlineStr">
        <is>
          <t>TC SIGSA</t>
        </is>
      </c>
      <c r="C29" s="7" t="inlineStr">
        <is>
          <t>DW67</t>
        </is>
      </c>
      <c r="D29" s="7" t="inlineStr">
        <is>
          <t>D302</t>
        </is>
      </c>
      <c r="E29" s="7" t="inlineStr">
        <is>
          <t>1</t>
        </is>
      </c>
      <c r="F29" s="8" t="inlineStr">
        <is>
          <t>PD0471 COATZACOALCOS</t>
        </is>
      </c>
      <c r="G29" s="8" t="inlineStr">
        <is>
          <t>10000561</t>
        </is>
      </c>
      <c r="H29" s="8" t="inlineStr">
        <is>
          <t>Grava Triturada Caliza 20 mm - 3/4"</t>
        </is>
      </c>
      <c r="I29" s="9" t="n">
        <v>1430</v>
      </c>
      <c r="J29" s="7" t="inlineStr">
        <is>
          <t>20251103</t>
        </is>
      </c>
      <c r="K29" s="7" t="inlineStr">
        <is>
          <t>99991231</t>
        </is>
      </c>
      <c r="L29" s="10" t="n">
        <v>223.78</v>
      </c>
      <c r="M29" s="10" t="n">
        <v>216.78</v>
      </c>
      <c r="N29" s="7" t="inlineStr">
        <is>
          <t>TN</t>
        </is>
      </c>
      <c r="O29" s="10" t="n">
        <v>320</v>
      </c>
      <c r="P29" s="7" t="inlineStr">
        <is>
          <t>M3</t>
        </is>
      </c>
      <c r="Q29" s="10">
        <f>IF(AND(N29="TN",P29="TN"),L29+N(M29),IF(E29&amp;""="1",N(I29)*L29,(L29+N(M29))*N(I29)))</f>
        <v/>
      </c>
      <c r="R29" s="11">
        <f>O29-Q29</f>
        <v/>
      </c>
    </row>
    <row r="30">
      <c r="A30" s="7" t="inlineStr">
        <is>
          <t>900001067</t>
        </is>
      </c>
      <c r="B30" s="8" t="inlineStr"/>
      <c r="C30" s="7" t="inlineStr">
        <is>
          <t>DW67</t>
        </is>
      </c>
      <c r="D30" s="7" t="inlineStr">
        <is>
          <t>D302</t>
        </is>
      </c>
      <c r="E30" s="7" t="inlineStr"/>
      <c r="F30" s="8" t="inlineStr">
        <is>
          <t>PD0471 COATZACOALCOS</t>
        </is>
      </c>
      <c r="G30" s="8" t="inlineStr">
        <is>
          <t>10000178</t>
        </is>
      </c>
      <c r="H30" s="8" t="inlineStr">
        <is>
          <t>Grava Clasificada Río 20 mm - 3/4"</t>
        </is>
      </c>
      <c r="I30" s="9" t="n">
        <v>1507</v>
      </c>
      <c r="J30" s="7" t="inlineStr">
        <is>
          <t>20220516</t>
        </is>
      </c>
      <c r="K30" s="7" t="inlineStr">
        <is>
          <t>20241113</t>
        </is>
      </c>
      <c r="L30" s="10" t="n">
        <v>94.23</v>
      </c>
      <c r="M30" s="10" t="n"/>
      <c r="N30" s="7" t="inlineStr">
        <is>
          <t>TN</t>
        </is>
      </c>
      <c r="O30" s="10" t="n"/>
      <c r="P30" s="7" t="inlineStr"/>
      <c r="Q30" s="10">
        <f>IF(AND(N30="TN",P30="TN"),L30+N(M30),IF(E30&amp;""="1",N(I30)*L30,(L30+N(M30))*N(I30)))</f>
        <v/>
      </c>
      <c r="R30" s="10">
        <f>O30-Q30</f>
        <v/>
      </c>
    </row>
    <row r="31">
      <c r="A31" s="7" t="inlineStr">
        <is>
          <t>900001067</t>
        </is>
      </c>
      <c r="B31" s="8" t="inlineStr"/>
      <c r="C31" s="7" t="inlineStr">
        <is>
          <t>DW67</t>
        </is>
      </c>
      <c r="D31" s="7" t="inlineStr">
        <is>
          <t>D302</t>
        </is>
      </c>
      <c r="E31" s="7" t="inlineStr"/>
      <c r="F31" s="8" t="inlineStr">
        <is>
          <t>PD0471 COATZACOALCOS</t>
        </is>
      </c>
      <c r="G31" s="8" t="inlineStr">
        <is>
          <t>10000826</t>
        </is>
      </c>
      <c r="H31" s="8" t="inlineStr">
        <is>
          <t>Arena Clasificada Río Malla 4</t>
        </is>
      </c>
      <c r="I31" s="9" t="n">
        <v>1450</v>
      </c>
      <c r="J31" s="7" t="inlineStr">
        <is>
          <t>20220516</t>
        </is>
      </c>
      <c r="K31" s="7" t="inlineStr">
        <is>
          <t>20241113</t>
        </is>
      </c>
      <c r="L31" s="10" t="n">
        <v>65.52</v>
      </c>
      <c r="M31" s="10" t="n"/>
      <c r="N31" s="7" t="inlineStr">
        <is>
          <t>TN</t>
        </is>
      </c>
      <c r="O31" s="10" t="n"/>
      <c r="P31" s="7" t="inlineStr"/>
      <c r="Q31" s="10">
        <f>IF(AND(N31="TN",P31="TN"),L31+N(M31),IF(E31&amp;""="1",N(I31)*L31,(L31+N(M31))*N(I31)))</f>
        <v/>
      </c>
      <c r="R31" s="10">
        <f>O31-Q31</f>
        <v/>
      </c>
    </row>
    <row r="32">
      <c r="A32" s="7" t="inlineStr">
        <is>
          <t>900002095</t>
        </is>
      </c>
      <c r="B32" s="8" t="inlineStr"/>
      <c r="C32" s="7" t="inlineStr">
        <is>
          <t>DW67</t>
        </is>
      </c>
      <c r="D32" s="7" t="inlineStr">
        <is>
          <t>D302</t>
        </is>
      </c>
      <c r="E32" s="7" t="inlineStr">
        <is>
          <t>4</t>
        </is>
      </c>
      <c r="F32" s="8" t="inlineStr">
        <is>
          <t>PD0471 COATZACOALCOS</t>
        </is>
      </c>
      <c r="G32" s="8" t="inlineStr">
        <is>
          <t>10000178</t>
        </is>
      </c>
      <c r="H32" s="8" t="inlineStr">
        <is>
          <t>Grava Clasificada Río 20 mm - 3/4"</t>
        </is>
      </c>
      <c r="I32" s="9" t="n">
        <v>1507</v>
      </c>
      <c r="J32" s="7" t="inlineStr">
        <is>
          <t>20220516</t>
        </is>
      </c>
      <c r="K32" s="7" t="inlineStr">
        <is>
          <t>20240320</t>
        </is>
      </c>
      <c r="L32" s="10" t="n">
        <v>180</v>
      </c>
      <c r="M32" s="10" t="n">
        <v>95</v>
      </c>
      <c r="N32" s="7" t="inlineStr">
        <is>
          <t>M3</t>
        </is>
      </c>
      <c r="O32" s="10" t="n"/>
      <c r="P32" s="7" t="inlineStr"/>
      <c r="Q32" s="10">
        <f>IF(AND(N32="TN",P32="TN"),L32+N(M32),IF(E32&amp;""="1",N(I32)*L32,(L32+N(M32))*N(I32)))</f>
        <v/>
      </c>
      <c r="R32" s="10">
        <f>O32-Q32</f>
        <v/>
      </c>
    </row>
    <row r="33">
      <c r="A33" s="7" t="inlineStr">
        <is>
          <t>900002095</t>
        </is>
      </c>
      <c r="B33" s="8" t="inlineStr"/>
      <c r="C33" s="7" t="inlineStr">
        <is>
          <t>DW67</t>
        </is>
      </c>
      <c r="D33" s="7" t="inlineStr">
        <is>
          <t>D302</t>
        </is>
      </c>
      <c r="E33" s="7" t="inlineStr">
        <is>
          <t>4</t>
        </is>
      </c>
      <c r="F33" s="8" t="inlineStr">
        <is>
          <t>PD0471 COATZACOALCOS</t>
        </is>
      </c>
      <c r="G33" s="8" t="inlineStr">
        <is>
          <t>10000826</t>
        </is>
      </c>
      <c r="H33" s="8" t="inlineStr">
        <is>
          <t>Arena Clasificada Río Malla 4</t>
        </is>
      </c>
      <c r="I33" s="9" t="n">
        <v>1450</v>
      </c>
      <c r="J33" s="7" t="inlineStr">
        <is>
          <t>20220516</t>
        </is>
      </c>
      <c r="K33" s="7" t="inlineStr">
        <is>
          <t>20240320</t>
        </is>
      </c>
      <c r="L33" s="10" t="n">
        <v>20.95</v>
      </c>
      <c r="M33" s="10" t="n">
        <v>62.76</v>
      </c>
      <c r="N33" s="7" t="inlineStr">
        <is>
          <t>TN</t>
        </is>
      </c>
      <c r="O33" s="10" t="n"/>
      <c r="P33" s="7" t="inlineStr"/>
      <c r="Q33" s="10">
        <f>IF(AND(N33="TN",P33="TN"),L33+N(M33),IF(E33&amp;""="1",N(I33)*L33,(L33+N(M33))*N(I33)))</f>
        <v/>
      </c>
      <c r="R33" s="10">
        <f>O33-Q33</f>
        <v/>
      </c>
    </row>
    <row r="34">
      <c r="A34" s="7" t="inlineStr">
        <is>
          <t>900002095</t>
        </is>
      </c>
      <c r="B34" s="8" t="inlineStr"/>
      <c r="C34" s="7" t="inlineStr">
        <is>
          <t>DW67</t>
        </is>
      </c>
      <c r="D34" s="7" t="inlineStr">
        <is>
          <t>D310</t>
        </is>
      </c>
      <c r="E34" s="7" t="inlineStr">
        <is>
          <t>4</t>
        </is>
      </c>
      <c r="F34" s="8" t="inlineStr"/>
      <c r="G34" s="8" t="inlineStr">
        <is>
          <t>10000178</t>
        </is>
      </c>
      <c r="H34" s="8" t="inlineStr">
        <is>
          <t>Grava Clasificada Río 20 mm - 3/4"</t>
        </is>
      </c>
      <c r="I34" s="9" t="n">
        <v>1507</v>
      </c>
      <c r="J34" s="7" t="inlineStr">
        <is>
          <t>20220516</t>
        </is>
      </c>
      <c r="K34" s="7" t="inlineStr">
        <is>
          <t>20240320</t>
        </is>
      </c>
      <c r="L34" s="10" t="n">
        <v>49.01</v>
      </c>
      <c r="M34" s="10" t="n">
        <v>90.98999999999999</v>
      </c>
      <c r="N34" s="7" t="inlineStr">
        <is>
          <t>M3</t>
        </is>
      </c>
      <c r="O34" s="10" t="n"/>
      <c r="P34" s="7" t="inlineStr"/>
      <c r="Q34" s="10">
        <f>IF(AND(N34="TN",P34="TN"),L34+N(M34),IF(E34&amp;""="1",N(I34)*L34,(L34+N(M34))*N(I34)))</f>
        <v/>
      </c>
      <c r="R34" s="10">
        <f>O34-Q34</f>
        <v/>
      </c>
    </row>
    <row r="35">
      <c r="A35" s="7" t="inlineStr">
        <is>
          <t>900002095</t>
        </is>
      </c>
      <c r="B35" s="8" t="inlineStr"/>
      <c r="C35" s="7" t="inlineStr">
        <is>
          <t>DW67</t>
        </is>
      </c>
      <c r="D35" s="7" t="inlineStr">
        <is>
          <t>D310</t>
        </is>
      </c>
      <c r="E35" s="7" t="inlineStr">
        <is>
          <t>4</t>
        </is>
      </c>
      <c r="F35" s="8" t="inlineStr"/>
      <c r="G35" s="8" t="inlineStr">
        <is>
          <t>10000826</t>
        </is>
      </c>
      <c r="H35" s="8" t="inlineStr">
        <is>
          <t>Arena Clasificada Río Malla 4</t>
        </is>
      </c>
      <c r="I35" s="9" t="n">
        <v>1450</v>
      </c>
      <c r="J35" s="7" t="inlineStr">
        <is>
          <t>20220516</t>
        </is>
      </c>
      <c r="K35" s="7" t="inlineStr">
        <is>
          <t>20240320</t>
        </is>
      </c>
      <c r="L35" s="10" t="n">
        <v>20.95</v>
      </c>
      <c r="M35" s="10" t="n">
        <v>62.76</v>
      </c>
      <c r="N35" s="7" t="inlineStr">
        <is>
          <t>TN</t>
        </is>
      </c>
      <c r="O35" s="10" t="n"/>
      <c r="P35" s="7" t="inlineStr"/>
      <c r="Q35" s="10">
        <f>IF(AND(N35="TN",P35="TN"),L35+N(M35),IF(E35&amp;""="1",N(I35)*L35,(L35+N(M35))*N(I35)))</f>
        <v/>
      </c>
      <c r="R35" s="10">
        <f>O35-Q35</f>
        <v/>
      </c>
    </row>
    <row r="36">
      <c r="A36" s="7" t="inlineStr">
        <is>
          <t>900002349</t>
        </is>
      </c>
      <c r="B36" s="8" t="inlineStr">
        <is>
          <t>TC-TAPSA</t>
        </is>
      </c>
      <c r="C36" s="7" t="inlineStr">
        <is>
          <t>DW67</t>
        </is>
      </c>
      <c r="D36" s="7" t="inlineStr">
        <is>
          <t>D302</t>
        </is>
      </c>
      <c r="E36" s="7" t="inlineStr">
        <is>
          <t>1</t>
        </is>
      </c>
      <c r="F36" s="8" t="inlineStr">
        <is>
          <t>PD0471 COATZACOALCOS</t>
        </is>
      </c>
      <c r="G36" s="8" t="inlineStr">
        <is>
          <t>10000396</t>
        </is>
      </c>
      <c r="H36" s="8" t="inlineStr">
        <is>
          <t>Grava Triturada Caliza 20 mm - 3/4"</t>
        </is>
      </c>
      <c r="I36" s="9" t="n">
        <v>1382</v>
      </c>
      <c r="J36" s="7" t="inlineStr">
        <is>
          <t>20220808</t>
        </is>
      </c>
      <c r="K36" s="7" t="inlineStr">
        <is>
          <t>20250812</t>
        </is>
      </c>
      <c r="L36" s="10" t="n">
        <v>92.95999999999999</v>
      </c>
      <c r="M36" s="10" t="n">
        <v>321.31</v>
      </c>
      <c r="N36" s="7" t="inlineStr">
        <is>
          <t>TN</t>
        </is>
      </c>
      <c r="O36" s="10" t="n">
        <v>135.45</v>
      </c>
      <c r="P36" s="7" t="inlineStr">
        <is>
          <t>M3</t>
        </is>
      </c>
      <c r="Q36" s="10">
        <f>IF(AND(N36="TN",P36="TN"),L36+N(M36),IF(E36&amp;""="1",N(I36)*L36,(L36+N(M36))*N(I36)))</f>
        <v/>
      </c>
      <c r="R36" s="11">
        <f>O36-Q36</f>
        <v/>
      </c>
    </row>
    <row r="37">
      <c r="A37" s="7" t="inlineStr">
        <is>
          <t>900002410</t>
        </is>
      </c>
      <c r="B37" s="8" t="inlineStr"/>
      <c r="C37" s="7" t="inlineStr">
        <is>
          <t>DW67</t>
        </is>
      </c>
      <c r="D37" s="7" t="inlineStr">
        <is>
          <t>D180</t>
        </is>
      </c>
      <c r="E37" s="7" t="inlineStr"/>
      <c r="F37" s="8" t="inlineStr"/>
      <c r="G37" s="8" t="inlineStr">
        <is>
          <t>10000826</t>
        </is>
      </c>
      <c r="H37" s="8" t="inlineStr">
        <is>
          <t>Arena Clasificada Río Malla 4</t>
        </is>
      </c>
      <c r="I37" s="9" t="n">
        <v>1450</v>
      </c>
      <c r="J37" s="7" t="inlineStr">
        <is>
          <t>20220516</t>
        </is>
      </c>
      <c r="K37" s="7" t="inlineStr">
        <is>
          <t>20230511</t>
        </is>
      </c>
      <c r="L37" s="10" t="n">
        <v>124.14</v>
      </c>
      <c r="M37" s="10" t="n"/>
      <c r="N37" s="7" t="inlineStr">
        <is>
          <t>TN</t>
        </is>
      </c>
      <c r="O37" s="10" t="n"/>
      <c r="P37" s="7" t="inlineStr"/>
      <c r="Q37" s="10">
        <f>IF(AND(N37="TN",P37="TN"),L37+N(M37),IF(E37&amp;""="1",N(I37)*L37,(L37+N(M37))*N(I37)))</f>
        <v/>
      </c>
      <c r="R37" s="10">
        <f>O37-Q37</f>
        <v/>
      </c>
    </row>
    <row r="38">
      <c r="A38" s="7" t="inlineStr">
        <is>
          <t>900002410</t>
        </is>
      </c>
      <c r="B38" s="8" t="inlineStr"/>
      <c r="C38" s="7" t="inlineStr">
        <is>
          <t>DW67</t>
        </is>
      </c>
      <c r="D38" s="7" t="inlineStr">
        <is>
          <t>D302</t>
        </is>
      </c>
      <c r="E38" s="7" t="inlineStr">
        <is>
          <t>1</t>
        </is>
      </c>
      <c r="F38" s="8" t="inlineStr">
        <is>
          <t>PD0471 COATZACOALCOS</t>
        </is>
      </c>
      <c r="G38" s="8" t="inlineStr">
        <is>
          <t>10000178</t>
        </is>
      </c>
      <c r="H38" s="8" t="inlineStr">
        <is>
          <t>Grava Clasificada Río 20 mm - 3/4"</t>
        </is>
      </c>
      <c r="I38" s="9" t="n">
        <v>1507</v>
      </c>
      <c r="J38" s="7" t="inlineStr">
        <is>
          <t>20220516</t>
        </is>
      </c>
      <c r="K38" s="7" t="inlineStr">
        <is>
          <t>20241113</t>
        </is>
      </c>
      <c r="L38" s="10" t="n">
        <v>125.73</v>
      </c>
      <c r="M38" s="10" t="n">
        <v>87.13</v>
      </c>
      <c r="N38" s="7" t="inlineStr">
        <is>
          <t>TN</t>
        </is>
      </c>
      <c r="O38" s="10" t="n"/>
      <c r="P38" s="7" t="inlineStr"/>
      <c r="Q38" s="10">
        <f>IF(AND(N38="TN",P38="TN"),L38+N(M38),IF(E38&amp;""="1",N(I38)*L38,(L38+N(M38))*N(I38)))</f>
        <v/>
      </c>
      <c r="R38" s="10">
        <f>O38-Q38</f>
        <v/>
      </c>
    </row>
    <row r="39">
      <c r="A39" s="7" t="inlineStr">
        <is>
          <t>900002410</t>
        </is>
      </c>
      <c r="B39" s="8" t="inlineStr"/>
      <c r="C39" s="7" t="inlineStr">
        <is>
          <t>DW67</t>
        </is>
      </c>
      <c r="D39" s="7" t="inlineStr">
        <is>
          <t>D302</t>
        </is>
      </c>
      <c r="E39" s="7" t="inlineStr">
        <is>
          <t>1</t>
        </is>
      </c>
      <c r="F39" s="8" t="inlineStr">
        <is>
          <t>PD0471 COATZACOALCOS</t>
        </is>
      </c>
      <c r="G39" s="8" t="inlineStr">
        <is>
          <t>10000826</t>
        </is>
      </c>
      <c r="H39" s="8" t="inlineStr">
        <is>
          <t>Arena Clasificada Río Malla 4</t>
        </is>
      </c>
      <c r="I39" s="9" t="n">
        <v>1450</v>
      </c>
      <c r="J39" s="7" t="inlineStr">
        <is>
          <t>20220516</t>
        </is>
      </c>
      <c r="K39" s="7" t="inlineStr">
        <is>
          <t>20241113</t>
        </is>
      </c>
      <c r="L39" s="10" t="n">
        <v>124.14</v>
      </c>
      <c r="M39" s="10" t="n">
        <v>119.45</v>
      </c>
      <c r="N39" s="7" t="inlineStr">
        <is>
          <t>TN</t>
        </is>
      </c>
      <c r="O39" s="10" t="n"/>
      <c r="P39" s="7" t="inlineStr"/>
      <c r="Q39" s="10">
        <f>IF(AND(N39="TN",P39="TN"),L39+N(M39),IF(E39&amp;""="1",N(I39)*L39,(L39+N(M39))*N(I39)))</f>
        <v/>
      </c>
      <c r="R39" s="10">
        <f>O39-Q39</f>
        <v/>
      </c>
    </row>
    <row r="40">
      <c r="A40" s="7" t="inlineStr">
        <is>
          <t>900002895</t>
        </is>
      </c>
      <c r="B40" s="8" t="inlineStr">
        <is>
          <t>TC-TRIDE</t>
        </is>
      </c>
      <c r="C40" s="7" t="inlineStr">
        <is>
          <t>DW67</t>
        </is>
      </c>
      <c r="D40" s="7" t="inlineStr">
        <is>
          <t>D302</t>
        </is>
      </c>
      <c r="E40" s="7" t="inlineStr">
        <is>
          <t>1</t>
        </is>
      </c>
      <c r="F40" s="8" t="inlineStr">
        <is>
          <t>PD0471 COATZACOALCOS</t>
        </is>
      </c>
      <c r="G40" s="8" t="inlineStr">
        <is>
          <t>10000139</t>
        </is>
      </c>
      <c r="H40" s="8" t="inlineStr">
        <is>
          <t>Grava Triturada Andesita 20 mm - 3/4"</t>
        </is>
      </c>
      <c r="I40" s="9" t="n">
        <v>1311</v>
      </c>
      <c r="J40" s="7" t="inlineStr">
        <is>
          <t>20220624</t>
        </is>
      </c>
      <c r="K40" s="7" t="inlineStr">
        <is>
          <t>20250812</t>
        </is>
      </c>
      <c r="L40" s="10" t="n">
        <v>56.45</v>
      </c>
      <c r="M40" s="10" t="n">
        <v>293.12</v>
      </c>
      <c r="N40" s="7" t="inlineStr">
        <is>
          <t>TN</t>
        </is>
      </c>
      <c r="O40" s="10" t="n">
        <v>74</v>
      </c>
      <c r="P40" s="7" t="inlineStr">
        <is>
          <t>M3</t>
        </is>
      </c>
      <c r="Q40" s="10">
        <f>IF(AND(N40="TN",P40="TN"),L40+N(M40),IF(E40&amp;""="1",N(I40)*L40,(L40+N(M40))*N(I40)))</f>
        <v/>
      </c>
      <c r="R40" s="11">
        <f>O40-Q40</f>
        <v/>
      </c>
    </row>
    <row r="41">
      <c r="A41" s="7" t="inlineStr">
        <is>
          <t>900003437</t>
        </is>
      </c>
      <c r="B41" s="8" t="inlineStr">
        <is>
          <t>TC-ED-RUIZ ROSET</t>
        </is>
      </c>
      <c r="C41" s="7" t="inlineStr">
        <is>
          <t>DW67</t>
        </is>
      </c>
      <c r="D41" s="7" t="inlineStr">
        <is>
          <t>D302</t>
        </is>
      </c>
      <c r="E41" s="7" t="inlineStr">
        <is>
          <t>4</t>
        </is>
      </c>
      <c r="F41" s="8" t="inlineStr">
        <is>
          <t>PD0471 COATZACOALCOS</t>
        </is>
      </c>
      <c r="G41" s="8" t="inlineStr">
        <is>
          <t>10000139</t>
        </is>
      </c>
      <c r="H41" s="8" t="inlineStr">
        <is>
          <t>Grava Triturada Andesita 20 mm - 3/4"</t>
        </is>
      </c>
      <c r="I41" s="9" t="n">
        <v>1311</v>
      </c>
      <c r="J41" s="7" t="inlineStr">
        <is>
          <t>20250428</t>
        </is>
      </c>
      <c r="K41" s="7" t="inlineStr">
        <is>
          <t>20251031</t>
        </is>
      </c>
      <c r="L41" s="10" t="n">
        <v>68.65000000000001</v>
      </c>
      <c r="M41" s="10" t="n">
        <v>808.54</v>
      </c>
      <c r="N41" s="7" t="inlineStr">
        <is>
          <t>TN</t>
        </is>
      </c>
      <c r="O41" s="10" t="n">
        <v>1150</v>
      </c>
      <c r="P41" s="7" t="inlineStr">
        <is>
          <t>M3</t>
        </is>
      </c>
      <c r="Q41" s="10">
        <f>IF(AND(N41="TN",P41="TN"),L41+N(M41),IF(E41&amp;""="1",N(I41)*L41,(L41+N(M41))*N(I41)))</f>
        <v/>
      </c>
      <c r="R41" s="11">
        <f>O41-Q41</f>
        <v/>
      </c>
    </row>
    <row r="42">
      <c r="A42" s="7" t="inlineStr">
        <is>
          <t>900003437</t>
        </is>
      </c>
      <c r="B42" s="8" t="inlineStr">
        <is>
          <t>TC-ED-RUIZ ROSET</t>
        </is>
      </c>
      <c r="C42" s="7" t="inlineStr">
        <is>
          <t>DW67</t>
        </is>
      </c>
      <c r="D42" s="7" t="inlineStr">
        <is>
          <t>D302</t>
        </is>
      </c>
      <c r="E42" s="7" t="inlineStr"/>
      <c r="F42" s="8" t="inlineStr">
        <is>
          <t>PD0471 COATZACOALCOS</t>
        </is>
      </c>
      <c r="G42" s="8" t="inlineStr">
        <is>
          <t>10000372</t>
        </is>
      </c>
      <c r="H42" s="8" t="inlineStr">
        <is>
          <t>Grava Triturada Caliza 20 mm - 3/4"</t>
        </is>
      </c>
      <c r="I42" s="9" t="n">
        <v>1448</v>
      </c>
      <c r="J42" s="7" t="inlineStr">
        <is>
          <t>20260724</t>
        </is>
      </c>
      <c r="K42" s="7" t="inlineStr">
        <is>
          <t>99991231</t>
        </is>
      </c>
      <c r="L42" s="10" t="n">
        <v>248.62</v>
      </c>
      <c r="M42" s="10" t="n"/>
      <c r="N42" s="7" t="inlineStr">
        <is>
          <t>TN</t>
        </is>
      </c>
      <c r="O42" s="10" t="n">
        <v>760</v>
      </c>
      <c r="P42" s="7" t="inlineStr">
        <is>
          <t>M3</t>
        </is>
      </c>
      <c r="Q42" s="10">
        <f>IF(AND(N42="TN",P42="TN"),L42+N(M42),IF(E42&amp;""="1",N(I42)*L42,(L42+N(M42))*N(I42)))</f>
        <v/>
      </c>
      <c r="R42" s="11">
        <f>O42-Q42</f>
        <v/>
      </c>
    </row>
    <row r="43">
      <c r="A43" s="7" t="inlineStr">
        <is>
          <t>900003437</t>
        </is>
      </c>
      <c r="B43" s="8" t="inlineStr">
        <is>
          <t>TC-ED-RUIZ ROSET</t>
        </is>
      </c>
      <c r="C43" s="7" t="inlineStr">
        <is>
          <t>DW67</t>
        </is>
      </c>
      <c r="D43" s="7" t="inlineStr">
        <is>
          <t>D302</t>
        </is>
      </c>
      <c r="E43" s="7" t="inlineStr">
        <is>
          <t>4</t>
        </is>
      </c>
      <c r="F43" s="8" t="inlineStr">
        <is>
          <t>PD0471 COATZACOALCOS</t>
        </is>
      </c>
      <c r="G43" s="8" t="inlineStr">
        <is>
          <t>10000826</t>
        </is>
      </c>
      <c r="H43" s="8" t="inlineStr">
        <is>
          <t>Arena Clasificada Río Malla 4</t>
        </is>
      </c>
      <c r="I43" s="9" t="n">
        <v>1450</v>
      </c>
      <c r="J43" s="7" t="inlineStr">
        <is>
          <t>20260724</t>
        </is>
      </c>
      <c r="K43" s="7" t="inlineStr">
        <is>
          <t>99991231</t>
        </is>
      </c>
      <c r="L43" s="10" t="n">
        <v>165.52</v>
      </c>
      <c r="M43" s="10" t="n">
        <v>144.83</v>
      </c>
      <c r="N43" s="7" t="inlineStr">
        <is>
          <t>TN</t>
        </is>
      </c>
      <c r="O43" s="10" t="n">
        <v>450</v>
      </c>
      <c r="P43" s="7" t="inlineStr">
        <is>
          <t>M3</t>
        </is>
      </c>
      <c r="Q43" s="10">
        <f>IF(AND(N43="TN",P43="TN"),L43+N(M43),IF(E43&amp;""="1",N(I43)*L43,(L43+N(M43))*N(I43)))</f>
        <v/>
      </c>
      <c r="R43" s="11">
        <f>O43-Q43</f>
        <v/>
      </c>
    </row>
    <row r="44">
      <c r="A44" s="7" t="inlineStr">
        <is>
          <t>900003437</t>
        </is>
      </c>
      <c r="B44" s="8" t="inlineStr">
        <is>
          <t>TC-ED-RUIZ ROSET</t>
        </is>
      </c>
      <c r="C44" s="7" t="inlineStr">
        <is>
          <t>DW67</t>
        </is>
      </c>
      <c r="D44" s="7" t="inlineStr">
        <is>
          <t>D302</t>
        </is>
      </c>
      <c r="E44" s="7" t="inlineStr">
        <is>
          <t>4</t>
        </is>
      </c>
      <c r="F44" s="8" t="inlineStr">
        <is>
          <t>PD0471 COATZACOALCOS</t>
        </is>
      </c>
      <c r="G44" s="8" t="inlineStr">
        <is>
          <t>10023900</t>
        </is>
      </c>
      <c r="H44" s="8" t="inlineStr">
        <is>
          <t>Grava Triturada Basalto 20 mm - 3/4"</t>
        </is>
      </c>
      <c r="I44" s="9" t="n">
        <v>1388</v>
      </c>
      <c r="J44" s="7" t="inlineStr">
        <is>
          <t>20220516</t>
        </is>
      </c>
      <c r="K44" s="7" t="inlineStr">
        <is>
          <t>20241113</t>
        </is>
      </c>
      <c r="L44" s="10" t="n">
        <v>107.66</v>
      </c>
      <c r="M44" s="10" t="n">
        <v>155.5</v>
      </c>
      <c r="N44" s="7" t="inlineStr">
        <is>
          <t>TN</t>
        </is>
      </c>
      <c r="O44" s="10" t="n"/>
      <c r="P44" s="7" t="inlineStr"/>
      <c r="Q44" s="10">
        <f>IF(AND(N44="TN",P44="TN"),L44+N(M44),IF(E44&amp;""="1",N(I44)*L44,(L44+N(M44))*N(I44)))</f>
        <v/>
      </c>
      <c r="R44" s="10">
        <f>O44-Q44</f>
        <v/>
      </c>
    </row>
    <row r="45">
      <c r="A45" s="7" t="inlineStr">
        <is>
          <t>900003437</t>
        </is>
      </c>
      <c r="B45" s="8" t="inlineStr">
        <is>
          <t>TC-ED-RUIZ ROSET</t>
        </is>
      </c>
      <c r="C45" s="7" t="inlineStr">
        <is>
          <t>DW67</t>
        </is>
      </c>
      <c r="D45" s="7" t="inlineStr">
        <is>
          <t>D302</t>
        </is>
      </c>
      <c r="E45" s="7" t="inlineStr">
        <is>
          <t>4</t>
        </is>
      </c>
      <c r="F45" s="8" t="inlineStr">
        <is>
          <t>PD0471 COATZACOALCOS</t>
        </is>
      </c>
      <c r="G45" s="8" t="inlineStr">
        <is>
          <t>10032325</t>
        </is>
      </c>
      <c r="H45" s="8" t="inlineStr">
        <is>
          <t>Grava Clasificada Volcanica 20 mm - 3/4"</t>
        </is>
      </c>
      <c r="I45" s="9" t="n">
        <v>540</v>
      </c>
      <c r="J45" s="7" t="inlineStr">
        <is>
          <t>20250428</t>
        </is>
      </c>
      <c r="K45" s="7" t="inlineStr">
        <is>
          <t>20251031</t>
        </is>
      </c>
      <c r="L45" s="10" t="n">
        <v>147.22</v>
      </c>
      <c r="M45" s="10" t="n">
        <v>593.52</v>
      </c>
      <c r="N45" s="7" t="inlineStr">
        <is>
          <t>TN</t>
        </is>
      </c>
      <c r="O45" s="10" t="n">
        <v>400</v>
      </c>
      <c r="P45" s="7" t="inlineStr">
        <is>
          <t>M3</t>
        </is>
      </c>
      <c r="Q45" s="10">
        <f>IF(AND(N45="TN",P45="TN"),L45+N(M45),IF(E45&amp;""="1",N(I45)*L45,(L45+N(M45))*N(I45)))</f>
        <v/>
      </c>
      <c r="R45" s="11">
        <f>O45-Q45</f>
        <v/>
      </c>
    </row>
    <row r="46">
      <c r="A46" s="7" t="inlineStr">
        <is>
          <t>900003437</t>
        </is>
      </c>
      <c r="B46" s="8" t="inlineStr">
        <is>
          <t>TC-ED-RUIZ ROSET</t>
        </is>
      </c>
      <c r="C46" s="7" t="inlineStr">
        <is>
          <t>DW67</t>
        </is>
      </c>
      <c r="D46" s="7" t="inlineStr">
        <is>
          <t>D310</t>
        </is>
      </c>
      <c r="E46" s="7" t="inlineStr">
        <is>
          <t>4</t>
        </is>
      </c>
      <c r="F46" s="8" t="inlineStr"/>
      <c r="G46" s="8" t="inlineStr">
        <is>
          <t>10023900</t>
        </is>
      </c>
      <c r="H46" s="8" t="inlineStr">
        <is>
          <t>Grava Triturada Basalto 20 mm - 3/4"</t>
        </is>
      </c>
      <c r="I46" s="9" t="n">
        <v>1388</v>
      </c>
      <c r="J46" s="7" t="inlineStr">
        <is>
          <t>20220516</t>
        </is>
      </c>
      <c r="K46" s="7" t="inlineStr">
        <is>
          <t>20241113</t>
        </is>
      </c>
      <c r="L46" s="10" t="n">
        <v>107.66</v>
      </c>
      <c r="M46" s="10" t="n">
        <v>155.5</v>
      </c>
      <c r="N46" s="7" t="inlineStr">
        <is>
          <t>TN</t>
        </is>
      </c>
      <c r="O46" s="10" t="n"/>
      <c r="P46" s="7" t="inlineStr"/>
      <c r="Q46" s="10">
        <f>IF(AND(N46="TN",P46="TN"),L46+N(M46),IF(E46&amp;""="1",N(I46)*L46,(L46+N(M46))*N(I46)))</f>
        <v/>
      </c>
      <c r="R46" s="10">
        <f>O46-Q46</f>
        <v/>
      </c>
    </row>
    <row r="47">
      <c r="A47" s="7" t="inlineStr">
        <is>
          <t>900003437</t>
        </is>
      </c>
      <c r="B47" s="8" t="inlineStr">
        <is>
          <t>TC-ED-RUIZ ROSET</t>
        </is>
      </c>
      <c r="C47" s="7" t="inlineStr">
        <is>
          <t>DW67</t>
        </is>
      </c>
      <c r="D47" s="7" t="inlineStr">
        <is>
          <t>D310</t>
        </is>
      </c>
      <c r="E47" s="7" t="inlineStr">
        <is>
          <t>4</t>
        </is>
      </c>
      <c r="F47" s="8" t="inlineStr"/>
      <c r="G47" s="8" t="inlineStr">
        <is>
          <t>10032325</t>
        </is>
      </c>
      <c r="H47" s="8" t="inlineStr">
        <is>
          <t>Grava Clasificada Volcanica 20 mm - 3/4"</t>
        </is>
      </c>
      <c r="I47" s="9" t="n">
        <v>540</v>
      </c>
      <c r="J47" s="7" t="inlineStr">
        <is>
          <t>20220516</t>
        </is>
      </c>
      <c r="K47" s="7" t="inlineStr">
        <is>
          <t>20241113</t>
        </is>
      </c>
      <c r="L47" s="10" t="n">
        <v>154.97</v>
      </c>
      <c r="M47" s="10" t="n">
        <v>429.82</v>
      </c>
      <c r="N47" s="7" t="inlineStr">
        <is>
          <t>TN</t>
        </is>
      </c>
      <c r="O47" s="10" t="n">
        <v>400</v>
      </c>
      <c r="P47" s="7" t="inlineStr">
        <is>
          <t>M3</t>
        </is>
      </c>
      <c r="Q47" s="10">
        <f>IF(AND(N47="TN",P47="TN"),L47+N(M47),IF(E47&amp;""="1",N(I47)*L47,(L47+N(M47))*N(I47)))</f>
        <v/>
      </c>
      <c r="R47" s="11">
        <f>O47-Q47</f>
        <v/>
      </c>
    </row>
    <row r="48">
      <c r="A48" s="7" t="inlineStr">
        <is>
          <t>900003903</t>
        </is>
      </c>
      <c r="B48" s="8" t="inlineStr">
        <is>
          <t>TC ESCUDERO AGUILAR</t>
        </is>
      </c>
      <c r="C48" s="7" t="inlineStr">
        <is>
          <t>DW67</t>
        </is>
      </c>
      <c r="D48" s="7" t="inlineStr">
        <is>
          <t>D302</t>
        </is>
      </c>
      <c r="E48" s="7" t="inlineStr">
        <is>
          <t>1</t>
        </is>
      </c>
      <c r="F48" s="8" t="inlineStr">
        <is>
          <t>PD0471 COATZACOALCOS</t>
        </is>
      </c>
      <c r="G48" s="8" t="inlineStr">
        <is>
          <t>10000826</t>
        </is>
      </c>
      <c r="H48" s="8" t="inlineStr">
        <is>
          <t>Arena Clasificada Río Malla 4</t>
        </is>
      </c>
      <c r="I48" s="9" t="n">
        <v>1450</v>
      </c>
      <c r="J48" s="7" t="inlineStr">
        <is>
          <t>20250428</t>
        </is>
      </c>
      <c r="K48" s="7" t="inlineStr">
        <is>
          <t>20251031</t>
        </is>
      </c>
      <c r="L48" s="10" t="n">
        <v>36.55</v>
      </c>
      <c r="M48" s="10" t="n">
        <v>184.92</v>
      </c>
      <c r="N48" s="7" t="inlineStr">
        <is>
          <t>TN</t>
        </is>
      </c>
      <c r="O48" s="10" t="n">
        <v>53</v>
      </c>
      <c r="P48" s="7" t="inlineStr">
        <is>
          <t>M3</t>
        </is>
      </c>
      <c r="Q48" s="10">
        <f>IF(AND(N48="TN",P48="TN"),L48+N(M48),IF(E48&amp;""="1",N(I48)*L48,(L48+N(M48))*N(I48)))</f>
        <v/>
      </c>
      <c r="R48" s="11">
        <f>O48-Q48</f>
        <v/>
      </c>
    </row>
    <row r="49">
      <c r="A49" s="7" t="inlineStr">
        <is>
          <t>900003929</t>
        </is>
      </c>
      <c r="B49" s="8" t="inlineStr"/>
      <c r="C49" s="7" t="inlineStr">
        <is>
          <t>DW67</t>
        </is>
      </c>
      <c r="D49" s="7" t="inlineStr">
        <is>
          <t>D302</t>
        </is>
      </c>
      <c r="E49" s="7" t="inlineStr">
        <is>
          <t>1</t>
        </is>
      </c>
      <c r="F49" s="8" t="inlineStr">
        <is>
          <t>PD0471 COATZACOALCOS</t>
        </is>
      </c>
      <c r="G49" s="8" t="inlineStr">
        <is>
          <t>10000372</t>
        </is>
      </c>
      <c r="H49" s="8" t="inlineStr">
        <is>
          <t>Grava Triturada Caliza 20 mm - 3/4"</t>
        </is>
      </c>
      <c r="I49" s="9" t="n">
        <v>1448</v>
      </c>
      <c r="J49" s="7" t="inlineStr">
        <is>
          <t>20220516</t>
        </is>
      </c>
      <c r="K49" s="7" t="inlineStr">
        <is>
          <t>20241113</t>
        </is>
      </c>
      <c r="L49" s="10" t="n">
        <v>175.41</v>
      </c>
      <c r="M49" s="10" t="n">
        <v>282.52</v>
      </c>
      <c r="N49" s="7" t="inlineStr">
        <is>
          <t>TN</t>
        </is>
      </c>
      <c r="O49" s="10" t="n"/>
      <c r="P49" s="7" t="inlineStr"/>
      <c r="Q49" s="10">
        <f>IF(AND(N49="TN",P49="TN"),L49+N(M49),IF(E49&amp;""="1",N(I49)*L49,(L49+N(M49))*N(I49)))</f>
        <v/>
      </c>
      <c r="R49" s="10">
        <f>O49-Q49</f>
        <v/>
      </c>
    </row>
    <row r="50">
      <c r="A50" s="7" t="inlineStr">
        <is>
          <t>900004163</t>
        </is>
      </c>
      <c r="B50" s="8" t="inlineStr"/>
      <c r="C50" s="7" t="inlineStr">
        <is>
          <t>DW67</t>
        </is>
      </c>
      <c r="D50" s="7" t="inlineStr">
        <is>
          <t>D302</t>
        </is>
      </c>
      <c r="E50" s="7" t="inlineStr">
        <is>
          <t>1</t>
        </is>
      </c>
      <c r="F50" s="8" t="inlineStr">
        <is>
          <t>PD0471 COATZACOALCOS</t>
        </is>
      </c>
      <c r="G50" s="8" t="inlineStr">
        <is>
          <t>10000370</t>
        </is>
      </c>
      <c r="H50" s="8" t="inlineStr">
        <is>
          <t>Grava Clasificada Río 20 mm - 3/4"</t>
        </is>
      </c>
      <c r="I50" s="9" t="n">
        <v>1507</v>
      </c>
      <c r="J50" s="7" t="inlineStr">
        <is>
          <t>20220516</t>
        </is>
      </c>
      <c r="K50" s="7" t="inlineStr">
        <is>
          <t>20240320</t>
        </is>
      </c>
      <c r="L50" s="10" t="n">
        <v>85.23999999999999</v>
      </c>
      <c r="M50" s="10" t="n">
        <v>69.51000000000001</v>
      </c>
      <c r="N50" s="7" t="inlineStr">
        <is>
          <t>TN</t>
        </is>
      </c>
      <c r="O50" s="10" t="n"/>
      <c r="P50" s="7" t="inlineStr"/>
      <c r="Q50" s="10">
        <f>IF(AND(N50="TN",P50="TN"),L50+N(M50),IF(E50&amp;""="1",N(I50)*L50,(L50+N(M50))*N(I50)))</f>
        <v/>
      </c>
      <c r="R50" s="10">
        <f>O50-Q50</f>
        <v/>
      </c>
    </row>
    <row r="51">
      <c r="A51" s="7" t="inlineStr">
        <is>
          <t>900004163</t>
        </is>
      </c>
      <c r="B51" s="8" t="inlineStr"/>
      <c r="C51" s="7" t="inlineStr">
        <is>
          <t>DW67</t>
        </is>
      </c>
      <c r="D51" s="7" t="inlineStr">
        <is>
          <t>D310</t>
        </is>
      </c>
      <c r="E51" s="7" t="inlineStr">
        <is>
          <t>1</t>
        </is>
      </c>
      <c r="F51" s="8" t="inlineStr"/>
      <c r="G51" s="8" t="inlineStr">
        <is>
          <t>10000370</t>
        </is>
      </c>
      <c r="H51" s="8" t="inlineStr">
        <is>
          <t>Grava Clasificada Río 20 mm - 3/4"</t>
        </is>
      </c>
      <c r="I51" s="9" t="n">
        <v>1507</v>
      </c>
      <c r="J51" s="7" t="inlineStr">
        <is>
          <t>20220516</t>
        </is>
      </c>
      <c r="K51" s="7" t="inlineStr">
        <is>
          <t>20240320</t>
        </is>
      </c>
      <c r="L51" s="10" t="n">
        <v>80.33</v>
      </c>
      <c r="M51" s="10" t="n">
        <v>65.43000000000001</v>
      </c>
      <c r="N51" s="7" t="inlineStr">
        <is>
          <t>TN</t>
        </is>
      </c>
      <c r="O51" s="10" t="n"/>
      <c r="P51" s="7" t="inlineStr"/>
      <c r="Q51" s="10">
        <f>IF(AND(N51="TN",P51="TN"),L51+N(M51),IF(E51&amp;""="1",N(I51)*L51,(L51+N(M51))*N(I51)))</f>
        <v/>
      </c>
      <c r="R51" s="10">
        <f>O51-Q51</f>
        <v/>
      </c>
    </row>
    <row r="52">
      <c r="A52" s="7" t="inlineStr">
        <is>
          <t>900004163</t>
        </is>
      </c>
      <c r="B52" s="8" t="inlineStr"/>
      <c r="C52" s="7" t="inlineStr">
        <is>
          <t>DW67</t>
        </is>
      </c>
      <c r="D52" s="7" t="inlineStr">
        <is>
          <t>D316</t>
        </is>
      </c>
      <c r="E52" s="7" t="inlineStr">
        <is>
          <t>1</t>
        </is>
      </c>
      <c r="F52" s="8" t="inlineStr"/>
      <c r="G52" s="8" t="inlineStr">
        <is>
          <t>10000370</t>
        </is>
      </c>
      <c r="H52" s="8" t="inlineStr">
        <is>
          <t>Grava Clasificada Río 20 mm - 3/4"</t>
        </is>
      </c>
      <c r="I52" s="9" t="n">
        <v>1507</v>
      </c>
      <c r="J52" s="7" t="inlineStr">
        <is>
          <t>20220516</t>
        </is>
      </c>
      <c r="K52" s="7" t="inlineStr">
        <is>
          <t>20240320</t>
        </is>
      </c>
      <c r="L52" s="10" t="n">
        <v>90.45999999999999</v>
      </c>
      <c r="M52" s="10" t="n">
        <v>81.33</v>
      </c>
      <c r="N52" s="7" t="inlineStr">
        <is>
          <t>TN</t>
        </is>
      </c>
      <c r="O52" s="10" t="n"/>
      <c r="P52" s="7" t="inlineStr"/>
      <c r="Q52" s="10">
        <f>IF(AND(N52="TN",P52="TN"),L52+N(M52),IF(E52&amp;""="1",N(I52)*L52,(L52+N(M52))*N(I52)))</f>
        <v/>
      </c>
      <c r="R52" s="10">
        <f>O52-Q52</f>
        <v/>
      </c>
    </row>
    <row r="53">
      <c r="A53" s="7" t="inlineStr">
        <is>
          <t>900004576</t>
        </is>
      </c>
      <c r="B53" s="8" t="inlineStr"/>
      <c r="C53" s="7" t="inlineStr">
        <is>
          <t>DW67</t>
        </is>
      </c>
      <c r="D53" s="7" t="inlineStr">
        <is>
          <t>D302</t>
        </is>
      </c>
      <c r="E53" s="7" t="inlineStr">
        <is>
          <t>1</t>
        </is>
      </c>
      <c r="F53" s="8" t="inlineStr">
        <is>
          <t>PD0471 COATZACOALCOS</t>
        </is>
      </c>
      <c r="G53" s="8" t="inlineStr">
        <is>
          <t>10000390</t>
        </is>
      </c>
      <c r="H53" s="8" t="inlineStr">
        <is>
          <t>Grava Triturada Caliza 20 mm - 3/4"</t>
        </is>
      </c>
      <c r="I53" s="9" t="n">
        <v>1415</v>
      </c>
      <c r="J53" s="7" t="inlineStr">
        <is>
          <t>20220516</t>
        </is>
      </c>
      <c r="K53" s="7" t="inlineStr">
        <is>
          <t>20240320</t>
        </is>
      </c>
      <c r="L53" s="10" t="n">
        <v>113.07</v>
      </c>
      <c r="M53" s="10" t="n">
        <v>122.64</v>
      </c>
      <c r="N53" s="7" t="inlineStr">
        <is>
          <t>TN</t>
        </is>
      </c>
      <c r="O53" s="10" t="n"/>
      <c r="P53" s="7" t="inlineStr"/>
      <c r="Q53" s="10">
        <f>IF(AND(N53="TN",P53="TN"),L53+N(M53),IF(E53&amp;""="1",N(I53)*L53,(L53+N(M53))*N(I53)))</f>
        <v/>
      </c>
      <c r="R53" s="10">
        <f>O53-Q53</f>
        <v/>
      </c>
    </row>
    <row r="54">
      <c r="A54" s="7" t="inlineStr">
        <is>
          <t>900004576</t>
        </is>
      </c>
      <c r="B54" s="8" t="inlineStr"/>
      <c r="C54" s="7" t="inlineStr">
        <is>
          <t>DW67</t>
        </is>
      </c>
      <c r="D54" s="7" t="inlineStr">
        <is>
          <t>D316</t>
        </is>
      </c>
      <c r="E54" s="7" t="inlineStr">
        <is>
          <t>1</t>
        </is>
      </c>
      <c r="F54" s="8" t="inlineStr"/>
      <c r="G54" s="8" t="inlineStr">
        <is>
          <t>10000390</t>
        </is>
      </c>
      <c r="H54" s="8" t="inlineStr">
        <is>
          <t>Grava Triturada Caliza 20 mm - 3/4"</t>
        </is>
      </c>
      <c r="I54" s="9" t="n">
        <v>1415</v>
      </c>
      <c r="J54" s="7" t="inlineStr">
        <is>
          <t>20220516</t>
        </is>
      </c>
      <c r="K54" s="7" t="inlineStr">
        <is>
          <t>20240320</t>
        </is>
      </c>
      <c r="L54" s="10" t="n">
        <v>113.07</v>
      </c>
      <c r="M54" s="10" t="n">
        <v>122.64</v>
      </c>
      <c r="N54" s="7" t="inlineStr">
        <is>
          <t>TN</t>
        </is>
      </c>
      <c r="O54" s="10" t="n"/>
      <c r="P54" s="7" t="inlineStr"/>
      <c r="Q54" s="10">
        <f>IF(AND(N54="TN",P54="TN"),L54+N(M54),IF(E54&amp;""="1",N(I54)*L54,(L54+N(M54))*N(I54)))</f>
        <v/>
      </c>
      <c r="R54" s="10">
        <f>O54-Q54</f>
        <v/>
      </c>
    </row>
    <row r="55">
      <c r="A55" s="7" t="inlineStr">
        <is>
          <t>900004612</t>
        </is>
      </c>
      <c r="B55" s="8" t="inlineStr"/>
      <c r="C55" s="7" t="inlineStr">
        <is>
          <t>DW67</t>
        </is>
      </c>
      <c r="D55" s="7" t="inlineStr">
        <is>
          <t>D302</t>
        </is>
      </c>
      <c r="E55" s="7" t="inlineStr"/>
      <c r="F55" s="8" t="inlineStr">
        <is>
          <t>PD0471 COATZACOALCOS</t>
        </is>
      </c>
      <c r="G55" s="8" t="inlineStr">
        <is>
          <t>10000178</t>
        </is>
      </c>
      <c r="H55" s="8" t="inlineStr">
        <is>
          <t>Grava Clasificada Río 20 mm - 3/4"</t>
        </is>
      </c>
      <c r="I55" s="9" t="n">
        <v>1507</v>
      </c>
      <c r="J55" s="7" t="inlineStr">
        <is>
          <t>20220516</t>
        </is>
      </c>
      <c r="K55" s="7" t="inlineStr">
        <is>
          <t>20230615</t>
        </is>
      </c>
      <c r="L55" s="10" t="n">
        <v>119.44</v>
      </c>
      <c r="M55" s="10" t="n"/>
      <c r="N55" s="7" t="inlineStr">
        <is>
          <t>TN</t>
        </is>
      </c>
      <c r="O55" s="10" t="n"/>
      <c r="P55" s="7" t="inlineStr"/>
      <c r="Q55" s="10">
        <f>IF(AND(N55="TN",P55="TN"),L55+N(M55),IF(E55&amp;""="1",N(I55)*L55,(L55+N(M55))*N(I55)))</f>
        <v/>
      </c>
      <c r="R55" s="10">
        <f>O55-Q55</f>
        <v/>
      </c>
    </row>
    <row r="56">
      <c r="A56" s="7" t="inlineStr">
        <is>
          <t>900004612</t>
        </is>
      </c>
      <c r="B56" s="8" t="inlineStr"/>
      <c r="C56" s="7" t="inlineStr">
        <is>
          <t>DW67</t>
        </is>
      </c>
      <c r="D56" s="7" t="inlineStr">
        <is>
          <t>D302</t>
        </is>
      </c>
      <c r="E56" s="7" t="inlineStr"/>
      <c r="F56" s="8" t="inlineStr">
        <is>
          <t>PD0471 COATZACOALCOS</t>
        </is>
      </c>
      <c r="G56" s="8" t="inlineStr">
        <is>
          <t>10000541</t>
        </is>
      </c>
      <c r="H56" s="8" t="inlineStr">
        <is>
          <t>Grava Clasificada Río 10 mm - 3/8"</t>
        </is>
      </c>
      <c r="I56" s="9" t="n">
        <v>1528</v>
      </c>
      <c r="J56" s="7" t="inlineStr">
        <is>
          <t>20220516</t>
        </is>
      </c>
      <c r="K56" s="7" t="inlineStr">
        <is>
          <t>20230615</t>
        </is>
      </c>
      <c r="L56" s="10" t="n">
        <v>98.17</v>
      </c>
      <c r="M56" s="10" t="n"/>
      <c r="N56" s="7" t="inlineStr">
        <is>
          <t>TN</t>
        </is>
      </c>
      <c r="O56" s="10" t="n"/>
      <c r="P56" s="7" t="inlineStr"/>
      <c r="Q56" s="10">
        <f>IF(AND(N56="TN",P56="TN"),L56+N(M56),IF(E56&amp;""="1",N(I56)*L56,(L56+N(M56))*N(I56)))</f>
        <v/>
      </c>
      <c r="R56" s="10">
        <f>O56-Q56</f>
        <v/>
      </c>
    </row>
    <row r="57">
      <c r="A57" s="7" t="inlineStr">
        <is>
          <t>900004612</t>
        </is>
      </c>
      <c r="B57" s="8" t="inlineStr"/>
      <c r="C57" s="7" t="inlineStr">
        <is>
          <t>DW67</t>
        </is>
      </c>
      <c r="D57" s="7" t="inlineStr">
        <is>
          <t>D302</t>
        </is>
      </c>
      <c r="E57" s="7" t="inlineStr"/>
      <c r="F57" s="8" t="inlineStr">
        <is>
          <t>PD0471 COATZACOALCOS</t>
        </is>
      </c>
      <c r="G57" s="8" t="inlineStr">
        <is>
          <t>10000826</t>
        </is>
      </c>
      <c r="H57" s="8" t="inlineStr">
        <is>
          <t>Arena Clasificada Río Malla 4</t>
        </is>
      </c>
      <c r="I57" s="9" t="n">
        <v>1450</v>
      </c>
      <c r="J57" s="7" t="inlineStr">
        <is>
          <t>20220516</t>
        </is>
      </c>
      <c r="K57" s="7" t="inlineStr">
        <is>
          <t>20230615</t>
        </is>
      </c>
      <c r="L57" s="10" t="n">
        <v>120.69</v>
      </c>
      <c r="M57" s="10" t="n"/>
      <c r="N57" s="7" t="inlineStr">
        <is>
          <t>TN</t>
        </is>
      </c>
      <c r="O57" s="10" t="n"/>
      <c r="P57" s="7" t="inlineStr"/>
      <c r="Q57" s="10">
        <f>IF(AND(N57="TN",P57="TN"),L57+N(M57),IF(E57&amp;""="1",N(I57)*L57,(L57+N(M57))*N(I57)))</f>
        <v/>
      </c>
      <c r="R57" s="10">
        <f>O57-Q57</f>
        <v/>
      </c>
    </row>
    <row r="58">
      <c r="A58" s="7" t="inlineStr">
        <is>
          <t>900004907</t>
        </is>
      </c>
      <c r="B58" s="8" t="inlineStr"/>
      <c r="C58" s="7" t="inlineStr">
        <is>
          <t>DW67</t>
        </is>
      </c>
      <c r="D58" s="7" t="inlineStr">
        <is>
          <t>D302</t>
        </is>
      </c>
      <c r="E58" s="7" t="inlineStr">
        <is>
          <t>4</t>
        </is>
      </c>
      <c r="F58" s="8" t="inlineStr">
        <is>
          <t>PD0471 COATZACOALCOS</t>
        </is>
      </c>
      <c r="G58" s="8" t="inlineStr">
        <is>
          <t>10000213</t>
        </is>
      </c>
      <c r="H58" s="8" t="inlineStr">
        <is>
          <t>Arena Clasificada Río Malla 4</t>
        </is>
      </c>
      <c r="I58" s="9" t="n">
        <v>1450</v>
      </c>
      <c r="J58" s="7" t="inlineStr">
        <is>
          <t>20220516</t>
        </is>
      </c>
      <c r="K58" s="7" t="inlineStr">
        <is>
          <t>20241113</t>
        </is>
      </c>
      <c r="L58" s="10" t="n">
        <v>76.23</v>
      </c>
      <c r="M58" s="10" t="n">
        <v>76.8</v>
      </c>
      <c r="N58" s="7" t="inlineStr">
        <is>
          <t>TN</t>
        </is>
      </c>
      <c r="O58" s="10" t="n"/>
      <c r="P58" s="7" t="inlineStr"/>
      <c r="Q58" s="10">
        <f>IF(AND(N58="TN",P58="TN"),L58+N(M58),IF(E58&amp;""="1",N(I58)*L58,(L58+N(M58))*N(I58)))</f>
        <v/>
      </c>
      <c r="R58" s="10">
        <f>O58-Q58</f>
        <v/>
      </c>
    </row>
    <row r="59">
      <c r="A59" s="7" t="inlineStr">
        <is>
          <t>900004907</t>
        </is>
      </c>
      <c r="B59" s="8" t="inlineStr"/>
      <c r="C59" s="7" t="inlineStr">
        <is>
          <t>DW67</t>
        </is>
      </c>
      <c r="D59" s="7" t="inlineStr">
        <is>
          <t>D302</t>
        </is>
      </c>
      <c r="E59" s="7" t="inlineStr">
        <is>
          <t>4</t>
        </is>
      </c>
      <c r="F59" s="8" t="inlineStr">
        <is>
          <t>PD0471 COATZACOALCOS</t>
        </is>
      </c>
      <c r="G59" s="8" t="inlineStr">
        <is>
          <t>10000370</t>
        </is>
      </c>
      <c r="H59" s="8" t="inlineStr">
        <is>
          <t>Grava Clasificada Río 20 mm - 3/4"</t>
        </is>
      </c>
      <c r="I59" s="9" t="n">
        <v>1507</v>
      </c>
      <c r="J59" s="7" t="inlineStr">
        <is>
          <t>20220516</t>
        </is>
      </c>
      <c r="K59" s="7" t="inlineStr">
        <is>
          <t>20241113</t>
        </is>
      </c>
      <c r="L59" s="10" t="n">
        <v>88.01000000000001</v>
      </c>
      <c r="M59" s="10" t="n">
        <v>71.17</v>
      </c>
      <c r="N59" s="7" t="inlineStr">
        <is>
          <t>TN</t>
        </is>
      </c>
      <c r="O59" s="10" t="n"/>
      <c r="P59" s="7" t="inlineStr"/>
      <c r="Q59" s="10">
        <f>IF(AND(N59="TN",P59="TN"),L59+N(M59),IF(E59&amp;""="1",N(I59)*L59,(L59+N(M59))*N(I59)))</f>
        <v/>
      </c>
      <c r="R59" s="10">
        <f>O59-Q59</f>
        <v/>
      </c>
    </row>
    <row r="60">
      <c r="A60" s="7" t="inlineStr">
        <is>
          <t>900004907</t>
        </is>
      </c>
      <c r="B60" s="8" t="inlineStr"/>
      <c r="C60" s="7" t="inlineStr">
        <is>
          <t>DW67</t>
        </is>
      </c>
      <c r="D60" s="7" t="inlineStr">
        <is>
          <t>D302</t>
        </is>
      </c>
      <c r="E60" s="7" t="inlineStr">
        <is>
          <t>4</t>
        </is>
      </c>
      <c r="F60" s="8" t="inlineStr">
        <is>
          <t>PD0471 COATZACOALCOS</t>
        </is>
      </c>
      <c r="G60" s="8" t="inlineStr">
        <is>
          <t>10000541</t>
        </is>
      </c>
      <c r="H60" s="8" t="inlineStr">
        <is>
          <t>Grava Clasificada Río 10 mm - 3/8"</t>
        </is>
      </c>
      <c r="I60" s="9" t="n">
        <v>1528</v>
      </c>
      <c r="J60" s="7" t="inlineStr">
        <is>
          <t>20220516</t>
        </is>
      </c>
      <c r="K60" s="7" t="inlineStr">
        <is>
          <t>20241113</t>
        </is>
      </c>
      <c r="L60" s="10" t="n">
        <v>86.8</v>
      </c>
      <c r="M60" s="10" t="n">
        <v>54.25</v>
      </c>
      <c r="N60" s="7" t="inlineStr">
        <is>
          <t>TN</t>
        </is>
      </c>
      <c r="O60" s="10" t="n"/>
      <c r="P60" s="7" t="inlineStr"/>
      <c r="Q60" s="10">
        <f>IF(AND(N60="TN",P60="TN"),L60+N(M60),IF(E60&amp;""="1",N(I60)*L60,(L60+N(M60))*N(I60)))</f>
        <v/>
      </c>
      <c r="R60" s="10">
        <f>O60-Q60</f>
        <v/>
      </c>
    </row>
    <row r="61">
      <c r="A61" s="7" t="inlineStr">
        <is>
          <t>900004907</t>
        </is>
      </c>
      <c r="B61" s="8" t="inlineStr"/>
      <c r="C61" s="7" t="inlineStr">
        <is>
          <t>DW67</t>
        </is>
      </c>
      <c r="D61" s="7" t="inlineStr">
        <is>
          <t>D310</t>
        </is>
      </c>
      <c r="E61" s="7" t="inlineStr">
        <is>
          <t>4</t>
        </is>
      </c>
      <c r="F61" s="8" t="inlineStr"/>
      <c r="G61" s="8" t="inlineStr">
        <is>
          <t>10000213</t>
        </is>
      </c>
      <c r="H61" s="8" t="inlineStr">
        <is>
          <t>Arena Clasificada Río Malla 4</t>
        </is>
      </c>
      <c r="I61" s="9" t="n">
        <v>1450</v>
      </c>
      <c r="J61" s="7" t="inlineStr">
        <is>
          <t>20220516</t>
        </is>
      </c>
      <c r="K61" s="7" t="inlineStr">
        <is>
          <t>20241113</t>
        </is>
      </c>
      <c r="L61" s="10" t="n">
        <v>76.23</v>
      </c>
      <c r="M61" s="10" t="n">
        <v>63.83</v>
      </c>
      <c r="N61" s="7" t="inlineStr">
        <is>
          <t>TN</t>
        </is>
      </c>
      <c r="O61" s="10" t="n"/>
      <c r="P61" s="7" t="inlineStr"/>
      <c r="Q61" s="10">
        <f>IF(AND(N61="TN",P61="TN"),L61+N(M61),IF(E61&amp;""="1",N(I61)*L61,(L61+N(M61))*N(I61)))</f>
        <v/>
      </c>
      <c r="R61" s="10">
        <f>O61-Q61</f>
        <v/>
      </c>
    </row>
    <row r="62">
      <c r="A62" s="7" t="inlineStr">
        <is>
          <t>900004907</t>
        </is>
      </c>
      <c r="B62" s="8" t="inlineStr"/>
      <c r="C62" s="7" t="inlineStr">
        <is>
          <t>DW67</t>
        </is>
      </c>
      <c r="D62" s="7" t="inlineStr">
        <is>
          <t>D310</t>
        </is>
      </c>
      <c r="E62" s="7" t="inlineStr">
        <is>
          <t>4</t>
        </is>
      </c>
      <c r="F62" s="8" t="inlineStr"/>
      <c r="G62" s="8" t="inlineStr">
        <is>
          <t>10000370</t>
        </is>
      </c>
      <c r="H62" s="8" t="inlineStr">
        <is>
          <t>Grava Clasificada Río 20 mm - 3/4"</t>
        </is>
      </c>
      <c r="I62" s="9" t="n">
        <v>1507</v>
      </c>
      <c r="J62" s="7" t="inlineStr">
        <is>
          <t>20220516</t>
        </is>
      </c>
      <c r="K62" s="7" t="inlineStr">
        <is>
          <t>20241113</t>
        </is>
      </c>
      <c r="L62" s="10" t="n">
        <v>92.51000000000001</v>
      </c>
      <c r="M62" s="10" t="n">
        <v>55.98</v>
      </c>
      <c r="N62" s="7" t="inlineStr">
        <is>
          <t>TN</t>
        </is>
      </c>
      <c r="O62" s="10" t="n"/>
      <c r="P62" s="7" t="inlineStr"/>
      <c r="Q62" s="10">
        <f>IF(AND(N62="TN",P62="TN"),L62+N(M62),IF(E62&amp;""="1",N(I62)*L62,(L62+N(M62))*N(I62)))</f>
        <v/>
      </c>
      <c r="R62" s="10">
        <f>O62-Q62</f>
        <v/>
      </c>
    </row>
    <row r="63">
      <c r="A63" s="7" t="inlineStr">
        <is>
          <t>900004907</t>
        </is>
      </c>
      <c r="B63" s="8" t="inlineStr"/>
      <c r="C63" s="7" t="inlineStr">
        <is>
          <t>DW67</t>
        </is>
      </c>
      <c r="D63" s="7" t="inlineStr">
        <is>
          <t>D310</t>
        </is>
      </c>
      <c r="E63" s="7" t="inlineStr">
        <is>
          <t>4</t>
        </is>
      </c>
      <c r="F63" s="8" t="inlineStr"/>
      <c r="G63" s="8" t="inlineStr">
        <is>
          <t>10000541</t>
        </is>
      </c>
      <c r="H63" s="8" t="inlineStr">
        <is>
          <t>Grava Clasificada Río 10 mm - 3/8"</t>
        </is>
      </c>
      <c r="I63" s="9" t="n">
        <v>1528</v>
      </c>
      <c r="J63" s="7" t="inlineStr">
        <is>
          <t>20220516</t>
        </is>
      </c>
      <c r="K63" s="7" t="inlineStr">
        <is>
          <t>20241113</t>
        </is>
      </c>
      <c r="L63" s="10" t="n">
        <v>86.8</v>
      </c>
      <c r="M63" s="10" t="n">
        <v>54.25</v>
      </c>
      <c r="N63" s="7" t="inlineStr">
        <is>
          <t>TN</t>
        </is>
      </c>
      <c r="O63" s="10" t="n"/>
      <c r="P63" s="7" t="inlineStr"/>
      <c r="Q63" s="10">
        <f>IF(AND(N63="TN",P63="TN"),L63+N(M63),IF(E63&amp;""="1",N(I63)*L63,(L63+N(M63))*N(I63)))</f>
        <v/>
      </c>
      <c r="R63" s="10">
        <f>O63-Q63</f>
        <v/>
      </c>
    </row>
    <row r="64">
      <c r="A64" s="7" t="inlineStr">
        <is>
          <t>900004907</t>
        </is>
      </c>
      <c r="B64" s="8" t="inlineStr"/>
      <c r="C64" s="7" t="inlineStr">
        <is>
          <t>DW67</t>
        </is>
      </c>
      <c r="D64" s="7" t="inlineStr">
        <is>
          <t>D316</t>
        </is>
      </c>
      <c r="E64" s="7" t="inlineStr">
        <is>
          <t>4</t>
        </is>
      </c>
      <c r="F64" s="8" t="inlineStr"/>
      <c r="G64" s="8" t="inlineStr">
        <is>
          <t>10000213</t>
        </is>
      </c>
      <c r="H64" s="8" t="inlineStr">
        <is>
          <t>Arena Clasificada Río Malla 4</t>
        </is>
      </c>
      <c r="I64" s="9" t="n">
        <v>1450</v>
      </c>
      <c r="J64" s="7" t="inlineStr">
        <is>
          <t>20220516</t>
        </is>
      </c>
      <c r="K64" s="7" t="inlineStr">
        <is>
          <t>20241113</t>
        </is>
      </c>
      <c r="L64" s="10" t="n">
        <v>83.31999999999999</v>
      </c>
      <c r="M64" s="10" t="n">
        <v>98.42</v>
      </c>
      <c r="N64" s="7" t="inlineStr">
        <is>
          <t>TN</t>
        </is>
      </c>
      <c r="O64" s="10" t="n"/>
      <c r="P64" s="7" t="inlineStr"/>
      <c r="Q64" s="10">
        <f>IF(AND(N64="TN",P64="TN"),L64+N(M64),IF(E64&amp;""="1",N(I64)*L64,(L64+N(M64))*N(I64)))</f>
        <v/>
      </c>
      <c r="R64" s="10">
        <f>O64-Q64</f>
        <v/>
      </c>
    </row>
    <row r="65">
      <c r="A65" s="7" t="inlineStr">
        <is>
          <t>900004907</t>
        </is>
      </c>
      <c r="B65" s="8" t="inlineStr"/>
      <c r="C65" s="7" t="inlineStr">
        <is>
          <t>DW67</t>
        </is>
      </c>
      <c r="D65" s="7" t="inlineStr">
        <is>
          <t>D316</t>
        </is>
      </c>
      <c r="E65" s="7" t="inlineStr">
        <is>
          <t>4</t>
        </is>
      </c>
      <c r="F65" s="8" t="inlineStr"/>
      <c r="G65" s="8" t="inlineStr">
        <is>
          <t>10000370</t>
        </is>
      </c>
      <c r="H65" s="8" t="inlineStr">
        <is>
          <t>Grava Clasificada Río 20 mm - 3/4"</t>
        </is>
      </c>
      <c r="I65" s="9" t="n">
        <v>1507</v>
      </c>
      <c r="J65" s="7" t="inlineStr">
        <is>
          <t>20220516</t>
        </is>
      </c>
      <c r="K65" s="7" t="inlineStr">
        <is>
          <t>20241113</t>
        </is>
      </c>
      <c r="L65" s="10" t="n">
        <v>94.79000000000001</v>
      </c>
      <c r="M65" s="10" t="n">
        <v>91.65000000000001</v>
      </c>
      <c r="N65" s="7" t="inlineStr">
        <is>
          <t>TN</t>
        </is>
      </c>
      <c r="O65" s="10" t="n"/>
      <c r="P65" s="7" t="inlineStr"/>
      <c r="Q65" s="10">
        <f>IF(AND(N65="TN",P65="TN"),L65+N(M65),IF(E65&amp;""="1",N(I65)*L65,(L65+N(M65))*N(I65)))</f>
        <v/>
      </c>
      <c r="R65" s="10">
        <f>O65-Q65</f>
        <v/>
      </c>
    </row>
    <row r="66">
      <c r="A66" s="7" t="inlineStr">
        <is>
          <t>900004907</t>
        </is>
      </c>
      <c r="B66" s="8" t="inlineStr"/>
      <c r="C66" s="7" t="inlineStr">
        <is>
          <t>DW67</t>
        </is>
      </c>
      <c r="D66" s="7" t="inlineStr">
        <is>
          <t>D316</t>
        </is>
      </c>
      <c r="E66" s="7" t="inlineStr">
        <is>
          <t>4</t>
        </is>
      </c>
      <c r="F66" s="8" t="inlineStr"/>
      <c r="G66" s="8" t="inlineStr">
        <is>
          <t>10000541</t>
        </is>
      </c>
      <c r="H66" s="8" t="inlineStr">
        <is>
          <t>Grava Clasificada Río 10 mm - 3/8"</t>
        </is>
      </c>
      <c r="I66" s="9" t="n">
        <v>1528</v>
      </c>
      <c r="J66" s="7" t="inlineStr">
        <is>
          <t>20220516</t>
        </is>
      </c>
      <c r="K66" s="7" t="inlineStr">
        <is>
          <t>20241113</t>
        </is>
      </c>
      <c r="L66" s="10" t="n">
        <v>91.88</v>
      </c>
      <c r="M66" s="10" t="n">
        <v>65.28</v>
      </c>
      <c r="N66" s="7" t="inlineStr">
        <is>
          <t>TN</t>
        </is>
      </c>
      <c r="O66" s="10" t="n"/>
      <c r="P66" s="7" t="inlineStr"/>
      <c r="Q66" s="10">
        <f>IF(AND(N66="TN",P66="TN"),L66+N(M66),IF(E66&amp;""="1",N(I66)*L66,(L66+N(M66))*N(I66)))</f>
        <v/>
      </c>
      <c r="R66" s="10">
        <f>O66-Q66</f>
        <v/>
      </c>
    </row>
    <row r="67">
      <c r="A67" s="7" t="inlineStr">
        <is>
          <t>900004920</t>
        </is>
      </c>
      <c r="B67" s="8" t="inlineStr"/>
      <c r="C67" s="7" t="inlineStr">
        <is>
          <t>DW67</t>
        </is>
      </c>
      <c r="D67" s="7" t="inlineStr">
        <is>
          <t>D292</t>
        </is>
      </c>
      <c r="E67" s="7" t="inlineStr">
        <is>
          <t>1</t>
        </is>
      </c>
      <c r="F67" s="8" t="inlineStr"/>
      <c r="G67" s="8" t="inlineStr">
        <is>
          <t>10000139</t>
        </is>
      </c>
      <c r="H67" s="8" t="inlineStr">
        <is>
          <t>Grava Triturada Andesita 20 mm - 3/4"</t>
        </is>
      </c>
      <c r="I67" s="9" t="n">
        <v>1311</v>
      </c>
      <c r="J67" s="7" t="inlineStr">
        <is>
          <t>20220516</t>
        </is>
      </c>
      <c r="K67" s="7" t="inlineStr">
        <is>
          <t>20240320</t>
        </is>
      </c>
      <c r="L67" s="10" t="n">
        <v>114.42</v>
      </c>
      <c r="M67" s="10" t="n">
        <v>296.97</v>
      </c>
      <c r="N67" s="7" t="inlineStr">
        <is>
          <t>TN</t>
        </is>
      </c>
      <c r="O67" s="10" t="n"/>
      <c r="P67" s="7" t="inlineStr"/>
      <c r="Q67" s="10">
        <f>IF(AND(N67="TN",P67="TN"),L67+N(M67),IF(E67&amp;""="1",N(I67)*L67,(L67+N(M67))*N(I67)))</f>
        <v/>
      </c>
      <c r="R67" s="10">
        <f>O67-Q67</f>
        <v/>
      </c>
    </row>
    <row r="68">
      <c r="A68" s="7" t="inlineStr">
        <is>
          <t>900005018</t>
        </is>
      </c>
      <c r="B68" s="8" t="inlineStr"/>
      <c r="C68" s="7" t="inlineStr">
        <is>
          <t>DW67</t>
        </is>
      </c>
      <c r="D68" s="7" t="inlineStr">
        <is>
          <t>D302</t>
        </is>
      </c>
      <c r="E68" s="7" t="inlineStr">
        <is>
          <t>4</t>
        </is>
      </c>
      <c r="F68" s="8" t="inlineStr">
        <is>
          <t>PD0471 COATZACOALCOS</t>
        </is>
      </c>
      <c r="G68" s="8" t="inlineStr">
        <is>
          <t>10000139</t>
        </is>
      </c>
      <c r="H68" s="8" t="inlineStr">
        <is>
          <t>Grava Triturada Andesita 20 mm - 3/4"</t>
        </is>
      </c>
      <c r="I68" s="9" t="n">
        <v>1311</v>
      </c>
      <c r="J68" s="7" t="inlineStr">
        <is>
          <t>20220516</t>
        </is>
      </c>
      <c r="K68" s="7" t="inlineStr">
        <is>
          <t>20241113</t>
        </is>
      </c>
      <c r="L68" s="10" t="n">
        <v>75.06</v>
      </c>
      <c r="M68" s="10" t="n">
        <v>129.67</v>
      </c>
      <c r="N68" s="7" t="inlineStr">
        <is>
          <t>TN</t>
        </is>
      </c>
      <c r="O68" s="10" t="n"/>
      <c r="P68" s="7" t="inlineStr"/>
      <c r="Q68" s="10">
        <f>IF(AND(N68="TN",P68="TN"),L68+N(M68),IF(E68&amp;""="1",N(I68)*L68,(L68+N(M68))*N(I68)))</f>
        <v/>
      </c>
      <c r="R68" s="10">
        <f>O68-Q68</f>
        <v/>
      </c>
    </row>
    <row r="69">
      <c r="A69" s="7" t="inlineStr">
        <is>
          <t>900005018</t>
        </is>
      </c>
      <c r="B69" s="8" t="inlineStr"/>
      <c r="C69" s="7" t="inlineStr">
        <is>
          <t>DW67</t>
        </is>
      </c>
      <c r="D69" s="7" t="inlineStr">
        <is>
          <t>D310</t>
        </is>
      </c>
      <c r="E69" s="7" t="inlineStr">
        <is>
          <t>4</t>
        </is>
      </c>
      <c r="F69" s="8" t="inlineStr"/>
      <c r="G69" s="8" t="inlineStr">
        <is>
          <t>10000139</t>
        </is>
      </c>
      <c r="H69" s="8" t="inlineStr">
        <is>
          <t>Grava Triturada Andesita 20 mm - 3/4"</t>
        </is>
      </c>
      <c r="I69" s="9" t="n">
        <v>1311</v>
      </c>
      <c r="J69" s="7" t="inlineStr">
        <is>
          <t>20220516</t>
        </is>
      </c>
      <c r="K69" s="7" t="inlineStr">
        <is>
          <t>20241113</t>
        </is>
      </c>
      <c r="L69" s="10" t="n">
        <v>75.06</v>
      </c>
      <c r="M69" s="10" t="n">
        <v>129.67</v>
      </c>
      <c r="N69" s="7" t="inlineStr">
        <is>
          <t>TN</t>
        </is>
      </c>
      <c r="O69" s="10" t="n"/>
      <c r="P69" s="7" t="inlineStr"/>
      <c r="Q69" s="10">
        <f>IF(AND(N69="TN",P69="TN"),L69+N(M69),IF(E69&amp;""="1",N(I69)*L69,(L69+N(M69))*N(I69)))</f>
        <v/>
      </c>
      <c r="R69" s="10">
        <f>O69-Q69</f>
        <v/>
      </c>
    </row>
    <row r="70">
      <c r="A70" s="7" t="inlineStr">
        <is>
          <t>900005018</t>
        </is>
      </c>
      <c r="B70" s="8" t="inlineStr"/>
      <c r="C70" s="7" t="inlineStr">
        <is>
          <t>DW67</t>
        </is>
      </c>
      <c r="D70" s="7" t="inlineStr">
        <is>
          <t>D316</t>
        </is>
      </c>
      <c r="E70" s="7" t="inlineStr">
        <is>
          <t>4</t>
        </is>
      </c>
      <c r="F70" s="8" t="inlineStr"/>
      <c r="G70" s="8" t="inlineStr">
        <is>
          <t>10000139</t>
        </is>
      </c>
      <c r="H70" s="8" t="inlineStr">
        <is>
          <t>Grava Triturada Andesita 20 mm - 3/4"</t>
        </is>
      </c>
      <c r="I70" s="9" t="n">
        <v>1311</v>
      </c>
      <c r="J70" s="7" t="inlineStr">
        <is>
          <t>20220516</t>
        </is>
      </c>
      <c r="K70" s="7" t="inlineStr">
        <is>
          <t>20241113</t>
        </is>
      </c>
      <c r="L70" s="10" t="n">
        <v>75.06</v>
      </c>
      <c r="M70" s="10" t="n">
        <v>129.67</v>
      </c>
      <c r="N70" s="7" t="inlineStr">
        <is>
          <t>TN</t>
        </is>
      </c>
      <c r="O70" s="10" t="n"/>
      <c r="P70" s="7" t="inlineStr"/>
      <c r="Q70" s="10">
        <f>IF(AND(N70="TN",P70="TN"),L70+N(M70),IF(E70&amp;""="1",N(I70)*L70,(L70+N(M70))*N(I70)))</f>
        <v/>
      </c>
      <c r="R70" s="10">
        <f>O70-Q70</f>
        <v/>
      </c>
    </row>
    <row r="71">
      <c r="A71" s="7" t="inlineStr">
        <is>
          <t>900005534</t>
        </is>
      </c>
      <c r="B71" s="8" t="inlineStr">
        <is>
          <t>TC-THOME COATZACOALCOS</t>
        </is>
      </c>
      <c r="C71" s="7" t="inlineStr">
        <is>
          <t>DW67</t>
        </is>
      </c>
      <c r="D71" s="7" t="inlineStr">
        <is>
          <t>D302</t>
        </is>
      </c>
      <c r="E71" s="7" t="inlineStr">
        <is>
          <t>1</t>
        </is>
      </c>
      <c r="F71" s="8" t="inlineStr">
        <is>
          <t>PD0471 COATZACOALCOS</t>
        </is>
      </c>
      <c r="G71" s="8" t="inlineStr">
        <is>
          <t>10000139</t>
        </is>
      </c>
      <c r="H71" s="8" t="inlineStr">
        <is>
          <t>Grava Triturada Andesita 20 mm - 3/4"</t>
        </is>
      </c>
      <c r="I71" s="9" t="n">
        <v>1311</v>
      </c>
      <c r="J71" s="7" t="inlineStr">
        <is>
          <t>20240101</t>
        </is>
      </c>
      <c r="K71" s="7" t="inlineStr">
        <is>
          <t>99991231</t>
        </is>
      </c>
      <c r="L71" s="10" t="n">
        <v>72.45999999999999</v>
      </c>
      <c r="M71" s="10" t="n">
        <v>598.13</v>
      </c>
      <c r="N71" s="7" t="inlineStr">
        <is>
          <t>TN</t>
        </is>
      </c>
      <c r="O71" s="10" t="n">
        <v>95</v>
      </c>
      <c r="P71" s="7" t="inlineStr">
        <is>
          <t>M3</t>
        </is>
      </c>
      <c r="Q71" s="10">
        <f>IF(AND(N71="TN",P71="TN"),L71+N(M71),IF(E71&amp;""="1",N(I71)*L71,(L71+N(M71))*N(I71)))</f>
        <v/>
      </c>
      <c r="R71" s="11">
        <f>O71-Q71</f>
        <v/>
      </c>
    </row>
    <row r="72">
      <c r="A72" s="7" t="inlineStr">
        <is>
          <t>900005534</t>
        </is>
      </c>
      <c r="B72" s="8" t="inlineStr">
        <is>
          <t>TC-THOME COATZACOALCOS</t>
        </is>
      </c>
      <c r="C72" s="7" t="inlineStr">
        <is>
          <t>DW67</t>
        </is>
      </c>
      <c r="D72" s="7" t="inlineStr">
        <is>
          <t>D302</t>
        </is>
      </c>
      <c r="E72" s="7" t="inlineStr">
        <is>
          <t>1</t>
        </is>
      </c>
      <c r="F72" s="8" t="inlineStr">
        <is>
          <t>PD0471 COATZACOALCOS</t>
        </is>
      </c>
      <c r="G72" s="8" t="inlineStr">
        <is>
          <t>10000444</t>
        </is>
      </c>
      <c r="H72" s="8" t="inlineStr">
        <is>
          <t>Arena Triturada Andesita Malla 4</t>
        </is>
      </c>
      <c r="I72" s="9" t="n">
        <v>1473</v>
      </c>
      <c r="J72" s="7" t="inlineStr">
        <is>
          <t>20240101</t>
        </is>
      </c>
      <c r="K72" s="7" t="inlineStr">
        <is>
          <t>99991231</t>
        </is>
      </c>
      <c r="L72" s="10" t="n">
        <v>61.1</v>
      </c>
      <c r="M72" s="10" t="n">
        <v>313.95</v>
      </c>
      <c r="N72" s="7" t="inlineStr">
        <is>
          <t>TN</t>
        </is>
      </c>
      <c r="O72" s="10" t="n">
        <v>90</v>
      </c>
      <c r="P72" s="7" t="inlineStr">
        <is>
          <t>M3</t>
        </is>
      </c>
      <c r="Q72" s="10">
        <f>IF(AND(N72="TN",P72="TN"),L72+N(M72),IF(E72&amp;""="1",N(I72)*L72,(L72+N(M72))*N(I72)))</f>
        <v/>
      </c>
      <c r="R72" s="11">
        <f>O72-Q72</f>
        <v/>
      </c>
    </row>
    <row r="73">
      <c r="A73" s="7" t="inlineStr">
        <is>
          <t>900005773</t>
        </is>
      </c>
      <c r="B73" s="8" t="inlineStr"/>
      <c r="C73" s="7" t="inlineStr">
        <is>
          <t>DW67</t>
        </is>
      </c>
      <c r="D73" s="7" t="inlineStr">
        <is>
          <t>D302</t>
        </is>
      </c>
      <c r="E73" s="7" t="inlineStr"/>
      <c r="F73" s="8" t="inlineStr">
        <is>
          <t>PD0471 COATZACOALCOS</t>
        </is>
      </c>
      <c r="G73" s="8" t="inlineStr">
        <is>
          <t>10000370</t>
        </is>
      </c>
      <c r="H73" s="8" t="inlineStr">
        <is>
          <t>Grava Clasificada Río 20 mm - 3/4"</t>
        </is>
      </c>
      <c r="I73" s="9" t="n">
        <v>1507</v>
      </c>
      <c r="J73" s="7" t="inlineStr">
        <is>
          <t>20220504</t>
        </is>
      </c>
      <c r="K73" s="7" t="inlineStr">
        <is>
          <t>20230127</t>
        </is>
      </c>
      <c r="L73" s="10" t="n">
        <v>83.61</v>
      </c>
      <c r="M73" s="10" t="n"/>
      <c r="N73" s="7" t="inlineStr">
        <is>
          <t>TN</t>
        </is>
      </c>
      <c r="O73" s="10" t="n"/>
      <c r="P73" s="7" t="inlineStr"/>
      <c r="Q73" s="10">
        <f>IF(AND(N73="TN",P73="TN"),L73+N(M73),IF(E73&amp;""="1",N(I73)*L73,(L73+N(M73))*N(I73)))</f>
        <v/>
      </c>
      <c r="R73" s="10">
        <f>O73-Q73</f>
        <v/>
      </c>
    </row>
    <row r="74">
      <c r="A74" s="7" t="inlineStr">
        <is>
          <t>900005831</t>
        </is>
      </c>
      <c r="B74" s="8" t="inlineStr"/>
      <c r="C74" s="7" t="inlineStr">
        <is>
          <t>DW67</t>
        </is>
      </c>
      <c r="D74" s="7" t="inlineStr">
        <is>
          <t>D302</t>
        </is>
      </c>
      <c r="E74" s="7" t="inlineStr">
        <is>
          <t>4</t>
        </is>
      </c>
      <c r="F74" s="8" t="inlineStr">
        <is>
          <t>PD0471 COATZACOALCOS</t>
        </is>
      </c>
      <c r="G74" s="8" t="inlineStr">
        <is>
          <t>10000826</t>
        </is>
      </c>
      <c r="H74" s="8" t="inlineStr">
        <is>
          <t>Arena Clasificada Río Malla 4</t>
        </is>
      </c>
      <c r="I74" s="9" t="n">
        <v>1450</v>
      </c>
      <c r="J74" s="7" t="inlineStr">
        <is>
          <t>20220516</t>
        </is>
      </c>
      <c r="K74" s="7" t="inlineStr">
        <is>
          <t>20240320</t>
        </is>
      </c>
      <c r="L74" s="10" t="n">
        <v>82.76000000000001</v>
      </c>
      <c r="M74" s="10" t="n">
        <v>88.28</v>
      </c>
      <c r="N74" s="7" t="inlineStr">
        <is>
          <t>TN</t>
        </is>
      </c>
      <c r="O74" s="10" t="n"/>
      <c r="P74" s="7" t="inlineStr"/>
      <c r="Q74" s="10">
        <f>IF(AND(N74="TN",P74="TN"),L74+N(M74),IF(E74&amp;""="1",N(I74)*L74,(L74+N(M74))*N(I74)))</f>
        <v/>
      </c>
      <c r="R74" s="10">
        <f>O74-Q74</f>
        <v/>
      </c>
    </row>
    <row r="75">
      <c r="A75" s="7" t="inlineStr">
        <is>
          <t>900005921</t>
        </is>
      </c>
      <c r="B75" s="8" t="inlineStr">
        <is>
          <t>SF TC – LOS HUMEROS</t>
        </is>
      </c>
      <c r="C75" s="7" t="inlineStr">
        <is>
          <t>DW67</t>
        </is>
      </c>
      <c r="D75" s="7" t="inlineStr">
        <is>
          <t>D180</t>
        </is>
      </c>
      <c r="E75" s="7" t="inlineStr"/>
      <c r="F75" s="8" t="inlineStr"/>
      <c r="G75" s="8" t="inlineStr">
        <is>
          <t>10183690</t>
        </is>
      </c>
      <c r="H75" s="8" t="inlineStr">
        <is>
          <t>GRAVA TRITURADA ANDESITA 3/4 ALMACEN</t>
        </is>
      </c>
      <c r="I75" s="9" t="n">
        <v>1560</v>
      </c>
      <c r="J75" s="7" t="inlineStr">
        <is>
          <t>20220516</t>
        </is>
      </c>
      <c r="K75" s="7" t="inlineStr">
        <is>
          <t>20230511</t>
        </is>
      </c>
      <c r="L75" s="10" t="n">
        <v>37.69</v>
      </c>
      <c r="M75" s="10" t="n"/>
      <c r="N75" s="7" t="inlineStr">
        <is>
          <t>TN</t>
        </is>
      </c>
      <c r="O75" s="10" t="n"/>
      <c r="P75" s="7" t="inlineStr"/>
      <c r="Q75" s="10">
        <f>IF(AND(N75="TN",P75="TN"),L75+N(M75),IF(E75&amp;""="1",N(I75)*L75,(L75+N(M75))*N(I75)))</f>
        <v/>
      </c>
      <c r="R75" s="10">
        <f>O75-Q75</f>
        <v/>
      </c>
    </row>
    <row r="76">
      <c r="A76" s="7" t="inlineStr">
        <is>
          <t>900005921</t>
        </is>
      </c>
      <c r="B76" s="8" t="inlineStr">
        <is>
          <t>SF TC – LOS HUMEROS</t>
        </is>
      </c>
      <c r="C76" s="7" t="inlineStr">
        <is>
          <t>DW67</t>
        </is>
      </c>
      <c r="D76" s="7" t="inlineStr">
        <is>
          <t>D302</t>
        </is>
      </c>
      <c r="E76" s="7" t="inlineStr">
        <is>
          <t>1</t>
        </is>
      </c>
      <c r="F76" s="8" t="inlineStr">
        <is>
          <t>PD0471 COATZACOALCOS</t>
        </is>
      </c>
      <c r="G76" s="8" t="inlineStr">
        <is>
          <t>10000139</t>
        </is>
      </c>
      <c r="H76" s="8" t="inlineStr">
        <is>
          <t>Grava Triturada Andesita 20 mm - 3/4"</t>
        </is>
      </c>
      <c r="I76" s="9" t="n">
        <v>1311</v>
      </c>
      <c r="J76" s="7" t="inlineStr">
        <is>
          <t>20220516</t>
        </is>
      </c>
      <c r="K76" s="7" t="inlineStr">
        <is>
          <t>20250812</t>
        </is>
      </c>
      <c r="L76" s="10" t="n">
        <v>49.58</v>
      </c>
      <c r="M76" s="10" t="n">
        <v>246.55</v>
      </c>
      <c r="N76" s="7" t="inlineStr">
        <is>
          <t>TN</t>
        </is>
      </c>
      <c r="O76" s="10" t="n">
        <v>65</v>
      </c>
      <c r="P76" s="7" t="inlineStr">
        <is>
          <t>M3</t>
        </is>
      </c>
      <c r="Q76" s="10">
        <f>IF(AND(N76="TN",P76="TN"),L76+N(M76),IF(E76&amp;""="1",N(I76)*L76,(L76+N(M76))*N(I76)))</f>
        <v/>
      </c>
      <c r="R76" s="11">
        <f>O76-Q76</f>
        <v/>
      </c>
    </row>
    <row r="77">
      <c r="A77" s="7" t="inlineStr">
        <is>
          <t>900005921</t>
        </is>
      </c>
      <c r="B77" s="8" t="inlineStr">
        <is>
          <t>SF TC – LOS HUMEROS</t>
        </is>
      </c>
      <c r="C77" s="7" t="inlineStr">
        <is>
          <t>DW67</t>
        </is>
      </c>
      <c r="D77" s="7" t="inlineStr">
        <is>
          <t>D302</t>
        </is>
      </c>
      <c r="E77" s="7" t="inlineStr">
        <is>
          <t>1</t>
        </is>
      </c>
      <c r="F77" s="8" t="inlineStr">
        <is>
          <t>PD0471 COATZACOALCOS</t>
        </is>
      </c>
      <c r="G77" s="8" t="inlineStr">
        <is>
          <t>10001652</t>
        </is>
      </c>
      <c r="H77" s="8" t="inlineStr">
        <is>
          <t>Grava Triturada Andesita 13 mm - 1/2"</t>
        </is>
      </c>
      <c r="I77" s="9" t="n">
        <v>1234</v>
      </c>
      <c r="J77" s="7" t="inlineStr">
        <is>
          <t>20220516</t>
        </is>
      </c>
      <c r="K77" s="7" t="inlineStr">
        <is>
          <t>20250812</t>
        </is>
      </c>
      <c r="L77" s="10" t="n">
        <v>56.73</v>
      </c>
      <c r="M77" s="10" t="n">
        <v>261.94</v>
      </c>
      <c r="N77" s="7" t="inlineStr">
        <is>
          <t>TN</t>
        </is>
      </c>
      <c r="O77" s="10" t="n">
        <v>70</v>
      </c>
      <c r="P77" s="7" t="inlineStr">
        <is>
          <t>M3</t>
        </is>
      </c>
      <c r="Q77" s="10">
        <f>IF(AND(N77="TN",P77="TN"),L77+N(M77),IF(E77&amp;""="1",N(I77)*L77,(L77+N(M77))*N(I77)))</f>
        <v/>
      </c>
      <c r="R77" s="11">
        <f>O77-Q77</f>
        <v/>
      </c>
    </row>
    <row r="78">
      <c r="A78" s="7" t="inlineStr">
        <is>
          <t>900005921</t>
        </is>
      </c>
      <c r="B78" s="8" t="inlineStr">
        <is>
          <t>SF TC – LOS HUMEROS</t>
        </is>
      </c>
      <c r="C78" s="7" t="inlineStr">
        <is>
          <t>DW67</t>
        </is>
      </c>
      <c r="D78" s="7" t="inlineStr">
        <is>
          <t>D302</t>
        </is>
      </c>
      <c r="E78" s="7" t="inlineStr">
        <is>
          <t>1</t>
        </is>
      </c>
      <c r="F78" s="8" t="inlineStr">
        <is>
          <t>PD0471 COATZACOALCOS</t>
        </is>
      </c>
      <c r="G78" s="8" t="inlineStr">
        <is>
          <t>10183690</t>
        </is>
      </c>
      <c r="H78" s="8" t="inlineStr">
        <is>
          <t>GRAVA TRITURADA ANDESITA 3/4 ALMACEN</t>
        </is>
      </c>
      <c r="I78" s="9" t="n">
        <v>1560</v>
      </c>
      <c r="J78" s="7" t="inlineStr">
        <is>
          <t>20220516</t>
        </is>
      </c>
      <c r="K78" s="7" t="inlineStr">
        <is>
          <t>20241113</t>
        </is>
      </c>
      <c r="L78" s="10" t="n">
        <v>37.69</v>
      </c>
      <c r="M78" s="10" t="n">
        <v>148.91</v>
      </c>
      <c r="N78" s="7" t="inlineStr">
        <is>
          <t>TN</t>
        </is>
      </c>
      <c r="O78" s="10" t="n"/>
      <c r="P78" s="7" t="inlineStr"/>
      <c r="Q78" s="10">
        <f>IF(AND(N78="TN",P78="TN"),L78+N(M78),IF(E78&amp;""="1",N(I78)*L78,(L78+N(M78))*N(I78)))</f>
        <v/>
      </c>
      <c r="R78" s="10">
        <f>O78-Q78</f>
        <v/>
      </c>
    </row>
    <row r="79">
      <c r="A79" s="7" t="inlineStr">
        <is>
          <t>900005923</t>
        </is>
      </c>
      <c r="B79" s="8" t="inlineStr"/>
      <c r="C79" s="7" t="inlineStr">
        <is>
          <t>DW67</t>
        </is>
      </c>
      <c r="D79" s="7" t="inlineStr">
        <is>
          <t>D302</t>
        </is>
      </c>
      <c r="E79" s="7" t="inlineStr">
        <is>
          <t>4</t>
        </is>
      </c>
      <c r="F79" s="8" t="inlineStr">
        <is>
          <t>PD0471 COATZACOALCOS</t>
        </is>
      </c>
      <c r="G79" s="8" t="inlineStr">
        <is>
          <t>10000139</t>
        </is>
      </c>
      <c r="H79" s="8" t="inlineStr">
        <is>
          <t>Grava Triturada Andesita 20 mm - 3/4"</t>
        </is>
      </c>
      <c r="I79" s="9" t="n">
        <v>1311</v>
      </c>
      <c r="J79" s="7" t="inlineStr">
        <is>
          <t>20230214</t>
        </is>
      </c>
      <c r="K79" s="7" t="inlineStr">
        <is>
          <t>20250812</t>
        </is>
      </c>
      <c r="L79" s="10" t="n">
        <v>64.84</v>
      </c>
      <c r="M79" s="10" t="n">
        <v>812.36</v>
      </c>
      <c r="N79" s="7" t="inlineStr">
        <is>
          <t>TN</t>
        </is>
      </c>
      <c r="O79" s="10" t="n"/>
      <c r="P79" s="7" t="inlineStr"/>
      <c r="Q79" s="10">
        <f>IF(AND(N79="TN",P79="TN"),L79+N(M79),IF(E79&amp;""="1",N(I79)*L79,(L79+N(M79))*N(I79)))</f>
        <v/>
      </c>
      <c r="R79" s="10">
        <f>O79-Q79</f>
        <v/>
      </c>
    </row>
    <row r="80">
      <c r="A80" s="7" t="inlineStr">
        <is>
          <t>900006027</t>
        </is>
      </c>
      <c r="B80" s="8" t="inlineStr">
        <is>
          <t>SF TC-ED-CARRILLO RUIZ</t>
        </is>
      </c>
      <c r="C80" s="7" t="inlineStr">
        <is>
          <t>DW67</t>
        </is>
      </c>
      <c r="D80" s="7" t="inlineStr">
        <is>
          <t>D302</t>
        </is>
      </c>
      <c r="E80" s="7" t="inlineStr">
        <is>
          <t>4</t>
        </is>
      </c>
      <c r="F80" s="8" t="inlineStr">
        <is>
          <t>PD0471 COATZACOALCOS</t>
        </is>
      </c>
      <c r="G80" s="8" t="inlineStr">
        <is>
          <t>10000178</t>
        </is>
      </c>
      <c r="H80" s="8" t="inlineStr">
        <is>
          <t>Grava Clasificada Río 20 mm - 3/4"</t>
        </is>
      </c>
      <c r="I80" s="9" t="n">
        <v>1507</v>
      </c>
      <c r="J80" s="7" t="inlineStr">
        <is>
          <t>20250428</t>
        </is>
      </c>
      <c r="K80" s="7" t="inlineStr">
        <is>
          <t>20251031</t>
        </is>
      </c>
      <c r="L80" s="10" t="n">
        <v>119.44</v>
      </c>
      <c r="M80" s="10" t="n">
        <v>132.71</v>
      </c>
      <c r="N80" s="7" t="inlineStr">
        <is>
          <t>TN</t>
        </is>
      </c>
      <c r="O80" s="10" t="n">
        <v>380</v>
      </c>
      <c r="P80" s="7" t="inlineStr">
        <is>
          <t>M3</t>
        </is>
      </c>
      <c r="Q80" s="10">
        <f>IF(AND(N80="TN",P80="TN"),L80+N(M80),IF(E80&amp;""="1",N(I80)*L80,(L80+N(M80))*N(I80)))</f>
        <v/>
      </c>
      <c r="R80" s="11">
        <f>O80-Q80</f>
        <v/>
      </c>
    </row>
    <row r="81">
      <c r="A81" s="7" t="inlineStr">
        <is>
          <t>900006027</t>
        </is>
      </c>
      <c r="B81" s="8" t="inlineStr">
        <is>
          <t>SF TC-ED-CARRILLO RUIZ</t>
        </is>
      </c>
      <c r="C81" s="7" t="inlineStr">
        <is>
          <t>DW67</t>
        </is>
      </c>
      <c r="D81" s="7" t="inlineStr">
        <is>
          <t>D302</t>
        </is>
      </c>
      <c r="E81" s="7" t="inlineStr">
        <is>
          <t>4</t>
        </is>
      </c>
      <c r="F81" s="8" t="inlineStr">
        <is>
          <t>PD0471 COATZACOALCOS</t>
        </is>
      </c>
      <c r="G81" s="8" t="inlineStr">
        <is>
          <t>10000826</t>
        </is>
      </c>
      <c r="H81" s="8" t="inlineStr">
        <is>
          <t>Arena Clasificada Río Malla 4</t>
        </is>
      </c>
      <c r="I81" s="9" t="n">
        <v>1450</v>
      </c>
      <c r="J81" s="7" t="inlineStr">
        <is>
          <t>20260501</t>
        </is>
      </c>
      <c r="K81" s="7" t="inlineStr">
        <is>
          <t>99991231</t>
        </is>
      </c>
      <c r="L81" s="10" t="n">
        <v>148.28</v>
      </c>
      <c r="M81" s="10" t="n">
        <v>112.41</v>
      </c>
      <c r="N81" s="7" t="inlineStr">
        <is>
          <t>TN</t>
        </is>
      </c>
      <c r="O81" s="10" t="n">
        <v>378</v>
      </c>
      <c r="P81" s="7" t="inlineStr">
        <is>
          <t>M3</t>
        </is>
      </c>
      <c r="Q81" s="10">
        <f>IF(AND(N81="TN",P81="TN"),L81+N(M81),IF(E81&amp;""="1",N(I81)*L81,(L81+N(M81))*N(I81)))</f>
        <v/>
      </c>
      <c r="R81" s="11">
        <f>O81-Q81</f>
        <v/>
      </c>
    </row>
    <row r="82">
      <c r="A82" s="7" t="inlineStr">
        <is>
          <t>900006127</t>
        </is>
      </c>
      <c r="B82" s="8" t="inlineStr"/>
      <c r="C82" s="7" t="inlineStr">
        <is>
          <t>DW67</t>
        </is>
      </c>
      <c r="D82" s="7" t="inlineStr">
        <is>
          <t>D302</t>
        </is>
      </c>
      <c r="E82" s="7" t="inlineStr"/>
      <c r="F82" s="8" t="inlineStr">
        <is>
          <t>PD0471 COATZACOALCOS</t>
        </is>
      </c>
      <c r="G82" s="8" t="inlineStr">
        <is>
          <t>10000826</t>
        </is>
      </c>
      <c r="H82" s="8" t="inlineStr">
        <is>
          <t>Arena Clasificada Río Malla 4</t>
        </is>
      </c>
      <c r="I82" s="9" t="n">
        <v>1450</v>
      </c>
      <c r="J82" s="7" t="inlineStr">
        <is>
          <t>20220516</t>
        </is>
      </c>
      <c r="K82" s="7" t="inlineStr">
        <is>
          <t>20241113</t>
        </is>
      </c>
      <c r="L82" s="10" t="n">
        <v>65.52</v>
      </c>
      <c r="M82" s="10" t="n"/>
      <c r="N82" s="7" t="inlineStr">
        <is>
          <t>TN</t>
        </is>
      </c>
      <c r="O82" s="10" t="n"/>
      <c r="P82" s="7" t="inlineStr"/>
      <c r="Q82" s="10">
        <f>IF(AND(N82="TN",P82="TN"),L82+N(M82),IF(E82&amp;""="1",N(I82)*L82,(L82+N(M82))*N(I82)))</f>
        <v/>
      </c>
      <c r="R82" s="10">
        <f>O82-Q82</f>
        <v/>
      </c>
    </row>
    <row r="83">
      <c r="A83" s="7" t="inlineStr">
        <is>
          <t>900006300</t>
        </is>
      </c>
      <c r="B83" s="8" t="inlineStr"/>
      <c r="C83" s="7" t="inlineStr">
        <is>
          <t>DW67</t>
        </is>
      </c>
      <c r="D83" s="7" t="inlineStr">
        <is>
          <t>D180</t>
        </is>
      </c>
      <c r="E83" s="7" t="inlineStr"/>
      <c r="F83" s="8" t="inlineStr"/>
      <c r="G83" s="8" t="inlineStr">
        <is>
          <t>10000178</t>
        </is>
      </c>
      <c r="H83" s="8" t="inlineStr">
        <is>
          <t>Grava Clasificada Río 20 mm - 3/4"</t>
        </is>
      </c>
      <c r="I83" s="9" t="n">
        <v>1507</v>
      </c>
      <c r="J83" s="7" t="inlineStr">
        <is>
          <t>20220516</t>
        </is>
      </c>
      <c r="K83" s="7" t="inlineStr">
        <is>
          <t>20230511</t>
        </is>
      </c>
      <c r="L83" s="10" t="n">
        <v>92.90000000000001</v>
      </c>
      <c r="M83" s="10" t="n"/>
      <c r="N83" s="7" t="inlineStr">
        <is>
          <t>TN</t>
        </is>
      </c>
      <c r="O83" s="10" t="n"/>
      <c r="P83" s="7" t="inlineStr"/>
      <c r="Q83" s="10">
        <f>IF(AND(N83="TN",P83="TN"),L83+N(M83),IF(E83&amp;""="1",N(I83)*L83,(L83+N(M83))*N(I83)))</f>
        <v/>
      </c>
      <c r="R83" s="10">
        <f>O83-Q83</f>
        <v/>
      </c>
    </row>
    <row r="84">
      <c r="A84" s="7" t="inlineStr">
        <is>
          <t>900006300</t>
        </is>
      </c>
      <c r="B84" s="8" t="inlineStr"/>
      <c r="C84" s="7" t="inlineStr">
        <is>
          <t>DW67</t>
        </is>
      </c>
      <c r="D84" s="7" t="inlineStr">
        <is>
          <t>D180</t>
        </is>
      </c>
      <c r="E84" s="7" t="inlineStr"/>
      <c r="F84" s="8" t="inlineStr"/>
      <c r="G84" s="8" t="inlineStr">
        <is>
          <t>10000826</t>
        </is>
      </c>
      <c r="H84" s="8" t="inlineStr">
        <is>
          <t>Arena Clasificada Río Malla 4</t>
        </is>
      </c>
      <c r="I84" s="9" t="n">
        <v>1450</v>
      </c>
      <c r="J84" s="7" t="inlineStr">
        <is>
          <t>20220516</t>
        </is>
      </c>
      <c r="K84" s="7" t="inlineStr">
        <is>
          <t>20230511</t>
        </is>
      </c>
      <c r="L84" s="10" t="n">
        <v>72.41</v>
      </c>
      <c r="M84" s="10" t="n"/>
      <c r="N84" s="7" t="inlineStr">
        <is>
          <t>TN</t>
        </is>
      </c>
      <c r="O84" s="10" t="n"/>
      <c r="P84" s="7" t="inlineStr"/>
      <c r="Q84" s="10">
        <f>IF(AND(N84="TN",P84="TN"),L84+N(M84),IF(E84&amp;""="1",N(I84)*L84,(L84+N(M84))*N(I84)))</f>
        <v/>
      </c>
      <c r="R84" s="10">
        <f>O84-Q84</f>
        <v/>
      </c>
    </row>
    <row r="85">
      <c r="A85" s="7" t="inlineStr">
        <is>
          <t>900006300</t>
        </is>
      </c>
      <c r="B85" s="8" t="inlineStr"/>
      <c r="C85" s="7" t="inlineStr">
        <is>
          <t>DW67</t>
        </is>
      </c>
      <c r="D85" s="7" t="inlineStr">
        <is>
          <t>D302</t>
        </is>
      </c>
      <c r="E85" s="7" t="inlineStr">
        <is>
          <t>4</t>
        </is>
      </c>
      <c r="F85" s="8" t="inlineStr">
        <is>
          <t>PD0471 COATZACOALCOS</t>
        </is>
      </c>
      <c r="G85" s="8" t="inlineStr">
        <is>
          <t>10000139</t>
        </is>
      </c>
      <c r="H85" s="8" t="inlineStr">
        <is>
          <t>Grava Triturada Andesita 20 mm - 3/4"</t>
        </is>
      </c>
      <c r="I85" s="9" t="n">
        <v>1311</v>
      </c>
      <c r="J85" s="7" t="inlineStr">
        <is>
          <t>20220516</t>
        </is>
      </c>
      <c r="K85" s="7" t="inlineStr">
        <is>
          <t>20240320</t>
        </is>
      </c>
      <c r="L85" s="10" t="n">
        <v>68.65000000000001</v>
      </c>
      <c r="M85" s="10" t="n">
        <v>808.54</v>
      </c>
      <c r="N85" s="7" t="inlineStr">
        <is>
          <t>TN</t>
        </is>
      </c>
      <c r="O85" s="10" t="n"/>
      <c r="P85" s="7" t="inlineStr"/>
      <c r="Q85" s="10">
        <f>IF(AND(N85="TN",P85="TN"),L85+N(M85),IF(E85&amp;""="1",N(I85)*L85,(L85+N(M85))*N(I85)))</f>
        <v/>
      </c>
      <c r="R85" s="10">
        <f>O85-Q85</f>
        <v/>
      </c>
    </row>
    <row r="86">
      <c r="A86" s="7" t="inlineStr">
        <is>
          <t>900006300</t>
        </is>
      </c>
      <c r="B86" s="8" t="inlineStr"/>
      <c r="C86" s="7" t="inlineStr">
        <is>
          <t>DW67</t>
        </is>
      </c>
      <c r="D86" s="7" t="inlineStr">
        <is>
          <t>D302</t>
        </is>
      </c>
      <c r="E86" s="7" t="inlineStr">
        <is>
          <t>1</t>
        </is>
      </c>
      <c r="F86" s="8" t="inlineStr">
        <is>
          <t>PD0471 COATZACOALCOS</t>
        </is>
      </c>
      <c r="G86" s="8" t="inlineStr">
        <is>
          <t>10000178</t>
        </is>
      </c>
      <c r="H86" s="8" t="inlineStr">
        <is>
          <t>Grava Clasificada Río 20 mm - 3/4"</t>
        </is>
      </c>
      <c r="I86" s="9" t="n">
        <v>1507</v>
      </c>
      <c r="J86" s="7" t="inlineStr">
        <is>
          <t>20220516</t>
        </is>
      </c>
      <c r="K86" s="7" t="inlineStr">
        <is>
          <t>20240320</t>
        </is>
      </c>
      <c r="L86" s="10" t="n">
        <v>140</v>
      </c>
      <c r="M86" s="10" t="n">
        <v>136.84</v>
      </c>
      <c r="N86" s="7" t="inlineStr">
        <is>
          <t>M3</t>
        </is>
      </c>
      <c r="O86" s="10" t="n"/>
      <c r="P86" s="7" t="inlineStr"/>
      <c r="Q86" s="10">
        <f>IF(AND(N86="TN",P86="TN"),L86+N(M86),IF(E86&amp;""="1",N(I86)*L86,(L86+N(M86))*N(I86)))</f>
        <v/>
      </c>
      <c r="R86" s="10">
        <f>O86-Q86</f>
        <v/>
      </c>
    </row>
    <row r="87">
      <c r="A87" s="7" t="inlineStr">
        <is>
          <t>900006300</t>
        </is>
      </c>
      <c r="B87" s="8" t="inlineStr"/>
      <c r="C87" s="7" t="inlineStr">
        <is>
          <t>DW67</t>
        </is>
      </c>
      <c r="D87" s="7" t="inlineStr">
        <is>
          <t>D302</t>
        </is>
      </c>
      <c r="E87" s="7" t="inlineStr">
        <is>
          <t>1</t>
        </is>
      </c>
      <c r="F87" s="8" t="inlineStr">
        <is>
          <t>PD0471 COATZACOALCOS</t>
        </is>
      </c>
      <c r="G87" s="8" t="inlineStr">
        <is>
          <t>10000826</t>
        </is>
      </c>
      <c r="H87" s="8" t="inlineStr">
        <is>
          <t>Arena Clasificada Río Malla 4</t>
        </is>
      </c>
      <c r="I87" s="9" t="n">
        <v>1450</v>
      </c>
      <c r="J87" s="7" t="inlineStr">
        <is>
          <t>20220516</t>
        </is>
      </c>
      <c r="K87" s="7" t="inlineStr">
        <is>
          <t>20240320</t>
        </is>
      </c>
      <c r="L87" s="10" t="n">
        <v>72.41</v>
      </c>
      <c r="M87" s="10" t="n">
        <v>87.12</v>
      </c>
      <c r="N87" s="7" t="inlineStr">
        <is>
          <t>TN</t>
        </is>
      </c>
      <c r="O87" s="10" t="n"/>
      <c r="P87" s="7" t="inlineStr"/>
      <c r="Q87" s="10">
        <f>IF(AND(N87="TN",P87="TN"),L87+N(M87),IF(E87&amp;""="1",N(I87)*L87,(L87+N(M87))*N(I87)))</f>
        <v/>
      </c>
      <c r="R87" s="10">
        <f>O87-Q87</f>
        <v/>
      </c>
    </row>
    <row r="88">
      <c r="A88" s="7" t="inlineStr">
        <is>
          <t>900006304</t>
        </is>
      </c>
      <c r="B88" s="8" t="inlineStr"/>
      <c r="C88" s="7" t="inlineStr">
        <is>
          <t>DW67</t>
        </is>
      </c>
      <c r="D88" s="7" t="inlineStr">
        <is>
          <t>D302</t>
        </is>
      </c>
      <c r="E88" s="7" t="inlineStr">
        <is>
          <t>1</t>
        </is>
      </c>
      <c r="F88" s="8" t="inlineStr">
        <is>
          <t>PD0471 COATZACOALCOS</t>
        </is>
      </c>
      <c r="G88" s="8" t="inlineStr">
        <is>
          <t>10000826</t>
        </is>
      </c>
      <c r="H88" s="8" t="inlineStr">
        <is>
          <t>Arena Clasificada Río Malla 4</t>
        </is>
      </c>
      <c r="I88" s="9" t="n">
        <v>1450</v>
      </c>
      <c r="J88" s="7" t="inlineStr">
        <is>
          <t>20220516</t>
        </is>
      </c>
      <c r="K88" s="7" t="inlineStr">
        <is>
          <t>20240320</t>
        </is>
      </c>
      <c r="L88" s="10" t="n">
        <v>35.86</v>
      </c>
      <c r="M88" s="10" t="n">
        <v>208.28</v>
      </c>
      <c r="N88" s="7" t="inlineStr">
        <is>
          <t>TN</t>
        </is>
      </c>
      <c r="O88" s="10" t="n"/>
      <c r="P88" s="7" t="inlineStr"/>
      <c r="Q88" s="10">
        <f>IF(AND(N88="TN",P88="TN"),L88+N(M88),IF(E88&amp;""="1",N(I88)*L88,(L88+N(M88))*N(I88)))</f>
        <v/>
      </c>
      <c r="R88" s="10">
        <f>O88-Q88</f>
        <v/>
      </c>
    </row>
    <row r="89">
      <c r="A89" s="7" t="inlineStr">
        <is>
          <t>900006379</t>
        </is>
      </c>
      <c r="B89" s="8" t="inlineStr"/>
      <c r="C89" s="7" t="inlineStr">
        <is>
          <t>DW67</t>
        </is>
      </c>
      <c r="D89" s="7" t="inlineStr">
        <is>
          <t>D302</t>
        </is>
      </c>
      <c r="E89" s="7" t="inlineStr">
        <is>
          <t>1</t>
        </is>
      </c>
      <c r="F89" s="8" t="inlineStr">
        <is>
          <t>PD0471 COATZACOALCOS</t>
        </is>
      </c>
      <c r="G89" s="8" t="inlineStr">
        <is>
          <t>10000396</t>
        </is>
      </c>
      <c r="H89" s="8" t="inlineStr">
        <is>
          <t>Grava Triturada Caliza 20 mm - 3/4"</t>
        </is>
      </c>
      <c r="I89" s="9" t="n">
        <v>1382</v>
      </c>
      <c r="J89" s="7" t="inlineStr">
        <is>
          <t>20220516</t>
        </is>
      </c>
      <c r="K89" s="7" t="inlineStr">
        <is>
          <t>20240320</t>
        </is>
      </c>
      <c r="L89" s="10" t="n">
        <v>116.68</v>
      </c>
      <c r="M89" s="10" t="n">
        <v>246.11</v>
      </c>
      <c r="N89" s="7" t="inlineStr">
        <is>
          <t>TN</t>
        </is>
      </c>
      <c r="O89" s="10" t="n"/>
      <c r="P89" s="7" t="inlineStr"/>
      <c r="Q89" s="10">
        <f>IF(AND(N89="TN",P89="TN"),L89+N(M89),IF(E89&amp;""="1",N(I89)*L89,(L89+N(M89))*N(I89)))</f>
        <v/>
      </c>
      <c r="R89" s="10">
        <f>O89-Q89</f>
        <v/>
      </c>
    </row>
    <row r="90">
      <c r="A90" s="7" t="inlineStr">
        <is>
          <t>900006419</t>
        </is>
      </c>
      <c r="B90" s="8" t="inlineStr"/>
      <c r="C90" s="7" t="inlineStr">
        <is>
          <t>DW67</t>
        </is>
      </c>
      <c r="D90" s="7" t="inlineStr">
        <is>
          <t>D302</t>
        </is>
      </c>
      <c r="E90" s="7" t="inlineStr"/>
      <c r="F90" s="8" t="inlineStr">
        <is>
          <t>PD0471 COATZACOALCOS</t>
        </is>
      </c>
      <c r="G90" s="8" t="inlineStr">
        <is>
          <t>10000372</t>
        </is>
      </c>
      <c r="H90" s="8" t="inlineStr">
        <is>
          <t>Grava Triturada Caliza 20 mm - 3/4"</t>
        </is>
      </c>
      <c r="I90" s="9" t="n">
        <v>1448</v>
      </c>
      <c r="J90" s="7" t="inlineStr">
        <is>
          <t>20220516</t>
        </is>
      </c>
      <c r="K90" s="7" t="inlineStr">
        <is>
          <t>20230615</t>
        </is>
      </c>
      <c r="L90" s="10" t="n">
        <v>175.41</v>
      </c>
      <c r="M90" s="10" t="n"/>
      <c r="N90" s="7" t="inlineStr">
        <is>
          <t>TN</t>
        </is>
      </c>
      <c r="O90" s="10" t="n"/>
      <c r="P90" s="7" t="inlineStr"/>
      <c r="Q90" s="10">
        <f>IF(AND(N90="TN",P90="TN"),L90+N(M90),IF(E90&amp;""="1",N(I90)*L90,(L90+N(M90))*N(I90)))</f>
        <v/>
      </c>
      <c r="R90" s="10">
        <f>O90-Q90</f>
        <v/>
      </c>
    </row>
    <row r="91">
      <c r="A91" s="7" t="inlineStr">
        <is>
          <t>900006420</t>
        </is>
      </c>
      <c r="B91" s="8" t="inlineStr"/>
      <c r="C91" s="7" t="inlineStr">
        <is>
          <t>DW67</t>
        </is>
      </c>
      <c r="D91" s="7" t="inlineStr">
        <is>
          <t>D302</t>
        </is>
      </c>
      <c r="E91" s="7" t="inlineStr">
        <is>
          <t>4</t>
        </is>
      </c>
      <c r="F91" s="8" t="inlineStr">
        <is>
          <t>PD0471 COATZACOALCOS</t>
        </is>
      </c>
      <c r="G91" s="8" t="inlineStr">
        <is>
          <t>10000372</t>
        </is>
      </c>
      <c r="H91" s="8" t="inlineStr">
        <is>
          <t>Grava Triturada Caliza 20 mm - 3/4"</t>
        </is>
      </c>
      <c r="I91" s="9" t="n">
        <v>1448</v>
      </c>
      <c r="J91" s="7" t="inlineStr">
        <is>
          <t>20240216</t>
        </is>
      </c>
      <c r="K91" s="7" t="inlineStr">
        <is>
          <t>20250812</t>
        </is>
      </c>
      <c r="L91" s="10" t="n">
        <v>241.71</v>
      </c>
      <c r="M91" s="10" t="n">
        <v>310.77</v>
      </c>
      <c r="N91" s="7" t="inlineStr">
        <is>
          <t>TN</t>
        </is>
      </c>
      <c r="O91" s="10" t="n"/>
      <c r="P91" s="7" t="inlineStr"/>
      <c r="Q91" s="10">
        <f>IF(AND(N91="TN",P91="TN"),L91+N(M91),IF(E91&amp;""="1",N(I91)*L91,(L91+N(M91))*N(I91)))</f>
        <v/>
      </c>
      <c r="R91" s="10">
        <f>O91-Q91</f>
        <v/>
      </c>
    </row>
    <row r="92">
      <c r="A92" s="7" t="inlineStr">
        <is>
          <t>900006457</t>
        </is>
      </c>
      <c r="B92" s="8" t="inlineStr"/>
      <c r="C92" s="7" t="inlineStr">
        <is>
          <t>DW67</t>
        </is>
      </c>
      <c r="D92" s="7" t="inlineStr">
        <is>
          <t>D292</t>
        </is>
      </c>
      <c r="E92" s="7" t="inlineStr">
        <is>
          <t>1</t>
        </is>
      </c>
      <c r="F92" s="8" t="inlineStr"/>
      <c r="G92" s="8" t="inlineStr">
        <is>
          <t>10000139</t>
        </is>
      </c>
      <c r="H92" s="8" t="inlineStr">
        <is>
          <t>Grava Triturada Andesita 20 mm - 3/4"</t>
        </is>
      </c>
      <c r="I92" s="9" t="n">
        <v>1311</v>
      </c>
      <c r="J92" s="7" t="inlineStr">
        <is>
          <t>20220516</t>
        </is>
      </c>
      <c r="K92" s="7" t="inlineStr">
        <is>
          <t>20240320</t>
        </is>
      </c>
      <c r="L92" s="10" t="n">
        <v>129.67</v>
      </c>
      <c r="M92" s="10" t="n">
        <v>277.48</v>
      </c>
      <c r="N92" s="7" t="inlineStr">
        <is>
          <t>TN</t>
        </is>
      </c>
      <c r="O92" s="10" t="n"/>
      <c r="P92" s="7" t="inlineStr"/>
      <c r="Q92" s="10">
        <f>IF(AND(N92="TN",P92="TN"),L92+N(M92),IF(E92&amp;""="1",N(I92)*L92,(L92+N(M92))*N(I92)))</f>
        <v/>
      </c>
      <c r="R92" s="10">
        <f>O92-Q92</f>
        <v/>
      </c>
    </row>
    <row r="93">
      <c r="A93" s="7" t="inlineStr">
        <is>
          <t>900006465</t>
        </is>
      </c>
      <c r="B93" s="8" t="inlineStr"/>
      <c r="C93" s="7" t="inlineStr">
        <is>
          <t>DW67</t>
        </is>
      </c>
      <c r="D93" s="7" t="inlineStr">
        <is>
          <t>D302</t>
        </is>
      </c>
      <c r="E93" s="7" t="inlineStr">
        <is>
          <t>1</t>
        </is>
      </c>
      <c r="F93" s="8" t="inlineStr">
        <is>
          <t>PD0471 COATZACOALCOS</t>
        </is>
      </c>
      <c r="G93" s="8" t="inlineStr">
        <is>
          <t>10000541</t>
        </is>
      </c>
      <c r="H93" s="8" t="inlineStr">
        <is>
          <t>Grava Clasificada Río 10 mm - 3/8"</t>
        </is>
      </c>
      <c r="I93" s="9" t="n">
        <v>1528</v>
      </c>
      <c r="J93" s="7" t="inlineStr">
        <is>
          <t>20220516</t>
        </is>
      </c>
      <c r="K93" s="7" t="inlineStr">
        <is>
          <t>20241113</t>
        </is>
      </c>
      <c r="L93" s="10" t="n">
        <v>65.45</v>
      </c>
      <c r="M93" s="10" t="n">
        <v>76.01000000000001</v>
      </c>
      <c r="N93" s="7" t="inlineStr">
        <is>
          <t>TN</t>
        </is>
      </c>
      <c r="O93" s="10" t="n"/>
      <c r="P93" s="7" t="inlineStr"/>
      <c r="Q93" s="10">
        <f>IF(AND(N93="TN",P93="TN"),L93+N(M93),IF(E93&amp;""="1",N(I93)*L93,(L93+N(M93))*N(I93)))</f>
        <v/>
      </c>
      <c r="R93" s="10">
        <f>O93-Q93</f>
        <v/>
      </c>
    </row>
    <row r="94">
      <c r="A94" s="7" t="inlineStr">
        <is>
          <t>900006488</t>
        </is>
      </c>
      <c r="B94" s="8" t="inlineStr"/>
      <c r="C94" s="7" t="inlineStr">
        <is>
          <t>DW67</t>
        </is>
      </c>
      <c r="D94" s="7" t="inlineStr">
        <is>
          <t>D302</t>
        </is>
      </c>
      <c r="E94" s="7" t="inlineStr"/>
      <c r="F94" s="8" t="inlineStr">
        <is>
          <t>PD0471 COATZACOALCOS</t>
        </is>
      </c>
      <c r="G94" s="8" t="inlineStr">
        <is>
          <t>10000178</t>
        </is>
      </c>
      <c r="H94" s="8" t="inlineStr">
        <is>
          <t>Grava Clasificada Río 20 mm - 3/4"</t>
        </is>
      </c>
      <c r="I94" s="9" t="n">
        <v>1507</v>
      </c>
      <c r="J94" s="7" t="inlineStr">
        <is>
          <t>20220516</t>
        </is>
      </c>
      <c r="K94" s="7" t="inlineStr">
        <is>
          <t>20230615</t>
        </is>
      </c>
      <c r="L94" s="10" t="n">
        <v>98.20999999999999</v>
      </c>
      <c r="M94" s="10" t="n"/>
      <c r="N94" s="7" t="inlineStr">
        <is>
          <t>TN</t>
        </is>
      </c>
      <c r="O94" s="10" t="n"/>
      <c r="P94" s="7" t="inlineStr"/>
      <c r="Q94" s="10">
        <f>IF(AND(N94="TN",P94="TN"),L94+N(M94),IF(E94&amp;""="1",N(I94)*L94,(L94+N(M94))*N(I94)))</f>
        <v/>
      </c>
      <c r="R94" s="10">
        <f>O94-Q94</f>
        <v/>
      </c>
    </row>
    <row r="95">
      <c r="A95" s="7" t="inlineStr">
        <is>
          <t>900006488</t>
        </is>
      </c>
      <c r="B95" s="8" t="inlineStr"/>
      <c r="C95" s="7" t="inlineStr">
        <is>
          <t>DW67</t>
        </is>
      </c>
      <c r="D95" s="7" t="inlineStr">
        <is>
          <t>D302</t>
        </is>
      </c>
      <c r="E95" s="7" t="inlineStr"/>
      <c r="F95" s="8" t="inlineStr">
        <is>
          <t>PD0471 COATZACOALCOS</t>
        </is>
      </c>
      <c r="G95" s="8" t="inlineStr">
        <is>
          <t>10000826</t>
        </is>
      </c>
      <c r="H95" s="8" t="inlineStr">
        <is>
          <t>Arena Clasificada Río Malla 4</t>
        </is>
      </c>
      <c r="I95" s="9" t="n">
        <v>1450</v>
      </c>
      <c r="J95" s="7" t="inlineStr">
        <is>
          <t>20220516</t>
        </is>
      </c>
      <c r="K95" s="7" t="inlineStr">
        <is>
          <t>20230615</t>
        </is>
      </c>
      <c r="L95" s="10" t="n">
        <v>96.55</v>
      </c>
      <c r="M95" s="10" t="n"/>
      <c r="N95" s="7" t="inlineStr">
        <is>
          <t>TN</t>
        </is>
      </c>
      <c r="O95" s="10" t="n"/>
      <c r="P95" s="7" t="inlineStr"/>
      <c r="Q95" s="10">
        <f>IF(AND(N95="TN",P95="TN"),L95+N(M95),IF(E95&amp;""="1",N(I95)*L95,(L95+N(M95))*N(I95)))</f>
        <v/>
      </c>
      <c r="R95" s="10">
        <f>O95-Q95</f>
        <v/>
      </c>
    </row>
    <row r="96">
      <c r="A96" s="7" t="inlineStr">
        <is>
          <t>900006500</t>
        </is>
      </c>
      <c r="B96" s="8" t="inlineStr">
        <is>
          <t>TC-ED- HATO GONZALEZ</t>
        </is>
      </c>
      <c r="C96" s="7" t="inlineStr">
        <is>
          <t>DW67</t>
        </is>
      </c>
      <c r="D96" s="7" t="inlineStr">
        <is>
          <t>D302</t>
        </is>
      </c>
      <c r="E96" s="7" t="inlineStr">
        <is>
          <t>4</t>
        </is>
      </c>
      <c r="F96" s="8" t="inlineStr">
        <is>
          <t>PD0471 COATZACOALCOS</t>
        </is>
      </c>
      <c r="G96" s="8" t="inlineStr">
        <is>
          <t>10000178</t>
        </is>
      </c>
      <c r="H96" s="8" t="inlineStr">
        <is>
          <t>Grava Clasificada Río 20 mm - 3/4"</t>
        </is>
      </c>
      <c r="I96" s="9" t="n">
        <v>1507</v>
      </c>
      <c r="J96" s="7" t="inlineStr">
        <is>
          <t>20240902</t>
        </is>
      </c>
      <c r="K96" s="7" t="inlineStr">
        <is>
          <t>99991231</t>
        </is>
      </c>
      <c r="L96" s="10" t="n">
        <v>223.62</v>
      </c>
      <c r="M96" s="10" t="n">
        <v>132.71</v>
      </c>
      <c r="N96" s="7" t="inlineStr">
        <is>
          <t>TN</t>
        </is>
      </c>
      <c r="O96" s="10" t="n">
        <v>537</v>
      </c>
      <c r="P96" s="7" t="inlineStr">
        <is>
          <t>M3</t>
        </is>
      </c>
      <c r="Q96" s="10">
        <f>IF(AND(N96="TN",P96="TN"),L96+N(M96),IF(E96&amp;""="1",N(I96)*L96,(L96+N(M96))*N(I96)))</f>
        <v/>
      </c>
      <c r="R96" s="11">
        <f>O96-Q96</f>
        <v/>
      </c>
    </row>
    <row r="97">
      <c r="A97" s="7" t="inlineStr">
        <is>
          <t>900006500</t>
        </is>
      </c>
      <c r="B97" s="8" t="inlineStr">
        <is>
          <t>TC-ED- HATO GONZALEZ</t>
        </is>
      </c>
      <c r="C97" s="7" t="inlineStr">
        <is>
          <t>DW67</t>
        </is>
      </c>
      <c r="D97" s="7" t="inlineStr">
        <is>
          <t>D302</t>
        </is>
      </c>
      <c r="E97" s="7" t="inlineStr">
        <is>
          <t>4</t>
        </is>
      </c>
      <c r="F97" s="8" t="inlineStr">
        <is>
          <t>PD0471 COATZACOALCOS</t>
        </is>
      </c>
      <c r="G97" s="8" t="inlineStr">
        <is>
          <t>10000826</t>
        </is>
      </c>
      <c r="H97" s="8" t="inlineStr">
        <is>
          <t>Arena Clasificada Río Malla 4</t>
        </is>
      </c>
      <c r="I97" s="9" t="n">
        <v>1450</v>
      </c>
      <c r="J97" s="7" t="inlineStr">
        <is>
          <t>20260115</t>
        </is>
      </c>
      <c r="K97" s="7" t="inlineStr">
        <is>
          <t>99991231</t>
        </is>
      </c>
      <c r="L97" s="10" t="n">
        <v>158.62</v>
      </c>
      <c r="M97" s="10" t="n">
        <v>135.45</v>
      </c>
      <c r="N97" s="7" t="inlineStr">
        <is>
          <t>TN</t>
        </is>
      </c>
      <c r="O97" s="10" t="n">
        <v>426.4</v>
      </c>
      <c r="P97" s="7" t="inlineStr">
        <is>
          <t>M3</t>
        </is>
      </c>
      <c r="Q97" s="10">
        <f>IF(AND(N97="TN",P97="TN"),L97+N(M97),IF(E97&amp;""="1",N(I97)*L97,(L97+N(M97))*N(I97)))</f>
        <v/>
      </c>
      <c r="R97" s="11">
        <f>O97-Q97</f>
        <v/>
      </c>
    </row>
    <row r="98">
      <c r="A98" s="7" t="inlineStr">
        <is>
          <t>900006567</t>
        </is>
      </c>
      <c r="B98" s="8" t="inlineStr"/>
      <c r="C98" s="7" t="inlineStr">
        <is>
          <t>DW67</t>
        </is>
      </c>
      <c r="D98" s="7" t="inlineStr">
        <is>
          <t>D302</t>
        </is>
      </c>
      <c r="E98" s="7" t="inlineStr">
        <is>
          <t>4</t>
        </is>
      </c>
      <c r="F98" s="8" t="inlineStr">
        <is>
          <t>PD0471 COATZACOALCOS</t>
        </is>
      </c>
      <c r="G98" s="8" t="inlineStr">
        <is>
          <t>10210039</t>
        </is>
      </c>
      <c r="H98" s="8" t="inlineStr">
        <is>
          <t>ARENA CLASIFICADA RÍO MALLA 4</t>
        </is>
      </c>
      <c r="I98" s="9" t="n">
        <v>1485</v>
      </c>
      <c r="J98" s="7" t="inlineStr">
        <is>
          <t>20220516</t>
        </is>
      </c>
      <c r="K98" s="7" t="inlineStr">
        <is>
          <t>20240320</t>
        </is>
      </c>
      <c r="L98" s="10" t="n">
        <v>57.24</v>
      </c>
      <c r="M98" s="10" t="n">
        <v>144.78</v>
      </c>
      <c r="N98" s="7" t="inlineStr">
        <is>
          <t>TN</t>
        </is>
      </c>
      <c r="O98" s="10" t="n"/>
      <c r="P98" s="7" t="inlineStr"/>
      <c r="Q98" s="10">
        <f>IF(AND(N98="TN",P98="TN"),L98+N(M98),IF(E98&amp;""="1",N(I98)*L98,(L98+N(M98))*N(I98)))</f>
        <v/>
      </c>
      <c r="R98" s="10">
        <f>O98-Q98</f>
        <v/>
      </c>
    </row>
    <row r="99">
      <c r="A99" s="7" t="inlineStr">
        <is>
          <t>900006571</t>
        </is>
      </c>
      <c r="B99" s="8" t="inlineStr"/>
      <c r="C99" s="7" t="inlineStr">
        <is>
          <t>DW67</t>
        </is>
      </c>
      <c r="D99" s="7" t="inlineStr">
        <is>
          <t>D180</t>
        </is>
      </c>
      <c r="E99" s="7" t="inlineStr"/>
      <c r="F99" s="8" t="inlineStr"/>
      <c r="G99" s="8" t="inlineStr">
        <is>
          <t>10000178</t>
        </is>
      </c>
      <c r="H99" s="8" t="inlineStr">
        <is>
          <t>Grava Clasificada Río 20 mm - 3/4"</t>
        </is>
      </c>
      <c r="I99" s="9" t="n">
        <v>1507</v>
      </c>
      <c r="J99" s="7" t="inlineStr">
        <is>
          <t>20220516</t>
        </is>
      </c>
      <c r="K99" s="7" t="inlineStr">
        <is>
          <t>20230306</t>
        </is>
      </c>
      <c r="L99" s="10" t="n">
        <v>152.62</v>
      </c>
      <c r="M99" s="10" t="n"/>
      <c r="N99" s="7" t="inlineStr">
        <is>
          <t>TN</t>
        </is>
      </c>
      <c r="O99" s="10" t="n"/>
      <c r="P99" s="7" t="inlineStr"/>
      <c r="Q99" s="10">
        <f>IF(AND(N99="TN",P99="TN"),L99+N(M99),IF(E99&amp;""="1",N(I99)*L99,(L99+N(M99))*N(I99)))</f>
        <v/>
      </c>
      <c r="R99" s="10">
        <f>O99-Q99</f>
        <v/>
      </c>
    </row>
    <row r="100">
      <c r="A100" s="7" t="inlineStr">
        <is>
          <t>900006571</t>
        </is>
      </c>
      <c r="B100" s="8" t="inlineStr"/>
      <c r="C100" s="7" t="inlineStr">
        <is>
          <t>DW67</t>
        </is>
      </c>
      <c r="D100" s="7" t="inlineStr">
        <is>
          <t>D180</t>
        </is>
      </c>
      <c r="E100" s="7" t="inlineStr"/>
      <c r="F100" s="8" t="inlineStr"/>
      <c r="G100" s="8" t="inlineStr">
        <is>
          <t>10000826</t>
        </is>
      </c>
      <c r="H100" s="8" t="inlineStr">
        <is>
          <t>Arena Clasificada Río Malla 4</t>
        </is>
      </c>
      <c r="I100" s="9" t="n">
        <v>1450</v>
      </c>
      <c r="J100" s="7" t="inlineStr">
        <is>
          <t>20220516</t>
        </is>
      </c>
      <c r="K100" s="7" t="inlineStr">
        <is>
          <t>20230306</t>
        </is>
      </c>
      <c r="L100" s="10" t="n">
        <v>82.76000000000001</v>
      </c>
      <c r="M100" s="10" t="n"/>
      <c r="N100" s="7" t="inlineStr">
        <is>
          <t>TN</t>
        </is>
      </c>
      <c r="O100" s="10" t="n"/>
      <c r="P100" s="7" t="inlineStr"/>
      <c r="Q100" s="10">
        <f>IF(AND(N100="TN",P100="TN"),L100+N(M100),IF(E100&amp;""="1",N(I100)*L100,(L100+N(M100))*N(I100)))</f>
        <v/>
      </c>
      <c r="R100" s="10">
        <f>O100-Q100</f>
        <v/>
      </c>
    </row>
    <row r="101">
      <c r="A101" s="7" t="inlineStr">
        <is>
          <t>900006571</t>
        </is>
      </c>
      <c r="B101" s="8" t="inlineStr"/>
      <c r="C101" s="7" t="inlineStr">
        <is>
          <t>DW67</t>
        </is>
      </c>
      <c r="D101" s="7" t="inlineStr">
        <is>
          <t>D302</t>
        </is>
      </c>
      <c r="E101" s="7" t="inlineStr"/>
      <c r="F101" s="8" t="inlineStr">
        <is>
          <t>PD0471 COATZACOALCOS</t>
        </is>
      </c>
      <c r="G101" s="8" t="inlineStr">
        <is>
          <t>10000178</t>
        </is>
      </c>
      <c r="H101" s="8" t="inlineStr">
        <is>
          <t>Grava Clasificada Río 20 mm - 3/4"</t>
        </is>
      </c>
      <c r="I101" s="9" t="n">
        <v>1507</v>
      </c>
      <c r="J101" s="7" t="inlineStr">
        <is>
          <t>20220516</t>
        </is>
      </c>
      <c r="K101" s="7" t="inlineStr">
        <is>
          <t>20230306</t>
        </is>
      </c>
      <c r="L101" s="10" t="n">
        <v>152.62</v>
      </c>
      <c r="M101" s="10" t="n"/>
      <c r="N101" s="7" t="inlineStr">
        <is>
          <t>TN</t>
        </is>
      </c>
      <c r="O101" s="10" t="n"/>
      <c r="P101" s="7" t="inlineStr"/>
      <c r="Q101" s="10">
        <f>IF(AND(N101="TN",P101="TN"),L101+N(M101),IF(E101&amp;""="1",N(I101)*L101,(L101+N(M101))*N(I101)))</f>
        <v/>
      </c>
      <c r="R101" s="10">
        <f>O101-Q101</f>
        <v/>
      </c>
    </row>
    <row r="102">
      <c r="A102" s="7" t="inlineStr">
        <is>
          <t>900006571</t>
        </is>
      </c>
      <c r="B102" s="8" t="inlineStr"/>
      <c r="C102" s="7" t="inlineStr">
        <is>
          <t>DW67</t>
        </is>
      </c>
      <c r="D102" s="7" t="inlineStr">
        <is>
          <t>D302</t>
        </is>
      </c>
      <c r="E102" s="7" t="inlineStr"/>
      <c r="F102" s="8" t="inlineStr">
        <is>
          <t>PD0471 COATZACOALCOS</t>
        </is>
      </c>
      <c r="G102" s="8" t="inlineStr">
        <is>
          <t>10000826</t>
        </is>
      </c>
      <c r="H102" s="8" t="inlineStr">
        <is>
          <t>Arena Clasificada Río Malla 4</t>
        </is>
      </c>
      <c r="I102" s="9" t="n">
        <v>1450</v>
      </c>
      <c r="J102" s="7" t="inlineStr">
        <is>
          <t>20220516</t>
        </is>
      </c>
      <c r="K102" s="7" t="inlineStr">
        <is>
          <t>20230306</t>
        </is>
      </c>
      <c r="L102" s="10" t="n">
        <v>68.97</v>
      </c>
      <c r="M102" s="10" t="n"/>
      <c r="N102" s="7" t="inlineStr">
        <is>
          <t>TN</t>
        </is>
      </c>
      <c r="O102" s="10" t="n"/>
      <c r="P102" s="7" t="inlineStr"/>
      <c r="Q102" s="10">
        <f>IF(AND(N102="TN",P102="TN"),L102+N(M102),IF(E102&amp;""="1",N(I102)*L102,(L102+N(M102))*N(I102)))</f>
        <v/>
      </c>
      <c r="R102" s="10">
        <f>O102-Q102</f>
        <v/>
      </c>
    </row>
    <row r="103">
      <c r="A103" s="7" t="inlineStr">
        <is>
          <t>900006723</t>
        </is>
      </c>
      <c r="B103" s="8" t="inlineStr"/>
      <c r="C103" s="7" t="inlineStr">
        <is>
          <t>DW67</t>
        </is>
      </c>
      <c r="D103" s="7" t="inlineStr">
        <is>
          <t>D302</t>
        </is>
      </c>
      <c r="E103" s="7" t="inlineStr">
        <is>
          <t>4</t>
        </is>
      </c>
      <c r="F103" s="8" t="inlineStr">
        <is>
          <t>PD0471 COATZACOALCOS</t>
        </is>
      </c>
      <c r="G103" s="8" t="inlineStr">
        <is>
          <t>10047545</t>
        </is>
      </c>
      <c r="H103" s="8" t="inlineStr">
        <is>
          <t>Grava Triturada Caliza 20 mm - 3/4" -B</t>
        </is>
      </c>
      <c r="I103" s="9" t="n">
        <v>1460</v>
      </c>
      <c r="J103" s="7" t="inlineStr">
        <is>
          <t>20241129</t>
        </is>
      </c>
      <c r="K103" s="7" t="inlineStr">
        <is>
          <t>20250812</t>
        </is>
      </c>
      <c r="L103" s="10" t="n">
        <v>239.73</v>
      </c>
      <c r="M103" s="10" t="n">
        <v>205.48</v>
      </c>
      <c r="N103" s="7" t="inlineStr">
        <is>
          <t>TN</t>
        </is>
      </c>
      <c r="O103" s="10" t="n"/>
      <c r="P103" s="7" t="inlineStr"/>
      <c r="Q103" s="10">
        <f>IF(AND(N103="TN",P103="TN"),L103+N(M103),IF(E103&amp;""="1",N(I103)*L103,(L103+N(M103))*N(I103)))</f>
        <v/>
      </c>
      <c r="R103" s="10">
        <f>O103-Q103</f>
        <v/>
      </c>
    </row>
    <row r="104">
      <c r="A104" s="7" t="inlineStr">
        <is>
          <t>900006725</t>
        </is>
      </c>
      <c r="B104" s="8" t="inlineStr"/>
      <c r="C104" s="7" t="inlineStr">
        <is>
          <t>DW67</t>
        </is>
      </c>
      <c r="D104" s="7" t="inlineStr">
        <is>
          <t>D302</t>
        </is>
      </c>
      <c r="E104" s="7" t="inlineStr"/>
      <c r="F104" s="8" t="inlineStr">
        <is>
          <t>PD0471 COATZACOALCOS</t>
        </is>
      </c>
      <c r="G104" s="8" t="inlineStr">
        <is>
          <t>10000372</t>
        </is>
      </c>
      <c r="H104" s="8" t="inlineStr">
        <is>
          <t>Grava Triturada Caliza 20 mm - 3/4"</t>
        </is>
      </c>
      <c r="I104" s="9" t="n">
        <v>1448</v>
      </c>
      <c r="J104" s="7" t="inlineStr">
        <is>
          <t>20220516</t>
        </is>
      </c>
      <c r="K104" s="7" t="inlineStr">
        <is>
          <t>20241113</t>
        </is>
      </c>
      <c r="L104" s="10" t="n">
        <v>296.96</v>
      </c>
      <c r="M104" s="10" t="n"/>
      <c r="N104" s="7" t="inlineStr">
        <is>
          <t>TN</t>
        </is>
      </c>
      <c r="O104" s="10" t="n"/>
      <c r="P104" s="7" t="inlineStr"/>
      <c r="Q104" s="10">
        <f>IF(AND(N104="TN",P104="TN"),L104+N(M104),IF(E104&amp;""="1",N(I104)*L104,(L104+N(M104))*N(I104)))</f>
        <v/>
      </c>
      <c r="R104" s="10">
        <f>O104-Q104</f>
        <v/>
      </c>
    </row>
    <row r="105">
      <c r="A105" s="7" t="inlineStr">
        <is>
          <t>900006741</t>
        </is>
      </c>
      <c r="B105" s="8" t="inlineStr"/>
      <c r="C105" s="7" t="inlineStr">
        <is>
          <t>DW67</t>
        </is>
      </c>
      <c r="D105" s="7" t="inlineStr">
        <is>
          <t>D302</t>
        </is>
      </c>
      <c r="E105" s="7" t="inlineStr"/>
      <c r="F105" s="8" t="inlineStr">
        <is>
          <t>PD0471 COATZACOALCOS</t>
        </is>
      </c>
      <c r="G105" s="8" t="inlineStr">
        <is>
          <t>10000834</t>
        </is>
      </c>
      <c r="H105" s="8" t="inlineStr">
        <is>
          <t>Arena Clasificada Río Malla 4</t>
        </is>
      </c>
      <c r="I105" s="9" t="n">
        <v>1273</v>
      </c>
      <c r="J105" s="7" t="inlineStr">
        <is>
          <t>20220516</t>
        </is>
      </c>
      <c r="K105" s="7" t="inlineStr">
        <is>
          <t>20230615</t>
        </is>
      </c>
      <c r="L105" s="10" t="n">
        <v>40.06</v>
      </c>
      <c r="M105" s="10" t="n"/>
      <c r="N105" s="7" t="inlineStr">
        <is>
          <t>TN</t>
        </is>
      </c>
      <c r="O105" s="10" t="n"/>
      <c r="P105" s="7" t="inlineStr"/>
      <c r="Q105" s="10">
        <f>IF(AND(N105="TN",P105="TN"),L105+N(M105),IF(E105&amp;""="1",N(I105)*L105,(L105+N(M105))*N(I105)))</f>
        <v/>
      </c>
      <c r="R105" s="10">
        <f>O105-Q105</f>
        <v/>
      </c>
    </row>
    <row r="106">
      <c r="A106" s="7" t="inlineStr">
        <is>
          <t>900006742</t>
        </is>
      </c>
      <c r="B106" s="8" t="inlineStr"/>
      <c r="C106" s="7" t="inlineStr">
        <is>
          <t>DW67</t>
        </is>
      </c>
      <c r="D106" s="7" t="inlineStr">
        <is>
          <t>D302</t>
        </is>
      </c>
      <c r="E106" s="7" t="inlineStr"/>
      <c r="F106" s="8" t="inlineStr">
        <is>
          <t>PD0471 COATZACOALCOS</t>
        </is>
      </c>
      <c r="G106" s="8" t="inlineStr">
        <is>
          <t>10000834</t>
        </is>
      </c>
      <c r="H106" s="8" t="inlineStr">
        <is>
          <t>Arena Clasificada Río Malla 4</t>
        </is>
      </c>
      <c r="I106" s="9" t="n">
        <v>1273</v>
      </c>
      <c r="J106" s="7" t="inlineStr">
        <is>
          <t>20220516</t>
        </is>
      </c>
      <c r="K106" s="7" t="inlineStr">
        <is>
          <t>20230615</t>
        </is>
      </c>
      <c r="L106" s="10" t="n">
        <v>39.28</v>
      </c>
      <c r="M106" s="10" t="n"/>
      <c r="N106" s="7" t="inlineStr">
        <is>
          <t>TN</t>
        </is>
      </c>
      <c r="O106" s="10" t="n"/>
      <c r="P106" s="7" t="inlineStr"/>
      <c r="Q106" s="10">
        <f>IF(AND(N106="TN",P106="TN"),L106+N(M106),IF(E106&amp;""="1",N(I106)*L106,(L106+N(M106))*N(I106)))</f>
        <v/>
      </c>
      <c r="R106" s="10">
        <f>O106-Q106</f>
        <v/>
      </c>
    </row>
    <row r="107">
      <c r="A107" s="7" t="inlineStr">
        <is>
          <t>900007052</t>
        </is>
      </c>
      <c r="B107" s="8" t="inlineStr">
        <is>
          <t>SF TC-ED-SAMUEL CARRASCO</t>
        </is>
      </c>
      <c r="C107" s="7" t="inlineStr">
        <is>
          <t>DW67</t>
        </is>
      </c>
      <c r="D107" s="7" t="inlineStr">
        <is>
          <t>D302</t>
        </is>
      </c>
      <c r="E107" s="7" t="inlineStr">
        <is>
          <t>4</t>
        </is>
      </c>
      <c r="F107" s="8" t="inlineStr">
        <is>
          <t>PD0471 COATZACOALCOS</t>
        </is>
      </c>
      <c r="G107" s="8" t="inlineStr">
        <is>
          <t>10000372</t>
        </is>
      </c>
      <c r="H107" s="8" t="inlineStr">
        <is>
          <t>Grava Triturada Caliza 20 mm - 3/4"</t>
        </is>
      </c>
      <c r="I107" s="9" t="n">
        <v>1448</v>
      </c>
      <c r="J107" s="7" t="inlineStr">
        <is>
          <t>20240207</t>
        </is>
      </c>
      <c r="K107" s="7" t="inlineStr">
        <is>
          <t>99991231</t>
        </is>
      </c>
      <c r="L107" s="10" t="n">
        <v>241.71</v>
      </c>
      <c r="M107" s="10" t="n">
        <v>386.74</v>
      </c>
      <c r="N107" s="7" t="inlineStr">
        <is>
          <t>TN</t>
        </is>
      </c>
      <c r="O107" s="10" t="n">
        <v>910</v>
      </c>
      <c r="P107" s="7" t="inlineStr">
        <is>
          <t>M3</t>
        </is>
      </c>
      <c r="Q107" s="10">
        <f>IF(AND(N107="TN",P107="TN"),L107+N(M107),IF(E107&amp;""="1",N(I107)*L107,(L107+N(M107))*N(I107)))</f>
        <v/>
      </c>
      <c r="R107" s="11">
        <f>O107-Q107</f>
        <v/>
      </c>
    </row>
    <row r="108">
      <c r="A108" s="7" t="inlineStr">
        <is>
          <t>900007052</t>
        </is>
      </c>
      <c r="B108" s="8" t="inlineStr">
        <is>
          <t>SF TC-ED-SAMUEL CARRASCO</t>
        </is>
      </c>
      <c r="C108" s="7" t="inlineStr">
        <is>
          <t>DW67</t>
        </is>
      </c>
      <c r="D108" s="7" t="inlineStr">
        <is>
          <t>D302</t>
        </is>
      </c>
      <c r="E108" s="7" t="inlineStr">
        <is>
          <t>4</t>
        </is>
      </c>
      <c r="F108" s="8" t="inlineStr">
        <is>
          <t>PD0471 COATZACOALCOS</t>
        </is>
      </c>
      <c r="G108" s="8" t="inlineStr">
        <is>
          <t>10000398</t>
        </is>
      </c>
      <c r="H108" s="8" t="inlineStr">
        <is>
          <t>Grava Triturada Andesita 20 mm - 3/4"</t>
        </is>
      </c>
      <c r="I108" s="9" t="n">
        <v>1311</v>
      </c>
      <c r="J108" s="7" t="inlineStr">
        <is>
          <t>20241030</t>
        </is>
      </c>
      <c r="K108" s="7" t="inlineStr">
        <is>
          <t>99991231</t>
        </is>
      </c>
      <c r="L108" s="10" t="n">
        <v>64.84</v>
      </c>
      <c r="M108" s="10" t="n">
        <v>377.57</v>
      </c>
      <c r="N108" s="7" t="inlineStr">
        <is>
          <t>TN</t>
        </is>
      </c>
      <c r="O108" s="10" t="n">
        <v>580</v>
      </c>
      <c r="P108" s="7" t="inlineStr">
        <is>
          <t>M3</t>
        </is>
      </c>
      <c r="Q108" s="10">
        <f>IF(AND(N108="TN",P108="TN"),L108+N(M108),IF(E108&amp;""="1",N(I108)*L108,(L108+N(M108))*N(I108)))</f>
        <v/>
      </c>
      <c r="R108" s="11">
        <f>O108-Q108</f>
        <v/>
      </c>
    </row>
    <row r="109">
      <c r="A109" s="7" t="inlineStr">
        <is>
          <t>900007163</t>
        </is>
      </c>
      <c r="B109" s="8" t="inlineStr"/>
      <c r="C109" s="7" t="inlineStr">
        <is>
          <t>DW67</t>
        </is>
      </c>
      <c r="D109" s="7" t="inlineStr">
        <is>
          <t>D302</t>
        </is>
      </c>
      <c r="E109" s="7" t="inlineStr">
        <is>
          <t>1</t>
        </is>
      </c>
      <c r="F109" s="8" t="inlineStr">
        <is>
          <t>PD0471 COATZACOALCOS</t>
        </is>
      </c>
      <c r="G109" s="8" t="inlineStr">
        <is>
          <t>10000178</t>
        </is>
      </c>
      <c r="H109" s="8" t="inlineStr">
        <is>
          <t>Grava Clasificada Río 20 mm - 3/4"</t>
        </is>
      </c>
      <c r="I109" s="9" t="n">
        <v>1507</v>
      </c>
      <c r="J109" s="7" t="inlineStr">
        <is>
          <t>20220516</t>
        </is>
      </c>
      <c r="K109" s="7" t="inlineStr">
        <is>
          <t>20240320</t>
        </is>
      </c>
      <c r="L109" s="10" t="n">
        <v>230</v>
      </c>
      <c r="M109" s="10" t="n">
        <v>193.21</v>
      </c>
      <c r="N109" s="7" t="inlineStr">
        <is>
          <t>M3</t>
        </is>
      </c>
      <c r="O109" s="10" t="n"/>
      <c r="P109" s="7" t="inlineStr"/>
      <c r="Q109" s="10">
        <f>IF(AND(N109="TN",P109="TN"),L109+N(M109),IF(E109&amp;""="1",N(I109)*L109,(L109+N(M109))*N(I109)))</f>
        <v/>
      </c>
      <c r="R109" s="10">
        <f>O109-Q109</f>
        <v/>
      </c>
    </row>
    <row r="110">
      <c r="A110" s="7" t="inlineStr">
        <is>
          <t>900007250</t>
        </is>
      </c>
      <c r="B110" s="8" t="inlineStr"/>
      <c r="C110" s="7" t="inlineStr">
        <is>
          <t>DW67</t>
        </is>
      </c>
      <c r="D110" s="7" t="inlineStr">
        <is>
          <t>D302</t>
        </is>
      </c>
      <c r="E110" s="7" t="inlineStr"/>
      <c r="F110" s="8" t="inlineStr">
        <is>
          <t>PD0471 COATZACOALCOS</t>
        </is>
      </c>
      <c r="G110" s="8" t="inlineStr">
        <is>
          <t>10000178</t>
        </is>
      </c>
      <c r="H110" s="8" t="inlineStr">
        <is>
          <t>Grava Clasificada Río 20 mm - 3/4"</t>
        </is>
      </c>
      <c r="I110" s="9" t="n">
        <v>1507</v>
      </c>
      <c r="J110" s="7" t="inlineStr">
        <is>
          <t>20220921</t>
        </is>
      </c>
      <c r="K110" s="7" t="inlineStr">
        <is>
          <t>20230615</t>
        </is>
      </c>
      <c r="L110" s="10" t="n">
        <v>119.44</v>
      </c>
      <c r="M110" s="10" t="n"/>
      <c r="N110" s="7" t="inlineStr">
        <is>
          <t>TN</t>
        </is>
      </c>
      <c r="O110" s="10" t="n"/>
      <c r="P110" s="7" t="inlineStr"/>
      <c r="Q110" s="10">
        <f>IF(AND(N110="TN",P110="TN"),L110+N(M110),IF(E110&amp;""="1",N(I110)*L110,(L110+N(M110))*N(I110)))</f>
        <v/>
      </c>
      <c r="R110" s="10">
        <f>O110-Q110</f>
        <v/>
      </c>
    </row>
    <row r="111">
      <c r="A111" s="7" t="inlineStr">
        <is>
          <t>900007250</t>
        </is>
      </c>
      <c r="B111" s="8" t="inlineStr"/>
      <c r="C111" s="7" t="inlineStr">
        <is>
          <t>DW67</t>
        </is>
      </c>
      <c r="D111" s="7" t="inlineStr">
        <is>
          <t>D302</t>
        </is>
      </c>
      <c r="E111" s="7" t="inlineStr"/>
      <c r="F111" s="8" t="inlineStr">
        <is>
          <t>PD0471 COATZACOALCOS</t>
        </is>
      </c>
      <c r="G111" s="8" t="inlineStr">
        <is>
          <t>10000826</t>
        </is>
      </c>
      <c r="H111" s="8" t="inlineStr">
        <is>
          <t>Arena Clasificada Río Malla 4</t>
        </is>
      </c>
      <c r="I111" s="9" t="n">
        <v>1450</v>
      </c>
      <c r="J111" s="7" t="inlineStr">
        <is>
          <t>20220922</t>
        </is>
      </c>
      <c r="K111" s="7" t="inlineStr">
        <is>
          <t>20230615</t>
        </is>
      </c>
      <c r="L111" s="10" t="n">
        <v>89.66</v>
      </c>
      <c r="M111" s="10" t="n"/>
      <c r="N111" s="7" t="inlineStr">
        <is>
          <t>TN</t>
        </is>
      </c>
      <c r="O111" s="10" t="n"/>
      <c r="P111" s="7" t="inlineStr"/>
      <c r="Q111" s="10">
        <f>IF(AND(N111="TN",P111="TN"),L111+N(M111),IF(E111&amp;""="1",N(I111)*L111,(L111+N(M111))*N(I111)))</f>
        <v/>
      </c>
      <c r="R111" s="10">
        <f>O111-Q111</f>
        <v/>
      </c>
    </row>
    <row r="112">
      <c r="A112" s="7" t="inlineStr">
        <is>
          <t>900007282</t>
        </is>
      </c>
      <c r="B112" s="8" t="inlineStr"/>
      <c r="C112" s="7" t="inlineStr">
        <is>
          <t>DW67</t>
        </is>
      </c>
      <c r="D112" s="7" t="inlineStr">
        <is>
          <t>D292</t>
        </is>
      </c>
      <c r="E112" s="7" t="inlineStr">
        <is>
          <t>1</t>
        </is>
      </c>
      <c r="F112" s="8" t="inlineStr"/>
      <c r="G112" s="8" t="inlineStr">
        <is>
          <t>10000139</t>
        </is>
      </c>
      <c r="H112" s="8" t="inlineStr">
        <is>
          <t>Grava Triturada Andesita 20 mm - 3/4"</t>
        </is>
      </c>
      <c r="I112" s="9" t="n">
        <v>1311</v>
      </c>
      <c r="J112" s="7" t="inlineStr">
        <is>
          <t>20220516</t>
        </is>
      </c>
      <c r="K112" s="7" t="inlineStr">
        <is>
          <t>20240320</t>
        </is>
      </c>
      <c r="L112" s="10" t="n">
        <v>110.6</v>
      </c>
      <c r="M112" s="10" t="n">
        <v>293.58</v>
      </c>
      <c r="N112" s="7" t="inlineStr">
        <is>
          <t>TN</t>
        </is>
      </c>
      <c r="O112" s="10" t="n"/>
      <c r="P112" s="7" t="inlineStr"/>
      <c r="Q112" s="10">
        <f>IF(AND(N112="TN",P112="TN"),L112+N(M112),IF(E112&amp;""="1",N(I112)*L112,(L112+N(M112))*N(I112)))</f>
        <v/>
      </c>
      <c r="R112" s="10">
        <f>O112-Q112</f>
        <v/>
      </c>
    </row>
    <row r="113">
      <c r="A113" s="7" t="inlineStr">
        <is>
          <t>900007364</t>
        </is>
      </c>
      <c r="B113" s="8" t="inlineStr"/>
      <c r="C113" s="7" t="inlineStr">
        <is>
          <t>DW67</t>
        </is>
      </c>
      <c r="D113" s="7" t="inlineStr">
        <is>
          <t>D302</t>
        </is>
      </c>
      <c r="E113" s="7" t="inlineStr"/>
      <c r="F113" s="8" t="inlineStr">
        <is>
          <t>PD0471 COATZACOALCOS</t>
        </is>
      </c>
      <c r="G113" s="8" t="inlineStr">
        <is>
          <t>10000178</t>
        </is>
      </c>
      <c r="H113" s="8" t="inlineStr">
        <is>
          <t>Grava Clasificada Río 20 mm - 3/4"</t>
        </is>
      </c>
      <c r="I113" s="9" t="n">
        <v>1507</v>
      </c>
      <c r="J113" s="7" t="inlineStr">
        <is>
          <t>20220811</t>
        </is>
      </c>
      <c r="K113" s="7" t="inlineStr">
        <is>
          <t>20230615</t>
        </is>
      </c>
      <c r="L113" s="10" t="n">
        <v>119.44</v>
      </c>
      <c r="M113" s="10" t="n"/>
      <c r="N113" s="7" t="inlineStr">
        <is>
          <t>TN</t>
        </is>
      </c>
      <c r="O113" s="10" t="n"/>
      <c r="P113" s="7" t="inlineStr"/>
      <c r="Q113" s="10">
        <f>IF(AND(N113="TN",P113="TN"),L113+N(M113),IF(E113&amp;""="1",N(I113)*L113,(L113+N(M113))*N(I113)))</f>
        <v/>
      </c>
      <c r="R113" s="10">
        <f>O113-Q113</f>
        <v/>
      </c>
    </row>
    <row r="114">
      <c r="A114" s="7" t="inlineStr">
        <is>
          <t>900007364</t>
        </is>
      </c>
      <c r="B114" s="8" t="inlineStr"/>
      <c r="C114" s="7" t="inlineStr">
        <is>
          <t>DW67</t>
        </is>
      </c>
      <c r="D114" s="7" t="inlineStr">
        <is>
          <t>D302</t>
        </is>
      </c>
      <c r="E114" s="7" t="inlineStr"/>
      <c r="F114" s="8" t="inlineStr">
        <is>
          <t>PD0471 COATZACOALCOS</t>
        </is>
      </c>
      <c r="G114" s="8" t="inlineStr">
        <is>
          <t>10000826</t>
        </is>
      </c>
      <c r="H114" s="8" t="inlineStr">
        <is>
          <t>Arena Clasificada Río Malla 4</t>
        </is>
      </c>
      <c r="I114" s="9" t="n">
        <v>1450</v>
      </c>
      <c r="J114" s="7" t="inlineStr">
        <is>
          <t>20220811</t>
        </is>
      </c>
      <c r="K114" s="7" t="inlineStr">
        <is>
          <t>20230615</t>
        </is>
      </c>
      <c r="L114" s="10" t="n">
        <v>75.86</v>
      </c>
      <c r="M114" s="10" t="n"/>
      <c r="N114" s="7" t="inlineStr">
        <is>
          <t>TN</t>
        </is>
      </c>
      <c r="O114" s="10" t="n"/>
      <c r="P114" s="7" t="inlineStr"/>
      <c r="Q114" s="10">
        <f>IF(AND(N114="TN",P114="TN"),L114+N(M114),IF(E114&amp;""="1",N(I114)*L114,(L114+N(M114))*N(I114)))</f>
        <v/>
      </c>
      <c r="R114" s="10">
        <f>O114-Q114</f>
        <v/>
      </c>
    </row>
    <row r="115">
      <c r="A115" s="7" t="inlineStr">
        <is>
          <t>900007715</t>
        </is>
      </c>
      <c r="B115" s="8" t="inlineStr">
        <is>
          <t>SF TC-ED-SAMUEL CARRASCO14</t>
        </is>
      </c>
      <c r="C115" s="7" t="inlineStr">
        <is>
          <t>DW67</t>
        </is>
      </c>
      <c r="D115" s="7" t="inlineStr">
        <is>
          <t>D302</t>
        </is>
      </c>
      <c r="E115" s="7" t="inlineStr">
        <is>
          <t>4</t>
        </is>
      </c>
      <c r="F115" s="8" t="inlineStr">
        <is>
          <t>PD0471 COATZACOALCOS</t>
        </is>
      </c>
      <c r="G115" s="8" t="inlineStr">
        <is>
          <t>10210039</t>
        </is>
      </c>
      <c r="H115" s="8" t="inlineStr">
        <is>
          <t>ARENA CLASIFICADA RÍO MALLA 4</t>
        </is>
      </c>
      <c r="I115" s="9" t="n">
        <v>1485</v>
      </c>
      <c r="J115" s="7" t="inlineStr">
        <is>
          <t>20250502</t>
        </is>
      </c>
      <c r="K115" s="7" t="inlineStr">
        <is>
          <t>99991231</t>
        </is>
      </c>
      <c r="L115" s="10" t="n">
        <v>57.24</v>
      </c>
      <c r="M115" s="10" t="n">
        <v>279.46</v>
      </c>
      <c r="N115" s="7" t="inlineStr">
        <is>
          <t>TN</t>
        </is>
      </c>
      <c r="O115" s="10" t="n">
        <v>500</v>
      </c>
      <c r="P115" s="7" t="inlineStr">
        <is>
          <t>M3</t>
        </is>
      </c>
      <c r="Q115" s="10">
        <f>IF(AND(N115="TN",P115="TN"),L115+N(M115),IF(E115&amp;""="1",N(I115)*L115,(L115+N(M115))*N(I115)))</f>
        <v/>
      </c>
      <c r="R115" s="11">
        <f>O115-Q115</f>
        <v/>
      </c>
    </row>
    <row r="116">
      <c r="A116" s="7" t="inlineStr">
        <is>
          <t>900007799</t>
        </is>
      </c>
      <c r="B116" s="8" t="inlineStr"/>
      <c r="C116" s="7" t="inlineStr">
        <is>
          <t>DW67</t>
        </is>
      </c>
      <c r="D116" s="7" t="inlineStr">
        <is>
          <t>D302</t>
        </is>
      </c>
      <c r="E116" s="7" t="inlineStr"/>
      <c r="F116" s="8" t="inlineStr">
        <is>
          <t>PD0471 COATZACOALCOS</t>
        </is>
      </c>
      <c r="G116" s="8" t="inlineStr">
        <is>
          <t>10000826</t>
        </is>
      </c>
      <c r="H116" s="8" t="inlineStr">
        <is>
          <t>Arena Clasificada Río Malla 4</t>
        </is>
      </c>
      <c r="I116" s="9" t="n">
        <v>1450</v>
      </c>
      <c r="J116" s="7" t="inlineStr">
        <is>
          <t>20220516</t>
        </is>
      </c>
      <c r="K116" s="7" t="inlineStr">
        <is>
          <t>20241113</t>
        </is>
      </c>
      <c r="L116" s="10" t="n">
        <v>124.14</v>
      </c>
      <c r="M116" s="10" t="n"/>
      <c r="N116" s="7" t="inlineStr">
        <is>
          <t>TN</t>
        </is>
      </c>
      <c r="O116" s="10" t="n"/>
      <c r="P116" s="7" t="inlineStr"/>
      <c r="Q116" s="10">
        <f>IF(AND(N116="TN",P116="TN"),L116+N(M116),IF(E116&amp;""="1",N(I116)*L116,(L116+N(M116))*N(I116)))</f>
        <v/>
      </c>
      <c r="R116" s="10">
        <f>O116-Q116</f>
        <v/>
      </c>
    </row>
    <row r="117">
      <c r="A117" s="7" t="inlineStr">
        <is>
          <t>900007800</t>
        </is>
      </c>
      <c r="B117" s="8" t="inlineStr">
        <is>
          <t>SF TC-ED-CLAKAR</t>
        </is>
      </c>
      <c r="C117" s="7" t="inlineStr">
        <is>
          <t>DW67</t>
        </is>
      </c>
      <c r="D117" s="7" t="inlineStr">
        <is>
          <t>D284</t>
        </is>
      </c>
      <c r="E117" s="7" t="inlineStr">
        <is>
          <t>4</t>
        </is>
      </c>
      <c r="F117" s="8" t="inlineStr"/>
      <c r="G117" s="8" t="inlineStr">
        <is>
          <t>10000541</t>
        </is>
      </c>
      <c r="H117" s="8" t="inlineStr">
        <is>
          <t>Grava Clasificada Río 10 mm - 3/8"</t>
        </is>
      </c>
      <c r="I117" s="9" t="n">
        <v>1528</v>
      </c>
      <c r="J117" s="7" t="inlineStr">
        <is>
          <t>20240627</t>
        </is>
      </c>
      <c r="K117" s="7" t="inlineStr">
        <is>
          <t>20240705</t>
        </is>
      </c>
      <c r="L117" s="10" t="n">
        <v>196.34</v>
      </c>
      <c r="M117" s="10" t="n">
        <v>327.23</v>
      </c>
      <c r="N117" s="7" t="inlineStr">
        <is>
          <t>TN</t>
        </is>
      </c>
      <c r="O117" s="10" t="n">
        <v>550</v>
      </c>
      <c r="P117" s="7" t="inlineStr">
        <is>
          <t>M3</t>
        </is>
      </c>
      <c r="Q117" s="10">
        <f>IF(AND(N117="TN",P117="TN"),L117+N(M117),IF(E117&amp;""="1",N(I117)*L117,(L117+N(M117))*N(I117)))</f>
        <v/>
      </c>
      <c r="R117" s="11">
        <f>O117-Q117</f>
        <v/>
      </c>
    </row>
    <row r="118">
      <c r="A118" s="7" t="inlineStr">
        <is>
          <t>900007800</t>
        </is>
      </c>
      <c r="B118" s="8" t="inlineStr">
        <is>
          <t>SF TC-ED-CLAKAR</t>
        </is>
      </c>
      <c r="C118" s="7" t="inlineStr">
        <is>
          <t>DW67</t>
        </is>
      </c>
      <c r="D118" s="7" t="inlineStr">
        <is>
          <t>D302</t>
        </is>
      </c>
      <c r="E118" s="7" t="inlineStr">
        <is>
          <t>4</t>
        </is>
      </c>
      <c r="F118" s="8" t="inlineStr">
        <is>
          <t>PD0471 COATZACOALCOS</t>
        </is>
      </c>
      <c r="G118" s="8" t="inlineStr">
        <is>
          <t>10000139</t>
        </is>
      </c>
      <c r="H118" s="8" t="inlineStr">
        <is>
          <t>Grava Triturada Andesita 20 mm - 3/4"</t>
        </is>
      </c>
      <c r="I118" s="9" t="n">
        <v>1311</v>
      </c>
      <c r="J118" s="7" t="inlineStr">
        <is>
          <t>20241007</t>
        </is>
      </c>
      <c r="K118" s="7" t="inlineStr">
        <is>
          <t>99991231</t>
        </is>
      </c>
      <c r="L118" s="10" t="n">
        <v>83.91</v>
      </c>
      <c r="M118" s="10" t="n">
        <v>358.5</v>
      </c>
      <c r="N118" s="7" t="inlineStr">
        <is>
          <t>TN</t>
        </is>
      </c>
      <c r="O118" s="10" t="n">
        <v>580</v>
      </c>
      <c r="P118" s="7" t="inlineStr">
        <is>
          <t>M3</t>
        </is>
      </c>
      <c r="Q118" s="10">
        <f>IF(AND(N118="TN",P118="TN"),L118+N(M118),IF(E118&amp;""="1",N(I118)*L118,(L118+N(M118))*N(I118)))</f>
        <v/>
      </c>
      <c r="R118" s="11">
        <f>O118-Q118</f>
        <v/>
      </c>
    </row>
    <row r="119">
      <c r="A119" s="7" t="inlineStr">
        <is>
          <t>900007800</t>
        </is>
      </c>
      <c r="B119" s="8" t="inlineStr">
        <is>
          <t>SF TC-ED-CLAKAR</t>
        </is>
      </c>
      <c r="C119" s="7" t="inlineStr">
        <is>
          <t>DW67</t>
        </is>
      </c>
      <c r="D119" s="7" t="inlineStr">
        <is>
          <t>D302</t>
        </is>
      </c>
      <c r="E119" s="7" t="inlineStr"/>
      <c r="F119" s="8" t="inlineStr">
        <is>
          <t>PD0471 COATZACOALCOS</t>
        </is>
      </c>
      <c r="G119" s="8" t="inlineStr">
        <is>
          <t>10000178</t>
        </is>
      </c>
      <c r="H119" s="8" t="inlineStr">
        <is>
          <t>Grava Clasificada Río 20 mm - 3/4"</t>
        </is>
      </c>
      <c r="I119" s="9" t="n">
        <v>1507</v>
      </c>
      <c r="J119" s="7" t="inlineStr">
        <is>
          <t>20220920</t>
        </is>
      </c>
      <c r="K119" s="7" t="inlineStr">
        <is>
          <t>20230224</t>
        </is>
      </c>
      <c r="L119" s="10" t="n">
        <v>139.35</v>
      </c>
      <c r="M119" s="10" t="n"/>
      <c r="N119" s="7" t="inlineStr">
        <is>
          <t>TN</t>
        </is>
      </c>
      <c r="O119" s="10" t="n"/>
      <c r="P119" s="7" t="inlineStr"/>
      <c r="Q119" s="10">
        <f>IF(AND(N119="TN",P119="TN"),L119+N(M119),IF(E119&amp;""="1",N(I119)*L119,(L119+N(M119))*N(I119)))</f>
        <v/>
      </c>
      <c r="R119" s="10">
        <f>O119-Q119</f>
        <v/>
      </c>
    </row>
    <row r="120">
      <c r="A120" s="7" t="inlineStr">
        <is>
          <t>900007800</t>
        </is>
      </c>
      <c r="B120" s="8" t="inlineStr">
        <is>
          <t>SF TC-ED-CLAKAR</t>
        </is>
      </c>
      <c r="C120" s="7" t="inlineStr">
        <is>
          <t>DW67</t>
        </is>
      </c>
      <c r="D120" s="7" t="inlineStr">
        <is>
          <t>D302</t>
        </is>
      </c>
      <c r="E120" s="7" t="inlineStr">
        <is>
          <t>4</t>
        </is>
      </c>
      <c r="F120" s="8" t="inlineStr">
        <is>
          <t>PD0471 COATZACOALCOS</t>
        </is>
      </c>
      <c r="G120" s="8" t="inlineStr">
        <is>
          <t>10000541</t>
        </is>
      </c>
      <c r="H120" s="8" t="inlineStr">
        <is>
          <t>Grava Clasificada Río 10 mm - 3/8"</t>
        </is>
      </c>
      <c r="I120" s="9" t="n">
        <v>1528</v>
      </c>
      <c r="J120" s="7" t="inlineStr">
        <is>
          <t>20250905</t>
        </is>
      </c>
      <c r="K120" s="7" t="inlineStr">
        <is>
          <t>99991231</t>
        </is>
      </c>
      <c r="L120" s="10" t="n">
        <v>196.34</v>
      </c>
      <c r="M120" s="10" t="n">
        <v>163.61</v>
      </c>
      <c r="N120" s="7" t="inlineStr">
        <is>
          <t>TN</t>
        </is>
      </c>
      <c r="O120" s="10" t="n">
        <v>550</v>
      </c>
      <c r="P120" s="7" t="inlineStr">
        <is>
          <t>M3</t>
        </is>
      </c>
      <c r="Q120" s="10">
        <f>IF(AND(N120="TN",P120="TN"),L120+N(M120),IF(E120&amp;""="1",N(I120)*L120,(L120+N(M120))*N(I120)))</f>
        <v/>
      </c>
      <c r="R120" s="11">
        <f>O120-Q120</f>
        <v/>
      </c>
    </row>
    <row r="121">
      <c r="A121" s="7" t="inlineStr">
        <is>
          <t>900007800</t>
        </is>
      </c>
      <c r="B121" s="8" t="inlineStr">
        <is>
          <t>SF TC-ED-CLAKAR</t>
        </is>
      </c>
      <c r="C121" s="7" t="inlineStr">
        <is>
          <t>DW67</t>
        </is>
      </c>
      <c r="D121" s="7" t="inlineStr">
        <is>
          <t>D302</t>
        </is>
      </c>
      <c r="E121" s="7" t="inlineStr"/>
      <c r="F121" s="8" t="inlineStr">
        <is>
          <t>PD0471 COATZACOALCOS</t>
        </is>
      </c>
      <c r="G121" s="8" t="inlineStr">
        <is>
          <t>10000826</t>
        </is>
      </c>
      <c r="H121" s="8" t="inlineStr">
        <is>
          <t>Arena Clasificada Río Malla 4</t>
        </is>
      </c>
      <c r="I121" s="9" t="n">
        <v>1450</v>
      </c>
      <c r="J121" s="7" t="inlineStr">
        <is>
          <t>20220920</t>
        </is>
      </c>
      <c r="K121" s="7" t="inlineStr">
        <is>
          <t>20230224</t>
        </is>
      </c>
      <c r="L121" s="10" t="n">
        <v>117.24</v>
      </c>
      <c r="M121" s="10" t="n"/>
      <c r="N121" s="7" t="inlineStr">
        <is>
          <t>TN</t>
        </is>
      </c>
      <c r="O121" s="10" t="n"/>
      <c r="P121" s="7" t="inlineStr"/>
      <c r="Q121" s="10">
        <f>IF(AND(N121="TN",P121="TN"),L121+N(M121),IF(E121&amp;""="1",N(I121)*L121,(L121+N(M121))*N(I121)))</f>
        <v/>
      </c>
      <c r="R121" s="10">
        <f>O121-Q121</f>
        <v/>
      </c>
    </row>
    <row r="122">
      <c r="A122" s="7" t="inlineStr">
        <is>
          <t>900007800</t>
        </is>
      </c>
      <c r="B122" s="8" t="inlineStr">
        <is>
          <t>SF TC-ED-CLAKAR</t>
        </is>
      </c>
      <c r="C122" s="7" t="inlineStr">
        <is>
          <t>DW67</t>
        </is>
      </c>
      <c r="D122" s="7" t="inlineStr">
        <is>
          <t>D302</t>
        </is>
      </c>
      <c r="E122" s="7" t="inlineStr">
        <is>
          <t>4</t>
        </is>
      </c>
      <c r="F122" s="8" t="inlineStr">
        <is>
          <t>PD0471 COATZACOALCOS</t>
        </is>
      </c>
      <c r="G122" s="8" t="inlineStr">
        <is>
          <t>10047545</t>
        </is>
      </c>
      <c r="H122" s="8" t="inlineStr">
        <is>
          <t>Grava Triturada Caliza 20 mm - 3/4" -B</t>
        </is>
      </c>
      <c r="I122" s="9" t="n">
        <v>1460</v>
      </c>
      <c r="J122" s="7" t="inlineStr">
        <is>
          <t>20241121</t>
        </is>
      </c>
      <c r="K122" s="7" t="inlineStr">
        <is>
          <t>99991231</t>
        </is>
      </c>
      <c r="L122" s="10" t="n">
        <v>239.73</v>
      </c>
      <c r="M122" s="10" t="n">
        <v>205.48</v>
      </c>
      <c r="N122" s="7" t="inlineStr">
        <is>
          <t>TN</t>
        </is>
      </c>
      <c r="O122" s="10" t="n">
        <v>650</v>
      </c>
      <c r="P122" s="7" t="inlineStr">
        <is>
          <t>M3</t>
        </is>
      </c>
      <c r="Q122" s="10">
        <f>IF(AND(N122="TN",P122="TN"),L122+N(M122),IF(E122&amp;""="1",N(I122)*L122,(L122+N(M122))*N(I122)))</f>
        <v/>
      </c>
      <c r="R122" s="11">
        <f>O122-Q122</f>
        <v/>
      </c>
    </row>
    <row r="123">
      <c r="A123" s="7" t="inlineStr">
        <is>
          <t>900007887</t>
        </is>
      </c>
      <c r="B123" s="8" t="inlineStr">
        <is>
          <t>SF TC-ED-COMAC</t>
        </is>
      </c>
      <c r="C123" s="7" t="inlineStr">
        <is>
          <t>DW67</t>
        </is>
      </c>
      <c r="D123" s="7" t="inlineStr">
        <is>
          <t>D302</t>
        </is>
      </c>
      <c r="E123" s="7" t="inlineStr">
        <is>
          <t>4</t>
        </is>
      </c>
      <c r="F123" s="8" t="inlineStr">
        <is>
          <t>PD0471 COATZACOALCOS</t>
        </is>
      </c>
      <c r="G123" s="8" t="inlineStr">
        <is>
          <t>10000178</t>
        </is>
      </c>
      <c r="H123" s="8" t="inlineStr">
        <is>
          <t>Grava Clasificada Río 20 mm - 3/4"</t>
        </is>
      </c>
      <c r="I123" s="9" t="n">
        <v>1507</v>
      </c>
      <c r="J123" s="7" t="inlineStr">
        <is>
          <t>20250428</t>
        </is>
      </c>
      <c r="K123" s="7" t="inlineStr">
        <is>
          <t>20251031</t>
        </is>
      </c>
      <c r="L123" s="10" t="n">
        <v>165.89</v>
      </c>
      <c r="M123" s="10" t="n">
        <v>99.54000000000001</v>
      </c>
      <c r="N123" s="7" t="inlineStr">
        <is>
          <t>TN</t>
        </is>
      </c>
      <c r="O123" s="10" t="n">
        <v>400</v>
      </c>
      <c r="P123" s="7" t="inlineStr">
        <is>
          <t>M3</t>
        </is>
      </c>
      <c r="Q123" s="10">
        <f>IF(AND(N123="TN",P123="TN"),L123+N(M123),IF(E123&amp;""="1",N(I123)*L123,(L123+N(M123))*N(I123)))</f>
        <v/>
      </c>
      <c r="R123" s="11">
        <f>O123-Q123</f>
        <v/>
      </c>
    </row>
    <row r="124">
      <c r="A124" s="7" t="inlineStr">
        <is>
          <t>900007887</t>
        </is>
      </c>
      <c r="B124" s="8" t="inlineStr">
        <is>
          <t>SF TC-ED-COMAC</t>
        </is>
      </c>
      <c r="C124" s="7" t="inlineStr">
        <is>
          <t>DW67</t>
        </is>
      </c>
      <c r="D124" s="7" t="inlineStr">
        <is>
          <t>D302</t>
        </is>
      </c>
      <c r="E124" s="7" t="inlineStr">
        <is>
          <t>4</t>
        </is>
      </c>
      <c r="F124" s="8" t="inlineStr">
        <is>
          <t>PD0471 COATZACOALCOS</t>
        </is>
      </c>
      <c r="G124" s="8" t="inlineStr">
        <is>
          <t>10000826</t>
        </is>
      </c>
      <c r="H124" s="8" t="inlineStr">
        <is>
          <t>Arena Clasificada Río Malla 4</t>
        </is>
      </c>
      <c r="I124" s="9" t="n">
        <v>1450</v>
      </c>
      <c r="J124" s="7" t="inlineStr">
        <is>
          <t>20230228</t>
        </is>
      </c>
      <c r="K124" s="7" t="inlineStr">
        <is>
          <t>99991231</t>
        </is>
      </c>
      <c r="L124" s="10" t="n">
        <v>131.03</v>
      </c>
      <c r="M124" s="10" t="n">
        <v>110.34</v>
      </c>
      <c r="N124" s="7" t="inlineStr">
        <is>
          <t>TN</t>
        </is>
      </c>
      <c r="O124" s="10" t="n">
        <v>350</v>
      </c>
      <c r="P124" s="7" t="inlineStr">
        <is>
          <t>M3</t>
        </is>
      </c>
      <c r="Q124" s="10">
        <f>IF(AND(N124="TN",P124="TN"),L124+N(M124),IF(E124&amp;""="1",N(I124)*L124,(L124+N(M124))*N(I124)))</f>
        <v/>
      </c>
      <c r="R124" s="11">
        <f>O124-Q124</f>
        <v/>
      </c>
    </row>
    <row r="125">
      <c r="A125" s="7" t="inlineStr">
        <is>
          <t>900007952</t>
        </is>
      </c>
      <c r="B125" s="8" t="inlineStr">
        <is>
          <t>SF TC-BANCO GARCIA</t>
        </is>
      </c>
      <c r="C125" s="7" t="inlineStr">
        <is>
          <t>DW67</t>
        </is>
      </c>
      <c r="D125" s="7" t="inlineStr">
        <is>
          <t>D302</t>
        </is>
      </c>
      <c r="E125" s="7" t="inlineStr">
        <is>
          <t>1</t>
        </is>
      </c>
      <c r="F125" s="8" t="inlineStr">
        <is>
          <t>PD0471 COATZACOALCOS</t>
        </is>
      </c>
      <c r="G125" s="8" t="inlineStr">
        <is>
          <t>10210039</t>
        </is>
      </c>
      <c r="H125" s="8" t="inlineStr">
        <is>
          <t>ARENA CLASIFICADA RÍO MALLA 4</t>
        </is>
      </c>
      <c r="I125" s="9" t="n">
        <v>1485</v>
      </c>
      <c r="J125" s="7" t="inlineStr">
        <is>
          <t>20220516</t>
        </is>
      </c>
      <c r="K125" s="7" t="inlineStr">
        <is>
          <t>20240320</t>
        </is>
      </c>
      <c r="L125" s="10" t="n">
        <v>38.38</v>
      </c>
      <c r="M125" s="10" t="n">
        <v>216.56</v>
      </c>
      <c r="N125" s="7" t="inlineStr">
        <is>
          <t>TN</t>
        </is>
      </c>
      <c r="O125" s="10" t="n">
        <v>57</v>
      </c>
      <c r="P125" s="7" t="inlineStr">
        <is>
          <t>M3</t>
        </is>
      </c>
      <c r="Q125" s="10">
        <f>IF(AND(N125="TN",P125="TN"),L125+N(M125),IF(E125&amp;""="1",N(I125)*L125,(L125+N(M125))*N(I125)))</f>
        <v/>
      </c>
      <c r="R125" s="11">
        <f>O125-Q125</f>
        <v/>
      </c>
    </row>
    <row r="126">
      <c r="A126" s="7" t="inlineStr">
        <is>
          <t>900007971</t>
        </is>
      </c>
      <c r="B126" s="8" t="inlineStr"/>
      <c r="C126" s="7" t="inlineStr">
        <is>
          <t>DW67</t>
        </is>
      </c>
      <c r="D126" s="7" t="inlineStr">
        <is>
          <t>D302</t>
        </is>
      </c>
      <c r="E126" s="7" t="inlineStr">
        <is>
          <t>4</t>
        </is>
      </c>
      <c r="F126" s="8" t="inlineStr">
        <is>
          <t>PD0471 COATZACOALCOS</t>
        </is>
      </c>
      <c r="G126" s="8" t="inlineStr">
        <is>
          <t>10000139</t>
        </is>
      </c>
      <c r="H126" s="8" t="inlineStr">
        <is>
          <t>Grava Triturada Andesita 20 mm - 3/4"</t>
        </is>
      </c>
      <c r="I126" s="9" t="n">
        <v>1311</v>
      </c>
      <c r="J126" s="7" t="inlineStr">
        <is>
          <t>20240712</t>
        </is>
      </c>
      <c r="K126" s="7" t="inlineStr">
        <is>
          <t>20250812</t>
        </is>
      </c>
      <c r="L126" s="10" t="n">
        <v>99.16</v>
      </c>
      <c r="M126" s="10" t="n">
        <v>320.37</v>
      </c>
      <c r="N126" s="7" t="inlineStr">
        <is>
          <t>TN</t>
        </is>
      </c>
      <c r="O126" s="10" t="n"/>
      <c r="P126" s="7" t="inlineStr"/>
      <c r="Q126" s="10">
        <f>IF(AND(N126="TN",P126="TN"),L126+N(M126),IF(E126&amp;""="1",N(I126)*L126,(L126+N(M126))*N(I126)))</f>
        <v/>
      </c>
      <c r="R126" s="10">
        <f>O126-Q126</f>
        <v/>
      </c>
    </row>
    <row r="127">
      <c r="A127" s="7" t="inlineStr">
        <is>
          <t>900007971</t>
        </is>
      </c>
      <c r="B127" s="8" t="inlineStr"/>
      <c r="C127" s="7" t="inlineStr">
        <is>
          <t>DW67</t>
        </is>
      </c>
      <c r="D127" s="7" t="inlineStr">
        <is>
          <t>D302</t>
        </is>
      </c>
      <c r="E127" s="7" t="inlineStr"/>
      <c r="F127" s="8" t="inlineStr">
        <is>
          <t>PD0471 COATZACOALCOS</t>
        </is>
      </c>
      <c r="G127" s="8" t="inlineStr">
        <is>
          <t>10000826</t>
        </is>
      </c>
      <c r="H127" s="8" t="inlineStr">
        <is>
          <t>Arena Clasificada Río Malla 4</t>
        </is>
      </c>
      <c r="I127" s="9" t="n">
        <v>1450</v>
      </c>
      <c r="J127" s="7" t="inlineStr">
        <is>
          <t>20221220</t>
        </is>
      </c>
      <c r="K127" s="7" t="inlineStr">
        <is>
          <t>20230615</t>
        </is>
      </c>
      <c r="L127" s="10" t="n">
        <v>55.17</v>
      </c>
      <c r="M127" s="10" t="n"/>
      <c r="N127" s="7" t="inlineStr">
        <is>
          <t>TN</t>
        </is>
      </c>
      <c r="O127" s="10" t="n"/>
      <c r="P127" s="7" t="inlineStr"/>
      <c r="Q127" s="10">
        <f>IF(AND(N127="TN",P127="TN"),L127+N(M127),IF(E127&amp;""="1",N(I127)*L127,(L127+N(M127))*N(I127)))</f>
        <v/>
      </c>
      <c r="R127" s="10">
        <f>O127-Q127</f>
        <v/>
      </c>
    </row>
    <row r="128">
      <c r="A128" s="7" t="inlineStr">
        <is>
          <t>900007979</t>
        </is>
      </c>
      <c r="B128" s="8" t="inlineStr">
        <is>
          <t>SF TC-ED-CLAKAR 210 PROY JAGUAR</t>
        </is>
      </c>
      <c r="C128" s="7" t="inlineStr">
        <is>
          <t>DW67</t>
        </is>
      </c>
      <c r="D128" s="7" t="inlineStr">
        <is>
          <t>D180</t>
        </is>
      </c>
      <c r="E128" s="7" t="inlineStr">
        <is>
          <t>4</t>
        </is>
      </c>
      <c r="F128" s="8" t="inlineStr"/>
      <c r="G128" s="8" t="inlineStr">
        <is>
          <t>10000178</t>
        </is>
      </c>
      <c r="H128" s="8" t="inlineStr">
        <is>
          <t>Grava Clasificada Río 20 mm - 3/4"</t>
        </is>
      </c>
      <c r="I128" s="9" t="n">
        <v>1507</v>
      </c>
      <c r="J128" s="7" t="inlineStr">
        <is>
          <t>20220516</t>
        </is>
      </c>
      <c r="K128" s="7" t="inlineStr">
        <is>
          <t>20241113</t>
        </is>
      </c>
      <c r="L128" s="10" t="n">
        <v>152.62</v>
      </c>
      <c r="M128" s="10" t="n">
        <v>199.07</v>
      </c>
      <c r="N128" s="7" t="inlineStr">
        <is>
          <t>TN</t>
        </is>
      </c>
      <c r="O128" s="10" t="n">
        <v>580</v>
      </c>
      <c r="P128" s="7" t="inlineStr">
        <is>
          <t>M3</t>
        </is>
      </c>
      <c r="Q128" s="10">
        <f>IF(AND(N128="TN",P128="TN"),L128+N(M128),IF(E128&amp;""="1",N(I128)*L128,(L128+N(M128))*N(I128)))</f>
        <v/>
      </c>
      <c r="R128" s="11">
        <f>O128-Q128</f>
        <v/>
      </c>
    </row>
    <row r="129">
      <c r="A129" s="7" t="inlineStr">
        <is>
          <t>900007979</t>
        </is>
      </c>
      <c r="B129" s="8" t="inlineStr">
        <is>
          <t>SF TC-ED-CLAKAR 210 PROY JAGUAR</t>
        </is>
      </c>
      <c r="C129" s="7" t="inlineStr">
        <is>
          <t>DW67</t>
        </is>
      </c>
      <c r="D129" s="7" t="inlineStr">
        <is>
          <t>D180</t>
        </is>
      </c>
      <c r="E129" s="7" t="inlineStr">
        <is>
          <t>4</t>
        </is>
      </c>
      <c r="F129" s="8" t="inlineStr"/>
      <c r="G129" s="8" t="inlineStr">
        <is>
          <t>10000398</t>
        </is>
      </c>
      <c r="H129" s="8" t="inlineStr">
        <is>
          <t>Grava Triturada Andesita 20 mm - 3/4"</t>
        </is>
      </c>
      <c r="I129" s="9" t="n">
        <v>1311</v>
      </c>
      <c r="J129" s="7" t="inlineStr">
        <is>
          <t>20220516</t>
        </is>
      </c>
      <c r="K129" s="7" t="inlineStr">
        <is>
          <t>20241113</t>
        </is>
      </c>
      <c r="L129" s="10" t="n">
        <v>64.84</v>
      </c>
      <c r="M129" s="10" t="n">
        <v>987.8</v>
      </c>
      <c r="N129" s="7" t="inlineStr">
        <is>
          <t>TN</t>
        </is>
      </c>
      <c r="O129" s="10" t="n">
        <v>500</v>
      </c>
      <c r="P129" s="7" t="inlineStr">
        <is>
          <t>M3</t>
        </is>
      </c>
      <c r="Q129" s="10">
        <f>IF(AND(N129="TN",P129="TN"),L129+N(M129),IF(E129&amp;""="1",N(I129)*L129,(L129+N(M129))*N(I129)))</f>
        <v/>
      </c>
      <c r="R129" s="11">
        <f>O129-Q129</f>
        <v/>
      </c>
    </row>
    <row r="130">
      <c r="A130" s="7" t="inlineStr">
        <is>
          <t>900007979</t>
        </is>
      </c>
      <c r="B130" s="8" t="inlineStr">
        <is>
          <t>SF TC-ED-CLAKAR 210 PROY JAGUAR</t>
        </is>
      </c>
      <c r="C130" s="7" t="inlineStr">
        <is>
          <t>DW67</t>
        </is>
      </c>
      <c r="D130" s="7" t="inlineStr">
        <is>
          <t>D180</t>
        </is>
      </c>
      <c r="E130" s="7" t="inlineStr">
        <is>
          <t>4</t>
        </is>
      </c>
      <c r="F130" s="8" t="inlineStr"/>
      <c r="G130" s="8" t="inlineStr">
        <is>
          <t>10000826</t>
        </is>
      </c>
      <c r="H130" s="8" t="inlineStr">
        <is>
          <t>Arena Clasificada Río Malla 4</t>
        </is>
      </c>
      <c r="I130" s="9" t="n">
        <v>1450</v>
      </c>
      <c r="J130" s="7" t="inlineStr">
        <is>
          <t>20220516</t>
        </is>
      </c>
      <c r="K130" s="7" t="inlineStr">
        <is>
          <t>20241113</t>
        </is>
      </c>
      <c r="L130" s="10" t="n">
        <v>151.72</v>
      </c>
      <c r="M130" s="10" t="n">
        <v>179.31</v>
      </c>
      <c r="N130" s="7" t="inlineStr">
        <is>
          <t>TN</t>
        </is>
      </c>
      <c r="O130" s="10" t="n">
        <v>545</v>
      </c>
      <c r="P130" s="7" t="inlineStr">
        <is>
          <t>M3</t>
        </is>
      </c>
      <c r="Q130" s="10">
        <f>IF(AND(N130="TN",P130="TN"),L130+N(M130),IF(E130&amp;""="1",N(I130)*L130,(L130+N(M130))*N(I130)))</f>
        <v/>
      </c>
      <c r="R130" s="11">
        <f>O130-Q130</f>
        <v/>
      </c>
    </row>
    <row r="131">
      <c r="A131" s="7" t="inlineStr">
        <is>
          <t>900007979</t>
        </is>
      </c>
      <c r="B131" s="8" t="inlineStr">
        <is>
          <t>SF TC-ED-CLAKAR 210 PROY JAGUAR</t>
        </is>
      </c>
      <c r="C131" s="7" t="inlineStr">
        <is>
          <t>DW67</t>
        </is>
      </c>
      <c r="D131" s="7" t="inlineStr">
        <is>
          <t>D302</t>
        </is>
      </c>
      <c r="E131" s="7" t="inlineStr">
        <is>
          <t>4</t>
        </is>
      </c>
      <c r="F131" s="8" t="inlineStr">
        <is>
          <t>PD0471 COATZACOALCOS</t>
        </is>
      </c>
      <c r="G131" s="8" t="inlineStr">
        <is>
          <t>10000178</t>
        </is>
      </c>
      <c r="H131" s="8" t="inlineStr">
        <is>
          <t>Grava Clasificada Río 20 mm - 3/4"</t>
        </is>
      </c>
      <c r="I131" s="9" t="n">
        <v>1507</v>
      </c>
      <c r="J131" s="7" t="inlineStr">
        <is>
          <t>20240715</t>
        </is>
      </c>
      <c r="K131" s="7" t="inlineStr">
        <is>
          <t>99991231</t>
        </is>
      </c>
      <c r="L131" s="10" t="n">
        <v>232.25</v>
      </c>
      <c r="M131" s="10" t="n">
        <v>152.62</v>
      </c>
      <c r="N131" s="7" t="inlineStr">
        <is>
          <t>TN</t>
        </is>
      </c>
      <c r="O131" s="10" t="n">
        <v>580</v>
      </c>
      <c r="P131" s="7" t="inlineStr">
        <is>
          <t>M3</t>
        </is>
      </c>
      <c r="Q131" s="10">
        <f>IF(AND(N131="TN",P131="TN"),L131+N(M131),IF(E131&amp;""="1",N(I131)*L131,(L131+N(M131))*N(I131)))</f>
        <v/>
      </c>
      <c r="R131" s="11">
        <f>O131-Q131</f>
        <v/>
      </c>
    </row>
    <row r="132">
      <c r="A132" s="7" t="inlineStr">
        <is>
          <t>900007979</t>
        </is>
      </c>
      <c r="B132" s="8" t="inlineStr">
        <is>
          <t>SF TC-ED-CLAKAR 210 PROY JAGUAR</t>
        </is>
      </c>
      <c r="C132" s="7" t="inlineStr">
        <is>
          <t>DW67</t>
        </is>
      </c>
      <c r="D132" s="7" t="inlineStr">
        <is>
          <t>D302</t>
        </is>
      </c>
      <c r="E132" s="7" t="inlineStr">
        <is>
          <t>4</t>
        </is>
      </c>
      <c r="F132" s="8" t="inlineStr">
        <is>
          <t>PD0471 COATZACOALCOS</t>
        </is>
      </c>
      <c r="G132" s="8" t="inlineStr">
        <is>
          <t>10000372</t>
        </is>
      </c>
      <c r="H132" s="8" t="inlineStr">
        <is>
          <t>Grava Triturada Caliza 20 mm - 3/4"</t>
        </is>
      </c>
      <c r="I132" s="9" t="n">
        <v>1448</v>
      </c>
      <c r="J132" s="7" t="inlineStr">
        <is>
          <t>20250428</t>
        </is>
      </c>
      <c r="K132" s="7" t="inlineStr">
        <is>
          <t>20251031</t>
        </is>
      </c>
      <c r="L132" s="10" t="n">
        <v>207.18</v>
      </c>
      <c r="M132" s="10" t="n">
        <v>414.36</v>
      </c>
      <c r="N132" s="7" t="inlineStr">
        <is>
          <t>TN</t>
        </is>
      </c>
      <c r="O132" s="10" t="n">
        <v>900</v>
      </c>
      <c r="P132" s="7" t="inlineStr">
        <is>
          <t>M3</t>
        </is>
      </c>
      <c r="Q132" s="10">
        <f>IF(AND(N132="TN",P132="TN"),L132+N(M132),IF(E132&amp;""="1",N(I132)*L132,(L132+N(M132))*N(I132)))</f>
        <v/>
      </c>
      <c r="R132" s="11">
        <f>O132-Q132</f>
        <v/>
      </c>
    </row>
    <row r="133">
      <c r="A133" s="7" t="inlineStr">
        <is>
          <t>900007979</t>
        </is>
      </c>
      <c r="B133" s="8" t="inlineStr">
        <is>
          <t>SF TC-ED-CLAKAR 210 PROY JAGUAR</t>
        </is>
      </c>
      <c r="C133" s="7" t="inlineStr">
        <is>
          <t>DW67</t>
        </is>
      </c>
      <c r="D133" s="7" t="inlineStr">
        <is>
          <t>D302</t>
        </is>
      </c>
      <c r="E133" s="7" t="inlineStr">
        <is>
          <t>4</t>
        </is>
      </c>
      <c r="F133" s="8" t="inlineStr">
        <is>
          <t>PD0471 COATZACOALCOS</t>
        </is>
      </c>
      <c r="G133" s="8" t="inlineStr">
        <is>
          <t>10000398</t>
        </is>
      </c>
      <c r="H133" s="8" t="inlineStr">
        <is>
          <t>Grava Triturada Andesita 20 mm - 3/4"</t>
        </is>
      </c>
      <c r="I133" s="9" t="n">
        <v>1311</v>
      </c>
      <c r="J133" s="7" t="inlineStr">
        <is>
          <t>20250428</t>
        </is>
      </c>
      <c r="K133" s="7" t="inlineStr">
        <is>
          <t>20251031</t>
        </is>
      </c>
      <c r="L133" s="10" t="n">
        <v>64.84</v>
      </c>
      <c r="M133" s="10" t="n">
        <v>316.55</v>
      </c>
      <c r="N133" s="7" t="inlineStr">
        <is>
          <t>TN</t>
        </is>
      </c>
      <c r="O133" s="10" t="n">
        <v>500</v>
      </c>
      <c r="P133" s="7" t="inlineStr">
        <is>
          <t>M3</t>
        </is>
      </c>
      <c r="Q133" s="10">
        <f>IF(AND(N133="TN",P133="TN"),L133+N(M133),IF(E133&amp;""="1",N(I133)*L133,(L133+N(M133))*N(I133)))</f>
        <v/>
      </c>
      <c r="R133" s="11">
        <f>O133-Q133</f>
        <v/>
      </c>
    </row>
    <row r="134">
      <c r="A134" s="7" t="inlineStr">
        <is>
          <t>900007979</t>
        </is>
      </c>
      <c r="B134" s="8" t="inlineStr">
        <is>
          <t>SF TC-ED-CLAKAR 210 PROY JAGUAR</t>
        </is>
      </c>
      <c r="C134" s="7" t="inlineStr">
        <is>
          <t>DW67</t>
        </is>
      </c>
      <c r="D134" s="7" t="inlineStr">
        <is>
          <t>D302</t>
        </is>
      </c>
      <c r="E134" s="7" t="inlineStr">
        <is>
          <t>4</t>
        </is>
      </c>
      <c r="F134" s="8" t="inlineStr">
        <is>
          <t>PD0471 COATZACOALCOS</t>
        </is>
      </c>
      <c r="G134" s="8" t="inlineStr">
        <is>
          <t>10000541</t>
        </is>
      </c>
      <c r="H134" s="8" t="inlineStr">
        <is>
          <t>Grava Clasificada Río 10 mm - 3/8"</t>
        </is>
      </c>
      <c r="I134" s="9" t="n">
        <v>1528</v>
      </c>
      <c r="J134" s="7" t="inlineStr">
        <is>
          <t>20250428</t>
        </is>
      </c>
      <c r="K134" s="7" t="inlineStr">
        <is>
          <t>20251031</t>
        </is>
      </c>
      <c r="L134" s="10" t="n">
        <v>170.16</v>
      </c>
      <c r="M134" s="10" t="n">
        <v>117.8</v>
      </c>
      <c r="N134" s="7" t="inlineStr">
        <is>
          <t>TN</t>
        </is>
      </c>
      <c r="O134" s="10" t="n">
        <v>440</v>
      </c>
      <c r="P134" s="7" t="inlineStr">
        <is>
          <t>M3</t>
        </is>
      </c>
      <c r="Q134" s="10">
        <f>IF(AND(N134="TN",P134="TN"),L134+N(M134),IF(E134&amp;""="1",N(I134)*L134,(L134+N(M134))*N(I134)))</f>
        <v/>
      </c>
      <c r="R134" s="11">
        <f>O134-Q134</f>
        <v/>
      </c>
    </row>
    <row r="135">
      <c r="A135" s="7" t="inlineStr">
        <is>
          <t>900007979</t>
        </is>
      </c>
      <c r="B135" s="8" t="inlineStr">
        <is>
          <t>SF TC-ED-CLAKAR 210 PROY JAGUAR</t>
        </is>
      </c>
      <c r="C135" s="7" t="inlineStr">
        <is>
          <t>DW67</t>
        </is>
      </c>
      <c r="D135" s="7" t="inlineStr">
        <is>
          <t>D302</t>
        </is>
      </c>
      <c r="E135" s="7" t="inlineStr">
        <is>
          <t>4</t>
        </is>
      </c>
      <c r="F135" s="8" t="inlineStr">
        <is>
          <t>PD0471 COATZACOALCOS</t>
        </is>
      </c>
      <c r="G135" s="8" t="inlineStr">
        <is>
          <t>10000826</t>
        </is>
      </c>
      <c r="H135" s="8" t="inlineStr">
        <is>
          <t>Arena Clasificada Río Malla 4</t>
        </is>
      </c>
      <c r="I135" s="9" t="n">
        <v>1450</v>
      </c>
      <c r="J135" s="7" t="inlineStr">
        <is>
          <t>20240715</t>
        </is>
      </c>
      <c r="K135" s="7" t="inlineStr">
        <is>
          <t>99991231</t>
        </is>
      </c>
      <c r="L135" s="10" t="n">
        <v>203.45</v>
      </c>
      <c r="M135" s="10" t="n">
        <v>172.41</v>
      </c>
      <c r="N135" s="7" t="inlineStr">
        <is>
          <t>TN</t>
        </is>
      </c>
      <c r="O135" s="10" t="n">
        <v>545</v>
      </c>
      <c r="P135" s="7" t="inlineStr">
        <is>
          <t>M3</t>
        </is>
      </c>
      <c r="Q135" s="10">
        <f>IF(AND(N135="TN",P135="TN"),L135+N(M135),IF(E135&amp;""="1",N(I135)*L135,(L135+N(M135))*N(I135)))</f>
        <v/>
      </c>
      <c r="R135" s="11">
        <f>O135-Q135</f>
        <v/>
      </c>
    </row>
    <row r="136">
      <c r="A136" s="7" t="inlineStr">
        <is>
          <t>900007991</t>
        </is>
      </c>
      <c r="B136" s="8" t="inlineStr"/>
      <c r="C136" s="7" t="inlineStr">
        <is>
          <t>DW67</t>
        </is>
      </c>
      <c r="D136" s="7" t="inlineStr">
        <is>
          <t>D302</t>
        </is>
      </c>
      <c r="E136" s="7" t="inlineStr">
        <is>
          <t>4</t>
        </is>
      </c>
      <c r="F136" s="8" t="inlineStr">
        <is>
          <t>PD0471 COATZACOALCOS</t>
        </is>
      </c>
      <c r="G136" s="8" t="inlineStr">
        <is>
          <t>10000178</t>
        </is>
      </c>
      <c r="H136" s="8" t="inlineStr">
        <is>
          <t>Grava Clasificada Río 20 mm - 3/4"</t>
        </is>
      </c>
      <c r="I136" s="9" t="n">
        <v>1507</v>
      </c>
      <c r="J136" s="7" t="inlineStr">
        <is>
          <t>20230110</t>
        </is>
      </c>
      <c r="K136" s="7" t="inlineStr">
        <is>
          <t>20240320</t>
        </is>
      </c>
      <c r="L136" s="10" t="n">
        <v>190</v>
      </c>
      <c r="M136" s="10" t="n">
        <v>170</v>
      </c>
      <c r="N136" s="7" t="inlineStr">
        <is>
          <t>M3</t>
        </is>
      </c>
      <c r="O136" s="10" t="n"/>
      <c r="P136" s="7" t="inlineStr"/>
      <c r="Q136" s="10">
        <f>IF(AND(N136="TN",P136="TN"),L136+N(M136),IF(E136&amp;""="1",N(I136)*L136,(L136+N(M136))*N(I136)))</f>
        <v/>
      </c>
      <c r="R136" s="10">
        <f>O136-Q136</f>
        <v/>
      </c>
    </row>
    <row r="137">
      <c r="A137" s="7" t="inlineStr">
        <is>
          <t>900007991</t>
        </is>
      </c>
      <c r="B137" s="8" t="inlineStr"/>
      <c r="C137" s="7" t="inlineStr">
        <is>
          <t>DW67</t>
        </is>
      </c>
      <c r="D137" s="7" t="inlineStr">
        <is>
          <t>D302</t>
        </is>
      </c>
      <c r="E137" s="7" t="inlineStr">
        <is>
          <t>4</t>
        </is>
      </c>
      <c r="F137" s="8" t="inlineStr">
        <is>
          <t>PD0471 COATZACOALCOS</t>
        </is>
      </c>
      <c r="G137" s="8" t="inlineStr">
        <is>
          <t>10000826</t>
        </is>
      </c>
      <c r="H137" s="8" t="inlineStr">
        <is>
          <t>Arena Clasificada Río Malla 4</t>
        </is>
      </c>
      <c r="I137" s="9" t="n">
        <v>1450</v>
      </c>
      <c r="J137" s="7" t="inlineStr">
        <is>
          <t>20220516</t>
        </is>
      </c>
      <c r="K137" s="7" t="inlineStr">
        <is>
          <t>20240320</t>
        </is>
      </c>
      <c r="L137" s="10" t="n">
        <v>124.14</v>
      </c>
      <c r="M137" s="10" t="n">
        <v>117.24</v>
      </c>
      <c r="N137" s="7" t="inlineStr">
        <is>
          <t>TN</t>
        </is>
      </c>
      <c r="O137" s="10" t="n"/>
      <c r="P137" s="7" t="inlineStr"/>
      <c r="Q137" s="10">
        <f>IF(AND(N137="TN",P137="TN"),L137+N(M137),IF(E137&amp;""="1",N(I137)*L137,(L137+N(M137))*N(I137)))</f>
        <v/>
      </c>
      <c r="R137" s="10">
        <f>O137-Q137</f>
        <v/>
      </c>
    </row>
    <row r="138">
      <c r="A138" s="7" t="inlineStr">
        <is>
          <t>900007992</t>
        </is>
      </c>
      <c r="B138" s="8" t="inlineStr">
        <is>
          <t>SF TC-CLAKAR 210</t>
        </is>
      </c>
      <c r="C138" s="7" t="inlineStr">
        <is>
          <t>DW67</t>
        </is>
      </c>
      <c r="D138" s="7" t="inlineStr">
        <is>
          <t>D302</t>
        </is>
      </c>
      <c r="E138" s="7" t="inlineStr">
        <is>
          <t>1</t>
        </is>
      </c>
      <c r="F138" s="8" t="inlineStr">
        <is>
          <t>PD0471 COATZACOALCOS</t>
        </is>
      </c>
      <c r="G138" s="8" t="inlineStr">
        <is>
          <t>10000826</t>
        </is>
      </c>
      <c r="H138" s="8" t="inlineStr">
        <is>
          <t>Arena Clasificada Río Malla 4</t>
        </is>
      </c>
      <c r="I138" s="9" t="n">
        <v>1450</v>
      </c>
      <c r="J138" s="7" t="inlineStr">
        <is>
          <t>20230110</t>
        </is>
      </c>
      <c r="K138" s="7" t="inlineStr">
        <is>
          <t>20250812</t>
        </is>
      </c>
      <c r="L138" s="10" t="n">
        <v>144.83</v>
      </c>
      <c r="M138" s="10" t="n">
        <v>124.14</v>
      </c>
      <c r="N138" s="7" t="inlineStr">
        <is>
          <t>TN</t>
        </is>
      </c>
      <c r="O138" s="10" t="n">
        <v>210</v>
      </c>
      <c r="P138" s="7" t="inlineStr">
        <is>
          <t>M3</t>
        </is>
      </c>
      <c r="Q138" s="10">
        <f>IF(AND(N138="TN",P138="TN"),L138+N(M138),IF(E138&amp;""="1",N(I138)*L138,(L138+N(M138))*N(I138)))</f>
        <v/>
      </c>
      <c r="R138" s="11">
        <f>O138-Q138</f>
        <v/>
      </c>
    </row>
    <row r="139">
      <c r="A139" s="7" t="inlineStr">
        <is>
          <t>900008330</t>
        </is>
      </c>
      <c r="B139" s="8" t="inlineStr">
        <is>
          <t>SF TC-HOLCIM RZ</t>
        </is>
      </c>
      <c r="C139" s="7" t="inlineStr">
        <is>
          <t>DW67</t>
        </is>
      </c>
      <c r="D139" s="7" t="inlineStr">
        <is>
          <t>D302</t>
        </is>
      </c>
      <c r="E139" s="7" t="inlineStr">
        <is>
          <t>1</t>
        </is>
      </c>
      <c r="F139" s="8" t="inlineStr">
        <is>
          <t>PD0471 COATZACOALCOS</t>
        </is>
      </c>
      <c r="G139" s="8" t="inlineStr">
        <is>
          <t>10000372</t>
        </is>
      </c>
      <c r="H139" s="8" t="inlineStr">
        <is>
          <t>Grava Triturada Caliza 20 mm - 3/4"</t>
        </is>
      </c>
      <c r="I139" s="9" t="n">
        <v>1448</v>
      </c>
      <c r="J139" s="7" t="inlineStr">
        <is>
          <t>20231003</t>
        </is>
      </c>
      <c r="K139" s="7" t="inlineStr">
        <is>
          <t>99991231</t>
        </is>
      </c>
      <c r="L139" s="10" t="n">
        <v>241.71</v>
      </c>
      <c r="M139" s="10" t="n">
        <v>203.73</v>
      </c>
      <c r="N139" s="7" t="inlineStr">
        <is>
          <t>TN</t>
        </is>
      </c>
      <c r="O139" s="10" t="n">
        <v>350</v>
      </c>
      <c r="P139" s="7" t="inlineStr">
        <is>
          <t>M3</t>
        </is>
      </c>
      <c r="Q139" s="10">
        <f>IF(AND(N139="TN",P139="TN"),L139+N(M139),IF(E139&amp;""="1",N(I139)*L139,(L139+N(M139))*N(I139)))</f>
        <v/>
      </c>
      <c r="R139" s="11">
        <f>O139-Q139</f>
        <v/>
      </c>
    </row>
    <row r="140">
      <c r="A140" s="7" t="inlineStr">
        <is>
          <t>900008331</t>
        </is>
      </c>
      <c r="B140" s="8" t="inlineStr">
        <is>
          <t>SF TC-ED-HOLCIM RZ</t>
        </is>
      </c>
      <c r="C140" s="7" t="inlineStr">
        <is>
          <t>DW67</t>
        </is>
      </c>
      <c r="D140" s="7" t="inlineStr">
        <is>
          <t>D302</t>
        </is>
      </c>
      <c r="E140" s="7" t="inlineStr">
        <is>
          <t>4</t>
        </is>
      </c>
      <c r="F140" s="8" t="inlineStr">
        <is>
          <t>PD0471 COATZACOALCOS</t>
        </is>
      </c>
      <c r="G140" s="8" t="inlineStr">
        <is>
          <t>10000372</t>
        </is>
      </c>
      <c r="H140" s="8" t="inlineStr">
        <is>
          <t>Grava Triturada Caliza 20 mm - 3/4"</t>
        </is>
      </c>
      <c r="I140" s="9" t="n">
        <v>1448</v>
      </c>
      <c r="J140" s="7" t="inlineStr">
        <is>
          <t>20240409</t>
        </is>
      </c>
      <c r="K140" s="7" t="inlineStr">
        <is>
          <t>99991231</t>
        </is>
      </c>
      <c r="L140" s="10" t="n">
        <v>241.71</v>
      </c>
      <c r="M140" s="10" t="n">
        <v>414.36</v>
      </c>
      <c r="N140" s="7" t="inlineStr">
        <is>
          <t>TN</t>
        </is>
      </c>
      <c r="O140" s="10" t="n">
        <v>950</v>
      </c>
      <c r="P140" s="7" t="inlineStr">
        <is>
          <t>M3</t>
        </is>
      </c>
      <c r="Q140" s="10">
        <f>IF(AND(N140="TN",P140="TN"),L140+N(M140),IF(E140&amp;""="1",N(I140)*L140,(L140+N(M140))*N(I140)))</f>
        <v/>
      </c>
      <c r="R140" s="11">
        <f>O140-Q140</f>
        <v/>
      </c>
    </row>
    <row r="141">
      <c r="A141" s="7" t="inlineStr">
        <is>
          <t>900008910</t>
        </is>
      </c>
      <c r="B141" s="8" t="inlineStr">
        <is>
          <t>SF TC-ED OPERAMAC MGM</t>
        </is>
      </c>
      <c r="C141" s="7" t="inlineStr">
        <is>
          <t>DW67</t>
        </is>
      </c>
      <c r="D141" s="7" t="inlineStr">
        <is>
          <t>D302</t>
        </is>
      </c>
      <c r="E141" s="7" t="inlineStr">
        <is>
          <t>4</t>
        </is>
      </c>
      <c r="F141" s="8" t="inlineStr">
        <is>
          <t>PD0471 COATZACOALCOS</t>
        </is>
      </c>
      <c r="G141" s="8" t="inlineStr">
        <is>
          <t>10000178</t>
        </is>
      </c>
      <c r="H141" s="8" t="inlineStr">
        <is>
          <t>Grava Clasificada Río 20 mm - 3/4"</t>
        </is>
      </c>
      <c r="I141" s="9" t="n">
        <v>1507</v>
      </c>
      <c r="J141" s="7" t="inlineStr">
        <is>
          <t>20240902</t>
        </is>
      </c>
      <c r="K141" s="7" t="inlineStr">
        <is>
          <t>99991231</t>
        </is>
      </c>
      <c r="L141" s="10" t="n">
        <v>232.25</v>
      </c>
      <c r="M141" s="10" t="n">
        <v>132.71</v>
      </c>
      <c r="N141" s="7" t="inlineStr">
        <is>
          <t>TN</t>
        </is>
      </c>
      <c r="O141" s="10" t="n">
        <v>550</v>
      </c>
      <c r="P141" s="7" t="inlineStr">
        <is>
          <t>M3</t>
        </is>
      </c>
      <c r="Q141" s="10">
        <f>IF(AND(N141="TN",P141="TN"),L141+N(M141),IF(E141&amp;""="1",N(I141)*L141,(L141+N(M141))*N(I141)))</f>
        <v/>
      </c>
      <c r="R141" s="11">
        <f>O141-Q141</f>
        <v/>
      </c>
    </row>
    <row r="142">
      <c r="A142" s="7" t="inlineStr">
        <is>
          <t>900008910</t>
        </is>
      </c>
      <c r="B142" s="8" t="inlineStr">
        <is>
          <t>SF TC-ED OPERAMAC MGM</t>
        </is>
      </c>
      <c r="C142" s="7" t="inlineStr">
        <is>
          <t>DW67</t>
        </is>
      </c>
      <c r="D142" s="7" t="inlineStr">
        <is>
          <t>D302</t>
        </is>
      </c>
      <c r="E142" s="7" t="inlineStr">
        <is>
          <t>4</t>
        </is>
      </c>
      <c r="F142" s="8" t="inlineStr">
        <is>
          <t>PD0471 COATZACOALCOS</t>
        </is>
      </c>
      <c r="G142" s="8" t="inlineStr">
        <is>
          <t>10000826</t>
        </is>
      </c>
      <c r="H142" s="8" t="inlineStr">
        <is>
          <t>Arena Clasificada Río Malla 4</t>
        </is>
      </c>
      <c r="I142" s="9" t="n">
        <v>1450</v>
      </c>
      <c r="J142" s="7" t="inlineStr">
        <is>
          <t>20240731</t>
        </is>
      </c>
      <c r="K142" s="7" t="inlineStr">
        <is>
          <t>99991231</t>
        </is>
      </c>
      <c r="L142" s="10" t="n">
        <v>206.9</v>
      </c>
      <c r="M142" s="10" t="n">
        <v>103.45</v>
      </c>
      <c r="N142" s="7" t="inlineStr">
        <is>
          <t>TN</t>
        </is>
      </c>
      <c r="O142" s="10" t="n">
        <v>450</v>
      </c>
      <c r="P142" s="7" t="inlineStr">
        <is>
          <t>M3</t>
        </is>
      </c>
      <c r="Q142" s="10">
        <f>IF(AND(N142="TN",P142="TN"),L142+N(M142),IF(E142&amp;""="1",N(I142)*L142,(L142+N(M142))*N(I142)))</f>
        <v/>
      </c>
      <c r="R142" s="11">
        <f>O142-Q142</f>
        <v/>
      </c>
    </row>
    <row r="143">
      <c r="A143" s="7" t="inlineStr">
        <is>
          <t>900008910</t>
        </is>
      </c>
      <c r="B143" s="8" t="inlineStr">
        <is>
          <t>SF TC-ED OPERAMAC MGM</t>
        </is>
      </c>
      <c r="C143" s="7" t="inlineStr">
        <is>
          <t>DW67</t>
        </is>
      </c>
      <c r="D143" s="7" t="inlineStr">
        <is>
          <t>D302</t>
        </is>
      </c>
      <c r="E143" s="7" t="inlineStr">
        <is>
          <t>4</t>
        </is>
      </c>
      <c r="F143" s="8" t="inlineStr">
        <is>
          <t>PD0471 COATZACOALCOS</t>
        </is>
      </c>
      <c r="G143" s="8" t="inlineStr">
        <is>
          <t>10223313</t>
        </is>
      </c>
      <c r="H143" s="8" t="inlineStr">
        <is>
          <t>ARENA SILICA NG</t>
        </is>
      </c>
      <c r="I143" s="9" t="n">
        <v>1450</v>
      </c>
      <c r="J143" s="7" t="inlineStr">
        <is>
          <t>20250109</t>
        </is>
      </c>
      <c r="K143" s="7" t="inlineStr">
        <is>
          <t>99991231</t>
        </is>
      </c>
      <c r="L143" s="10" t="n">
        <v>140</v>
      </c>
      <c r="M143" s="10" t="n">
        <v>195.17</v>
      </c>
      <c r="N143" s="7" t="inlineStr">
        <is>
          <t>TN</t>
        </is>
      </c>
      <c r="O143" s="10" t="n">
        <v>486</v>
      </c>
      <c r="P143" s="7" t="inlineStr">
        <is>
          <t>M3</t>
        </is>
      </c>
      <c r="Q143" s="10">
        <f>IF(AND(N143="TN",P143="TN"),L143+N(M143),IF(E143&amp;""="1",N(I143)*L143,(L143+N(M143))*N(I143)))</f>
        <v/>
      </c>
      <c r="R143" s="11">
        <f>O143-Q143</f>
        <v/>
      </c>
    </row>
    <row r="144">
      <c r="A144" s="7" t="inlineStr">
        <is>
          <t>900008910</t>
        </is>
      </c>
      <c r="B144" s="8" t="inlineStr">
        <is>
          <t>SF TC-ED OPERAMAC MGM</t>
        </is>
      </c>
      <c r="C144" s="7" t="inlineStr">
        <is>
          <t>DW67</t>
        </is>
      </c>
      <c r="D144" s="7" t="inlineStr">
        <is>
          <t>D302</t>
        </is>
      </c>
      <c r="E144" s="7" t="inlineStr">
        <is>
          <t>4</t>
        </is>
      </c>
      <c r="F144" s="8" t="inlineStr">
        <is>
          <t>PD0471 COATZACOALCOS</t>
        </is>
      </c>
      <c r="G144" s="8" t="inlineStr">
        <is>
          <t>10255395</t>
        </is>
      </c>
      <c r="H144" s="8" t="inlineStr">
        <is>
          <t>GRAVA TRITURADA CALIZA 20 MM - 3/4"</t>
        </is>
      </c>
      <c r="I144" s="9" t="n">
        <v>1448</v>
      </c>
      <c r="J144" s="7" t="inlineStr">
        <is>
          <t>20241209</t>
        </is>
      </c>
      <c r="K144" s="7" t="inlineStr">
        <is>
          <t>99991231</t>
        </is>
      </c>
      <c r="L144" s="10" t="n">
        <v>241.71</v>
      </c>
      <c r="M144" s="10" t="n">
        <v>524.86</v>
      </c>
      <c r="N144" s="7" t="inlineStr">
        <is>
          <t>TN</t>
        </is>
      </c>
      <c r="O144" s="10" t="n">
        <v>1110</v>
      </c>
      <c r="P144" s="7" t="inlineStr">
        <is>
          <t>M3</t>
        </is>
      </c>
      <c r="Q144" s="10">
        <f>IF(AND(N144="TN",P144="TN"),L144+N(M144),IF(E144&amp;""="1",N(I144)*L144,(L144+N(M144))*N(I144)))</f>
        <v/>
      </c>
      <c r="R144" s="11">
        <f>O144-Q144</f>
        <v/>
      </c>
    </row>
    <row r="145">
      <c r="A145" s="7" t="inlineStr">
        <is>
          <t>900008972</t>
        </is>
      </c>
      <c r="B145" s="8" t="inlineStr">
        <is>
          <t>SF TC-ED MGM HATO</t>
        </is>
      </c>
      <c r="C145" s="7" t="inlineStr">
        <is>
          <t>DW67</t>
        </is>
      </c>
      <c r="D145" s="7" t="inlineStr">
        <is>
          <t>D302</t>
        </is>
      </c>
      <c r="E145" s="7" t="inlineStr">
        <is>
          <t>4</t>
        </is>
      </c>
      <c r="F145" s="8" t="inlineStr">
        <is>
          <t>PD0471 COATZACOALCOS</t>
        </is>
      </c>
      <c r="G145" s="8" t="inlineStr">
        <is>
          <t>10000178</t>
        </is>
      </c>
      <c r="H145" s="8" t="inlineStr">
        <is>
          <t>Grava Clasificada Río 20 mm - 3/4"</t>
        </is>
      </c>
      <c r="I145" s="9" t="n">
        <v>1507</v>
      </c>
      <c r="J145" s="7" t="inlineStr">
        <is>
          <t>20250902</t>
        </is>
      </c>
      <c r="K145" s="7" t="inlineStr">
        <is>
          <t>99991231</t>
        </is>
      </c>
      <c r="L145" s="10" t="n">
        <v>238.89</v>
      </c>
      <c r="M145" s="10" t="n">
        <v>152.62</v>
      </c>
      <c r="N145" s="7" t="inlineStr">
        <is>
          <t>TN</t>
        </is>
      </c>
      <c r="O145" s="10" t="n">
        <v>590</v>
      </c>
      <c r="P145" s="7" t="inlineStr">
        <is>
          <t>M3</t>
        </is>
      </c>
      <c r="Q145" s="10">
        <f>IF(AND(N145="TN",P145="TN"),L145+N(M145),IF(E145&amp;""="1",N(I145)*L145,(L145+N(M145))*N(I145)))</f>
        <v/>
      </c>
      <c r="R145" s="11">
        <f>O145-Q145</f>
        <v/>
      </c>
    </row>
    <row r="146">
      <c r="A146" s="7" t="inlineStr">
        <is>
          <t>900008972</t>
        </is>
      </c>
      <c r="B146" s="8" t="inlineStr">
        <is>
          <t>SF TC-ED MGM HATO</t>
        </is>
      </c>
      <c r="C146" s="7" t="inlineStr">
        <is>
          <t>DW67</t>
        </is>
      </c>
      <c r="D146" s="7" t="inlineStr">
        <is>
          <t>D302</t>
        </is>
      </c>
      <c r="E146" s="7" t="inlineStr">
        <is>
          <t>4</t>
        </is>
      </c>
      <c r="F146" s="8" t="inlineStr">
        <is>
          <t>PD0471 COATZACOALCOS</t>
        </is>
      </c>
      <c r="G146" s="8" t="inlineStr">
        <is>
          <t>10000826</t>
        </is>
      </c>
      <c r="H146" s="8" t="inlineStr">
        <is>
          <t>Arena Clasificada Río Malla 4</t>
        </is>
      </c>
      <c r="I146" s="9" t="n">
        <v>1450</v>
      </c>
      <c r="J146" s="7" t="inlineStr">
        <is>
          <t>20250109</t>
        </is>
      </c>
      <c r="K146" s="7" t="inlineStr">
        <is>
          <t>99991231</t>
        </is>
      </c>
      <c r="L146" s="10" t="n">
        <v>132.41</v>
      </c>
      <c r="M146" s="10" t="n">
        <v>177.93</v>
      </c>
      <c r="N146" s="7" t="inlineStr">
        <is>
          <t>TN</t>
        </is>
      </c>
      <c r="O146" s="10" t="n">
        <v>450</v>
      </c>
      <c r="P146" s="7" t="inlineStr">
        <is>
          <t>M3</t>
        </is>
      </c>
      <c r="Q146" s="10">
        <f>IF(AND(N146="TN",P146="TN"),L146+N(M146),IF(E146&amp;""="1",N(I146)*L146,(L146+N(M146))*N(I146)))</f>
        <v/>
      </c>
      <c r="R146" s="11">
        <f>O146-Q146</f>
        <v/>
      </c>
    </row>
    <row r="147">
      <c r="A147" s="7" t="inlineStr">
        <is>
          <t>900008972</t>
        </is>
      </c>
      <c r="B147" s="8" t="inlineStr">
        <is>
          <t>SF TC-ED MGM HATO</t>
        </is>
      </c>
      <c r="C147" s="7" t="inlineStr">
        <is>
          <t>DW67</t>
        </is>
      </c>
      <c r="D147" s="7" t="inlineStr">
        <is>
          <t>D302</t>
        </is>
      </c>
      <c r="E147" s="7" t="inlineStr">
        <is>
          <t>4</t>
        </is>
      </c>
      <c r="F147" s="8" t="inlineStr">
        <is>
          <t>PD0471 COATZACOALCOS</t>
        </is>
      </c>
      <c r="G147" s="8" t="inlineStr">
        <is>
          <t>10255395</t>
        </is>
      </c>
      <c r="H147" s="8" t="inlineStr">
        <is>
          <t>GRAVA TRITURADA CALIZA 20 MM - 3/4"</t>
        </is>
      </c>
      <c r="I147" s="9" t="n">
        <v>1448</v>
      </c>
      <c r="J147" s="7" t="inlineStr">
        <is>
          <t>20241209</t>
        </is>
      </c>
      <c r="K147" s="7" t="inlineStr">
        <is>
          <t>99991231</t>
        </is>
      </c>
      <c r="L147" s="10" t="n">
        <v>241.71</v>
      </c>
      <c r="M147" s="10" t="n">
        <v>197.51</v>
      </c>
      <c r="N147" s="7" t="inlineStr">
        <is>
          <t>TN</t>
        </is>
      </c>
      <c r="O147" s="10" t="n">
        <v>636</v>
      </c>
      <c r="P147" s="7" t="inlineStr">
        <is>
          <t>M3</t>
        </is>
      </c>
      <c r="Q147" s="10">
        <f>IF(AND(N147="TN",P147="TN"),L147+N(M147),IF(E147&amp;""="1",N(I147)*L147,(L147+N(M147))*N(I147)))</f>
        <v/>
      </c>
      <c r="R147" s="11">
        <f>O147-Q147</f>
        <v/>
      </c>
    </row>
    <row r="148">
      <c r="A148" s="7" t="inlineStr">
        <is>
          <t>900009013</t>
        </is>
      </c>
      <c r="B148" s="8" t="inlineStr"/>
      <c r="C148" s="7" t="inlineStr">
        <is>
          <t>DW67</t>
        </is>
      </c>
      <c r="D148" s="7" t="inlineStr">
        <is>
          <t>D302</t>
        </is>
      </c>
      <c r="E148" s="7" t="inlineStr">
        <is>
          <t>4</t>
        </is>
      </c>
      <c r="F148" s="8" t="inlineStr">
        <is>
          <t>PD0471 COATZACOALCOS</t>
        </is>
      </c>
      <c r="G148" s="8" t="inlineStr">
        <is>
          <t>10047545</t>
        </is>
      </c>
      <c r="H148" s="8" t="inlineStr">
        <is>
          <t>Grava Triturada Caliza 20 mm - 3/4" -B</t>
        </is>
      </c>
      <c r="I148" s="9" t="n">
        <v>1460</v>
      </c>
      <c r="J148" s="7" t="inlineStr">
        <is>
          <t>20241120</t>
        </is>
      </c>
      <c r="K148" s="7" t="inlineStr">
        <is>
          <t>20250812</t>
        </is>
      </c>
      <c r="L148" s="10" t="n">
        <v>239.73</v>
      </c>
      <c r="M148" s="10" t="n">
        <v>339.04</v>
      </c>
      <c r="N148" s="7" t="inlineStr">
        <is>
          <t>TN</t>
        </is>
      </c>
      <c r="O148" s="10" t="n"/>
      <c r="P148" s="7" t="inlineStr"/>
      <c r="Q148" s="10">
        <f>IF(AND(N148="TN",P148="TN"),L148+N(M148),IF(E148&amp;""="1",N(I148)*L148,(L148+N(M148))*N(I148)))</f>
        <v/>
      </c>
      <c r="R148" s="10">
        <f>O148-Q148</f>
        <v/>
      </c>
    </row>
    <row r="149">
      <c r="A149" s="7" t="inlineStr">
        <is>
          <t>900009192</t>
        </is>
      </c>
      <c r="B149" s="8" t="inlineStr">
        <is>
          <t>SF TC-ED TECHNO</t>
        </is>
      </c>
      <c r="C149" s="7" t="inlineStr">
        <is>
          <t>DW67</t>
        </is>
      </c>
      <c r="D149" s="7" t="inlineStr">
        <is>
          <t>D302</t>
        </is>
      </c>
      <c r="E149" s="7" t="inlineStr">
        <is>
          <t>4</t>
        </is>
      </c>
      <c r="F149" s="8" t="inlineStr">
        <is>
          <t>PD0471 COATZACOALCOS</t>
        </is>
      </c>
      <c r="G149" s="8" t="inlineStr">
        <is>
          <t>10000623</t>
        </is>
      </c>
      <c r="H149" s="8" t="inlineStr">
        <is>
          <t>Grava Triturada Caliza 10 mm - 3/8"</t>
        </is>
      </c>
      <c r="I149" s="9" t="n">
        <v>1410</v>
      </c>
      <c r="J149" s="7" t="inlineStr">
        <is>
          <t>20250724</t>
        </is>
      </c>
      <c r="K149" s="7" t="inlineStr">
        <is>
          <t>99991231</t>
        </is>
      </c>
      <c r="L149" s="10" t="n">
        <v>297.87</v>
      </c>
      <c r="M149" s="10" t="n">
        <v>517.73</v>
      </c>
      <c r="N149" s="7" t="inlineStr">
        <is>
          <t>TN</t>
        </is>
      </c>
      <c r="O149" s="10" t="n">
        <v>1150</v>
      </c>
      <c r="P149" s="7" t="inlineStr">
        <is>
          <t>M3</t>
        </is>
      </c>
      <c r="Q149" s="10">
        <f>IF(AND(N149="TN",P149="TN"),L149+N(M149),IF(E149&amp;""="1",N(I149)*L149,(L149+N(M149))*N(I149)))</f>
        <v/>
      </c>
      <c r="R149" s="11">
        <f>O149-Q149</f>
        <v/>
      </c>
    </row>
    <row r="150">
      <c r="A150" s="7" t="inlineStr">
        <is>
          <t>900009192</t>
        </is>
      </c>
      <c r="B150" s="8" t="inlineStr">
        <is>
          <t>SF TC-ED TECHNO</t>
        </is>
      </c>
      <c r="C150" s="7" t="inlineStr">
        <is>
          <t>DW67</t>
        </is>
      </c>
      <c r="D150" s="7" t="inlineStr">
        <is>
          <t>D302</t>
        </is>
      </c>
      <c r="E150" s="7" t="inlineStr">
        <is>
          <t>4</t>
        </is>
      </c>
      <c r="F150" s="8" t="inlineStr">
        <is>
          <t>PD0471 COATZACOALCOS</t>
        </is>
      </c>
      <c r="G150" s="8" t="inlineStr">
        <is>
          <t>10210039</t>
        </is>
      </c>
      <c r="H150" s="8" t="inlineStr">
        <is>
          <t>ARENA CLASIFICADA RÍO MALLA 4</t>
        </is>
      </c>
      <c r="I150" s="9" t="n">
        <v>1485</v>
      </c>
      <c r="J150" s="7" t="inlineStr">
        <is>
          <t>20250502</t>
        </is>
      </c>
      <c r="K150" s="7" t="inlineStr">
        <is>
          <t>99991231</t>
        </is>
      </c>
      <c r="L150" s="10" t="n">
        <v>57.24</v>
      </c>
      <c r="M150" s="10" t="n">
        <v>279.46</v>
      </c>
      <c r="N150" s="7" t="inlineStr">
        <is>
          <t>TN</t>
        </is>
      </c>
      <c r="O150" s="10" t="n">
        <v>500</v>
      </c>
      <c r="P150" s="7" t="inlineStr">
        <is>
          <t>M3</t>
        </is>
      </c>
      <c r="Q150" s="10">
        <f>IF(AND(N150="TN",P150="TN"),L150+N(M150),IF(E150&amp;""="1",N(I150)*L150,(L150+N(M150))*N(I150)))</f>
        <v/>
      </c>
      <c r="R150" s="11">
        <f>O150-Q150</f>
        <v/>
      </c>
    </row>
    <row r="151">
      <c r="A151" s="7" t="inlineStr">
        <is>
          <t>900009524</t>
        </is>
      </c>
      <c r="B151" s="8" t="inlineStr">
        <is>
          <t>SF TC-ED  JPM EVELIO</t>
        </is>
      </c>
      <c r="C151" s="7" t="inlineStr">
        <is>
          <t>DW67</t>
        </is>
      </c>
      <c r="D151" s="7" t="inlineStr">
        <is>
          <t>D302</t>
        </is>
      </c>
      <c r="E151" s="7" t="inlineStr"/>
      <c r="F151" s="8" t="inlineStr">
        <is>
          <t>PD0471 COATZACOALCOS</t>
        </is>
      </c>
      <c r="G151" s="8" t="inlineStr">
        <is>
          <t>10217663</t>
        </is>
      </c>
      <c r="H151" s="8" t="inlineStr">
        <is>
          <t>ARENA CLASIFICADA RÍO MALLA 4 -TABASCO</t>
        </is>
      </c>
      <c r="I151" s="9" t="n">
        <v>1456</v>
      </c>
      <c r="J151" s="7" t="inlineStr">
        <is>
          <t>20260804</t>
        </is>
      </c>
      <c r="K151" s="7" t="inlineStr">
        <is>
          <t>99991231</t>
        </is>
      </c>
      <c r="L151" s="10" t="n">
        <v>82.42</v>
      </c>
      <c r="M151" s="10" t="n"/>
      <c r="N151" s="7" t="inlineStr">
        <is>
          <t>TN</t>
        </is>
      </c>
      <c r="O151" s="10" t="n">
        <v>750</v>
      </c>
      <c r="P151" s="7" t="inlineStr">
        <is>
          <t>M3</t>
        </is>
      </c>
      <c r="Q151" s="10">
        <f>IF(AND(N151="TN",P151="TN"),L151+N(M151),IF(E151&amp;""="1",N(I151)*L151,(L151+N(M151))*N(I151)))</f>
        <v/>
      </c>
      <c r="R151" s="11">
        <f>O151-Q151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900000000</t>
        </is>
      </c>
      <c r="B2" t="inlineStr">
        <is>
          <t>DW67</t>
        </is>
      </c>
      <c r="C2" t="inlineStr">
        <is>
          <t>D180</t>
        </is>
      </c>
      <c r="D2" t="inlineStr">
        <is>
          <t>10000178</t>
        </is>
      </c>
      <c r="E2" t="inlineStr"/>
      <c r="F2" s="12" t="n">
        <v>82.95</v>
      </c>
      <c r="G2" t="inlineStr"/>
      <c r="I2" t="inlineStr">
        <is>
          <t>TN</t>
        </is>
      </c>
      <c r="J2" t="inlineStr"/>
      <c r="K2" t="inlineStr">
        <is>
          <t>20220516</t>
        </is>
      </c>
      <c r="L2" t="inlineStr">
        <is>
          <t>20230511</t>
        </is>
      </c>
    </row>
    <row r="3">
      <c r="A3" t="inlineStr">
        <is>
          <t>900000000</t>
        </is>
      </c>
      <c r="B3" t="inlineStr">
        <is>
          <t>DW67</t>
        </is>
      </c>
      <c r="C3" t="inlineStr">
        <is>
          <t>D180</t>
        </is>
      </c>
      <c r="D3" t="inlineStr">
        <is>
          <t>10000826</t>
        </is>
      </c>
      <c r="E3" t="inlineStr"/>
      <c r="F3" s="12" t="n">
        <v>62.07</v>
      </c>
      <c r="G3" t="inlineStr"/>
      <c r="I3" t="inlineStr">
        <is>
          <t>TN</t>
        </is>
      </c>
      <c r="J3" t="inlineStr"/>
      <c r="K3" t="inlineStr">
        <is>
          <t>20220516</t>
        </is>
      </c>
      <c r="L3" t="inlineStr">
        <is>
          <t>20230511</t>
        </is>
      </c>
    </row>
    <row r="4">
      <c r="A4" t="inlineStr">
        <is>
          <t>900000000</t>
        </is>
      </c>
      <c r="B4" t="inlineStr">
        <is>
          <t>DW67</t>
        </is>
      </c>
      <c r="C4" t="inlineStr">
        <is>
          <t>D302</t>
        </is>
      </c>
      <c r="D4" t="inlineStr">
        <is>
          <t>10000139</t>
        </is>
      </c>
      <c r="E4" t="inlineStr"/>
      <c r="F4" s="12" t="n">
        <v>53.39</v>
      </c>
      <c r="G4" t="inlineStr"/>
      <c r="I4" t="inlineStr">
        <is>
          <t>TN</t>
        </is>
      </c>
      <c r="J4" t="inlineStr"/>
      <c r="K4" t="inlineStr">
        <is>
          <t>20220516</t>
        </is>
      </c>
      <c r="L4" t="inlineStr">
        <is>
          <t>20241113</t>
        </is>
      </c>
    </row>
    <row r="5">
      <c r="A5" t="inlineStr">
        <is>
          <t>900000000</t>
        </is>
      </c>
      <c r="B5" t="inlineStr">
        <is>
          <t>DW67</t>
        </is>
      </c>
      <c r="C5" t="inlineStr">
        <is>
          <t>D302</t>
        </is>
      </c>
      <c r="D5" t="inlineStr">
        <is>
          <t>10000178</t>
        </is>
      </c>
      <c r="E5" t="inlineStr"/>
      <c r="F5" s="12" t="n">
        <v>232.25</v>
      </c>
      <c r="G5" t="inlineStr"/>
      <c r="I5" t="inlineStr">
        <is>
          <t>TN</t>
        </is>
      </c>
      <c r="J5" t="inlineStr"/>
      <c r="K5" t="inlineStr">
        <is>
          <t>20240723</t>
        </is>
      </c>
      <c r="L5" t="inlineStr">
        <is>
          <t>99991231</t>
        </is>
      </c>
    </row>
    <row r="6">
      <c r="A6" t="inlineStr">
        <is>
          <t>900000000</t>
        </is>
      </c>
      <c r="B6" t="inlineStr">
        <is>
          <t>DW67</t>
        </is>
      </c>
      <c r="C6" t="inlineStr">
        <is>
          <t>D302</t>
        </is>
      </c>
      <c r="D6" t="inlineStr">
        <is>
          <t>10000398</t>
        </is>
      </c>
      <c r="E6" t="inlineStr"/>
      <c r="F6" s="12" t="n">
        <v>48.43</v>
      </c>
      <c r="G6" t="inlineStr"/>
      <c r="I6" t="inlineStr">
        <is>
          <t>TN</t>
        </is>
      </c>
      <c r="J6" t="inlineStr"/>
      <c r="K6" t="inlineStr">
        <is>
          <t>20220516</t>
        </is>
      </c>
      <c r="L6" t="inlineStr">
        <is>
          <t>20241113</t>
        </is>
      </c>
    </row>
    <row r="7">
      <c r="A7" t="inlineStr">
        <is>
          <t>900000000</t>
        </is>
      </c>
      <c r="B7" t="inlineStr">
        <is>
          <t>DW67</t>
        </is>
      </c>
      <c r="C7" t="inlineStr">
        <is>
          <t>D302</t>
        </is>
      </c>
      <c r="D7" t="inlineStr">
        <is>
          <t>10000541</t>
        </is>
      </c>
      <c r="E7" t="inlineStr"/>
      <c r="F7" s="12" t="n">
        <v>163.61</v>
      </c>
      <c r="G7" t="inlineStr"/>
      <c r="I7" t="inlineStr">
        <is>
          <t>TN</t>
        </is>
      </c>
      <c r="J7" t="inlineStr"/>
      <c r="K7" t="inlineStr">
        <is>
          <t>20250923</t>
        </is>
      </c>
      <c r="L7" t="inlineStr">
        <is>
          <t>99991231</t>
        </is>
      </c>
    </row>
    <row r="8">
      <c r="A8" t="inlineStr">
        <is>
          <t>900000000</t>
        </is>
      </c>
      <c r="B8" t="inlineStr">
        <is>
          <t>DW67</t>
        </is>
      </c>
      <c r="C8" t="inlineStr">
        <is>
          <t>D302</t>
        </is>
      </c>
      <c r="D8" t="inlineStr">
        <is>
          <t>10000826</t>
        </is>
      </c>
      <c r="E8" t="inlineStr"/>
      <c r="F8" s="12" t="n">
        <v>172.41</v>
      </c>
      <c r="G8" t="inlineStr"/>
      <c r="I8" t="inlineStr">
        <is>
          <t>TN</t>
        </is>
      </c>
      <c r="J8" t="inlineStr"/>
      <c r="K8" t="inlineStr">
        <is>
          <t>20250707</t>
        </is>
      </c>
      <c r="L8" t="inlineStr">
        <is>
          <t>99991231</t>
        </is>
      </c>
    </row>
    <row r="9">
      <c r="A9" t="inlineStr">
        <is>
          <t>900000000</t>
        </is>
      </c>
      <c r="B9" t="inlineStr">
        <is>
          <t>DW67</t>
        </is>
      </c>
      <c r="C9" t="inlineStr">
        <is>
          <t>D310</t>
        </is>
      </c>
      <c r="D9" t="inlineStr">
        <is>
          <t>10000178</t>
        </is>
      </c>
      <c r="E9" t="inlineStr"/>
      <c r="F9" s="12" t="n">
        <v>86</v>
      </c>
      <c r="G9" t="inlineStr"/>
      <c r="I9" t="inlineStr">
        <is>
          <t>TN</t>
        </is>
      </c>
      <c r="J9" t="inlineStr"/>
      <c r="K9" t="inlineStr">
        <is>
          <t>20220516</t>
        </is>
      </c>
      <c r="L9" t="inlineStr">
        <is>
          <t>20241113</t>
        </is>
      </c>
    </row>
    <row r="10">
      <c r="A10" t="inlineStr">
        <is>
          <t>900000000</t>
        </is>
      </c>
      <c r="B10" t="inlineStr">
        <is>
          <t>DW67</t>
        </is>
      </c>
      <c r="C10" t="inlineStr">
        <is>
          <t>D310</t>
        </is>
      </c>
      <c r="D10" t="inlineStr">
        <is>
          <t>10000398</t>
        </is>
      </c>
      <c r="E10" t="inlineStr"/>
      <c r="F10" s="12" t="n">
        <v>26.36</v>
      </c>
      <c r="G10" t="inlineStr"/>
      <c r="I10" t="inlineStr">
        <is>
          <t>TN</t>
        </is>
      </c>
      <c r="J10" t="inlineStr"/>
      <c r="K10" t="inlineStr">
        <is>
          <t>20220516</t>
        </is>
      </c>
      <c r="L10" t="inlineStr">
        <is>
          <t>20241113</t>
        </is>
      </c>
    </row>
    <row r="11">
      <c r="A11" t="inlineStr">
        <is>
          <t>900000000</t>
        </is>
      </c>
      <c r="B11" t="inlineStr">
        <is>
          <t>DW67</t>
        </is>
      </c>
      <c r="C11" t="inlineStr">
        <is>
          <t>D310</t>
        </is>
      </c>
      <c r="D11" t="inlineStr">
        <is>
          <t>10000541</t>
        </is>
      </c>
      <c r="E11" t="inlineStr"/>
      <c r="F11" s="12" t="n">
        <v>84.81999999999999</v>
      </c>
      <c r="G11" t="inlineStr"/>
      <c r="I11" t="inlineStr">
        <is>
          <t>TN</t>
        </is>
      </c>
      <c r="J11" t="inlineStr"/>
      <c r="K11" t="inlineStr">
        <is>
          <t>20220516</t>
        </is>
      </c>
      <c r="L11" t="inlineStr">
        <is>
          <t>20241113</t>
        </is>
      </c>
    </row>
    <row r="12">
      <c r="A12" t="inlineStr">
        <is>
          <t>900000000</t>
        </is>
      </c>
      <c r="B12" t="inlineStr">
        <is>
          <t>DW67</t>
        </is>
      </c>
      <c r="C12" t="inlineStr">
        <is>
          <t>D310</t>
        </is>
      </c>
      <c r="D12" t="inlineStr">
        <is>
          <t>10000826</t>
        </is>
      </c>
      <c r="E12" t="inlineStr"/>
      <c r="F12" s="12" t="n">
        <v>58.1</v>
      </c>
      <c r="G12" t="inlineStr"/>
      <c r="I12" t="inlineStr">
        <is>
          <t>TN</t>
        </is>
      </c>
      <c r="J12" t="inlineStr"/>
      <c r="K12" t="inlineStr">
        <is>
          <t>20220516</t>
        </is>
      </c>
      <c r="L12" t="inlineStr">
        <is>
          <t>20241113</t>
        </is>
      </c>
    </row>
    <row r="13">
      <c r="A13" t="inlineStr">
        <is>
          <t>900000037</t>
        </is>
      </c>
      <c r="B13" t="inlineStr">
        <is>
          <t>DW67</t>
        </is>
      </c>
      <c r="C13" t="inlineStr">
        <is>
          <t>D180</t>
        </is>
      </c>
      <c r="D13" t="inlineStr">
        <is>
          <t>10000139</t>
        </is>
      </c>
      <c r="E13" t="inlineStr"/>
      <c r="F13" s="12" t="n">
        <v>44.85</v>
      </c>
      <c r="G13" t="inlineStr"/>
      <c r="I13" t="inlineStr">
        <is>
          <t>TN</t>
        </is>
      </c>
      <c r="J13" t="inlineStr"/>
      <c r="K13" t="inlineStr">
        <is>
          <t>20220516</t>
        </is>
      </c>
      <c r="L13" t="inlineStr">
        <is>
          <t>20230511</t>
        </is>
      </c>
    </row>
    <row r="14">
      <c r="A14" t="inlineStr">
        <is>
          <t>900000037</t>
        </is>
      </c>
      <c r="B14" t="inlineStr">
        <is>
          <t>DW67</t>
        </is>
      </c>
      <c r="C14" t="inlineStr">
        <is>
          <t>D302</t>
        </is>
      </c>
      <c r="D14" t="inlineStr">
        <is>
          <t>10000139</t>
        </is>
      </c>
      <c r="E14" t="inlineStr"/>
      <c r="F14" s="12" t="n">
        <v>72.45999999999999</v>
      </c>
      <c r="G14" t="inlineStr"/>
      <c r="I14" t="inlineStr">
        <is>
          <t>TN</t>
        </is>
      </c>
      <c r="J14" t="inlineStr"/>
      <c r="K14" t="inlineStr">
        <is>
          <t>20240101</t>
        </is>
      </c>
      <c r="L14" t="inlineStr">
        <is>
          <t>99991231</t>
        </is>
      </c>
    </row>
    <row r="15">
      <c r="A15" t="inlineStr">
        <is>
          <t>900000037</t>
        </is>
      </c>
      <c r="B15" t="inlineStr">
        <is>
          <t>DW67</t>
        </is>
      </c>
      <c r="C15" t="inlineStr">
        <is>
          <t>D302</t>
        </is>
      </c>
      <c r="D15" t="inlineStr">
        <is>
          <t>10000140</t>
        </is>
      </c>
      <c r="E15" t="inlineStr"/>
      <c r="F15" s="12" t="n">
        <v>54.26</v>
      </c>
      <c r="G15" t="inlineStr"/>
      <c r="I15" t="inlineStr">
        <is>
          <t>TN</t>
        </is>
      </c>
      <c r="J15" t="inlineStr"/>
      <c r="K15" t="inlineStr">
        <is>
          <t>20250428</t>
        </is>
      </c>
      <c r="L15" t="inlineStr">
        <is>
          <t>20251031</t>
        </is>
      </c>
    </row>
    <row r="16">
      <c r="A16" t="inlineStr">
        <is>
          <t>900000037</t>
        </is>
      </c>
      <c r="B16" t="inlineStr">
        <is>
          <t>DW67</t>
        </is>
      </c>
      <c r="C16" t="inlineStr">
        <is>
          <t>D302</t>
        </is>
      </c>
      <c r="D16" t="inlineStr">
        <is>
          <t>10000444</t>
        </is>
      </c>
      <c r="E16" t="inlineStr"/>
      <c r="F16" s="12" t="n">
        <v>61.1</v>
      </c>
      <c r="G16" t="inlineStr"/>
      <c r="I16" t="inlineStr">
        <is>
          <t>TN</t>
        </is>
      </c>
      <c r="J16" t="inlineStr"/>
      <c r="K16" t="inlineStr">
        <is>
          <t>20240101</t>
        </is>
      </c>
      <c r="L16" t="inlineStr">
        <is>
          <t>99991231</t>
        </is>
      </c>
    </row>
    <row r="17">
      <c r="A17" t="inlineStr">
        <is>
          <t>900000037</t>
        </is>
      </c>
      <c r="B17" t="inlineStr">
        <is>
          <t>DW67</t>
        </is>
      </c>
      <c r="C17" t="inlineStr">
        <is>
          <t>D302</t>
        </is>
      </c>
      <c r="D17" t="inlineStr">
        <is>
          <t>10000548</t>
        </is>
      </c>
      <c r="E17" t="inlineStr"/>
      <c r="F17" s="12" t="n">
        <v>35.97</v>
      </c>
      <c r="G17" t="inlineStr"/>
      <c r="I17" t="inlineStr">
        <is>
          <t>TN</t>
        </is>
      </c>
      <c r="J17" t="inlineStr"/>
      <c r="K17" t="inlineStr">
        <is>
          <t>20250428</t>
        </is>
      </c>
      <c r="L17" t="inlineStr">
        <is>
          <t>20251031</t>
        </is>
      </c>
    </row>
    <row r="18">
      <c r="A18" t="inlineStr">
        <is>
          <t>900000037</t>
        </is>
      </c>
      <c r="B18" t="inlineStr">
        <is>
          <t>DW67</t>
        </is>
      </c>
      <c r="C18" t="inlineStr">
        <is>
          <t>D310</t>
        </is>
      </c>
      <c r="D18" t="inlineStr">
        <is>
          <t>10000139</t>
        </is>
      </c>
      <c r="E18" t="inlineStr"/>
      <c r="F18" s="12" t="n">
        <v>40.64</v>
      </c>
      <c r="G18" t="inlineStr"/>
      <c r="I18" t="inlineStr">
        <is>
          <t>TN</t>
        </is>
      </c>
      <c r="J18" t="inlineStr"/>
      <c r="K18" t="inlineStr">
        <is>
          <t>20220516</t>
        </is>
      </c>
      <c r="L18" t="inlineStr">
        <is>
          <t>20241113</t>
        </is>
      </c>
    </row>
    <row r="19">
      <c r="A19" t="inlineStr">
        <is>
          <t>900000037</t>
        </is>
      </c>
      <c r="B19" t="inlineStr">
        <is>
          <t>DW67</t>
        </is>
      </c>
      <c r="C19" t="inlineStr">
        <is>
          <t>D310</t>
        </is>
      </c>
      <c r="D19" t="inlineStr">
        <is>
          <t>10000140</t>
        </is>
      </c>
      <c r="E19" t="inlineStr"/>
      <c r="F19" s="12" t="n">
        <v>49.69</v>
      </c>
      <c r="G19" t="inlineStr"/>
      <c r="I19" t="inlineStr">
        <is>
          <t>TN</t>
        </is>
      </c>
      <c r="J19" t="inlineStr"/>
      <c r="K19" t="inlineStr">
        <is>
          <t>20220516</t>
        </is>
      </c>
      <c r="L19" t="inlineStr">
        <is>
          <t>20241113</t>
        </is>
      </c>
    </row>
    <row r="20">
      <c r="A20" t="inlineStr">
        <is>
          <t>900000037</t>
        </is>
      </c>
      <c r="B20" t="inlineStr">
        <is>
          <t>DW67</t>
        </is>
      </c>
      <c r="C20" t="inlineStr">
        <is>
          <t>D310</t>
        </is>
      </c>
      <c r="D20" t="inlineStr">
        <is>
          <t>10000444</t>
        </is>
      </c>
      <c r="E20" t="inlineStr"/>
      <c r="F20" s="12" t="n">
        <v>27.23</v>
      </c>
      <c r="G20" t="inlineStr"/>
      <c r="I20" t="inlineStr">
        <is>
          <t>TN</t>
        </is>
      </c>
      <c r="J20" t="inlineStr"/>
      <c r="K20" t="inlineStr">
        <is>
          <t>20220516</t>
        </is>
      </c>
      <c r="L20" t="inlineStr">
        <is>
          <t>20241113</t>
        </is>
      </c>
    </row>
    <row r="21">
      <c r="A21" t="inlineStr">
        <is>
          <t>900000037</t>
        </is>
      </c>
      <c r="B21" t="inlineStr">
        <is>
          <t>DW67</t>
        </is>
      </c>
      <c r="C21" t="inlineStr">
        <is>
          <t>D310</t>
        </is>
      </c>
      <c r="D21" t="inlineStr">
        <is>
          <t>10000548</t>
        </is>
      </c>
      <c r="E21" t="inlineStr"/>
      <c r="F21" s="12" t="n">
        <v>35.97</v>
      </c>
      <c r="G21" t="inlineStr"/>
      <c r="I21" t="inlineStr">
        <is>
          <t>TN</t>
        </is>
      </c>
      <c r="J21" t="inlineStr"/>
      <c r="K21" t="inlineStr">
        <is>
          <t>20220516</t>
        </is>
      </c>
      <c r="L21" t="inlineStr">
        <is>
          <t>20241113</t>
        </is>
      </c>
    </row>
    <row r="22">
      <c r="A22" t="inlineStr">
        <is>
          <t>900000037</t>
        </is>
      </c>
      <c r="B22" t="inlineStr">
        <is>
          <t>DW67</t>
        </is>
      </c>
      <c r="C22" t="inlineStr">
        <is>
          <t>D316</t>
        </is>
      </c>
      <c r="D22" t="inlineStr">
        <is>
          <t>10000139</t>
        </is>
      </c>
      <c r="E22" t="inlineStr"/>
      <c r="F22" s="12" t="n">
        <v>37.98</v>
      </c>
      <c r="G22" t="inlineStr"/>
      <c r="I22" t="inlineStr">
        <is>
          <t>TN</t>
        </is>
      </c>
      <c r="J22" t="inlineStr"/>
      <c r="K22" t="inlineStr">
        <is>
          <t>20220516</t>
        </is>
      </c>
      <c r="L22" t="inlineStr">
        <is>
          <t>20241113</t>
        </is>
      </c>
    </row>
    <row r="23">
      <c r="A23" t="inlineStr">
        <is>
          <t>900000037</t>
        </is>
      </c>
      <c r="B23" t="inlineStr">
        <is>
          <t>DW67</t>
        </is>
      </c>
      <c r="C23" t="inlineStr">
        <is>
          <t>D316</t>
        </is>
      </c>
      <c r="D23" t="inlineStr">
        <is>
          <t>10000140</t>
        </is>
      </c>
      <c r="E23" t="inlineStr"/>
      <c r="F23" s="12" t="n">
        <v>49.69</v>
      </c>
      <c r="G23" t="inlineStr"/>
      <c r="I23" t="inlineStr">
        <is>
          <t>TN</t>
        </is>
      </c>
      <c r="J23" t="inlineStr"/>
      <c r="K23" t="inlineStr">
        <is>
          <t>20220516</t>
        </is>
      </c>
      <c r="L23" t="inlineStr">
        <is>
          <t>20241113</t>
        </is>
      </c>
    </row>
    <row r="24">
      <c r="A24" t="inlineStr">
        <is>
          <t>900000037</t>
        </is>
      </c>
      <c r="B24" t="inlineStr">
        <is>
          <t>DW67</t>
        </is>
      </c>
      <c r="C24" t="inlineStr">
        <is>
          <t>D316</t>
        </is>
      </c>
      <c r="D24" t="inlineStr">
        <is>
          <t>10000548</t>
        </is>
      </c>
      <c r="E24" t="inlineStr"/>
      <c r="F24" s="12" t="n">
        <v>35.97</v>
      </c>
      <c r="G24" t="inlineStr"/>
      <c r="I24" t="inlineStr">
        <is>
          <t>TN</t>
        </is>
      </c>
      <c r="J24" t="inlineStr"/>
      <c r="K24" t="inlineStr">
        <is>
          <t>20220516</t>
        </is>
      </c>
      <c r="L24" t="inlineStr">
        <is>
          <t>20241113</t>
        </is>
      </c>
    </row>
    <row r="25">
      <c r="A25" t="inlineStr">
        <is>
          <t>900000086</t>
        </is>
      </c>
      <c r="B25" t="inlineStr">
        <is>
          <t>DW67</t>
        </is>
      </c>
      <c r="C25" t="inlineStr">
        <is>
          <t>D302</t>
        </is>
      </c>
      <c r="D25" t="inlineStr">
        <is>
          <t>10000511</t>
        </is>
      </c>
      <c r="E25" t="inlineStr"/>
      <c r="F25" s="12" t="n">
        <v>20.92</v>
      </c>
      <c r="G25" t="inlineStr"/>
      <c r="I25" t="inlineStr">
        <is>
          <t>TN</t>
        </is>
      </c>
      <c r="J25" t="inlineStr"/>
      <c r="K25" t="inlineStr">
        <is>
          <t>20220516</t>
        </is>
      </c>
      <c r="L25" t="inlineStr">
        <is>
          <t>20240320</t>
        </is>
      </c>
    </row>
    <row r="26">
      <c r="A26" t="inlineStr">
        <is>
          <t>900000110</t>
        </is>
      </c>
      <c r="B26" t="inlineStr">
        <is>
          <t>DW67</t>
        </is>
      </c>
      <c r="C26" t="inlineStr">
        <is>
          <t>D302</t>
        </is>
      </c>
      <c r="D26" t="inlineStr">
        <is>
          <t>10000397</t>
        </is>
      </c>
      <c r="E26" t="inlineStr"/>
      <c r="F26" s="12" t="n">
        <v>53.23</v>
      </c>
      <c r="G26" t="inlineStr"/>
      <c r="I26" t="inlineStr">
        <is>
          <t>TN</t>
        </is>
      </c>
      <c r="J26" t="inlineStr"/>
      <c r="K26" t="inlineStr">
        <is>
          <t>20220516</t>
        </is>
      </c>
      <c r="L26" t="inlineStr">
        <is>
          <t>20241113</t>
        </is>
      </c>
    </row>
    <row r="27">
      <c r="A27" t="inlineStr">
        <is>
          <t>900000129</t>
        </is>
      </c>
      <c r="B27" t="inlineStr">
        <is>
          <t>DW67</t>
        </is>
      </c>
      <c r="C27" t="inlineStr">
        <is>
          <t>D302</t>
        </is>
      </c>
      <c r="D27" t="inlineStr">
        <is>
          <t>10079650</t>
        </is>
      </c>
      <c r="E27" t="inlineStr"/>
      <c r="F27" s="12" t="n">
        <v>31.08</v>
      </c>
      <c r="G27" t="inlineStr"/>
      <c r="I27" t="inlineStr">
        <is>
          <t>TN</t>
        </is>
      </c>
      <c r="J27" t="inlineStr"/>
      <c r="K27" t="inlineStr">
        <is>
          <t>20220516</t>
        </is>
      </c>
      <c r="L27" t="inlineStr">
        <is>
          <t>20230615</t>
        </is>
      </c>
    </row>
    <row r="28">
      <c r="A28" t="inlineStr">
        <is>
          <t>900000743</t>
        </is>
      </c>
      <c r="B28" t="inlineStr">
        <is>
          <t>DW67</t>
        </is>
      </c>
      <c r="C28" t="inlineStr">
        <is>
          <t>D302</t>
        </is>
      </c>
      <c r="D28" t="inlineStr">
        <is>
          <t>10000561</t>
        </is>
      </c>
      <c r="E28" t="inlineStr"/>
      <c r="F28" s="12" t="n">
        <v>223.78</v>
      </c>
      <c r="G28" t="inlineStr"/>
      <c r="I28" t="inlineStr">
        <is>
          <t>TN</t>
        </is>
      </c>
      <c r="J28" t="inlineStr"/>
      <c r="K28" t="inlineStr">
        <is>
          <t>20251103</t>
        </is>
      </c>
      <c r="L28" t="inlineStr">
        <is>
          <t>99991231</t>
        </is>
      </c>
    </row>
    <row r="29">
      <c r="A29" t="inlineStr">
        <is>
          <t>900001067</t>
        </is>
      </c>
      <c r="B29" t="inlineStr">
        <is>
          <t>DW67</t>
        </is>
      </c>
      <c r="C29" t="inlineStr">
        <is>
          <t>D302</t>
        </is>
      </c>
      <c r="D29" t="inlineStr">
        <is>
          <t>10000178</t>
        </is>
      </c>
      <c r="E29" t="inlineStr"/>
      <c r="F29" s="12" t="n">
        <v>94.23</v>
      </c>
      <c r="G29" t="inlineStr"/>
      <c r="I29" t="inlineStr">
        <is>
          <t>TN</t>
        </is>
      </c>
      <c r="J29" t="inlineStr"/>
      <c r="K29" t="inlineStr">
        <is>
          <t>20220516</t>
        </is>
      </c>
      <c r="L29" t="inlineStr">
        <is>
          <t>20241113</t>
        </is>
      </c>
    </row>
    <row r="30">
      <c r="A30" t="inlineStr">
        <is>
          <t>900001067</t>
        </is>
      </c>
      <c r="B30" t="inlineStr">
        <is>
          <t>DW67</t>
        </is>
      </c>
      <c r="C30" t="inlineStr">
        <is>
          <t>D302</t>
        </is>
      </c>
      <c r="D30" t="inlineStr">
        <is>
          <t>10000826</t>
        </is>
      </c>
      <c r="E30" t="inlineStr"/>
      <c r="F30" s="12" t="n">
        <v>65.52</v>
      </c>
      <c r="G30" t="inlineStr"/>
      <c r="I30" t="inlineStr">
        <is>
          <t>TN</t>
        </is>
      </c>
      <c r="J30" t="inlineStr"/>
      <c r="K30" t="inlineStr">
        <is>
          <t>20220516</t>
        </is>
      </c>
      <c r="L30" t="inlineStr">
        <is>
          <t>20241113</t>
        </is>
      </c>
    </row>
    <row r="31">
      <c r="A31" t="inlineStr">
        <is>
          <t>900002095</t>
        </is>
      </c>
      <c r="B31" t="inlineStr">
        <is>
          <t>DW67</t>
        </is>
      </c>
      <c r="C31" t="inlineStr">
        <is>
          <t>D302</t>
        </is>
      </c>
      <c r="D31" t="inlineStr">
        <is>
          <t>10000178</t>
        </is>
      </c>
      <c r="E31" t="inlineStr"/>
      <c r="F31" s="12" t="n">
        <v>180</v>
      </c>
      <c r="G31" t="inlineStr"/>
      <c r="I31" t="inlineStr">
        <is>
          <t>M3</t>
        </is>
      </c>
      <c r="J31" t="inlineStr"/>
      <c r="K31" t="inlineStr">
        <is>
          <t>20220516</t>
        </is>
      </c>
      <c r="L31" t="inlineStr">
        <is>
          <t>20240320</t>
        </is>
      </c>
    </row>
    <row r="32">
      <c r="A32" t="inlineStr">
        <is>
          <t>900002095</t>
        </is>
      </c>
      <c r="B32" t="inlineStr">
        <is>
          <t>DW67</t>
        </is>
      </c>
      <c r="C32" t="inlineStr">
        <is>
          <t>D302</t>
        </is>
      </c>
      <c r="D32" t="inlineStr">
        <is>
          <t>10000826</t>
        </is>
      </c>
      <c r="E32" t="inlineStr"/>
      <c r="F32" s="12" t="n">
        <v>20.95</v>
      </c>
      <c r="G32" t="inlineStr"/>
      <c r="I32" t="inlineStr">
        <is>
          <t>TN</t>
        </is>
      </c>
      <c r="J32" t="inlineStr"/>
      <c r="K32" t="inlineStr">
        <is>
          <t>20220516</t>
        </is>
      </c>
      <c r="L32" t="inlineStr">
        <is>
          <t>20240320</t>
        </is>
      </c>
    </row>
    <row r="33">
      <c r="A33" t="inlineStr">
        <is>
          <t>900002095</t>
        </is>
      </c>
      <c r="B33" t="inlineStr">
        <is>
          <t>DW67</t>
        </is>
      </c>
      <c r="C33" t="inlineStr">
        <is>
          <t>D310</t>
        </is>
      </c>
      <c r="D33" t="inlineStr">
        <is>
          <t>10000178</t>
        </is>
      </c>
      <c r="E33" t="inlineStr"/>
      <c r="F33" s="12" t="n">
        <v>49.01</v>
      </c>
      <c r="G33" t="inlineStr"/>
      <c r="I33" t="inlineStr">
        <is>
          <t>M3</t>
        </is>
      </c>
      <c r="J33" t="inlineStr"/>
      <c r="K33" t="inlineStr">
        <is>
          <t>20220516</t>
        </is>
      </c>
      <c r="L33" t="inlineStr">
        <is>
          <t>20240320</t>
        </is>
      </c>
    </row>
    <row r="34">
      <c r="A34" t="inlineStr">
        <is>
          <t>900002095</t>
        </is>
      </c>
      <c r="B34" t="inlineStr">
        <is>
          <t>DW67</t>
        </is>
      </c>
      <c r="C34" t="inlineStr">
        <is>
          <t>D310</t>
        </is>
      </c>
      <c r="D34" t="inlineStr">
        <is>
          <t>10000826</t>
        </is>
      </c>
      <c r="E34" t="inlineStr"/>
      <c r="F34" s="12" t="n">
        <v>20.95</v>
      </c>
      <c r="G34" t="inlineStr"/>
      <c r="I34" t="inlineStr">
        <is>
          <t>TN</t>
        </is>
      </c>
      <c r="J34" t="inlineStr"/>
      <c r="K34" t="inlineStr">
        <is>
          <t>20220516</t>
        </is>
      </c>
      <c r="L34" t="inlineStr">
        <is>
          <t>20240320</t>
        </is>
      </c>
    </row>
    <row r="35">
      <c r="A35" t="inlineStr">
        <is>
          <t>900002349</t>
        </is>
      </c>
      <c r="B35" t="inlineStr">
        <is>
          <t>DW67</t>
        </is>
      </c>
      <c r="C35" t="inlineStr">
        <is>
          <t>D302</t>
        </is>
      </c>
      <c r="D35" t="inlineStr">
        <is>
          <t>10000396</t>
        </is>
      </c>
      <c r="E35" t="inlineStr"/>
      <c r="F35" s="12" t="n">
        <v>92.95999999999999</v>
      </c>
      <c r="G35" t="inlineStr"/>
      <c r="I35" t="inlineStr">
        <is>
          <t>TN</t>
        </is>
      </c>
      <c r="J35" t="inlineStr"/>
      <c r="K35" t="inlineStr">
        <is>
          <t>20220808</t>
        </is>
      </c>
      <c r="L35" t="inlineStr">
        <is>
          <t>20250812</t>
        </is>
      </c>
    </row>
    <row r="36">
      <c r="A36" t="inlineStr">
        <is>
          <t>900002410</t>
        </is>
      </c>
      <c r="B36" t="inlineStr">
        <is>
          <t>DW67</t>
        </is>
      </c>
      <c r="C36" t="inlineStr">
        <is>
          <t>D180</t>
        </is>
      </c>
      <c r="D36" t="inlineStr">
        <is>
          <t>10000826</t>
        </is>
      </c>
      <c r="E36" t="inlineStr"/>
      <c r="F36" s="12" t="n">
        <v>124.14</v>
      </c>
      <c r="G36" t="inlineStr"/>
      <c r="I36" t="inlineStr">
        <is>
          <t>TN</t>
        </is>
      </c>
      <c r="J36" t="inlineStr"/>
      <c r="K36" t="inlineStr">
        <is>
          <t>20220516</t>
        </is>
      </c>
      <c r="L36" t="inlineStr">
        <is>
          <t>20230511</t>
        </is>
      </c>
    </row>
    <row r="37">
      <c r="A37" t="inlineStr">
        <is>
          <t>900002410</t>
        </is>
      </c>
      <c r="B37" t="inlineStr">
        <is>
          <t>DW67</t>
        </is>
      </c>
      <c r="C37" t="inlineStr">
        <is>
          <t>D302</t>
        </is>
      </c>
      <c r="D37" t="inlineStr">
        <is>
          <t>10000178</t>
        </is>
      </c>
      <c r="E37" t="inlineStr"/>
      <c r="F37" s="12" t="n">
        <v>125.73</v>
      </c>
      <c r="G37" t="inlineStr"/>
      <c r="I37" t="inlineStr">
        <is>
          <t>TN</t>
        </is>
      </c>
      <c r="J37" t="inlineStr"/>
      <c r="K37" t="inlineStr">
        <is>
          <t>20220516</t>
        </is>
      </c>
      <c r="L37" t="inlineStr">
        <is>
          <t>20241113</t>
        </is>
      </c>
    </row>
    <row r="38">
      <c r="A38" t="inlineStr">
        <is>
          <t>900002410</t>
        </is>
      </c>
      <c r="B38" t="inlineStr">
        <is>
          <t>DW67</t>
        </is>
      </c>
      <c r="C38" t="inlineStr">
        <is>
          <t>D302</t>
        </is>
      </c>
      <c r="D38" t="inlineStr">
        <is>
          <t>10000826</t>
        </is>
      </c>
      <c r="E38" t="inlineStr"/>
      <c r="F38" s="12" t="n">
        <v>124.14</v>
      </c>
      <c r="G38" t="inlineStr"/>
      <c r="I38" t="inlineStr">
        <is>
          <t>TN</t>
        </is>
      </c>
      <c r="J38" t="inlineStr"/>
      <c r="K38" t="inlineStr">
        <is>
          <t>20220516</t>
        </is>
      </c>
      <c r="L38" t="inlineStr">
        <is>
          <t>20241113</t>
        </is>
      </c>
    </row>
    <row r="39">
      <c r="A39" t="inlineStr">
        <is>
          <t>900002895</t>
        </is>
      </c>
      <c r="B39" t="inlineStr">
        <is>
          <t>DW67</t>
        </is>
      </c>
      <c r="C39" t="inlineStr">
        <is>
          <t>D302</t>
        </is>
      </c>
      <c r="D39" t="inlineStr">
        <is>
          <t>10000139</t>
        </is>
      </c>
      <c r="E39" t="inlineStr"/>
      <c r="F39" s="12" t="n">
        <v>56.45</v>
      </c>
      <c r="G39" t="inlineStr"/>
      <c r="I39" t="inlineStr">
        <is>
          <t>TN</t>
        </is>
      </c>
      <c r="J39" t="inlineStr"/>
      <c r="K39" t="inlineStr">
        <is>
          <t>20220624</t>
        </is>
      </c>
      <c r="L39" t="inlineStr">
        <is>
          <t>20250812</t>
        </is>
      </c>
    </row>
    <row r="40">
      <c r="A40" t="inlineStr">
        <is>
          <t>900003437</t>
        </is>
      </c>
      <c r="B40" t="inlineStr">
        <is>
          <t>DW67</t>
        </is>
      </c>
      <c r="C40" t="inlineStr">
        <is>
          <t>D302</t>
        </is>
      </c>
      <c r="D40" t="inlineStr">
        <is>
          <t>10000139</t>
        </is>
      </c>
      <c r="E40" t="inlineStr"/>
      <c r="F40" s="12" t="n">
        <v>68.65000000000001</v>
      </c>
      <c r="G40" t="inlineStr"/>
      <c r="I40" t="inlineStr">
        <is>
          <t>TN</t>
        </is>
      </c>
      <c r="J40" t="inlineStr"/>
      <c r="K40" t="inlineStr">
        <is>
          <t>20250428</t>
        </is>
      </c>
      <c r="L40" t="inlineStr">
        <is>
          <t>20251031</t>
        </is>
      </c>
    </row>
    <row r="41">
      <c r="A41" t="inlineStr">
        <is>
          <t>900003437</t>
        </is>
      </c>
      <c r="B41" t="inlineStr">
        <is>
          <t>DW67</t>
        </is>
      </c>
      <c r="C41" t="inlineStr">
        <is>
          <t>D302</t>
        </is>
      </c>
      <c r="D41" t="inlineStr">
        <is>
          <t>10000372</t>
        </is>
      </c>
      <c r="E41" t="inlineStr"/>
      <c r="F41" s="12" t="n">
        <v>248.62</v>
      </c>
      <c r="G41" t="inlineStr"/>
      <c r="I41" t="inlineStr">
        <is>
          <t>TN</t>
        </is>
      </c>
      <c r="J41" t="inlineStr"/>
      <c r="K41" t="inlineStr">
        <is>
          <t>20260724</t>
        </is>
      </c>
      <c r="L41" t="inlineStr">
        <is>
          <t>99991231</t>
        </is>
      </c>
    </row>
    <row r="42">
      <c r="A42" t="inlineStr">
        <is>
          <t>900003437</t>
        </is>
      </c>
      <c r="B42" t="inlineStr">
        <is>
          <t>DW67</t>
        </is>
      </c>
      <c r="C42" t="inlineStr">
        <is>
          <t>D302</t>
        </is>
      </c>
      <c r="D42" t="inlineStr">
        <is>
          <t>10000826</t>
        </is>
      </c>
      <c r="E42" t="inlineStr"/>
      <c r="F42" s="12" t="n">
        <v>165.52</v>
      </c>
      <c r="G42" t="inlineStr"/>
      <c r="I42" t="inlineStr">
        <is>
          <t>TN</t>
        </is>
      </c>
      <c r="J42" t="inlineStr"/>
      <c r="K42" t="inlineStr">
        <is>
          <t>20260724</t>
        </is>
      </c>
      <c r="L42" t="inlineStr">
        <is>
          <t>99991231</t>
        </is>
      </c>
    </row>
    <row r="43">
      <c r="A43" t="inlineStr">
        <is>
          <t>900003437</t>
        </is>
      </c>
      <c r="B43" t="inlineStr">
        <is>
          <t>DW67</t>
        </is>
      </c>
      <c r="C43" t="inlineStr">
        <is>
          <t>D302</t>
        </is>
      </c>
      <c r="D43" t="inlineStr">
        <is>
          <t>10023900</t>
        </is>
      </c>
      <c r="E43" t="inlineStr"/>
      <c r="F43" s="12" t="n">
        <v>107.66</v>
      </c>
      <c r="G43" t="inlineStr"/>
      <c r="I43" t="inlineStr">
        <is>
          <t>TN</t>
        </is>
      </c>
      <c r="J43" t="inlineStr"/>
      <c r="K43" t="inlineStr">
        <is>
          <t>20220516</t>
        </is>
      </c>
      <c r="L43" t="inlineStr">
        <is>
          <t>20241113</t>
        </is>
      </c>
    </row>
    <row r="44">
      <c r="A44" t="inlineStr">
        <is>
          <t>900003437</t>
        </is>
      </c>
      <c r="B44" t="inlineStr">
        <is>
          <t>DW67</t>
        </is>
      </c>
      <c r="C44" t="inlineStr">
        <is>
          <t>D302</t>
        </is>
      </c>
      <c r="D44" t="inlineStr">
        <is>
          <t>10032325</t>
        </is>
      </c>
      <c r="E44" t="inlineStr"/>
      <c r="F44" s="12" t="n">
        <v>147.22</v>
      </c>
      <c r="G44" t="inlineStr"/>
      <c r="I44" t="inlineStr">
        <is>
          <t>TN</t>
        </is>
      </c>
      <c r="J44" t="inlineStr"/>
      <c r="K44" t="inlineStr">
        <is>
          <t>20250428</t>
        </is>
      </c>
      <c r="L44" t="inlineStr">
        <is>
          <t>20251031</t>
        </is>
      </c>
    </row>
    <row r="45">
      <c r="A45" t="inlineStr">
        <is>
          <t>900003437</t>
        </is>
      </c>
      <c r="B45" t="inlineStr">
        <is>
          <t>DW67</t>
        </is>
      </c>
      <c r="C45" t="inlineStr">
        <is>
          <t>D310</t>
        </is>
      </c>
      <c r="D45" t="inlineStr">
        <is>
          <t>10023900</t>
        </is>
      </c>
      <c r="E45" t="inlineStr"/>
      <c r="F45" s="12" t="n">
        <v>107.66</v>
      </c>
      <c r="G45" t="inlineStr"/>
      <c r="I45" t="inlineStr">
        <is>
          <t>TN</t>
        </is>
      </c>
      <c r="J45" t="inlineStr"/>
      <c r="K45" t="inlineStr">
        <is>
          <t>20220516</t>
        </is>
      </c>
      <c r="L45" t="inlineStr">
        <is>
          <t>20241113</t>
        </is>
      </c>
    </row>
    <row r="46">
      <c r="A46" t="inlineStr">
        <is>
          <t>900003437</t>
        </is>
      </c>
      <c r="B46" t="inlineStr">
        <is>
          <t>DW67</t>
        </is>
      </c>
      <c r="C46" t="inlineStr">
        <is>
          <t>D310</t>
        </is>
      </c>
      <c r="D46" t="inlineStr">
        <is>
          <t>10032325</t>
        </is>
      </c>
      <c r="E46" t="inlineStr"/>
      <c r="F46" s="12" t="n">
        <v>154.97</v>
      </c>
      <c r="G46" t="inlineStr"/>
      <c r="I46" t="inlineStr">
        <is>
          <t>TN</t>
        </is>
      </c>
      <c r="J46" t="inlineStr"/>
      <c r="K46" t="inlineStr">
        <is>
          <t>20220516</t>
        </is>
      </c>
      <c r="L46" t="inlineStr">
        <is>
          <t>20241113</t>
        </is>
      </c>
    </row>
    <row r="47">
      <c r="A47" t="inlineStr">
        <is>
          <t>900003903</t>
        </is>
      </c>
      <c r="B47" t="inlineStr">
        <is>
          <t>DW67</t>
        </is>
      </c>
      <c r="C47" t="inlineStr">
        <is>
          <t>D302</t>
        </is>
      </c>
      <c r="D47" t="inlineStr">
        <is>
          <t>10000826</t>
        </is>
      </c>
      <c r="E47" t="inlineStr"/>
      <c r="F47" s="12" t="n">
        <v>36.55</v>
      </c>
      <c r="G47" t="inlineStr"/>
      <c r="I47" t="inlineStr">
        <is>
          <t>TN</t>
        </is>
      </c>
      <c r="J47" t="inlineStr"/>
      <c r="K47" t="inlineStr">
        <is>
          <t>20250428</t>
        </is>
      </c>
      <c r="L47" t="inlineStr">
        <is>
          <t>20251031</t>
        </is>
      </c>
    </row>
    <row r="48">
      <c r="A48" t="inlineStr">
        <is>
          <t>900003929</t>
        </is>
      </c>
      <c r="B48" t="inlineStr">
        <is>
          <t>DW67</t>
        </is>
      </c>
      <c r="C48" t="inlineStr">
        <is>
          <t>D302</t>
        </is>
      </c>
      <c r="D48" t="inlineStr">
        <is>
          <t>10000372</t>
        </is>
      </c>
      <c r="E48" t="inlineStr"/>
      <c r="F48" s="12" t="n">
        <v>175.41</v>
      </c>
      <c r="G48" t="inlineStr"/>
      <c r="I48" t="inlineStr">
        <is>
          <t>TN</t>
        </is>
      </c>
      <c r="J48" t="inlineStr"/>
      <c r="K48" t="inlineStr">
        <is>
          <t>20220516</t>
        </is>
      </c>
      <c r="L48" t="inlineStr">
        <is>
          <t>20241113</t>
        </is>
      </c>
    </row>
    <row r="49">
      <c r="A49" t="inlineStr">
        <is>
          <t>900004163</t>
        </is>
      </c>
      <c r="B49" t="inlineStr">
        <is>
          <t>DW67</t>
        </is>
      </c>
      <c r="C49" t="inlineStr">
        <is>
          <t>D302</t>
        </is>
      </c>
      <c r="D49" t="inlineStr">
        <is>
          <t>10000370</t>
        </is>
      </c>
      <c r="E49" t="inlineStr"/>
      <c r="F49" s="12" t="n">
        <v>85.23999999999999</v>
      </c>
      <c r="G49" t="inlineStr"/>
      <c r="I49" t="inlineStr">
        <is>
          <t>TN</t>
        </is>
      </c>
      <c r="J49" t="inlineStr"/>
      <c r="K49" t="inlineStr">
        <is>
          <t>20220516</t>
        </is>
      </c>
      <c r="L49" t="inlineStr">
        <is>
          <t>20240320</t>
        </is>
      </c>
    </row>
    <row r="50">
      <c r="A50" t="inlineStr">
        <is>
          <t>900004163</t>
        </is>
      </c>
      <c r="B50" t="inlineStr">
        <is>
          <t>DW67</t>
        </is>
      </c>
      <c r="C50" t="inlineStr">
        <is>
          <t>D310</t>
        </is>
      </c>
      <c r="D50" t="inlineStr">
        <is>
          <t>10000370</t>
        </is>
      </c>
      <c r="E50" t="inlineStr"/>
      <c r="F50" s="12" t="n">
        <v>80.33</v>
      </c>
      <c r="G50" t="inlineStr"/>
      <c r="I50" t="inlineStr">
        <is>
          <t>TN</t>
        </is>
      </c>
      <c r="J50" t="inlineStr"/>
      <c r="K50" t="inlineStr">
        <is>
          <t>20220516</t>
        </is>
      </c>
      <c r="L50" t="inlineStr">
        <is>
          <t>20240320</t>
        </is>
      </c>
    </row>
    <row r="51">
      <c r="A51" t="inlineStr">
        <is>
          <t>900004163</t>
        </is>
      </c>
      <c r="B51" t="inlineStr">
        <is>
          <t>DW67</t>
        </is>
      </c>
      <c r="C51" t="inlineStr">
        <is>
          <t>D316</t>
        </is>
      </c>
      <c r="D51" t="inlineStr">
        <is>
          <t>10000370</t>
        </is>
      </c>
      <c r="E51" t="inlineStr"/>
      <c r="F51" s="12" t="n">
        <v>90.45999999999999</v>
      </c>
      <c r="G51" t="inlineStr"/>
      <c r="I51" t="inlineStr">
        <is>
          <t>TN</t>
        </is>
      </c>
      <c r="J51" t="inlineStr"/>
      <c r="K51" t="inlineStr">
        <is>
          <t>20220516</t>
        </is>
      </c>
      <c r="L51" t="inlineStr">
        <is>
          <t>20240320</t>
        </is>
      </c>
    </row>
    <row r="52">
      <c r="A52" t="inlineStr">
        <is>
          <t>900004576</t>
        </is>
      </c>
      <c r="B52" t="inlineStr">
        <is>
          <t>DW67</t>
        </is>
      </c>
      <c r="C52" t="inlineStr">
        <is>
          <t>D302</t>
        </is>
      </c>
      <c r="D52" t="inlineStr">
        <is>
          <t>10000390</t>
        </is>
      </c>
      <c r="E52" t="inlineStr"/>
      <c r="F52" s="12" t="n">
        <v>113.07</v>
      </c>
      <c r="G52" t="inlineStr"/>
      <c r="I52" t="inlineStr">
        <is>
          <t>TN</t>
        </is>
      </c>
      <c r="J52" t="inlineStr"/>
      <c r="K52" t="inlineStr">
        <is>
          <t>20220516</t>
        </is>
      </c>
      <c r="L52" t="inlineStr">
        <is>
          <t>20240320</t>
        </is>
      </c>
    </row>
    <row r="53">
      <c r="A53" t="inlineStr">
        <is>
          <t>900004576</t>
        </is>
      </c>
      <c r="B53" t="inlineStr">
        <is>
          <t>DW67</t>
        </is>
      </c>
      <c r="C53" t="inlineStr">
        <is>
          <t>D316</t>
        </is>
      </c>
      <c r="D53" t="inlineStr">
        <is>
          <t>10000390</t>
        </is>
      </c>
      <c r="E53" t="inlineStr"/>
      <c r="F53" s="12" t="n">
        <v>113.07</v>
      </c>
      <c r="G53" t="inlineStr"/>
      <c r="I53" t="inlineStr">
        <is>
          <t>TN</t>
        </is>
      </c>
      <c r="J53" t="inlineStr"/>
      <c r="K53" t="inlineStr">
        <is>
          <t>20220516</t>
        </is>
      </c>
      <c r="L53" t="inlineStr">
        <is>
          <t>20240320</t>
        </is>
      </c>
    </row>
    <row r="54">
      <c r="A54" t="inlineStr">
        <is>
          <t>900004612</t>
        </is>
      </c>
      <c r="B54" t="inlineStr">
        <is>
          <t>DW67</t>
        </is>
      </c>
      <c r="C54" t="inlineStr">
        <is>
          <t>D302</t>
        </is>
      </c>
      <c r="D54" t="inlineStr">
        <is>
          <t>10000178</t>
        </is>
      </c>
      <c r="E54" t="inlineStr"/>
      <c r="F54" s="12" t="n">
        <v>119.44</v>
      </c>
      <c r="G54" t="inlineStr"/>
      <c r="I54" t="inlineStr">
        <is>
          <t>TN</t>
        </is>
      </c>
      <c r="J54" t="inlineStr"/>
      <c r="K54" t="inlineStr">
        <is>
          <t>20220516</t>
        </is>
      </c>
      <c r="L54" t="inlineStr">
        <is>
          <t>20230615</t>
        </is>
      </c>
    </row>
    <row r="55">
      <c r="A55" t="inlineStr">
        <is>
          <t>900004612</t>
        </is>
      </c>
      <c r="B55" t="inlineStr">
        <is>
          <t>DW67</t>
        </is>
      </c>
      <c r="C55" t="inlineStr">
        <is>
          <t>D302</t>
        </is>
      </c>
      <c r="D55" t="inlineStr">
        <is>
          <t>10000541</t>
        </is>
      </c>
      <c r="E55" t="inlineStr"/>
      <c r="F55" s="12" t="n">
        <v>98.17</v>
      </c>
      <c r="G55" t="inlineStr"/>
      <c r="I55" t="inlineStr">
        <is>
          <t>TN</t>
        </is>
      </c>
      <c r="J55" t="inlineStr"/>
      <c r="K55" t="inlineStr">
        <is>
          <t>20220516</t>
        </is>
      </c>
      <c r="L55" t="inlineStr">
        <is>
          <t>20230615</t>
        </is>
      </c>
    </row>
    <row r="56">
      <c r="A56" t="inlineStr">
        <is>
          <t>900004612</t>
        </is>
      </c>
      <c r="B56" t="inlineStr">
        <is>
          <t>DW67</t>
        </is>
      </c>
      <c r="C56" t="inlineStr">
        <is>
          <t>D302</t>
        </is>
      </c>
      <c r="D56" t="inlineStr">
        <is>
          <t>10000826</t>
        </is>
      </c>
      <c r="E56" t="inlineStr"/>
      <c r="F56" s="12" t="n">
        <v>120.69</v>
      </c>
      <c r="G56" t="inlineStr"/>
      <c r="I56" t="inlineStr">
        <is>
          <t>TN</t>
        </is>
      </c>
      <c r="J56" t="inlineStr"/>
      <c r="K56" t="inlineStr">
        <is>
          <t>20220516</t>
        </is>
      </c>
      <c r="L56" t="inlineStr">
        <is>
          <t>20230615</t>
        </is>
      </c>
    </row>
    <row r="57">
      <c r="A57" t="inlineStr">
        <is>
          <t>900004907</t>
        </is>
      </c>
      <c r="B57" t="inlineStr">
        <is>
          <t>DW67</t>
        </is>
      </c>
      <c r="C57" t="inlineStr">
        <is>
          <t>D302</t>
        </is>
      </c>
      <c r="D57" t="inlineStr">
        <is>
          <t>10000213</t>
        </is>
      </c>
      <c r="E57" t="inlineStr"/>
      <c r="F57" s="12" t="n">
        <v>76.23</v>
      </c>
      <c r="G57" t="inlineStr"/>
      <c r="I57" t="inlineStr">
        <is>
          <t>TN</t>
        </is>
      </c>
      <c r="J57" t="inlineStr"/>
      <c r="K57" t="inlineStr">
        <is>
          <t>20220516</t>
        </is>
      </c>
      <c r="L57" t="inlineStr">
        <is>
          <t>20241113</t>
        </is>
      </c>
    </row>
    <row r="58">
      <c r="A58" t="inlineStr">
        <is>
          <t>900004907</t>
        </is>
      </c>
      <c r="B58" t="inlineStr">
        <is>
          <t>DW67</t>
        </is>
      </c>
      <c r="C58" t="inlineStr">
        <is>
          <t>D302</t>
        </is>
      </c>
      <c r="D58" t="inlineStr">
        <is>
          <t>10000370</t>
        </is>
      </c>
      <c r="E58" t="inlineStr"/>
      <c r="F58" s="12" t="n">
        <v>88.01000000000001</v>
      </c>
      <c r="G58" t="inlineStr"/>
      <c r="I58" t="inlineStr">
        <is>
          <t>TN</t>
        </is>
      </c>
      <c r="J58" t="inlineStr"/>
      <c r="K58" t="inlineStr">
        <is>
          <t>20220516</t>
        </is>
      </c>
      <c r="L58" t="inlineStr">
        <is>
          <t>20241113</t>
        </is>
      </c>
    </row>
    <row r="59">
      <c r="A59" t="inlineStr">
        <is>
          <t>900004907</t>
        </is>
      </c>
      <c r="B59" t="inlineStr">
        <is>
          <t>DW67</t>
        </is>
      </c>
      <c r="C59" t="inlineStr">
        <is>
          <t>D302</t>
        </is>
      </c>
      <c r="D59" t="inlineStr">
        <is>
          <t>10000541</t>
        </is>
      </c>
      <c r="E59" t="inlineStr"/>
      <c r="F59" s="12" t="n">
        <v>86.8</v>
      </c>
      <c r="G59" t="inlineStr"/>
      <c r="I59" t="inlineStr">
        <is>
          <t>TN</t>
        </is>
      </c>
      <c r="J59" t="inlineStr"/>
      <c r="K59" t="inlineStr">
        <is>
          <t>20220516</t>
        </is>
      </c>
      <c r="L59" t="inlineStr">
        <is>
          <t>20241113</t>
        </is>
      </c>
    </row>
    <row r="60">
      <c r="A60" t="inlineStr">
        <is>
          <t>900004907</t>
        </is>
      </c>
      <c r="B60" t="inlineStr">
        <is>
          <t>DW67</t>
        </is>
      </c>
      <c r="C60" t="inlineStr">
        <is>
          <t>D310</t>
        </is>
      </c>
      <c r="D60" t="inlineStr">
        <is>
          <t>10000213</t>
        </is>
      </c>
      <c r="E60" t="inlineStr"/>
      <c r="F60" s="12" t="n">
        <v>76.23</v>
      </c>
      <c r="G60" t="inlineStr"/>
      <c r="I60" t="inlineStr">
        <is>
          <t>TN</t>
        </is>
      </c>
      <c r="J60" t="inlineStr"/>
      <c r="K60" t="inlineStr">
        <is>
          <t>20220516</t>
        </is>
      </c>
      <c r="L60" t="inlineStr">
        <is>
          <t>20241113</t>
        </is>
      </c>
    </row>
    <row r="61">
      <c r="A61" t="inlineStr">
        <is>
          <t>900004907</t>
        </is>
      </c>
      <c r="B61" t="inlineStr">
        <is>
          <t>DW67</t>
        </is>
      </c>
      <c r="C61" t="inlineStr">
        <is>
          <t>D310</t>
        </is>
      </c>
      <c r="D61" t="inlineStr">
        <is>
          <t>10000370</t>
        </is>
      </c>
      <c r="E61" t="inlineStr"/>
      <c r="F61" s="12" t="n">
        <v>92.51000000000001</v>
      </c>
      <c r="G61" t="inlineStr"/>
      <c r="I61" t="inlineStr">
        <is>
          <t>TN</t>
        </is>
      </c>
      <c r="J61" t="inlineStr"/>
      <c r="K61" t="inlineStr">
        <is>
          <t>20220516</t>
        </is>
      </c>
      <c r="L61" t="inlineStr">
        <is>
          <t>20241113</t>
        </is>
      </c>
    </row>
    <row r="62">
      <c r="A62" t="inlineStr">
        <is>
          <t>900004907</t>
        </is>
      </c>
      <c r="B62" t="inlineStr">
        <is>
          <t>DW67</t>
        </is>
      </c>
      <c r="C62" t="inlineStr">
        <is>
          <t>D310</t>
        </is>
      </c>
      <c r="D62" t="inlineStr">
        <is>
          <t>10000541</t>
        </is>
      </c>
      <c r="E62" t="inlineStr"/>
      <c r="F62" s="12" t="n">
        <v>86.8</v>
      </c>
      <c r="G62" t="inlineStr"/>
      <c r="I62" t="inlineStr">
        <is>
          <t>TN</t>
        </is>
      </c>
      <c r="J62" t="inlineStr"/>
      <c r="K62" t="inlineStr">
        <is>
          <t>20220516</t>
        </is>
      </c>
      <c r="L62" t="inlineStr">
        <is>
          <t>20241113</t>
        </is>
      </c>
    </row>
    <row r="63">
      <c r="A63" t="inlineStr">
        <is>
          <t>900004907</t>
        </is>
      </c>
      <c r="B63" t="inlineStr">
        <is>
          <t>DW67</t>
        </is>
      </c>
      <c r="C63" t="inlineStr">
        <is>
          <t>D316</t>
        </is>
      </c>
      <c r="D63" t="inlineStr">
        <is>
          <t>10000213</t>
        </is>
      </c>
      <c r="E63" t="inlineStr"/>
      <c r="F63" s="12" t="n">
        <v>83.31999999999999</v>
      </c>
      <c r="G63" t="inlineStr"/>
      <c r="I63" t="inlineStr">
        <is>
          <t>TN</t>
        </is>
      </c>
      <c r="J63" t="inlineStr"/>
      <c r="K63" t="inlineStr">
        <is>
          <t>20220516</t>
        </is>
      </c>
      <c r="L63" t="inlineStr">
        <is>
          <t>20241113</t>
        </is>
      </c>
    </row>
    <row r="64">
      <c r="A64" t="inlineStr">
        <is>
          <t>900004907</t>
        </is>
      </c>
      <c r="B64" t="inlineStr">
        <is>
          <t>DW67</t>
        </is>
      </c>
      <c r="C64" t="inlineStr">
        <is>
          <t>D316</t>
        </is>
      </c>
      <c r="D64" t="inlineStr">
        <is>
          <t>10000370</t>
        </is>
      </c>
      <c r="E64" t="inlineStr"/>
      <c r="F64" s="12" t="n">
        <v>94.79000000000001</v>
      </c>
      <c r="G64" t="inlineStr"/>
      <c r="I64" t="inlineStr">
        <is>
          <t>TN</t>
        </is>
      </c>
      <c r="J64" t="inlineStr"/>
      <c r="K64" t="inlineStr">
        <is>
          <t>20220516</t>
        </is>
      </c>
      <c r="L64" t="inlineStr">
        <is>
          <t>20241113</t>
        </is>
      </c>
    </row>
    <row r="65">
      <c r="A65" t="inlineStr">
        <is>
          <t>900004907</t>
        </is>
      </c>
      <c r="B65" t="inlineStr">
        <is>
          <t>DW67</t>
        </is>
      </c>
      <c r="C65" t="inlineStr">
        <is>
          <t>D316</t>
        </is>
      </c>
      <c r="D65" t="inlineStr">
        <is>
          <t>10000541</t>
        </is>
      </c>
      <c r="E65" t="inlineStr"/>
      <c r="F65" s="12" t="n">
        <v>91.88</v>
      </c>
      <c r="G65" t="inlineStr"/>
      <c r="I65" t="inlineStr">
        <is>
          <t>TN</t>
        </is>
      </c>
      <c r="J65" t="inlineStr"/>
      <c r="K65" t="inlineStr">
        <is>
          <t>20220516</t>
        </is>
      </c>
      <c r="L65" t="inlineStr">
        <is>
          <t>20241113</t>
        </is>
      </c>
    </row>
    <row r="66">
      <c r="A66" t="inlineStr">
        <is>
          <t>900004920</t>
        </is>
      </c>
      <c r="B66" t="inlineStr">
        <is>
          <t>DW67</t>
        </is>
      </c>
      <c r="C66" t="inlineStr">
        <is>
          <t>D292</t>
        </is>
      </c>
      <c r="D66" t="inlineStr">
        <is>
          <t>10000139</t>
        </is>
      </c>
      <c r="E66" t="inlineStr"/>
      <c r="F66" s="12" t="n">
        <v>114.42</v>
      </c>
      <c r="G66" t="inlineStr"/>
      <c r="I66" t="inlineStr">
        <is>
          <t>TN</t>
        </is>
      </c>
      <c r="J66" t="inlineStr"/>
      <c r="K66" t="inlineStr">
        <is>
          <t>20220516</t>
        </is>
      </c>
      <c r="L66" t="inlineStr">
        <is>
          <t>20240320</t>
        </is>
      </c>
    </row>
    <row r="67">
      <c r="A67" t="inlineStr">
        <is>
          <t>900005018</t>
        </is>
      </c>
      <c r="B67" t="inlineStr">
        <is>
          <t>DW67</t>
        </is>
      </c>
      <c r="C67" t="inlineStr">
        <is>
          <t>D302</t>
        </is>
      </c>
      <c r="D67" t="inlineStr">
        <is>
          <t>10000139</t>
        </is>
      </c>
      <c r="E67" t="inlineStr"/>
      <c r="F67" s="12" t="n">
        <v>75.06</v>
      </c>
      <c r="G67" t="inlineStr"/>
      <c r="I67" t="inlineStr">
        <is>
          <t>TN</t>
        </is>
      </c>
      <c r="J67" t="inlineStr"/>
      <c r="K67" t="inlineStr">
        <is>
          <t>20220516</t>
        </is>
      </c>
      <c r="L67" t="inlineStr">
        <is>
          <t>20241113</t>
        </is>
      </c>
    </row>
    <row r="68">
      <c r="A68" t="inlineStr">
        <is>
          <t>900005018</t>
        </is>
      </c>
      <c r="B68" t="inlineStr">
        <is>
          <t>DW67</t>
        </is>
      </c>
      <c r="C68" t="inlineStr">
        <is>
          <t>D310</t>
        </is>
      </c>
      <c r="D68" t="inlineStr">
        <is>
          <t>10000139</t>
        </is>
      </c>
      <c r="E68" t="inlineStr"/>
      <c r="F68" s="12" t="n">
        <v>75.06</v>
      </c>
      <c r="G68" t="inlineStr"/>
      <c r="I68" t="inlineStr">
        <is>
          <t>TN</t>
        </is>
      </c>
      <c r="J68" t="inlineStr"/>
      <c r="K68" t="inlineStr">
        <is>
          <t>20220516</t>
        </is>
      </c>
      <c r="L68" t="inlineStr">
        <is>
          <t>20241113</t>
        </is>
      </c>
    </row>
    <row r="69">
      <c r="A69" t="inlineStr">
        <is>
          <t>900005018</t>
        </is>
      </c>
      <c r="B69" t="inlineStr">
        <is>
          <t>DW67</t>
        </is>
      </c>
      <c r="C69" t="inlineStr">
        <is>
          <t>D316</t>
        </is>
      </c>
      <c r="D69" t="inlineStr">
        <is>
          <t>10000139</t>
        </is>
      </c>
      <c r="E69" t="inlineStr"/>
      <c r="F69" s="12" t="n">
        <v>75.06</v>
      </c>
      <c r="G69" t="inlineStr"/>
      <c r="I69" t="inlineStr">
        <is>
          <t>TN</t>
        </is>
      </c>
      <c r="J69" t="inlineStr"/>
      <c r="K69" t="inlineStr">
        <is>
          <t>20220516</t>
        </is>
      </c>
      <c r="L69" t="inlineStr">
        <is>
          <t>20241113</t>
        </is>
      </c>
    </row>
    <row r="70">
      <c r="A70" t="inlineStr">
        <is>
          <t>900005534</t>
        </is>
      </c>
      <c r="B70" t="inlineStr">
        <is>
          <t>DW67</t>
        </is>
      </c>
      <c r="C70" t="inlineStr">
        <is>
          <t>D302</t>
        </is>
      </c>
      <c r="D70" t="inlineStr">
        <is>
          <t>10000139</t>
        </is>
      </c>
      <c r="E70" t="inlineStr"/>
      <c r="F70" s="12" t="n">
        <v>72.45999999999999</v>
      </c>
      <c r="G70" t="inlineStr"/>
      <c r="I70" t="inlineStr">
        <is>
          <t>TN</t>
        </is>
      </c>
      <c r="J70" t="inlineStr"/>
      <c r="K70" t="inlineStr">
        <is>
          <t>20240101</t>
        </is>
      </c>
      <c r="L70" t="inlineStr">
        <is>
          <t>99991231</t>
        </is>
      </c>
    </row>
    <row r="71">
      <c r="A71" t="inlineStr">
        <is>
          <t>900005534</t>
        </is>
      </c>
      <c r="B71" t="inlineStr">
        <is>
          <t>DW67</t>
        </is>
      </c>
      <c r="C71" t="inlineStr">
        <is>
          <t>D302</t>
        </is>
      </c>
      <c r="D71" t="inlineStr">
        <is>
          <t>10000444</t>
        </is>
      </c>
      <c r="E71" t="inlineStr"/>
      <c r="F71" s="12" t="n">
        <v>61.1</v>
      </c>
      <c r="G71" t="inlineStr"/>
      <c r="I71" t="inlineStr">
        <is>
          <t>TN</t>
        </is>
      </c>
      <c r="J71" t="inlineStr"/>
      <c r="K71" t="inlineStr">
        <is>
          <t>20240101</t>
        </is>
      </c>
      <c r="L71" t="inlineStr">
        <is>
          <t>99991231</t>
        </is>
      </c>
    </row>
    <row r="72">
      <c r="A72" t="inlineStr">
        <is>
          <t>900005773</t>
        </is>
      </c>
      <c r="B72" t="inlineStr">
        <is>
          <t>DW67</t>
        </is>
      </c>
      <c r="C72" t="inlineStr">
        <is>
          <t>D302</t>
        </is>
      </c>
      <c r="D72" t="inlineStr">
        <is>
          <t>10000370</t>
        </is>
      </c>
      <c r="E72" t="inlineStr"/>
      <c r="F72" s="12" t="n">
        <v>83.61</v>
      </c>
      <c r="G72" t="inlineStr"/>
      <c r="I72" t="inlineStr">
        <is>
          <t>TN</t>
        </is>
      </c>
      <c r="J72" t="inlineStr"/>
      <c r="K72" t="inlineStr">
        <is>
          <t>20220504</t>
        </is>
      </c>
      <c r="L72" t="inlineStr">
        <is>
          <t>20230127</t>
        </is>
      </c>
    </row>
    <row r="73">
      <c r="A73" t="inlineStr">
        <is>
          <t>900005831</t>
        </is>
      </c>
      <c r="B73" t="inlineStr">
        <is>
          <t>DW67</t>
        </is>
      </c>
      <c r="C73" t="inlineStr">
        <is>
          <t>D302</t>
        </is>
      </c>
      <c r="D73" t="inlineStr">
        <is>
          <t>10000826</t>
        </is>
      </c>
      <c r="E73" t="inlineStr"/>
      <c r="F73" s="12" t="n">
        <v>82.76000000000001</v>
      </c>
      <c r="G73" t="inlineStr"/>
      <c r="I73" t="inlineStr">
        <is>
          <t>TN</t>
        </is>
      </c>
      <c r="J73" t="inlineStr"/>
      <c r="K73" t="inlineStr">
        <is>
          <t>20220516</t>
        </is>
      </c>
      <c r="L73" t="inlineStr">
        <is>
          <t>20240320</t>
        </is>
      </c>
    </row>
    <row r="74">
      <c r="A74" t="inlineStr">
        <is>
          <t>900005921</t>
        </is>
      </c>
      <c r="B74" t="inlineStr">
        <is>
          <t>DW67</t>
        </is>
      </c>
      <c r="C74" t="inlineStr">
        <is>
          <t>D180</t>
        </is>
      </c>
      <c r="D74" t="inlineStr">
        <is>
          <t>10183690</t>
        </is>
      </c>
      <c r="E74" t="inlineStr"/>
      <c r="F74" s="12" t="n">
        <v>37.69</v>
      </c>
      <c r="G74" t="inlineStr"/>
      <c r="I74" t="inlineStr">
        <is>
          <t>TN</t>
        </is>
      </c>
      <c r="J74" t="inlineStr"/>
      <c r="K74" t="inlineStr">
        <is>
          <t>20220516</t>
        </is>
      </c>
      <c r="L74" t="inlineStr">
        <is>
          <t>20230511</t>
        </is>
      </c>
    </row>
    <row r="75">
      <c r="A75" t="inlineStr">
        <is>
          <t>900005921</t>
        </is>
      </c>
      <c r="B75" t="inlineStr">
        <is>
          <t>DW67</t>
        </is>
      </c>
      <c r="C75" t="inlineStr">
        <is>
          <t>D302</t>
        </is>
      </c>
      <c r="D75" t="inlineStr">
        <is>
          <t>10000139</t>
        </is>
      </c>
      <c r="E75" t="inlineStr"/>
      <c r="F75" s="12" t="n">
        <v>49.58</v>
      </c>
      <c r="G75" t="inlineStr"/>
      <c r="I75" t="inlineStr">
        <is>
          <t>TN</t>
        </is>
      </c>
      <c r="J75" t="inlineStr"/>
      <c r="K75" t="inlineStr">
        <is>
          <t>20220516</t>
        </is>
      </c>
      <c r="L75" t="inlineStr">
        <is>
          <t>20250812</t>
        </is>
      </c>
    </row>
    <row r="76">
      <c r="A76" t="inlineStr">
        <is>
          <t>900005921</t>
        </is>
      </c>
      <c r="B76" t="inlineStr">
        <is>
          <t>DW67</t>
        </is>
      </c>
      <c r="C76" t="inlineStr">
        <is>
          <t>D302</t>
        </is>
      </c>
      <c r="D76" t="inlineStr">
        <is>
          <t>10001652</t>
        </is>
      </c>
      <c r="E76" t="inlineStr"/>
      <c r="F76" s="12" t="n">
        <v>56.73</v>
      </c>
      <c r="G76" t="inlineStr"/>
      <c r="I76" t="inlineStr">
        <is>
          <t>TN</t>
        </is>
      </c>
      <c r="J76" t="inlineStr"/>
      <c r="K76" t="inlineStr">
        <is>
          <t>20220516</t>
        </is>
      </c>
      <c r="L76" t="inlineStr">
        <is>
          <t>20250812</t>
        </is>
      </c>
    </row>
    <row r="77">
      <c r="A77" t="inlineStr">
        <is>
          <t>900005921</t>
        </is>
      </c>
      <c r="B77" t="inlineStr">
        <is>
          <t>DW67</t>
        </is>
      </c>
      <c r="C77" t="inlineStr">
        <is>
          <t>D302</t>
        </is>
      </c>
      <c r="D77" t="inlineStr">
        <is>
          <t>10183690</t>
        </is>
      </c>
      <c r="E77" t="inlineStr"/>
      <c r="F77" s="12" t="n">
        <v>37.69</v>
      </c>
      <c r="G77" t="inlineStr"/>
      <c r="I77" t="inlineStr">
        <is>
          <t>TN</t>
        </is>
      </c>
      <c r="J77" t="inlineStr"/>
      <c r="K77" t="inlineStr">
        <is>
          <t>20220516</t>
        </is>
      </c>
      <c r="L77" t="inlineStr">
        <is>
          <t>20241113</t>
        </is>
      </c>
    </row>
    <row r="78">
      <c r="A78" t="inlineStr">
        <is>
          <t>900005923</t>
        </is>
      </c>
      <c r="B78" t="inlineStr">
        <is>
          <t>DW67</t>
        </is>
      </c>
      <c r="C78" t="inlineStr">
        <is>
          <t>D302</t>
        </is>
      </c>
      <c r="D78" t="inlineStr">
        <is>
          <t>10000139</t>
        </is>
      </c>
      <c r="E78" t="inlineStr"/>
      <c r="F78" s="12" t="n">
        <v>64.84</v>
      </c>
      <c r="G78" t="inlineStr"/>
      <c r="I78" t="inlineStr">
        <is>
          <t>TN</t>
        </is>
      </c>
      <c r="J78" t="inlineStr"/>
      <c r="K78" t="inlineStr">
        <is>
          <t>20230214</t>
        </is>
      </c>
      <c r="L78" t="inlineStr">
        <is>
          <t>20250812</t>
        </is>
      </c>
    </row>
    <row r="79">
      <c r="A79" t="inlineStr">
        <is>
          <t>900006027</t>
        </is>
      </c>
      <c r="B79" t="inlineStr">
        <is>
          <t>DW67</t>
        </is>
      </c>
      <c r="C79" t="inlineStr">
        <is>
          <t>D302</t>
        </is>
      </c>
      <c r="D79" t="inlineStr">
        <is>
          <t>10000178</t>
        </is>
      </c>
      <c r="E79" t="inlineStr"/>
      <c r="F79" s="12" t="n">
        <v>119.44</v>
      </c>
      <c r="G79" t="inlineStr"/>
      <c r="I79" t="inlineStr">
        <is>
          <t>TN</t>
        </is>
      </c>
      <c r="J79" t="inlineStr"/>
      <c r="K79" t="inlineStr">
        <is>
          <t>20250428</t>
        </is>
      </c>
      <c r="L79" t="inlineStr">
        <is>
          <t>20251031</t>
        </is>
      </c>
    </row>
    <row r="80">
      <c r="A80" t="inlineStr">
        <is>
          <t>900006027</t>
        </is>
      </c>
      <c r="B80" t="inlineStr">
        <is>
          <t>DW67</t>
        </is>
      </c>
      <c r="C80" t="inlineStr">
        <is>
          <t>D302</t>
        </is>
      </c>
      <c r="D80" t="inlineStr">
        <is>
          <t>10000826</t>
        </is>
      </c>
      <c r="E80" t="inlineStr"/>
      <c r="F80" s="12" t="n">
        <v>148.28</v>
      </c>
      <c r="G80" t="inlineStr"/>
      <c r="I80" t="inlineStr">
        <is>
          <t>TN</t>
        </is>
      </c>
      <c r="J80" t="inlineStr"/>
      <c r="K80" t="inlineStr">
        <is>
          <t>20260501</t>
        </is>
      </c>
      <c r="L80" t="inlineStr">
        <is>
          <t>99991231</t>
        </is>
      </c>
    </row>
    <row r="81">
      <c r="A81" t="inlineStr">
        <is>
          <t>900006127</t>
        </is>
      </c>
      <c r="B81" t="inlineStr">
        <is>
          <t>DW67</t>
        </is>
      </c>
      <c r="C81" t="inlineStr">
        <is>
          <t>D302</t>
        </is>
      </c>
      <c r="D81" t="inlineStr">
        <is>
          <t>10000826</t>
        </is>
      </c>
      <c r="E81" t="inlineStr"/>
      <c r="F81" s="12" t="n">
        <v>65.52</v>
      </c>
      <c r="G81" t="inlineStr"/>
      <c r="I81" t="inlineStr">
        <is>
          <t>TN</t>
        </is>
      </c>
      <c r="J81" t="inlineStr"/>
      <c r="K81" t="inlineStr">
        <is>
          <t>20220516</t>
        </is>
      </c>
      <c r="L81" t="inlineStr">
        <is>
          <t>20241113</t>
        </is>
      </c>
    </row>
    <row r="82">
      <c r="A82" t="inlineStr">
        <is>
          <t>900006300</t>
        </is>
      </c>
      <c r="B82" t="inlineStr">
        <is>
          <t>DW67</t>
        </is>
      </c>
      <c r="C82" t="inlineStr">
        <is>
          <t>D180</t>
        </is>
      </c>
      <c r="D82" t="inlineStr">
        <is>
          <t>10000178</t>
        </is>
      </c>
      <c r="E82" t="inlineStr"/>
      <c r="F82" s="12" t="n">
        <v>92.90000000000001</v>
      </c>
      <c r="G82" t="inlineStr"/>
      <c r="I82" t="inlineStr">
        <is>
          <t>TN</t>
        </is>
      </c>
      <c r="J82" t="inlineStr"/>
      <c r="K82" t="inlineStr">
        <is>
          <t>20220516</t>
        </is>
      </c>
      <c r="L82" t="inlineStr">
        <is>
          <t>20230511</t>
        </is>
      </c>
    </row>
    <row r="83">
      <c r="A83" t="inlineStr">
        <is>
          <t>900006300</t>
        </is>
      </c>
      <c r="B83" t="inlineStr">
        <is>
          <t>DW67</t>
        </is>
      </c>
      <c r="C83" t="inlineStr">
        <is>
          <t>D180</t>
        </is>
      </c>
      <c r="D83" t="inlineStr">
        <is>
          <t>10000826</t>
        </is>
      </c>
      <c r="E83" t="inlineStr"/>
      <c r="F83" s="12" t="n">
        <v>72.41</v>
      </c>
      <c r="G83" t="inlineStr"/>
      <c r="I83" t="inlineStr">
        <is>
          <t>TN</t>
        </is>
      </c>
      <c r="J83" t="inlineStr"/>
      <c r="K83" t="inlineStr">
        <is>
          <t>20220516</t>
        </is>
      </c>
      <c r="L83" t="inlineStr">
        <is>
          <t>20230511</t>
        </is>
      </c>
    </row>
    <row r="84">
      <c r="A84" t="inlineStr">
        <is>
          <t>900006300</t>
        </is>
      </c>
      <c r="B84" t="inlineStr">
        <is>
          <t>DW67</t>
        </is>
      </c>
      <c r="C84" t="inlineStr">
        <is>
          <t>D302</t>
        </is>
      </c>
      <c r="D84" t="inlineStr">
        <is>
          <t>10000139</t>
        </is>
      </c>
      <c r="E84" t="inlineStr"/>
      <c r="F84" s="12" t="n">
        <v>68.65000000000001</v>
      </c>
      <c r="G84" t="inlineStr"/>
      <c r="I84" t="inlineStr">
        <is>
          <t>TN</t>
        </is>
      </c>
      <c r="J84" t="inlineStr"/>
      <c r="K84" t="inlineStr">
        <is>
          <t>20220516</t>
        </is>
      </c>
      <c r="L84" t="inlineStr">
        <is>
          <t>20240320</t>
        </is>
      </c>
    </row>
    <row r="85">
      <c r="A85" t="inlineStr">
        <is>
          <t>900006300</t>
        </is>
      </c>
      <c r="B85" t="inlineStr">
        <is>
          <t>DW67</t>
        </is>
      </c>
      <c r="C85" t="inlineStr">
        <is>
          <t>D302</t>
        </is>
      </c>
      <c r="D85" t="inlineStr">
        <is>
          <t>10000178</t>
        </is>
      </c>
      <c r="E85" t="inlineStr"/>
      <c r="F85" s="12" t="n">
        <v>140</v>
      </c>
      <c r="G85" t="inlineStr"/>
      <c r="I85" t="inlineStr">
        <is>
          <t>M3</t>
        </is>
      </c>
      <c r="J85" t="inlineStr"/>
      <c r="K85" t="inlineStr">
        <is>
          <t>20220516</t>
        </is>
      </c>
      <c r="L85" t="inlineStr">
        <is>
          <t>20240320</t>
        </is>
      </c>
    </row>
    <row r="86">
      <c r="A86" t="inlineStr">
        <is>
          <t>900006300</t>
        </is>
      </c>
      <c r="B86" t="inlineStr">
        <is>
          <t>DW67</t>
        </is>
      </c>
      <c r="C86" t="inlineStr">
        <is>
          <t>D302</t>
        </is>
      </c>
      <c r="D86" t="inlineStr">
        <is>
          <t>10000826</t>
        </is>
      </c>
      <c r="E86" t="inlineStr"/>
      <c r="F86" s="12" t="n">
        <v>72.41</v>
      </c>
      <c r="G86" t="inlineStr"/>
      <c r="I86" t="inlineStr">
        <is>
          <t>TN</t>
        </is>
      </c>
      <c r="J86" t="inlineStr"/>
      <c r="K86" t="inlineStr">
        <is>
          <t>20220516</t>
        </is>
      </c>
      <c r="L86" t="inlineStr">
        <is>
          <t>20240320</t>
        </is>
      </c>
    </row>
    <row r="87">
      <c r="A87" t="inlineStr">
        <is>
          <t>900006304</t>
        </is>
      </c>
      <c r="B87" t="inlineStr">
        <is>
          <t>DW67</t>
        </is>
      </c>
      <c r="C87" t="inlineStr">
        <is>
          <t>D302</t>
        </is>
      </c>
      <c r="D87" t="inlineStr">
        <is>
          <t>10000826</t>
        </is>
      </c>
      <c r="E87" t="inlineStr"/>
      <c r="F87" s="12" t="n">
        <v>35.86</v>
      </c>
      <c r="G87" t="inlineStr"/>
      <c r="I87" t="inlineStr">
        <is>
          <t>TN</t>
        </is>
      </c>
      <c r="J87" t="inlineStr"/>
      <c r="K87" t="inlineStr">
        <is>
          <t>20220516</t>
        </is>
      </c>
      <c r="L87" t="inlineStr">
        <is>
          <t>20240320</t>
        </is>
      </c>
    </row>
    <row r="88">
      <c r="A88" t="inlineStr">
        <is>
          <t>900006379</t>
        </is>
      </c>
      <c r="B88" t="inlineStr">
        <is>
          <t>DW67</t>
        </is>
      </c>
      <c r="C88" t="inlineStr">
        <is>
          <t>D302</t>
        </is>
      </c>
      <c r="D88" t="inlineStr">
        <is>
          <t>10000396</t>
        </is>
      </c>
      <c r="E88" t="inlineStr"/>
      <c r="F88" s="12" t="n">
        <v>116.68</v>
      </c>
      <c r="G88" t="inlineStr"/>
      <c r="I88" t="inlineStr">
        <is>
          <t>TN</t>
        </is>
      </c>
      <c r="J88" t="inlineStr"/>
      <c r="K88" t="inlineStr">
        <is>
          <t>20220516</t>
        </is>
      </c>
      <c r="L88" t="inlineStr">
        <is>
          <t>20240320</t>
        </is>
      </c>
    </row>
    <row r="89">
      <c r="A89" t="inlineStr">
        <is>
          <t>900006419</t>
        </is>
      </c>
      <c r="B89" t="inlineStr">
        <is>
          <t>DW67</t>
        </is>
      </c>
      <c r="C89" t="inlineStr">
        <is>
          <t>D302</t>
        </is>
      </c>
      <c r="D89" t="inlineStr">
        <is>
          <t>10000372</t>
        </is>
      </c>
      <c r="E89" t="inlineStr"/>
      <c r="F89" s="12" t="n">
        <v>175.41</v>
      </c>
      <c r="G89" t="inlineStr"/>
      <c r="I89" t="inlineStr">
        <is>
          <t>TN</t>
        </is>
      </c>
      <c r="J89" t="inlineStr"/>
      <c r="K89" t="inlineStr">
        <is>
          <t>20220516</t>
        </is>
      </c>
      <c r="L89" t="inlineStr">
        <is>
          <t>20230615</t>
        </is>
      </c>
    </row>
    <row r="90">
      <c r="A90" t="inlineStr">
        <is>
          <t>900006420</t>
        </is>
      </c>
      <c r="B90" t="inlineStr">
        <is>
          <t>DW67</t>
        </is>
      </c>
      <c r="C90" t="inlineStr">
        <is>
          <t>D302</t>
        </is>
      </c>
      <c r="D90" t="inlineStr">
        <is>
          <t>10000372</t>
        </is>
      </c>
      <c r="E90" t="inlineStr"/>
      <c r="F90" s="12" t="n">
        <v>241.71</v>
      </c>
      <c r="G90" t="inlineStr"/>
      <c r="I90" t="inlineStr">
        <is>
          <t>TN</t>
        </is>
      </c>
      <c r="J90" t="inlineStr"/>
      <c r="K90" t="inlineStr">
        <is>
          <t>20240216</t>
        </is>
      </c>
      <c r="L90" t="inlineStr">
        <is>
          <t>20250812</t>
        </is>
      </c>
    </row>
    <row r="91">
      <c r="A91" t="inlineStr">
        <is>
          <t>900006457</t>
        </is>
      </c>
      <c r="B91" t="inlineStr">
        <is>
          <t>DW67</t>
        </is>
      </c>
      <c r="C91" t="inlineStr">
        <is>
          <t>D292</t>
        </is>
      </c>
      <c r="D91" t="inlineStr">
        <is>
          <t>10000139</t>
        </is>
      </c>
      <c r="E91" t="inlineStr"/>
      <c r="F91" s="12" t="n">
        <v>129.67</v>
      </c>
      <c r="G91" t="inlineStr"/>
      <c r="I91" t="inlineStr">
        <is>
          <t>TN</t>
        </is>
      </c>
      <c r="J91" t="inlineStr"/>
      <c r="K91" t="inlineStr">
        <is>
          <t>20220516</t>
        </is>
      </c>
      <c r="L91" t="inlineStr">
        <is>
          <t>20240320</t>
        </is>
      </c>
    </row>
    <row r="92">
      <c r="A92" t="inlineStr">
        <is>
          <t>900006465</t>
        </is>
      </c>
      <c r="B92" t="inlineStr">
        <is>
          <t>DW67</t>
        </is>
      </c>
      <c r="C92" t="inlineStr">
        <is>
          <t>D302</t>
        </is>
      </c>
      <c r="D92" t="inlineStr">
        <is>
          <t>10000541</t>
        </is>
      </c>
      <c r="E92" t="inlineStr"/>
      <c r="F92" s="12" t="n">
        <v>65.45</v>
      </c>
      <c r="G92" t="inlineStr"/>
      <c r="I92" t="inlineStr">
        <is>
          <t>TN</t>
        </is>
      </c>
      <c r="J92" t="inlineStr"/>
      <c r="K92" t="inlineStr">
        <is>
          <t>20220516</t>
        </is>
      </c>
      <c r="L92" t="inlineStr">
        <is>
          <t>20241113</t>
        </is>
      </c>
    </row>
    <row r="93">
      <c r="A93" t="inlineStr">
        <is>
          <t>900006488</t>
        </is>
      </c>
      <c r="B93" t="inlineStr">
        <is>
          <t>DW67</t>
        </is>
      </c>
      <c r="C93" t="inlineStr">
        <is>
          <t>D302</t>
        </is>
      </c>
      <c r="D93" t="inlineStr">
        <is>
          <t>10000178</t>
        </is>
      </c>
      <c r="E93" t="inlineStr"/>
      <c r="F93" s="12" t="n">
        <v>98.20999999999999</v>
      </c>
      <c r="G93" t="inlineStr"/>
      <c r="I93" t="inlineStr">
        <is>
          <t>TN</t>
        </is>
      </c>
      <c r="J93" t="inlineStr"/>
      <c r="K93" t="inlineStr">
        <is>
          <t>20220516</t>
        </is>
      </c>
      <c r="L93" t="inlineStr">
        <is>
          <t>20230615</t>
        </is>
      </c>
    </row>
    <row r="94">
      <c r="A94" t="inlineStr">
        <is>
          <t>900006488</t>
        </is>
      </c>
      <c r="B94" t="inlineStr">
        <is>
          <t>DW67</t>
        </is>
      </c>
      <c r="C94" t="inlineStr">
        <is>
          <t>D302</t>
        </is>
      </c>
      <c r="D94" t="inlineStr">
        <is>
          <t>10000826</t>
        </is>
      </c>
      <c r="E94" t="inlineStr"/>
      <c r="F94" s="12" t="n">
        <v>96.55</v>
      </c>
      <c r="G94" t="inlineStr"/>
      <c r="I94" t="inlineStr">
        <is>
          <t>TN</t>
        </is>
      </c>
      <c r="J94" t="inlineStr"/>
      <c r="K94" t="inlineStr">
        <is>
          <t>20220516</t>
        </is>
      </c>
      <c r="L94" t="inlineStr">
        <is>
          <t>20230615</t>
        </is>
      </c>
    </row>
    <row r="95">
      <c r="A95" t="inlineStr">
        <is>
          <t>900006500</t>
        </is>
      </c>
      <c r="B95" t="inlineStr">
        <is>
          <t>DW67</t>
        </is>
      </c>
      <c r="C95" t="inlineStr">
        <is>
          <t>D302</t>
        </is>
      </c>
      <c r="D95" t="inlineStr">
        <is>
          <t>10000178</t>
        </is>
      </c>
      <c r="E95" t="inlineStr"/>
      <c r="F95" s="12" t="n">
        <v>223.62</v>
      </c>
      <c r="G95" t="inlineStr"/>
      <c r="I95" t="inlineStr">
        <is>
          <t>TN</t>
        </is>
      </c>
      <c r="J95" t="inlineStr"/>
      <c r="K95" t="inlineStr">
        <is>
          <t>20240902</t>
        </is>
      </c>
      <c r="L95" t="inlineStr">
        <is>
          <t>99991231</t>
        </is>
      </c>
    </row>
    <row r="96">
      <c r="A96" t="inlineStr">
        <is>
          <t>900006500</t>
        </is>
      </c>
      <c r="B96" t="inlineStr">
        <is>
          <t>DW67</t>
        </is>
      </c>
      <c r="C96" t="inlineStr">
        <is>
          <t>D302</t>
        </is>
      </c>
      <c r="D96" t="inlineStr">
        <is>
          <t>10000826</t>
        </is>
      </c>
      <c r="E96" t="inlineStr"/>
      <c r="F96" s="12" t="n">
        <v>158.62</v>
      </c>
      <c r="G96" t="inlineStr"/>
      <c r="I96" t="inlineStr">
        <is>
          <t>TN</t>
        </is>
      </c>
      <c r="J96" t="inlineStr"/>
      <c r="K96" t="inlineStr">
        <is>
          <t>20260115</t>
        </is>
      </c>
      <c r="L96" t="inlineStr">
        <is>
          <t>99991231</t>
        </is>
      </c>
    </row>
    <row r="97">
      <c r="A97" t="inlineStr">
        <is>
          <t>900006567</t>
        </is>
      </c>
      <c r="B97" t="inlineStr">
        <is>
          <t>DW67</t>
        </is>
      </c>
      <c r="C97" t="inlineStr">
        <is>
          <t>D302</t>
        </is>
      </c>
      <c r="D97" t="inlineStr">
        <is>
          <t>10210039</t>
        </is>
      </c>
      <c r="E97" t="inlineStr"/>
      <c r="F97" s="12" t="n">
        <v>57.24</v>
      </c>
      <c r="G97" t="inlineStr"/>
      <c r="I97" t="inlineStr">
        <is>
          <t>TN</t>
        </is>
      </c>
      <c r="J97" t="inlineStr"/>
      <c r="K97" t="inlineStr">
        <is>
          <t>20220516</t>
        </is>
      </c>
      <c r="L97" t="inlineStr">
        <is>
          <t>20240320</t>
        </is>
      </c>
    </row>
    <row r="98">
      <c r="A98" t="inlineStr">
        <is>
          <t>900006571</t>
        </is>
      </c>
      <c r="B98" t="inlineStr">
        <is>
          <t>DW67</t>
        </is>
      </c>
      <c r="C98" t="inlineStr">
        <is>
          <t>D180</t>
        </is>
      </c>
      <c r="D98" t="inlineStr">
        <is>
          <t>10000178</t>
        </is>
      </c>
      <c r="E98" t="inlineStr"/>
      <c r="F98" s="12" t="n">
        <v>152.62</v>
      </c>
      <c r="G98" t="inlineStr"/>
      <c r="I98" t="inlineStr">
        <is>
          <t>TN</t>
        </is>
      </c>
      <c r="J98" t="inlineStr"/>
      <c r="K98" t="inlineStr">
        <is>
          <t>20220516</t>
        </is>
      </c>
      <c r="L98" t="inlineStr">
        <is>
          <t>20230306</t>
        </is>
      </c>
    </row>
    <row r="99">
      <c r="A99" t="inlineStr">
        <is>
          <t>900006571</t>
        </is>
      </c>
      <c r="B99" t="inlineStr">
        <is>
          <t>DW67</t>
        </is>
      </c>
      <c r="C99" t="inlineStr">
        <is>
          <t>D180</t>
        </is>
      </c>
      <c r="D99" t="inlineStr">
        <is>
          <t>10000826</t>
        </is>
      </c>
      <c r="E99" t="inlineStr"/>
      <c r="F99" s="12" t="n">
        <v>82.76000000000001</v>
      </c>
      <c r="G99" t="inlineStr"/>
      <c r="I99" t="inlineStr">
        <is>
          <t>TN</t>
        </is>
      </c>
      <c r="J99" t="inlineStr"/>
      <c r="K99" t="inlineStr">
        <is>
          <t>20220516</t>
        </is>
      </c>
      <c r="L99" t="inlineStr">
        <is>
          <t>20230306</t>
        </is>
      </c>
    </row>
    <row r="100">
      <c r="A100" t="inlineStr">
        <is>
          <t>900006571</t>
        </is>
      </c>
      <c r="B100" t="inlineStr">
        <is>
          <t>DW67</t>
        </is>
      </c>
      <c r="C100" t="inlineStr">
        <is>
          <t>D302</t>
        </is>
      </c>
      <c r="D100" t="inlineStr">
        <is>
          <t>10000178</t>
        </is>
      </c>
      <c r="E100" t="inlineStr"/>
      <c r="F100" s="12" t="n">
        <v>152.62</v>
      </c>
      <c r="G100" t="inlineStr"/>
      <c r="I100" t="inlineStr">
        <is>
          <t>TN</t>
        </is>
      </c>
      <c r="J100" t="inlineStr"/>
      <c r="K100" t="inlineStr">
        <is>
          <t>20220516</t>
        </is>
      </c>
      <c r="L100" t="inlineStr">
        <is>
          <t>20230306</t>
        </is>
      </c>
    </row>
    <row r="101">
      <c r="A101" t="inlineStr">
        <is>
          <t>900006571</t>
        </is>
      </c>
      <c r="B101" t="inlineStr">
        <is>
          <t>DW67</t>
        </is>
      </c>
      <c r="C101" t="inlineStr">
        <is>
          <t>D302</t>
        </is>
      </c>
      <c r="D101" t="inlineStr">
        <is>
          <t>10000826</t>
        </is>
      </c>
      <c r="E101" t="inlineStr"/>
      <c r="F101" s="12" t="n">
        <v>68.97</v>
      </c>
      <c r="G101" t="inlineStr"/>
      <c r="I101" t="inlineStr">
        <is>
          <t>TN</t>
        </is>
      </c>
      <c r="J101" t="inlineStr"/>
      <c r="K101" t="inlineStr">
        <is>
          <t>20220516</t>
        </is>
      </c>
      <c r="L101" t="inlineStr">
        <is>
          <t>20230306</t>
        </is>
      </c>
    </row>
    <row r="102">
      <c r="A102" t="inlineStr">
        <is>
          <t>900006723</t>
        </is>
      </c>
      <c r="B102" t="inlineStr">
        <is>
          <t>DW67</t>
        </is>
      </c>
      <c r="C102" t="inlineStr">
        <is>
          <t>D302</t>
        </is>
      </c>
      <c r="D102" t="inlineStr">
        <is>
          <t>10047545</t>
        </is>
      </c>
      <c r="E102" t="inlineStr"/>
      <c r="F102" s="12" t="n">
        <v>239.73</v>
      </c>
      <c r="G102" t="inlineStr"/>
      <c r="I102" t="inlineStr">
        <is>
          <t>TN</t>
        </is>
      </c>
      <c r="J102" t="inlineStr"/>
      <c r="K102" t="inlineStr">
        <is>
          <t>20241129</t>
        </is>
      </c>
      <c r="L102" t="inlineStr">
        <is>
          <t>20250812</t>
        </is>
      </c>
    </row>
    <row r="103">
      <c r="A103" t="inlineStr">
        <is>
          <t>900006725</t>
        </is>
      </c>
      <c r="B103" t="inlineStr">
        <is>
          <t>DW67</t>
        </is>
      </c>
      <c r="C103" t="inlineStr">
        <is>
          <t>D302</t>
        </is>
      </c>
      <c r="D103" t="inlineStr">
        <is>
          <t>10000372</t>
        </is>
      </c>
      <c r="E103" t="inlineStr"/>
      <c r="F103" s="12" t="n">
        <v>296.96</v>
      </c>
      <c r="G103" t="inlineStr"/>
      <c r="I103" t="inlineStr">
        <is>
          <t>TN</t>
        </is>
      </c>
      <c r="J103" t="inlineStr"/>
      <c r="K103" t="inlineStr">
        <is>
          <t>20220516</t>
        </is>
      </c>
      <c r="L103" t="inlineStr">
        <is>
          <t>20241113</t>
        </is>
      </c>
    </row>
    <row r="104">
      <c r="A104" t="inlineStr">
        <is>
          <t>900006741</t>
        </is>
      </c>
      <c r="B104" t="inlineStr">
        <is>
          <t>DW67</t>
        </is>
      </c>
      <c r="C104" t="inlineStr">
        <is>
          <t>D302</t>
        </is>
      </c>
      <c r="D104" t="inlineStr">
        <is>
          <t>10000834</t>
        </is>
      </c>
      <c r="E104" t="inlineStr"/>
      <c r="F104" s="12" t="n">
        <v>40.06</v>
      </c>
      <c r="G104" t="inlineStr"/>
      <c r="I104" t="inlineStr">
        <is>
          <t>TN</t>
        </is>
      </c>
      <c r="J104" t="inlineStr"/>
      <c r="K104" t="inlineStr">
        <is>
          <t>20220516</t>
        </is>
      </c>
      <c r="L104" t="inlineStr">
        <is>
          <t>20230615</t>
        </is>
      </c>
    </row>
    <row r="105">
      <c r="A105" t="inlineStr">
        <is>
          <t>900006742</t>
        </is>
      </c>
      <c r="B105" t="inlineStr">
        <is>
          <t>DW67</t>
        </is>
      </c>
      <c r="C105" t="inlineStr">
        <is>
          <t>D302</t>
        </is>
      </c>
      <c r="D105" t="inlineStr">
        <is>
          <t>10000834</t>
        </is>
      </c>
      <c r="E105" t="inlineStr"/>
      <c r="F105" s="12" t="n">
        <v>39.28</v>
      </c>
      <c r="G105" t="inlineStr"/>
      <c r="I105" t="inlineStr">
        <is>
          <t>TN</t>
        </is>
      </c>
      <c r="J105" t="inlineStr"/>
      <c r="K105" t="inlineStr">
        <is>
          <t>20220516</t>
        </is>
      </c>
      <c r="L105" t="inlineStr">
        <is>
          <t>20230615</t>
        </is>
      </c>
    </row>
    <row r="106">
      <c r="A106" t="inlineStr">
        <is>
          <t>900007052</t>
        </is>
      </c>
      <c r="B106" t="inlineStr">
        <is>
          <t>DW67</t>
        </is>
      </c>
      <c r="C106" t="inlineStr">
        <is>
          <t>D302</t>
        </is>
      </c>
      <c r="D106" t="inlineStr">
        <is>
          <t>10000372</t>
        </is>
      </c>
      <c r="E106" t="inlineStr"/>
      <c r="F106" s="12" t="n">
        <v>241.71</v>
      </c>
      <c r="G106" t="inlineStr"/>
      <c r="I106" t="inlineStr">
        <is>
          <t>TN</t>
        </is>
      </c>
      <c r="J106" t="inlineStr"/>
      <c r="K106" t="inlineStr">
        <is>
          <t>20240207</t>
        </is>
      </c>
      <c r="L106" t="inlineStr">
        <is>
          <t>99991231</t>
        </is>
      </c>
    </row>
    <row r="107">
      <c r="A107" t="inlineStr">
        <is>
          <t>900007052</t>
        </is>
      </c>
      <c r="B107" t="inlineStr">
        <is>
          <t>DW67</t>
        </is>
      </c>
      <c r="C107" t="inlineStr">
        <is>
          <t>D302</t>
        </is>
      </c>
      <c r="D107" t="inlineStr">
        <is>
          <t>10000398</t>
        </is>
      </c>
      <c r="E107" t="inlineStr"/>
      <c r="F107" s="12" t="n">
        <v>64.84</v>
      </c>
      <c r="G107" t="inlineStr"/>
      <c r="I107" t="inlineStr">
        <is>
          <t>TN</t>
        </is>
      </c>
      <c r="J107" t="inlineStr"/>
      <c r="K107" t="inlineStr">
        <is>
          <t>20241030</t>
        </is>
      </c>
      <c r="L107" t="inlineStr">
        <is>
          <t>99991231</t>
        </is>
      </c>
    </row>
    <row r="108">
      <c r="A108" t="inlineStr">
        <is>
          <t>900007163</t>
        </is>
      </c>
      <c r="B108" t="inlineStr">
        <is>
          <t>DW67</t>
        </is>
      </c>
      <c r="C108" t="inlineStr">
        <is>
          <t>D302</t>
        </is>
      </c>
      <c r="D108" t="inlineStr">
        <is>
          <t>10000178</t>
        </is>
      </c>
      <c r="E108" t="inlineStr"/>
      <c r="F108" s="12" t="n">
        <v>230</v>
      </c>
      <c r="G108" t="inlineStr"/>
      <c r="I108" t="inlineStr">
        <is>
          <t>M3</t>
        </is>
      </c>
      <c r="J108" t="inlineStr"/>
      <c r="K108" t="inlineStr">
        <is>
          <t>20220516</t>
        </is>
      </c>
      <c r="L108" t="inlineStr">
        <is>
          <t>20240320</t>
        </is>
      </c>
    </row>
    <row r="109">
      <c r="A109" t="inlineStr">
        <is>
          <t>900007250</t>
        </is>
      </c>
      <c r="B109" t="inlineStr">
        <is>
          <t>DW67</t>
        </is>
      </c>
      <c r="C109" t="inlineStr">
        <is>
          <t>D302</t>
        </is>
      </c>
      <c r="D109" t="inlineStr">
        <is>
          <t>10000178</t>
        </is>
      </c>
      <c r="E109" t="inlineStr"/>
      <c r="F109" s="12" t="n">
        <v>119.44</v>
      </c>
      <c r="G109" t="inlineStr"/>
      <c r="I109" t="inlineStr">
        <is>
          <t>TN</t>
        </is>
      </c>
      <c r="J109" t="inlineStr"/>
      <c r="K109" t="inlineStr">
        <is>
          <t>20220921</t>
        </is>
      </c>
      <c r="L109" t="inlineStr">
        <is>
          <t>20230615</t>
        </is>
      </c>
    </row>
    <row r="110">
      <c r="A110" t="inlineStr">
        <is>
          <t>900007250</t>
        </is>
      </c>
      <c r="B110" t="inlineStr">
        <is>
          <t>DW67</t>
        </is>
      </c>
      <c r="C110" t="inlineStr">
        <is>
          <t>D302</t>
        </is>
      </c>
      <c r="D110" t="inlineStr">
        <is>
          <t>10000826</t>
        </is>
      </c>
      <c r="E110" t="inlineStr"/>
      <c r="F110" s="12" t="n">
        <v>89.66</v>
      </c>
      <c r="G110" t="inlineStr"/>
      <c r="I110" t="inlineStr">
        <is>
          <t>TN</t>
        </is>
      </c>
      <c r="J110" t="inlineStr"/>
      <c r="K110" t="inlineStr">
        <is>
          <t>20220922</t>
        </is>
      </c>
      <c r="L110" t="inlineStr">
        <is>
          <t>20230615</t>
        </is>
      </c>
    </row>
    <row r="111">
      <c r="A111" t="inlineStr">
        <is>
          <t>900007282</t>
        </is>
      </c>
      <c r="B111" t="inlineStr">
        <is>
          <t>DW67</t>
        </is>
      </c>
      <c r="C111" t="inlineStr">
        <is>
          <t>D292</t>
        </is>
      </c>
      <c r="D111" t="inlineStr">
        <is>
          <t>10000139</t>
        </is>
      </c>
      <c r="E111" t="inlineStr"/>
      <c r="F111" s="12" t="n">
        <v>110.6</v>
      </c>
      <c r="G111" t="inlineStr"/>
      <c r="I111" t="inlineStr">
        <is>
          <t>TN</t>
        </is>
      </c>
      <c r="J111" t="inlineStr"/>
      <c r="K111" t="inlineStr">
        <is>
          <t>20220516</t>
        </is>
      </c>
      <c r="L111" t="inlineStr">
        <is>
          <t>20240320</t>
        </is>
      </c>
    </row>
    <row r="112">
      <c r="A112" t="inlineStr">
        <is>
          <t>900007364</t>
        </is>
      </c>
      <c r="B112" t="inlineStr">
        <is>
          <t>DW67</t>
        </is>
      </c>
      <c r="C112" t="inlineStr">
        <is>
          <t>D302</t>
        </is>
      </c>
      <c r="D112" t="inlineStr">
        <is>
          <t>10000178</t>
        </is>
      </c>
      <c r="E112" t="inlineStr"/>
      <c r="F112" s="12" t="n">
        <v>119.44</v>
      </c>
      <c r="G112" t="inlineStr"/>
      <c r="I112" t="inlineStr">
        <is>
          <t>TN</t>
        </is>
      </c>
      <c r="J112" t="inlineStr"/>
      <c r="K112" t="inlineStr">
        <is>
          <t>20220811</t>
        </is>
      </c>
      <c r="L112" t="inlineStr">
        <is>
          <t>20230615</t>
        </is>
      </c>
    </row>
    <row r="113">
      <c r="A113" t="inlineStr">
        <is>
          <t>900007364</t>
        </is>
      </c>
      <c r="B113" t="inlineStr">
        <is>
          <t>DW67</t>
        </is>
      </c>
      <c r="C113" t="inlineStr">
        <is>
          <t>D302</t>
        </is>
      </c>
      <c r="D113" t="inlineStr">
        <is>
          <t>10000826</t>
        </is>
      </c>
      <c r="E113" t="inlineStr"/>
      <c r="F113" s="12" t="n">
        <v>75.86</v>
      </c>
      <c r="G113" t="inlineStr"/>
      <c r="I113" t="inlineStr">
        <is>
          <t>TN</t>
        </is>
      </c>
      <c r="J113" t="inlineStr"/>
      <c r="K113" t="inlineStr">
        <is>
          <t>20220811</t>
        </is>
      </c>
      <c r="L113" t="inlineStr">
        <is>
          <t>20230615</t>
        </is>
      </c>
    </row>
    <row r="114">
      <c r="A114" t="inlineStr">
        <is>
          <t>900007715</t>
        </is>
      </c>
      <c r="B114" t="inlineStr">
        <is>
          <t>DW67</t>
        </is>
      </c>
      <c r="C114" t="inlineStr">
        <is>
          <t>D302</t>
        </is>
      </c>
      <c r="D114" t="inlineStr">
        <is>
          <t>10210039</t>
        </is>
      </c>
      <c r="E114" t="inlineStr"/>
      <c r="F114" s="12" t="n">
        <v>57.24</v>
      </c>
      <c r="G114" t="inlineStr"/>
      <c r="I114" t="inlineStr">
        <is>
          <t>TN</t>
        </is>
      </c>
      <c r="J114" t="inlineStr"/>
      <c r="K114" t="inlineStr">
        <is>
          <t>20250502</t>
        </is>
      </c>
      <c r="L114" t="inlineStr">
        <is>
          <t>99991231</t>
        </is>
      </c>
    </row>
    <row r="115">
      <c r="A115" t="inlineStr">
        <is>
          <t>900007799</t>
        </is>
      </c>
      <c r="B115" t="inlineStr">
        <is>
          <t>DW67</t>
        </is>
      </c>
      <c r="C115" t="inlineStr">
        <is>
          <t>D302</t>
        </is>
      </c>
      <c r="D115" t="inlineStr">
        <is>
          <t>10000826</t>
        </is>
      </c>
      <c r="E115" t="inlineStr"/>
      <c r="F115" s="12" t="n">
        <v>124.14</v>
      </c>
      <c r="G115" t="inlineStr"/>
      <c r="I115" t="inlineStr">
        <is>
          <t>TN</t>
        </is>
      </c>
      <c r="J115" t="inlineStr"/>
      <c r="K115" t="inlineStr">
        <is>
          <t>20220516</t>
        </is>
      </c>
      <c r="L115" t="inlineStr">
        <is>
          <t>20241113</t>
        </is>
      </c>
    </row>
    <row r="116">
      <c r="A116" t="inlineStr">
        <is>
          <t>900007800</t>
        </is>
      </c>
      <c r="B116" t="inlineStr">
        <is>
          <t>DW67</t>
        </is>
      </c>
      <c r="C116" t="inlineStr">
        <is>
          <t>D284</t>
        </is>
      </c>
      <c r="D116" t="inlineStr">
        <is>
          <t>10000541</t>
        </is>
      </c>
      <c r="E116" t="inlineStr"/>
      <c r="F116" s="12" t="n">
        <v>196.34</v>
      </c>
      <c r="G116" t="inlineStr"/>
      <c r="I116" t="inlineStr">
        <is>
          <t>TN</t>
        </is>
      </c>
      <c r="J116" t="inlineStr"/>
      <c r="K116" t="inlineStr">
        <is>
          <t>20240627</t>
        </is>
      </c>
      <c r="L116" t="inlineStr">
        <is>
          <t>20240705</t>
        </is>
      </c>
    </row>
    <row r="117">
      <c r="A117" t="inlineStr">
        <is>
          <t>900007800</t>
        </is>
      </c>
      <c r="B117" t="inlineStr">
        <is>
          <t>DW67</t>
        </is>
      </c>
      <c r="C117" t="inlineStr">
        <is>
          <t>D302</t>
        </is>
      </c>
      <c r="D117" t="inlineStr">
        <is>
          <t>10000139</t>
        </is>
      </c>
      <c r="E117" t="inlineStr"/>
      <c r="F117" s="12" t="n">
        <v>83.91</v>
      </c>
      <c r="G117" t="inlineStr"/>
      <c r="I117" t="inlineStr">
        <is>
          <t>TN</t>
        </is>
      </c>
      <c r="J117" t="inlineStr"/>
      <c r="K117" t="inlineStr">
        <is>
          <t>20241007</t>
        </is>
      </c>
      <c r="L117" t="inlineStr">
        <is>
          <t>99991231</t>
        </is>
      </c>
    </row>
    <row r="118">
      <c r="A118" t="inlineStr">
        <is>
          <t>900007800</t>
        </is>
      </c>
      <c r="B118" t="inlineStr">
        <is>
          <t>DW67</t>
        </is>
      </c>
      <c r="C118" t="inlineStr">
        <is>
          <t>D302</t>
        </is>
      </c>
      <c r="D118" t="inlineStr">
        <is>
          <t>10000178</t>
        </is>
      </c>
      <c r="E118" t="inlineStr"/>
      <c r="F118" s="12" t="n">
        <v>139.35</v>
      </c>
      <c r="G118" t="inlineStr"/>
      <c r="I118" t="inlineStr">
        <is>
          <t>TN</t>
        </is>
      </c>
      <c r="J118" t="inlineStr"/>
      <c r="K118" t="inlineStr">
        <is>
          <t>20220920</t>
        </is>
      </c>
      <c r="L118" t="inlineStr">
        <is>
          <t>20230224</t>
        </is>
      </c>
    </row>
    <row r="119">
      <c r="A119" t="inlineStr">
        <is>
          <t>900007800</t>
        </is>
      </c>
      <c r="B119" t="inlineStr">
        <is>
          <t>DW67</t>
        </is>
      </c>
      <c r="C119" t="inlineStr">
        <is>
          <t>D302</t>
        </is>
      </c>
      <c r="D119" t="inlineStr">
        <is>
          <t>10000541</t>
        </is>
      </c>
      <c r="E119" t="inlineStr"/>
      <c r="F119" s="12" t="n">
        <v>196.34</v>
      </c>
      <c r="G119" t="inlineStr"/>
      <c r="I119" t="inlineStr">
        <is>
          <t>TN</t>
        </is>
      </c>
      <c r="J119" t="inlineStr"/>
      <c r="K119" t="inlineStr">
        <is>
          <t>20250905</t>
        </is>
      </c>
      <c r="L119" t="inlineStr">
        <is>
          <t>99991231</t>
        </is>
      </c>
    </row>
    <row r="120">
      <c r="A120" t="inlineStr">
        <is>
          <t>900007800</t>
        </is>
      </c>
      <c r="B120" t="inlineStr">
        <is>
          <t>DW67</t>
        </is>
      </c>
      <c r="C120" t="inlineStr">
        <is>
          <t>D302</t>
        </is>
      </c>
      <c r="D120" t="inlineStr">
        <is>
          <t>10000826</t>
        </is>
      </c>
      <c r="E120" t="inlineStr"/>
      <c r="F120" s="12" t="n">
        <v>117.24</v>
      </c>
      <c r="G120" t="inlineStr"/>
      <c r="I120" t="inlineStr">
        <is>
          <t>TN</t>
        </is>
      </c>
      <c r="J120" t="inlineStr"/>
      <c r="K120" t="inlineStr">
        <is>
          <t>20220920</t>
        </is>
      </c>
      <c r="L120" t="inlineStr">
        <is>
          <t>20230224</t>
        </is>
      </c>
    </row>
    <row r="121">
      <c r="A121" t="inlineStr">
        <is>
          <t>900007800</t>
        </is>
      </c>
      <c r="B121" t="inlineStr">
        <is>
          <t>DW67</t>
        </is>
      </c>
      <c r="C121" t="inlineStr">
        <is>
          <t>D302</t>
        </is>
      </c>
      <c r="D121" t="inlineStr">
        <is>
          <t>10047545</t>
        </is>
      </c>
      <c r="E121" t="inlineStr"/>
      <c r="F121" s="12" t="n">
        <v>239.73</v>
      </c>
      <c r="G121" t="inlineStr"/>
      <c r="I121" t="inlineStr">
        <is>
          <t>TN</t>
        </is>
      </c>
      <c r="J121" t="inlineStr"/>
      <c r="K121" t="inlineStr">
        <is>
          <t>20241121</t>
        </is>
      </c>
      <c r="L121" t="inlineStr">
        <is>
          <t>99991231</t>
        </is>
      </c>
    </row>
    <row r="122">
      <c r="A122" t="inlineStr">
        <is>
          <t>900007887</t>
        </is>
      </c>
      <c r="B122" t="inlineStr">
        <is>
          <t>DW67</t>
        </is>
      </c>
      <c r="C122" t="inlineStr">
        <is>
          <t>D302</t>
        </is>
      </c>
      <c r="D122" t="inlineStr">
        <is>
          <t>10000178</t>
        </is>
      </c>
      <c r="E122" t="inlineStr"/>
      <c r="F122" s="12" t="n">
        <v>165.89</v>
      </c>
      <c r="G122" t="inlineStr"/>
      <c r="I122" t="inlineStr">
        <is>
          <t>TN</t>
        </is>
      </c>
      <c r="J122" t="inlineStr"/>
      <c r="K122" t="inlineStr">
        <is>
          <t>20250428</t>
        </is>
      </c>
      <c r="L122" t="inlineStr">
        <is>
          <t>20251031</t>
        </is>
      </c>
    </row>
    <row r="123">
      <c r="A123" t="inlineStr">
        <is>
          <t>900007887</t>
        </is>
      </c>
      <c r="B123" t="inlineStr">
        <is>
          <t>DW67</t>
        </is>
      </c>
      <c r="C123" t="inlineStr">
        <is>
          <t>D302</t>
        </is>
      </c>
      <c r="D123" t="inlineStr">
        <is>
          <t>10000826</t>
        </is>
      </c>
      <c r="E123" t="inlineStr"/>
      <c r="F123" s="12" t="n">
        <v>131.03</v>
      </c>
      <c r="G123" t="inlineStr"/>
      <c r="I123" t="inlineStr">
        <is>
          <t>TN</t>
        </is>
      </c>
      <c r="J123" t="inlineStr"/>
      <c r="K123" t="inlineStr">
        <is>
          <t>20230228</t>
        </is>
      </c>
      <c r="L123" t="inlineStr">
        <is>
          <t>99991231</t>
        </is>
      </c>
    </row>
    <row r="124">
      <c r="A124" t="inlineStr">
        <is>
          <t>900007952</t>
        </is>
      </c>
      <c r="B124" t="inlineStr">
        <is>
          <t>DW67</t>
        </is>
      </c>
      <c r="C124" t="inlineStr">
        <is>
          <t>D302</t>
        </is>
      </c>
      <c r="D124" t="inlineStr">
        <is>
          <t>10210039</t>
        </is>
      </c>
      <c r="E124" t="inlineStr"/>
      <c r="F124" s="12" t="n">
        <v>38.38</v>
      </c>
      <c r="G124" t="inlineStr"/>
      <c r="I124" t="inlineStr">
        <is>
          <t>TN</t>
        </is>
      </c>
      <c r="J124" t="inlineStr"/>
      <c r="K124" t="inlineStr">
        <is>
          <t>20220516</t>
        </is>
      </c>
      <c r="L124" t="inlineStr">
        <is>
          <t>20240320</t>
        </is>
      </c>
    </row>
    <row r="125">
      <c r="A125" t="inlineStr">
        <is>
          <t>900007971</t>
        </is>
      </c>
      <c r="B125" t="inlineStr">
        <is>
          <t>DW67</t>
        </is>
      </c>
      <c r="C125" t="inlineStr">
        <is>
          <t>D302</t>
        </is>
      </c>
      <c r="D125" t="inlineStr">
        <is>
          <t>10000139</t>
        </is>
      </c>
      <c r="E125" t="inlineStr"/>
      <c r="F125" s="12" t="n">
        <v>99.16</v>
      </c>
      <c r="G125" t="inlineStr"/>
      <c r="I125" t="inlineStr">
        <is>
          <t>TN</t>
        </is>
      </c>
      <c r="J125" t="inlineStr"/>
      <c r="K125" t="inlineStr">
        <is>
          <t>20240712</t>
        </is>
      </c>
      <c r="L125" t="inlineStr">
        <is>
          <t>20250812</t>
        </is>
      </c>
    </row>
    <row r="126">
      <c r="A126" t="inlineStr">
        <is>
          <t>900007971</t>
        </is>
      </c>
      <c r="B126" t="inlineStr">
        <is>
          <t>DW67</t>
        </is>
      </c>
      <c r="C126" t="inlineStr">
        <is>
          <t>D302</t>
        </is>
      </c>
      <c r="D126" t="inlineStr">
        <is>
          <t>10000826</t>
        </is>
      </c>
      <c r="E126" t="inlineStr"/>
      <c r="F126" s="12" t="n">
        <v>55.17</v>
      </c>
      <c r="G126" t="inlineStr"/>
      <c r="I126" t="inlineStr">
        <is>
          <t>TN</t>
        </is>
      </c>
      <c r="J126" t="inlineStr"/>
      <c r="K126" t="inlineStr">
        <is>
          <t>20221220</t>
        </is>
      </c>
      <c r="L126" t="inlineStr">
        <is>
          <t>20230615</t>
        </is>
      </c>
    </row>
    <row r="127">
      <c r="A127" t="inlineStr">
        <is>
          <t>900007979</t>
        </is>
      </c>
      <c r="B127" t="inlineStr">
        <is>
          <t>DW67</t>
        </is>
      </c>
      <c r="C127" t="inlineStr">
        <is>
          <t>D180</t>
        </is>
      </c>
      <c r="D127" t="inlineStr">
        <is>
          <t>10000178</t>
        </is>
      </c>
      <c r="E127" t="inlineStr"/>
      <c r="F127" s="12" t="n">
        <v>152.62</v>
      </c>
      <c r="G127" t="inlineStr"/>
      <c r="I127" t="inlineStr">
        <is>
          <t>TN</t>
        </is>
      </c>
      <c r="J127" t="inlineStr"/>
      <c r="K127" t="inlineStr">
        <is>
          <t>20220516</t>
        </is>
      </c>
      <c r="L127" t="inlineStr">
        <is>
          <t>20241113</t>
        </is>
      </c>
    </row>
    <row r="128">
      <c r="A128" t="inlineStr">
        <is>
          <t>900007979</t>
        </is>
      </c>
      <c r="B128" t="inlineStr">
        <is>
          <t>DW67</t>
        </is>
      </c>
      <c r="C128" t="inlineStr">
        <is>
          <t>D180</t>
        </is>
      </c>
      <c r="D128" t="inlineStr">
        <is>
          <t>10000398</t>
        </is>
      </c>
      <c r="E128" t="inlineStr"/>
      <c r="F128" s="12" t="n">
        <v>64.84</v>
      </c>
      <c r="G128" t="inlineStr"/>
      <c r="I128" t="inlineStr">
        <is>
          <t>TN</t>
        </is>
      </c>
      <c r="J128" t="inlineStr"/>
      <c r="K128" t="inlineStr">
        <is>
          <t>20220516</t>
        </is>
      </c>
      <c r="L128" t="inlineStr">
        <is>
          <t>20241113</t>
        </is>
      </c>
    </row>
    <row r="129">
      <c r="A129" t="inlineStr">
        <is>
          <t>900007979</t>
        </is>
      </c>
      <c r="B129" t="inlineStr">
        <is>
          <t>DW67</t>
        </is>
      </c>
      <c r="C129" t="inlineStr">
        <is>
          <t>D180</t>
        </is>
      </c>
      <c r="D129" t="inlineStr">
        <is>
          <t>10000826</t>
        </is>
      </c>
      <c r="E129" t="inlineStr"/>
      <c r="F129" s="12" t="n">
        <v>151.72</v>
      </c>
      <c r="G129" t="inlineStr"/>
      <c r="I129" t="inlineStr">
        <is>
          <t>TN</t>
        </is>
      </c>
      <c r="J129" t="inlineStr"/>
      <c r="K129" t="inlineStr">
        <is>
          <t>20220516</t>
        </is>
      </c>
      <c r="L129" t="inlineStr">
        <is>
          <t>20241113</t>
        </is>
      </c>
    </row>
    <row r="130">
      <c r="A130" t="inlineStr">
        <is>
          <t>900007979</t>
        </is>
      </c>
      <c r="B130" t="inlineStr">
        <is>
          <t>DW67</t>
        </is>
      </c>
      <c r="C130" t="inlineStr">
        <is>
          <t>D302</t>
        </is>
      </c>
      <c r="D130" t="inlineStr">
        <is>
          <t>10000178</t>
        </is>
      </c>
      <c r="E130" t="inlineStr"/>
      <c r="F130" s="12" t="n">
        <v>232.25</v>
      </c>
      <c r="G130" t="inlineStr"/>
      <c r="I130" t="inlineStr">
        <is>
          <t>TN</t>
        </is>
      </c>
      <c r="J130" t="inlineStr"/>
      <c r="K130" t="inlineStr">
        <is>
          <t>20240715</t>
        </is>
      </c>
      <c r="L130" t="inlineStr">
        <is>
          <t>99991231</t>
        </is>
      </c>
    </row>
    <row r="131">
      <c r="A131" t="inlineStr">
        <is>
          <t>900007979</t>
        </is>
      </c>
      <c r="B131" t="inlineStr">
        <is>
          <t>DW67</t>
        </is>
      </c>
      <c r="C131" t="inlineStr">
        <is>
          <t>D302</t>
        </is>
      </c>
      <c r="D131" t="inlineStr">
        <is>
          <t>10000372</t>
        </is>
      </c>
      <c r="E131" t="inlineStr"/>
      <c r="F131" s="12" t="n">
        <v>207.18</v>
      </c>
      <c r="G131" t="inlineStr"/>
      <c r="I131" t="inlineStr">
        <is>
          <t>TN</t>
        </is>
      </c>
      <c r="J131" t="inlineStr"/>
      <c r="K131" t="inlineStr">
        <is>
          <t>20250428</t>
        </is>
      </c>
      <c r="L131" t="inlineStr">
        <is>
          <t>20251031</t>
        </is>
      </c>
    </row>
    <row r="132">
      <c r="A132" t="inlineStr">
        <is>
          <t>900007979</t>
        </is>
      </c>
      <c r="B132" t="inlineStr">
        <is>
          <t>DW67</t>
        </is>
      </c>
      <c r="C132" t="inlineStr">
        <is>
          <t>D302</t>
        </is>
      </c>
      <c r="D132" t="inlineStr">
        <is>
          <t>10000398</t>
        </is>
      </c>
      <c r="E132" t="inlineStr"/>
      <c r="F132" s="12" t="n">
        <v>64.84</v>
      </c>
      <c r="G132" t="inlineStr"/>
      <c r="I132" t="inlineStr">
        <is>
          <t>TN</t>
        </is>
      </c>
      <c r="J132" t="inlineStr"/>
      <c r="K132" t="inlineStr">
        <is>
          <t>20250428</t>
        </is>
      </c>
      <c r="L132" t="inlineStr">
        <is>
          <t>20251031</t>
        </is>
      </c>
    </row>
    <row r="133">
      <c r="A133" t="inlineStr">
        <is>
          <t>900007979</t>
        </is>
      </c>
      <c r="B133" t="inlineStr">
        <is>
          <t>DW67</t>
        </is>
      </c>
      <c r="C133" t="inlineStr">
        <is>
          <t>D302</t>
        </is>
      </c>
      <c r="D133" t="inlineStr">
        <is>
          <t>10000541</t>
        </is>
      </c>
      <c r="E133" t="inlineStr"/>
      <c r="F133" s="12" t="n">
        <v>170.16</v>
      </c>
      <c r="G133" t="inlineStr"/>
      <c r="I133" t="inlineStr">
        <is>
          <t>TN</t>
        </is>
      </c>
      <c r="J133" t="inlineStr"/>
      <c r="K133" t="inlineStr">
        <is>
          <t>20250428</t>
        </is>
      </c>
      <c r="L133" t="inlineStr">
        <is>
          <t>20251031</t>
        </is>
      </c>
    </row>
    <row r="134">
      <c r="A134" t="inlineStr">
        <is>
          <t>900007979</t>
        </is>
      </c>
      <c r="B134" t="inlineStr">
        <is>
          <t>DW67</t>
        </is>
      </c>
      <c r="C134" t="inlineStr">
        <is>
          <t>D302</t>
        </is>
      </c>
      <c r="D134" t="inlineStr">
        <is>
          <t>10000826</t>
        </is>
      </c>
      <c r="E134" t="inlineStr"/>
      <c r="F134" s="12" t="n">
        <v>203.45</v>
      </c>
      <c r="G134" t="inlineStr"/>
      <c r="I134" t="inlineStr">
        <is>
          <t>TN</t>
        </is>
      </c>
      <c r="J134" t="inlineStr"/>
      <c r="K134" t="inlineStr">
        <is>
          <t>20240715</t>
        </is>
      </c>
      <c r="L134" t="inlineStr">
        <is>
          <t>99991231</t>
        </is>
      </c>
    </row>
    <row r="135">
      <c r="A135" t="inlineStr">
        <is>
          <t>900007991</t>
        </is>
      </c>
      <c r="B135" t="inlineStr">
        <is>
          <t>DW67</t>
        </is>
      </c>
      <c r="C135" t="inlineStr">
        <is>
          <t>D302</t>
        </is>
      </c>
      <c r="D135" t="inlineStr">
        <is>
          <t>10000178</t>
        </is>
      </c>
      <c r="E135" t="inlineStr"/>
      <c r="F135" s="12" t="n">
        <v>190</v>
      </c>
      <c r="G135" t="inlineStr"/>
      <c r="I135" t="inlineStr">
        <is>
          <t>M3</t>
        </is>
      </c>
      <c r="J135" t="inlineStr"/>
      <c r="K135" t="inlineStr">
        <is>
          <t>20230110</t>
        </is>
      </c>
      <c r="L135" t="inlineStr">
        <is>
          <t>20240320</t>
        </is>
      </c>
    </row>
    <row r="136">
      <c r="A136" t="inlineStr">
        <is>
          <t>900007991</t>
        </is>
      </c>
      <c r="B136" t="inlineStr">
        <is>
          <t>DW67</t>
        </is>
      </c>
      <c r="C136" t="inlineStr">
        <is>
          <t>D302</t>
        </is>
      </c>
      <c r="D136" t="inlineStr">
        <is>
          <t>10000826</t>
        </is>
      </c>
      <c r="E136" t="inlineStr"/>
      <c r="F136" s="12" t="n">
        <v>124.14</v>
      </c>
      <c r="G136" t="inlineStr"/>
      <c r="I136" t="inlineStr">
        <is>
          <t>TN</t>
        </is>
      </c>
      <c r="J136" t="inlineStr"/>
      <c r="K136" t="inlineStr">
        <is>
          <t>20220516</t>
        </is>
      </c>
      <c r="L136" t="inlineStr">
        <is>
          <t>20240320</t>
        </is>
      </c>
    </row>
    <row r="137">
      <c r="A137" t="inlineStr">
        <is>
          <t>900007992</t>
        </is>
      </c>
      <c r="B137" t="inlineStr">
        <is>
          <t>DW67</t>
        </is>
      </c>
      <c r="C137" t="inlineStr">
        <is>
          <t>D302</t>
        </is>
      </c>
      <c r="D137" t="inlineStr">
        <is>
          <t>10000826</t>
        </is>
      </c>
      <c r="E137" t="inlineStr"/>
      <c r="F137" s="12" t="n">
        <v>144.83</v>
      </c>
      <c r="G137" t="inlineStr"/>
      <c r="I137" t="inlineStr">
        <is>
          <t>TN</t>
        </is>
      </c>
      <c r="J137" t="inlineStr"/>
      <c r="K137" t="inlineStr">
        <is>
          <t>20230110</t>
        </is>
      </c>
      <c r="L137" t="inlineStr">
        <is>
          <t>20250812</t>
        </is>
      </c>
    </row>
    <row r="138">
      <c r="A138" t="inlineStr">
        <is>
          <t>900008330</t>
        </is>
      </c>
      <c r="B138" t="inlineStr">
        <is>
          <t>DW67</t>
        </is>
      </c>
      <c r="C138" t="inlineStr">
        <is>
          <t>D302</t>
        </is>
      </c>
      <c r="D138" t="inlineStr">
        <is>
          <t>10000372</t>
        </is>
      </c>
      <c r="E138" t="inlineStr"/>
      <c r="F138" s="12" t="n">
        <v>241.71</v>
      </c>
      <c r="G138" t="inlineStr"/>
      <c r="I138" t="inlineStr">
        <is>
          <t>TN</t>
        </is>
      </c>
      <c r="J138" t="inlineStr"/>
      <c r="K138" t="inlineStr">
        <is>
          <t>20231003</t>
        </is>
      </c>
      <c r="L138" t="inlineStr">
        <is>
          <t>99991231</t>
        </is>
      </c>
    </row>
    <row r="139">
      <c r="A139" t="inlineStr">
        <is>
          <t>900008331</t>
        </is>
      </c>
      <c r="B139" t="inlineStr">
        <is>
          <t>DW67</t>
        </is>
      </c>
      <c r="C139" t="inlineStr">
        <is>
          <t>D302</t>
        </is>
      </c>
      <c r="D139" t="inlineStr">
        <is>
          <t>10000372</t>
        </is>
      </c>
      <c r="E139" t="inlineStr"/>
      <c r="F139" s="12" t="n">
        <v>241.71</v>
      </c>
      <c r="G139" t="inlineStr"/>
      <c r="I139" t="inlineStr">
        <is>
          <t>TN</t>
        </is>
      </c>
      <c r="J139" t="inlineStr"/>
      <c r="K139" t="inlineStr">
        <is>
          <t>20240409</t>
        </is>
      </c>
      <c r="L139" t="inlineStr">
        <is>
          <t>99991231</t>
        </is>
      </c>
    </row>
    <row r="140">
      <c r="A140" t="inlineStr">
        <is>
          <t>900008910</t>
        </is>
      </c>
      <c r="B140" t="inlineStr">
        <is>
          <t>DW67</t>
        </is>
      </c>
      <c r="C140" t="inlineStr">
        <is>
          <t>D302</t>
        </is>
      </c>
      <c r="D140" t="inlineStr">
        <is>
          <t>10000178</t>
        </is>
      </c>
      <c r="E140" t="inlineStr"/>
      <c r="F140" s="12" t="n">
        <v>232.25</v>
      </c>
      <c r="G140" t="inlineStr"/>
      <c r="I140" t="inlineStr">
        <is>
          <t>TN</t>
        </is>
      </c>
      <c r="J140" t="inlineStr"/>
      <c r="K140" t="inlineStr">
        <is>
          <t>20240902</t>
        </is>
      </c>
      <c r="L140" t="inlineStr">
        <is>
          <t>99991231</t>
        </is>
      </c>
    </row>
    <row r="141">
      <c r="A141" t="inlineStr">
        <is>
          <t>900008910</t>
        </is>
      </c>
      <c r="B141" t="inlineStr">
        <is>
          <t>DW67</t>
        </is>
      </c>
      <c r="C141" t="inlineStr">
        <is>
          <t>D302</t>
        </is>
      </c>
      <c r="D141" t="inlineStr">
        <is>
          <t>10000826</t>
        </is>
      </c>
      <c r="E141" t="inlineStr"/>
      <c r="F141" s="12" t="n">
        <v>206.9</v>
      </c>
      <c r="G141" t="inlineStr"/>
      <c r="I141" t="inlineStr">
        <is>
          <t>TN</t>
        </is>
      </c>
      <c r="J141" t="inlineStr"/>
      <c r="K141" t="inlineStr">
        <is>
          <t>20240731</t>
        </is>
      </c>
      <c r="L141" t="inlineStr">
        <is>
          <t>99991231</t>
        </is>
      </c>
    </row>
    <row r="142">
      <c r="A142" t="inlineStr">
        <is>
          <t>900008910</t>
        </is>
      </c>
      <c r="B142" t="inlineStr">
        <is>
          <t>DW67</t>
        </is>
      </c>
      <c r="C142" t="inlineStr">
        <is>
          <t>D302</t>
        </is>
      </c>
      <c r="D142" t="inlineStr">
        <is>
          <t>10223313</t>
        </is>
      </c>
      <c r="E142" t="inlineStr"/>
      <c r="F142" s="12" t="n">
        <v>140</v>
      </c>
      <c r="G142" t="inlineStr"/>
      <c r="I142" t="inlineStr">
        <is>
          <t>TN</t>
        </is>
      </c>
      <c r="J142" t="inlineStr"/>
      <c r="K142" t="inlineStr">
        <is>
          <t>20250109</t>
        </is>
      </c>
      <c r="L142" t="inlineStr">
        <is>
          <t>99991231</t>
        </is>
      </c>
    </row>
    <row r="143">
      <c r="A143" t="inlineStr">
        <is>
          <t>900008910</t>
        </is>
      </c>
      <c r="B143" t="inlineStr">
        <is>
          <t>DW67</t>
        </is>
      </c>
      <c r="C143" t="inlineStr">
        <is>
          <t>D302</t>
        </is>
      </c>
      <c r="D143" t="inlineStr">
        <is>
          <t>10255395</t>
        </is>
      </c>
      <c r="E143" t="inlineStr"/>
      <c r="F143" s="12" t="n">
        <v>241.71</v>
      </c>
      <c r="G143" t="inlineStr"/>
      <c r="I143" t="inlineStr">
        <is>
          <t>TN</t>
        </is>
      </c>
      <c r="J143" t="inlineStr"/>
      <c r="K143" t="inlineStr">
        <is>
          <t>20241209</t>
        </is>
      </c>
      <c r="L143" t="inlineStr">
        <is>
          <t>99991231</t>
        </is>
      </c>
    </row>
    <row r="144">
      <c r="A144" t="inlineStr">
        <is>
          <t>900008972</t>
        </is>
      </c>
      <c r="B144" t="inlineStr">
        <is>
          <t>DW67</t>
        </is>
      </c>
      <c r="C144" t="inlineStr">
        <is>
          <t>D302</t>
        </is>
      </c>
      <c r="D144" t="inlineStr">
        <is>
          <t>10000178</t>
        </is>
      </c>
      <c r="E144" t="inlineStr"/>
      <c r="F144" s="12" t="n">
        <v>238.89</v>
      </c>
      <c r="G144" t="inlineStr"/>
      <c r="I144" t="inlineStr">
        <is>
          <t>TN</t>
        </is>
      </c>
      <c r="J144" t="inlineStr"/>
      <c r="K144" t="inlineStr">
        <is>
          <t>20250902</t>
        </is>
      </c>
      <c r="L144" t="inlineStr">
        <is>
          <t>99991231</t>
        </is>
      </c>
    </row>
    <row r="145">
      <c r="A145" t="inlineStr">
        <is>
          <t>900008972</t>
        </is>
      </c>
      <c r="B145" t="inlineStr">
        <is>
          <t>DW67</t>
        </is>
      </c>
      <c r="C145" t="inlineStr">
        <is>
          <t>D302</t>
        </is>
      </c>
      <c r="D145" t="inlineStr">
        <is>
          <t>10000826</t>
        </is>
      </c>
      <c r="E145" t="inlineStr"/>
      <c r="F145" s="12" t="n">
        <v>132.41</v>
      </c>
      <c r="G145" t="inlineStr"/>
      <c r="I145" t="inlineStr">
        <is>
          <t>TN</t>
        </is>
      </c>
      <c r="J145" t="inlineStr"/>
      <c r="K145" t="inlineStr">
        <is>
          <t>20250109</t>
        </is>
      </c>
      <c r="L145" t="inlineStr">
        <is>
          <t>99991231</t>
        </is>
      </c>
    </row>
    <row r="146">
      <c r="A146" t="inlineStr">
        <is>
          <t>900008972</t>
        </is>
      </c>
      <c r="B146" t="inlineStr">
        <is>
          <t>DW67</t>
        </is>
      </c>
      <c r="C146" t="inlineStr">
        <is>
          <t>D302</t>
        </is>
      </c>
      <c r="D146" t="inlineStr">
        <is>
          <t>10255395</t>
        </is>
      </c>
      <c r="E146" t="inlineStr"/>
      <c r="F146" s="12" t="n">
        <v>241.71</v>
      </c>
      <c r="G146" t="inlineStr"/>
      <c r="I146" t="inlineStr">
        <is>
          <t>TN</t>
        </is>
      </c>
      <c r="J146" t="inlineStr"/>
      <c r="K146" t="inlineStr">
        <is>
          <t>20241209</t>
        </is>
      </c>
      <c r="L146" t="inlineStr">
        <is>
          <t>99991231</t>
        </is>
      </c>
    </row>
    <row r="147">
      <c r="A147" t="inlineStr">
        <is>
          <t>900009013</t>
        </is>
      </c>
      <c r="B147" t="inlineStr">
        <is>
          <t>DW67</t>
        </is>
      </c>
      <c r="C147" t="inlineStr">
        <is>
          <t>D302</t>
        </is>
      </c>
      <c r="D147" t="inlineStr">
        <is>
          <t>10047545</t>
        </is>
      </c>
      <c r="E147" t="inlineStr"/>
      <c r="F147" s="12" t="n">
        <v>239.73</v>
      </c>
      <c r="G147" t="inlineStr"/>
      <c r="I147" t="inlineStr">
        <is>
          <t>TN</t>
        </is>
      </c>
      <c r="J147" t="inlineStr"/>
      <c r="K147" t="inlineStr">
        <is>
          <t>20241120</t>
        </is>
      </c>
      <c r="L147" t="inlineStr">
        <is>
          <t>20250812</t>
        </is>
      </c>
    </row>
    <row r="148">
      <c r="A148" t="inlineStr">
        <is>
          <t>900009192</t>
        </is>
      </c>
      <c r="B148" t="inlineStr">
        <is>
          <t>DW67</t>
        </is>
      </c>
      <c r="C148" t="inlineStr">
        <is>
          <t>D302</t>
        </is>
      </c>
      <c r="D148" t="inlineStr">
        <is>
          <t>10000623</t>
        </is>
      </c>
      <c r="E148" t="inlineStr"/>
      <c r="F148" s="12" t="n">
        <v>297.87</v>
      </c>
      <c r="G148" t="inlineStr"/>
      <c r="I148" t="inlineStr">
        <is>
          <t>TN</t>
        </is>
      </c>
      <c r="J148" t="inlineStr"/>
      <c r="K148" t="inlineStr">
        <is>
          <t>20250724</t>
        </is>
      </c>
      <c r="L148" t="inlineStr">
        <is>
          <t>99991231</t>
        </is>
      </c>
    </row>
    <row r="149">
      <c r="A149" t="inlineStr">
        <is>
          <t>900009192</t>
        </is>
      </c>
      <c r="B149" t="inlineStr">
        <is>
          <t>DW67</t>
        </is>
      </c>
      <c r="C149" t="inlineStr">
        <is>
          <t>D302</t>
        </is>
      </c>
      <c r="D149" t="inlineStr">
        <is>
          <t>10210039</t>
        </is>
      </c>
      <c r="E149" t="inlineStr"/>
      <c r="F149" s="12" t="n">
        <v>57.24</v>
      </c>
      <c r="G149" t="inlineStr"/>
      <c r="I149" t="inlineStr">
        <is>
          <t>TN</t>
        </is>
      </c>
      <c r="J149" t="inlineStr"/>
      <c r="K149" t="inlineStr">
        <is>
          <t>20250502</t>
        </is>
      </c>
      <c r="L149" t="inlineStr">
        <is>
          <t>99991231</t>
        </is>
      </c>
    </row>
    <row r="150">
      <c r="A150" t="inlineStr">
        <is>
          <t>900009524</t>
        </is>
      </c>
      <c r="B150" t="inlineStr">
        <is>
          <t>DW67</t>
        </is>
      </c>
      <c r="C150" t="inlineStr">
        <is>
          <t>D302</t>
        </is>
      </c>
      <c r="D150" t="inlineStr">
        <is>
          <t>10217663</t>
        </is>
      </c>
      <c r="E150" t="inlineStr"/>
      <c r="F150" s="12" t="n">
        <v>82.42</v>
      </c>
      <c r="G150" t="inlineStr"/>
      <c r="I150" t="inlineStr">
        <is>
          <t>TN</t>
        </is>
      </c>
      <c r="J150" t="inlineStr"/>
      <c r="K150" t="inlineStr">
        <is>
          <t>20260804</t>
        </is>
      </c>
      <c r="L150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900000000DW67D30210000139</t>
        </is>
      </c>
      <c r="B2" t="inlineStr">
        <is>
          <t>900000000</t>
        </is>
      </c>
      <c r="C2" t="inlineStr">
        <is>
          <t>DW67</t>
        </is>
      </c>
      <c r="D2" t="inlineStr">
        <is>
          <t>D302</t>
        </is>
      </c>
      <c r="E2" t="inlineStr">
        <is>
          <t>4</t>
        </is>
      </c>
      <c r="F2" t="inlineStr">
        <is>
          <t>10000139</t>
        </is>
      </c>
      <c r="H2" t="inlineStr"/>
      <c r="J2" t="n">
        <v>221.21</v>
      </c>
      <c r="K2" t="inlineStr"/>
      <c r="M2" t="inlineStr">
        <is>
          <t>TN</t>
        </is>
      </c>
      <c r="N2" t="inlineStr"/>
      <c r="P2" t="inlineStr">
        <is>
          <t>20220516</t>
        </is>
      </c>
      <c r="Q2" t="inlineStr">
        <is>
          <t>99991231</t>
        </is>
      </c>
    </row>
    <row r="3">
      <c r="A3" t="inlineStr">
        <is>
          <t>900000000DW67D30210000178</t>
        </is>
      </c>
      <c r="B3" t="inlineStr">
        <is>
          <t>900000000</t>
        </is>
      </c>
      <c r="C3" t="inlineStr">
        <is>
          <t>DW67</t>
        </is>
      </c>
      <c r="D3" t="inlineStr">
        <is>
          <t>D302</t>
        </is>
      </c>
      <c r="E3" t="inlineStr">
        <is>
          <t>4</t>
        </is>
      </c>
      <c r="F3" t="inlineStr">
        <is>
          <t>10000178</t>
        </is>
      </c>
      <c r="H3" t="inlineStr"/>
      <c r="J3" t="n">
        <v>99.54000000000001</v>
      </c>
      <c r="K3" t="inlineStr"/>
      <c r="M3" t="inlineStr">
        <is>
          <t>TN</t>
        </is>
      </c>
      <c r="N3" t="inlineStr"/>
      <c r="P3" t="inlineStr">
        <is>
          <t>20240723</t>
        </is>
      </c>
      <c r="Q3" t="inlineStr">
        <is>
          <t>99991231</t>
        </is>
      </c>
    </row>
    <row r="4">
      <c r="A4" t="inlineStr">
        <is>
          <t>900000000DW67D30210000398</t>
        </is>
      </c>
      <c r="B4" t="inlineStr">
        <is>
          <t>900000000</t>
        </is>
      </c>
      <c r="C4" t="inlineStr">
        <is>
          <t>DW67</t>
        </is>
      </c>
      <c r="D4" t="inlineStr">
        <is>
          <t>D302</t>
        </is>
      </c>
      <c r="E4" t="inlineStr">
        <is>
          <t>4</t>
        </is>
      </c>
      <c r="F4" t="inlineStr">
        <is>
          <t>10000398</t>
        </is>
      </c>
      <c r="H4" t="inlineStr"/>
      <c r="J4" t="n">
        <v>191.85</v>
      </c>
      <c r="K4" t="inlineStr"/>
      <c r="M4" t="inlineStr">
        <is>
          <t>TN</t>
        </is>
      </c>
      <c r="N4" t="inlineStr"/>
      <c r="P4" t="inlineStr">
        <is>
          <t>20220516</t>
        </is>
      </c>
      <c r="Q4" t="inlineStr">
        <is>
          <t>20241113</t>
        </is>
      </c>
    </row>
    <row r="5">
      <c r="A5" t="inlineStr">
        <is>
          <t>900000000DW67D30210000541</t>
        </is>
      </c>
      <c r="B5" t="inlineStr">
        <is>
          <t>900000000</t>
        </is>
      </c>
      <c r="C5" t="inlineStr">
        <is>
          <t>DW67</t>
        </is>
      </c>
      <c r="D5" t="inlineStr">
        <is>
          <t>D302</t>
        </is>
      </c>
      <c r="E5" t="inlineStr">
        <is>
          <t>4</t>
        </is>
      </c>
      <c r="F5" t="inlineStr">
        <is>
          <t>10000541</t>
        </is>
      </c>
      <c r="H5" t="inlineStr"/>
      <c r="J5" t="n">
        <v>163.61</v>
      </c>
      <c r="K5" t="inlineStr"/>
      <c r="M5" t="inlineStr">
        <is>
          <t>TN</t>
        </is>
      </c>
      <c r="N5" t="inlineStr"/>
      <c r="P5" t="inlineStr">
        <is>
          <t>20250923</t>
        </is>
      </c>
      <c r="Q5" t="inlineStr">
        <is>
          <t>99991231</t>
        </is>
      </c>
    </row>
    <row r="6">
      <c r="A6" t="inlineStr">
        <is>
          <t>900000000DW67D30210000826</t>
        </is>
      </c>
      <c r="B6" t="inlineStr">
        <is>
          <t>900000000</t>
        </is>
      </c>
      <c r="C6" t="inlineStr">
        <is>
          <t>DW67</t>
        </is>
      </c>
      <c r="D6" t="inlineStr">
        <is>
          <t>D302</t>
        </is>
      </c>
      <c r="E6" t="inlineStr">
        <is>
          <t>4</t>
        </is>
      </c>
      <c r="F6" t="inlineStr">
        <is>
          <t>10000826</t>
        </is>
      </c>
      <c r="H6" t="inlineStr"/>
      <c r="J6" t="n">
        <v>137.93</v>
      </c>
      <c r="K6" t="inlineStr"/>
      <c r="M6" t="inlineStr">
        <is>
          <t>TN</t>
        </is>
      </c>
      <c r="N6" t="inlineStr"/>
      <c r="P6" t="inlineStr">
        <is>
          <t>20250707</t>
        </is>
      </c>
      <c r="Q6" t="inlineStr">
        <is>
          <t>99991231</t>
        </is>
      </c>
    </row>
    <row r="7">
      <c r="A7" t="inlineStr">
        <is>
          <t>900000000DW67D31010000178</t>
        </is>
      </c>
      <c r="B7" t="inlineStr">
        <is>
          <t>900000000</t>
        </is>
      </c>
      <c r="C7" t="inlineStr">
        <is>
          <t>DW67</t>
        </is>
      </c>
      <c r="D7" t="inlineStr">
        <is>
          <t>D310</t>
        </is>
      </c>
      <c r="E7" t="inlineStr">
        <is>
          <t>4</t>
        </is>
      </c>
      <c r="F7" t="inlineStr">
        <is>
          <t>10000178</t>
        </is>
      </c>
      <c r="H7" t="inlineStr"/>
      <c r="J7" t="n">
        <v>40.13</v>
      </c>
      <c r="K7" t="inlineStr"/>
      <c r="M7" t="inlineStr">
        <is>
          <t>TN</t>
        </is>
      </c>
      <c r="N7" t="inlineStr"/>
      <c r="P7" t="inlineStr">
        <is>
          <t>20220516</t>
        </is>
      </c>
      <c r="Q7" t="inlineStr">
        <is>
          <t>20241113</t>
        </is>
      </c>
    </row>
    <row r="8">
      <c r="A8" t="inlineStr">
        <is>
          <t>900000000DW67D31010000398</t>
        </is>
      </c>
      <c r="B8" t="inlineStr">
        <is>
          <t>900000000</t>
        </is>
      </c>
      <c r="C8" t="inlineStr">
        <is>
          <t>DW67</t>
        </is>
      </c>
      <c r="D8" t="inlineStr">
        <is>
          <t>D310</t>
        </is>
      </c>
      <c r="E8" t="inlineStr">
        <is>
          <t>4</t>
        </is>
      </c>
      <c r="F8" t="inlineStr">
        <is>
          <t>10000398</t>
        </is>
      </c>
      <c r="H8" t="inlineStr"/>
      <c r="J8" t="n">
        <v>169.7</v>
      </c>
      <c r="K8" t="inlineStr"/>
      <c r="M8" t="inlineStr">
        <is>
          <t>TN</t>
        </is>
      </c>
      <c r="N8" t="inlineStr"/>
      <c r="P8" t="inlineStr">
        <is>
          <t>20220516</t>
        </is>
      </c>
      <c r="Q8" t="inlineStr">
        <is>
          <t>20241113</t>
        </is>
      </c>
    </row>
    <row r="9">
      <c r="A9" t="inlineStr">
        <is>
          <t>900000000DW67D31010000541</t>
        </is>
      </c>
      <c r="B9" t="inlineStr">
        <is>
          <t>900000000</t>
        </is>
      </c>
      <c r="C9" t="inlineStr">
        <is>
          <t>DW67</t>
        </is>
      </c>
      <c r="D9" t="inlineStr">
        <is>
          <t>D310</t>
        </is>
      </c>
      <c r="E9" t="inlineStr">
        <is>
          <t>4</t>
        </is>
      </c>
      <c r="F9" t="inlineStr">
        <is>
          <t>10000541</t>
        </is>
      </c>
      <c r="H9" t="inlineStr"/>
      <c r="J9" t="n">
        <v>42.41</v>
      </c>
      <c r="K9" t="inlineStr"/>
      <c r="M9" t="inlineStr">
        <is>
          <t>TN</t>
        </is>
      </c>
      <c r="N9" t="inlineStr"/>
      <c r="P9" t="inlineStr">
        <is>
          <t>20220516</t>
        </is>
      </c>
      <c r="Q9" t="inlineStr">
        <is>
          <t>20241113</t>
        </is>
      </c>
    </row>
    <row r="10">
      <c r="A10" t="inlineStr">
        <is>
          <t>900000000DW67D31010000826</t>
        </is>
      </c>
      <c r="B10" t="inlineStr">
        <is>
          <t>900000000</t>
        </is>
      </c>
      <c r="C10" t="inlineStr">
        <is>
          <t>DW67</t>
        </is>
      </c>
      <c r="D10" t="inlineStr">
        <is>
          <t>D310</t>
        </is>
      </c>
      <c r="E10" t="inlineStr">
        <is>
          <t>4</t>
        </is>
      </c>
      <c r="F10" t="inlineStr">
        <is>
          <t>10000826</t>
        </is>
      </c>
      <c r="H10" t="inlineStr"/>
      <c r="J10" t="n">
        <v>61.08</v>
      </c>
      <c r="K10" t="inlineStr"/>
      <c r="M10" t="inlineStr">
        <is>
          <t>TN</t>
        </is>
      </c>
      <c r="N10" t="inlineStr"/>
      <c r="P10" t="inlineStr">
        <is>
          <t>20220516</t>
        </is>
      </c>
      <c r="Q10" t="inlineStr">
        <is>
          <t>20241113</t>
        </is>
      </c>
    </row>
    <row r="11">
      <c r="A11" t="inlineStr">
        <is>
          <t>900000037DW67D30210000139</t>
        </is>
      </c>
      <c r="B11" t="inlineStr">
        <is>
          <t>900000037</t>
        </is>
      </c>
      <c r="C11" t="inlineStr">
        <is>
          <t>DW67</t>
        </is>
      </c>
      <c r="D11" t="inlineStr">
        <is>
          <t>D302</t>
        </is>
      </c>
      <c r="E11" t="inlineStr">
        <is>
          <t>1</t>
        </is>
      </c>
      <c r="F11" t="inlineStr">
        <is>
          <t>10000139</t>
        </is>
      </c>
      <c r="H11" t="inlineStr"/>
      <c r="J11" t="n">
        <v>361.32</v>
      </c>
      <c r="K11" t="inlineStr"/>
      <c r="M11" t="inlineStr">
        <is>
          <t>TN</t>
        </is>
      </c>
      <c r="N11" t="inlineStr"/>
      <c r="P11" t="inlineStr">
        <is>
          <t>20251229</t>
        </is>
      </c>
      <c r="Q11" t="inlineStr">
        <is>
          <t>99991231</t>
        </is>
      </c>
    </row>
    <row r="12">
      <c r="A12" t="inlineStr">
        <is>
          <t>900000037DW67D30210000140</t>
        </is>
      </c>
      <c r="B12" t="inlineStr">
        <is>
          <t>900000037</t>
        </is>
      </c>
      <c r="C12" t="inlineStr">
        <is>
          <t>DW67</t>
        </is>
      </c>
      <c r="D12" t="inlineStr">
        <is>
          <t>D302</t>
        </is>
      </c>
      <c r="E12" t="inlineStr">
        <is>
          <t>1</t>
        </is>
      </c>
      <c r="F12" t="inlineStr">
        <is>
          <t>10000140</t>
        </is>
      </c>
      <c r="H12" t="inlineStr"/>
      <c r="J12" t="n">
        <v>234.91</v>
      </c>
      <c r="K12" t="inlineStr"/>
      <c r="M12" t="inlineStr">
        <is>
          <t>TN</t>
        </is>
      </c>
      <c r="N12" t="inlineStr"/>
      <c r="P12" t="inlineStr">
        <is>
          <t>20240726</t>
        </is>
      </c>
      <c r="Q12" t="inlineStr">
        <is>
          <t>20251031</t>
        </is>
      </c>
    </row>
    <row r="13">
      <c r="A13" t="inlineStr">
        <is>
          <t>900000037DW67D30210000444</t>
        </is>
      </c>
      <c r="B13" t="inlineStr">
        <is>
          <t>900000037</t>
        </is>
      </c>
      <c r="C13" t="inlineStr">
        <is>
          <t>DW67</t>
        </is>
      </c>
      <c r="D13" t="inlineStr">
        <is>
          <t>D302</t>
        </is>
      </c>
      <c r="E13" t="inlineStr">
        <is>
          <t>1</t>
        </is>
      </c>
      <c r="F13" t="inlineStr">
        <is>
          <t>10000444</t>
        </is>
      </c>
      <c r="H13" t="inlineStr"/>
      <c r="J13" t="n">
        <v>205.72</v>
      </c>
      <c r="K13" t="inlineStr"/>
      <c r="M13" t="inlineStr">
        <is>
          <t>TN</t>
        </is>
      </c>
      <c r="N13" t="inlineStr"/>
      <c r="P13" t="inlineStr">
        <is>
          <t>20251229</t>
        </is>
      </c>
      <c r="Q13" t="inlineStr">
        <is>
          <t>99991231</t>
        </is>
      </c>
    </row>
    <row r="14">
      <c r="A14" t="inlineStr">
        <is>
          <t>900000037DW67D30210000548</t>
        </is>
      </c>
      <c r="B14" t="inlineStr">
        <is>
          <t>900000037</t>
        </is>
      </c>
      <c r="C14" t="inlineStr">
        <is>
          <t>DW67</t>
        </is>
      </c>
      <c r="D14" t="inlineStr">
        <is>
          <t>D302</t>
        </is>
      </c>
      <c r="E14" t="inlineStr">
        <is>
          <t>1</t>
        </is>
      </c>
      <c r="F14" t="inlineStr">
        <is>
          <t>10000548</t>
        </is>
      </c>
      <c r="H14" t="inlineStr"/>
      <c r="J14" t="n">
        <v>182.26</v>
      </c>
      <c r="K14" t="inlineStr"/>
      <c r="M14" t="inlineStr">
        <is>
          <t>TN</t>
        </is>
      </c>
      <c r="N14" t="inlineStr"/>
      <c r="P14" t="inlineStr">
        <is>
          <t>20240726</t>
        </is>
      </c>
      <c r="Q14" t="inlineStr">
        <is>
          <t>20251031</t>
        </is>
      </c>
    </row>
    <row r="15">
      <c r="A15" t="inlineStr">
        <is>
          <t>900000037DW67D31010000139</t>
        </is>
      </c>
      <c r="B15" t="inlineStr">
        <is>
          <t>900000037</t>
        </is>
      </c>
      <c r="C15" t="inlineStr">
        <is>
          <t>DW67</t>
        </is>
      </c>
      <c r="D15" t="inlineStr">
        <is>
          <t>D310</t>
        </is>
      </c>
      <c r="E15" t="inlineStr">
        <is>
          <t>1</t>
        </is>
      </c>
      <c r="F15" t="inlineStr">
        <is>
          <t>10000139</t>
        </is>
      </c>
      <c r="H15" t="inlineStr"/>
      <c r="J15" t="n">
        <v>183.27</v>
      </c>
      <c r="K15" t="inlineStr"/>
      <c r="M15" t="inlineStr">
        <is>
          <t>TN</t>
        </is>
      </c>
      <c r="N15" t="inlineStr"/>
      <c r="P15" t="inlineStr">
        <is>
          <t>20220516</t>
        </is>
      </c>
      <c r="Q15" t="inlineStr">
        <is>
          <t>20241113</t>
        </is>
      </c>
    </row>
    <row r="16">
      <c r="A16" t="inlineStr">
        <is>
          <t>900000037DW67D31010000140</t>
        </is>
      </c>
      <c r="B16" t="inlineStr">
        <is>
          <t>900000037</t>
        </is>
      </c>
      <c r="C16" t="inlineStr">
        <is>
          <t>DW67</t>
        </is>
      </c>
      <c r="D16" t="inlineStr">
        <is>
          <t>D310</t>
        </is>
      </c>
      <c r="E16" t="inlineStr">
        <is>
          <t>1</t>
        </is>
      </c>
      <c r="F16" t="inlineStr">
        <is>
          <t>10000140</t>
        </is>
      </c>
      <c r="H16" t="inlineStr"/>
      <c r="J16" t="n">
        <v>172.36</v>
      </c>
      <c r="K16" t="inlineStr"/>
      <c r="M16" t="inlineStr">
        <is>
          <t>TN</t>
        </is>
      </c>
      <c r="N16" t="inlineStr"/>
      <c r="P16" t="inlineStr">
        <is>
          <t>20220516</t>
        </is>
      </c>
      <c r="Q16" t="inlineStr">
        <is>
          <t>20241113</t>
        </is>
      </c>
    </row>
    <row r="17">
      <c r="A17" t="inlineStr">
        <is>
          <t>900000037DW67D31010000444</t>
        </is>
      </c>
      <c r="B17" t="inlineStr">
        <is>
          <t>900000037</t>
        </is>
      </c>
      <c r="C17" t="inlineStr">
        <is>
          <t>DW67</t>
        </is>
      </c>
      <c r="D17" t="inlineStr">
        <is>
          <t>D310</t>
        </is>
      </c>
      <c r="E17" t="inlineStr">
        <is>
          <t>1</t>
        </is>
      </c>
      <c r="F17" t="inlineStr">
        <is>
          <t>10000444</t>
        </is>
      </c>
      <c r="H17" t="inlineStr"/>
      <c r="J17" t="n">
        <v>163.12</v>
      </c>
      <c r="K17" t="inlineStr"/>
      <c r="M17" t="inlineStr">
        <is>
          <t>TN</t>
        </is>
      </c>
      <c r="N17" t="inlineStr"/>
      <c r="P17" t="inlineStr">
        <is>
          <t>20220516</t>
        </is>
      </c>
      <c r="Q17" t="inlineStr">
        <is>
          <t>20241113</t>
        </is>
      </c>
    </row>
    <row r="18">
      <c r="A18" t="inlineStr">
        <is>
          <t>900000037DW67D31010000548</t>
        </is>
      </c>
      <c r="B18" t="inlineStr">
        <is>
          <t>900000037</t>
        </is>
      </c>
      <c r="C18" t="inlineStr">
        <is>
          <t>DW67</t>
        </is>
      </c>
      <c r="D18" t="inlineStr">
        <is>
          <t>D310</t>
        </is>
      </c>
      <c r="E18" t="inlineStr">
        <is>
          <t>1</t>
        </is>
      </c>
      <c r="F18" t="inlineStr">
        <is>
          <t>10000548</t>
        </is>
      </c>
      <c r="H18" t="inlineStr"/>
      <c r="J18" t="n">
        <v>169.08</v>
      </c>
      <c r="K18" t="inlineStr"/>
      <c r="M18" t="inlineStr">
        <is>
          <t>TN</t>
        </is>
      </c>
      <c r="N18" t="inlineStr"/>
      <c r="P18" t="inlineStr">
        <is>
          <t>20220516</t>
        </is>
      </c>
      <c r="Q18" t="inlineStr">
        <is>
          <t>20241113</t>
        </is>
      </c>
    </row>
    <row r="19">
      <c r="A19" t="inlineStr">
        <is>
          <t>900000037DW67D31610000139</t>
        </is>
      </c>
      <c r="B19" t="inlineStr">
        <is>
          <t>900000037</t>
        </is>
      </c>
      <c r="C19" t="inlineStr">
        <is>
          <t>DW67</t>
        </is>
      </c>
      <c r="D19" t="inlineStr">
        <is>
          <t>D316</t>
        </is>
      </c>
      <c r="E19" t="inlineStr">
        <is>
          <t>1</t>
        </is>
      </c>
      <c r="F19" t="inlineStr">
        <is>
          <t>10000139</t>
        </is>
      </c>
      <c r="H19" t="inlineStr"/>
      <c r="J19" t="n">
        <v>171.31</v>
      </c>
      <c r="K19" t="inlineStr"/>
      <c r="M19" t="inlineStr">
        <is>
          <t>TN</t>
        </is>
      </c>
      <c r="N19" t="inlineStr"/>
      <c r="P19" t="inlineStr">
        <is>
          <t>20220516</t>
        </is>
      </c>
      <c r="Q19" t="inlineStr">
        <is>
          <t>20241113</t>
        </is>
      </c>
    </row>
    <row r="20">
      <c r="A20" t="inlineStr">
        <is>
          <t>900000037DW67D31610000140</t>
        </is>
      </c>
      <c r="B20" t="inlineStr">
        <is>
          <t>900000037</t>
        </is>
      </c>
      <c r="C20" t="inlineStr">
        <is>
          <t>DW67</t>
        </is>
      </c>
      <c r="D20" t="inlineStr">
        <is>
          <t>D316</t>
        </is>
      </c>
      <c r="E20" t="inlineStr">
        <is>
          <t>1</t>
        </is>
      </c>
      <c r="F20" t="inlineStr">
        <is>
          <t>10000140</t>
        </is>
      </c>
      <c r="H20" t="inlineStr"/>
      <c r="J20" t="n">
        <v>172.36</v>
      </c>
      <c r="K20" t="inlineStr"/>
      <c r="M20" t="inlineStr">
        <is>
          <t>TN</t>
        </is>
      </c>
      <c r="N20" t="inlineStr"/>
      <c r="P20" t="inlineStr">
        <is>
          <t>20220516</t>
        </is>
      </c>
      <c r="Q20" t="inlineStr">
        <is>
          <t>20241113</t>
        </is>
      </c>
    </row>
    <row r="21">
      <c r="A21" t="inlineStr">
        <is>
          <t>900000037DW67D31610000548</t>
        </is>
      </c>
      <c r="B21" t="inlineStr">
        <is>
          <t>900000037</t>
        </is>
      </c>
      <c r="C21" t="inlineStr">
        <is>
          <t>DW67</t>
        </is>
      </c>
      <c r="D21" t="inlineStr">
        <is>
          <t>D316</t>
        </is>
      </c>
      <c r="E21" t="inlineStr">
        <is>
          <t>1</t>
        </is>
      </c>
      <c r="F21" t="inlineStr">
        <is>
          <t>10000548</t>
        </is>
      </c>
      <c r="H21" t="inlineStr"/>
      <c r="J21" t="n">
        <v>169.08</v>
      </c>
      <c r="K21" t="inlineStr"/>
      <c r="M21" t="inlineStr">
        <is>
          <t>TN</t>
        </is>
      </c>
      <c r="N21" t="inlineStr"/>
      <c r="P21" t="inlineStr">
        <is>
          <t>20220516</t>
        </is>
      </c>
      <c r="Q21" t="inlineStr">
        <is>
          <t>20241113</t>
        </is>
      </c>
    </row>
    <row r="22">
      <c r="A22" t="inlineStr">
        <is>
          <t>900000086DW67D30210000511</t>
        </is>
      </c>
      <c r="B22" t="inlineStr">
        <is>
          <t>900000086</t>
        </is>
      </c>
      <c r="C22" t="inlineStr">
        <is>
          <t>DW67</t>
        </is>
      </c>
      <c r="D22" t="inlineStr">
        <is>
          <t>D302</t>
        </is>
      </c>
      <c r="E22" t="inlineStr">
        <is>
          <t>1</t>
        </is>
      </c>
      <c r="F22" t="inlineStr">
        <is>
          <t>10000511</t>
        </is>
      </c>
      <c r="H22" t="inlineStr"/>
      <c r="J22" t="n">
        <v>279.73</v>
      </c>
      <c r="K22" t="inlineStr"/>
      <c r="M22" t="inlineStr">
        <is>
          <t>TN</t>
        </is>
      </c>
      <c r="N22" t="inlineStr"/>
      <c r="P22" t="inlineStr">
        <is>
          <t>20210620</t>
        </is>
      </c>
      <c r="Q22" t="inlineStr">
        <is>
          <t>20240320</t>
        </is>
      </c>
    </row>
    <row r="23">
      <c r="A23" t="inlineStr">
        <is>
          <t>900000110DW67D30210000397</t>
        </is>
      </c>
      <c r="B23" t="inlineStr">
        <is>
          <t>900000110</t>
        </is>
      </c>
      <c r="C23" t="inlineStr">
        <is>
          <t>DW67</t>
        </is>
      </c>
      <c r="D23" t="inlineStr">
        <is>
          <t>D302</t>
        </is>
      </c>
      <c r="E23" t="inlineStr">
        <is>
          <t>1</t>
        </is>
      </c>
      <c r="F23" t="inlineStr">
        <is>
          <t>10000397</t>
        </is>
      </c>
      <c r="H23" t="inlineStr"/>
      <c r="J23" t="n">
        <v>245.8</v>
      </c>
      <c r="K23" t="inlineStr"/>
      <c r="M23" t="inlineStr">
        <is>
          <t>TN</t>
        </is>
      </c>
      <c r="N23" t="inlineStr"/>
      <c r="P23" t="inlineStr">
        <is>
          <t>20220516</t>
        </is>
      </c>
      <c r="Q23" t="inlineStr">
        <is>
          <t>20241113</t>
        </is>
      </c>
    </row>
    <row r="24">
      <c r="A24" t="inlineStr">
        <is>
          <t>900000743DW67D30210000561</t>
        </is>
      </c>
      <c r="B24" t="inlineStr">
        <is>
          <t>900000743</t>
        </is>
      </c>
      <c r="C24" t="inlineStr">
        <is>
          <t>DW67</t>
        </is>
      </c>
      <c r="D24" t="inlineStr">
        <is>
          <t>D302</t>
        </is>
      </c>
      <c r="E24" t="inlineStr">
        <is>
          <t>1</t>
        </is>
      </c>
      <c r="F24" t="inlineStr">
        <is>
          <t>10000561</t>
        </is>
      </c>
      <c r="H24" t="inlineStr"/>
      <c r="J24" t="n">
        <v>216.78</v>
      </c>
      <c r="K24" t="inlineStr"/>
      <c r="M24" t="inlineStr">
        <is>
          <t>TN</t>
        </is>
      </c>
      <c r="N24" t="inlineStr"/>
      <c r="P24" t="inlineStr">
        <is>
          <t>20250722</t>
        </is>
      </c>
      <c r="Q24" t="inlineStr">
        <is>
          <t>99991231</t>
        </is>
      </c>
    </row>
    <row r="25">
      <c r="A25" t="inlineStr">
        <is>
          <t>900002095DW67D30210000178</t>
        </is>
      </c>
      <c r="B25" t="inlineStr">
        <is>
          <t>900002095</t>
        </is>
      </c>
      <c r="C25" t="inlineStr">
        <is>
          <t>DW67</t>
        </is>
      </c>
      <c r="D25" t="inlineStr">
        <is>
          <t>D302</t>
        </is>
      </c>
      <c r="E25" t="inlineStr">
        <is>
          <t>4</t>
        </is>
      </c>
      <c r="F25" t="inlineStr">
        <is>
          <t>10000178</t>
        </is>
      </c>
      <c r="H25" t="inlineStr"/>
      <c r="J25" t="n">
        <v>95</v>
      </c>
      <c r="K25" t="inlineStr"/>
      <c r="M25" t="inlineStr">
        <is>
          <t>TN</t>
        </is>
      </c>
      <c r="N25" t="inlineStr"/>
      <c r="P25" t="inlineStr">
        <is>
          <t>20220516</t>
        </is>
      </c>
      <c r="Q25" t="inlineStr">
        <is>
          <t>20240320</t>
        </is>
      </c>
    </row>
    <row r="26">
      <c r="A26" t="inlineStr">
        <is>
          <t>900002095DW67D30210000826</t>
        </is>
      </c>
      <c r="B26" t="inlineStr">
        <is>
          <t>900002095</t>
        </is>
      </c>
      <c r="C26" t="inlineStr">
        <is>
          <t>DW67</t>
        </is>
      </c>
      <c r="D26" t="inlineStr">
        <is>
          <t>D302</t>
        </is>
      </c>
      <c r="E26" t="inlineStr">
        <is>
          <t>4</t>
        </is>
      </c>
      <c r="F26" t="inlineStr">
        <is>
          <t>10000826</t>
        </is>
      </c>
      <c r="H26" t="inlineStr"/>
      <c r="J26" t="n">
        <v>62.76</v>
      </c>
      <c r="K26" t="inlineStr"/>
      <c r="M26" t="inlineStr">
        <is>
          <t>TN</t>
        </is>
      </c>
      <c r="N26" t="inlineStr"/>
      <c r="P26" t="inlineStr">
        <is>
          <t>20220516</t>
        </is>
      </c>
      <c r="Q26" t="inlineStr">
        <is>
          <t>20240320</t>
        </is>
      </c>
    </row>
    <row r="27">
      <c r="A27" t="inlineStr">
        <is>
          <t>900002095DW67D31010000178</t>
        </is>
      </c>
      <c r="B27" t="inlineStr">
        <is>
          <t>900002095</t>
        </is>
      </c>
      <c r="C27" t="inlineStr">
        <is>
          <t>DW67</t>
        </is>
      </c>
      <c r="D27" t="inlineStr">
        <is>
          <t>D310</t>
        </is>
      </c>
      <c r="E27" t="inlineStr">
        <is>
          <t>4</t>
        </is>
      </c>
      <c r="F27" t="inlineStr">
        <is>
          <t>10000178</t>
        </is>
      </c>
      <c r="H27" t="inlineStr"/>
      <c r="J27" t="n">
        <v>90.98999999999999</v>
      </c>
      <c r="K27" t="inlineStr"/>
      <c r="M27" t="inlineStr">
        <is>
          <t>TN</t>
        </is>
      </c>
      <c r="N27" t="inlineStr"/>
      <c r="P27" t="inlineStr">
        <is>
          <t>20220516</t>
        </is>
      </c>
      <c r="Q27" t="inlineStr">
        <is>
          <t>20240320</t>
        </is>
      </c>
    </row>
    <row r="28">
      <c r="A28" t="inlineStr">
        <is>
          <t>900002095DW67D31010000826</t>
        </is>
      </c>
      <c r="B28" t="inlineStr">
        <is>
          <t>900002095</t>
        </is>
      </c>
      <c r="C28" t="inlineStr">
        <is>
          <t>DW67</t>
        </is>
      </c>
      <c r="D28" t="inlineStr">
        <is>
          <t>D310</t>
        </is>
      </c>
      <c r="E28" t="inlineStr">
        <is>
          <t>4</t>
        </is>
      </c>
      <c r="F28" t="inlineStr">
        <is>
          <t>10000826</t>
        </is>
      </c>
      <c r="H28" t="inlineStr"/>
      <c r="J28" t="n">
        <v>62.76</v>
      </c>
      <c r="K28" t="inlineStr"/>
      <c r="M28" t="inlineStr">
        <is>
          <t>TN</t>
        </is>
      </c>
      <c r="N28" t="inlineStr"/>
      <c r="P28" t="inlineStr">
        <is>
          <t>20220516</t>
        </is>
      </c>
      <c r="Q28" t="inlineStr">
        <is>
          <t>20240320</t>
        </is>
      </c>
    </row>
    <row r="29">
      <c r="A29" t="inlineStr">
        <is>
          <t>900002349DW67D30210000396</t>
        </is>
      </c>
      <c r="B29" t="inlineStr">
        <is>
          <t>900002349</t>
        </is>
      </c>
      <c r="C29" t="inlineStr">
        <is>
          <t>DW67</t>
        </is>
      </c>
      <c r="D29" t="inlineStr">
        <is>
          <t>D302</t>
        </is>
      </c>
      <c r="E29" t="inlineStr">
        <is>
          <t>1</t>
        </is>
      </c>
      <c r="F29" t="inlineStr">
        <is>
          <t>10000396</t>
        </is>
      </c>
      <c r="H29" t="inlineStr"/>
      <c r="J29" t="n">
        <v>321.31</v>
      </c>
      <c r="K29" t="inlineStr"/>
      <c r="M29" t="inlineStr">
        <is>
          <t>TN</t>
        </is>
      </c>
      <c r="N29" t="inlineStr"/>
      <c r="P29" t="inlineStr">
        <is>
          <t>20221101</t>
        </is>
      </c>
      <c r="Q29" t="inlineStr">
        <is>
          <t>20250812</t>
        </is>
      </c>
    </row>
    <row r="30">
      <c r="A30" t="inlineStr">
        <is>
          <t>900002410DW67D30210000178</t>
        </is>
      </c>
      <c r="B30" t="inlineStr">
        <is>
          <t>900002410</t>
        </is>
      </c>
      <c r="C30" t="inlineStr">
        <is>
          <t>DW67</t>
        </is>
      </c>
      <c r="D30" t="inlineStr">
        <is>
          <t>D302</t>
        </is>
      </c>
      <c r="E30" t="inlineStr">
        <is>
          <t>1</t>
        </is>
      </c>
      <c r="F30" t="inlineStr">
        <is>
          <t>10000178</t>
        </is>
      </c>
      <c r="H30" t="inlineStr"/>
      <c r="J30" t="n">
        <v>87.13</v>
      </c>
      <c r="K30" t="inlineStr"/>
      <c r="M30" t="inlineStr">
        <is>
          <t>TN</t>
        </is>
      </c>
      <c r="N30" t="inlineStr"/>
      <c r="P30" t="inlineStr">
        <is>
          <t>20220516</t>
        </is>
      </c>
      <c r="Q30" t="inlineStr">
        <is>
          <t>20241113</t>
        </is>
      </c>
    </row>
    <row r="31">
      <c r="A31" t="inlineStr">
        <is>
          <t>900002410DW67D30210000826</t>
        </is>
      </c>
      <c r="B31" t="inlineStr">
        <is>
          <t>900002410</t>
        </is>
      </c>
      <c r="C31" t="inlineStr">
        <is>
          <t>DW67</t>
        </is>
      </c>
      <c r="D31" t="inlineStr">
        <is>
          <t>D302</t>
        </is>
      </c>
      <c r="E31" t="inlineStr">
        <is>
          <t>1</t>
        </is>
      </c>
      <c r="F31" t="inlineStr">
        <is>
          <t>10000826</t>
        </is>
      </c>
      <c r="H31" t="inlineStr"/>
      <c r="J31" t="n">
        <v>119.45</v>
      </c>
      <c r="K31" t="inlineStr"/>
      <c r="M31" t="inlineStr">
        <is>
          <t>TN</t>
        </is>
      </c>
      <c r="N31" t="inlineStr"/>
      <c r="P31" t="inlineStr">
        <is>
          <t>20220516</t>
        </is>
      </c>
      <c r="Q31" t="inlineStr">
        <is>
          <t>20241113</t>
        </is>
      </c>
    </row>
    <row r="32">
      <c r="A32" t="inlineStr">
        <is>
          <t>900002895DW67D30210000139</t>
        </is>
      </c>
      <c r="B32" t="inlineStr">
        <is>
          <t>900002895</t>
        </is>
      </c>
      <c r="C32" t="inlineStr">
        <is>
          <t>DW67</t>
        </is>
      </c>
      <c r="D32" t="inlineStr">
        <is>
          <t>D302</t>
        </is>
      </c>
      <c r="E32" t="inlineStr">
        <is>
          <t>1</t>
        </is>
      </c>
      <c r="F32" t="inlineStr">
        <is>
          <t>10000139</t>
        </is>
      </c>
      <c r="H32" t="inlineStr"/>
      <c r="J32" t="n">
        <v>293.12</v>
      </c>
      <c r="K32" t="inlineStr"/>
      <c r="M32" t="inlineStr">
        <is>
          <t>TN</t>
        </is>
      </c>
      <c r="N32" t="inlineStr"/>
      <c r="P32" t="inlineStr">
        <is>
          <t>20221101</t>
        </is>
      </c>
      <c r="Q32" t="inlineStr">
        <is>
          <t>20250812</t>
        </is>
      </c>
    </row>
    <row r="33">
      <c r="A33" t="inlineStr">
        <is>
          <t>900003437DW67D30210000139</t>
        </is>
      </c>
      <c r="B33" t="inlineStr">
        <is>
          <t>900003437</t>
        </is>
      </c>
      <c r="C33" t="inlineStr">
        <is>
          <t>DW67</t>
        </is>
      </c>
      <c r="D33" t="inlineStr">
        <is>
          <t>D302</t>
        </is>
      </c>
      <c r="E33" t="inlineStr">
        <is>
          <t>4</t>
        </is>
      </c>
      <c r="F33" t="inlineStr">
        <is>
          <t>10000139</t>
        </is>
      </c>
      <c r="H33" t="inlineStr"/>
      <c r="J33" t="n">
        <v>808.54</v>
      </c>
      <c r="K33" t="inlineStr"/>
      <c r="M33" t="inlineStr">
        <is>
          <t>TN</t>
        </is>
      </c>
      <c r="N33" t="inlineStr"/>
      <c r="P33" t="inlineStr">
        <is>
          <t>20240726</t>
        </is>
      </c>
      <c r="Q33" t="inlineStr">
        <is>
          <t>20251031</t>
        </is>
      </c>
    </row>
    <row r="34">
      <c r="A34" t="inlineStr">
        <is>
          <t>900003437DW67D30210000826</t>
        </is>
      </c>
      <c r="B34" t="inlineStr">
        <is>
          <t>900003437</t>
        </is>
      </c>
      <c r="C34" t="inlineStr">
        <is>
          <t>DW67</t>
        </is>
      </c>
      <c r="D34" t="inlineStr">
        <is>
          <t>D302</t>
        </is>
      </c>
      <c r="E34" t="inlineStr">
        <is>
          <t>4</t>
        </is>
      </c>
      <c r="F34" t="inlineStr">
        <is>
          <t>10000826</t>
        </is>
      </c>
      <c r="H34" t="inlineStr"/>
      <c r="J34" t="n">
        <v>144.83</v>
      </c>
      <c r="K34" t="inlineStr"/>
      <c r="M34" t="inlineStr">
        <is>
          <t>TN</t>
        </is>
      </c>
      <c r="N34" t="inlineStr"/>
      <c r="P34" t="inlineStr">
        <is>
          <t>20240705</t>
        </is>
      </c>
      <c r="Q34" t="inlineStr">
        <is>
          <t>99991231</t>
        </is>
      </c>
    </row>
    <row r="35">
      <c r="A35" t="inlineStr">
        <is>
          <t>900003437DW67D30210023900</t>
        </is>
      </c>
      <c r="B35" t="inlineStr">
        <is>
          <t>900003437</t>
        </is>
      </c>
      <c r="C35" t="inlineStr">
        <is>
          <t>DW67</t>
        </is>
      </c>
      <c r="D35" t="inlineStr">
        <is>
          <t>D302</t>
        </is>
      </c>
      <c r="E35" t="inlineStr">
        <is>
          <t>4</t>
        </is>
      </c>
      <c r="F35" t="inlineStr">
        <is>
          <t>10023900</t>
        </is>
      </c>
      <c r="H35" t="inlineStr"/>
      <c r="J35" t="n">
        <v>155.5</v>
      </c>
      <c r="K35" t="inlineStr"/>
      <c r="M35" t="inlineStr">
        <is>
          <t>TN</t>
        </is>
      </c>
      <c r="N35" t="inlineStr"/>
      <c r="P35" t="inlineStr">
        <is>
          <t>20220516</t>
        </is>
      </c>
      <c r="Q35" t="inlineStr">
        <is>
          <t>20241113</t>
        </is>
      </c>
    </row>
    <row r="36">
      <c r="A36" t="inlineStr">
        <is>
          <t>900003437DW67D30210032325</t>
        </is>
      </c>
      <c r="B36" t="inlineStr">
        <is>
          <t>900003437</t>
        </is>
      </c>
      <c r="C36" t="inlineStr">
        <is>
          <t>DW67</t>
        </is>
      </c>
      <c r="D36" t="inlineStr">
        <is>
          <t>D302</t>
        </is>
      </c>
      <c r="E36" t="inlineStr">
        <is>
          <t>4</t>
        </is>
      </c>
      <c r="F36" t="inlineStr">
        <is>
          <t>10032325</t>
        </is>
      </c>
      <c r="H36" t="inlineStr"/>
      <c r="J36" t="n">
        <v>593.52</v>
      </c>
      <c r="K36" t="inlineStr"/>
      <c r="M36" t="inlineStr">
        <is>
          <t>TN</t>
        </is>
      </c>
      <c r="N36" t="inlineStr"/>
      <c r="P36" t="inlineStr">
        <is>
          <t>20240726</t>
        </is>
      </c>
      <c r="Q36" t="inlineStr">
        <is>
          <t>20251031</t>
        </is>
      </c>
    </row>
    <row r="37">
      <c r="A37" t="inlineStr">
        <is>
          <t>900003437DW67D31010023900</t>
        </is>
      </c>
      <c r="B37" t="inlineStr">
        <is>
          <t>900003437</t>
        </is>
      </c>
      <c r="C37" t="inlineStr">
        <is>
          <t>DW67</t>
        </is>
      </c>
      <c r="D37" t="inlineStr">
        <is>
          <t>D310</t>
        </is>
      </c>
      <c r="E37" t="inlineStr">
        <is>
          <t>4</t>
        </is>
      </c>
      <c r="F37" t="inlineStr">
        <is>
          <t>10023900</t>
        </is>
      </c>
      <c r="H37" t="inlineStr"/>
      <c r="J37" t="n">
        <v>155.5</v>
      </c>
      <c r="K37" t="inlineStr"/>
      <c r="M37" t="inlineStr">
        <is>
          <t>TN</t>
        </is>
      </c>
      <c r="N37" t="inlineStr"/>
      <c r="P37" t="inlineStr">
        <is>
          <t>20220516</t>
        </is>
      </c>
      <c r="Q37" t="inlineStr">
        <is>
          <t>20241113</t>
        </is>
      </c>
    </row>
    <row r="38">
      <c r="A38" t="inlineStr">
        <is>
          <t>900003437DW67D31010032325</t>
        </is>
      </c>
      <c r="B38" t="inlineStr">
        <is>
          <t>900003437</t>
        </is>
      </c>
      <c r="C38" t="inlineStr">
        <is>
          <t>DW67</t>
        </is>
      </c>
      <c r="D38" t="inlineStr">
        <is>
          <t>D310</t>
        </is>
      </c>
      <c r="E38" t="inlineStr">
        <is>
          <t>4</t>
        </is>
      </c>
      <c r="F38" t="inlineStr">
        <is>
          <t>10032325</t>
        </is>
      </c>
      <c r="H38" t="inlineStr"/>
      <c r="J38" t="n">
        <v>429.82</v>
      </c>
      <c r="K38" t="inlineStr"/>
      <c r="M38" t="inlineStr">
        <is>
          <t>TN</t>
        </is>
      </c>
      <c r="N38" t="inlineStr"/>
      <c r="P38" t="inlineStr">
        <is>
          <t>20220516</t>
        </is>
      </c>
      <c r="Q38" t="inlineStr">
        <is>
          <t>20241113</t>
        </is>
      </c>
    </row>
    <row r="39">
      <c r="A39" t="inlineStr">
        <is>
          <t>900003903DW67D30210000826</t>
        </is>
      </c>
      <c r="B39" t="inlineStr">
        <is>
          <t>900003903</t>
        </is>
      </c>
      <c r="C39" t="inlineStr">
        <is>
          <t>DW67</t>
        </is>
      </c>
      <c r="D39" t="inlineStr">
        <is>
          <t>D302</t>
        </is>
      </c>
      <c r="E39" t="inlineStr">
        <is>
          <t>1</t>
        </is>
      </c>
      <c r="F39" t="inlineStr">
        <is>
          <t>10000826</t>
        </is>
      </c>
      <c r="H39" t="inlineStr"/>
      <c r="J39" t="n">
        <v>184.92</v>
      </c>
      <c r="K39" t="inlineStr"/>
      <c r="M39" t="inlineStr">
        <is>
          <t>TN</t>
        </is>
      </c>
      <c r="N39" t="inlineStr"/>
      <c r="P39" t="inlineStr">
        <is>
          <t>20240726</t>
        </is>
      </c>
      <c r="Q39" t="inlineStr">
        <is>
          <t>20251031</t>
        </is>
      </c>
    </row>
    <row r="40">
      <c r="A40" t="inlineStr">
        <is>
          <t>900003929DW67D30210000372</t>
        </is>
      </c>
      <c r="B40" t="inlineStr">
        <is>
          <t>900003929</t>
        </is>
      </c>
      <c r="C40" t="inlineStr">
        <is>
          <t>DW67</t>
        </is>
      </c>
      <c r="D40" t="inlineStr">
        <is>
          <t>D302</t>
        </is>
      </c>
      <c r="E40" t="inlineStr">
        <is>
          <t>1</t>
        </is>
      </c>
      <c r="F40" t="inlineStr">
        <is>
          <t>10000372</t>
        </is>
      </c>
      <c r="H40" t="inlineStr"/>
      <c r="J40" t="n">
        <v>282.52</v>
      </c>
      <c r="K40" t="inlineStr"/>
      <c r="M40" t="inlineStr">
        <is>
          <t>TN</t>
        </is>
      </c>
      <c r="N40" t="inlineStr"/>
      <c r="P40" t="inlineStr">
        <is>
          <t>20220516</t>
        </is>
      </c>
      <c r="Q40" t="inlineStr">
        <is>
          <t>20241113</t>
        </is>
      </c>
    </row>
    <row r="41">
      <c r="A41" t="inlineStr">
        <is>
          <t>900004163DW67D30210000370</t>
        </is>
      </c>
      <c r="B41" t="inlineStr">
        <is>
          <t>900004163</t>
        </is>
      </c>
      <c r="C41" t="inlineStr">
        <is>
          <t>DW67</t>
        </is>
      </c>
      <c r="D41" t="inlineStr">
        <is>
          <t>D302</t>
        </is>
      </c>
      <c r="E41" t="inlineStr">
        <is>
          <t>1</t>
        </is>
      </c>
      <c r="F41" t="inlineStr">
        <is>
          <t>10000370</t>
        </is>
      </c>
      <c r="H41" t="inlineStr"/>
      <c r="J41" t="n">
        <v>69.51000000000001</v>
      </c>
      <c r="K41" t="inlineStr"/>
      <c r="M41" t="inlineStr">
        <is>
          <t>TN</t>
        </is>
      </c>
      <c r="N41" t="inlineStr"/>
      <c r="P41" t="inlineStr">
        <is>
          <t>20220516</t>
        </is>
      </c>
      <c r="Q41" t="inlineStr">
        <is>
          <t>20240320</t>
        </is>
      </c>
    </row>
    <row r="42">
      <c r="A42" t="inlineStr">
        <is>
          <t>900004163DW67D31010000370</t>
        </is>
      </c>
      <c r="B42" t="inlineStr">
        <is>
          <t>900004163</t>
        </is>
      </c>
      <c r="C42" t="inlineStr">
        <is>
          <t>DW67</t>
        </is>
      </c>
      <c r="D42" t="inlineStr">
        <is>
          <t>D310</t>
        </is>
      </c>
      <c r="E42" t="inlineStr">
        <is>
          <t>1</t>
        </is>
      </c>
      <c r="F42" t="inlineStr">
        <is>
          <t>10000370</t>
        </is>
      </c>
      <c r="H42" t="inlineStr"/>
      <c r="J42" t="n">
        <v>65.43000000000001</v>
      </c>
      <c r="K42" t="inlineStr"/>
      <c r="M42" t="inlineStr">
        <is>
          <t>TN</t>
        </is>
      </c>
      <c r="N42" t="inlineStr"/>
      <c r="P42" t="inlineStr">
        <is>
          <t>20220516</t>
        </is>
      </c>
      <c r="Q42" t="inlineStr">
        <is>
          <t>20240320</t>
        </is>
      </c>
    </row>
    <row r="43">
      <c r="A43" t="inlineStr">
        <is>
          <t>900004163DW67D31610000370</t>
        </is>
      </c>
      <c r="B43" t="inlineStr">
        <is>
          <t>900004163</t>
        </is>
      </c>
      <c r="C43" t="inlineStr">
        <is>
          <t>DW67</t>
        </is>
      </c>
      <c r="D43" t="inlineStr">
        <is>
          <t>D316</t>
        </is>
      </c>
      <c r="E43" t="inlineStr">
        <is>
          <t>1</t>
        </is>
      </c>
      <c r="F43" t="inlineStr">
        <is>
          <t>10000370</t>
        </is>
      </c>
      <c r="H43" t="inlineStr"/>
      <c r="J43" t="n">
        <v>81.33</v>
      </c>
      <c r="K43" t="inlineStr"/>
      <c r="M43" t="inlineStr">
        <is>
          <t>TN</t>
        </is>
      </c>
      <c r="N43" t="inlineStr"/>
      <c r="P43" t="inlineStr">
        <is>
          <t>20220516</t>
        </is>
      </c>
      <c r="Q43" t="inlineStr">
        <is>
          <t>20240320</t>
        </is>
      </c>
    </row>
    <row r="44">
      <c r="A44" t="inlineStr">
        <is>
          <t>900004576DW67D30210000390</t>
        </is>
      </c>
      <c r="B44" t="inlineStr">
        <is>
          <t>900004576</t>
        </is>
      </c>
      <c r="C44" t="inlineStr">
        <is>
          <t>DW67</t>
        </is>
      </c>
      <c r="D44" t="inlineStr">
        <is>
          <t>D302</t>
        </is>
      </c>
      <c r="E44" t="inlineStr">
        <is>
          <t>1</t>
        </is>
      </c>
      <c r="F44" t="inlineStr">
        <is>
          <t>10000390</t>
        </is>
      </c>
      <c r="H44" t="inlineStr"/>
      <c r="J44" t="n">
        <v>122.64</v>
      </c>
      <c r="K44" t="inlineStr"/>
      <c r="M44" t="inlineStr">
        <is>
          <t>TN</t>
        </is>
      </c>
      <c r="N44" t="inlineStr"/>
      <c r="P44" t="inlineStr">
        <is>
          <t>20210620</t>
        </is>
      </c>
      <c r="Q44" t="inlineStr">
        <is>
          <t>20240320</t>
        </is>
      </c>
    </row>
    <row r="45">
      <c r="A45" t="inlineStr">
        <is>
          <t>900004576DW67D31610000390</t>
        </is>
      </c>
      <c r="B45" t="inlineStr">
        <is>
          <t>900004576</t>
        </is>
      </c>
      <c r="C45" t="inlineStr">
        <is>
          <t>DW67</t>
        </is>
      </c>
      <c r="D45" t="inlineStr">
        <is>
          <t>D316</t>
        </is>
      </c>
      <c r="E45" t="inlineStr">
        <is>
          <t>1</t>
        </is>
      </c>
      <c r="F45" t="inlineStr">
        <is>
          <t>10000390</t>
        </is>
      </c>
      <c r="H45" t="inlineStr"/>
      <c r="J45" t="n">
        <v>122.64</v>
      </c>
      <c r="K45" t="inlineStr"/>
      <c r="M45" t="inlineStr">
        <is>
          <t>TN</t>
        </is>
      </c>
      <c r="N45" t="inlineStr"/>
      <c r="P45" t="inlineStr">
        <is>
          <t>20210620</t>
        </is>
      </c>
      <c r="Q45" t="inlineStr">
        <is>
          <t>20240320</t>
        </is>
      </c>
    </row>
    <row r="46">
      <c r="A46" t="inlineStr">
        <is>
          <t>900004907DW67D30210000213</t>
        </is>
      </c>
      <c r="B46" t="inlineStr">
        <is>
          <t>900004907</t>
        </is>
      </c>
      <c r="C46" t="inlineStr">
        <is>
          <t>DW67</t>
        </is>
      </c>
      <c r="D46" t="inlineStr">
        <is>
          <t>D302</t>
        </is>
      </c>
      <c r="E46" t="inlineStr">
        <is>
          <t>4</t>
        </is>
      </c>
      <c r="F46" t="inlineStr">
        <is>
          <t>10000213</t>
        </is>
      </c>
      <c r="H46" t="inlineStr"/>
      <c r="J46" t="n">
        <v>76.8</v>
      </c>
      <c r="K46" t="inlineStr"/>
      <c r="M46" t="inlineStr">
        <is>
          <t>TN</t>
        </is>
      </c>
      <c r="N46" t="inlineStr"/>
      <c r="P46" t="inlineStr">
        <is>
          <t>20220516</t>
        </is>
      </c>
      <c r="Q46" t="inlineStr">
        <is>
          <t>20241113</t>
        </is>
      </c>
    </row>
    <row r="47">
      <c r="A47" t="inlineStr">
        <is>
          <t>900004907DW67D30210000370</t>
        </is>
      </c>
      <c r="B47" t="inlineStr">
        <is>
          <t>900004907</t>
        </is>
      </c>
      <c r="C47" t="inlineStr">
        <is>
          <t>DW67</t>
        </is>
      </c>
      <c r="D47" t="inlineStr">
        <is>
          <t>D302</t>
        </is>
      </c>
      <c r="E47" t="inlineStr">
        <is>
          <t>4</t>
        </is>
      </c>
      <c r="F47" t="inlineStr">
        <is>
          <t>10000370</t>
        </is>
      </c>
      <c r="H47" t="inlineStr"/>
      <c r="J47" t="n">
        <v>71.17</v>
      </c>
      <c r="K47" t="inlineStr"/>
      <c r="M47" t="inlineStr">
        <is>
          <t>TN</t>
        </is>
      </c>
      <c r="N47" t="inlineStr"/>
      <c r="P47" t="inlineStr">
        <is>
          <t>20220516</t>
        </is>
      </c>
      <c r="Q47" t="inlineStr">
        <is>
          <t>20241113</t>
        </is>
      </c>
    </row>
    <row r="48">
      <c r="A48" t="inlineStr">
        <is>
          <t>900004907DW67D30210000541</t>
        </is>
      </c>
      <c r="B48" t="inlineStr">
        <is>
          <t>900004907</t>
        </is>
      </c>
      <c r="C48" t="inlineStr">
        <is>
          <t>DW67</t>
        </is>
      </c>
      <c r="D48" t="inlineStr">
        <is>
          <t>D302</t>
        </is>
      </c>
      <c r="E48" t="inlineStr">
        <is>
          <t>4</t>
        </is>
      </c>
      <c r="F48" t="inlineStr">
        <is>
          <t>10000541</t>
        </is>
      </c>
      <c r="H48" t="inlineStr"/>
      <c r="J48" t="n">
        <v>54.25</v>
      </c>
      <c r="K48" t="inlineStr"/>
      <c r="M48" t="inlineStr">
        <is>
          <t>TN</t>
        </is>
      </c>
      <c r="N48" t="inlineStr"/>
      <c r="P48" t="inlineStr">
        <is>
          <t>20220516</t>
        </is>
      </c>
      <c r="Q48" t="inlineStr">
        <is>
          <t>20241113</t>
        </is>
      </c>
    </row>
    <row r="49">
      <c r="A49" t="inlineStr">
        <is>
          <t>900004907DW67D31010000213</t>
        </is>
      </c>
      <c r="B49" t="inlineStr">
        <is>
          <t>900004907</t>
        </is>
      </c>
      <c r="C49" t="inlineStr">
        <is>
          <t>DW67</t>
        </is>
      </c>
      <c r="D49" t="inlineStr">
        <is>
          <t>D310</t>
        </is>
      </c>
      <c r="E49" t="inlineStr">
        <is>
          <t>4</t>
        </is>
      </c>
      <c r="F49" t="inlineStr">
        <is>
          <t>10000213</t>
        </is>
      </c>
      <c r="H49" t="inlineStr"/>
      <c r="J49" t="n">
        <v>63.83</v>
      </c>
      <c r="K49" t="inlineStr"/>
      <c r="M49" t="inlineStr">
        <is>
          <t>TN</t>
        </is>
      </c>
      <c r="N49" t="inlineStr"/>
      <c r="P49" t="inlineStr">
        <is>
          <t>20220516</t>
        </is>
      </c>
      <c r="Q49" t="inlineStr">
        <is>
          <t>20241113</t>
        </is>
      </c>
    </row>
    <row r="50">
      <c r="A50" t="inlineStr">
        <is>
          <t>900004907DW67D31010000370</t>
        </is>
      </c>
      <c r="B50" t="inlineStr">
        <is>
          <t>900004907</t>
        </is>
      </c>
      <c r="C50" t="inlineStr">
        <is>
          <t>DW67</t>
        </is>
      </c>
      <c r="D50" t="inlineStr">
        <is>
          <t>D310</t>
        </is>
      </c>
      <c r="E50" t="inlineStr">
        <is>
          <t>4</t>
        </is>
      </c>
      <c r="F50" t="inlineStr">
        <is>
          <t>10000370</t>
        </is>
      </c>
      <c r="H50" t="inlineStr"/>
      <c r="J50" t="n">
        <v>55.98</v>
      </c>
      <c r="K50" t="inlineStr"/>
      <c r="M50" t="inlineStr">
        <is>
          <t>TN</t>
        </is>
      </c>
      <c r="N50" t="inlineStr"/>
      <c r="P50" t="inlineStr">
        <is>
          <t>20220516</t>
        </is>
      </c>
      <c r="Q50" t="inlineStr">
        <is>
          <t>20241113</t>
        </is>
      </c>
    </row>
    <row r="51">
      <c r="A51" t="inlineStr">
        <is>
          <t>900004907DW67D31010000541</t>
        </is>
      </c>
      <c r="B51" t="inlineStr">
        <is>
          <t>900004907</t>
        </is>
      </c>
      <c r="C51" t="inlineStr">
        <is>
          <t>DW67</t>
        </is>
      </c>
      <c r="D51" t="inlineStr">
        <is>
          <t>D310</t>
        </is>
      </c>
      <c r="E51" t="inlineStr">
        <is>
          <t>4</t>
        </is>
      </c>
      <c r="F51" t="inlineStr">
        <is>
          <t>10000541</t>
        </is>
      </c>
      <c r="H51" t="inlineStr"/>
      <c r="J51" t="n">
        <v>54.25</v>
      </c>
      <c r="K51" t="inlineStr"/>
      <c r="M51" t="inlineStr">
        <is>
          <t>TN</t>
        </is>
      </c>
      <c r="N51" t="inlineStr"/>
      <c r="P51" t="inlineStr">
        <is>
          <t>20220516</t>
        </is>
      </c>
      <c r="Q51" t="inlineStr">
        <is>
          <t>20241113</t>
        </is>
      </c>
    </row>
    <row r="52">
      <c r="A52" t="inlineStr">
        <is>
          <t>900004907DW67D31610000213</t>
        </is>
      </c>
      <c r="B52" t="inlineStr">
        <is>
          <t>900004907</t>
        </is>
      </c>
      <c r="C52" t="inlineStr">
        <is>
          <t>DW67</t>
        </is>
      </c>
      <c r="D52" t="inlineStr">
        <is>
          <t>D316</t>
        </is>
      </c>
      <c r="E52" t="inlineStr">
        <is>
          <t>4</t>
        </is>
      </c>
      <c r="F52" t="inlineStr">
        <is>
          <t>10000213</t>
        </is>
      </c>
      <c r="H52" t="inlineStr"/>
      <c r="J52" t="n">
        <v>98.42</v>
      </c>
      <c r="K52" t="inlineStr"/>
      <c r="M52" t="inlineStr">
        <is>
          <t>TN</t>
        </is>
      </c>
      <c r="N52" t="inlineStr"/>
      <c r="P52" t="inlineStr">
        <is>
          <t>20220516</t>
        </is>
      </c>
      <c r="Q52" t="inlineStr">
        <is>
          <t>20241113</t>
        </is>
      </c>
    </row>
    <row r="53">
      <c r="A53" t="inlineStr">
        <is>
          <t>900004907DW67D31610000370</t>
        </is>
      </c>
      <c r="B53" t="inlineStr">
        <is>
          <t>900004907</t>
        </is>
      </c>
      <c r="C53" t="inlineStr">
        <is>
          <t>DW67</t>
        </is>
      </c>
      <c r="D53" t="inlineStr">
        <is>
          <t>D316</t>
        </is>
      </c>
      <c r="E53" t="inlineStr">
        <is>
          <t>4</t>
        </is>
      </c>
      <c r="F53" t="inlineStr">
        <is>
          <t>10000370</t>
        </is>
      </c>
      <c r="H53" t="inlineStr"/>
      <c r="J53" t="n">
        <v>91.65000000000001</v>
      </c>
      <c r="K53" t="inlineStr"/>
      <c r="M53" t="inlineStr">
        <is>
          <t>TN</t>
        </is>
      </c>
      <c r="N53" t="inlineStr"/>
      <c r="P53" t="inlineStr">
        <is>
          <t>20220516</t>
        </is>
      </c>
      <c r="Q53" t="inlineStr">
        <is>
          <t>20241113</t>
        </is>
      </c>
    </row>
    <row r="54">
      <c r="A54" t="inlineStr">
        <is>
          <t>900004907DW67D31610000541</t>
        </is>
      </c>
      <c r="B54" t="inlineStr">
        <is>
          <t>900004907</t>
        </is>
      </c>
      <c r="C54" t="inlineStr">
        <is>
          <t>DW67</t>
        </is>
      </c>
      <c r="D54" t="inlineStr">
        <is>
          <t>D316</t>
        </is>
      </c>
      <c r="E54" t="inlineStr">
        <is>
          <t>4</t>
        </is>
      </c>
      <c r="F54" t="inlineStr">
        <is>
          <t>10000541</t>
        </is>
      </c>
      <c r="H54" t="inlineStr"/>
      <c r="J54" t="n">
        <v>65.28</v>
      </c>
      <c r="K54" t="inlineStr"/>
      <c r="M54" t="inlineStr">
        <is>
          <t>TN</t>
        </is>
      </c>
      <c r="N54" t="inlineStr"/>
      <c r="P54" t="inlineStr">
        <is>
          <t>20220516</t>
        </is>
      </c>
      <c r="Q54" t="inlineStr">
        <is>
          <t>20241113</t>
        </is>
      </c>
    </row>
    <row r="55">
      <c r="A55" t="inlineStr">
        <is>
          <t>900004920DW67D29210000139</t>
        </is>
      </c>
      <c r="B55" t="inlineStr">
        <is>
          <t>900004920</t>
        </is>
      </c>
      <c r="C55" t="inlineStr">
        <is>
          <t>DW67</t>
        </is>
      </c>
      <c r="D55" t="inlineStr">
        <is>
          <t>D292</t>
        </is>
      </c>
      <c r="E55" t="inlineStr">
        <is>
          <t>1</t>
        </is>
      </c>
      <c r="F55" t="inlineStr">
        <is>
          <t>10000139</t>
        </is>
      </c>
      <c r="H55" t="inlineStr"/>
      <c r="J55" t="n">
        <v>296.97</v>
      </c>
      <c r="K55" t="inlineStr"/>
      <c r="M55" t="inlineStr">
        <is>
          <t>TN</t>
        </is>
      </c>
      <c r="N55" t="inlineStr"/>
      <c r="P55" t="inlineStr">
        <is>
          <t>20210620</t>
        </is>
      </c>
      <c r="Q55" t="inlineStr">
        <is>
          <t>20240320</t>
        </is>
      </c>
    </row>
    <row r="56">
      <c r="A56" t="inlineStr">
        <is>
          <t>900005018DW67D30210000139</t>
        </is>
      </c>
      <c r="B56" t="inlineStr">
        <is>
          <t>900005018</t>
        </is>
      </c>
      <c r="C56" t="inlineStr">
        <is>
          <t>DW67</t>
        </is>
      </c>
      <c r="D56" t="inlineStr">
        <is>
          <t>D302</t>
        </is>
      </c>
      <c r="E56" t="inlineStr">
        <is>
          <t>4</t>
        </is>
      </c>
      <c r="F56" t="inlineStr">
        <is>
          <t>10000139</t>
        </is>
      </c>
      <c r="H56" t="inlineStr"/>
      <c r="J56" t="n">
        <v>129.67</v>
      </c>
      <c r="K56" t="inlineStr"/>
      <c r="M56" t="inlineStr">
        <is>
          <t>TN</t>
        </is>
      </c>
      <c r="N56" t="inlineStr"/>
      <c r="P56" t="inlineStr">
        <is>
          <t>20220516</t>
        </is>
      </c>
      <c r="Q56" t="inlineStr">
        <is>
          <t>20241113</t>
        </is>
      </c>
    </row>
    <row r="57">
      <c r="A57" t="inlineStr">
        <is>
          <t>900005018DW67D31010000139</t>
        </is>
      </c>
      <c r="B57" t="inlineStr">
        <is>
          <t>900005018</t>
        </is>
      </c>
      <c r="C57" t="inlineStr">
        <is>
          <t>DW67</t>
        </is>
      </c>
      <c r="D57" t="inlineStr">
        <is>
          <t>D310</t>
        </is>
      </c>
      <c r="E57" t="inlineStr">
        <is>
          <t>4</t>
        </is>
      </c>
      <c r="F57" t="inlineStr">
        <is>
          <t>10000139</t>
        </is>
      </c>
      <c r="H57" t="inlineStr"/>
      <c r="J57" t="n">
        <v>129.67</v>
      </c>
      <c r="K57" t="inlineStr"/>
      <c r="M57" t="inlineStr">
        <is>
          <t>TN</t>
        </is>
      </c>
      <c r="N57" t="inlineStr"/>
      <c r="P57" t="inlineStr">
        <is>
          <t>20220516</t>
        </is>
      </c>
      <c r="Q57" t="inlineStr">
        <is>
          <t>20241113</t>
        </is>
      </c>
    </row>
    <row r="58">
      <c r="A58" t="inlineStr">
        <is>
          <t>900005018DW67D31610000139</t>
        </is>
      </c>
      <c r="B58" t="inlineStr">
        <is>
          <t>900005018</t>
        </is>
      </c>
      <c r="C58" t="inlineStr">
        <is>
          <t>DW67</t>
        </is>
      </c>
      <c r="D58" t="inlineStr">
        <is>
          <t>D316</t>
        </is>
      </c>
      <c r="E58" t="inlineStr">
        <is>
          <t>4</t>
        </is>
      </c>
      <c r="F58" t="inlineStr">
        <is>
          <t>10000139</t>
        </is>
      </c>
      <c r="H58" t="inlineStr"/>
      <c r="J58" t="n">
        <v>129.67</v>
      </c>
      <c r="K58" t="inlineStr"/>
      <c r="M58" t="inlineStr">
        <is>
          <t>TN</t>
        </is>
      </c>
      <c r="N58" t="inlineStr"/>
      <c r="P58" t="inlineStr">
        <is>
          <t>20220516</t>
        </is>
      </c>
      <c r="Q58" t="inlineStr">
        <is>
          <t>20241113</t>
        </is>
      </c>
    </row>
    <row r="59">
      <c r="A59" t="inlineStr">
        <is>
          <t>900005534DW67D30210000139</t>
        </is>
      </c>
      <c r="B59" t="inlineStr">
        <is>
          <t>900005534</t>
        </is>
      </c>
      <c r="C59" t="inlineStr">
        <is>
          <t>DW67</t>
        </is>
      </c>
      <c r="D59" t="inlineStr">
        <is>
          <t>D302</t>
        </is>
      </c>
      <c r="E59" t="inlineStr">
        <is>
          <t>1</t>
        </is>
      </c>
      <c r="F59" t="inlineStr">
        <is>
          <t>10000139</t>
        </is>
      </c>
      <c r="H59" t="inlineStr"/>
      <c r="J59" t="n">
        <v>598.13</v>
      </c>
      <c r="K59" t="inlineStr"/>
      <c r="M59" t="inlineStr">
        <is>
          <t>TN</t>
        </is>
      </c>
      <c r="N59" t="inlineStr"/>
      <c r="P59" t="inlineStr">
        <is>
          <t>20230301</t>
        </is>
      </c>
      <c r="Q59" t="inlineStr">
        <is>
          <t>99991231</t>
        </is>
      </c>
    </row>
    <row r="60">
      <c r="A60" t="inlineStr">
        <is>
          <t>900005534DW67D30210000444</t>
        </is>
      </c>
      <c r="B60" t="inlineStr">
        <is>
          <t>900005534</t>
        </is>
      </c>
      <c r="C60" t="inlineStr">
        <is>
          <t>DW67</t>
        </is>
      </c>
      <c r="D60" t="inlineStr">
        <is>
          <t>D302</t>
        </is>
      </c>
      <c r="E60" t="inlineStr">
        <is>
          <t>1</t>
        </is>
      </c>
      <c r="F60" t="inlineStr">
        <is>
          <t>10000444</t>
        </is>
      </c>
      <c r="H60" t="inlineStr"/>
      <c r="J60" t="n">
        <v>313.95</v>
      </c>
      <c r="K60" t="inlineStr"/>
      <c r="M60" t="inlineStr">
        <is>
          <t>TN</t>
        </is>
      </c>
      <c r="N60" t="inlineStr"/>
      <c r="P60" t="inlineStr">
        <is>
          <t>20210620</t>
        </is>
      </c>
      <c r="Q60" t="inlineStr">
        <is>
          <t>99991231</t>
        </is>
      </c>
    </row>
    <row r="61">
      <c r="A61" t="inlineStr">
        <is>
          <t>900005831DW67D30210000826</t>
        </is>
      </c>
      <c r="B61" t="inlineStr">
        <is>
          <t>900005831</t>
        </is>
      </c>
      <c r="C61" t="inlineStr">
        <is>
          <t>DW67</t>
        </is>
      </c>
      <c r="D61" t="inlineStr">
        <is>
          <t>D302</t>
        </is>
      </c>
      <c r="E61" t="inlineStr">
        <is>
          <t>4</t>
        </is>
      </c>
      <c r="F61" t="inlineStr">
        <is>
          <t>10000826</t>
        </is>
      </c>
      <c r="H61" t="inlineStr"/>
      <c r="J61" t="n">
        <v>88.28</v>
      </c>
      <c r="K61" t="inlineStr"/>
      <c r="M61" t="inlineStr">
        <is>
          <t>TN</t>
        </is>
      </c>
      <c r="N61" t="inlineStr"/>
      <c r="P61" t="inlineStr">
        <is>
          <t>20210620</t>
        </is>
      </c>
      <c r="Q61" t="inlineStr">
        <is>
          <t>20240320</t>
        </is>
      </c>
    </row>
    <row r="62">
      <c r="A62" t="inlineStr">
        <is>
          <t>900005921DW67D30210000139</t>
        </is>
      </c>
      <c r="B62" t="inlineStr">
        <is>
          <t>900005921</t>
        </is>
      </c>
      <c r="C62" t="inlineStr">
        <is>
          <t>DW67</t>
        </is>
      </c>
      <c r="D62" t="inlineStr">
        <is>
          <t>D302</t>
        </is>
      </c>
      <c r="E62" t="inlineStr">
        <is>
          <t>1</t>
        </is>
      </c>
      <c r="F62" t="inlineStr">
        <is>
          <t>10000139</t>
        </is>
      </c>
      <c r="H62" t="inlineStr"/>
      <c r="J62" t="n">
        <v>246.55</v>
      </c>
      <c r="K62" t="inlineStr"/>
      <c r="M62" t="inlineStr">
        <is>
          <t>TN</t>
        </is>
      </c>
      <c r="N62" t="inlineStr"/>
      <c r="P62" t="inlineStr">
        <is>
          <t>20220124</t>
        </is>
      </c>
      <c r="Q62" t="inlineStr">
        <is>
          <t>20250812</t>
        </is>
      </c>
    </row>
    <row r="63">
      <c r="A63" t="inlineStr">
        <is>
          <t>900005921DW67D30210001652</t>
        </is>
      </c>
      <c r="B63" t="inlineStr">
        <is>
          <t>900005921</t>
        </is>
      </c>
      <c r="C63" t="inlineStr">
        <is>
          <t>DW67</t>
        </is>
      </c>
      <c r="D63" t="inlineStr">
        <is>
          <t>D302</t>
        </is>
      </c>
      <c r="E63" t="inlineStr">
        <is>
          <t>1</t>
        </is>
      </c>
      <c r="F63" t="inlineStr">
        <is>
          <t>10001652</t>
        </is>
      </c>
      <c r="H63" t="inlineStr"/>
      <c r="J63" t="n">
        <v>261.94</v>
      </c>
      <c r="K63" t="inlineStr"/>
      <c r="M63" t="inlineStr">
        <is>
          <t>TN</t>
        </is>
      </c>
      <c r="N63" t="inlineStr"/>
      <c r="P63" t="inlineStr">
        <is>
          <t>20211002</t>
        </is>
      </c>
      <c r="Q63" t="inlineStr">
        <is>
          <t>20250812</t>
        </is>
      </c>
    </row>
    <row r="64">
      <c r="A64" t="inlineStr">
        <is>
          <t>900005921DW67D30210183690</t>
        </is>
      </c>
      <c r="B64" t="inlineStr">
        <is>
          <t>900005921</t>
        </is>
      </c>
      <c r="C64" t="inlineStr">
        <is>
          <t>DW67</t>
        </is>
      </c>
      <c r="D64" t="inlineStr">
        <is>
          <t>D302</t>
        </is>
      </c>
      <c r="E64" t="inlineStr">
        <is>
          <t>1</t>
        </is>
      </c>
      <c r="F64" t="inlineStr">
        <is>
          <t>10183690</t>
        </is>
      </c>
      <c r="H64" t="inlineStr"/>
      <c r="J64" t="n">
        <v>148.91</v>
      </c>
      <c r="K64" t="inlineStr"/>
      <c r="M64" t="inlineStr">
        <is>
          <t>TN</t>
        </is>
      </c>
      <c r="N64" t="inlineStr"/>
      <c r="P64" t="inlineStr">
        <is>
          <t>20220516</t>
        </is>
      </c>
      <c r="Q64" t="inlineStr">
        <is>
          <t>20241113</t>
        </is>
      </c>
    </row>
    <row r="65">
      <c r="A65" t="inlineStr">
        <is>
          <t>900005923DW67D30210000139</t>
        </is>
      </c>
      <c r="B65" t="inlineStr">
        <is>
          <t>900005923</t>
        </is>
      </c>
      <c r="C65" t="inlineStr">
        <is>
          <t>DW67</t>
        </is>
      </c>
      <c r="D65" t="inlineStr">
        <is>
          <t>D302</t>
        </is>
      </c>
      <c r="E65" t="inlineStr">
        <is>
          <t>4</t>
        </is>
      </c>
      <c r="F65" t="inlineStr">
        <is>
          <t>10000139</t>
        </is>
      </c>
      <c r="H65" t="inlineStr"/>
      <c r="J65" t="n">
        <v>812.36</v>
      </c>
      <c r="K65" t="inlineStr"/>
      <c r="M65" t="inlineStr">
        <is>
          <t>TN</t>
        </is>
      </c>
      <c r="N65" t="inlineStr"/>
      <c r="P65" t="inlineStr">
        <is>
          <t>20230214</t>
        </is>
      </c>
      <c r="Q65" t="inlineStr">
        <is>
          <t>20250812</t>
        </is>
      </c>
    </row>
    <row r="66">
      <c r="A66" t="inlineStr">
        <is>
          <t>900006027DW67D30210000178</t>
        </is>
      </c>
      <c r="B66" t="inlineStr">
        <is>
          <t>900006027</t>
        </is>
      </c>
      <c r="C66" t="inlineStr">
        <is>
          <t>DW67</t>
        </is>
      </c>
      <c r="D66" t="inlineStr">
        <is>
          <t>D302</t>
        </is>
      </c>
      <c r="E66" t="inlineStr">
        <is>
          <t>4</t>
        </is>
      </c>
      <c r="F66" t="inlineStr">
        <is>
          <t>10000178</t>
        </is>
      </c>
      <c r="H66" t="inlineStr"/>
      <c r="J66" t="n">
        <v>132.71</v>
      </c>
      <c r="K66" t="inlineStr"/>
      <c r="M66" t="inlineStr">
        <is>
          <t>TN</t>
        </is>
      </c>
      <c r="N66" t="inlineStr"/>
      <c r="P66" t="inlineStr">
        <is>
          <t>20240726</t>
        </is>
      </c>
      <c r="Q66" t="inlineStr">
        <is>
          <t>20251031</t>
        </is>
      </c>
    </row>
    <row r="67">
      <c r="A67" t="inlineStr">
        <is>
          <t>900006027DW67D30210000826</t>
        </is>
      </c>
      <c r="B67" t="inlineStr">
        <is>
          <t>900006027</t>
        </is>
      </c>
      <c r="C67" t="inlineStr">
        <is>
          <t>DW67</t>
        </is>
      </c>
      <c r="D67" t="inlineStr">
        <is>
          <t>D302</t>
        </is>
      </c>
      <c r="E67" t="inlineStr">
        <is>
          <t>4</t>
        </is>
      </c>
      <c r="F67" t="inlineStr">
        <is>
          <t>10000826</t>
        </is>
      </c>
      <c r="H67" t="inlineStr"/>
      <c r="J67" t="n">
        <v>112.41</v>
      </c>
      <c r="K67" t="inlineStr"/>
      <c r="M67" t="inlineStr">
        <is>
          <t>TN</t>
        </is>
      </c>
      <c r="N67" t="inlineStr"/>
      <c r="P67" t="inlineStr">
        <is>
          <t>20260501</t>
        </is>
      </c>
      <c r="Q67" t="inlineStr">
        <is>
          <t>99991231</t>
        </is>
      </c>
    </row>
    <row r="68">
      <c r="A68" t="inlineStr">
        <is>
          <t>900006300DW67D30210000139</t>
        </is>
      </c>
      <c r="B68" t="inlineStr">
        <is>
          <t>900006300</t>
        </is>
      </c>
      <c r="C68" t="inlineStr">
        <is>
          <t>DW67</t>
        </is>
      </c>
      <c r="D68" t="inlineStr">
        <is>
          <t>D302</t>
        </is>
      </c>
      <c r="E68" t="inlineStr">
        <is>
          <t>4</t>
        </is>
      </c>
      <c r="F68" t="inlineStr">
        <is>
          <t>10000139</t>
        </is>
      </c>
      <c r="H68" t="inlineStr"/>
      <c r="J68" t="n">
        <v>808.54</v>
      </c>
      <c r="K68" t="inlineStr"/>
      <c r="M68" t="inlineStr">
        <is>
          <t>TN</t>
        </is>
      </c>
      <c r="N68" t="inlineStr"/>
      <c r="P68" t="inlineStr">
        <is>
          <t>20210620</t>
        </is>
      </c>
      <c r="Q68" t="inlineStr">
        <is>
          <t>20240320</t>
        </is>
      </c>
    </row>
    <row r="69">
      <c r="A69" t="inlineStr">
        <is>
          <t>900006300DW67D30210000178</t>
        </is>
      </c>
      <c r="B69" t="inlineStr">
        <is>
          <t>900006300</t>
        </is>
      </c>
      <c r="C69" t="inlineStr">
        <is>
          <t>DW67</t>
        </is>
      </c>
      <c r="D69" t="inlineStr">
        <is>
          <t>D302</t>
        </is>
      </c>
      <c r="E69" t="inlineStr">
        <is>
          <t>1</t>
        </is>
      </c>
      <c r="F69" t="inlineStr">
        <is>
          <t>10000178</t>
        </is>
      </c>
      <c r="H69" t="inlineStr"/>
      <c r="J69" t="n">
        <v>136.84</v>
      </c>
      <c r="K69" t="inlineStr"/>
      <c r="M69" t="inlineStr">
        <is>
          <t>TN</t>
        </is>
      </c>
      <c r="N69" t="inlineStr"/>
      <c r="P69" t="inlineStr">
        <is>
          <t>20210620</t>
        </is>
      </c>
      <c r="Q69" t="inlineStr">
        <is>
          <t>20240320</t>
        </is>
      </c>
    </row>
    <row r="70">
      <c r="A70" t="inlineStr">
        <is>
          <t>900006300DW67D30210000178</t>
        </is>
      </c>
      <c r="B70" t="inlineStr">
        <is>
          <t>900006300</t>
        </is>
      </c>
      <c r="C70" t="inlineStr">
        <is>
          <t>DW67</t>
        </is>
      </c>
      <c r="D70" t="inlineStr">
        <is>
          <t>D302</t>
        </is>
      </c>
      <c r="E70" t="inlineStr">
        <is>
          <t>4</t>
        </is>
      </c>
      <c r="F70" t="inlineStr">
        <is>
          <t>10000178</t>
        </is>
      </c>
      <c r="H70" t="inlineStr"/>
      <c r="J70" t="n">
        <v>89.58</v>
      </c>
      <c r="K70" t="inlineStr"/>
      <c r="M70" t="inlineStr">
        <is>
          <t>TN</t>
        </is>
      </c>
      <c r="N70" t="inlineStr"/>
      <c r="P70" t="inlineStr">
        <is>
          <t>20210620</t>
        </is>
      </c>
      <c r="Q70" t="inlineStr">
        <is>
          <t>20240320</t>
        </is>
      </c>
    </row>
    <row r="71">
      <c r="A71" t="inlineStr">
        <is>
          <t>900006300DW67D30210000826</t>
        </is>
      </c>
      <c r="B71" t="inlineStr">
        <is>
          <t>900006300</t>
        </is>
      </c>
      <c r="C71" t="inlineStr">
        <is>
          <t>DW67</t>
        </is>
      </c>
      <c r="D71" t="inlineStr">
        <is>
          <t>D302</t>
        </is>
      </c>
      <c r="E71" t="inlineStr">
        <is>
          <t>1</t>
        </is>
      </c>
      <c r="F71" t="inlineStr">
        <is>
          <t>10000826</t>
        </is>
      </c>
      <c r="H71" t="inlineStr"/>
      <c r="J71" t="n">
        <v>87.12</v>
      </c>
      <c r="K71" t="inlineStr"/>
      <c r="M71" t="inlineStr">
        <is>
          <t>TN</t>
        </is>
      </c>
      <c r="N71" t="inlineStr"/>
      <c r="P71" t="inlineStr">
        <is>
          <t>20210620</t>
        </is>
      </c>
      <c r="Q71" t="inlineStr">
        <is>
          <t>20240320</t>
        </is>
      </c>
    </row>
    <row r="72">
      <c r="A72" t="inlineStr">
        <is>
          <t>900006300DW67D30210000826</t>
        </is>
      </c>
      <c r="B72" t="inlineStr">
        <is>
          <t>900006300</t>
        </is>
      </c>
      <c r="C72" t="inlineStr">
        <is>
          <t>DW67</t>
        </is>
      </c>
      <c r="D72" t="inlineStr">
        <is>
          <t>D302</t>
        </is>
      </c>
      <c r="E72" t="inlineStr">
        <is>
          <t>4</t>
        </is>
      </c>
      <c r="F72" t="inlineStr">
        <is>
          <t>10000826</t>
        </is>
      </c>
      <c r="H72" t="inlineStr"/>
      <c r="J72" t="n">
        <v>89.66</v>
      </c>
      <c r="K72" t="inlineStr"/>
      <c r="M72" t="inlineStr">
        <is>
          <t>TN</t>
        </is>
      </c>
      <c r="N72" t="inlineStr"/>
      <c r="P72" t="inlineStr">
        <is>
          <t>20210620</t>
        </is>
      </c>
      <c r="Q72" t="inlineStr">
        <is>
          <t>20240320</t>
        </is>
      </c>
    </row>
    <row r="73">
      <c r="A73" t="inlineStr">
        <is>
          <t>900006304DW67D30210000826</t>
        </is>
      </c>
      <c r="B73" t="inlineStr">
        <is>
          <t>900006304</t>
        </is>
      </c>
      <c r="C73" t="inlineStr">
        <is>
          <t>DW67</t>
        </is>
      </c>
      <c r="D73" t="inlineStr">
        <is>
          <t>D302</t>
        </is>
      </c>
      <c r="E73" t="inlineStr">
        <is>
          <t>1</t>
        </is>
      </c>
      <c r="F73" t="inlineStr">
        <is>
          <t>10000826</t>
        </is>
      </c>
      <c r="H73" t="inlineStr"/>
      <c r="J73" t="n">
        <v>208.28</v>
      </c>
      <c r="K73" t="inlineStr"/>
      <c r="M73" t="inlineStr">
        <is>
          <t>TN</t>
        </is>
      </c>
      <c r="N73" t="inlineStr"/>
      <c r="P73" t="inlineStr">
        <is>
          <t>20210620</t>
        </is>
      </c>
      <c r="Q73" t="inlineStr">
        <is>
          <t>20240320</t>
        </is>
      </c>
    </row>
    <row r="74">
      <c r="A74" t="inlineStr">
        <is>
          <t>900006379DW67D30210000396</t>
        </is>
      </c>
      <c r="B74" t="inlineStr">
        <is>
          <t>900006379</t>
        </is>
      </c>
      <c r="C74" t="inlineStr">
        <is>
          <t>DW67</t>
        </is>
      </c>
      <c r="D74" t="inlineStr">
        <is>
          <t>D302</t>
        </is>
      </c>
      <c r="E74" t="inlineStr">
        <is>
          <t>1</t>
        </is>
      </c>
      <c r="F74" t="inlineStr">
        <is>
          <t>10000396</t>
        </is>
      </c>
      <c r="H74" t="inlineStr"/>
      <c r="J74" t="n">
        <v>246.11</v>
      </c>
      <c r="K74" t="inlineStr"/>
      <c r="M74" t="inlineStr">
        <is>
          <t>TN</t>
        </is>
      </c>
      <c r="N74" t="inlineStr"/>
      <c r="P74" t="inlineStr">
        <is>
          <t>20210620</t>
        </is>
      </c>
      <c r="Q74" t="inlineStr">
        <is>
          <t>20240320</t>
        </is>
      </c>
    </row>
    <row r="75">
      <c r="A75" t="inlineStr">
        <is>
          <t>900006420DW67D30210000372</t>
        </is>
      </c>
      <c r="B75" t="inlineStr">
        <is>
          <t>900006420</t>
        </is>
      </c>
      <c r="C75" t="inlineStr">
        <is>
          <t>DW67</t>
        </is>
      </c>
      <c r="D75" t="inlineStr">
        <is>
          <t>D302</t>
        </is>
      </c>
      <c r="E75" t="inlineStr">
        <is>
          <t>4</t>
        </is>
      </c>
      <c r="F75" t="inlineStr">
        <is>
          <t>10000372</t>
        </is>
      </c>
      <c r="H75" t="inlineStr"/>
      <c r="J75" t="n">
        <v>310.77</v>
      </c>
      <c r="K75" t="inlineStr"/>
      <c r="M75" t="inlineStr">
        <is>
          <t>TN</t>
        </is>
      </c>
      <c r="N75" t="inlineStr"/>
      <c r="P75" t="inlineStr">
        <is>
          <t>20240216</t>
        </is>
      </c>
      <c r="Q75" t="inlineStr">
        <is>
          <t>20250812</t>
        </is>
      </c>
    </row>
    <row r="76">
      <c r="A76" t="inlineStr">
        <is>
          <t>900006457DW67D29210000139</t>
        </is>
      </c>
      <c r="B76" t="inlineStr">
        <is>
          <t>900006457</t>
        </is>
      </c>
      <c r="C76" t="inlineStr">
        <is>
          <t>DW67</t>
        </is>
      </c>
      <c r="D76" t="inlineStr">
        <is>
          <t>D292</t>
        </is>
      </c>
      <c r="E76" t="inlineStr">
        <is>
          <t>1</t>
        </is>
      </c>
      <c r="F76" t="inlineStr">
        <is>
          <t>10000139</t>
        </is>
      </c>
      <c r="H76" t="inlineStr"/>
      <c r="J76" t="n">
        <v>277.48</v>
      </c>
      <c r="K76" t="inlineStr"/>
      <c r="M76" t="inlineStr">
        <is>
          <t>TN</t>
        </is>
      </c>
      <c r="N76" t="inlineStr"/>
      <c r="P76" t="inlineStr">
        <is>
          <t>20210620</t>
        </is>
      </c>
      <c r="Q76" t="inlineStr">
        <is>
          <t>20240320</t>
        </is>
      </c>
    </row>
    <row r="77">
      <c r="A77" t="inlineStr">
        <is>
          <t>900006465DW67D30210000541</t>
        </is>
      </c>
      <c r="B77" t="inlineStr">
        <is>
          <t>900006465</t>
        </is>
      </c>
      <c r="C77" t="inlineStr">
        <is>
          <t>DW67</t>
        </is>
      </c>
      <c r="D77" t="inlineStr">
        <is>
          <t>D302</t>
        </is>
      </c>
      <c r="E77" t="inlineStr">
        <is>
          <t>1</t>
        </is>
      </c>
      <c r="F77" t="inlineStr">
        <is>
          <t>10000541</t>
        </is>
      </c>
      <c r="H77" t="inlineStr"/>
      <c r="J77" t="n">
        <v>76.01000000000001</v>
      </c>
      <c r="K77" t="inlineStr"/>
      <c r="M77" t="inlineStr">
        <is>
          <t>TN</t>
        </is>
      </c>
      <c r="N77" t="inlineStr"/>
      <c r="P77" t="inlineStr">
        <is>
          <t>20220516</t>
        </is>
      </c>
      <c r="Q77" t="inlineStr">
        <is>
          <t>20241113</t>
        </is>
      </c>
    </row>
    <row r="78">
      <c r="A78" t="inlineStr">
        <is>
          <t>900006500DW67D30210000178</t>
        </is>
      </c>
      <c r="B78" t="inlineStr">
        <is>
          <t>900006500</t>
        </is>
      </c>
      <c r="C78" t="inlineStr">
        <is>
          <t>DW67</t>
        </is>
      </c>
      <c r="D78" t="inlineStr">
        <is>
          <t>D302</t>
        </is>
      </c>
      <c r="E78" t="inlineStr">
        <is>
          <t>4</t>
        </is>
      </c>
      <c r="F78" t="inlineStr">
        <is>
          <t>10000178</t>
        </is>
      </c>
      <c r="H78" t="inlineStr"/>
      <c r="J78" t="n">
        <v>132.71</v>
      </c>
      <c r="K78" t="inlineStr"/>
      <c r="M78" t="inlineStr">
        <is>
          <t>TN</t>
        </is>
      </c>
      <c r="N78" t="inlineStr"/>
      <c r="P78" t="inlineStr">
        <is>
          <t>20240902</t>
        </is>
      </c>
      <c r="Q78" t="inlineStr">
        <is>
          <t>99991231</t>
        </is>
      </c>
    </row>
    <row r="79">
      <c r="A79" t="inlineStr">
        <is>
          <t>900006500DW67D30210000826</t>
        </is>
      </c>
      <c r="B79" t="inlineStr">
        <is>
          <t>900006500</t>
        </is>
      </c>
      <c r="C79" t="inlineStr">
        <is>
          <t>DW67</t>
        </is>
      </c>
      <c r="D79" t="inlineStr">
        <is>
          <t>D302</t>
        </is>
      </c>
      <c r="E79" t="inlineStr">
        <is>
          <t>4</t>
        </is>
      </c>
      <c r="F79" t="inlineStr">
        <is>
          <t>10000826</t>
        </is>
      </c>
      <c r="H79" t="inlineStr"/>
      <c r="J79" t="n">
        <v>135.45</v>
      </c>
      <c r="K79" t="inlineStr"/>
      <c r="M79" t="inlineStr">
        <is>
          <t>TN</t>
        </is>
      </c>
      <c r="N79" t="inlineStr"/>
      <c r="P79" t="inlineStr">
        <is>
          <t>20260115</t>
        </is>
      </c>
      <c r="Q79" t="inlineStr">
        <is>
          <t>99991231</t>
        </is>
      </c>
    </row>
    <row r="80">
      <c r="A80" t="inlineStr">
        <is>
          <t>900006567DW67D30210210039</t>
        </is>
      </c>
      <c r="B80" t="inlineStr">
        <is>
          <t>900006567</t>
        </is>
      </c>
      <c r="C80" t="inlineStr">
        <is>
          <t>DW67</t>
        </is>
      </c>
      <c r="D80" t="inlineStr">
        <is>
          <t>D302</t>
        </is>
      </c>
      <c r="E80" t="inlineStr">
        <is>
          <t>4</t>
        </is>
      </c>
      <c r="F80" t="inlineStr">
        <is>
          <t>10210039</t>
        </is>
      </c>
      <c r="H80" t="inlineStr"/>
      <c r="J80" t="n">
        <v>144.78</v>
      </c>
      <c r="K80" t="inlineStr"/>
      <c r="M80" t="inlineStr">
        <is>
          <t>TN</t>
        </is>
      </c>
      <c r="N80" t="inlineStr"/>
      <c r="P80" t="inlineStr">
        <is>
          <t>20210620</t>
        </is>
      </c>
      <c r="Q80" t="inlineStr">
        <is>
          <t>20240320</t>
        </is>
      </c>
    </row>
    <row r="81">
      <c r="A81" t="inlineStr">
        <is>
          <t>900006723DW67D30210047545</t>
        </is>
      </c>
      <c r="B81" t="inlineStr">
        <is>
          <t>900006723</t>
        </is>
      </c>
      <c r="C81" t="inlineStr">
        <is>
          <t>DW67</t>
        </is>
      </c>
      <c r="D81" t="inlineStr">
        <is>
          <t>D302</t>
        </is>
      </c>
      <c r="E81" t="inlineStr">
        <is>
          <t>4</t>
        </is>
      </c>
      <c r="F81" t="inlineStr">
        <is>
          <t>10047545</t>
        </is>
      </c>
      <c r="H81" t="inlineStr"/>
      <c r="J81" t="n">
        <v>205.48</v>
      </c>
      <c r="K81" t="inlineStr"/>
      <c r="M81" t="inlineStr">
        <is>
          <t>TN</t>
        </is>
      </c>
      <c r="N81" t="inlineStr"/>
      <c r="P81" t="inlineStr">
        <is>
          <t>20241129</t>
        </is>
      </c>
      <c r="Q81" t="inlineStr">
        <is>
          <t>20250812</t>
        </is>
      </c>
    </row>
    <row r="82">
      <c r="A82" t="inlineStr">
        <is>
          <t>900007052DW67D30210000372</t>
        </is>
      </c>
      <c r="B82" t="inlineStr">
        <is>
          <t>900007052</t>
        </is>
      </c>
      <c r="C82" t="inlineStr">
        <is>
          <t>DW67</t>
        </is>
      </c>
      <c r="D82" t="inlineStr">
        <is>
          <t>D302</t>
        </is>
      </c>
      <c r="E82" t="inlineStr">
        <is>
          <t>4</t>
        </is>
      </c>
      <c r="F82" t="inlineStr">
        <is>
          <t>10000372</t>
        </is>
      </c>
      <c r="H82" t="inlineStr"/>
      <c r="J82" t="n">
        <v>386.74</v>
      </c>
      <c r="K82" t="inlineStr"/>
      <c r="M82" t="inlineStr">
        <is>
          <t>TN</t>
        </is>
      </c>
      <c r="N82" t="inlineStr"/>
      <c r="P82" t="inlineStr">
        <is>
          <t>20240207</t>
        </is>
      </c>
      <c r="Q82" t="inlineStr">
        <is>
          <t>99991231</t>
        </is>
      </c>
    </row>
    <row r="83">
      <c r="A83" t="inlineStr">
        <is>
          <t>900007052DW67D30210000398</t>
        </is>
      </c>
      <c r="B83" t="inlineStr">
        <is>
          <t>900007052</t>
        </is>
      </c>
      <c r="C83" t="inlineStr">
        <is>
          <t>DW67</t>
        </is>
      </c>
      <c r="D83" t="inlineStr">
        <is>
          <t>D302</t>
        </is>
      </c>
      <c r="E83" t="inlineStr">
        <is>
          <t>4</t>
        </is>
      </c>
      <c r="F83" t="inlineStr">
        <is>
          <t>10000398</t>
        </is>
      </c>
      <c r="H83" t="inlineStr"/>
      <c r="J83" t="n">
        <v>377.57</v>
      </c>
      <c r="K83" t="inlineStr"/>
      <c r="M83" t="inlineStr">
        <is>
          <t>TN</t>
        </is>
      </c>
      <c r="N83" t="inlineStr"/>
      <c r="P83" t="inlineStr">
        <is>
          <t>20241030</t>
        </is>
      </c>
      <c r="Q83" t="inlineStr">
        <is>
          <t>99991231</t>
        </is>
      </c>
    </row>
    <row r="84">
      <c r="A84" t="inlineStr">
        <is>
          <t>900007163DW67D30210000178</t>
        </is>
      </c>
      <c r="B84" t="inlineStr">
        <is>
          <t>900007163</t>
        </is>
      </c>
      <c r="C84" t="inlineStr">
        <is>
          <t>DW67</t>
        </is>
      </c>
      <c r="D84" t="inlineStr">
        <is>
          <t>D302</t>
        </is>
      </c>
      <c r="E84" t="inlineStr">
        <is>
          <t>1</t>
        </is>
      </c>
      <c r="F84" t="inlineStr">
        <is>
          <t>10000178</t>
        </is>
      </c>
      <c r="H84" t="inlineStr"/>
      <c r="J84" t="n">
        <v>193.21</v>
      </c>
      <c r="K84" t="inlineStr"/>
      <c r="M84" t="inlineStr">
        <is>
          <t>TN</t>
        </is>
      </c>
      <c r="N84" t="inlineStr"/>
      <c r="P84" t="inlineStr">
        <is>
          <t>20210620</t>
        </is>
      </c>
      <c r="Q84" t="inlineStr">
        <is>
          <t>20240320</t>
        </is>
      </c>
    </row>
    <row r="85">
      <c r="A85" t="inlineStr">
        <is>
          <t>900007282DW67D29210000139</t>
        </is>
      </c>
      <c r="B85" t="inlineStr">
        <is>
          <t>900007282</t>
        </is>
      </c>
      <c r="C85" t="inlineStr">
        <is>
          <t>DW67</t>
        </is>
      </c>
      <c r="D85" t="inlineStr">
        <is>
          <t>D292</t>
        </is>
      </c>
      <c r="E85" t="inlineStr">
        <is>
          <t>1</t>
        </is>
      </c>
      <c r="F85" t="inlineStr">
        <is>
          <t>10000139</t>
        </is>
      </c>
      <c r="H85" t="inlineStr"/>
      <c r="J85" t="n">
        <v>293.58</v>
      </c>
      <c r="K85" t="inlineStr"/>
      <c r="M85" t="inlineStr">
        <is>
          <t>TN</t>
        </is>
      </c>
      <c r="N85" t="inlineStr"/>
      <c r="P85" t="inlineStr">
        <is>
          <t>20210620</t>
        </is>
      </c>
      <c r="Q85" t="inlineStr">
        <is>
          <t>20240320</t>
        </is>
      </c>
    </row>
    <row r="86">
      <c r="A86" t="inlineStr">
        <is>
          <t>900007715DW67D30210210039</t>
        </is>
      </c>
      <c r="B86" t="inlineStr">
        <is>
          <t>900007715</t>
        </is>
      </c>
      <c r="C86" t="inlineStr">
        <is>
          <t>DW67</t>
        </is>
      </c>
      <c r="D86" t="inlineStr">
        <is>
          <t>D302</t>
        </is>
      </c>
      <c r="E86" t="inlineStr">
        <is>
          <t>4</t>
        </is>
      </c>
      <c r="F86" t="inlineStr">
        <is>
          <t>10210039</t>
        </is>
      </c>
      <c r="H86" t="inlineStr"/>
      <c r="J86" t="n">
        <v>279.46</v>
      </c>
      <c r="K86" t="inlineStr"/>
      <c r="M86" t="inlineStr">
        <is>
          <t>TN</t>
        </is>
      </c>
      <c r="N86" t="inlineStr"/>
      <c r="P86" t="inlineStr">
        <is>
          <t>20250502</t>
        </is>
      </c>
      <c r="Q86" t="inlineStr">
        <is>
          <t>99991231</t>
        </is>
      </c>
    </row>
    <row r="87">
      <c r="A87" t="inlineStr">
        <is>
          <t>900007800DW67D28410000541</t>
        </is>
      </c>
      <c r="B87" t="inlineStr">
        <is>
          <t>900007800</t>
        </is>
      </c>
      <c r="C87" t="inlineStr">
        <is>
          <t>DW67</t>
        </is>
      </c>
      <c r="D87" t="inlineStr">
        <is>
          <t>D284</t>
        </is>
      </c>
      <c r="E87" t="inlineStr">
        <is>
          <t>4</t>
        </is>
      </c>
      <c r="F87" t="inlineStr">
        <is>
          <t>10000541</t>
        </is>
      </c>
      <c r="H87" t="inlineStr"/>
      <c r="J87" t="n">
        <v>327.23</v>
      </c>
      <c r="K87" t="inlineStr"/>
      <c r="M87" t="inlineStr">
        <is>
          <t>TN</t>
        </is>
      </c>
      <c r="N87" t="inlineStr"/>
      <c r="P87" t="inlineStr">
        <is>
          <t>20240627</t>
        </is>
      </c>
      <c r="Q87" t="inlineStr">
        <is>
          <t>20240705</t>
        </is>
      </c>
    </row>
    <row r="88">
      <c r="A88" t="inlineStr">
        <is>
          <t>900007800DW67D30210000139</t>
        </is>
      </c>
      <c r="B88" t="inlineStr">
        <is>
          <t>900007800</t>
        </is>
      </c>
      <c r="C88" t="inlineStr">
        <is>
          <t>DW67</t>
        </is>
      </c>
      <c r="D88" t="inlineStr">
        <is>
          <t>D302</t>
        </is>
      </c>
      <c r="E88" t="inlineStr">
        <is>
          <t>4</t>
        </is>
      </c>
      <c r="F88" t="inlineStr">
        <is>
          <t>10000139</t>
        </is>
      </c>
      <c r="H88" t="inlineStr"/>
      <c r="J88" t="n">
        <v>358.5</v>
      </c>
      <c r="K88" t="inlineStr"/>
      <c r="M88" t="inlineStr">
        <is>
          <t>TN</t>
        </is>
      </c>
      <c r="N88" t="inlineStr"/>
      <c r="P88" t="inlineStr">
        <is>
          <t>20241007</t>
        </is>
      </c>
      <c r="Q88" t="inlineStr">
        <is>
          <t>99991231</t>
        </is>
      </c>
    </row>
    <row r="89">
      <c r="A89" t="inlineStr">
        <is>
          <t>900007800DW67D30210000541</t>
        </is>
      </c>
      <c r="B89" t="inlineStr">
        <is>
          <t>900007800</t>
        </is>
      </c>
      <c r="C89" t="inlineStr">
        <is>
          <t>DW67</t>
        </is>
      </c>
      <c r="D89" t="inlineStr">
        <is>
          <t>D302</t>
        </is>
      </c>
      <c r="E89" t="inlineStr">
        <is>
          <t>4</t>
        </is>
      </c>
      <c r="F89" t="inlineStr">
        <is>
          <t>10000541</t>
        </is>
      </c>
      <c r="H89" t="inlineStr"/>
      <c r="J89" t="n">
        <v>163.61</v>
      </c>
      <c r="K89" t="inlineStr"/>
      <c r="M89" t="inlineStr">
        <is>
          <t>TN</t>
        </is>
      </c>
      <c r="N89" t="inlineStr"/>
      <c r="P89" t="inlineStr">
        <is>
          <t>20250905</t>
        </is>
      </c>
      <c r="Q89" t="inlineStr">
        <is>
          <t>99991231</t>
        </is>
      </c>
    </row>
    <row r="90">
      <c r="A90" t="inlineStr">
        <is>
          <t>900007800DW67D30210047545</t>
        </is>
      </c>
      <c r="B90" t="inlineStr">
        <is>
          <t>900007800</t>
        </is>
      </c>
      <c r="C90" t="inlineStr">
        <is>
          <t>DW67</t>
        </is>
      </c>
      <c r="D90" t="inlineStr">
        <is>
          <t>D302</t>
        </is>
      </c>
      <c r="E90" t="inlineStr">
        <is>
          <t>4</t>
        </is>
      </c>
      <c r="F90" t="inlineStr">
        <is>
          <t>10047545</t>
        </is>
      </c>
      <c r="H90" t="inlineStr"/>
      <c r="J90" t="n">
        <v>205.48</v>
      </c>
      <c r="K90" t="inlineStr"/>
      <c r="M90" t="inlineStr">
        <is>
          <t>TN</t>
        </is>
      </c>
      <c r="N90" t="inlineStr"/>
      <c r="P90" t="inlineStr">
        <is>
          <t>20241121</t>
        </is>
      </c>
      <c r="Q90" t="inlineStr">
        <is>
          <t>99991231</t>
        </is>
      </c>
    </row>
    <row r="91">
      <c r="A91" t="inlineStr">
        <is>
          <t>900007887DW67D30210000178</t>
        </is>
      </c>
      <c r="B91" t="inlineStr">
        <is>
          <t>900007887</t>
        </is>
      </c>
      <c r="C91" t="inlineStr">
        <is>
          <t>DW67</t>
        </is>
      </c>
      <c r="D91" t="inlineStr">
        <is>
          <t>D302</t>
        </is>
      </c>
      <c r="E91" t="inlineStr">
        <is>
          <t>4</t>
        </is>
      </c>
      <c r="F91" t="inlineStr">
        <is>
          <t>10000178</t>
        </is>
      </c>
      <c r="H91" t="inlineStr"/>
      <c r="J91" t="n">
        <v>99.54000000000001</v>
      </c>
      <c r="K91" t="inlineStr"/>
      <c r="M91" t="inlineStr">
        <is>
          <t>TN</t>
        </is>
      </c>
      <c r="N91" t="inlineStr"/>
      <c r="P91" t="inlineStr">
        <is>
          <t>20240726</t>
        </is>
      </c>
      <c r="Q91" t="inlineStr">
        <is>
          <t>20251031</t>
        </is>
      </c>
    </row>
    <row r="92">
      <c r="A92" t="inlineStr">
        <is>
          <t>900007887DW67D30210000826</t>
        </is>
      </c>
      <c r="B92" t="inlineStr">
        <is>
          <t>900007887</t>
        </is>
      </c>
      <c r="C92" t="inlineStr">
        <is>
          <t>DW67</t>
        </is>
      </c>
      <c r="D92" t="inlineStr">
        <is>
          <t>D302</t>
        </is>
      </c>
      <c r="E92" t="inlineStr">
        <is>
          <t>4</t>
        </is>
      </c>
      <c r="F92" t="inlineStr">
        <is>
          <t>10000826</t>
        </is>
      </c>
      <c r="H92" t="inlineStr"/>
      <c r="J92" t="n">
        <v>110.34</v>
      </c>
      <c r="K92" t="inlineStr"/>
      <c r="M92" t="inlineStr">
        <is>
          <t>TN</t>
        </is>
      </c>
      <c r="N92" t="inlineStr"/>
      <c r="P92" t="inlineStr">
        <is>
          <t>20230228</t>
        </is>
      </c>
      <c r="Q92" t="inlineStr">
        <is>
          <t>99991231</t>
        </is>
      </c>
    </row>
    <row r="93">
      <c r="A93" t="inlineStr">
        <is>
          <t>900007952DW67D30210210039</t>
        </is>
      </c>
      <c r="B93" t="inlineStr">
        <is>
          <t>900007952</t>
        </is>
      </c>
      <c r="C93" t="inlineStr">
        <is>
          <t>DW67</t>
        </is>
      </c>
      <c r="D93" t="inlineStr">
        <is>
          <t>D302</t>
        </is>
      </c>
      <c r="E93" t="inlineStr">
        <is>
          <t>1</t>
        </is>
      </c>
      <c r="F93" t="inlineStr">
        <is>
          <t>10210039</t>
        </is>
      </c>
      <c r="H93" t="inlineStr"/>
      <c r="J93" t="n">
        <v>216.56</v>
      </c>
      <c r="K93" t="inlineStr"/>
      <c r="M93" t="inlineStr">
        <is>
          <t>TN</t>
        </is>
      </c>
      <c r="N93" t="inlineStr"/>
      <c r="P93" t="inlineStr">
        <is>
          <t>20210620</t>
        </is>
      </c>
      <c r="Q93" t="inlineStr">
        <is>
          <t>20240320</t>
        </is>
      </c>
    </row>
    <row r="94">
      <c r="A94" t="inlineStr">
        <is>
          <t>900007971DW67D30210000139</t>
        </is>
      </c>
      <c r="B94" t="inlineStr">
        <is>
          <t>900007971</t>
        </is>
      </c>
      <c r="C94" t="inlineStr">
        <is>
          <t>DW67</t>
        </is>
      </c>
      <c r="D94" t="inlineStr">
        <is>
          <t>D302</t>
        </is>
      </c>
      <c r="E94" t="inlineStr">
        <is>
          <t>4</t>
        </is>
      </c>
      <c r="F94" t="inlineStr">
        <is>
          <t>10000139</t>
        </is>
      </c>
      <c r="H94" t="inlineStr"/>
      <c r="J94" t="n">
        <v>320.37</v>
      </c>
      <c r="K94" t="inlineStr"/>
      <c r="M94" t="inlineStr">
        <is>
          <t>TN</t>
        </is>
      </c>
      <c r="N94" t="inlineStr"/>
      <c r="P94" t="inlineStr">
        <is>
          <t>20240712</t>
        </is>
      </c>
      <c r="Q94" t="inlineStr">
        <is>
          <t>20250812</t>
        </is>
      </c>
    </row>
    <row r="95">
      <c r="A95" t="inlineStr">
        <is>
          <t>900007979DW67D18010000178</t>
        </is>
      </c>
      <c r="B95" t="inlineStr">
        <is>
          <t>900007979</t>
        </is>
      </c>
      <c r="C95" t="inlineStr">
        <is>
          <t>DW67</t>
        </is>
      </c>
      <c r="D95" t="inlineStr">
        <is>
          <t>D180</t>
        </is>
      </c>
      <c r="E95" t="inlineStr">
        <is>
          <t>4</t>
        </is>
      </c>
      <c r="F95" t="inlineStr">
        <is>
          <t>10000178</t>
        </is>
      </c>
      <c r="H95" t="inlineStr"/>
      <c r="J95" t="n">
        <v>199.07</v>
      </c>
      <c r="K95" t="inlineStr"/>
      <c r="M95" t="inlineStr">
        <is>
          <t>TN</t>
        </is>
      </c>
      <c r="N95" t="inlineStr"/>
      <c r="P95" t="inlineStr">
        <is>
          <t>20220516</t>
        </is>
      </c>
      <c r="Q95" t="inlineStr">
        <is>
          <t>20241113</t>
        </is>
      </c>
    </row>
    <row r="96">
      <c r="A96" t="inlineStr">
        <is>
          <t>900007979DW67D18010000398</t>
        </is>
      </c>
      <c r="B96" t="inlineStr">
        <is>
          <t>900007979</t>
        </is>
      </c>
      <c r="C96" t="inlineStr">
        <is>
          <t>DW67</t>
        </is>
      </c>
      <c r="D96" t="inlineStr">
        <is>
          <t>D180</t>
        </is>
      </c>
      <c r="E96" t="inlineStr">
        <is>
          <t>4</t>
        </is>
      </c>
      <c r="F96" t="inlineStr">
        <is>
          <t>10000398</t>
        </is>
      </c>
      <c r="H96" t="inlineStr"/>
      <c r="J96" t="n">
        <v>987.8</v>
      </c>
      <c r="K96" t="inlineStr"/>
      <c r="M96" t="inlineStr">
        <is>
          <t>TN</t>
        </is>
      </c>
      <c r="N96" t="inlineStr"/>
      <c r="P96" t="inlineStr">
        <is>
          <t>20220516</t>
        </is>
      </c>
      <c r="Q96" t="inlineStr">
        <is>
          <t>20241113</t>
        </is>
      </c>
    </row>
    <row r="97">
      <c r="A97" t="inlineStr">
        <is>
          <t>900007979DW67D18010000826</t>
        </is>
      </c>
      <c r="B97" t="inlineStr">
        <is>
          <t>900007979</t>
        </is>
      </c>
      <c r="C97" t="inlineStr">
        <is>
          <t>DW67</t>
        </is>
      </c>
      <c r="D97" t="inlineStr">
        <is>
          <t>D180</t>
        </is>
      </c>
      <c r="E97" t="inlineStr">
        <is>
          <t>4</t>
        </is>
      </c>
      <c r="F97" t="inlineStr">
        <is>
          <t>10000826</t>
        </is>
      </c>
      <c r="H97" t="inlineStr"/>
      <c r="J97" t="n">
        <v>179.31</v>
      </c>
      <c r="K97" t="inlineStr"/>
      <c r="M97" t="inlineStr">
        <is>
          <t>TN</t>
        </is>
      </c>
      <c r="N97" t="inlineStr"/>
      <c r="P97" t="inlineStr">
        <is>
          <t>20220516</t>
        </is>
      </c>
      <c r="Q97" t="inlineStr">
        <is>
          <t>20241113</t>
        </is>
      </c>
    </row>
    <row r="98">
      <c r="A98" t="inlineStr">
        <is>
          <t>900007979DW67D30210000178</t>
        </is>
      </c>
      <c r="B98" t="inlineStr">
        <is>
          <t>900007979</t>
        </is>
      </c>
      <c r="C98" t="inlineStr">
        <is>
          <t>DW67</t>
        </is>
      </c>
      <c r="D98" t="inlineStr">
        <is>
          <t>D302</t>
        </is>
      </c>
      <c r="E98" t="inlineStr">
        <is>
          <t>4</t>
        </is>
      </c>
      <c r="F98" t="inlineStr">
        <is>
          <t>10000178</t>
        </is>
      </c>
      <c r="H98" t="inlineStr"/>
      <c r="J98" t="n">
        <v>152.62</v>
      </c>
      <c r="K98" t="inlineStr"/>
      <c r="M98" t="inlineStr">
        <is>
          <t>TN</t>
        </is>
      </c>
      <c r="N98" t="inlineStr"/>
      <c r="P98" t="inlineStr">
        <is>
          <t>20240715</t>
        </is>
      </c>
      <c r="Q98" t="inlineStr">
        <is>
          <t>99991231</t>
        </is>
      </c>
    </row>
    <row r="99">
      <c r="A99" t="inlineStr">
        <is>
          <t>900007979DW67D30210000372</t>
        </is>
      </c>
      <c r="B99" t="inlineStr">
        <is>
          <t>900007979</t>
        </is>
      </c>
      <c r="C99" t="inlineStr">
        <is>
          <t>DW67</t>
        </is>
      </c>
      <c r="D99" t="inlineStr">
        <is>
          <t>D302</t>
        </is>
      </c>
      <c r="E99" t="inlineStr">
        <is>
          <t>4</t>
        </is>
      </c>
      <c r="F99" t="inlineStr">
        <is>
          <t>10000372</t>
        </is>
      </c>
      <c r="H99" t="inlineStr"/>
      <c r="J99" t="n">
        <v>414.36</v>
      </c>
      <c r="K99" t="inlineStr"/>
      <c r="M99" t="inlineStr">
        <is>
          <t>TN</t>
        </is>
      </c>
      <c r="N99" t="inlineStr"/>
      <c r="P99" t="inlineStr">
        <is>
          <t>20240726</t>
        </is>
      </c>
      <c r="Q99" t="inlineStr">
        <is>
          <t>20251031</t>
        </is>
      </c>
    </row>
    <row r="100">
      <c r="A100" t="inlineStr">
        <is>
          <t>900007979DW67D30210000398</t>
        </is>
      </c>
      <c r="B100" t="inlineStr">
        <is>
          <t>900007979</t>
        </is>
      </c>
      <c r="C100" t="inlineStr">
        <is>
          <t>DW67</t>
        </is>
      </c>
      <c r="D100" t="inlineStr">
        <is>
          <t>D302</t>
        </is>
      </c>
      <c r="E100" t="inlineStr">
        <is>
          <t>4</t>
        </is>
      </c>
      <c r="F100" t="inlineStr">
        <is>
          <t>10000398</t>
        </is>
      </c>
      <c r="H100" t="inlineStr"/>
      <c r="J100" t="n">
        <v>316.55</v>
      </c>
      <c r="K100" t="inlineStr"/>
      <c r="M100" t="inlineStr">
        <is>
          <t>TN</t>
        </is>
      </c>
      <c r="N100" t="inlineStr"/>
      <c r="P100" t="inlineStr">
        <is>
          <t>20240726</t>
        </is>
      </c>
      <c r="Q100" t="inlineStr">
        <is>
          <t>20251031</t>
        </is>
      </c>
    </row>
    <row r="101">
      <c r="A101" t="inlineStr">
        <is>
          <t>900007979DW67D30210000541</t>
        </is>
      </c>
      <c r="B101" t="inlineStr">
        <is>
          <t>900007979</t>
        </is>
      </c>
      <c r="C101" t="inlineStr">
        <is>
          <t>DW67</t>
        </is>
      </c>
      <c r="D101" t="inlineStr">
        <is>
          <t>D302</t>
        </is>
      </c>
      <c r="E101" t="inlineStr">
        <is>
          <t>4</t>
        </is>
      </c>
      <c r="F101" t="inlineStr">
        <is>
          <t>10000541</t>
        </is>
      </c>
      <c r="H101" t="inlineStr"/>
      <c r="J101" t="n">
        <v>117.8</v>
      </c>
      <c r="K101" t="inlineStr"/>
      <c r="M101" t="inlineStr">
        <is>
          <t>TN</t>
        </is>
      </c>
      <c r="N101" t="inlineStr"/>
      <c r="P101" t="inlineStr">
        <is>
          <t>20240726</t>
        </is>
      </c>
      <c r="Q101" t="inlineStr">
        <is>
          <t>20251031</t>
        </is>
      </c>
    </row>
    <row r="102">
      <c r="A102" t="inlineStr">
        <is>
          <t>900007979DW67D30210000826</t>
        </is>
      </c>
      <c r="B102" t="inlineStr">
        <is>
          <t>900007979</t>
        </is>
      </c>
      <c r="C102" t="inlineStr">
        <is>
          <t>DW67</t>
        </is>
      </c>
      <c r="D102" t="inlineStr">
        <is>
          <t>D302</t>
        </is>
      </c>
      <c r="E102" t="inlineStr">
        <is>
          <t>4</t>
        </is>
      </c>
      <c r="F102" t="inlineStr">
        <is>
          <t>10000826</t>
        </is>
      </c>
      <c r="H102" t="inlineStr"/>
      <c r="J102" t="n">
        <v>172.41</v>
      </c>
      <c r="K102" t="inlineStr"/>
      <c r="M102" t="inlineStr">
        <is>
          <t>TN</t>
        </is>
      </c>
      <c r="N102" t="inlineStr"/>
      <c r="P102" t="inlineStr">
        <is>
          <t>20240715</t>
        </is>
      </c>
      <c r="Q102" t="inlineStr">
        <is>
          <t>99991231</t>
        </is>
      </c>
    </row>
    <row r="103">
      <c r="A103" t="inlineStr">
        <is>
          <t>900007991DW67D30210000178</t>
        </is>
      </c>
      <c r="B103" t="inlineStr">
        <is>
          <t>900007991</t>
        </is>
      </c>
      <c r="C103" t="inlineStr">
        <is>
          <t>DW67</t>
        </is>
      </c>
      <c r="D103" t="inlineStr">
        <is>
          <t>D302</t>
        </is>
      </c>
      <c r="E103" t="inlineStr">
        <is>
          <t>4</t>
        </is>
      </c>
      <c r="F103" t="inlineStr">
        <is>
          <t>10000178</t>
        </is>
      </c>
      <c r="H103" t="inlineStr"/>
      <c r="J103" t="n">
        <v>170</v>
      </c>
      <c r="K103" t="inlineStr"/>
      <c r="M103" t="inlineStr">
        <is>
          <t>M3</t>
        </is>
      </c>
      <c r="N103" t="inlineStr"/>
      <c r="P103" t="inlineStr">
        <is>
          <t>20230110</t>
        </is>
      </c>
      <c r="Q103" t="inlineStr">
        <is>
          <t>20240320</t>
        </is>
      </c>
    </row>
    <row r="104">
      <c r="A104" t="inlineStr">
        <is>
          <t>900007991DW67D30210000826</t>
        </is>
      </c>
      <c r="B104" t="inlineStr">
        <is>
          <t>900007991</t>
        </is>
      </c>
      <c r="C104" t="inlineStr">
        <is>
          <t>DW67</t>
        </is>
      </c>
      <c r="D104" t="inlineStr">
        <is>
          <t>D302</t>
        </is>
      </c>
      <c r="E104" t="inlineStr">
        <is>
          <t>4</t>
        </is>
      </c>
      <c r="F104" t="inlineStr">
        <is>
          <t>10000826</t>
        </is>
      </c>
      <c r="H104" t="inlineStr"/>
      <c r="J104" t="n">
        <v>117.24</v>
      </c>
      <c r="K104" t="inlineStr"/>
      <c r="M104" t="inlineStr">
        <is>
          <t>TN</t>
        </is>
      </c>
      <c r="N104" t="inlineStr"/>
      <c r="P104" t="inlineStr">
        <is>
          <t>20210620</t>
        </is>
      </c>
      <c r="Q104" t="inlineStr">
        <is>
          <t>20240320</t>
        </is>
      </c>
    </row>
    <row r="105">
      <c r="A105" t="inlineStr">
        <is>
          <t>900007992DW67D30210000826</t>
        </is>
      </c>
      <c r="B105" t="inlineStr">
        <is>
          <t>900007992</t>
        </is>
      </c>
      <c r="C105" t="inlineStr">
        <is>
          <t>DW67</t>
        </is>
      </c>
      <c r="D105" t="inlineStr">
        <is>
          <t>D302</t>
        </is>
      </c>
      <c r="E105" t="inlineStr">
        <is>
          <t>1</t>
        </is>
      </c>
      <c r="F105" t="inlineStr">
        <is>
          <t>10000826</t>
        </is>
      </c>
      <c r="H105" t="inlineStr"/>
      <c r="J105" t="n">
        <v>124.14</v>
      </c>
      <c r="K105" t="inlineStr"/>
      <c r="M105" t="inlineStr">
        <is>
          <t>TN</t>
        </is>
      </c>
      <c r="N105" t="inlineStr"/>
      <c r="P105" t="inlineStr">
        <is>
          <t>20230110</t>
        </is>
      </c>
      <c r="Q105" t="inlineStr">
        <is>
          <t>20250812</t>
        </is>
      </c>
    </row>
    <row r="106">
      <c r="A106" t="inlineStr">
        <is>
          <t>900008330DW67D30210000372</t>
        </is>
      </c>
      <c r="B106" t="inlineStr">
        <is>
          <t>900008330</t>
        </is>
      </c>
      <c r="C106" t="inlineStr">
        <is>
          <t>DW67</t>
        </is>
      </c>
      <c r="D106" t="inlineStr">
        <is>
          <t>D302</t>
        </is>
      </c>
      <c r="E106" t="inlineStr">
        <is>
          <t>1</t>
        </is>
      </c>
      <c r="F106" t="inlineStr">
        <is>
          <t>10000372</t>
        </is>
      </c>
      <c r="H106" t="inlineStr"/>
      <c r="J106" t="n">
        <v>203.73</v>
      </c>
      <c r="K106" t="inlineStr"/>
      <c r="M106" t="inlineStr">
        <is>
          <t>TN</t>
        </is>
      </c>
      <c r="N106" t="inlineStr"/>
      <c r="P106" t="inlineStr">
        <is>
          <t>20251226</t>
        </is>
      </c>
      <c r="Q106" t="inlineStr">
        <is>
          <t>99991231</t>
        </is>
      </c>
    </row>
    <row r="107">
      <c r="A107" t="inlineStr">
        <is>
          <t>900008331DW67D30210000372</t>
        </is>
      </c>
      <c r="B107" t="inlineStr">
        <is>
          <t>900008331</t>
        </is>
      </c>
      <c r="C107" t="inlineStr">
        <is>
          <t>DW67</t>
        </is>
      </c>
      <c r="D107" t="inlineStr">
        <is>
          <t>D302</t>
        </is>
      </c>
      <c r="E107" t="inlineStr">
        <is>
          <t>4</t>
        </is>
      </c>
      <c r="F107" t="inlineStr">
        <is>
          <t>10000372</t>
        </is>
      </c>
      <c r="H107" t="inlineStr"/>
      <c r="J107" t="n">
        <v>414.36</v>
      </c>
      <c r="K107" t="inlineStr"/>
      <c r="M107" t="inlineStr">
        <is>
          <t>TN</t>
        </is>
      </c>
      <c r="N107" t="inlineStr"/>
      <c r="P107" t="inlineStr">
        <is>
          <t>20240409</t>
        </is>
      </c>
      <c r="Q107" t="inlineStr">
        <is>
          <t>99991231</t>
        </is>
      </c>
    </row>
    <row r="108">
      <c r="A108" t="inlineStr">
        <is>
          <t>900008910DW67D30210000178</t>
        </is>
      </c>
      <c r="B108" t="inlineStr">
        <is>
          <t>900008910</t>
        </is>
      </c>
      <c r="C108" t="inlineStr">
        <is>
          <t>DW67</t>
        </is>
      </c>
      <c r="D108" t="inlineStr">
        <is>
          <t>D302</t>
        </is>
      </c>
      <c r="E108" t="inlineStr">
        <is>
          <t>4</t>
        </is>
      </c>
      <c r="F108" t="inlineStr">
        <is>
          <t>10000178</t>
        </is>
      </c>
      <c r="H108" t="inlineStr"/>
      <c r="J108" t="n">
        <v>132.71</v>
      </c>
      <c r="K108" t="inlineStr"/>
      <c r="M108" t="inlineStr">
        <is>
          <t>TN</t>
        </is>
      </c>
      <c r="N108" t="inlineStr"/>
      <c r="P108" t="inlineStr">
        <is>
          <t>20240902</t>
        </is>
      </c>
      <c r="Q108" t="inlineStr">
        <is>
          <t>99991231</t>
        </is>
      </c>
    </row>
    <row r="109">
      <c r="A109" t="inlineStr">
        <is>
          <t>900008910DW67D30210000826</t>
        </is>
      </c>
      <c r="B109" t="inlineStr">
        <is>
          <t>900008910</t>
        </is>
      </c>
      <c r="C109" t="inlineStr">
        <is>
          <t>DW67</t>
        </is>
      </c>
      <c r="D109" t="inlineStr">
        <is>
          <t>D302</t>
        </is>
      </c>
      <c r="E109" t="inlineStr">
        <is>
          <t>4</t>
        </is>
      </c>
      <c r="F109" t="inlineStr">
        <is>
          <t>10000826</t>
        </is>
      </c>
      <c r="H109" t="inlineStr"/>
      <c r="J109" t="n">
        <v>103.45</v>
      </c>
      <c r="K109" t="inlineStr"/>
      <c r="M109" t="inlineStr">
        <is>
          <t>TN</t>
        </is>
      </c>
      <c r="N109" t="inlineStr"/>
      <c r="P109" t="inlineStr">
        <is>
          <t>20240731</t>
        </is>
      </c>
      <c r="Q109" t="inlineStr">
        <is>
          <t>99991231</t>
        </is>
      </c>
    </row>
    <row r="110">
      <c r="A110" t="inlineStr">
        <is>
          <t>900008910DW67D30210223313</t>
        </is>
      </c>
      <c r="B110" t="inlineStr">
        <is>
          <t>900008910</t>
        </is>
      </c>
      <c r="C110" t="inlineStr">
        <is>
          <t>DW67</t>
        </is>
      </c>
      <c r="D110" t="inlineStr">
        <is>
          <t>D302</t>
        </is>
      </c>
      <c r="E110" t="inlineStr">
        <is>
          <t>4</t>
        </is>
      </c>
      <c r="F110" t="inlineStr">
        <is>
          <t>10223313</t>
        </is>
      </c>
      <c r="H110" t="inlineStr"/>
      <c r="J110" t="n">
        <v>195.17</v>
      </c>
      <c r="K110" t="inlineStr"/>
      <c r="M110" t="inlineStr">
        <is>
          <t>TN</t>
        </is>
      </c>
      <c r="N110" t="inlineStr"/>
      <c r="P110" t="inlineStr">
        <is>
          <t>20250109</t>
        </is>
      </c>
      <c r="Q110" t="inlineStr">
        <is>
          <t>99991231</t>
        </is>
      </c>
    </row>
    <row r="111">
      <c r="A111" t="inlineStr">
        <is>
          <t>900008910DW67D30210255395</t>
        </is>
      </c>
      <c r="B111" t="inlineStr">
        <is>
          <t>900008910</t>
        </is>
      </c>
      <c r="C111" t="inlineStr">
        <is>
          <t>DW67</t>
        </is>
      </c>
      <c r="D111" t="inlineStr">
        <is>
          <t>D302</t>
        </is>
      </c>
      <c r="E111" t="inlineStr">
        <is>
          <t>4</t>
        </is>
      </c>
      <c r="F111" t="inlineStr">
        <is>
          <t>10255395</t>
        </is>
      </c>
      <c r="H111" t="inlineStr"/>
      <c r="J111" t="n">
        <v>524.86</v>
      </c>
      <c r="K111" t="inlineStr"/>
      <c r="M111" t="inlineStr">
        <is>
          <t>TN</t>
        </is>
      </c>
      <c r="N111" t="inlineStr"/>
      <c r="P111" t="inlineStr">
        <is>
          <t>20241209</t>
        </is>
      </c>
      <c r="Q111" t="inlineStr">
        <is>
          <t>99991231</t>
        </is>
      </c>
    </row>
    <row r="112">
      <c r="A112" t="inlineStr">
        <is>
          <t>900008972DW67D30210000178</t>
        </is>
      </c>
      <c r="B112" t="inlineStr">
        <is>
          <t>900008972</t>
        </is>
      </c>
      <c r="C112" t="inlineStr">
        <is>
          <t>DW67</t>
        </is>
      </c>
      <c r="D112" t="inlineStr">
        <is>
          <t>D302</t>
        </is>
      </c>
      <c r="E112" t="inlineStr">
        <is>
          <t>4</t>
        </is>
      </c>
      <c r="F112" t="inlineStr">
        <is>
          <t>10000178</t>
        </is>
      </c>
      <c r="H112" t="inlineStr"/>
      <c r="J112" t="n">
        <v>152.62</v>
      </c>
      <c r="K112" t="inlineStr"/>
      <c r="M112" t="inlineStr">
        <is>
          <t>TN</t>
        </is>
      </c>
      <c r="N112" t="inlineStr"/>
      <c r="P112" t="inlineStr">
        <is>
          <t>20250902</t>
        </is>
      </c>
      <c r="Q112" t="inlineStr">
        <is>
          <t>99991231</t>
        </is>
      </c>
    </row>
    <row r="113">
      <c r="A113" t="inlineStr">
        <is>
          <t>900008972DW67D30210000826</t>
        </is>
      </c>
      <c r="B113" t="inlineStr">
        <is>
          <t>900008972</t>
        </is>
      </c>
      <c r="C113" t="inlineStr">
        <is>
          <t>DW67</t>
        </is>
      </c>
      <c r="D113" t="inlineStr">
        <is>
          <t>D302</t>
        </is>
      </c>
      <c r="E113" t="inlineStr">
        <is>
          <t>4</t>
        </is>
      </c>
      <c r="F113" t="inlineStr">
        <is>
          <t>10000826</t>
        </is>
      </c>
      <c r="H113" t="inlineStr"/>
      <c r="J113" t="n">
        <v>177.93</v>
      </c>
      <c r="K113" t="inlineStr"/>
      <c r="M113" t="inlineStr">
        <is>
          <t>TN</t>
        </is>
      </c>
      <c r="N113" t="inlineStr"/>
      <c r="P113" t="inlineStr">
        <is>
          <t>20250109</t>
        </is>
      </c>
      <c r="Q113" t="inlineStr">
        <is>
          <t>99991231</t>
        </is>
      </c>
    </row>
    <row r="114">
      <c r="A114" t="inlineStr">
        <is>
          <t>900008972DW67D30210255395</t>
        </is>
      </c>
      <c r="B114" t="inlineStr">
        <is>
          <t>900008972</t>
        </is>
      </c>
      <c r="C114" t="inlineStr">
        <is>
          <t>DW67</t>
        </is>
      </c>
      <c r="D114" t="inlineStr">
        <is>
          <t>D302</t>
        </is>
      </c>
      <c r="E114" t="inlineStr">
        <is>
          <t>4</t>
        </is>
      </c>
      <c r="F114" t="inlineStr">
        <is>
          <t>10255395</t>
        </is>
      </c>
      <c r="H114" t="inlineStr"/>
      <c r="J114" t="n">
        <v>197.51</v>
      </c>
      <c r="K114" t="inlineStr"/>
      <c r="M114" t="inlineStr">
        <is>
          <t>TN</t>
        </is>
      </c>
      <c r="N114" t="inlineStr"/>
      <c r="P114" t="inlineStr">
        <is>
          <t>20241209</t>
        </is>
      </c>
      <c r="Q114" t="inlineStr">
        <is>
          <t>99991231</t>
        </is>
      </c>
    </row>
    <row r="115">
      <c r="A115" t="inlineStr">
        <is>
          <t>900009013DW67D30210047545</t>
        </is>
      </c>
      <c r="B115" t="inlineStr">
        <is>
          <t>900009013</t>
        </is>
      </c>
      <c r="C115" t="inlineStr">
        <is>
          <t>DW67</t>
        </is>
      </c>
      <c r="D115" t="inlineStr">
        <is>
          <t>D302</t>
        </is>
      </c>
      <c r="E115" t="inlineStr">
        <is>
          <t>4</t>
        </is>
      </c>
      <c r="F115" t="inlineStr">
        <is>
          <t>10047545</t>
        </is>
      </c>
      <c r="H115" t="inlineStr"/>
      <c r="J115" t="n">
        <v>339.04</v>
      </c>
      <c r="K115" t="inlineStr"/>
      <c r="M115" t="inlineStr">
        <is>
          <t>TN</t>
        </is>
      </c>
      <c r="N115" t="inlineStr"/>
      <c r="P115" t="inlineStr">
        <is>
          <t>20241120</t>
        </is>
      </c>
      <c r="Q115" t="inlineStr">
        <is>
          <t>20250812</t>
        </is>
      </c>
    </row>
    <row r="116">
      <c r="A116" t="inlineStr">
        <is>
          <t>900009192DW67D30210000623</t>
        </is>
      </c>
      <c r="B116" t="inlineStr">
        <is>
          <t>900009192</t>
        </is>
      </c>
      <c r="C116" t="inlineStr">
        <is>
          <t>DW67</t>
        </is>
      </c>
      <c r="D116" t="inlineStr">
        <is>
          <t>D302</t>
        </is>
      </c>
      <c r="E116" t="inlineStr">
        <is>
          <t>4</t>
        </is>
      </c>
      <c r="F116" t="inlineStr">
        <is>
          <t>10000623</t>
        </is>
      </c>
      <c r="H116" t="inlineStr"/>
      <c r="J116" t="n">
        <v>517.73</v>
      </c>
      <c r="K116" t="inlineStr"/>
      <c r="M116" t="inlineStr">
        <is>
          <t>TN</t>
        </is>
      </c>
      <c r="N116" t="inlineStr"/>
      <c r="P116" t="inlineStr">
        <is>
          <t>20250724</t>
        </is>
      </c>
      <c r="Q116" t="inlineStr">
        <is>
          <t>99991231</t>
        </is>
      </c>
    </row>
    <row r="117">
      <c r="A117" t="inlineStr">
        <is>
          <t>900009192DW67D30210210039</t>
        </is>
      </c>
      <c r="B117" t="inlineStr">
        <is>
          <t>900009192</t>
        </is>
      </c>
      <c r="C117" t="inlineStr">
        <is>
          <t>DW67</t>
        </is>
      </c>
      <c r="D117" t="inlineStr">
        <is>
          <t>D302</t>
        </is>
      </c>
      <c r="E117" t="inlineStr">
        <is>
          <t>4</t>
        </is>
      </c>
      <c r="F117" t="inlineStr">
        <is>
          <t>10210039</t>
        </is>
      </c>
      <c r="H117" t="inlineStr"/>
      <c r="J117" t="n">
        <v>279.46</v>
      </c>
      <c r="K117" t="inlineStr"/>
      <c r="M117" t="inlineStr">
        <is>
          <t>TN</t>
        </is>
      </c>
      <c r="N117" t="inlineStr"/>
      <c r="P117" t="inlineStr">
        <is>
          <t>20250502</t>
        </is>
      </c>
      <c r="Q117" t="inlineStr">
        <is>
          <t>99991231</t>
        </is>
      </c>
    </row>
    <row r="118">
      <c r="A118" t="inlineStr">
        <is>
          <t>DW67DW67D30210000139</t>
        </is>
      </c>
      <c r="B118" t="inlineStr">
        <is>
          <t>DW67</t>
        </is>
      </c>
      <c r="C118" t="inlineStr">
        <is>
          <t>DW67</t>
        </is>
      </c>
      <c r="D118" t="inlineStr">
        <is>
          <t>D302</t>
        </is>
      </c>
      <c r="E118" t="inlineStr">
        <is>
          <t>1</t>
        </is>
      </c>
      <c r="F118" t="inlineStr">
        <is>
          <t>10000139</t>
        </is>
      </c>
      <c r="H118" t="inlineStr"/>
      <c r="J118" t="n">
        <v>246.55</v>
      </c>
      <c r="K118" t="inlineStr"/>
      <c r="M118" t="inlineStr">
        <is>
          <t>TN</t>
        </is>
      </c>
      <c r="N118" t="inlineStr"/>
      <c r="P118" t="inlineStr">
        <is>
          <t>20220124</t>
        </is>
      </c>
      <c r="Q118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900003437DW67D30210000826</t>
        </is>
      </c>
      <c r="B2" t="inlineStr">
        <is>
          <t>4600050908-30</t>
        </is>
      </c>
      <c r="C2" t="n">
        <v>4600050908</v>
      </c>
      <c r="D2" t="n">
        <v>30</v>
      </c>
      <c r="E2" t="inlineStr">
        <is>
          <t>MXPO</t>
        </is>
      </c>
      <c r="F2" t="inlineStr">
        <is>
          <t>MXL</t>
        </is>
      </c>
      <c r="G2" t="n">
        <v>900003437</v>
      </c>
      <c r="H2" t="inlineStr">
        <is>
          <t>TC-ED-RUIZ ROSET</t>
        </is>
      </c>
      <c r="I2" t="n">
        <v>5052648</v>
      </c>
      <c r="J2" t="inlineStr">
        <is>
          <t>RUIZ ROSET NICOLAS</t>
        </is>
      </c>
      <c r="K2" t="inlineStr">
        <is>
          <t>N90</t>
        </is>
      </c>
      <c r="L2" t="inlineStr">
        <is>
          <t>(AP) NAFIN 90 Dias</t>
        </is>
      </c>
      <c r="M2" t="n">
        <v>10000826</v>
      </c>
      <c r="N2" t="inlineStr">
        <is>
          <t>Arena Clasificada Río Malla 4</t>
        </is>
      </c>
      <c r="O2" t="inlineStr">
        <is>
          <t>DW67</t>
        </is>
      </c>
      <c r="P2" t="inlineStr">
        <is>
          <t>MX-CED. VERACRUZ SUR</t>
        </is>
      </c>
      <c r="Q2" t="n">
        <v>20210712</v>
      </c>
      <c r="R2" t="n">
        <v>20281231</v>
      </c>
      <c r="S2" t="n">
        <v>20260724</v>
      </c>
      <c r="T2" t="n">
        <v>20301231</v>
      </c>
      <c r="U2" t="n">
        <v>450</v>
      </c>
      <c r="V2" t="inlineStr">
        <is>
          <t>MXN</t>
        </is>
      </c>
      <c r="W2" t="inlineStr">
        <is>
          <t>M3</t>
        </is>
      </c>
      <c r="X2" t="n">
        <v>210</v>
      </c>
      <c r="Y2" t="inlineStr">
        <is>
          <t>MXN</t>
        </is>
      </c>
      <c r="Z2" t="inlineStr">
        <is>
          <t>M3</t>
        </is>
      </c>
      <c r="AA2" t="inlineStr">
        <is>
          <t>D302</t>
        </is>
      </c>
      <c r="AB2" t="inlineStr">
        <is>
          <t>PD0471 COATZACOALCOS</t>
        </is>
      </c>
      <c r="AC2" t="n">
        <v>56103638</v>
      </c>
      <c r="AD2" t="n">
        <v>6644231540</v>
      </c>
      <c r="AE2" t="n">
        <v>4</v>
      </c>
      <c r="AF2" t="inlineStr">
        <is>
          <t>ENTREGA DIRECTA</t>
        </is>
      </c>
      <c r="AG2" t="n">
        <v>1.45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20260724</v>
      </c>
      <c r="AM2" t="inlineStr">
        <is>
          <t>DW67-900003437-D302-10000826-4</t>
        </is>
      </c>
    </row>
    <row r="3">
      <c r="A3" t="inlineStr">
        <is>
          <t>900003437DW67D30210000372</t>
        </is>
      </c>
      <c r="B3" t="inlineStr">
        <is>
          <t>4600050908-40</t>
        </is>
      </c>
      <c r="C3" t="n">
        <v>4600050908</v>
      </c>
      <c r="D3" t="n">
        <v>40</v>
      </c>
      <c r="E3" t="inlineStr">
        <is>
          <t>MXPO</t>
        </is>
      </c>
      <c r="F3" t="inlineStr">
        <is>
          <t>MXL</t>
        </is>
      </c>
      <c r="G3" t="n">
        <v>900003437</v>
      </c>
      <c r="H3" t="inlineStr">
        <is>
          <t>TC-ED-RUIZ ROSET</t>
        </is>
      </c>
      <c r="I3" t="n">
        <v>5052648</v>
      </c>
      <c r="J3" t="inlineStr">
        <is>
          <t>RUIZ ROSET NICOLAS</t>
        </is>
      </c>
      <c r="K3" t="inlineStr">
        <is>
          <t>N90</t>
        </is>
      </c>
      <c r="L3" t="inlineStr">
        <is>
          <t>(AP) NAFIN 90 Dias</t>
        </is>
      </c>
      <c r="M3" t="n">
        <v>10000372</v>
      </c>
      <c r="N3" t="inlineStr">
        <is>
          <t>Grava Triturada Caliza 20 mm - 3/4"</t>
        </is>
      </c>
      <c r="O3" t="inlineStr">
        <is>
          <t>DW67</t>
        </is>
      </c>
      <c r="P3" t="inlineStr">
        <is>
          <t>MX-CED. VERACRUZ SUR</t>
        </is>
      </c>
      <c r="Q3" t="n">
        <v>20210712</v>
      </c>
      <c r="R3" t="n">
        <v>20281231</v>
      </c>
      <c r="S3" t="n">
        <v>20260724</v>
      </c>
      <c r="T3" t="n">
        <v>20301231</v>
      </c>
      <c r="U3" t="n">
        <v>760</v>
      </c>
      <c r="V3" t="inlineStr">
        <is>
          <t>MXN</t>
        </is>
      </c>
      <c r="W3" t="inlineStr">
        <is>
          <t>M3</t>
        </is>
      </c>
      <c r="X3" t="n">
        <v>400</v>
      </c>
      <c r="Y3" t="inlineStr">
        <is>
          <t>MXN</t>
        </is>
      </c>
      <c r="Z3" t="inlineStr">
        <is>
          <t>M3</t>
        </is>
      </c>
      <c r="AA3" t="inlineStr">
        <is>
          <t>D302</t>
        </is>
      </c>
      <c r="AB3" t="inlineStr">
        <is>
          <t>PD0471 COATZACOALCOS</t>
        </is>
      </c>
      <c r="AC3" t="n">
        <v>56103637</v>
      </c>
      <c r="AD3" t="n">
        <v>6644231540</v>
      </c>
      <c r="AE3" t="n">
        <v>4</v>
      </c>
      <c r="AF3" t="inlineStr">
        <is>
          <t>ENTREGA DIRECTA</t>
        </is>
      </c>
      <c r="AG3" t="n">
        <v>1.448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20260724</v>
      </c>
      <c r="AM3" t="inlineStr">
        <is>
          <t>DW67-900003437-D302-10000372-4</t>
        </is>
      </c>
    </row>
    <row r="4">
      <c r="A4" t="inlineStr">
        <is>
          <t>900009524DW67D30210217663</t>
        </is>
      </c>
      <c r="B4" t="inlineStr">
        <is>
          <t>4600072524-10</t>
        </is>
      </c>
      <c r="C4" t="n">
        <v>4600072524</v>
      </c>
      <c r="D4" t="n">
        <v>10</v>
      </c>
      <c r="E4" t="inlineStr">
        <is>
          <t>MXPO</t>
        </is>
      </c>
      <c r="F4" t="inlineStr">
        <is>
          <t>MXL</t>
        </is>
      </c>
      <c r="G4" t="n">
        <v>900009524</v>
      </c>
      <c r="H4" t="inlineStr">
        <is>
          <t>SF TC-ED  JPM EVELIO</t>
        </is>
      </c>
      <c r="I4" t="n">
        <v>5098111</v>
      </c>
      <c r="J4" t="inlineStr">
        <is>
          <t>PEREZ MORALES JONAS</t>
        </is>
      </c>
      <c r="K4" t="inlineStr">
        <is>
          <t>N90</t>
        </is>
      </c>
      <c r="L4" t="inlineStr">
        <is>
          <t>(AP) NAFIN 90 Dias</t>
        </is>
      </c>
      <c r="M4" t="n">
        <v>10217663</v>
      </c>
      <c r="N4" t="inlineStr">
        <is>
          <t>ARENA CLASIFICADA RÍO MALLA 4 -TABASCO</t>
        </is>
      </c>
      <c r="O4" t="inlineStr">
        <is>
          <t>DW67</t>
        </is>
      </c>
      <c r="P4" t="inlineStr">
        <is>
          <t>MX-CED. VERACRUZ SUR</t>
        </is>
      </c>
      <c r="Q4" t="n">
        <v>20260804</v>
      </c>
      <c r="R4" t="n">
        <v>20301231</v>
      </c>
      <c r="S4" t="n">
        <v>20260804</v>
      </c>
      <c r="T4" t="n">
        <v>20301231</v>
      </c>
      <c r="U4" t="n">
        <v>750</v>
      </c>
      <c r="V4" t="inlineStr">
        <is>
          <t>MXN</t>
        </is>
      </c>
      <c r="W4" t="inlineStr">
        <is>
          <t>M3</t>
        </is>
      </c>
      <c r="X4" t="n">
        <v>630</v>
      </c>
      <c r="Y4" t="inlineStr">
        <is>
          <t>MXN</t>
        </is>
      </c>
      <c r="Z4" t="inlineStr">
        <is>
          <t>M3</t>
        </is>
      </c>
      <c r="AA4" t="inlineStr">
        <is>
          <t>D302</t>
        </is>
      </c>
      <c r="AB4" t="inlineStr">
        <is>
          <t>PD0471 COATZACOALCOS</t>
        </is>
      </c>
      <c r="AC4" t="n">
        <v>56103638</v>
      </c>
      <c r="AD4" t="n">
        <v>6644231540</v>
      </c>
      <c r="AE4" t="n">
        <v>4</v>
      </c>
      <c r="AF4" t="inlineStr">
        <is>
          <t>ENTREGA DIRECTA</t>
        </is>
      </c>
      <c r="AG4" t="n">
        <v>1.456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20260810</v>
      </c>
      <c r="AM4" t="inlineStr">
        <is>
          <t>DW67-900009524-D302-10217663-4</t>
        </is>
      </c>
    </row>
    <row r="5">
      <c r="A5" t="inlineStr">
        <is>
          <t>900007052DW67D30210000372</t>
        </is>
      </c>
      <c r="B5" t="inlineStr">
        <is>
          <t>4600057703-20</t>
        </is>
      </c>
      <c r="C5" t="n">
        <v>4600057703</v>
      </c>
      <c r="D5" t="n">
        <v>20</v>
      </c>
      <c r="E5" t="inlineStr">
        <is>
          <t>MXPO</t>
        </is>
      </c>
      <c r="F5" t="inlineStr">
        <is>
          <t>MXL</t>
        </is>
      </c>
      <c r="G5" t="n">
        <v>900007052</v>
      </c>
      <c r="H5" t="inlineStr">
        <is>
          <t>SF TC-ED-SAMUEL CARRASCO</t>
        </is>
      </c>
      <c r="I5" t="n">
        <v>5080454</v>
      </c>
      <c r="J5" t="inlineStr">
        <is>
          <t>CARRASCO ALCUDIA SAMUEL</t>
        </is>
      </c>
      <c r="K5" t="inlineStr">
        <is>
          <t>N90</t>
        </is>
      </c>
      <c r="L5" t="inlineStr">
        <is>
          <t>(AP) NAFIN 90 Dias</t>
        </is>
      </c>
      <c r="M5" t="n">
        <v>10000372</v>
      </c>
      <c r="N5" t="inlineStr">
        <is>
          <t>Grava Triturada Caliza 20 mm - 3/4"</t>
        </is>
      </c>
      <c r="O5" t="inlineStr">
        <is>
          <t>DW67</t>
        </is>
      </c>
      <c r="P5" t="inlineStr">
        <is>
          <t>MX-CED. VERACRUZ SUR</t>
        </is>
      </c>
      <c r="Q5" t="n">
        <v>20230605</v>
      </c>
      <c r="R5" t="n">
        <v>20291231</v>
      </c>
      <c r="S5" t="n">
        <v>20240207</v>
      </c>
      <c r="T5" t="n">
        <v>20291231</v>
      </c>
      <c r="U5" t="n">
        <v>910</v>
      </c>
      <c r="V5" t="inlineStr">
        <is>
          <t>MXN</t>
        </is>
      </c>
      <c r="W5" t="inlineStr">
        <is>
          <t>M3</t>
        </is>
      </c>
      <c r="X5" t="n">
        <v>560</v>
      </c>
      <c r="Y5" t="inlineStr">
        <is>
          <t>MXN</t>
        </is>
      </c>
      <c r="Z5" t="inlineStr">
        <is>
          <t>M3</t>
        </is>
      </c>
      <c r="AA5" t="inlineStr">
        <is>
          <t>D302</t>
        </is>
      </c>
      <c r="AB5" t="inlineStr">
        <is>
          <t>PD0471 COATZACOALCOS</t>
        </is>
      </c>
      <c r="AC5" t="n">
        <v>56103637</v>
      </c>
      <c r="AD5" t="n">
        <v>6644231540</v>
      </c>
      <c r="AE5" t="n">
        <v>4</v>
      </c>
      <c r="AF5" t="inlineStr">
        <is>
          <t>ENTREGA DIRECTA</t>
        </is>
      </c>
      <c r="AG5" t="n">
        <v>1.448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20240208</v>
      </c>
      <c r="AM5" t="inlineStr">
        <is>
          <t>DW67-900007052-D302-10000372-4</t>
        </is>
      </c>
    </row>
    <row r="6">
      <c r="A6" t="inlineStr">
        <is>
          <t>900007887DW67D30210000826</t>
        </is>
      </c>
      <c r="B6" t="inlineStr">
        <is>
          <t>4600055683-20</t>
        </is>
      </c>
      <c r="C6" t="n">
        <v>4600055683</v>
      </c>
      <c r="D6" t="n">
        <v>20</v>
      </c>
      <c r="E6" t="inlineStr">
        <is>
          <t>MXPO</t>
        </is>
      </c>
      <c r="F6" t="inlineStr">
        <is>
          <t>MXL</t>
        </is>
      </c>
      <c r="G6" t="n">
        <v>900007887</v>
      </c>
      <c r="H6" t="inlineStr">
        <is>
          <t>SF TC-ED-COMAC</t>
        </is>
      </c>
      <c r="I6" t="n">
        <v>5086443</v>
      </c>
      <c r="J6" t="inlineStr">
        <is>
          <t>SANCHEZ MAYA CESAR OMAR</t>
        </is>
      </c>
      <c r="K6" t="inlineStr">
        <is>
          <t>Z09</t>
        </is>
      </c>
      <c r="L6" t="inlineStr">
        <is>
          <t>(AP) 90 Dias</t>
        </is>
      </c>
      <c r="M6" t="n">
        <v>10000826</v>
      </c>
      <c r="N6" t="inlineStr">
        <is>
          <t>Arena Clasificada Río Malla 4</t>
        </is>
      </c>
      <c r="O6" t="inlineStr">
        <is>
          <t>DW67</t>
        </is>
      </c>
      <c r="P6" t="inlineStr">
        <is>
          <t>MX-CED. VERACRUZ SUR</t>
        </is>
      </c>
      <c r="Q6" t="n">
        <v>20221101</v>
      </c>
      <c r="R6" t="n">
        <v>20281231</v>
      </c>
      <c r="S6" t="n">
        <v>20230228</v>
      </c>
      <c r="T6" t="n">
        <v>20281231</v>
      </c>
      <c r="U6" t="n">
        <v>350</v>
      </c>
      <c r="V6" t="inlineStr">
        <is>
          <t>MXN</t>
        </is>
      </c>
      <c r="W6" t="inlineStr">
        <is>
          <t>M3</t>
        </is>
      </c>
      <c r="X6" t="n">
        <v>160</v>
      </c>
      <c r="Y6" t="inlineStr">
        <is>
          <t>MXN</t>
        </is>
      </c>
      <c r="Z6" t="inlineStr">
        <is>
          <t>M3</t>
        </is>
      </c>
      <c r="AA6" t="inlineStr">
        <is>
          <t>D302</t>
        </is>
      </c>
      <c r="AB6" t="inlineStr">
        <is>
          <t>PD0471 COATZACOALCOS</t>
        </is>
      </c>
      <c r="AC6" t="n">
        <v>56103638</v>
      </c>
      <c r="AD6" t="n">
        <v>6644231540</v>
      </c>
      <c r="AE6" t="n">
        <v>4</v>
      </c>
      <c r="AF6" t="inlineStr">
        <is>
          <t>ENTREGA DIRECTA</t>
        </is>
      </c>
      <c r="AG6" t="n">
        <v>1.45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20230920</v>
      </c>
      <c r="AM6" t="inlineStr">
        <is>
          <t>DW67-900007887-D302-10000826-4</t>
        </is>
      </c>
    </row>
    <row r="7">
      <c r="A7" t="inlineStr">
        <is>
          <t>900008330DW6710000372</t>
        </is>
      </c>
      <c r="B7" t="inlineStr">
        <is>
          <t>4600068565-10</t>
        </is>
      </c>
      <c r="C7" t="n">
        <v>4600068565</v>
      </c>
      <c r="D7" t="n">
        <v>10</v>
      </c>
      <c r="E7" t="inlineStr">
        <is>
          <t>MXPO</t>
        </is>
      </c>
      <c r="F7" t="inlineStr">
        <is>
          <t>MXL</t>
        </is>
      </c>
      <c r="G7" t="n">
        <v>900008330</v>
      </c>
      <c r="H7" t="inlineStr">
        <is>
          <t>SF TC-HOLCIM RZ</t>
        </is>
      </c>
      <c r="I7" t="n">
        <v>5075390</v>
      </c>
      <c r="J7" t="inlineStr">
        <is>
          <t>CORPORACION ANRROCA SA DE CV</t>
        </is>
      </c>
      <c r="K7" t="inlineStr">
        <is>
          <t>E90</t>
        </is>
      </c>
      <c r="L7" t="inlineStr">
        <is>
          <t>(AP) E-FACTOR 90 Dias</t>
        </is>
      </c>
      <c r="M7" t="n">
        <v>10000372</v>
      </c>
      <c r="N7" t="inlineStr">
        <is>
          <t>Grava Triturada Caliza 20 mm - 3/4"</t>
        </is>
      </c>
      <c r="O7" t="inlineStr">
        <is>
          <t>DW67</t>
        </is>
      </c>
      <c r="P7" t="inlineStr">
        <is>
          <t>MX-CED. VERACRUZ SUR</t>
        </is>
      </c>
      <c r="Q7" t="n">
        <v>20231003</v>
      </c>
      <c r="R7" t="n">
        <v>20281231</v>
      </c>
      <c r="S7" t="n">
        <v>20231003</v>
      </c>
      <c r="T7" t="n">
        <v>20281231</v>
      </c>
      <c r="U7" t="n">
        <v>350</v>
      </c>
      <c r="V7" t="inlineStr">
        <is>
          <t>MXN</t>
        </is>
      </c>
      <c r="W7" t="inlineStr">
        <is>
          <t>M3</t>
        </is>
      </c>
      <c r="X7" t="n">
        <v>0</v>
      </c>
      <c r="Y7" t="inlineStr">
        <is>
          <t>MXN</t>
        </is>
      </c>
      <c r="Z7" t="inlineStr">
        <is>
          <t>M3</t>
        </is>
      </c>
      <c r="AC7" t="n">
        <v>56103637</v>
      </c>
      <c r="AD7" t="n">
        <v>6644231540</v>
      </c>
      <c r="AE7" t="n">
        <v>1</v>
      </c>
      <c r="AF7" t="inlineStr">
        <is>
          <t>ENTREGADO</t>
        </is>
      </c>
      <c r="AG7" t="n">
        <v>1.448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20231005</v>
      </c>
      <c r="AM7" t="inlineStr">
        <is>
          <t>DW67-900008330-10000372</t>
        </is>
      </c>
    </row>
    <row r="8">
      <c r="A8" t="inlineStr">
        <is>
          <t>900007800DW67D30210000541</t>
        </is>
      </c>
      <c r="B8" t="inlineStr">
        <is>
          <t>4600069204-40</t>
        </is>
      </c>
      <c r="C8" t="n">
        <v>4600069204</v>
      </c>
      <c r="D8" t="n">
        <v>40</v>
      </c>
      <c r="E8" t="inlineStr">
        <is>
          <t>MXPO</t>
        </is>
      </c>
      <c r="F8" t="inlineStr">
        <is>
          <t>MXL</t>
        </is>
      </c>
      <c r="G8" t="n">
        <v>900007800</v>
      </c>
      <c r="H8" t="inlineStr">
        <is>
          <t>SF TC-ED-CLAKAR</t>
        </is>
      </c>
      <c r="I8" t="n">
        <v>5086783</v>
      </c>
      <c r="J8" t="inlineStr">
        <is>
          <t>CLA KAR COMPAÑIA DEL SURESTE SA DE</t>
        </is>
      </c>
      <c r="K8" t="inlineStr">
        <is>
          <t>N30</t>
        </is>
      </c>
      <c r="L8" t="inlineStr">
        <is>
          <t>(AP) NAFIN 30 Dias</t>
        </is>
      </c>
      <c r="M8" t="n">
        <v>10000541</v>
      </c>
      <c r="N8" t="inlineStr">
        <is>
          <t>Grava Clasificada Río 10 mm - 3/8"</t>
        </is>
      </c>
      <c r="O8" t="inlineStr">
        <is>
          <t>DW67</t>
        </is>
      </c>
      <c r="P8" t="inlineStr">
        <is>
          <t>MX-CED. VERACRUZ SUR</t>
        </is>
      </c>
      <c r="Q8" t="n">
        <v>20240229</v>
      </c>
      <c r="R8" t="n">
        <v>20291231</v>
      </c>
      <c r="S8" t="n">
        <v>20250905</v>
      </c>
      <c r="T8" t="n">
        <v>20301231</v>
      </c>
      <c r="U8" t="n">
        <v>550</v>
      </c>
      <c r="V8" t="inlineStr">
        <is>
          <t>MXN</t>
        </is>
      </c>
      <c r="W8" t="inlineStr">
        <is>
          <t>M3</t>
        </is>
      </c>
      <c r="X8" t="n">
        <v>250</v>
      </c>
      <c r="Y8" t="inlineStr">
        <is>
          <t>MXN</t>
        </is>
      </c>
      <c r="Z8" t="inlineStr">
        <is>
          <t>M3</t>
        </is>
      </c>
      <c r="AA8" t="inlineStr">
        <is>
          <t>D302</t>
        </is>
      </c>
      <c r="AB8" t="inlineStr">
        <is>
          <t>PD0471 COATZACOALCOS</t>
        </is>
      </c>
      <c r="AC8" t="n">
        <v>56103637</v>
      </c>
      <c r="AD8" t="n">
        <v>6644231540</v>
      </c>
      <c r="AE8" t="n">
        <v>4</v>
      </c>
      <c r="AF8" t="inlineStr">
        <is>
          <t>ENTREGA DIRECTA</t>
        </is>
      </c>
      <c r="AG8" t="n">
        <v>1.528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20251219</v>
      </c>
      <c r="AM8" t="inlineStr">
        <is>
          <t>DW67-900007800-D302-10000541-4</t>
        </is>
      </c>
    </row>
    <row r="9">
      <c r="A9" t="inlineStr">
        <is>
          <t>900000000DW67D30210000826</t>
        </is>
      </c>
      <c r="B9" t="inlineStr">
        <is>
          <t>4600069852-20</t>
        </is>
      </c>
      <c r="C9" t="n">
        <v>4600069852</v>
      </c>
      <c r="D9" t="n">
        <v>20</v>
      </c>
      <c r="E9" t="inlineStr">
        <is>
          <t>MXPO</t>
        </is>
      </c>
      <c r="F9" t="inlineStr">
        <is>
          <t>MXL</t>
        </is>
      </c>
      <c r="G9" t="n">
        <v>900000000</v>
      </c>
      <c r="H9" t="inlineStr">
        <is>
          <t>TC-ED-LAZCANO HUERTA</t>
        </is>
      </c>
      <c r="I9" t="n">
        <v>5000326</v>
      </c>
      <c r="J9" t="inlineStr">
        <is>
          <t>LAZCANO HUERTA ROCIO NANCY</t>
        </is>
      </c>
      <c r="K9" t="inlineStr">
        <is>
          <t>N90</t>
        </is>
      </c>
      <c r="L9" t="inlineStr">
        <is>
          <t>(AP) NAFIN 90 Dias</t>
        </is>
      </c>
      <c r="M9" t="n">
        <v>10000826</v>
      </c>
      <c r="N9" t="inlineStr">
        <is>
          <t>Arena Clasificada Río Malla 4</t>
        </is>
      </c>
      <c r="O9" t="inlineStr">
        <is>
          <t>DW67</t>
        </is>
      </c>
      <c r="P9" t="inlineStr">
        <is>
          <t>MX-CED. VERACRUZ SUR</t>
        </is>
      </c>
      <c r="Q9" t="n">
        <v>20240713</v>
      </c>
      <c r="R9" t="n">
        <v>20291231</v>
      </c>
      <c r="S9" t="n">
        <v>20250707</v>
      </c>
      <c r="T9" t="n">
        <v>20301231</v>
      </c>
      <c r="U9" t="n">
        <v>450</v>
      </c>
      <c r="V9" t="inlineStr">
        <is>
          <t>MXN</t>
        </is>
      </c>
      <c r="W9" t="inlineStr">
        <is>
          <t>M3</t>
        </is>
      </c>
      <c r="X9" t="n">
        <v>200</v>
      </c>
      <c r="Y9" t="inlineStr">
        <is>
          <t>MXN</t>
        </is>
      </c>
      <c r="Z9" t="inlineStr">
        <is>
          <t>M3</t>
        </is>
      </c>
      <c r="AA9" t="inlineStr">
        <is>
          <t>D302</t>
        </is>
      </c>
      <c r="AB9" t="inlineStr">
        <is>
          <t>PD0471 COATZACOALCOS</t>
        </is>
      </c>
      <c r="AC9" t="n">
        <v>56103638</v>
      </c>
      <c r="AD9" t="n">
        <v>6644231540</v>
      </c>
      <c r="AE9" t="n">
        <v>4</v>
      </c>
      <c r="AF9" t="inlineStr">
        <is>
          <t>ENTREGA DIRECTA</t>
        </is>
      </c>
      <c r="AG9" t="n">
        <v>1.45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20250718</v>
      </c>
      <c r="AM9" t="inlineStr">
        <is>
          <t>DW67-900000000-D302-10000826-4</t>
        </is>
      </c>
    </row>
    <row r="10">
      <c r="A10" t="inlineStr">
        <is>
          <t>900000037DW6710000140</t>
        </is>
      </c>
      <c r="B10" t="inlineStr">
        <is>
          <t>4600050878-30</t>
        </is>
      </c>
      <c r="C10" t="n">
        <v>4600050878</v>
      </c>
      <c r="D10" t="n">
        <v>30</v>
      </c>
      <c r="E10" t="inlineStr">
        <is>
          <t>MXPO</t>
        </is>
      </c>
      <c r="F10" t="inlineStr">
        <is>
          <t>MXL</t>
        </is>
      </c>
      <c r="G10" t="n">
        <v>900000037</v>
      </c>
      <c r="H10" t="inlineStr">
        <is>
          <t>TC-THOME VILLALBA</t>
        </is>
      </c>
      <c r="I10" t="n">
        <v>5001984</v>
      </c>
      <c r="J10" t="inlineStr">
        <is>
          <t>TRITURADOS THOME VILLALBA SA DE CV</t>
        </is>
      </c>
      <c r="K10" t="inlineStr">
        <is>
          <t>Z09</t>
        </is>
      </c>
      <c r="L10" t="inlineStr">
        <is>
          <t>(AP) 90 Dias</t>
        </is>
      </c>
      <c r="M10" t="n">
        <v>10000140</v>
      </c>
      <c r="N10" t="inlineStr">
        <is>
          <t>Grava Triturada Andesita 40 mm - 1 1/2"</t>
        </is>
      </c>
      <c r="O10" t="inlineStr">
        <is>
          <t>DW67</t>
        </is>
      </c>
      <c r="P10" t="inlineStr">
        <is>
          <t>MX-CED. VERACRUZ SUR</t>
        </is>
      </c>
      <c r="Q10" t="n">
        <v>20210712</v>
      </c>
      <c r="R10" t="n">
        <v>20291231</v>
      </c>
      <c r="S10" t="n">
        <v>20220301</v>
      </c>
      <c r="T10" t="n">
        <v>20271231</v>
      </c>
      <c r="U10" t="n">
        <v>70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56103637</v>
      </c>
      <c r="AD10" t="n">
        <v>6644231540</v>
      </c>
      <c r="AE10" t="n">
        <v>1</v>
      </c>
      <c r="AF10" t="inlineStr">
        <is>
          <t>ENTREGADO</t>
        </is>
      </c>
      <c r="AG10" t="n">
        <v>1.29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20230920</v>
      </c>
      <c r="AM10" t="inlineStr">
        <is>
          <t>DW67-900000037-10000140</t>
        </is>
      </c>
    </row>
    <row r="11">
      <c r="A11" t="inlineStr">
        <is>
          <t>900002895DW6710000139</t>
        </is>
      </c>
      <c r="B11" t="inlineStr">
        <is>
          <t>4600054321-10</t>
        </is>
      </c>
      <c r="C11" t="n">
        <v>4600054321</v>
      </c>
      <c r="D11" t="n">
        <v>10</v>
      </c>
      <c r="E11" t="inlineStr">
        <is>
          <t>MXPO</t>
        </is>
      </c>
      <c r="F11" t="inlineStr">
        <is>
          <t>MXL</t>
        </is>
      </c>
      <c r="G11" t="n">
        <v>900002895</v>
      </c>
      <c r="H11" t="inlineStr">
        <is>
          <t>TC-TRIDE</t>
        </is>
      </c>
      <c r="I11" t="n">
        <v>5051728</v>
      </c>
      <c r="J11" t="inlineStr">
        <is>
          <t>TRITURADOS LAS DERRUMBADAS SA DE CV</t>
        </is>
      </c>
      <c r="K11" t="inlineStr">
        <is>
          <t>N90</t>
        </is>
      </c>
      <c r="L11" t="inlineStr">
        <is>
          <t>(AP) NAFIN 90 Dias</t>
        </is>
      </c>
      <c r="M11" t="n">
        <v>10000139</v>
      </c>
      <c r="N11" t="inlineStr">
        <is>
          <t>Grava Triturada Andesita 20 mm - 3/4"</t>
        </is>
      </c>
      <c r="O11" t="inlineStr">
        <is>
          <t>DW67</t>
        </is>
      </c>
      <c r="P11" t="inlineStr">
        <is>
          <t>MX-CED. VERACRUZ SUR</t>
        </is>
      </c>
      <c r="Q11" t="n">
        <v>20220624</v>
      </c>
      <c r="R11" t="n">
        <v>20271231</v>
      </c>
      <c r="S11" t="n">
        <v>20220624</v>
      </c>
      <c r="T11" t="n">
        <v>20271231</v>
      </c>
      <c r="U11" t="n">
        <v>74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56103637</v>
      </c>
      <c r="AD11" t="n">
        <v>6644231540</v>
      </c>
      <c r="AE11" t="n">
        <v>1</v>
      </c>
      <c r="AF11" t="inlineStr">
        <is>
          <t>ENTREGADO</t>
        </is>
      </c>
      <c r="AG11" t="n">
        <v>1.311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DW67-900002895-10000139</t>
        </is>
      </c>
    </row>
    <row r="12">
      <c r="A12" t="inlineStr">
        <is>
          <t>900003903DW6710000826</t>
        </is>
      </c>
      <c r="B12" t="inlineStr">
        <is>
          <t>4600050911-30</t>
        </is>
      </c>
      <c r="C12" t="n">
        <v>4600050911</v>
      </c>
      <c r="D12" t="n">
        <v>30</v>
      </c>
      <c r="E12" t="inlineStr">
        <is>
          <t>MXPO</t>
        </is>
      </c>
      <c r="F12" t="inlineStr">
        <is>
          <t>MXL</t>
        </is>
      </c>
      <c r="G12" t="n">
        <v>900003903</v>
      </c>
      <c r="H12" t="inlineStr">
        <is>
          <t>TC ESCUDERO AGUILAR</t>
        </is>
      </c>
      <c r="I12" t="n">
        <v>5014480</v>
      </c>
      <c r="J12" t="inlineStr">
        <is>
          <t>ESCUDERO AGUILAR ANDRES</t>
        </is>
      </c>
      <c r="K12" t="inlineStr">
        <is>
          <t>N90</t>
        </is>
      </c>
      <c r="L12" t="inlineStr">
        <is>
          <t>(AP) NAFIN 90 Dias</t>
        </is>
      </c>
      <c r="M12" t="n">
        <v>10000826</v>
      </c>
      <c r="N12" t="inlineStr">
        <is>
          <t>Arena Clasificada Río Malla 4</t>
        </is>
      </c>
      <c r="O12" t="inlineStr">
        <is>
          <t>DW67</t>
        </is>
      </c>
      <c r="P12" t="inlineStr">
        <is>
          <t>MX-CED. VERACRUZ SUR</t>
        </is>
      </c>
      <c r="Q12" t="n">
        <v>20210712</v>
      </c>
      <c r="R12" t="n">
        <v>20261231</v>
      </c>
      <c r="S12" t="n">
        <v>20221012</v>
      </c>
      <c r="T12" t="n">
        <v>20271231</v>
      </c>
      <c r="U12" t="n">
        <v>53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56103638</v>
      </c>
      <c r="AD12" t="n">
        <v>6644231540</v>
      </c>
      <c r="AE12" t="n">
        <v>1</v>
      </c>
      <c r="AF12" t="inlineStr">
        <is>
          <t>ENTREGADO</t>
        </is>
      </c>
      <c r="AG12" t="n">
        <v>1.45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DW67-900003903-10000826</t>
        </is>
      </c>
    </row>
    <row r="13">
      <c r="A13" t="inlineStr">
        <is>
          <t>900002349DW6710000396</t>
        </is>
      </c>
      <c r="B13" t="inlineStr">
        <is>
          <t>4600053766-10</t>
        </is>
      </c>
      <c r="C13" t="n">
        <v>4600053766</v>
      </c>
      <c r="D13" t="n">
        <v>10</v>
      </c>
      <c r="E13" t="inlineStr">
        <is>
          <t>MXPO</t>
        </is>
      </c>
      <c r="F13" t="inlineStr">
        <is>
          <t>MXL</t>
        </is>
      </c>
      <c r="G13" t="n">
        <v>900002349</v>
      </c>
      <c r="H13" t="inlineStr">
        <is>
          <t>TC-TAPSA</t>
        </is>
      </c>
      <c r="I13" t="n">
        <v>5041736</v>
      </c>
      <c r="J13" t="inlineStr">
        <is>
          <t>TRITURADOS Y AGREGADOS DE PUEBLA</t>
        </is>
      </c>
      <c r="K13" t="inlineStr">
        <is>
          <t>N90</t>
        </is>
      </c>
      <c r="L13" t="inlineStr">
        <is>
          <t>(AP) NAFIN 90 Dias</t>
        </is>
      </c>
      <c r="M13" t="n">
        <v>10000396</v>
      </c>
      <c r="N13" t="inlineStr">
        <is>
          <t>Grava Triturada Caliza 20 mm - 3/4"</t>
        </is>
      </c>
      <c r="O13" t="inlineStr">
        <is>
          <t>DW67</t>
        </is>
      </c>
      <c r="P13" t="inlineStr">
        <is>
          <t>MX-CED. VERACRUZ SUR</t>
        </is>
      </c>
      <c r="Q13" t="n">
        <v>20220421</v>
      </c>
      <c r="R13" t="n">
        <v>20271231</v>
      </c>
      <c r="S13" t="n">
        <v>20220808</v>
      </c>
      <c r="T13" t="n">
        <v>20271231</v>
      </c>
      <c r="U13" t="n">
        <v>135.45</v>
      </c>
      <c r="V13" t="inlineStr">
        <is>
          <t>MXN</t>
        </is>
      </c>
      <c r="W13" t="inlineStr">
        <is>
          <t>M3</t>
        </is>
      </c>
      <c r="X13" t="n">
        <v>0</v>
      </c>
      <c r="Y13" t="inlineStr">
        <is>
          <t>MXN</t>
        </is>
      </c>
      <c r="Z13" t="inlineStr">
        <is>
          <t>M3</t>
        </is>
      </c>
      <c r="AC13" t="n">
        <v>56103637</v>
      </c>
      <c r="AD13" t="n">
        <v>6644231540</v>
      </c>
      <c r="AE13" t="n">
        <v>1</v>
      </c>
      <c r="AF13" t="inlineStr">
        <is>
          <t>ENTREGADO</t>
        </is>
      </c>
      <c r="AG13" t="n">
        <v>1.382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20230920</v>
      </c>
      <c r="AM13" t="inlineStr">
        <is>
          <t>DW67-900002349-10000396</t>
        </is>
      </c>
    </row>
    <row r="14">
      <c r="A14" t="inlineStr">
        <is>
          <t>900005921DW6710001652</t>
        </is>
      </c>
      <c r="B14" t="inlineStr">
        <is>
          <t>4600050942-20</t>
        </is>
      </c>
      <c r="C14" t="n">
        <v>4600050942</v>
      </c>
      <c r="D14" t="n">
        <v>20</v>
      </c>
      <c r="E14" t="inlineStr">
        <is>
          <t>MXPO</t>
        </is>
      </c>
      <c r="F14" t="inlineStr">
        <is>
          <t>MXL</t>
        </is>
      </c>
      <c r="G14" t="n">
        <v>900005921</v>
      </c>
      <c r="H14" t="inlineStr">
        <is>
          <t>SF TC – LOS HUMEROS</t>
        </is>
      </c>
      <c r="I14" t="n">
        <v>5074803</v>
      </c>
      <c r="J14" t="inlineStr">
        <is>
          <t>MELO SOLEDAD JOSE CRUZ</t>
        </is>
      </c>
      <c r="K14" t="inlineStr">
        <is>
          <t>N60</t>
        </is>
      </c>
      <c r="L14" t="inlineStr">
        <is>
          <t>(AP) NAFIN 60 Dias</t>
        </is>
      </c>
      <c r="M14" t="n">
        <v>10001652</v>
      </c>
      <c r="N14" t="inlineStr">
        <is>
          <t>Grava Triturada Andesita 13 mm - 1/2"</t>
        </is>
      </c>
      <c r="O14" t="inlineStr">
        <is>
          <t>DW67</t>
        </is>
      </c>
      <c r="P14" t="inlineStr">
        <is>
          <t>MX-CED. VERACRUZ SUR</t>
        </is>
      </c>
      <c r="Q14" t="n">
        <v>20210712</v>
      </c>
      <c r="R14" t="n">
        <v>20261231</v>
      </c>
      <c r="S14" t="n">
        <v>20211002</v>
      </c>
      <c r="T14" t="n">
        <v>20261231</v>
      </c>
      <c r="U14" t="n">
        <v>70</v>
      </c>
      <c r="V14" t="inlineStr">
        <is>
          <t>MXN</t>
        </is>
      </c>
      <c r="W14" t="inlineStr">
        <is>
          <t>M3</t>
        </is>
      </c>
      <c r="X14" t="n">
        <v>0</v>
      </c>
      <c r="Y14" t="inlineStr">
        <is>
          <t>MXN</t>
        </is>
      </c>
      <c r="Z14" t="inlineStr">
        <is>
          <t>M3</t>
        </is>
      </c>
      <c r="AC14" t="n">
        <v>56103637</v>
      </c>
      <c r="AD14" t="n">
        <v>6644231540</v>
      </c>
      <c r="AE14" t="n">
        <v>1</v>
      </c>
      <c r="AF14" t="inlineStr">
        <is>
          <t>ENTREGADO</t>
        </is>
      </c>
      <c r="AG14" t="n">
        <v>1.234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20230920</v>
      </c>
      <c r="AM14" t="inlineStr">
        <is>
          <t>DW67-900005921-10001652</t>
        </is>
      </c>
    </row>
    <row r="15">
      <c r="A15" t="inlineStr">
        <is>
          <t>900007979DW67D30210000372</t>
        </is>
      </c>
      <c r="B15" t="inlineStr">
        <is>
          <t>4600056318-40</t>
        </is>
      </c>
      <c r="C15" t="n">
        <v>4600056318</v>
      </c>
      <c r="D15" t="n">
        <v>40</v>
      </c>
      <c r="E15" t="inlineStr">
        <is>
          <t>MXPO</t>
        </is>
      </c>
      <c r="F15" t="inlineStr">
        <is>
          <t>MXL</t>
        </is>
      </c>
      <c r="G15" t="n">
        <v>900007979</v>
      </c>
      <c r="H15" t="inlineStr">
        <is>
          <t>SF TC-ED-CLAKAR 210 PROY JAGUAR</t>
        </is>
      </c>
      <c r="I15" t="n">
        <v>5086783</v>
      </c>
      <c r="J15" t="inlineStr">
        <is>
          <t>CLA KAR COMPAÑIA DEL SURESTE SA DE</t>
        </is>
      </c>
      <c r="K15" t="inlineStr">
        <is>
          <t>N30</t>
        </is>
      </c>
      <c r="L15" t="inlineStr">
        <is>
          <t>(AP) NAFIN 30 Dias</t>
        </is>
      </c>
      <c r="M15" t="n">
        <v>10000372</v>
      </c>
      <c r="N15" t="inlineStr">
        <is>
          <t>Grava Triturada Caliza 20 mm - 3/4"</t>
        </is>
      </c>
      <c r="O15" t="inlineStr">
        <is>
          <t>DW67</t>
        </is>
      </c>
      <c r="P15" t="inlineStr">
        <is>
          <t>MX-CED. VERACRUZ SUR</t>
        </is>
      </c>
      <c r="Q15" t="n">
        <v>20230124</v>
      </c>
      <c r="R15" t="n">
        <v>20291231</v>
      </c>
      <c r="S15" t="n">
        <v>20230124</v>
      </c>
      <c r="T15" t="n">
        <v>20271231</v>
      </c>
      <c r="U15" t="n">
        <v>900</v>
      </c>
      <c r="V15" t="inlineStr">
        <is>
          <t>MXN</t>
        </is>
      </c>
      <c r="W15" t="inlineStr">
        <is>
          <t>M3</t>
        </is>
      </c>
      <c r="X15" t="n">
        <v>600</v>
      </c>
      <c r="Y15" t="inlineStr">
        <is>
          <t>MXN</t>
        </is>
      </c>
      <c r="Z15" t="inlineStr">
        <is>
          <t>M3</t>
        </is>
      </c>
      <c r="AA15" t="inlineStr">
        <is>
          <t>D302</t>
        </is>
      </c>
      <c r="AB15" t="inlineStr">
        <is>
          <t>PD0471 COATZACOALCOS</t>
        </is>
      </c>
      <c r="AC15" t="n">
        <v>56103637</v>
      </c>
      <c r="AD15" t="n">
        <v>6644231540</v>
      </c>
      <c r="AE15" t="n">
        <v>4</v>
      </c>
      <c r="AF15" t="inlineStr">
        <is>
          <t>ENTREGA DIRECTA</t>
        </is>
      </c>
      <c r="AG15" t="n">
        <v>1.448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20230920</v>
      </c>
      <c r="AM15" t="inlineStr">
        <is>
          <t>DW67-900007979-D302-10000372-4</t>
        </is>
      </c>
    </row>
    <row r="16">
      <c r="A16" t="inlineStr">
        <is>
          <t>900003437DW67D30210000139</t>
        </is>
      </c>
      <c r="B16" t="inlineStr">
        <is>
          <t>4600050908-20</t>
        </is>
      </c>
      <c r="C16" t="n">
        <v>4600050908</v>
      </c>
      <c r="D16" t="n">
        <v>20</v>
      </c>
      <c r="E16" t="inlineStr">
        <is>
          <t>MXPO</t>
        </is>
      </c>
      <c r="F16" t="inlineStr">
        <is>
          <t>MXL</t>
        </is>
      </c>
      <c r="G16" t="n">
        <v>900003437</v>
      </c>
      <c r="H16" t="inlineStr">
        <is>
          <t>TC-ED-RUIZ ROSET</t>
        </is>
      </c>
      <c r="I16" t="n">
        <v>5052648</v>
      </c>
      <c r="J16" t="inlineStr">
        <is>
          <t>RUIZ ROSET NICOLAS</t>
        </is>
      </c>
      <c r="K16" t="inlineStr">
        <is>
          <t>N90</t>
        </is>
      </c>
      <c r="L16" t="inlineStr">
        <is>
          <t>(AP) NAFIN 90 Dias</t>
        </is>
      </c>
      <c r="M16" t="n">
        <v>10000139</v>
      </c>
      <c r="N16" t="inlineStr">
        <is>
          <t>Grava Triturada Andesita 20 mm - 3/4"</t>
        </is>
      </c>
      <c r="O16" t="inlineStr">
        <is>
          <t>DW67</t>
        </is>
      </c>
      <c r="P16" t="inlineStr">
        <is>
          <t>MX-CED. VERACRUZ SUR</t>
        </is>
      </c>
      <c r="Q16" t="n">
        <v>20210712</v>
      </c>
      <c r="R16" t="n">
        <v>20281231</v>
      </c>
      <c r="S16" t="n">
        <v>20230526</v>
      </c>
      <c r="T16" t="n">
        <v>20281231</v>
      </c>
      <c r="U16" t="n">
        <v>1150</v>
      </c>
      <c r="V16" t="inlineStr">
        <is>
          <t>MXN</t>
        </is>
      </c>
      <c r="W16" t="inlineStr">
        <is>
          <t>M3</t>
        </is>
      </c>
      <c r="X16" t="n">
        <v>1060</v>
      </c>
      <c r="Y16" t="inlineStr">
        <is>
          <t>MXN</t>
        </is>
      </c>
      <c r="Z16" t="inlineStr">
        <is>
          <t>M3</t>
        </is>
      </c>
      <c r="AA16" t="inlineStr">
        <is>
          <t>D302</t>
        </is>
      </c>
      <c r="AB16" t="inlineStr">
        <is>
          <t>PD0471 COATZACOALCOS</t>
        </is>
      </c>
      <c r="AC16" t="n">
        <v>56103637</v>
      </c>
      <c r="AD16" t="n">
        <v>6644231540</v>
      </c>
      <c r="AE16" t="n">
        <v>4</v>
      </c>
      <c r="AF16" t="inlineStr">
        <is>
          <t>ENTREGA DIRECTA</t>
        </is>
      </c>
      <c r="AG16" t="n">
        <v>1.311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20230920</v>
      </c>
      <c r="AM16" t="inlineStr">
        <is>
          <t>DW67-900003437-D302-10000139-4</t>
        </is>
      </c>
    </row>
    <row r="17">
      <c r="A17" t="inlineStr">
        <is>
          <t>900008910DW67D30210223313</t>
        </is>
      </c>
      <c r="B17" t="inlineStr">
        <is>
          <t>4600069981-40</t>
        </is>
      </c>
      <c r="C17" t="n">
        <v>4600069981</v>
      </c>
      <c r="D17" t="n">
        <v>40</v>
      </c>
      <c r="E17" t="inlineStr">
        <is>
          <t>MXPO</t>
        </is>
      </c>
      <c r="F17" t="inlineStr">
        <is>
          <t>MXL</t>
        </is>
      </c>
      <c r="G17" t="n">
        <v>900008910</v>
      </c>
      <c r="H17" t="inlineStr">
        <is>
          <t>SF TC-ED OPERAMAC MGM</t>
        </is>
      </c>
      <c r="I17" t="n">
        <v>5093910</v>
      </c>
      <c r="J17" t="inlineStr">
        <is>
          <t>GUTIERREZ MARTINEZ MAYEL</t>
        </is>
      </c>
      <c r="K17" t="inlineStr">
        <is>
          <t>Z09</t>
        </is>
      </c>
      <c r="L17" t="inlineStr">
        <is>
          <t>(AP) 90 Dias</t>
        </is>
      </c>
      <c r="M17" t="n">
        <v>10223313</v>
      </c>
      <c r="N17" t="inlineStr">
        <is>
          <t>ARENA SILICA NG</t>
        </is>
      </c>
      <c r="O17" t="inlineStr">
        <is>
          <t>DW67</t>
        </is>
      </c>
      <c r="P17" t="inlineStr">
        <is>
          <t>MX-CED. VERACRUZ SUR</t>
        </is>
      </c>
      <c r="Q17" t="n">
        <v>20240731</v>
      </c>
      <c r="R17" t="n">
        <v>20291231</v>
      </c>
      <c r="S17" t="n">
        <v>20250109</v>
      </c>
      <c r="T17" t="n">
        <v>20291231</v>
      </c>
      <c r="U17" t="n">
        <v>486</v>
      </c>
      <c r="V17" t="inlineStr">
        <is>
          <t>MXN</t>
        </is>
      </c>
      <c r="W17" t="inlineStr">
        <is>
          <t>M3</t>
        </is>
      </c>
      <c r="X17" t="n">
        <v>283</v>
      </c>
      <c r="Y17" t="inlineStr">
        <is>
          <t>MXN</t>
        </is>
      </c>
      <c r="Z17" t="inlineStr">
        <is>
          <t>M3</t>
        </is>
      </c>
      <c r="AA17" t="inlineStr">
        <is>
          <t>D302</t>
        </is>
      </c>
      <c r="AB17" t="inlineStr">
        <is>
          <t>PD0471 COATZACOALCOS</t>
        </is>
      </c>
      <c r="AC17" t="n">
        <v>56103638</v>
      </c>
      <c r="AD17" t="n">
        <v>6644231540</v>
      </c>
      <c r="AE17" t="n">
        <v>4</v>
      </c>
      <c r="AF17" t="inlineStr">
        <is>
          <t>ENTREGA DIRECTA</t>
        </is>
      </c>
      <c r="AG17" t="n">
        <v>1.45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20250113</v>
      </c>
      <c r="AM17" t="inlineStr">
        <is>
          <t>DW67-900008910-D302-10223313-4</t>
        </is>
      </c>
    </row>
    <row r="18">
      <c r="A18" t="inlineStr">
        <is>
          <t>900009192DW67D30210000623</t>
        </is>
      </c>
      <c r="B18" t="inlineStr">
        <is>
          <t>4600071195-20</t>
        </is>
      </c>
      <c r="C18" t="n">
        <v>4600071195</v>
      </c>
      <c r="D18" t="n">
        <v>20</v>
      </c>
      <c r="E18" t="inlineStr">
        <is>
          <t>MXPO</t>
        </is>
      </c>
      <c r="F18" t="inlineStr">
        <is>
          <t>MXL</t>
        </is>
      </c>
      <c r="G18" t="n">
        <v>900009192</v>
      </c>
      <c r="H18" t="inlineStr">
        <is>
          <t>SF TC-ED TECHNO</t>
        </is>
      </c>
      <c r="I18" t="n">
        <v>5095150</v>
      </c>
      <c r="J18" t="inlineStr">
        <is>
          <t>TECHNO CONSTRUCCIONES Y SUMINISTROS</t>
        </is>
      </c>
      <c r="K18" t="inlineStr">
        <is>
          <t>N90</t>
        </is>
      </c>
      <c r="L18" t="inlineStr">
        <is>
          <t>(AP) NAFIN 90 Dias</t>
        </is>
      </c>
      <c r="M18" t="n">
        <v>10000623</v>
      </c>
      <c r="N18" t="inlineStr">
        <is>
          <t>Grava Triturada Caliza 10 mm - 3/8"</t>
        </is>
      </c>
      <c r="O18" t="inlineStr">
        <is>
          <t>DW67</t>
        </is>
      </c>
      <c r="P18" t="inlineStr">
        <is>
          <t>MX-CED. VERACRUZ SUR</t>
        </is>
      </c>
      <c r="Q18" t="n">
        <v>20250502</v>
      </c>
      <c r="R18" t="n">
        <v>20301231</v>
      </c>
      <c r="S18" t="n">
        <v>20250724</v>
      </c>
      <c r="T18" t="n">
        <v>20301231</v>
      </c>
      <c r="U18" t="n">
        <v>1150</v>
      </c>
      <c r="V18" t="inlineStr">
        <is>
          <t>MXN</t>
        </is>
      </c>
      <c r="W18" t="inlineStr">
        <is>
          <t>M3</t>
        </is>
      </c>
      <c r="X18" t="n">
        <v>730</v>
      </c>
      <c r="Y18" t="inlineStr">
        <is>
          <t>MXN</t>
        </is>
      </c>
      <c r="Z18" t="inlineStr">
        <is>
          <t>M3</t>
        </is>
      </c>
      <c r="AA18" t="inlineStr">
        <is>
          <t>D302</t>
        </is>
      </c>
      <c r="AB18" t="inlineStr">
        <is>
          <t>PD0471 COATZACOALCOS</t>
        </is>
      </c>
      <c r="AC18" t="n">
        <v>56103637</v>
      </c>
      <c r="AD18" t="n">
        <v>6644231540</v>
      </c>
      <c r="AE18" t="n">
        <v>4</v>
      </c>
      <c r="AF18" t="inlineStr">
        <is>
          <t>ENTREGA DIRECTA</t>
        </is>
      </c>
      <c r="AG18" t="n">
        <v>1.41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20250729</v>
      </c>
      <c r="AM18" t="inlineStr">
        <is>
          <t>DW67-900009192-D302-10000623-4</t>
        </is>
      </c>
    </row>
    <row r="19">
      <c r="A19" t="inlineStr">
        <is>
          <t>900008972DW67D30210000826</t>
        </is>
      </c>
      <c r="B19" t="inlineStr">
        <is>
          <t>4600070645-20</t>
        </is>
      </c>
      <c r="C19" t="n">
        <v>4600070645</v>
      </c>
      <c r="D19" t="n">
        <v>20</v>
      </c>
      <c r="E19" t="inlineStr">
        <is>
          <t>MXPO</t>
        </is>
      </c>
      <c r="F19" t="inlineStr">
        <is>
          <t>MXL</t>
        </is>
      </c>
      <c r="G19" t="n">
        <v>900008972</v>
      </c>
      <c r="H19" t="inlineStr">
        <is>
          <t>SF TC-ED MGM HATO</t>
        </is>
      </c>
      <c r="I19" t="n">
        <v>5093910</v>
      </c>
      <c r="J19" t="inlineStr">
        <is>
          <t>GUTIERREZ MARTINEZ MAYEL</t>
        </is>
      </c>
      <c r="K19" t="inlineStr">
        <is>
          <t>N90</t>
        </is>
      </c>
      <c r="L19" t="inlineStr">
        <is>
          <t>(AP) NAFIN 90 Dias</t>
        </is>
      </c>
      <c r="M19" t="n">
        <v>10000826</v>
      </c>
      <c r="N19" t="inlineStr">
        <is>
          <t>Arena Clasificada Río Malla 4</t>
        </is>
      </c>
      <c r="O19" t="inlineStr">
        <is>
          <t>DW67</t>
        </is>
      </c>
      <c r="P19" t="inlineStr">
        <is>
          <t>MX-CED. VERACRUZ SUR</t>
        </is>
      </c>
      <c r="Q19" t="n">
        <v>20241209</v>
      </c>
      <c r="R19" t="n">
        <v>20291231</v>
      </c>
      <c r="S19" t="n">
        <v>20250109</v>
      </c>
      <c r="T19" t="n">
        <v>20291231</v>
      </c>
      <c r="U19" t="n">
        <v>450</v>
      </c>
      <c r="V19" t="inlineStr">
        <is>
          <t>MXN</t>
        </is>
      </c>
      <c r="W19" t="inlineStr">
        <is>
          <t>M3</t>
        </is>
      </c>
      <c r="X19" t="n">
        <v>258</v>
      </c>
      <c r="Y19" t="inlineStr">
        <is>
          <t>MXN</t>
        </is>
      </c>
      <c r="Z19" t="inlineStr">
        <is>
          <t>M3</t>
        </is>
      </c>
      <c r="AA19" t="inlineStr">
        <is>
          <t>D302</t>
        </is>
      </c>
      <c r="AB19" t="inlineStr">
        <is>
          <t>PD0471 COATZACOALCOS</t>
        </is>
      </c>
      <c r="AC19" t="n">
        <v>56103638</v>
      </c>
      <c r="AD19" t="n">
        <v>6644231540</v>
      </c>
      <c r="AE19" t="n">
        <v>4</v>
      </c>
      <c r="AF19" t="inlineStr">
        <is>
          <t>ENTREGA DIRECTA</t>
        </is>
      </c>
      <c r="AG19" t="n">
        <v>1.45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20250113</v>
      </c>
      <c r="AM19" t="inlineStr">
        <is>
          <t>DW67-900008972-D302-10000826-4</t>
        </is>
      </c>
    </row>
    <row r="20">
      <c r="A20" t="inlineStr">
        <is>
          <t>900000000DW67D30210000178</t>
        </is>
      </c>
      <c r="B20" t="inlineStr">
        <is>
          <t>4600069852-30</t>
        </is>
      </c>
      <c r="C20" t="n">
        <v>4600069852</v>
      </c>
      <c r="D20" t="n">
        <v>30</v>
      </c>
      <c r="E20" t="inlineStr">
        <is>
          <t>MXPO</t>
        </is>
      </c>
      <c r="F20" t="inlineStr">
        <is>
          <t>MXL</t>
        </is>
      </c>
      <c r="G20" t="n">
        <v>900000000</v>
      </c>
      <c r="H20" t="inlineStr">
        <is>
          <t>TC-ED-LAZCANO HUERTA</t>
        </is>
      </c>
      <c r="I20" t="n">
        <v>5000326</v>
      </c>
      <c r="J20" t="inlineStr">
        <is>
          <t>LAZCANO HUERTA ROCIO NANCY</t>
        </is>
      </c>
      <c r="K20" t="inlineStr">
        <is>
          <t>N90</t>
        </is>
      </c>
      <c r="L20" t="inlineStr">
        <is>
          <t>(AP) NAFIN 90 Dias</t>
        </is>
      </c>
      <c r="M20" t="n">
        <v>10000178</v>
      </c>
      <c r="N20" t="inlineStr">
        <is>
          <t>Grava Clasificada Río 20 mm - 3/4"</t>
        </is>
      </c>
      <c r="O20" t="inlineStr">
        <is>
          <t>DW67</t>
        </is>
      </c>
      <c r="P20" t="inlineStr">
        <is>
          <t>MX-CED. VERACRUZ SUR</t>
        </is>
      </c>
      <c r="Q20" t="n">
        <v>20240713</v>
      </c>
      <c r="R20" t="n">
        <v>20291231</v>
      </c>
      <c r="S20" t="n">
        <v>20240723</v>
      </c>
      <c r="T20" t="n">
        <v>20291231</v>
      </c>
      <c r="U20" t="n">
        <v>500</v>
      </c>
      <c r="V20" t="inlineStr">
        <is>
          <t>MXN</t>
        </is>
      </c>
      <c r="W20" t="inlineStr">
        <is>
          <t>M3</t>
        </is>
      </c>
      <c r="X20" t="n">
        <v>150</v>
      </c>
      <c r="Y20" t="inlineStr">
        <is>
          <t>MXN</t>
        </is>
      </c>
      <c r="Z20" t="inlineStr">
        <is>
          <t>M3</t>
        </is>
      </c>
      <c r="AA20" t="inlineStr">
        <is>
          <t>D302</t>
        </is>
      </c>
      <c r="AB20" t="inlineStr">
        <is>
          <t>PD0471 COATZACOALCOS</t>
        </is>
      </c>
      <c r="AC20" t="n">
        <v>56103637</v>
      </c>
      <c r="AD20" t="n">
        <v>6644231540</v>
      </c>
      <c r="AE20" t="n">
        <v>4</v>
      </c>
      <c r="AF20" t="inlineStr">
        <is>
          <t>ENTREGA DIRECTA</t>
        </is>
      </c>
      <c r="AG20" t="n">
        <v>1.507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20240725</v>
      </c>
      <c r="AM20" t="inlineStr">
        <is>
          <t>DW67-900000000-D302-10000178-4</t>
        </is>
      </c>
    </row>
    <row r="21">
      <c r="A21" t="inlineStr">
        <is>
          <t>900007715DW67D30210210039</t>
        </is>
      </c>
      <c r="B21" t="inlineStr">
        <is>
          <t>4600071196-10</t>
        </is>
      </c>
      <c r="C21" t="n">
        <v>4600071196</v>
      </c>
      <c r="D21" t="n">
        <v>10</v>
      </c>
      <c r="E21" t="inlineStr">
        <is>
          <t>MXPO</t>
        </is>
      </c>
      <c r="F21" t="inlineStr">
        <is>
          <t>MXL</t>
        </is>
      </c>
      <c r="G21" t="n">
        <v>900007715</v>
      </c>
      <c r="H21" t="inlineStr">
        <is>
          <t>SF TC-ED-SAMUEL CARRASCO14</t>
        </is>
      </c>
      <c r="I21" t="n">
        <v>5080454</v>
      </c>
      <c r="J21" t="inlineStr">
        <is>
          <t>CARRASCO ALCUDIA SAMUEL</t>
        </is>
      </c>
      <c r="K21" t="inlineStr">
        <is>
          <t>N90</t>
        </is>
      </c>
      <c r="L21" t="inlineStr">
        <is>
          <t>(AP) NAFIN 90 Dias</t>
        </is>
      </c>
      <c r="M21" t="n">
        <v>10210039</v>
      </c>
      <c r="N21" t="inlineStr">
        <is>
          <t>ARENA CLASIFICADA RÍO MALLA 4</t>
        </is>
      </c>
      <c r="O21" t="inlineStr">
        <is>
          <t>DW67</t>
        </is>
      </c>
      <c r="P21" t="inlineStr">
        <is>
          <t>MX-CED. VERACRUZ SUR</t>
        </is>
      </c>
      <c r="Q21" t="n">
        <v>20250502</v>
      </c>
      <c r="R21" t="n">
        <v>20301231</v>
      </c>
      <c r="S21" t="n">
        <v>20250502</v>
      </c>
      <c r="T21" t="n">
        <v>20301231</v>
      </c>
      <c r="U21" t="n">
        <v>500</v>
      </c>
      <c r="V21" t="inlineStr">
        <is>
          <t>MXN</t>
        </is>
      </c>
      <c r="W21" t="inlineStr">
        <is>
          <t>M3</t>
        </is>
      </c>
      <c r="X21" t="n">
        <v>415</v>
      </c>
      <c r="Y21" t="inlineStr">
        <is>
          <t>MXN</t>
        </is>
      </c>
      <c r="Z21" t="inlineStr">
        <is>
          <t>M3</t>
        </is>
      </c>
      <c r="AA21" t="inlineStr">
        <is>
          <t>D302</t>
        </is>
      </c>
      <c r="AB21" t="inlineStr">
        <is>
          <t>PD0471 COATZACOALCOS</t>
        </is>
      </c>
      <c r="AC21" t="n">
        <v>56103638</v>
      </c>
      <c r="AD21" t="n">
        <v>6644231540</v>
      </c>
      <c r="AE21" t="n">
        <v>4</v>
      </c>
      <c r="AF21" t="inlineStr">
        <is>
          <t>ENTREGA DIRECTA</t>
        </is>
      </c>
      <c r="AG21" t="n">
        <v>1.485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20250505</v>
      </c>
      <c r="AM21" t="inlineStr">
        <is>
          <t>DW67-900007715-D302-10210039-4</t>
        </is>
      </c>
    </row>
    <row r="22">
      <c r="A22" t="inlineStr">
        <is>
          <t>900009192DW67D30210210039</t>
        </is>
      </c>
      <c r="B22" t="inlineStr">
        <is>
          <t>4600071195-10</t>
        </is>
      </c>
      <c r="C22" t="n">
        <v>4600071195</v>
      </c>
      <c r="D22" t="n">
        <v>10</v>
      </c>
      <c r="E22" t="inlineStr">
        <is>
          <t>MXPO</t>
        </is>
      </c>
      <c r="F22" t="inlineStr">
        <is>
          <t>MXL</t>
        </is>
      </c>
      <c r="G22" t="n">
        <v>900009192</v>
      </c>
      <c r="H22" t="inlineStr">
        <is>
          <t>SF TC-ED TECHNO</t>
        </is>
      </c>
      <c r="I22" t="n">
        <v>5095150</v>
      </c>
      <c r="J22" t="inlineStr">
        <is>
          <t>TECHNO CONSTRUCCIONES Y SUMINISTROS</t>
        </is>
      </c>
      <c r="K22" t="inlineStr">
        <is>
          <t>N90</t>
        </is>
      </c>
      <c r="L22" t="inlineStr">
        <is>
          <t>(AP) NAFIN 90 Dias</t>
        </is>
      </c>
      <c r="M22" t="n">
        <v>10210039</v>
      </c>
      <c r="N22" t="inlineStr">
        <is>
          <t>ARENA CLASIFICADA RÍO MALLA 4</t>
        </is>
      </c>
      <c r="O22" t="inlineStr">
        <is>
          <t>DW67</t>
        </is>
      </c>
      <c r="P22" t="inlineStr">
        <is>
          <t>MX-CED. VERACRUZ SUR</t>
        </is>
      </c>
      <c r="Q22" t="n">
        <v>20250502</v>
      </c>
      <c r="R22" t="n">
        <v>20301231</v>
      </c>
      <c r="S22" t="n">
        <v>20250502</v>
      </c>
      <c r="T22" t="n">
        <v>20301231</v>
      </c>
      <c r="U22" t="n">
        <v>500</v>
      </c>
      <c r="V22" t="inlineStr">
        <is>
          <t>MXN</t>
        </is>
      </c>
      <c r="W22" t="inlineStr">
        <is>
          <t>M3</t>
        </is>
      </c>
      <c r="X22" t="n">
        <v>415</v>
      </c>
      <c r="Y22" t="inlineStr">
        <is>
          <t>MXN</t>
        </is>
      </c>
      <c r="Z22" t="inlineStr">
        <is>
          <t>M3</t>
        </is>
      </c>
      <c r="AA22" t="inlineStr">
        <is>
          <t>D302</t>
        </is>
      </c>
      <c r="AB22" t="inlineStr">
        <is>
          <t>PD0471 COATZACOALCOS</t>
        </is>
      </c>
      <c r="AC22" t="n">
        <v>56103638</v>
      </c>
      <c r="AD22" t="n">
        <v>6644231540</v>
      </c>
      <c r="AE22" t="n">
        <v>4</v>
      </c>
      <c r="AF22" t="inlineStr">
        <is>
          <t>ENTREGA DIRECTA</t>
        </is>
      </c>
      <c r="AG22" t="n">
        <v>1.485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20250505</v>
      </c>
      <c r="AM22" t="inlineStr">
        <is>
          <t>DW67-900009192-D302-10210039-4</t>
        </is>
      </c>
    </row>
    <row r="23">
      <c r="A23" t="inlineStr">
        <is>
          <t>900008972DW67D30210255395</t>
        </is>
      </c>
      <c r="B23" t="inlineStr">
        <is>
          <t>4600070645-10</t>
        </is>
      </c>
      <c r="C23" t="n">
        <v>4600070645</v>
      </c>
      <c r="D23" t="n">
        <v>10</v>
      </c>
      <c r="E23" t="inlineStr">
        <is>
          <t>MXPO</t>
        </is>
      </c>
      <c r="F23" t="inlineStr">
        <is>
          <t>MXL</t>
        </is>
      </c>
      <c r="G23" t="n">
        <v>900008972</v>
      </c>
      <c r="H23" t="inlineStr">
        <is>
          <t>SF TC-ED MGM HATO</t>
        </is>
      </c>
      <c r="I23" t="n">
        <v>5093910</v>
      </c>
      <c r="J23" t="inlineStr">
        <is>
          <t>GUTIERREZ MARTINEZ MAYEL</t>
        </is>
      </c>
      <c r="K23" t="inlineStr">
        <is>
          <t>N90</t>
        </is>
      </c>
      <c r="L23" t="inlineStr">
        <is>
          <t>(AP) NAFIN 90 Dias</t>
        </is>
      </c>
      <c r="M23" t="n">
        <v>10255395</v>
      </c>
      <c r="N23" t="inlineStr">
        <is>
          <t>GRAVA TRITURADA CALIZA 20 MM - 3/4"</t>
        </is>
      </c>
      <c r="O23" t="inlineStr">
        <is>
          <t>DW67</t>
        </is>
      </c>
      <c r="P23" t="inlineStr">
        <is>
          <t>MX-CED. VERACRUZ SUR</t>
        </is>
      </c>
      <c r="Q23" t="n">
        <v>20241209</v>
      </c>
      <c r="R23" t="n">
        <v>20291231</v>
      </c>
      <c r="S23" t="n">
        <v>20241209</v>
      </c>
      <c r="T23" t="n">
        <v>20291231</v>
      </c>
      <c r="U23" t="n">
        <v>636</v>
      </c>
      <c r="V23" t="inlineStr">
        <is>
          <t>MXN</t>
        </is>
      </c>
      <c r="W23" t="inlineStr">
        <is>
          <t>M3</t>
        </is>
      </c>
      <c r="X23" t="n">
        <v>286</v>
      </c>
      <c r="Y23" t="inlineStr">
        <is>
          <t>MXN</t>
        </is>
      </c>
      <c r="Z23" t="inlineStr">
        <is>
          <t>M3</t>
        </is>
      </c>
      <c r="AA23" t="inlineStr">
        <is>
          <t>D302</t>
        </is>
      </c>
      <c r="AB23" t="inlineStr">
        <is>
          <t>PD0471 COATZACOALCOS</t>
        </is>
      </c>
      <c r="AC23" t="n">
        <v>56103637</v>
      </c>
      <c r="AD23" t="n">
        <v>6644231540</v>
      </c>
      <c r="AE23" t="n">
        <v>4</v>
      </c>
      <c r="AF23" t="inlineStr">
        <is>
          <t>ENTREGA DIRECTA</t>
        </is>
      </c>
      <c r="AG23" t="n">
        <v>1.448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20241212</v>
      </c>
      <c r="AM23" t="inlineStr">
        <is>
          <t>DW67-900008972-D302-10255395-4</t>
        </is>
      </c>
    </row>
    <row r="24">
      <c r="A24" t="inlineStr">
        <is>
          <t>900008910DW67D30210255395</t>
        </is>
      </c>
      <c r="B24" t="inlineStr">
        <is>
          <t>4600069981-30</t>
        </is>
      </c>
      <c r="C24" t="n">
        <v>4600069981</v>
      </c>
      <c r="D24" t="n">
        <v>30</v>
      </c>
      <c r="E24" t="inlineStr">
        <is>
          <t>MXPO</t>
        </is>
      </c>
      <c r="F24" t="inlineStr">
        <is>
          <t>MXL</t>
        </is>
      </c>
      <c r="G24" t="n">
        <v>900008910</v>
      </c>
      <c r="H24" t="inlineStr">
        <is>
          <t>SF TC-ED OPERAMAC MGM</t>
        </is>
      </c>
      <c r="I24" t="n">
        <v>5093910</v>
      </c>
      <c r="J24" t="inlineStr">
        <is>
          <t>GUTIERREZ MARTINEZ MAYEL</t>
        </is>
      </c>
      <c r="K24" t="inlineStr">
        <is>
          <t>Z09</t>
        </is>
      </c>
      <c r="L24" t="inlineStr">
        <is>
          <t>(AP) 90 Dias</t>
        </is>
      </c>
      <c r="M24" t="n">
        <v>10255395</v>
      </c>
      <c r="N24" t="inlineStr">
        <is>
          <t>GRAVA TRITURADA CALIZA 20 MM - 3/4"</t>
        </is>
      </c>
      <c r="O24" t="inlineStr">
        <is>
          <t>DW67</t>
        </is>
      </c>
      <c r="P24" t="inlineStr">
        <is>
          <t>MX-CED. VERACRUZ SUR</t>
        </is>
      </c>
      <c r="Q24" t="n">
        <v>20240731</v>
      </c>
      <c r="R24" t="n">
        <v>20291231</v>
      </c>
      <c r="S24" t="n">
        <v>20241209</v>
      </c>
      <c r="T24" t="n">
        <v>20291231</v>
      </c>
      <c r="U24" t="n">
        <v>1110</v>
      </c>
      <c r="V24" t="inlineStr">
        <is>
          <t>MXN</t>
        </is>
      </c>
      <c r="W24" t="inlineStr">
        <is>
          <t>M3</t>
        </is>
      </c>
      <c r="X24" t="n">
        <v>760</v>
      </c>
      <c r="Y24" t="inlineStr">
        <is>
          <t>MXN</t>
        </is>
      </c>
      <c r="Z24" t="inlineStr">
        <is>
          <t>M3</t>
        </is>
      </c>
      <c r="AA24" t="inlineStr">
        <is>
          <t>D302</t>
        </is>
      </c>
      <c r="AB24" t="inlineStr">
        <is>
          <t>PD0471 COATZACOALCOS</t>
        </is>
      </c>
      <c r="AC24" t="n">
        <v>56103637</v>
      </c>
      <c r="AD24" t="n">
        <v>6644231540</v>
      </c>
      <c r="AE24" t="n">
        <v>4</v>
      </c>
      <c r="AF24" t="inlineStr">
        <is>
          <t>ENTREGA DIRECTA</t>
        </is>
      </c>
      <c r="AG24" t="n">
        <v>1.448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20241212</v>
      </c>
      <c r="AM24" t="inlineStr">
        <is>
          <t>DW67-900008910-D302-10255395-4</t>
        </is>
      </c>
    </row>
    <row r="25">
      <c r="A25" t="inlineStr">
        <is>
          <t>900007979DW67D30210000178</t>
        </is>
      </c>
      <c r="B25" t="inlineStr">
        <is>
          <t>4600056318-10</t>
        </is>
      </c>
      <c r="C25" t="n">
        <v>4600056318</v>
      </c>
      <c r="D25" t="n">
        <v>10</v>
      </c>
      <c r="E25" t="inlineStr">
        <is>
          <t>MXPO</t>
        </is>
      </c>
      <c r="F25" t="inlineStr">
        <is>
          <t>MXL</t>
        </is>
      </c>
      <c r="G25" t="n">
        <v>900007979</v>
      </c>
      <c r="H25" t="inlineStr">
        <is>
          <t>SF TC-ED-CLAKAR 210 PROY JAGUAR</t>
        </is>
      </c>
      <c r="I25" t="n">
        <v>5086783</v>
      </c>
      <c r="J25" t="inlineStr">
        <is>
          <t>CLA KAR COMPAÑIA DEL SURESTE SA DE</t>
        </is>
      </c>
      <c r="K25" t="inlineStr">
        <is>
          <t>N30</t>
        </is>
      </c>
      <c r="L25" t="inlineStr">
        <is>
          <t>(AP) NAFIN 30 Dias</t>
        </is>
      </c>
      <c r="M25" t="n">
        <v>10000178</v>
      </c>
      <c r="N25" t="inlineStr">
        <is>
          <t>Grava Clasificada Río 20 mm - 3/4"</t>
        </is>
      </c>
      <c r="O25" t="inlineStr">
        <is>
          <t>DW67</t>
        </is>
      </c>
      <c r="P25" t="inlineStr">
        <is>
          <t>MX-CED. VERACRUZ SUR</t>
        </is>
      </c>
      <c r="Q25" t="n">
        <v>20230124</v>
      </c>
      <c r="R25" t="n">
        <v>20291231</v>
      </c>
      <c r="S25" t="n">
        <v>20240715</v>
      </c>
      <c r="T25" t="n">
        <v>20291231</v>
      </c>
      <c r="U25" t="n">
        <v>580</v>
      </c>
      <c r="V25" t="inlineStr">
        <is>
          <t>MXN</t>
        </is>
      </c>
      <c r="W25" t="inlineStr">
        <is>
          <t>M3</t>
        </is>
      </c>
      <c r="X25" t="n">
        <v>230</v>
      </c>
      <c r="Y25" t="inlineStr">
        <is>
          <t>MXN</t>
        </is>
      </c>
      <c r="Z25" t="inlineStr">
        <is>
          <t>M3</t>
        </is>
      </c>
      <c r="AA25" t="inlineStr">
        <is>
          <t>D302</t>
        </is>
      </c>
      <c r="AB25" t="inlineStr">
        <is>
          <t>PD0471 COATZACOALCOS</t>
        </is>
      </c>
      <c r="AC25" t="n">
        <v>56103637</v>
      </c>
      <c r="AD25" t="n">
        <v>6644231540</v>
      </c>
      <c r="AE25" t="n">
        <v>4</v>
      </c>
      <c r="AF25" t="inlineStr">
        <is>
          <t>ENTREGA DIRECTA</t>
        </is>
      </c>
      <c r="AG25" t="n">
        <v>1.507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20240731</v>
      </c>
      <c r="AM25" t="inlineStr">
        <is>
          <t>DW67-900007979-D302-10000178-4</t>
        </is>
      </c>
    </row>
    <row r="26">
      <c r="A26" t="inlineStr">
        <is>
          <t>900007979DW67D30210000826</t>
        </is>
      </c>
      <c r="B26" t="inlineStr">
        <is>
          <t>4600056318-20</t>
        </is>
      </c>
      <c r="C26" t="n">
        <v>4600056318</v>
      </c>
      <c r="D26" t="n">
        <v>20</v>
      </c>
      <c r="E26" t="inlineStr">
        <is>
          <t>MXPO</t>
        </is>
      </c>
      <c r="F26" t="inlineStr">
        <is>
          <t>MXL</t>
        </is>
      </c>
      <c r="G26" t="n">
        <v>900007979</v>
      </c>
      <c r="H26" t="inlineStr">
        <is>
          <t>SF TC-ED-CLAKAR 210 PROY JAGUAR</t>
        </is>
      </c>
      <c r="I26" t="n">
        <v>5086783</v>
      </c>
      <c r="J26" t="inlineStr">
        <is>
          <t>CLA KAR COMPAÑIA DEL SURESTE SA DE</t>
        </is>
      </c>
      <c r="K26" t="inlineStr">
        <is>
          <t>N30</t>
        </is>
      </c>
      <c r="L26" t="inlineStr">
        <is>
          <t>(AP) NAFIN 30 Dias</t>
        </is>
      </c>
      <c r="M26" t="n">
        <v>10000826</v>
      </c>
      <c r="N26" t="inlineStr">
        <is>
          <t>Arena Clasificada Río Malla 4</t>
        </is>
      </c>
      <c r="O26" t="inlineStr">
        <is>
          <t>DW67</t>
        </is>
      </c>
      <c r="P26" t="inlineStr">
        <is>
          <t>MX-CED. VERACRUZ SUR</t>
        </is>
      </c>
      <c r="Q26" t="n">
        <v>20230124</v>
      </c>
      <c r="R26" t="n">
        <v>20291231</v>
      </c>
      <c r="S26" t="n">
        <v>20240715</v>
      </c>
      <c r="T26" t="n">
        <v>20291231</v>
      </c>
      <c r="U26" t="n">
        <v>545</v>
      </c>
      <c r="V26" t="inlineStr">
        <is>
          <t>MXN</t>
        </is>
      </c>
      <c r="W26" t="inlineStr">
        <is>
          <t>M3</t>
        </is>
      </c>
      <c r="X26" t="n">
        <v>250</v>
      </c>
      <c r="Y26" t="inlineStr">
        <is>
          <t>MXN</t>
        </is>
      </c>
      <c r="Z26" t="inlineStr">
        <is>
          <t>M3</t>
        </is>
      </c>
      <c r="AA26" t="inlineStr">
        <is>
          <t>D302</t>
        </is>
      </c>
      <c r="AB26" t="inlineStr">
        <is>
          <t>PD0471 COATZACOALCOS</t>
        </is>
      </c>
      <c r="AC26" t="n">
        <v>56103638</v>
      </c>
      <c r="AD26" t="n">
        <v>6644231540</v>
      </c>
      <c r="AE26" t="n">
        <v>4</v>
      </c>
      <c r="AF26" t="inlineStr">
        <is>
          <t>ENTREGA DIRECTA</t>
        </is>
      </c>
      <c r="AG26" t="n">
        <v>1.45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20240731</v>
      </c>
      <c r="AM26" t="inlineStr">
        <is>
          <t>DW67-900007979-D302-10000826-4</t>
        </is>
      </c>
    </row>
    <row r="27">
      <c r="A27" t="inlineStr">
        <is>
          <t>900003437DW67D30210032325</t>
        </is>
      </c>
      <c r="B27" t="inlineStr">
        <is>
          <t>4600050908-10</t>
        </is>
      </c>
      <c r="C27" t="n">
        <v>4600050908</v>
      </c>
      <c r="D27" t="n">
        <v>10</v>
      </c>
      <c r="E27" t="inlineStr">
        <is>
          <t>MXPO</t>
        </is>
      </c>
      <c r="F27" t="inlineStr">
        <is>
          <t>MXL</t>
        </is>
      </c>
      <c r="G27" t="n">
        <v>900003437</v>
      </c>
      <c r="H27" t="inlineStr">
        <is>
          <t>TC-ED-RUIZ ROSET</t>
        </is>
      </c>
      <c r="I27" t="n">
        <v>5052648</v>
      </c>
      <c r="J27" t="inlineStr">
        <is>
          <t>RUIZ ROSET NICOLAS</t>
        </is>
      </c>
      <c r="K27" t="inlineStr">
        <is>
          <t>N90</t>
        </is>
      </c>
      <c r="L27" t="inlineStr">
        <is>
          <t>(AP) NAFIN 90 Dias</t>
        </is>
      </c>
      <c r="M27" t="n">
        <v>10032325</v>
      </c>
      <c r="N27" t="inlineStr">
        <is>
          <t>Grava Clasificada Volcanica 20 mm - 3/4"</t>
        </is>
      </c>
      <c r="O27" t="inlineStr">
        <is>
          <t>DW67</t>
        </is>
      </c>
      <c r="P27" t="inlineStr">
        <is>
          <t>MX-CED. VERACRUZ SUR</t>
        </is>
      </c>
      <c r="Q27" t="n">
        <v>20210712</v>
      </c>
      <c r="R27" t="n">
        <v>20281231</v>
      </c>
      <c r="S27" t="n">
        <v>20210712</v>
      </c>
      <c r="T27" t="n">
        <v>20251231</v>
      </c>
      <c r="U27" t="n">
        <v>400</v>
      </c>
      <c r="V27" t="inlineStr">
        <is>
          <t>MXN</t>
        </is>
      </c>
      <c r="W27" t="inlineStr">
        <is>
          <t>M3</t>
        </is>
      </c>
      <c r="X27" t="n">
        <v>320.5</v>
      </c>
      <c r="Y27" t="inlineStr">
        <is>
          <t>MXN</t>
        </is>
      </c>
      <c r="Z27" t="inlineStr">
        <is>
          <t>M3</t>
        </is>
      </c>
      <c r="AA27" t="inlineStr">
        <is>
          <t>D302</t>
        </is>
      </c>
      <c r="AB27" t="inlineStr">
        <is>
          <t>PD0471 COATZACOALCOS</t>
        </is>
      </c>
      <c r="AC27" t="n">
        <v>56103637</v>
      </c>
      <c r="AD27" t="n">
        <v>6644231540</v>
      </c>
      <c r="AE27" t="n">
        <v>4</v>
      </c>
      <c r="AF27" t="inlineStr">
        <is>
          <t>ENTREGA DIRECTA</t>
        </is>
      </c>
      <c r="AG27" t="n">
        <v>0.54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20230920</v>
      </c>
      <c r="AM27" t="inlineStr">
        <is>
          <t>DW67-900003437-D302-10032325-4</t>
        </is>
      </c>
    </row>
    <row r="28">
      <c r="A28" t="inlineStr">
        <is>
          <t>900006500DW67D30210000178</t>
        </is>
      </c>
      <c r="B28" t="inlineStr">
        <is>
          <t>4600069832-20</t>
        </is>
      </c>
      <c r="C28" t="n">
        <v>4600069832</v>
      </c>
      <c r="D28" t="n">
        <v>20</v>
      </c>
      <c r="E28" t="inlineStr">
        <is>
          <t>MXPO</t>
        </is>
      </c>
      <c r="F28" t="inlineStr">
        <is>
          <t>MXL</t>
        </is>
      </c>
      <c r="G28" t="n">
        <v>900006500</v>
      </c>
      <c r="H28" t="inlineStr">
        <is>
          <t>TC-ED- HATO GONZALEZ</t>
        </is>
      </c>
      <c r="I28" t="n">
        <v>5077743</v>
      </c>
      <c r="J28" t="inlineStr">
        <is>
          <t>ORTIZ GONZALEZ GUSTAVO ADOLFO</t>
        </is>
      </c>
      <c r="K28" t="inlineStr">
        <is>
          <t>Z09</t>
        </is>
      </c>
      <c r="L28" t="inlineStr">
        <is>
          <t>(AP) 90 Dias</t>
        </is>
      </c>
      <c r="M28" t="n">
        <v>10000178</v>
      </c>
      <c r="N28" t="inlineStr">
        <is>
          <t>Grava Clasificada Río 20 mm - 3/4"</t>
        </is>
      </c>
      <c r="O28" t="inlineStr">
        <is>
          <t>DW67</t>
        </is>
      </c>
      <c r="P28" t="inlineStr">
        <is>
          <t>MX-CED. VERACRUZ SUR</t>
        </is>
      </c>
      <c r="Q28" t="n">
        <v>20240705</v>
      </c>
      <c r="R28" t="n">
        <v>20291231</v>
      </c>
      <c r="S28" t="n">
        <v>20240902</v>
      </c>
      <c r="T28" t="n">
        <v>20291231</v>
      </c>
      <c r="U28" t="n">
        <v>537</v>
      </c>
      <c r="V28" t="inlineStr">
        <is>
          <t>MXN</t>
        </is>
      </c>
      <c r="W28" t="inlineStr">
        <is>
          <t>M3</t>
        </is>
      </c>
      <c r="X28" t="n">
        <v>200</v>
      </c>
      <c r="Y28" t="inlineStr">
        <is>
          <t>MXN</t>
        </is>
      </c>
      <c r="Z28" t="inlineStr">
        <is>
          <t>M3</t>
        </is>
      </c>
      <c r="AA28" t="inlineStr">
        <is>
          <t>D302</t>
        </is>
      </c>
      <c r="AB28" t="inlineStr">
        <is>
          <t>PD0471 COATZACOALCOS</t>
        </is>
      </c>
      <c r="AC28" t="n">
        <v>56103637</v>
      </c>
      <c r="AD28" t="n">
        <v>6644231540</v>
      </c>
      <c r="AE28" t="n">
        <v>4</v>
      </c>
      <c r="AF28" t="inlineStr">
        <is>
          <t>ENTREGA DIRECTA</t>
        </is>
      </c>
      <c r="AG28" t="n">
        <v>1.507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20240904</v>
      </c>
      <c r="AM28" t="inlineStr">
        <is>
          <t>DW67-900006500-D302-10000178-4</t>
        </is>
      </c>
    </row>
    <row r="29">
      <c r="A29" t="inlineStr">
        <is>
          <t>900000000DW67D30210000541</t>
        </is>
      </c>
      <c r="B29" t="inlineStr">
        <is>
          <t>4600069852-40</t>
        </is>
      </c>
      <c r="C29" t="n">
        <v>4600069852</v>
      </c>
      <c r="D29" t="n">
        <v>40</v>
      </c>
      <c r="E29" t="inlineStr">
        <is>
          <t>MXPO</t>
        </is>
      </c>
      <c r="F29" t="inlineStr">
        <is>
          <t>MXL</t>
        </is>
      </c>
      <c r="G29" t="n">
        <v>900000000</v>
      </c>
      <c r="H29" t="inlineStr">
        <is>
          <t>TC-ED-LAZCANO HUERTA</t>
        </is>
      </c>
      <c r="I29" t="n">
        <v>5000326</v>
      </c>
      <c r="J29" t="inlineStr">
        <is>
          <t>LAZCANO HUERTA ROCIO NANCY</t>
        </is>
      </c>
      <c r="K29" t="inlineStr">
        <is>
          <t>N90</t>
        </is>
      </c>
      <c r="L29" t="inlineStr">
        <is>
          <t>(AP) NAFIN 90 Dias</t>
        </is>
      </c>
      <c r="M29" t="n">
        <v>10000541</v>
      </c>
      <c r="N29" t="inlineStr">
        <is>
          <t>Grava Clasificada Río 10 mm - 3/8"</t>
        </is>
      </c>
      <c r="O29" t="inlineStr">
        <is>
          <t>DW67</t>
        </is>
      </c>
      <c r="P29" t="inlineStr">
        <is>
          <t>MX-CED. VERACRUZ SUR</t>
        </is>
      </c>
      <c r="Q29" t="n">
        <v>20240713</v>
      </c>
      <c r="R29" t="n">
        <v>20291231</v>
      </c>
      <c r="S29" t="n">
        <v>20250923</v>
      </c>
      <c r="T29" t="n">
        <v>20301231</v>
      </c>
      <c r="U29" t="n">
        <v>500</v>
      </c>
      <c r="V29" t="inlineStr">
        <is>
          <t>MXN</t>
        </is>
      </c>
      <c r="W29" t="inlineStr">
        <is>
          <t>M3</t>
        </is>
      </c>
      <c r="X29" t="n">
        <v>250</v>
      </c>
      <c r="Y29" t="inlineStr">
        <is>
          <t>MXN</t>
        </is>
      </c>
      <c r="Z29" t="inlineStr">
        <is>
          <t>M3</t>
        </is>
      </c>
      <c r="AA29" t="inlineStr">
        <is>
          <t>D302</t>
        </is>
      </c>
      <c r="AB29" t="inlineStr">
        <is>
          <t>PD0471 COATZACOALCOS</t>
        </is>
      </c>
      <c r="AC29" t="n">
        <v>56103637</v>
      </c>
      <c r="AD29" t="n">
        <v>6644231540</v>
      </c>
      <c r="AE29" t="n">
        <v>4</v>
      </c>
      <c r="AF29" t="inlineStr">
        <is>
          <t>ENTREGA DIRECTA</t>
        </is>
      </c>
      <c r="AG29" t="n">
        <v>1.528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20250924</v>
      </c>
      <c r="AM29" t="inlineStr">
        <is>
          <t>DW67-900000000-D302-10000541-4</t>
        </is>
      </c>
    </row>
    <row r="30">
      <c r="A30" t="inlineStr">
        <is>
          <t>900008910DW67D30210000178</t>
        </is>
      </c>
      <c r="B30" t="inlineStr">
        <is>
          <t>4600069981-20</t>
        </is>
      </c>
      <c r="C30" t="n">
        <v>4600069981</v>
      </c>
      <c r="D30" t="n">
        <v>20</v>
      </c>
      <c r="E30" t="inlineStr">
        <is>
          <t>MXPO</t>
        </is>
      </c>
      <c r="F30" t="inlineStr">
        <is>
          <t>MXL</t>
        </is>
      </c>
      <c r="G30" t="n">
        <v>900008910</v>
      </c>
      <c r="H30" t="inlineStr">
        <is>
          <t>SF TC-ED OPERAMAC MGM</t>
        </is>
      </c>
      <c r="I30" t="n">
        <v>5093910</v>
      </c>
      <c r="J30" t="inlineStr">
        <is>
          <t>GUTIERREZ MARTINEZ MAYEL</t>
        </is>
      </c>
      <c r="K30" t="inlineStr">
        <is>
          <t>Z09</t>
        </is>
      </c>
      <c r="L30" t="inlineStr">
        <is>
          <t>(AP) 90 Dias</t>
        </is>
      </c>
      <c r="M30" t="n">
        <v>10000178</v>
      </c>
      <c r="N30" t="inlineStr">
        <is>
          <t>Grava Clasificada Río 20 mm - 3/4"</t>
        </is>
      </c>
      <c r="O30" t="inlineStr">
        <is>
          <t>DW67</t>
        </is>
      </c>
      <c r="P30" t="inlineStr">
        <is>
          <t>MX-CED. VERACRUZ SUR</t>
        </is>
      </c>
      <c r="Q30" t="n">
        <v>20240731</v>
      </c>
      <c r="R30" t="n">
        <v>20291231</v>
      </c>
      <c r="S30" t="n">
        <v>20240902</v>
      </c>
      <c r="T30" t="n">
        <v>20291231</v>
      </c>
      <c r="U30" t="n">
        <v>550</v>
      </c>
      <c r="V30" t="inlineStr">
        <is>
          <t>MXN</t>
        </is>
      </c>
      <c r="W30" t="inlineStr">
        <is>
          <t>M3</t>
        </is>
      </c>
      <c r="X30" t="n">
        <v>200</v>
      </c>
      <c r="Y30" t="inlineStr">
        <is>
          <t>MXN</t>
        </is>
      </c>
      <c r="Z30" t="inlineStr">
        <is>
          <t>M3</t>
        </is>
      </c>
      <c r="AA30" t="inlineStr">
        <is>
          <t>D302</t>
        </is>
      </c>
      <c r="AB30" t="inlineStr">
        <is>
          <t>PD0471 COATZACOALCOS</t>
        </is>
      </c>
      <c r="AC30" t="n">
        <v>56103637</v>
      </c>
      <c r="AD30" t="n">
        <v>6644231540</v>
      </c>
      <c r="AE30" t="n">
        <v>4</v>
      </c>
      <c r="AF30" t="inlineStr">
        <is>
          <t>ENTREGA DIRECTA</t>
        </is>
      </c>
      <c r="AG30" t="n">
        <v>1.507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20240904</v>
      </c>
      <c r="AM30" t="inlineStr">
        <is>
          <t>DW67-900008910-D302-10000178-4</t>
        </is>
      </c>
    </row>
    <row r="31">
      <c r="A31" t="inlineStr">
        <is>
          <t>900007979DW67D30210000398</t>
        </is>
      </c>
      <c r="B31" t="inlineStr">
        <is>
          <t>4600056318-30</t>
        </is>
      </c>
      <c r="C31" t="n">
        <v>4600056318</v>
      </c>
      <c r="D31" t="n">
        <v>30</v>
      </c>
      <c r="E31" t="inlineStr">
        <is>
          <t>MXPO</t>
        </is>
      </c>
      <c r="F31" t="inlineStr">
        <is>
          <t>MXL</t>
        </is>
      </c>
      <c r="G31" t="n">
        <v>900007979</v>
      </c>
      <c r="H31" t="inlineStr">
        <is>
          <t>SF TC-ED-CLAKAR 210 PROY JAGUAR</t>
        </is>
      </c>
      <c r="I31" t="n">
        <v>5086783</v>
      </c>
      <c r="J31" t="inlineStr">
        <is>
          <t>CLA KAR COMPAÑIA DEL SURESTE SA DE</t>
        </is>
      </c>
      <c r="K31" t="inlineStr">
        <is>
          <t>N30</t>
        </is>
      </c>
      <c r="L31" t="inlineStr">
        <is>
          <t>(AP) NAFIN 30 Dias</t>
        </is>
      </c>
      <c r="M31" t="n">
        <v>10000398</v>
      </c>
      <c r="N31" t="inlineStr">
        <is>
          <t>Grava Triturada Andesita 20 mm - 3/4"</t>
        </is>
      </c>
      <c r="O31" t="inlineStr">
        <is>
          <t>DW67</t>
        </is>
      </c>
      <c r="P31" t="inlineStr">
        <is>
          <t>MX-CED. VERACRUZ SUR</t>
        </is>
      </c>
      <c r="Q31" t="n">
        <v>20230124</v>
      </c>
      <c r="R31" t="n">
        <v>20291231</v>
      </c>
      <c r="S31" t="n">
        <v>20231031</v>
      </c>
      <c r="T31" t="n">
        <v>20281231</v>
      </c>
      <c r="U31" t="n">
        <v>500</v>
      </c>
      <c r="V31" t="inlineStr">
        <is>
          <t>MXN</t>
        </is>
      </c>
      <c r="W31" t="inlineStr">
        <is>
          <t>M3</t>
        </is>
      </c>
      <c r="X31" t="n">
        <v>415</v>
      </c>
      <c r="Y31" t="inlineStr">
        <is>
          <t>MXN</t>
        </is>
      </c>
      <c r="Z31" t="inlineStr">
        <is>
          <t>M3</t>
        </is>
      </c>
      <c r="AA31" t="inlineStr">
        <is>
          <t>D302</t>
        </is>
      </c>
      <c r="AB31" t="inlineStr">
        <is>
          <t>PD0471 COATZACOALCOS</t>
        </is>
      </c>
      <c r="AC31" t="n">
        <v>56103637</v>
      </c>
      <c r="AD31" t="n">
        <v>6644231540</v>
      </c>
      <c r="AE31" t="n">
        <v>4</v>
      </c>
      <c r="AF31" t="inlineStr">
        <is>
          <t>ENTREGA DIRECTA</t>
        </is>
      </c>
      <c r="AG31" t="n">
        <v>1.311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20231102</v>
      </c>
      <c r="AM31" t="inlineStr">
        <is>
          <t>DW67-900007979-D302-10000398-4</t>
        </is>
      </c>
    </row>
    <row r="32">
      <c r="A32" t="inlineStr">
        <is>
          <t>900006500DW67D30210000826</t>
        </is>
      </c>
      <c r="B32" t="inlineStr">
        <is>
          <t>4600069832-10</t>
        </is>
      </c>
      <c r="C32" t="n">
        <v>4600069832</v>
      </c>
      <c r="D32" t="n">
        <v>10</v>
      </c>
      <c r="E32" t="inlineStr">
        <is>
          <t>MXPO</t>
        </is>
      </c>
      <c r="F32" t="inlineStr">
        <is>
          <t>MXL</t>
        </is>
      </c>
      <c r="G32" t="n">
        <v>900006500</v>
      </c>
      <c r="H32" t="inlineStr">
        <is>
          <t>TC-ED- HATO GONZALEZ</t>
        </is>
      </c>
      <c r="I32" t="n">
        <v>5077743</v>
      </c>
      <c r="J32" t="inlineStr">
        <is>
          <t>ORTIZ GONZALEZ GUSTAVO ADOLFO</t>
        </is>
      </c>
      <c r="K32" t="inlineStr">
        <is>
          <t>Z09</t>
        </is>
      </c>
      <c r="L32" t="inlineStr">
        <is>
          <t>(AP) 90 Dias</t>
        </is>
      </c>
      <c r="M32" t="n">
        <v>10000826</v>
      </c>
      <c r="N32" t="inlineStr">
        <is>
          <t>Arena Clasificada Río Malla 4</t>
        </is>
      </c>
      <c r="O32" t="inlineStr">
        <is>
          <t>DW67</t>
        </is>
      </c>
      <c r="P32" t="inlineStr">
        <is>
          <t>MX-CED. VERACRUZ SUR</t>
        </is>
      </c>
      <c r="Q32" t="n">
        <v>20240705</v>
      </c>
      <c r="R32" t="n">
        <v>20291231</v>
      </c>
      <c r="S32" t="n">
        <v>20260115</v>
      </c>
      <c r="T32" t="n">
        <v>20301231</v>
      </c>
      <c r="U32" t="n">
        <v>426.4</v>
      </c>
      <c r="V32" t="inlineStr">
        <is>
          <t>MXN</t>
        </is>
      </c>
      <c r="W32" t="inlineStr">
        <is>
          <t>M3</t>
        </is>
      </c>
      <c r="X32" t="n">
        <v>196.4</v>
      </c>
      <c r="Y32" t="inlineStr">
        <is>
          <t>MXN</t>
        </is>
      </c>
      <c r="Z32" t="inlineStr">
        <is>
          <t>M3</t>
        </is>
      </c>
      <c r="AA32" t="inlineStr">
        <is>
          <t>D302</t>
        </is>
      </c>
      <c r="AB32" t="inlineStr">
        <is>
          <t>PD0471 COATZACOALCOS</t>
        </is>
      </c>
      <c r="AC32" t="n">
        <v>56103638</v>
      </c>
      <c r="AD32" t="n">
        <v>6644231540</v>
      </c>
      <c r="AE32" t="n">
        <v>4</v>
      </c>
      <c r="AF32" t="inlineStr">
        <is>
          <t>ENTREGA DIRECTA</t>
        </is>
      </c>
      <c r="AG32" t="n">
        <v>1.45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20260204</v>
      </c>
      <c r="AM32" t="inlineStr">
        <is>
          <t>DW67-900006500-D302-10000826-4</t>
        </is>
      </c>
    </row>
    <row r="33">
      <c r="A33" t="inlineStr">
        <is>
          <t>900000037DW6710000139</t>
        </is>
      </c>
      <c r="B33" t="inlineStr">
        <is>
          <t>4600050878-20</t>
        </is>
      </c>
      <c r="C33" t="n">
        <v>4600050878</v>
      </c>
      <c r="D33" t="n">
        <v>20</v>
      </c>
      <c r="E33" t="inlineStr">
        <is>
          <t>MXPO</t>
        </is>
      </c>
      <c r="F33" t="inlineStr">
        <is>
          <t>MXL</t>
        </is>
      </c>
      <c r="G33" t="n">
        <v>900000037</v>
      </c>
      <c r="H33" t="inlineStr">
        <is>
          <t>TC-THOME VILLALBA</t>
        </is>
      </c>
      <c r="I33" t="n">
        <v>5001984</v>
      </c>
      <c r="J33" t="inlineStr">
        <is>
          <t>TRITURADOS THOME VILLALBA SA DE CV</t>
        </is>
      </c>
      <c r="K33" t="inlineStr">
        <is>
          <t>Z09</t>
        </is>
      </c>
      <c r="L33" t="inlineStr">
        <is>
          <t>(AP) 90 Dias</t>
        </is>
      </c>
      <c r="M33" t="n">
        <v>10000139</v>
      </c>
      <c r="N33" t="inlineStr">
        <is>
          <t>Grava Triturada Andesita 20 mm - 3/4"</t>
        </is>
      </c>
      <c r="O33" t="inlineStr">
        <is>
          <t>DW67</t>
        </is>
      </c>
      <c r="P33" t="inlineStr">
        <is>
          <t>MX-CED. VERACRUZ SUR</t>
        </is>
      </c>
      <c r="Q33" t="n">
        <v>20210712</v>
      </c>
      <c r="R33" t="n">
        <v>20291231</v>
      </c>
      <c r="S33" t="n">
        <v>20240101</v>
      </c>
      <c r="T33" t="n">
        <v>20291231</v>
      </c>
      <c r="U33" t="n">
        <v>95</v>
      </c>
      <c r="V33" t="inlineStr">
        <is>
          <t>MXN</t>
        </is>
      </c>
      <c r="W33" t="inlineStr">
        <is>
          <t>M3</t>
        </is>
      </c>
      <c r="X33" t="n">
        <v>0</v>
      </c>
      <c r="Y33" t="inlineStr">
        <is>
          <t>MXN</t>
        </is>
      </c>
      <c r="Z33" t="inlineStr">
        <is>
          <t>M3</t>
        </is>
      </c>
      <c r="AC33" t="n">
        <v>56103637</v>
      </c>
      <c r="AD33" t="n">
        <v>6644231540</v>
      </c>
      <c r="AE33" t="n">
        <v>1</v>
      </c>
      <c r="AF33" t="inlineStr">
        <is>
          <t>ENTREGADO</t>
        </is>
      </c>
      <c r="AG33" t="n">
        <v>1.311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20240212</v>
      </c>
      <c r="AM33" t="inlineStr">
        <is>
          <t>DW67-900000037-10000139</t>
        </is>
      </c>
    </row>
    <row r="34">
      <c r="A34" t="inlineStr">
        <is>
          <t>900000743DW6710000561</t>
        </is>
      </c>
      <c r="B34" t="inlineStr">
        <is>
          <t>4600050890-10</t>
        </is>
      </c>
      <c r="C34" t="n">
        <v>4600050890</v>
      </c>
      <c r="D34" t="n">
        <v>10</v>
      </c>
      <c r="E34" t="inlineStr">
        <is>
          <t>MXPO</t>
        </is>
      </c>
      <c r="F34" t="inlineStr">
        <is>
          <t>MXL</t>
        </is>
      </c>
      <c r="G34" t="n">
        <v>900000743</v>
      </c>
      <c r="H34" t="inlineStr">
        <is>
          <t>TC SIGSA</t>
        </is>
      </c>
      <c r="I34" t="n">
        <v>5021622</v>
      </c>
      <c r="J34" t="inlineStr">
        <is>
          <t>SERVICIOS DE INGENIERIA DEL GOLFO</t>
        </is>
      </c>
      <c r="K34" t="inlineStr">
        <is>
          <t>N60</t>
        </is>
      </c>
      <c r="L34" t="inlineStr">
        <is>
          <t>(AP) NAFIN 60 Dias</t>
        </is>
      </c>
      <c r="M34" t="n">
        <v>10000561</v>
      </c>
      <c r="N34" t="inlineStr">
        <is>
          <t>Grava Triturada Caliza 20 mm - 3/4"</t>
        </is>
      </c>
      <c r="O34" t="inlineStr">
        <is>
          <t>DW67</t>
        </is>
      </c>
      <c r="P34" t="inlineStr">
        <is>
          <t>MX-CED. VERACRUZ SUR</t>
        </is>
      </c>
      <c r="Q34" t="n">
        <v>20210712</v>
      </c>
      <c r="R34" t="n">
        <v>20291231</v>
      </c>
      <c r="S34" t="n">
        <v>20251103</v>
      </c>
      <c r="T34" t="n">
        <v>20301231</v>
      </c>
      <c r="U34" t="n">
        <v>320</v>
      </c>
      <c r="V34" t="inlineStr">
        <is>
          <t>MXN</t>
        </is>
      </c>
      <c r="W34" t="inlineStr">
        <is>
          <t>M3</t>
        </is>
      </c>
      <c r="X34" t="n">
        <v>0</v>
      </c>
      <c r="Y34" t="inlineStr">
        <is>
          <t>MXN</t>
        </is>
      </c>
      <c r="Z34" t="inlineStr">
        <is>
          <t>M3</t>
        </is>
      </c>
      <c r="AC34" t="n">
        <v>56103637</v>
      </c>
      <c r="AD34" t="n">
        <v>6644231540</v>
      </c>
      <c r="AE34" t="n">
        <v>1</v>
      </c>
      <c r="AF34" t="inlineStr">
        <is>
          <t>ENTREGADO</t>
        </is>
      </c>
      <c r="AG34" t="n">
        <v>1.43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20251104</v>
      </c>
      <c r="AM34" t="inlineStr">
        <is>
          <t>DW67-900000743-10000561</t>
        </is>
      </c>
    </row>
    <row r="35">
      <c r="A35" t="inlineStr">
        <is>
          <t>900000037DW6710000444</t>
        </is>
      </c>
      <c r="B35" t="inlineStr">
        <is>
          <t>4600050878-10</t>
        </is>
      </c>
      <c r="C35" t="n">
        <v>4600050878</v>
      </c>
      <c r="D35" t="n">
        <v>10</v>
      </c>
      <c r="E35" t="inlineStr">
        <is>
          <t>MXPO</t>
        </is>
      </c>
      <c r="F35" t="inlineStr">
        <is>
          <t>MXL</t>
        </is>
      </c>
      <c r="G35" t="n">
        <v>900000037</v>
      </c>
      <c r="H35" t="inlineStr">
        <is>
          <t>TC-THOME VILLALBA</t>
        </is>
      </c>
      <c r="I35" t="n">
        <v>5001984</v>
      </c>
      <c r="J35" t="inlineStr">
        <is>
          <t>TRITURADOS THOME VILLALBA SA DE CV</t>
        </is>
      </c>
      <c r="K35" t="inlineStr">
        <is>
          <t>Z09</t>
        </is>
      </c>
      <c r="L35" t="inlineStr">
        <is>
          <t>(AP) 90 Dias</t>
        </is>
      </c>
      <c r="M35" t="n">
        <v>10000444</v>
      </c>
      <c r="N35" t="inlineStr">
        <is>
          <t>Arena Triturada Andesita Malla 4</t>
        </is>
      </c>
      <c r="O35" t="inlineStr">
        <is>
          <t>DW67</t>
        </is>
      </c>
      <c r="P35" t="inlineStr">
        <is>
          <t>MX-CED. VERACRUZ SUR</t>
        </is>
      </c>
      <c r="Q35" t="n">
        <v>20210712</v>
      </c>
      <c r="R35" t="n">
        <v>20291231</v>
      </c>
      <c r="S35" t="n">
        <v>20240101</v>
      </c>
      <c r="T35" t="n">
        <v>20291231</v>
      </c>
      <c r="U35" t="n">
        <v>90</v>
      </c>
      <c r="V35" t="inlineStr">
        <is>
          <t>MXN</t>
        </is>
      </c>
      <c r="W35" t="inlineStr">
        <is>
          <t>M3</t>
        </is>
      </c>
      <c r="X35" t="n">
        <v>0</v>
      </c>
      <c r="Y35" t="inlineStr">
        <is>
          <t>MXN</t>
        </is>
      </c>
      <c r="Z35" t="inlineStr">
        <is>
          <t>M3</t>
        </is>
      </c>
      <c r="AC35" t="n">
        <v>56103638</v>
      </c>
      <c r="AD35" t="n">
        <v>6644231540</v>
      </c>
      <c r="AE35" t="n">
        <v>1</v>
      </c>
      <c r="AF35" t="inlineStr">
        <is>
          <t>ENTREGADO</t>
        </is>
      </c>
      <c r="AG35" t="n">
        <v>1.473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20240212</v>
      </c>
      <c r="AM35" t="inlineStr">
        <is>
          <t>DW67-900000037-10000444</t>
        </is>
      </c>
    </row>
    <row r="36">
      <c r="A36" t="inlineStr">
        <is>
          <t>900005534DW6710000139</t>
        </is>
      </c>
      <c r="B36" t="inlineStr">
        <is>
          <t>4600050931-10</t>
        </is>
      </c>
      <c r="C36" t="n">
        <v>4600050931</v>
      </c>
      <c r="D36" t="n">
        <v>10</v>
      </c>
      <c r="E36" t="inlineStr">
        <is>
          <t>MXPO</t>
        </is>
      </c>
      <c r="F36" t="inlineStr">
        <is>
          <t>MXL</t>
        </is>
      </c>
      <c r="G36" t="n">
        <v>900005534</v>
      </c>
      <c r="H36" t="inlineStr">
        <is>
          <t>TC-THOME COATZACOALCOS</t>
        </is>
      </c>
      <c r="I36" t="n">
        <v>5001984</v>
      </c>
      <c r="J36" t="inlineStr">
        <is>
          <t>TRITURADOS THOME VILLALBA SA DE CV</t>
        </is>
      </c>
      <c r="K36" t="inlineStr">
        <is>
          <t>Z09</t>
        </is>
      </c>
      <c r="L36" t="inlineStr">
        <is>
          <t>(AP) 90 Dias</t>
        </is>
      </c>
      <c r="M36" t="n">
        <v>10000139</v>
      </c>
      <c r="N36" t="inlineStr">
        <is>
          <t>Grava Triturada Andesita 20 mm - 3/4"</t>
        </is>
      </c>
      <c r="O36" t="inlineStr">
        <is>
          <t>DW67</t>
        </is>
      </c>
      <c r="P36" t="inlineStr">
        <is>
          <t>MX-CED. VERACRUZ SUR</t>
        </is>
      </c>
      <c r="Q36" t="n">
        <v>20210712</v>
      </c>
      <c r="R36" t="n">
        <v>20291231</v>
      </c>
      <c r="S36" t="n">
        <v>20240101</v>
      </c>
      <c r="T36" t="n">
        <v>20291231</v>
      </c>
      <c r="U36" t="n">
        <v>95</v>
      </c>
      <c r="V36" t="inlineStr">
        <is>
          <t>MXN</t>
        </is>
      </c>
      <c r="W36" t="inlineStr">
        <is>
          <t>M3</t>
        </is>
      </c>
      <c r="X36" t="n">
        <v>0</v>
      </c>
      <c r="Y36" t="inlineStr">
        <is>
          <t>MXN</t>
        </is>
      </c>
      <c r="Z36" t="inlineStr">
        <is>
          <t>M3</t>
        </is>
      </c>
      <c r="AC36" t="n">
        <v>56103637</v>
      </c>
      <c r="AD36" t="n">
        <v>6644231540</v>
      </c>
      <c r="AE36" t="n">
        <v>1</v>
      </c>
      <c r="AF36" t="inlineStr">
        <is>
          <t>ENTREGADO</t>
        </is>
      </c>
      <c r="AG36" t="n">
        <v>1.311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20240212</v>
      </c>
      <c r="AM36" t="inlineStr">
        <is>
          <t>DW67-900005534-10000139</t>
        </is>
      </c>
    </row>
    <row r="37">
      <c r="A37" t="inlineStr">
        <is>
          <t>900007052DW67D30210000398</t>
        </is>
      </c>
      <c r="B37" t="inlineStr">
        <is>
          <t>4600057703-10</t>
        </is>
      </c>
      <c r="C37" t="n">
        <v>4600057703</v>
      </c>
      <c r="D37" t="n">
        <v>10</v>
      </c>
      <c r="E37" t="inlineStr">
        <is>
          <t>MXPO</t>
        </is>
      </c>
      <c r="F37" t="inlineStr">
        <is>
          <t>MXL</t>
        </is>
      </c>
      <c r="G37" t="n">
        <v>900007052</v>
      </c>
      <c r="H37" t="inlineStr">
        <is>
          <t>SF TC-ED-SAMUEL CARRASCO</t>
        </is>
      </c>
      <c r="I37" t="n">
        <v>5080454</v>
      </c>
      <c r="J37" t="inlineStr">
        <is>
          <t>CARRASCO ALCUDIA SAMUEL</t>
        </is>
      </c>
      <c r="K37" t="inlineStr">
        <is>
          <t>N90</t>
        </is>
      </c>
      <c r="L37" t="inlineStr">
        <is>
          <t>(AP) NAFIN 90 Dias</t>
        </is>
      </c>
      <c r="M37" t="n">
        <v>10000398</v>
      </c>
      <c r="N37" t="inlineStr">
        <is>
          <t>Grava Triturada Andesita 20 mm - 3/4"</t>
        </is>
      </c>
      <c r="O37" t="inlineStr">
        <is>
          <t>DW67</t>
        </is>
      </c>
      <c r="P37" t="inlineStr">
        <is>
          <t>MX-CED. VERACRUZ SUR</t>
        </is>
      </c>
      <c r="Q37" t="n">
        <v>20230605</v>
      </c>
      <c r="R37" t="n">
        <v>20291231</v>
      </c>
      <c r="S37" t="n">
        <v>20241030</v>
      </c>
      <c r="T37" t="n">
        <v>20291231</v>
      </c>
      <c r="U37" t="n">
        <v>580</v>
      </c>
      <c r="V37" t="inlineStr">
        <is>
          <t>MXN</t>
        </is>
      </c>
      <c r="W37" t="inlineStr">
        <is>
          <t>M3</t>
        </is>
      </c>
      <c r="X37" t="n">
        <v>495</v>
      </c>
      <c r="Y37" t="inlineStr">
        <is>
          <t>MXN</t>
        </is>
      </c>
      <c r="Z37" t="inlineStr">
        <is>
          <t>M3</t>
        </is>
      </c>
      <c r="AA37" t="inlineStr">
        <is>
          <t>D302</t>
        </is>
      </c>
      <c r="AB37" t="inlineStr">
        <is>
          <t>PD0471 COATZACOALCOS</t>
        </is>
      </c>
      <c r="AC37" t="n">
        <v>56103637</v>
      </c>
      <c r="AD37" t="n">
        <v>6644231540</v>
      </c>
      <c r="AE37" t="n">
        <v>4</v>
      </c>
      <c r="AF37" t="inlineStr">
        <is>
          <t>ENTREGA DIRECTA</t>
        </is>
      </c>
      <c r="AG37" t="n">
        <v>1.311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20241031</v>
      </c>
      <c r="AM37" t="inlineStr">
        <is>
          <t>DW67-900007052-D302-10000398-4</t>
        </is>
      </c>
    </row>
    <row r="38">
      <c r="A38" t="inlineStr">
        <is>
          <t>900008910DW67D30210000826</t>
        </is>
      </c>
      <c r="B38" t="inlineStr">
        <is>
          <t>4600069981-10</t>
        </is>
      </c>
      <c r="C38" t="n">
        <v>4600069981</v>
      </c>
      <c r="D38" t="n">
        <v>10</v>
      </c>
      <c r="E38" t="inlineStr">
        <is>
          <t>MXPO</t>
        </is>
      </c>
      <c r="F38" t="inlineStr">
        <is>
          <t>MXL</t>
        </is>
      </c>
      <c r="G38" t="n">
        <v>900008910</v>
      </c>
      <c r="H38" t="inlineStr">
        <is>
          <t>SF TC-ED OPERAMAC MGM</t>
        </is>
      </c>
      <c r="I38" t="n">
        <v>5093910</v>
      </c>
      <c r="J38" t="inlineStr">
        <is>
          <t>GUTIERREZ MARTINEZ MAYEL</t>
        </is>
      </c>
      <c r="K38" t="inlineStr">
        <is>
          <t>Z09</t>
        </is>
      </c>
      <c r="L38" t="inlineStr">
        <is>
          <t>(AP) 90 Dias</t>
        </is>
      </c>
      <c r="M38" t="n">
        <v>10000826</v>
      </c>
      <c r="N38" t="inlineStr">
        <is>
          <t>Arena Clasificada Río Malla 4</t>
        </is>
      </c>
      <c r="O38" t="inlineStr">
        <is>
          <t>DW67</t>
        </is>
      </c>
      <c r="P38" t="inlineStr">
        <is>
          <t>MX-CED. VERACRUZ SUR</t>
        </is>
      </c>
      <c r="Q38" t="n">
        <v>20240731</v>
      </c>
      <c r="R38" t="n">
        <v>20291231</v>
      </c>
      <c r="S38" t="n">
        <v>20240731</v>
      </c>
      <c r="T38" t="n">
        <v>20291231</v>
      </c>
      <c r="U38" t="n">
        <v>450</v>
      </c>
      <c r="V38" t="inlineStr">
        <is>
          <t>MXN</t>
        </is>
      </c>
      <c r="W38" t="inlineStr">
        <is>
          <t>M3</t>
        </is>
      </c>
      <c r="X38" t="n">
        <v>150</v>
      </c>
      <c r="Y38" t="inlineStr">
        <is>
          <t>MXN</t>
        </is>
      </c>
      <c r="Z38" t="inlineStr">
        <is>
          <t>M3</t>
        </is>
      </c>
      <c r="AA38" t="inlineStr">
        <is>
          <t>D302</t>
        </is>
      </c>
      <c r="AB38" t="inlineStr">
        <is>
          <t>PD0471 COATZACOALCOS</t>
        </is>
      </c>
      <c r="AC38" t="n">
        <v>56103638</v>
      </c>
      <c r="AD38" t="n">
        <v>6644231540</v>
      </c>
      <c r="AE38" t="n">
        <v>4</v>
      </c>
      <c r="AF38" t="inlineStr">
        <is>
          <t>ENTREGA DIRECTA</t>
        </is>
      </c>
      <c r="AG38" t="n">
        <v>1.45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20240805</v>
      </c>
      <c r="AM38" t="inlineStr">
        <is>
          <t>DW67-900008910-D302-10000826-4</t>
        </is>
      </c>
    </row>
    <row r="39">
      <c r="A39" t="inlineStr">
        <is>
          <t>900008972DW67D30210000178</t>
        </is>
      </c>
      <c r="B39" t="inlineStr">
        <is>
          <t>4600070645-30</t>
        </is>
      </c>
      <c r="C39" t="n">
        <v>4600070645</v>
      </c>
      <c r="D39" t="n">
        <v>30</v>
      </c>
      <c r="E39" t="inlineStr">
        <is>
          <t>MXPO</t>
        </is>
      </c>
      <c r="F39" t="inlineStr">
        <is>
          <t>MXL</t>
        </is>
      </c>
      <c r="G39" t="n">
        <v>900008972</v>
      </c>
      <c r="H39" t="inlineStr">
        <is>
          <t>SF TC-ED MGM HATO</t>
        </is>
      </c>
      <c r="I39" t="n">
        <v>5093910</v>
      </c>
      <c r="J39" t="inlineStr">
        <is>
          <t>GUTIERREZ MARTINEZ MAYEL</t>
        </is>
      </c>
      <c r="K39" t="inlineStr">
        <is>
          <t>N90</t>
        </is>
      </c>
      <c r="L39" t="inlineStr">
        <is>
          <t>(AP) NAFIN 90 Dias</t>
        </is>
      </c>
      <c r="M39" t="n">
        <v>10000178</v>
      </c>
      <c r="N39" t="inlineStr">
        <is>
          <t>Grava Clasificada Río 20 mm - 3/4"</t>
        </is>
      </c>
      <c r="O39" t="inlineStr">
        <is>
          <t>DW67</t>
        </is>
      </c>
      <c r="P39" t="inlineStr">
        <is>
          <t>MX-CED. VERACRUZ SUR</t>
        </is>
      </c>
      <c r="Q39" t="n">
        <v>20241209</v>
      </c>
      <c r="R39" t="n">
        <v>20291231</v>
      </c>
      <c r="S39" t="n">
        <v>20250902</v>
      </c>
      <c r="T39" t="n">
        <v>20301231</v>
      </c>
      <c r="U39" t="n">
        <v>590</v>
      </c>
      <c r="V39" t="inlineStr">
        <is>
          <t>MXN</t>
        </is>
      </c>
      <c r="W39" t="inlineStr">
        <is>
          <t>M3</t>
        </is>
      </c>
      <c r="X39" t="n">
        <v>230</v>
      </c>
      <c r="Y39" t="inlineStr">
        <is>
          <t>MXN</t>
        </is>
      </c>
      <c r="Z39" t="inlineStr">
        <is>
          <t>M3</t>
        </is>
      </c>
      <c r="AA39" t="inlineStr">
        <is>
          <t>D302</t>
        </is>
      </c>
      <c r="AB39" t="inlineStr">
        <is>
          <t>PD0471 COATZACOALCOS</t>
        </is>
      </c>
      <c r="AC39" t="n">
        <v>56103637</v>
      </c>
      <c r="AD39" t="n">
        <v>6644231540</v>
      </c>
      <c r="AE39" t="n">
        <v>4</v>
      </c>
      <c r="AF39" t="inlineStr">
        <is>
          <t>ENTREGA DIRECTA</t>
        </is>
      </c>
      <c r="AG39" t="n">
        <v>1.507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20250922</v>
      </c>
      <c r="AM39" t="inlineStr">
        <is>
          <t>DW67-900008972-D302-10000178-4</t>
        </is>
      </c>
    </row>
    <row r="40">
      <c r="A40" t="inlineStr">
        <is>
          <t>900007952DW6710210039</t>
        </is>
      </c>
      <c r="B40" t="inlineStr">
        <is>
          <t>4600056122-10</t>
        </is>
      </c>
      <c r="C40" t="n">
        <v>4600056122</v>
      </c>
      <c r="D40" t="n">
        <v>10</v>
      </c>
      <c r="E40" t="inlineStr">
        <is>
          <t>MXPO</t>
        </is>
      </c>
      <c r="F40" t="inlineStr">
        <is>
          <t>MXL</t>
        </is>
      </c>
      <c r="G40" t="n">
        <v>900007952</v>
      </c>
      <c r="H40" t="inlineStr">
        <is>
          <t>SF TC-BANCO GARCIA</t>
        </is>
      </c>
      <c r="I40" t="n">
        <v>5067302</v>
      </c>
      <c r="J40" t="inlineStr">
        <is>
          <t>GARCIA BALTAZAR MIGUEL</t>
        </is>
      </c>
      <c r="K40" t="inlineStr">
        <is>
          <t>N90</t>
        </is>
      </c>
      <c r="L40" t="inlineStr">
        <is>
          <t>(AP) NAFIN 90 Dias</t>
        </is>
      </c>
      <c r="M40" t="n">
        <v>10210039</v>
      </c>
      <c r="N40" t="inlineStr">
        <is>
          <t>ARENA CLASIFICADA RÍO MALLA 4</t>
        </is>
      </c>
      <c r="O40" t="inlineStr">
        <is>
          <t>DW67</t>
        </is>
      </c>
      <c r="P40" t="inlineStr">
        <is>
          <t>MX-CED. VERACRUZ SUR</t>
        </is>
      </c>
      <c r="Q40" t="n">
        <v>20230106</v>
      </c>
      <c r="R40" t="n">
        <v>20271231</v>
      </c>
      <c r="S40" t="n">
        <v>20230106</v>
      </c>
      <c r="T40" t="n">
        <v>20271231</v>
      </c>
      <c r="U40" t="n">
        <v>57</v>
      </c>
      <c r="V40" t="inlineStr">
        <is>
          <t>MXN</t>
        </is>
      </c>
      <c r="W40" t="inlineStr">
        <is>
          <t>M3</t>
        </is>
      </c>
      <c r="X40" t="n">
        <v>0</v>
      </c>
      <c r="Y40" t="inlineStr">
        <is>
          <t>MXN</t>
        </is>
      </c>
      <c r="Z40" t="inlineStr">
        <is>
          <t>M3</t>
        </is>
      </c>
      <c r="AC40" t="n">
        <v>56103638</v>
      </c>
      <c r="AD40" t="n">
        <v>6644231540</v>
      </c>
      <c r="AE40" t="n">
        <v>1</v>
      </c>
      <c r="AF40" t="inlineStr">
        <is>
          <t>ENTREGADO</t>
        </is>
      </c>
      <c r="AG40" t="n">
        <v>1.485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20230920</v>
      </c>
      <c r="AM40" t="inlineStr">
        <is>
          <t>DW67-900007952-10210039</t>
        </is>
      </c>
    </row>
    <row r="41">
      <c r="A41" t="inlineStr">
        <is>
          <t>900007992DW6710000826</t>
        </is>
      </c>
      <c r="B41" t="inlineStr">
        <is>
          <t>4600056140-10</t>
        </is>
      </c>
      <c r="C41" t="n">
        <v>4600056140</v>
      </c>
      <c r="D41" t="n">
        <v>10</v>
      </c>
      <c r="E41" t="inlineStr">
        <is>
          <t>MXPO</t>
        </is>
      </c>
      <c r="F41" t="inlineStr">
        <is>
          <t>MXL</t>
        </is>
      </c>
      <c r="G41" t="n">
        <v>900007992</v>
      </c>
      <c r="H41" t="inlineStr">
        <is>
          <t>SF TC-CLAKAR 210</t>
        </is>
      </c>
      <c r="I41" t="n">
        <v>5086783</v>
      </c>
      <c r="J41" t="inlineStr">
        <is>
          <t>CLA KAR COMPAÑIA DEL SURESTE SA DE</t>
        </is>
      </c>
      <c r="K41" t="inlineStr">
        <is>
          <t>N30</t>
        </is>
      </c>
      <c r="L41" t="inlineStr">
        <is>
          <t>(AP) NAFIN 30 Dias</t>
        </is>
      </c>
      <c r="M41" t="n">
        <v>10000826</v>
      </c>
      <c r="N41" t="inlineStr">
        <is>
          <t>Arena Clasificada Río Malla 4</t>
        </is>
      </c>
      <c r="O41" t="inlineStr">
        <is>
          <t>DW67</t>
        </is>
      </c>
      <c r="P41" t="inlineStr">
        <is>
          <t>MX-CED. VERACRUZ SUR</t>
        </is>
      </c>
      <c r="Q41" t="n">
        <v>20230110</v>
      </c>
      <c r="R41" t="n">
        <v>20271231</v>
      </c>
      <c r="S41" t="n">
        <v>20230110</v>
      </c>
      <c r="T41" t="n">
        <v>20271231</v>
      </c>
      <c r="U41" t="n">
        <v>210</v>
      </c>
      <c r="V41" t="inlineStr">
        <is>
          <t>MXN</t>
        </is>
      </c>
      <c r="W41" t="inlineStr">
        <is>
          <t>M3</t>
        </is>
      </c>
      <c r="X41" t="n">
        <v>0</v>
      </c>
      <c r="Y41" t="inlineStr">
        <is>
          <t>MXN</t>
        </is>
      </c>
      <c r="Z41" t="inlineStr">
        <is>
          <t>M3</t>
        </is>
      </c>
      <c r="AC41" t="n">
        <v>56103638</v>
      </c>
      <c r="AD41" t="n">
        <v>6644231540</v>
      </c>
      <c r="AE41" t="n">
        <v>1</v>
      </c>
      <c r="AF41" t="inlineStr">
        <is>
          <t>ENTREGADO</t>
        </is>
      </c>
      <c r="AG41" t="n">
        <v>1.45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20230920</v>
      </c>
      <c r="AM41" t="inlineStr">
        <is>
          <t>DW67-900007992-10000826</t>
        </is>
      </c>
    </row>
    <row r="42">
      <c r="A42" t="inlineStr">
        <is>
          <t>900008331DW67D30210000372</t>
        </is>
      </c>
      <c r="B42" t="inlineStr">
        <is>
          <t>4600069361-10</t>
        </is>
      </c>
      <c r="C42" t="n">
        <v>4600069361</v>
      </c>
      <c r="D42" t="n">
        <v>10</v>
      </c>
      <c r="E42" t="inlineStr">
        <is>
          <t>MXPO</t>
        </is>
      </c>
      <c r="F42" t="inlineStr">
        <is>
          <t>MXL</t>
        </is>
      </c>
      <c r="G42" t="n">
        <v>900008331</v>
      </c>
      <c r="H42" t="inlineStr">
        <is>
          <t>SF TC-ED-HOLCIM RZ</t>
        </is>
      </c>
      <c r="I42" t="n">
        <v>5075390</v>
      </c>
      <c r="J42" t="inlineStr">
        <is>
          <t>CORPORACION ANRROCA SA DE CV</t>
        </is>
      </c>
      <c r="K42" t="inlineStr">
        <is>
          <t>E90</t>
        </is>
      </c>
      <c r="L42" t="inlineStr">
        <is>
          <t>(AP) E-FACTOR 90 Dias</t>
        </is>
      </c>
      <c r="M42" t="n">
        <v>10000372</v>
      </c>
      <c r="N42" t="inlineStr">
        <is>
          <t>Grava Triturada Caliza 20 mm - 3/4"</t>
        </is>
      </c>
      <c r="O42" t="inlineStr">
        <is>
          <t>DW67</t>
        </is>
      </c>
      <c r="P42" t="inlineStr">
        <is>
          <t>MX-CED. VERACRUZ SUR</t>
        </is>
      </c>
      <c r="Q42" t="n">
        <v>20240409</v>
      </c>
      <c r="R42" t="n">
        <v>20291231</v>
      </c>
      <c r="S42" t="n">
        <v>20240409</v>
      </c>
      <c r="T42" t="n">
        <v>20291231</v>
      </c>
      <c r="U42" t="n">
        <v>950</v>
      </c>
      <c r="V42" t="inlineStr">
        <is>
          <t>MXN</t>
        </is>
      </c>
      <c r="W42" t="inlineStr">
        <is>
          <t>M3</t>
        </is>
      </c>
      <c r="X42" t="n">
        <v>600</v>
      </c>
      <c r="Y42" t="inlineStr">
        <is>
          <t>MXN</t>
        </is>
      </c>
      <c r="Z42" t="inlineStr">
        <is>
          <t>M3</t>
        </is>
      </c>
      <c r="AA42" t="inlineStr">
        <is>
          <t>D302</t>
        </is>
      </c>
      <c r="AB42" t="inlineStr">
        <is>
          <t>PD0471 COATZACOALCOS</t>
        </is>
      </c>
      <c r="AC42" t="n">
        <v>56103637</v>
      </c>
      <c r="AD42" t="n">
        <v>6644231540</v>
      </c>
      <c r="AE42" t="n">
        <v>4</v>
      </c>
      <c r="AF42" t="inlineStr">
        <is>
          <t>ENTREGA DIRECTA</t>
        </is>
      </c>
      <c r="AG42" t="n">
        <v>1.448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20240413</v>
      </c>
      <c r="AM42" t="inlineStr">
        <is>
          <t>DW67-900008331-D302-10000372-4</t>
        </is>
      </c>
    </row>
    <row r="43">
      <c r="A43" t="inlineStr">
        <is>
          <t>900005921DW6710000139</t>
        </is>
      </c>
      <c r="B43" t="inlineStr">
        <is>
          <t>4600050942-10</t>
        </is>
      </c>
      <c r="C43" t="n">
        <v>4600050942</v>
      </c>
      <c r="D43" t="n">
        <v>10</v>
      </c>
      <c r="E43" t="inlineStr">
        <is>
          <t>MXPO</t>
        </is>
      </c>
      <c r="F43" t="inlineStr">
        <is>
          <t>MXL</t>
        </is>
      </c>
      <c r="G43" t="n">
        <v>900005921</v>
      </c>
      <c r="H43" t="inlineStr">
        <is>
          <t>SF TC – LOS HUMEROS</t>
        </is>
      </c>
      <c r="I43" t="n">
        <v>5074803</v>
      </c>
      <c r="J43" t="inlineStr">
        <is>
          <t>MELO SOLEDAD JOSE CRUZ</t>
        </is>
      </c>
      <c r="K43" t="inlineStr">
        <is>
          <t>N60</t>
        </is>
      </c>
      <c r="L43" t="inlineStr">
        <is>
          <t>(AP) NAFIN 60 Dias</t>
        </is>
      </c>
      <c r="M43" t="n">
        <v>10000139</v>
      </c>
      <c r="N43" t="inlineStr">
        <is>
          <t>Grava Triturada Andesita 20 mm - 3/4"</t>
        </is>
      </c>
      <c r="O43" t="inlineStr">
        <is>
          <t>DW67</t>
        </is>
      </c>
      <c r="P43" t="inlineStr">
        <is>
          <t>MX-CED. VERACRUZ SUR</t>
        </is>
      </c>
      <c r="Q43" t="n">
        <v>20210712</v>
      </c>
      <c r="R43" t="n">
        <v>20261231</v>
      </c>
      <c r="S43" t="n">
        <v>20210712</v>
      </c>
      <c r="T43" t="n">
        <v>20220123</v>
      </c>
      <c r="U43" t="n">
        <v>65</v>
      </c>
      <c r="V43" t="inlineStr">
        <is>
          <t>MXN</t>
        </is>
      </c>
      <c r="W43" t="inlineStr">
        <is>
          <t>M3</t>
        </is>
      </c>
      <c r="X43" t="n">
        <v>0</v>
      </c>
      <c r="Y43" t="inlineStr">
        <is>
          <t>MXN</t>
        </is>
      </c>
      <c r="Z43" t="inlineStr">
        <is>
          <t>M3</t>
        </is>
      </c>
      <c r="AC43" t="n">
        <v>56103637</v>
      </c>
      <c r="AD43" t="n">
        <v>6644231540</v>
      </c>
      <c r="AE43" t="n">
        <v>1</v>
      </c>
      <c r="AF43" t="inlineStr">
        <is>
          <t>ENTREGADO</t>
        </is>
      </c>
      <c r="AG43" t="n">
        <v>1.311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20230920</v>
      </c>
      <c r="AM43" t="inlineStr">
        <is>
          <t>DW67-900005921-10000139</t>
        </is>
      </c>
    </row>
    <row r="44">
      <c r="A44" t="inlineStr">
        <is>
          <t>900000037DW6710000548</t>
        </is>
      </c>
      <c r="B44" t="inlineStr">
        <is>
          <t>4600050878-40</t>
        </is>
      </c>
      <c r="C44" t="n">
        <v>4600050878</v>
      </c>
      <c r="D44" t="n">
        <v>40</v>
      </c>
      <c r="E44" t="inlineStr">
        <is>
          <t>MXPO</t>
        </is>
      </c>
      <c r="F44" t="inlineStr">
        <is>
          <t>MXL</t>
        </is>
      </c>
      <c r="G44" t="n">
        <v>900000037</v>
      </c>
      <c r="H44" t="inlineStr">
        <is>
          <t>TC-THOME VILLALBA</t>
        </is>
      </c>
      <c r="I44" t="n">
        <v>5001984</v>
      </c>
      <c r="J44" t="inlineStr">
        <is>
          <t>TRITURADOS THOME VILLALBA SA DE CV</t>
        </is>
      </c>
      <c r="K44" t="inlineStr">
        <is>
          <t>Z09</t>
        </is>
      </c>
      <c r="L44" t="inlineStr">
        <is>
          <t>(AP) 90 Dias</t>
        </is>
      </c>
      <c r="M44" t="n">
        <v>10000548</v>
      </c>
      <c r="N44" t="inlineStr">
        <is>
          <t>Grava Triturada Andesita 10 mm - 3/8"</t>
        </is>
      </c>
      <c r="O44" t="inlineStr">
        <is>
          <t>DW67</t>
        </is>
      </c>
      <c r="P44" t="inlineStr">
        <is>
          <t>MX-CED. VERACRUZ SUR</t>
        </is>
      </c>
      <c r="Q44" t="n">
        <v>20210712</v>
      </c>
      <c r="R44" t="n">
        <v>20291231</v>
      </c>
      <c r="S44" t="n">
        <v>20210712</v>
      </c>
      <c r="T44" t="n">
        <v>20251231</v>
      </c>
      <c r="U44" t="n">
        <v>47.3</v>
      </c>
      <c r="V44" t="inlineStr">
        <is>
          <t>MXN</t>
        </is>
      </c>
      <c r="W44" t="inlineStr">
        <is>
          <t>M3</t>
        </is>
      </c>
      <c r="X44" t="n">
        <v>0</v>
      </c>
      <c r="Y44" t="inlineStr">
        <is>
          <t>MXN</t>
        </is>
      </c>
      <c r="Z44" t="inlineStr">
        <is>
          <t>M3</t>
        </is>
      </c>
      <c r="AC44" t="n">
        <v>56103637</v>
      </c>
      <c r="AD44" t="n">
        <v>6644231540</v>
      </c>
      <c r="AE44" t="n">
        <v>1</v>
      </c>
      <c r="AF44" t="inlineStr">
        <is>
          <t>ENTREGADO</t>
        </is>
      </c>
      <c r="AG44" t="n">
        <v>1.315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20230920</v>
      </c>
      <c r="AM44" t="inlineStr">
        <is>
          <t>DW67-900000037-10000548</t>
        </is>
      </c>
    </row>
    <row r="45">
      <c r="A45" t="inlineStr">
        <is>
          <t>900006027DW67D30210000826</t>
        </is>
      </c>
      <c r="B45" t="inlineStr">
        <is>
          <t>4600050948-10</t>
        </is>
      </c>
      <c r="C45" t="n">
        <v>4600050948</v>
      </c>
      <c r="D45" t="n">
        <v>10</v>
      </c>
      <c r="E45" t="inlineStr">
        <is>
          <t>MXPO</t>
        </is>
      </c>
      <c r="F45" t="inlineStr">
        <is>
          <t>MXL</t>
        </is>
      </c>
      <c r="G45" t="n">
        <v>900006027</v>
      </c>
      <c r="H45" t="inlineStr">
        <is>
          <t>SF TC-ED-CARRILLO RUIZ</t>
        </is>
      </c>
      <c r="I45" t="n">
        <v>5011523</v>
      </c>
      <c r="J45" t="inlineStr">
        <is>
          <t>RUIZ CARRILLO AZYADETH</t>
        </is>
      </c>
      <c r="K45" t="inlineStr">
        <is>
          <t>N90</t>
        </is>
      </c>
      <c r="L45" t="inlineStr">
        <is>
          <t>(AP) NAFIN 90 Dias</t>
        </is>
      </c>
      <c r="M45" t="n">
        <v>10000826</v>
      </c>
      <c r="N45" t="inlineStr">
        <is>
          <t>Arena Clasificada Río Malla 4</t>
        </is>
      </c>
      <c r="O45" t="inlineStr">
        <is>
          <t>DW67</t>
        </is>
      </c>
      <c r="P45" t="inlineStr">
        <is>
          <t>MX-CED. VERACRUZ SUR</t>
        </is>
      </c>
      <c r="Q45" t="n">
        <v>20210712</v>
      </c>
      <c r="R45" t="n">
        <v>20291231</v>
      </c>
      <c r="S45" t="n">
        <v>20260501</v>
      </c>
      <c r="T45" t="n">
        <v>20301231</v>
      </c>
      <c r="U45" t="n">
        <v>378</v>
      </c>
      <c r="V45" t="inlineStr">
        <is>
          <t>MXN</t>
        </is>
      </c>
      <c r="W45" t="inlineStr">
        <is>
          <t>M3</t>
        </is>
      </c>
      <c r="X45" t="n">
        <v>163</v>
      </c>
      <c r="Y45" t="inlineStr">
        <is>
          <t>MXN</t>
        </is>
      </c>
      <c r="Z45" t="inlineStr">
        <is>
          <t>M3</t>
        </is>
      </c>
      <c r="AA45" t="inlineStr">
        <is>
          <t>D302</t>
        </is>
      </c>
      <c r="AB45" t="inlineStr">
        <is>
          <t>PD0471 COATZACOALCOS</t>
        </is>
      </c>
      <c r="AC45" t="n">
        <v>56103638</v>
      </c>
      <c r="AD45" t="n">
        <v>6644231540</v>
      </c>
      <c r="AE45" t="n">
        <v>4</v>
      </c>
      <c r="AF45" t="inlineStr">
        <is>
          <t>ENTREGA DIRECTA</t>
        </is>
      </c>
      <c r="AG45" t="n">
        <v>1.45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20260523</v>
      </c>
      <c r="AM45" t="inlineStr">
        <is>
          <t>DW67-900006027-D302-10000826-4</t>
        </is>
      </c>
    </row>
    <row r="46">
      <c r="A46" t="inlineStr">
        <is>
          <t>900005534DW6710000444</t>
        </is>
      </c>
      <c r="B46" t="inlineStr">
        <is>
          <t>4600050931-20</t>
        </is>
      </c>
      <c r="C46" t="n">
        <v>4600050931</v>
      </c>
      <c r="D46" t="n">
        <v>20</v>
      </c>
      <c r="E46" t="inlineStr">
        <is>
          <t>MXPO</t>
        </is>
      </c>
      <c r="F46" t="inlineStr">
        <is>
          <t>MXL</t>
        </is>
      </c>
      <c r="G46" t="n">
        <v>900005534</v>
      </c>
      <c r="H46" t="inlineStr">
        <is>
          <t>TC-THOME COATZACOALCOS</t>
        </is>
      </c>
      <c r="I46" t="n">
        <v>5001984</v>
      </c>
      <c r="J46" t="inlineStr">
        <is>
          <t>TRITURADOS THOME VILLALBA SA DE CV</t>
        </is>
      </c>
      <c r="K46" t="inlineStr">
        <is>
          <t>Z09</t>
        </is>
      </c>
      <c r="L46" t="inlineStr">
        <is>
          <t>(AP) 90 Dias</t>
        </is>
      </c>
      <c r="M46" t="n">
        <v>10000444</v>
      </c>
      <c r="N46" t="inlineStr">
        <is>
          <t>Arena Triturada Andesita Malla 4</t>
        </is>
      </c>
      <c r="O46" t="inlineStr">
        <is>
          <t>DW67</t>
        </is>
      </c>
      <c r="P46" t="inlineStr">
        <is>
          <t>MX-CED. VERACRUZ SUR</t>
        </is>
      </c>
      <c r="Q46" t="n">
        <v>20210712</v>
      </c>
      <c r="R46" t="n">
        <v>20291231</v>
      </c>
      <c r="S46" t="n">
        <v>20240101</v>
      </c>
      <c r="T46" t="n">
        <v>20291231</v>
      </c>
      <c r="U46" t="n">
        <v>90</v>
      </c>
      <c r="V46" t="inlineStr">
        <is>
          <t>MXN</t>
        </is>
      </c>
      <c r="W46" t="inlineStr">
        <is>
          <t>M3</t>
        </is>
      </c>
      <c r="X46" t="n">
        <v>0</v>
      </c>
      <c r="Y46" t="inlineStr">
        <is>
          <t>MXN</t>
        </is>
      </c>
      <c r="Z46" t="inlineStr">
        <is>
          <t>M3</t>
        </is>
      </c>
      <c r="AC46" t="n">
        <v>56103638</v>
      </c>
      <c r="AD46" t="n">
        <v>6644231540</v>
      </c>
      <c r="AE46" t="n">
        <v>1</v>
      </c>
      <c r="AF46" t="inlineStr">
        <is>
          <t>ENTREGADO</t>
        </is>
      </c>
      <c r="AG46" t="n">
        <v>1.473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20240212</v>
      </c>
      <c r="AM46" t="inlineStr">
        <is>
          <t>DW67-900005534-10000444</t>
        </is>
      </c>
    </row>
    <row r="47">
      <c r="A47" t="inlineStr">
        <is>
          <t>900007979DW67D30210000541</t>
        </is>
      </c>
      <c r="B47" t="inlineStr">
        <is>
          <t>4600056318-50</t>
        </is>
      </c>
      <c r="C47" t="n">
        <v>4600056318</v>
      </c>
      <c r="D47" t="n">
        <v>50</v>
      </c>
      <c r="E47" t="inlineStr">
        <is>
          <t>MXPO</t>
        </is>
      </c>
      <c r="F47" t="inlineStr">
        <is>
          <t>MXL</t>
        </is>
      </c>
      <c r="G47" t="n">
        <v>900007979</v>
      </c>
      <c r="H47" t="inlineStr">
        <is>
          <t>SF TC-ED-CLAKAR 210 PROY JAGUAR</t>
        </is>
      </c>
      <c r="I47" t="n">
        <v>5086783</v>
      </c>
      <c r="J47" t="inlineStr">
        <is>
          <t>CLA KAR COMPAÑIA DEL SURESTE SA DE</t>
        </is>
      </c>
      <c r="K47" t="inlineStr">
        <is>
          <t>N30</t>
        </is>
      </c>
      <c r="L47" t="inlineStr">
        <is>
          <t>(AP) NAFIN 30 Dias</t>
        </is>
      </c>
      <c r="M47" t="n">
        <v>10000541</v>
      </c>
      <c r="N47" t="inlineStr">
        <is>
          <t>Grava Clasificada Río 10 mm - 3/8"</t>
        </is>
      </c>
      <c r="O47" t="inlineStr">
        <is>
          <t>DW67</t>
        </is>
      </c>
      <c r="P47" t="inlineStr">
        <is>
          <t>MX-CED. VERACRUZ SUR</t>
        </is>
      </c>
      <c r="Q47" t="n">
        <v>20230124</v>
      </c>
      <c r="R47" t="n">
        <v>20291231</v>
      </c>
      <c r="S47" t="n">
        <v>20230213</v>
      </c>
      <c r="T47" t="n">
        <v>20281231</v>
      </c>
      <c r="U47" t="n">
        <v>440</v>
      </c>
      <c r="V47" t="inlineStr">
        <is>
          <t>MXN</t>
        </is>
      </c>
      <c r="W47" t="inlineStr">
        <is>
          <t>M3</t>
        </is>
      </c>
      <c r="X47" t="n">
        <v>180</v>
      </c>
      <c r="Y47" t="inlineStr">
        <is>
          <t>MXN</t>
        </is>
      </c>
      <c r="Z47" t="inlineStr">
        <is>
          <t>M3</t>
        </is>
      </c>
      <c r="AA47" t="inlineStr">
        <is>
          <t>D302</t>
        </is>
      </c>
      <c r="AB47" t="inlineStr">
        <is>
          <t>PD0471 COATZACOALCOS</t>
        </is>
      </c>
      <c r="AC47" t="n">
        <v>56103637</v>
      </c>
      <c r="AD47" t="n">
        <v>6644231540</v>
      </c>
      <c r="AE47" t="n">
        <v>4</v>
      </c>
      <c r="AF47" t="inlineStr">
        <is>
          <t>ENTREGA DIRECTA</t>
        </is>
      </c>
      <c r="AG47" t="n">
        <v>1.528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20230920</v>
      </c>
      <c r="AM47" t="inlineStr">
        <is>
          <t>DW67-900007979-D302-10000541-4</t>
        </is>
      </c>
    </row>
    <row r="48">
      <c r="A48" t="inlineStr">
        <is>
          <t>900006027DW67D30210000178</t>
        </is>
      </c>
      <c r="B48" t="inlineStr">
        <is>
          <t>4600050948-20</t>
        </is>
      </c>
      <c r="C48" t="n">
        <v>4600050948</v>
      </c>
      <c r="D48" t="n">
        <v>20</v>
      </c>
      <c r="E48" t="inlineStr">
        <is>
          <t>MXPO</t>
        </is>
      </c>
      <c r="F48" t="inlineStr">
        <is>
          <t>MXL</t>
        </is>
      </c>
      <c r="G48" t="n">
        <v>900006027</v>
      </c>
      <c r="H48" t="inlineStr">
        <is>
          <t>SF TC-ED-CARRILLO RUIZ</t>
        </is>
      </c>
      <c r="I48" t="n">
        <v>5011523</v>
      </c>
      <c r="J48" t="inlineStr">
        <is>
          <t>RUIZ CARRILLO AZYADETH</t>
        </is>
      </c>
      <c r="K48" t="inlineStr">
        <is>
          <t>N90</t>
        </is>
      </c>
      <c r="L48" t="inlineStr">
        <is>
          <t>(AP) NAFIN 90 Dias</t>
        </is>
      </c>
      <c r="M48" t="n">
        <v>10000178</v>
      </c>
      <c r="N48" t="inlineStr">
        <is>
          <t>Grava Clasificada Río 20 mm - 3/4"</t>
        </is>
      </c>
      <c r="O48" t="inlineStr">
        <is>
          <t>DW67</t>
        </is>
      </c>
      <c r="P48" t="inlineStr">
        <is>
          <t>MX-CED. VERACRUZ SUR</t>
        </is>
      </c>
      <c r="Q48" t="n">
        <v>20210712</v>
      </c>
      <c r="R48" t="n">
        <v>20291231</v>
      </c>
      <c r="S48" t="n">
        <v>20211013</v>
      </c>
      <c r="T48" t="n">
        <v>20261231</v>
      </c>
      <c r="U48" t="n">
        <v>380</v>
      </c>
      <c r="V48" t="inlineStr">
        <is>
          <t>MXN</t>
        </is>
      </c>
      <c r="W48" t="inlineStr">
        <is>
          <t>M3</t>
        </is>
      </c>
      <c r="X48" t="n">
        <v>200</v>
      </c>
      <c r="Y48" t="inlineStr">
        <is>
          <t>MXN</t>
        </is>
      </c>
      <c r="Z48" t="inlineStr">
        <is>
          <t>M3</t>
        </is>
      </c>
      <c r="AA48" t="inlineStr">
        <is>
          <t>D302</t>
        </is>
      </c>
      <c r="AB48" t="inlineStr">
        <is>
          <t>PD0471 COATZACOALCOS</t>
        </is>
      </c>
      <c r="AC48" t="n">
        <v>56103637</v>
      </c>
      <c r="AD48" t="n">
        <v>6644231540</v>
      </c>
      <c r="AE48" t="n">
        <v>4</v>
      </c>
      <c r="AF48" t="inlineStr">
        <is>
          <t>ENTREGA DIRECTA</t>
        </is>
      </c>
      <c r="AG48" t="n">
        <v>1.507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20230920</v>
      </c>
      <c r="AM48" t="inlineStr">
        <is>
          <t>DW67-900006027-D302-10000178-4</t>
        </is>
      </c>
    </row>
    <row r="49">
      <c r="A49" t="inlineStr">
        <is>
          <t>900007800DW67D30210000139</t>
        </is>
      </c>
      <c r="B49" t="inlineStr">
        <is>
          <t>4600069204-10</t>
        </is>
      </c>
      <c r="C49" t="n">
        <v>4600069204</v>
      </c>
      <c r="D49" t="n">
        <v>10</v>
      </c>
      <c r="E49" t="inlineStr">
        <is>
          <t>MXPO</t>
        </is>
      </c>
      <c r="F49" t="inlineStr">
        <is>
          <t>MXL</t>
        </is>
      </c>
      <c r="G49" t="n">
        <v>900007800</v>
      </c>
      <c r="H49" t="inlineStr">
        <is>
          <t>SF TC-ED-CLAKAR</t>
        </is>
      </c>
      <c r="I49" t="n">
        <v>5086783</v>
      </c>
      <c r="J49" t="inlineStr">
        <is>
          <t>CLA KAR COMPAÑIA DEL SURESTE SA DE</t>
        </is>
      </c>
      <c r="K49" t="inlineStr">
        <is>
          <t>N30</t>
        </is>
      </c>
      <c r="L49" t="inlineStr">
        <is>
          <t>(AP) NAFIN 30 Dias</t>
        </is>
      </c>
      <c r="M49" t="n">
        <v>10000139</v>
      </c>
      <c r="N49" t="inlineStr">
        <is>
          <t>Grava Triturada Andesita 20 mm - 3/4"</t>
        </is>
      </c>
      <c r="O49" t="inlineStr">
        <is>
          <t>DW67</t>
        </is>
      </c>
      <c r="P49" t="inlineStr">
        <is>
          <t>MX-CED. VERACRUZ SUR</t>
        </is>
      </c>
      <c r="Q49" t="n">
        <v>20240229</v>
      </c>
      <c r="R49" t="n">
        <v>20291231</v>
      </c>
      <c r="S49" t="n">
        <v>20241007</v>
      </c>
      <c r="T49" t="n">
        <v>20291231</v>
      </c>
      <c r="U49" t="n">
        <v>580</v>
      </c>
      <c r="V49" t="inlineStr">
        <is>
          <t>MXN</t>
        </is>
      </c>
      <c r="W49" t="inlineStr">
        <is>
          <t>M3</t>
        </is>
      </c>
      <c r="X49" t="n">
        <v>470</v>
      </c>
      <c r="Y49" t="inlineStr">
        <is>
          <t>MXN</t>
        </is>
      </c>
      <c r="Z49" t="inlineStr">
        <is>
          <t>M3</t>
        </is>
      </c>
      <c r="AA49" t="inlineStr">
        <is>
          <t>D302</t>
        </is>
      </c>
      <c r="AB49" t="inlineStr">
        <is>
          <t>PD0471 COATZACOALCOS</t>
        </is>
      </c>
      <c r="AC49" t="n">
        <v>56103637</v>
      </c>
      <c r="AD49" t="n">
        <v>6644231540</v>
      </c>
      <c r="AE49" t="n">
        <v>4</v>
      </c>
      <c r="AF49" t="inlineStr">
        <is>
          <t>ENTREGA DIRECTA</t>
        </is>
      </c>
      <c r="AG49" t="n">
        <v>1.311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20241010</v>
      </c>
      <c r="AM49" t="inlineStr">
        <is>
          <t>DW67-900007800-D302-10000139-4</t>
        </is>
      </c>
    </row>
    <row r="50">
      <c r="A50" t="inlineStr">
        <is>
          <t>900007800DW67D30210047545</t>
        </is>
      </c>
      <c r="B50" t="inlineStr">
        <is>
          <t>4600069204-30</t>
        </is>
      </c>
      <c r="C50" t="n">
        <v>4600069204</v>
      </c>
      <c r="D50" t="n">
        <v>30</v>
      </c>
      <c r="E50" t="inlineStr">
        <is>
          <t>MXPO</t>
        </is>
      </c>
      <c r="F50" t="inlineStr">
        <is>
          <t>MXL</t>
        </is>
      </c>
      <c r="G50" t="n">
        <v>900007800</v>
      </c>
      <c r="H50" t="inlineStr">
        <is>
          <t>SF TC-ED-CLAKAR</t>
        </is>
      </c>
      <c r="I50" t="n">
        <v>5086783</v>
      </c>
      <c r="J50" t="inlineStr">
        <is>
          <t>CLA KAR COMPAÑIA DEL SURESTE SA DE</t>
        </is>
      </c>
      <c r="K50" t="inlineStr">
        <is>
          <t>N30</t>
        </is>
      </c>
      <c r="L50" t="inlineStr">
        <is>
          <t>(AP) NAFIN 30 Dias</t>
        </is>
      </c>
      <c r="M50" t="n">
        <v>10047545</v>
      </c>
      <c r="N50" t="inlineStr">
        <is>
          <t>Grava Triturada Caliza 20 mm - 3/4" -B</t>
        </is>
      </c>
      <c r="O50" t="inlineStr">
        <is>
          <t>DW67</t>
        </is>
      </c>
      <c r="P50" t="inlineStr">
        <is>
          <t>MX-CED. VERACRUZ SUR</t>
        </is>
      </c>
      <c r="Q50" t="n">
        <v>20240229</v>
      </c>
      <c r="R50" t="n">
        <v>20291231</v>
      </c>
      <c r="S50" t="n">
        <v>20241121</v>
      </c>
      <c r="T50" t="n">
        <v>20291231</v>
      </c>
      <c r="U50" t="n">
        <v>650</v>
      </c>
      <c r="V50" t="inlineStr">
        <is>
          <t>MXN</t>
        </is>
      </c>
      <c r="W50" t="inlineStr">
        <is>
          <t>M3</t>
        </is>
      </c>
      <c r="X50" t="n">
        <v>300</v>
      </c>
      <c r="Y50" t="inlineStr">
        <is>
          <t>MXN</t>
        </is>
      </c>
      <c r="Z50" t="inlineStr">
        <is>
          <t>M3</t>
        </is>
      </c>
      <c r="AA50" t="inlineStr">
        <is>
          <t>D302</t>
        </is>
      </c>
      <c r="AB50" t="inlineStr">
        <is>
          <t>PD0471 COATZACOALCOS</t>
        </is>
      </c>
      <c r="AC50" t="n">
        <v>56103637</v>
      </c>
      <c r="AD50" t="n">
        <v>6644231540</v>
      </c>
      <c r="AE50" t="n">
        <v>4</v>
      </c>
      <c r="AF50" t="inlineStr">
        <is>
          <t>ENTREGA DIRECTA</t>
        </is>
      </c>
      <c r="AG50" t="n">
        <v>1.46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20241127</v>
      </c>
      <c r="AM50" t="inlineStr">
        <is>
          <t>DW67-900007800-D302-10047545-4</t>
        </is>
      </c>
    </row>
    <row r="51">
      <c r="A51" t="inlineStr">
        <is>
          <t>900007887DW67D30210000178</t>
        </is>
      </c>
      <c r="B51" t="inlineStr">
        <is>
          <t>4600055683-10</t>
        </is>
      </c>
      <c r="C51" t="n">
        <v>4600055683</v>
      </c>
      <c r="D51" t="n">
        <v>10</v>
      </c>
      <c r="E51" t="inlineStr">
        <is>
          <t>MXPO</t>
        </is>
      </c>
      <c r="F51" t="inlineStr">
        <is>
          <t>MXL</t>
        </is>
      </c>
      <c r="G51" t="n">
        <v>900007887</v>
      </c>
      <c r="H51" t="inlineStr">
        <is>
          <t>SF TC-ED-COMAC</t>
        </is>
      </c>
      <c r="I51" t="n">
        <v>5086443</v>
      </c>
      <c r="J51" t="inlineStr">
        <is>
          <t>SANCHEZ MAYA CESAR OMAR</t>
        </is>
      </c>
      <c r="K51" t="inlineStr">
        <is>
          <t>Z09</t>
        </is>
      </c>
      <c r="L51" t="inlineStr">
        <is>
          <t>(AP) 90 Dias</t>
        </is>
      </c>
      <c r="M51" t="n">
        <v>10000178</v>
      </c>
      <c r="N51" t="inlineStr">
        <is>
          <t>Grava Clasificada Río 20 mm - 3/4"</t>
        </is>
      </c>
      <c r="O51" t="inlineStr">
        <is>
          <t>DW67</t>
        </is>
      </c>
      <c r="P51" t="inlineStr">
        <is>
          <t>MX-CED. VERACRUZ SUR</t>
        </is>
      </c>
      <c r="Q51" t="n">
        <v>20221101</v>
      </c>
      <c r="R51" t="n">
        <v>20281231</v>
      </c>
      <c r="S51" t="n">
        <v>20221101</v>
      </c>
      <c r="T51" t="n">
        <v>20230331</v>
      </c>
      <c r="U51" t="n">
        <v>400</v>
      </c>
      <c r="V51" t="inlineStr">
        <is>
          <t>MXN</t>
        </is>
      </c>
      <c r="W51" t="inlineStr">
        <is>
          <t>M3</t>
        </is>
      </c>
      <c r="X51" t="n">
        <v>150</v>
      </c>
      <c r="Y51" t="inlineStr">
        <is>
          <t>MXN</t>
        </is>
      </c>
      <c r="Z51" t="inlineStr">
        <is>
          <t>M3</t>
        </is>
      </c>
      <c r="AA51" t="inlineStr">
        <is>
          <t>D302</t>
        </is>
      </c>
      <c r="AB51" t="inlineStr">
        <is>
          <t>PD0471 COATZACOALCOS</t>
        </is>
      </c>
      <c r="AC51" t="n">
        <v>56103637</v>
      </c>
      <c r="AD51" t="n">
        <v>6644231540</v>
      </c>
      <c r="AE51" t="n">
        <v>4</v>
      </c>
      <c r="AF51" t="inlineStr">
        <is>
          <t>ENTREGA DIRECTA</t>
        </is>
      </c>
      <c r="AG51" t="n">
        <v>1.507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20230920</v>
      </c>
      <c r="AM51" t="inlineStr">
        <is>
          <t>DW67-900007887-D302-10000178-4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2026-09-14T14:22:25Z</dcterms:created>
  <dcterms:modified xsi:type="dcterms:W3CDTF">2026-09-14T14:22:26Z</dcterms:modified>
</cp:coreProperties>
</file>