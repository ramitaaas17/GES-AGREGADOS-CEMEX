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900007965</v>
      </c>
      <c r="D3" s="7">
        <f>IFERROR(VLOOKUP(C3,TRAOPE!$G:$H,2,0),"")</f>
        <v/>
      </c>
      <c r="E3" s="8" t="inlineStr">
        <is>
          <t>DW41</t>
        </is>
      </c>
      <c r="F3" s="8" t="inlineStr">
        <is>
          <t>EQ86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10227666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20230112</t>
        </is>
      </c>
      <c r="M3" s="8" t="inlineStr">
        <is>
          <t>20230203</t>
        </is>
      </c>
      <c r="N3" s="10" t="n">
        <v>318.78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900007965</v>
      </c>
      <c r="D4" s="7">
        <f>IFERROR(VLOOKUP(C4,TRAOPE!$G:$H,2,0),"")</f>
        <v/>
      </c>
      <c r="E4" s="8" t="inlineStr">
        <is>
          <t>DW41</t>
        </is>
      </c>
      <c r="F4" s="8" t="inlineStr">
        <is>
          <t>EQ86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10227667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20230112</t>
        </is>
      </c>
      <c r="M4" s="8" t="inlineStr">
        <is>
          <t>20230203</t>
        </is>
      </c>
      <c r="N4" s="10" t="n">
        <v>303.3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900007965</v>
      </c>
      <c r="D5" s="7">
        <f>IFERROR(VLOOKUP(C5,TRAOPE!$G:$H,2,0),"")</f>
        <v/>
      </c>
      <c r="E5" s="8" t="inlineStr">
        <is>
          <t>DW41</t>
        </is>
      </c>
      <c r="F5" s="8" t="inlineStr">
        <is>
          <t>EQ86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10228198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20241216</t>
        </is>
      </c>
      <c r="N5" s="10" t="n">
        <v>332.57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900007965</v>
      </c>
      <c r="D6" s="7">
        <f>IFERROR(VLOOKUP(C6,TRAOPE!$G:$H,2,0),"")</f>
        <v/>
      </c>
      <c r="E6" s="8" t="inlineStr">
        <is>
          <t>DW41</t>
        </is>
      </c>
      <c r="F6" s="8" t="inlineStr">
        <is>
          <t>EQ86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10228199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20241216</t>
        </is>
      </c>
      <c r="N6" s="10" t="n">
        <v>317.36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900007966</v>
      </c>
      <c r="D7" s="7">
        <f>IFERROR(VLOOKUP(C7,TRAOPE!$G:$H,2,0),"")</f>
        <v/>
      </c>
      <c r="E7" s="8" t="inlineStr">
        <is>
          <t>DW41</t>
        </is>
      </c>
      <c r="F7" s="8" t="inlineStr">
        <is>
          <t>EQ86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10227665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20221215</t>
        </is>
      </c>
      <c r="M7" s="8" t="inlineStr">
        <is>
          <t>20240227</t>
        </is>
      </c>
      <c r="N7" s="10" t="n">
        <v>279.27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900007966</v>
      </c>
      <c r="D8" s="7">
        <f>IFERROR(VLOOKUP(C8,TRAOPE!$G:$H,2,0),"")</f>
        <v/>
      </c>
      <c r="E8" s="8" t="inlineStr">
        <is>
          <t>DW41</t>
        </is>
      </c>
      <c r="F8" s="8" t="inlineStr">
        <is>
          <t>EQ86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10227666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20221215</t>
        </is>
      </c>
      <c r="M8" s="8" t="inlineStr">
        <is>
          <t>20231122</t>
        </is>
      </c>
      <c r="N8" s="10" t="n">
        <v>283.84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900007966</v>
      </c>
      <c r="D9" s="7">
        <f>IFERROR(VLOOKUP(C9,TRAOPE!$G:$H,2,0),"")</f>
        <v/>
      </c>
      <c r="E9" s="8" t="inlineStr">
        <is>
          <t>DW41</t>
        </is>
      </c>
      <c r="F9" s="8" t="inlineStr">
        <is>
          <t>EQ86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10227667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20221215</t>
        </is>
      </c>
      <c r="M9" s="8" t="inlineStr">
        <is>
          <t>20231122</t>
        </is>
      </c>
      <c r="N9" s="10" t="n">
        <v>266.52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900008249</v>
      </c>
      <c r="D10" s="7">
        <f>IFERROR(VLOOKUP(C10,TRAOPE!$G:$H,2,0),"")</f>
        <v/>
      </c>
      <c r="E10" s="8" t="inlineStr">
        <is>
          <t>DW41</t>
        </is>
      </c>
      <c r="F10" s="8" t="inlineStr">
        <is>
          <t>EQ86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10239695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20240408</t>
        </is>
      </c>
      <c r="M10" s="8" t="inlineStr">
        <is>
          <t>20250220</t>
        </is>
      </c>
      <c r="N10" s="10" t="n">
        <v>388.36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900008249</v>
      </c>
      <c r="D11" s="7">
        <f>IFERROR(VLOOKUP(C11,TRAOPE!$G:$H,2,0),"")</f>
        <v/>
      </c>
      <c r="E11" s="8" t="inlineStr">
        <is>
          <t>DW41</t>
        </is>
      </c>
      <c r="F11" s="8" t="inlineStr">
        <is>
          <t>EQ86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10239696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20240408</t>
        </is>
      </c>
      <c r="M11" s="8" t="inlineStr">
        <is>
          <t>20250220</t>
        </is>
      </c>
      <c r="N11" s="10" t="n">
        <v>423.25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900008249</v>
      </c>
      <c r="D12" s="7">
        <f>IFERROR(VLOOKUP(C12,TRAOPE!$G:$H,2,0),"")</f>
        <v/>
      </c>
      <c r="E12" s="8" t="inlineStr">
        <is>
          <t>DW41</t>
        </is>
      </c>
      <c r="F12" s="8" t="inlineStr">
        <is>
          <t>ER00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10239695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20240320</t>
        </is>
      </c>
      <c r="M12" s="8" t="inlineStr">
        <is>
          <t>20250220</t>
        </is>
      </c>
      <c r="N12" s="10" t="n">
        <v>366.83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900008249</v>
      </c>
      <c r="D13" s="7">
        <f>IFERROR(VLOOKUP(C13,TRAOPE!$G:$H,2,0),"")</f>
        <v/>
      </c>
      <c r="E13" s="8" t="inlineStr">
        <is>
          <t>DW41</t>
        </is>
      </c>
      <c r="F13" s="8" t="inlineStr">
        <is>
          <t>ER00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10239696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20240320</t>
        </is>
      </c>
      <c r="M13" s="8" t="inlineStr">
        <is>
          <t>20250220</t>
        </is>
      </c>
      <c r="N13" s="10" t="n">
        <v>402.74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900008605</v>
      </c>
      <c r="D14" s="7">
        <f>IFERROR(VLOOKUP(C14,TRAOPE!$G:$H,2,0),"")</f>
        <v/>
      </c>
      <c r="E14" s="8" t="inlineStr">
        <is>
          <t>DW41</t>
        </is>
      </c>
      <c r="F14" s="8" t="inlineStr">
        <is>
          <t>EQ86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10239695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20231005</t>
        </is>
      </c>
      <c r="M14" s="8" t="inlineStr">
        <is>
          <t>20250220</t>
        </is>
      </c>
      <c r="N14" s="10" t="n">
        <v>374.8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900008605</v>
      </c>
      <c r="D15" s="7">
        <f>IFERROR(VLOOKUP(C15,TRAOPE!$G:$H,2,0),"")</f>
        <v/>
      </c>
      <c r="E15" s="8" t="inlineStr">
        <is>
          <t>DW41</t>
        </is>
      </c>
      <c r="F15" s="8" t="inlineStr">
        <is>
          <t>EQ86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10239696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20231005</t>
        </is>
      </c>
      <c r="M15" s="8" t="inlineStr">
        <is>
          <t>20250220</t>
        </is>
      </c>
      <c r="N15" s="10" t="n">
        <v>410.33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900007965</t>
        </is>
      </c>
      <c r="B2" t="inlineStr">
        <is>
          <t>DW41</t>
        </is>
      </c>
      <c r="C2" t="inlineStr">
        <is>
          <t>EQ86</t>
        </is>
      </c>
      <c r="D2" t="inlineStr">
        <is>
          <t>10227666</t>
        </is>
      </c>
      <c r="E2" t="inlineStr"/>
      <c r="F2" s="11" t="n">
        <v>318.78</v>
      </c>
      <c r="G2" t="inlineStr"/>
      <c r="I2" t="inlineStr">
        <is>
          <t>TN</t>
        </is>
      </c>
      <c r="J2" t="inlineStr"/>
      <c r="K2" t="inlineStr">
        <is>
          <t>20230112</t>
        </is>
      </c>
      <c r="L2" t="inlineStr">
        <is>
          <t>20230203</t>
        </is>
      </c>
    </row>
    <row r="3">
      <c r="A3" t="inlineStr">
        <is>
          <t>900007965</t>
        </is>
      </c>
      <c r="B3" t="inlineStr">
        <is>
          <t>DW41</t>
        </is>
      </c>
      <c r="C3" t="inlineStr">
        <is>
          <t>EQ86</t>
        </is>
      </c>
      <c r="D3" t="inlineStr">
        <is>
          <t>10227667</t>
        </is>
      </c>
      <c r="E3" t="inlineStr"/>
      <c r="F3" s="11" t="n">
        <v>303.3</v>
      </c>
      <c r="G3" t="inlineStr"/>
      <c r="I3" t="inlineStr">
        <is>
          <t>TN</t>
        </is>
      </c>
      <c r="J3" t="inlineStr"/>
      <c r="K3" t="inlineStr">
        <is>
          <t>20230112</t>
        </is>
      </c>
      <c r="L3" t="inlineStr">
        <is>
          <t>20230203</t>
        </is>
      </c>
    </row>
    <row r="4">
      <c r="A4" t="inlineStr">
        <is>
          <t>900007965</t>
        </is>
      </c>
      <c r="B4" t="inlineStr">
        <is>
          <t>DW41</t>
        </is>
      </c>
      <c r="C4" t="inlineStr">
        <is>
          <t>EQ86</t>
        </is>
      </c>
      <c r="D4" t="inlineStr">
        <is>
          <t>10228198</t>
        </is>
      </c>
      <c r="E4" t="inlineStr"/>
      <c r="F4" s="11" t="n">
        <v>332.57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20241216</t>
        </is>
      </c>
    </row>
    <row r="5">
      <c r="A5" t="inlineStr">
        <is>
          <t>900007965</t>
        </is>
      </c>
      <c r="B5" t="inlineStr">
        <is>
          <t>DW41</t>
        </is>
      </c>
      <c r="C5" t="inlineStr">
        <is>
          <t>EQ86</t>
        </is>
      </c>
      <c r="D5" t="inlineStr">
        <is>
          <t>10228199</t>
        </is>
      </c>
      <c r="E5" t="inlineStr"/>
      <c r="F5" s="11" t="n">
        <v>317.36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20241216</t>
        </is>
      </c>
    </row>
    <row r="6">
      <c r="A6" t="inlineStr">
        <is>
          <t>900007966</t>
        </is>
      </c>
      <c r="B6" t="inlineStr">
        <is>
          <t>DW41</t>
        </is>
      </c>
      <c r="C6" t="inlineStr">
        <is>
          <t>EQ86</t>
        </is>
      </c>
      <c r="D6" t="inlineStr">
        <is>
          <t>10227665</t>
        </is>
      </c>
      <c r="E6" t="inlineStr"/>
      <c r="F6" s="11" t="n">
        <v>279.27</v>
      </c>
      <c r="G6" t="inlineStr"/>
      <c r="I6" t="inlineStr">
        <is>
          <t>TN</t>
        </is>
      </c>
      <c r="J6" t="inlineStr"/>
      <c r="K6" t="inlineStr">
        <is>
          <t>20221215</t>
        </is>
      </c>
      <c r="L6" t="inlineStr">
        <is>
          <t>20240227</t>
        </is>
      </c>
    </row>
    <row r="7">
      <c r="A7" t="inlineStr">
        <is>
          <t>900007966</t>
        </is>
      </c>
      <c r="B7" t="inlineStr">
        <is>
          <t>DW41</t>
        </is>
      </c>
      <c r="C7" t="inlineStr">
        <is>
          <t>EQ86</t>
        </is>
      </c>
      <c r="D7" t="inlineStr">
        <is>
          <t>10227666</t>
        </is>
      </c>
      <c r="E7" t="inlineStr"/>
      <c r="F7" s="11" t="n">
        <v>283.84</v>
      </c>
      <c r="G7" t="inlineStr"/>
      <c r="I7" t="inlineStr">
        <is>
          <t>TN</t>
        </is>
      </c>
      <c r="J7" t="inlineStr"/>
      <c r="K7" t="inlineStr">
        <is>
          <t>20221215</t>
        </is>
      </c>
      <c r="L7" t="inlineStr">
        <is>
          <t>20231122</t>
        </is>
      </c>
    </row>
    <row r="8">
      <c r="A8" t="inlineStr">
        <is>
          <t>900007966</t>
        </is>
      </c>
      <c r="B8" t="inlineStr">
        <is>
          <t>DW41</t>
        </is>
      </c>
      <c r="C8" t="inlineStr">
        <is>
          <t>EQ86</t>
        </is>
      </c>
      <c r="D8" t="inlineStr">
        <is>
          <t>10227667</t>
        </is>
      </c>
      <c r="E8" t="inlineStr"/>
      <c r="F8" s="11" t="n">
        <v>266.52</v>
      </c>
      <c r="G8" t="inlineStr"/>
      <c r="I8" t="inlineStr">
        <is>
          <t>TN</t>
        </is>
      </c>
      <c r="J8" t="inlineStr"/>
      <c r="K8" t="inlineStr">
        <is>
          <t>20221215</t>
        </is>
      </c>
      <c r="L8" t="inlineStr">
        <is>
          <t>20231122</t>
        </is>
      </c>
    </row>
    <row r="9">
      <c r="A9" t="inlineStr">
        <is>
          <t>900008249</t>
        </is>
      </c>
      <c r="B9" t="inlineStr">
        <is>
          <t>DW41</t>
        </is>
      </c>
      <c r="C9" t="inlineStr">
        <is>
          <t>EQ86</t>
        </is>
      </c>
      <c r="D9" t="inlineStr">
        <is>
          <t>10239695</t>
        </is>
      </c>
      <c r="E9" t="inlineStr"/>
      <c r="F9" s="11" t="n">
        <v>388.36</v>
      </c>
      <c r="G9" t="inlineStr"/>
      <c r="I9" t="inlineStr">
        <is>
          <t>TN</t>
        </is>
      </c>
      <c r="J9" t="inlineStr"/>
      <c r="K9" t="inlineStr">
        <is>
          <t>20240408</t>
        </is>
      </c>
      <c r="L9" t="inlineStr">
        <is>
          <t>20250220</t>
        </is>
      </c>
    </row>
    <row r="10">
      <c r="A10" t="inlineStr">
        <is>
          <t>900008249</t>
        </is>
      </c>
      <c r="B10" t="inlineStr">
        <is>
          <t>DW41</t>
        </is>
      </c>
      <c r="C10" t="inlineStr">
        <is>
          <t>EQ86</t>
        </is>
      </c>
      <c r="D10" t="inlineStr">
        <is>
          <t>10239696</t>
        </is>
      </c>
      <c r="E10" t="inlineStr"/>
      <c r="F10" s="11" t="n">
        <v>423.25</v>
      </c>
      <c r="G10" t="inlineStr"/>
      <c r="I10" t="inlineStr">
        <is>
          <t>TN</t>
        </is>
      </c>
      <c r="J10" t="inlineStr"/>
      <c r="K10" t="inlineStr">
        <is>
          <t>20240408</t>
        </is>
      </c>
      <c r="L10" t="inlineStr">
        <is>
          <t>20250220</t>
        </is>
      </c>
    </row>
    <row r="11">
      <c r="A11" t="inlineStr">
        <is>
          <t>900008249</t>
        </is>
      </c>
      <c r="B11" t="inlineStr">
        <is>
          <t>DW41</t>
        </is>
      </c>
      <c r="C11" t="inlineStr">
        <is>
          <t>ER00</t>
        </is>
      </c>
      <c r="D11" t="inlineStr">
        <is>
          <t>10239695</t>
        </is>
      </c>
      <c r="E11" t="inlineStr"/>
      <c r="F11" s="11" t="n">
        <v>366.83</v>
      </c>
      <c r="G11" t="inlineStr"/>
      <c r="I11" t="inlineStr">
        <is>
          <t>TN</t>
        </is>
      </c>
      <c r="J11" t="inlineStr"/>
      <c r="K11" t="inlineStr">
        <is>
          <t>20240320</t>
        </is>
      </c>
      <c r="L11" t="inlineStr">
        <is>
          <t>20250220</t>
        </is>
      </c>
    </row>
    <row r="12">
      <c r="A12" t="inlineStr">
        <is>
          <t>900008249</t>
        </is>
      </c>
      <c r="B12" t="inlineStr">
        <is>
          <t>DW41</t>
        </is>
      </c>
      <c r="C12" t="inlineStr">
        <is>
          <t>ER00</t>
        </is>
      </c>
      <c r="D12" t="inlineStr">
        <is>
          <t>10239696</t>
        </is>
      </c>
      <c r="E12" t="inlineStr"/>
      <c r="F12" s="11" t="n">
        <v>402.74</v>
      </c>
      <c r="G12" t="inlineStr"/>
      <c r="I12" t="inlineStr">
        <is>
          <t>TN</t>
        </is>
      </c>
      <c r="J12" t="inlineStr"/>
      <c r="K12" t="inlineStr">
        <is>
          <t>20240320</t>
        </is>
      </c>
      <c r="L12" t="inlineStr">
        <is>
          <t>20250220</t>
        </is>
      </c>
    </row>
    <row r="13">
      <c r="A13" t="inlineStr">
        <is>
          <t>900008605</t>
        </is>
      </c>
      <c r="B13" t="inlineStr">
        <is>
          <t>DW41</t>
        </is>
      </c>
      <c r="C13" t="inlineStr">
        <is>
          <t>EQ86</t>
        </is>
      </c>
      <c r="D13" t="inlineStr">
        <is>
          <t>10239695</t>
        </is>
      </c>
      <c r="E13" t="inlineStr"/>
      <c r="F13" s="11" t="n">
        <v>374.8</v>
      </c>
      <c r="G13" t="inlineStr"/>
      <c r="I13" t="inlineStr">
        <is>
          <t>TN</t>
        </is>
      </c>
      <c r="J13" t="inlineStr"/>
      <c r="K13" t="inlineStr">
        <is>
          <t>20231005</t>
        </is>
      </c>
      <c r="L13" t="inlineStr">
        <is>
          <t>20250220</t>
        </is>
      </c>
    </row>
    <row r="14">
      <c r="A14" t="inlineStr">
        <is>
          <t>900008605</t>
        </is>
      </c>
      <c r="B14" t="inlineStr">
        <is>
          <t>DW41</t>
        </is>
      </c>
      <c r="C14" t="inlineStr">
        <is>
          <t>EQ86</t>
        </is>
      </c>
      <c r="D14" t="inlineStr">
        <is>
          <t>10239696</t>
        </is>
      </c>
      <c r="E14" t="inlineStr"/>
      <c r="F14" s="11" t="n">
        <v>410.33</v>
      </c>
      <c r="G14" t="inlineStr"/>
      <c r="I14" t="inlineStr">
        <is>
          <t>TN</t>
        </is>
      </c>
      <c r="J14" t="inlineStr"/>
      <c r="K14" t="inlineStr">
        <is>
          <t>20231005</t>
        </is>
      </c>
      <c r="L14" t="inlineStr">
        <is>
          <t>20250220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900007965DW41EQ8610228198</t>
        </is>
      </c>
      <c r="B2" t="inlineStr">
        <is>
          <t>900007965</t>
        </is>
      </c>
      <c r="C2" t="inlineStr">
        <is>
          <t>DW41</t>
        </is>
      </c>
      <c r="D2" t="inlineStr">
        <is>
          <t>EQ86</t>
        </is>
      </c>
      <c r="E2" t="inlineStr">
        <is>
          <t>1</t>
        </is>
      </c>
      <c r="F2" t="inlineStr">
        <is>
          <t>10228198</t>
        </is>
      </c>
      <c r="H2" t="inlineStr"/>
      <c r="J2" t="n">
        <v>20.58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20241216</t>
        </is>
      </c>
    </row>
    <row r="3">
      <c r="A3" t="inlineStr">
        <is>
          <t>900007965DW41EQ8610228199</t>
        </is>
      </c>
      <c r="B3" t="inlineStr">
        <is>
          <t>900007965</t>
        </is>
      </c>
      <c r="C3" t="inlineStr">
        <is>
          <t>DW41</t>
        </is>
      </c>
      <c r="D3" t="inlineStr">
        <is>
          <t>EQ86</t>
        </is>
      </c>
      <c r="E3" t="inlineStr">
        <is>
          <t>1</t>
        </is>
      </c>
      <c r="F3" t="inlineStr">
        <is>
          <t>10228199</t>
        </is>
      </c>
      <c r="H3" t="inlineStr"/>
      <c r="J3" t="n">
        <v>21.29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20241216</t>
        </is>
      </c>
    </row>
    <row r="4">
      <c r="A4" t="inlineStr">
        <is>
          <t>900007966DW41EQ8610227665</t>
        </is>
      </c>
      <c r="B4" t="inlineStr">
        <is>
          <t>900007966</t>
        </is>
      </c>
      <c r="C4" t="inlineStr">
        <is>
          <t>DW41</t>
        </is>
      </c>
      <c r="D4" t="inlineStr">
        <is>
          <t>EQ86</t>
        </is>
      </c>
      <c r="E4" t="inlineStr">
        <is>
          <t>4</t>
        </is>
      </c>
      <c r="F4" t="inlineStr">
        <is>
          <t>10227665</t>
        </is>
      </c>
      <c r="H4" t="inlineStr"/>
      <c r="J4" t="n">
        <v>19.13</v>
      </c>
      <c r="K4" t="inlineStr"/>
      <c r="M4" t="inlineStr">
        <is>
          <t>TN</t>
        </is>
      </c>
      <c r="N4" t="inlineStr"/>
      <c r="P4" t="inlineStr">
        <is>
          <t>20221215</t>
        </is>
      </c>
      <c r="Q4" t="inlineStr">
        <is>
          <t>20240227</t>
        </is>
      </c>
    </row>
    <row r="5">
      <c r="A5" t="inlineStr">
        <is>
          <t>900007966DW41EQ8610227666</t>
        </is>
      </c>
      <c r="B5" t="inlineStr">
        <is>
          <t>900007966</t>
        </is>
      </c>
      <c r="C5" t="inlineStr">
        <is>
          <t>DW41</t>
        </is>
      </c>
      <c r="D5" t="inlineStr">
        <is>
          <t>EQ86</t>
        </is>
      </c>
      <c r="E5" t="inlineStr">
        <is>
          <t>4</t>
        </is>
      </c>
      <c r="F5" t="inlineStr">
        <is>
          <t>10227666</t>
        </is>
      </c>
      <c r="H5" t="inlineStr"/>
      <c r="J5" t="n">
        <v>18.2</v>
      </c>
      <c r="K5" t="inlineStr"/>
      <c r="M5" t="inlineStr">
        <is>
          <t>TN</t>
        </is>
      </c>
      <c r="N5" t="inlineStr"/>
      <c r="P5" t="inlineStr">
        <is>
          <t>20221215</t>
        </is>
      </c>
      <c r="Q5" t="inlineStr">
        <is>
          <t>20231122</t>
        </is>
      </c>
    </row>
    <row r="6">
      <c r="A6" t="inlineStr">
        <is>
          <t>900007966DW41EQ8610227667</t>
        </is>
      </c>
      <c r="B6" t="inlineStr">
        <is>
          <t>900007966</t>
        </is>
      </c>
      <c r="C6" t="inlineStr">
        <is>
          <t>DW41</t>
        </is>
      </c>
      <c r="D6" t="inlineStr">
        <is>
          <t>EQ86</t>
        </is>
      </c>
      <c r="E6" t="inlineStr">
        <is>
          <t>4</t>
        </is>
      </c>
      <c r="F6" t="inlineStr">
        <is>
          <t>10227667</t>
        </is>
      </c>
      <c r="H6" t="inlineStr"/>
      <c r="J6" t="n">
        <v>18.77</v>
      </c>
      <c r="K6" t="inlineStr"/>
      <c r="M6" t="inlineStr">
        <is>
          <t>TN</t>
        </is>
      </c>
      <c r="N6" t="inlineStr"/>
      <c r="P6" t="inlineStr">
        <is>
          <t>20221215</t>
        </is>
      </c>
      <c r="Q6" t="inlineStr">
        <is>
          <t>20231122</t>
        </is>
      </c>
    </row>
    <row r="7">
      <c r="A7" t="inlineStr">
        <is>
          <t>900008249DW41ER0010239695</t>
        </is>
      </c>
      <c r="B7" t="inlineStr">
        <is>
          <t>900008249</t>
        </is>
      </c>
      <c r="C7" t="inlineStr">
        <is>
          <t>DW41</t>
        </is>
      </c>
      <c r="D7" t="inlineStr">
        <is>
          <t>ER00</t>
        </is>
      </c>
      <c r="E7" t="inlineStr">
        <is>
          <t>1</t>
        </is>
      </c>
      <c r="F7" t="inlineStr">
        <is>
          <t>10239695</t>
        </is>
      </c>
      <c r="H7" t="inlineStr"/>
      <c r="J7" t="n">
        <v>125.6</v>
      </c>
      <c r="K7" t="inlineStr"/>
      <c r="M7" t="inlineStr">
        <is>
          <t>TN</t>
        </is>
      </c>
      <c r="N7" t="inlineStr"/>
      <c r="P7" t="inlineStr">
        <is>
          <t>20240320</t>
        </is>
      </c>
      <c r="Q7" t="inlineStr">
        <is>
          <t>20250220</t>
        </is>
      </c>
    </row>
    <row r="8">
      <c r="A8" t="inlineStr">
        <is>
          <t>900008249DW41ER0010239696</t>
        </is>
      </c>
      <c r="B8" t="inlineStr">
        <is>
          <t>900008249</t>
        </is>
      </c>
      <c r="C8" t="inlineStr">
        <is>
          <t>DW41</t>
        </is>
      </c>
      <c r="D8" t="inlineStr">
        <is>
          <t>ER00</t>
        </is>
      </c>
      <c r="E8" t="inlineStr">
        <is>
          <t>1</t>
        </is>
      </c>
      <c r="F8" t="inlineStr">
        <is>
          <t>10239696</t>
        </is>
      </c>
      <c r="H8" t="inlineStr"/>
      <c r="J8" t="n">
        <v>119.68</v>
      </c>
      <c r="K8" t="inlineStr"/>
      <c r="M8" t="inlineStr">
        <is>
          <t>TN</t>
        </is>
      </c>
      <c r="N8" t="inlineStr"/>
      <c r="P8" t="inlineStr">
        <is>
          <t>20240320</t>
        </is>
      </c>
      <c r="Q8" t="inlineStr">
        <is>
          <t>20250220</t>
        </is>
      </c>
    </row>
    <row r="9">
      <c r="A9" t="inlineStr">
        <is>
          <t>900008605DW41EQ8610239695</t>
        </is>
      </c>
      <c r="B9" t="inlineStr">
        <is>
          <t>900008605</t>
        </is>
      </c>
      <c r="C9" t="inlineStr">
        <is>
          <t>DW41</t>
        </is>
      </c>
      <c r="D9" t="inlineStr">
        <is>
          <t>EQ86</t>
        </is>
      </c>
      <c r="E9" t="inlineStr">
        <is>
          <t>4</t>
        </is>
      </c>
      <c r="F9" t="inlineStr">
        <is>
          <t>10239695</t>
        </is>
      </c>
      <c r="H9" t="inlineStr"/>
      <c r="J9" t="n">
        <v>18.24</v>
      </c>
      <c r="K9" t="inlineStr"/>
      <c r="M9" t="inlineStr">
        <is>
          <t>TN</t>
        </is>
      </c>
      <c r="N9" t="inlineStr"/>
      <c r="P9" t="inlineStr">
        <is>
          <t>20240320</t>
        </is>
      </c>
      <c r="Q9" t="inlineStr">
        <is>
          <t>20250220</t>
        </is>
      </c>
    </row>
    <row r="10">
      <c r="A10" t="inlineStr">
        <is>
          <t>900008605DW41EQ8610239696</t>
        </is>
      </c>
      <c r="B10" t="inlineStr">
        <is>
          <t>900008605</t>
        </is>
      </c>
      <c r="C10" t="inlineStr">
        <is>
          <t>DW41</t>
        </is>
      </c>
      <c r="D10" t="inlineStr">
        <is>
          <t>EQ86</t>
        </is>
      </c>
      <c r="E10" t="inlineStr">
        <is>
          <t>4</t>
        </is>
      </c>
      <c r="F10" t="inlineStr">
        <is>
          <t>10239696</t>
        </is>
      </c>
      <c r="H10" t="inlineStr"/>
      <c r="J10" t="n">
        <v>17.38</v>
      </c>
      <c r="K10" t="inlineStr"/>
      <c r="M10" t="inlineStr">
        <is>
          <t>TN</t>
        </is>
      </c>
      <c r="N10" t="inlineStr"/>
      <c r="P10" t="inlineStr">
        <is>
          <t>20240320</t>
        </is>
      </c>
      <c r="Q10" t="inlineStr">
        <is>
          <t>20250220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900007965DW4110228198</t>
        </is>
      </c>
      <c r="B2" t="inlineStr">
        <is>
          <t>4600056210-10</t>
        </is>
      </c>
      <c r="C2" t="n">
        <v>4600056210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900007965</v>
      </c>
      <c r="H2" t="inlineStr">
        <is>
          <t>SF TC-IASSO CANELO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10228198</v>
      </c>
      <c r="N2" t="inlineStr">
        <is>
          <t>ARENA TRITURADA CALIZA MALLA 4</t>
        </is>
      </c>
      <c r="O2" t="inlineStr">
        <is>
          <t>DW41</t>
        </is>
      </c>
      <c r="P2" t="inlineStr">
        <is>
          <t>MX-CEDIS CANELO</t>
        </is>
      </c>
      <c r="Q2" t="n">
        <v>20230113</v>
      </c>
      <c r="R2" t="n">
        <v>20271231</v>
      </c>
      <c r="S2" t="n">
        <v>20230113</v>
      </c>
      <c r="T2" t="n">
        <v>20271231</v>
      </c>
      <c r="U2" t="n">
        <v>171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6644471540</v>
      </c>
      <c r="AE2" t="n">
        <v>1</v>
      </c>
      <c r="AF2" t="inlineStr">
        <is>
          <t>ENTREGADO</t>
        </is>
      </c>
      <c r="AG2" t="n">
        <v>1.317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DW41-900007965-10228198</t>
        </is>
      </c>
    </row>
    <row r="3">
      <c r="A3" t="inlineStr">
        <is>
          <t>900007965DW4110228199</t>
        </is>
      </c>
      <c r="B3" t="inlineStr">
        <is>
          <t>4600056210-20</t>
        </is>
      </c>
      <c r="C3" t="n">
        <v>4600056210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900007965</v>
      </c>
      <c r="H3" t="inlineStr">
        <is>
          <t>SF TC-IASSO CANELO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10228199</v>
      </c>
      <c r="N3" t="inlineStr">
        <is>
          <t>GRAVA TRITURDA CALIZA 20MM 3/4</t>
        </is>
      </c>
      <c r="O3" t="inlineStr">
        <is>
          <t>DW41</t>
        </is>
      </c>
      <c r="P3" t="inlineStr">
        <is>
          <t>MX-CEDIS CANELO</t>
        </is>
      </c>
      <c r="Q3" t="n">
        <v>20230113</v>
      </c>
      <c r="R3" t="n">
        <v>20271231</v>
      </c>
      <c r="S3" t="n">
        <v>20230113</v>
      </c>
      <c r="T3" t="n">
        <v>20271231</v>
      </c>
      <c r="U3" t="n">
        <v>150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6644471540</v>
      </c>
      <c r="AE3" t="n">
        <v>1</v>
      </c>
      <c r="AF3" t="inlineStr">
        <is>
          <t>ENTREGADO</t>
        </is>
      </c>
      <c r="AG3" t="n">
        <v>1.273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DW41-900007965-10228199</t>
        </is>
      </c>
    </row>
    <row r="4">
      <c r="A4" t="inlineStr">
        <is>
          <t>900008249DW4110239695</t>
        </is>
      </c>
      <c r="B4" t="inlineStr">
        <is>
          <t>4600068481-10</t>
        </is>
      </c>
      <c r="C4" t="n">
        <v>4600068481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900008249</v>
      </c>
      <c r="H4" t="inlineStr">
        <is>
          <t>SF TC-FRISO CANELO INFRA</t>
        </is>
      </c>
      <c r="I4" t="n">
        <v>5083592</v>
      </c>
      <c r="J4" t="inlineStr">
        <is>
          <t>FRISO CONSMIN SA DE CV</t>
        </is>
      </c>
      <c r="K4" t="inlineStr">
        <is>
          <t>N45</t>
        </is>
      </c>
      <c r="L4" t="inlineStr">
        <is>
          <t>(AP) NAFIN 45 Dias</t>
        </is>
      </c>
      <c r="M4" t="n">
        <v>10239695</v>
      </c>
      <c r="N4" t="inlineStr">
        <is>
          <t>GRAVA TRITURADA CALIZA 3/4 - FRISO</t>
        </is>
      </c>
      <c r="O4" t="inlineStr">
        <is>
          <t>DW41</t>
        </is>
      </c>
      <c r="P4" t="inlineStr">
        <is>
          <t>MX-CEDIS CANELO</t>
        </is>
      </c>
      <c r="Q4" t="n">
        <v>20230828</v>
      </c>
      <c r="R4" t="n">
        <v>20281231</v>
      </c>
      <c r="S4" t="n">
        <v>20230911</v>
      </c>
      <c r="T4" t="n">
        <v>99991231</v>
      </c>
      <c r="U4" t="n">
        <v>252.09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6644471540</v>
      </c>
      <c r="AE4" t="n">
        <v>1</v>
      </c>
      <c r="AF4" t="inlineStr">
        <is>
          <t>ENTREGADO</t>
        </is>
      </c>
      <c r="AG4" t="n">
        <v>1.254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20230913</v>
      </c>
      <c r="AM4" t="inlineStr">
        <is>
          <t>DW41-900008249-10239695</t>
        </is>
      </c>
    </row>
    <row r="5">
      <c r="A5" t="inlineStr">
        <is>
          <t>900008249DW4110239696</t>
        </is>
      </c>
      <c r="B5" t="inlineStr">
        <is>
          <t>4600068481-20</t>
        </is>
      </c>
      <c r="C5" t="n">
        <v>4600068481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900008249</v>
      </c>
      <c r="H5" t="inlineStr">
        <is>
          <t>SF TC-FRISO CANELO INFRA</t>
        </is>
      </c>
      <c r="I5" t="n">
        <v>5083592</v>
      </c>
      <c r="J5" t="inlineStr">
        <is>
          <t>FRISO CONSMIN SA DE CV</t>
        </is>
      </c>
      <c r="K5" t="inlineStr">
        <is>
          <t>N45</t>
        </is>
      </c>
      <c r="L5" t="inlineStr">
        <is>
          <t>(AP) NAFIN 45 Dias</t>
        </is>
      </c>
      <c r="M5" t="n">
        <v>10239696</v>
      </c>
      <c r="N5" t="inlineStr">
        <is>
          <t>ARENA TRITURADA CALIZA MALLA 4 - FRISO</t>
        </is>
      </c>
      <c r="O5" t="inlineStr">
        <is>
          <t>DW41</t>
        </is>
      </c>
      <c r="P5" t="inlineStr">
        <is>
          <t>MX-CEDIS CANELO</t>
        </is>
      </c>
      <c r="Q5" t="n">
        <v>20230828</v>
      </c>
      <c r="R5" t="n">
        <v>20281231</v>
      </c>
      <c r="S5" t="n">
        <v>20230911</v>
      </c>
      <c r="T5" t="n">
        <v>99991231</v>
      </c>
      <c r="U5" t="n">
        <v>277.09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6644471540</v>
      </c>
      <c r="AE5" t="n">
        <v>1</v>
      </c>
      <c r="AF5" t="inlineStr">
        <is>
          <t>ENTREGADO</t>
        </is>
      </c>
      <c r="AG5" t="n">
        <v>1.316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20230913</v>
      </c>
      <c r="AM5" t="inlineStr">
        <is>
          <t>DW41-900008249-10239696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2026-09-14T14:21:20Z</dcterms:created>
  <dcterms:modified xsi:type="dcterms:W3CDTF">2026-09-14T14:21:21Z</dcterms:modified>
</cp:coreProperties>
</file>