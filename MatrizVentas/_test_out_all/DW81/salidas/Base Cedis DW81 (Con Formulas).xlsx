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81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900000007</v>
      </c>
      <c r="D3" s="7">
        <f>IFERROR(VLOOKUP(C3,TRAOPE!$G:$H,2,0),"")</f>
        <v/>
      </c>
      <c r="E3" s="8" t="inlineStr">
        <is>
          <t>DW81</t>
        </is>
      </c>
      <c r="F3" s="8" t="inlineStr">
        <is>
          <t>D148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10000404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20241018</t>
        </is>
      </c>
      <c r="M3" s="8" t="inlineStr">
        <is>
          <t>99991231</t>
        </is>
      </c>
      <c r="N3" s="10" t="n">
        <v>178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900000007</v>
      </c>
      <c r="D4" s="7">
        <f>IFERROR(VLOOKUP(C4,TRAOPE!$G:$H,2,0),"")</f>
        <v/>
      </c>
      <c r="E4" s="8" t="inlineStr">
        <is>
          <t>DW81</t>
        </is>
      </c>
      <c r="F4" s="8" t="inlineStr">
        <is>
          <t>D148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10000572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20241018</t>
        </is>
      </c>
      <c r="M4" s="8" t="inlineStr">
        <is>
          <t>99991231</t>
        </is>
      </c>
      <c r="N4" s="10" t="n">
        <v>178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900000007</v>
      </c>
      <c r="D5" s="7">
        <f>IFERROR(VLOOKUP(C5,TRAOPE!$G:$H,2,0),"")</f>
        <v/>
      </c>
      <c r="E5" s="8" t="inlineStr">
        <is>
          <t>DW81</t>
        </is>
      </c>
      <c r="F5" s="8" t="inlineStr">
        <is>
          <t>D149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10000404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20240513</t>
        </is>
      </c>
      <c r="M5" s="8" t="inlineStr">
        <is>
          <t>99991231</t>
        </is>
      </c>
      <c r="N5" s="10" t="n">
        <v>186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900000007</v>
      </c>
      <c r="D6" s="7">
        <f>IFERROR(VLOOKUP(C6,TRAOPE!$G:$H,2,0),"")</f>
        <v/>
      </c>
      <c r="E6" s="8" t="inlineStr">
        <is>
          <t>DW81</t>
        </is>
      </c>
      <c r="F6" s="8" t="inlineStr">
        <is>
          <t>D149</t>
        </is>
      </c>
      <c r="G6" s="8">
        <f>IFERROR(VLOOKUP(A6,Flete!$A:$E,5,0),"")</f>
        <v/>
      </c>
      <c r="H6" s="7">
        <f>IFERROR(VLOOKUP(F6,TRAOPE!$AA:$AB,2,0),"")</f>
        <v/>
      </c>
      <c r="I6" s="7" t="n">
        <v>10000572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20240513</t>
        </is>
      </c>
      <c r="M6" s="8" t="inlineStr">
        <is>
          <t>99991231</t>
        </is>
      </c>
      <c r="N6" s="10" t="n">
        <v>186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900000007</v>
      </c>
      <c r="D7" s="7">
        <f>IFERROR(VLOOKUP(C7,TRAOPE!$G:$H,2,0),"")</f>
        <v/>
      </c>
      <c r="E7" s="8" t="inlineStr">
        <is>
          <t>DW81</t>
        </is>
      </c>
      <c r="F7" s="8" t="inlineStr">
        <is>
          <t>D171</t>
        </is>
      </c>
      <c r="G7" s="8">
        <f>IFERROR(VLOOKUP(A7,Flete!$A:$E,5,0),"")</f>
        <v/>
      </c>
      <c r="H7" s="7">
        <f>IFERROR(VLOOKUP(F7,TRAOPE!$AA:$AB,2,0),"")</f>
        <v/>
      </c>
      <c r="I7" s="7" t="n">
        <v>10000404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20240513</t>
        </is>
      </c>
      <c r="M7" s="8" t="inlineStr">
        <is>
          <t>99991231</t>
        </is>
      </c>
      <c r="N7" s="10" t="n">
        <v>186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900000007</v>
      </c>
      <c r="D8" s="7">
        <f>IFERROR(VLOOKUP(C8,TRAOPE!$G:$H,2,0),"")</f>
        <v/>
      </c>
      <c r="E8" s="8" t="inlineStr">
        <is>
          <t>DW81</t>
        </is>
      </c>
      <c r="F8" s="8" t="inlineStr">
        <is>
          <t>D171</t>
        </is>
      </c>
      <c r="G8" s="8">
        <f>IFERROR(VLOOKUP(A8,Flete!$A:$E,5,0),"")</f>
        <v/>
      </c>
      <c r="H8" s="7">
        <f>IFERROR(VLOOKUP(F8,TRAOPE!$AA:$AB,2,0),"")</f>
        <v/>
      </c>
      <c r="I8" s="7" t="n">
        <v>10000572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20240513</t>
        </is>
      </c>
      <c r="M8" s="8" t="inlineStr">
        <is>
          <t>99991231</t>
        </is>
      </c>
      <c r="N8" s="10" t="n">
        <v>186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900000052</v>
      </c>
      <c r="D9" s="7">
        <f>IFERROR(VLOOKUP(C9,TRAOPE!$G:$H,2,0),"")</f>
        <v/>
      </c>
      <c r="E9" s="8" t="inlineStr">
        <is>
          <t>DW81</t>
        </is>
      </c>
      <c r="F9" s="8" t="inlineStr">
        <is>
          <t>D148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10000572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20210620</t>
        </is>
      </c>
      <c r="M9" s="8" t="inlineStr">
        <is>
          <t>20251031</t>
        </is>
      </c>
      <c r="N9" s="10" t="n">
        <v>93.18000000000001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900000052</v>
      </c>
      <c r="D10" s="7">
        <f>IFERROR(VLOOKUP(C10,TRAOPE!$G:$H,2,0),"")</f>
        <v/>
      </c>
      <c r="E10" s="8" t="inlineStr">
        <is>
          <t>DW81</t>
        </is>
      </c>
      <c r="F10" s="8" t="inlineStr">
        <is>
          <t>D149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10000404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20210620</t>
        </is>
      </c>
      <c r="M10" s="8" t="inlineStr">
        <is>
          <t>20251031</t>
        </is>
      </c>
      <c r="N10" s="10" t="n">
        <v>78.34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900000052</v>
      </c>
      <c r="D11" s="7">
        <f>IFERROR(VLOOKUP(C11,TRAOPE!$G:$H,2,0),"")</f>
        <v/>
      </c>
      <c r="E11" s="8" t="inlineStr">
        <is>
          <t>DW81</t>
        </is>
      </c>
      <c r="F11" s="8" t="inlineStr">
        <is>
          <t>D149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10000572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20210620</t>
        </is>
      </c>
      <c r="M11" s="8" t="inlineStr">
        <is>
          <t>20251031</t>
        </is>
      </c>
      <c r="N11" s="10" t="n">
        <v>85.28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900000106</v>
      </c>
      <c r="D12" s="7">
        <f>IFERROR(VLOOKUP(C12,TRAOPE!$G:$H,2,0),"")</f>
        <v/>
      </c>
      <c r="E12" s="8" t="inlineStr">
        <is>
          <t>DW81</t>
        </is>
      </c>
      <c r="F12" s="8" t="inlineStr">
        <is>
          <t>D165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10028438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20210620</t>
        </is>
      </c>
      <c r="M12" s="8" t="inlineStr">
        <is>
          <t>20251031</t>
        </is>
      </c>
      <c r="N12" s="10" t="n">
        <v>2325</v>
      </c>
      <c r="O12" s="10">
        <f>IFERROR(VLOOKUP(A12,Flete!$A:$J,10,0),"")</f>
        <v/>
      </c>
      <c r="P12" s="8" t="inlineStr">
        <is>
          <t>TN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900000106</v>
      </c>
      <c r="D13" s="7">
        <f>IFERROR(VLOOKUP(C13,TRAOPE!$G:$H,2,0),"")</f>
        <v/>
      </c>
      <c r="E13" s="8" t="inlineStr">
        <is>
          <t>DW81</t>
        </is>
      </c>
      <c r="F13" s="8" t="inlineStr">
        <is>
          <t>D169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10028438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20210620</t>
        </is>
      </c>
      <c r="M13" s="8" t="inlineStr">
        <is>
          <t>20251031</t>
        </is>
      </c>
      <c r="N13" s="10" t="n">
        <v>2110</v>
      </c>
      <c r="O13" s="10">
        <f>IFERROR(VLOOKUP(A13,Flete!$A:$J,10,0),"")</f>
        <v/>
      </c>
      <c r="P13" s="8" t="inlineStr">
        <is>
          <t>TN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900000106</v>
      </c>
      <c r="D14" s="7">
        <f>IFERROR(VLOOKUP(C14,TRAOPE!$G:$H,2,0),"")</f>
        <v/>
      </c>
      <c r="E14" s="8" t="inlineStr">
        <is>
          <t>DW81</t>
        </is>
      </c>
      <c r="F14" s="8" t="inlineStr">
        <is>
          <t>D192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10028438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20210620</t>
        </is>
      </c>
      <c r="M14" s="8" t="inlineStr">
        <is>
          <t>20251031</t>
        </is>
      </c>
      <c r="N14" s="10" t="n">
        <v>2111</v>
      </c>
      <c r="O14" s="10">
        <f>IFERROR(VLOOKUP(A14,Flete!$A:$J,10,0),"")</f>
        <v/>
      </c>
      <c r="P14" s="8" t="inlineStr">
        <is>
          <t>TN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900000941</v>
      </c>
      <c r="D15" s="7">
        <f>IFERROR(VLOOKUP(C15,TRAOPE!$G:$H,2,0),"")</f>
        <v/>
      </c>
      <c r="E15" s="8" t="inlineStr">
        <is>
          <t>DW81</t>
        </is>
      </c>
      <c r="F15" s="8" t="inlineStr">
        <is>
          <t>D149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10000136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20210620</t>
        </is>
      </c>
      <c r="M15" s="8" t="inlineStr">
        <is>
          <t>20251031</t>
        </is>
      </c>
      <c r="N15" s="10" t="n">
        <v>179</v>
      </c>
      <c r="O15" s="10">
        <f>IFERROR(VLOOKUP(A15,Flete!$A:$J,10,0),"")</f>
        <v/>
      </c>
      <c r="P15" s="8" t="inlineStr">
        <is>
          <t>TN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900000941</v>
      </c>
      <c r="D16" s="7">
        <f>IFERROR(VLOOKUP(C16,TRAOPE!$G:$H,2,0),"")</f>
        <v/>
      </c>
      <c r="E16" s="8" t="inlineStr">
        <is>
          <t>DW81</t>
        </is>
      </c>
      <c r="F16" s="8" t="inlineStr">
        <is>
          <t>D149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10000578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20210620</t>
        </is>
      </c>
      <c r="M16" s="8" t="inlineStr">
        <is>
          <t>20251031</t>
        </is>
      </c>
      <c r="N16" s="10" t="n">
        <v>179</v>
      </c>
      <c r="O16" s="10">
        <f>IFERROR(VLOOKUP(A16,Flete!$A:$J,10,0),"")</f>
        <v/>
      </c>
      <c r="P16" s="8" t="inlineStr">
        <is>
          <t>TN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900000941</v>
      </c>
      <c r="D17" s="7">
        <f>IFERROR(VLOOKUP(C17,TRAOPE!$G:$H,2,0),"")</f>
        <v/>
      </c>
      <c r="E17" s="8" t="inlineStr">
        <is>
          <t>DW81</t>
        </is>
      </c>
      <c r="F17" s="8" t="inlineStr">
        <is>
          <t>D171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10000136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20210620</t>
        </is>
      </c>
      <c r="M17" s="8" t="inlineStr">
        <is>
          <t>20251031</t>
        </is>
      </c>
      <c r="N17" s="10" t="n">
        <v>179</v>
      </c>
      <c r="O17" s="10">
        <f>IFERROR(VLOOKUP(A17,Flete!$A:$J,10,0),"")</f>
        <v/>
      </c>
      <c r="P17" s="8" t="inlineStr">
        <is>
          <t>TN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900000941</v>
      </c>
      <c r="D18" s="7">
        <f>IFERROR(VLOOKUP(C18,TRAOPE!$G:$H,2,0),"")</f>
        <v/>
      </c>
      <c r="E18" s="8" t="inlineStr">
        <is>
          <t>DW81</t>
        </is>
      </c>
      <c r="F18" s="8" t="inlineStr">
        <is>
          <t>D171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10000578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20210620</t>
        </is>
      </c>
      <c r="M18" s="8" t="inlineStr">
        <is>
          <t>20251031</t>
        </is>
      </c>
      <c r="N18" s="10" t="n">
        <v>179</v>
      </c>
      <c r="O18" s="10">
        <f>IFERROR(VLOOKUP(A18,Flete!$A:$J,10,0),"")</f>
        <v/>
      </c>
      <c r="P18" s="8" t="inlineStr">
        <is>
          <t>TN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900000941</v>
      </c>
      <c r="D19" s="7">
        <f>IFERROR(VLOOKUP(C19,TRAOPE!$G:$H,2,0),"")</f>
        <v/>
      </c>
      <c r="E19" s="8" t="inlineStr">
        <is>
          <t>DW81</t>
        </is>
      </c>
      <c r="F19" s="8" t="inlineStr">
        <is>
          <t>D171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10000624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20210620</t>
        </is>
      </c>
      <c r="M19" s="8" t="inlineStr">
        <is>
          <t>20251031</t>
        </is>
      </c>
      <c r="N19" s="10" t="n">
        <v>179</v>
      </c>
      <c r="O19" s="10">
        <f>IFERROR(VLOOKUP(A19,Flete!$A:$J,10,0),"")</f>
        <v/>
      </c>
      <c r="P19" s="8" t="inlineStr">
        <is>
          <t>TN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900001790</v>
      </c>
      <c r="D20" s="7">
        <f>IFERROR(VLOOKUP(C20,TRAOPE!$G:$H,2,0),"")</f>
        <v/>
      </c>
      <c r="E20" s="8" t="inlineStr">
        <is>
          <t>DW81</t>
        </is>
      </c>
      <c r="F20" s="8" t="inlineStr">
        <is>
          <t>D149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10000430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20230601</t>
        </is>
      </c>
      <c r="M20" s="8" t="inlineStr">
        <is>
          <t>99991231</t>
        </is>
      </c>
      <c r="N20" s="10" t="n">
        <v>180</v>
      </c>
      <c r="O20" s="10">
        <f>IFERROR(VLOOKUP(A20,Flete!$A:$J,10,0),"")</f>
        <v/>
      </c>
      <c r="P20" s="8" t="inlineStr">
        <is>
          <t>TN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900001790</v>
      </c>
      <c r="D21" s="7">
        <f>IFERROR(VLOOKUP(C21,TRAOPE!$G:$H,2,0),"")</f>
        <v/>
      </c>
      <c r="E21" s="8" t="inlineStr">
        <is>
          <t>DW81</t>
        </is>
      </c>
      <c r="F21" s="8" t="inlineStr">
        <is>
          <t>D149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10000572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20230601</t>
        </is>
      </c>
      <c r="M21" s="8" t="inlineStr">
        <is>
          <t>99991231</t>
        </is>
      </c>
      <c r="N21" s="10" t="n">
        <v>180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900002741</v>
      </c>
      <c r="D22" s="7">
        <f>IFERROR(VLOOKUP(C22,TRAOPE!$G:$H,2,0),"")</f>
        <v/>
      </c>
      <c r="E22" s="8" t="inlineStr">
        <is>
          <t>DW81</t>
        </is>
      </c>
      <c r="F22" s="8" t="inlineStr">
        <is>
          <t>D049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10000141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20260201</t>
        </is>
      </c>
      <c r="M22" s="8" t="inlineStr">
        <is>
          <t>99991231</t>
        </is>
      </c>
      <c r="N22" s="10" t="n">
        <v>165</v>
      </c>
      <c r="O22" s="10">
        <f>IFERROR(VLOOKUP(A22,Flete!$A:$J,10,0),"")</f>
        <v/>
      </c>
      <c r="P22" s="8" t="inlineStr">
        <is>
          <t>TN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900002741</v>
      </c>
      <c r="D23" s="7">
        <f>IFERROR(VLOOKUP(C23,TRAOPE!$G:$H,2,0),"")</f>
        <v/>
      </c>
      <c r="E23" s="8" t="inlineStr">
        <is>
          <t>DW81</t>
        </is>
      </c>
      <c r="F23" s="8" t="inlineStr">
        <is>
          <t>D049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10000402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20260201</t>
        </is>
      </c>
      <c r="M23" s="8" t="inlineStr">
        <is>
          <t>99991231</t>
        </is>
      </c>
      <c r="N23" s="10" t="n">
        <v>165</v>
      </c>
      <c r="O23" s="10">
        <f>IFERROR(VLOOKUP(A23,Flete!$A:$J,10,0),"")</f>
        <v/>
      </c>
      <c r="P23" s="8" t="inlineStr">
        <is>
          <t>TN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900002741</v>
      </c>
      <c r="D24" s="7">
        <f>IFERROR(VLOOKUP(C24,TRAOPE!$G:$H,2,0),"")</f>
        <v/>
      </c>
      <c r="E24" s="8" t="inlineStr">
        <is>
          <t>DW81</t>
        </is>
      </c>
      <c r="F24" s="8" t="inlineStr">
        <is>
          <t>D049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10000404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20260201</t>
        </is>
      </c>
      <c r="M24" s="8" t="inlineStr">
        <is>
          <t>99991231</t>
        </is>
      </c>
      <c r="N24" s="10" t="n">
        <v>165</v>
      </c>
      <c r="O24" s="10">
        <f>IFERROR(VLOOKUP(A24,Flete!$A:$J,10,0),"")</f>
        <v/>
      </c>
      <c r="P24" s="8" t="inlineStr">
        <is>
          <t>TN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900002741</v>
      </c>
      <c r="D25" s="7">
        <f>IFERROR(VLOOKUP(C25,TRAOPE!$G:$H,2,0),"")</f>
        <v/>
      </c>
      <c r="E25" s="8" t="inlineStr">
        <is>
          <t>DW81</t>
        </is>
      </c>
      <c r="F25" s="8" t="inlineStr">
        <is>
          <t>D049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10000407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20260201</t>
        </is>
      </c>
      <c r="M25" s="8" t="inlineStr">
        <is>
          <t>99991231</t>
        </is>
      </c>
      <c r="N25" s="10" t="n">
        <v>165</v>
      </c>
      <c r="O25" s="10">
        <f>IFERROR(VLOOKUP(A25,Flete!$A:$J,10,0),"")</f>
        <v/>
      </c>
      <c r="P25" s="8" t="inlineStr">
        <is>
          <t>TN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900002741</v>
      </c>
      <c r="D26" s="7">
        <f>IFERROR(VLOOKUP(C26,TRAOPE!$G:$H,2,0),"")</f>
        <v/>
      </c>
      <c r="E26" s="8" t="inlineStr">
        <is>
          <t>DW81</t>
        </is>
      </c>
      <c r="F26" s="8" t="inlineStr">
        <is>
          <t>D049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10000859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20260201</t>
        </is>
      </c>
      <c r="M26" s="8" t="inlineStr">
        <is>
          <t>99991231</t>
        </is>
      </c>
      <c r="N26" s="10" t="n">
        <v>165</v>
      </c>
      <c r="O26" s="10">
        <f>IFERROR(VLOOKUP(A26,Flete!$A:$J,10,0),"")</f>
        <v/>
      </c>
      <c r="P26" s="8" t="inlineStr">
        <is>
          <t>TN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900002741</v>
      </c>
      <c r="D27" s="7">
        <f>IFERROR(VLOOKUP(C27,TRAOPE!$G:$H,2,0),"")</f>
        <v/>
      </c>
      <c r="E27" s="8" t="inlineStr">
        <is>
          <t>DW81</t>
        </is>
      </c>
      <c r="F27" s="8" t="inlineStr">
        <is>
          <t>D094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10000317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20250201</t>
        </is>
      </c>
      <c r="M27" s="8" t="inlineStr">
        <is>
          <t>20251111</t>
        </is>
      </c>
      <c r="N27" s="10" t="n">
        <v>150</v>
      </c>
      <c r="O27" s="10">
        <f>IFERROR(VLOOKUP(A27,Flete!$A:$J,10,0),"")</f>
        <v/>
      </c>
      <c r="P27" s="8" t="inlineStr">
        <is>
          <t>TN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900002741</v>
      </c>
      <c r="D28" s="7">
        <f>IFERROR(VLOOKUP(C28,TRAOPE!$G:$H,2,0),"")</f>
        <v/>
      </c>
      <c r="E28" s="8" t="inlineStr">
        <is>
          <t>DW81</t>
        </is>
      </c>
      <c r="F28" s="8" t="inlineStr">
        <is>
          <t>D094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10000402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20260201</t>
        </is>
      </c>
      <c r="M28" s="8" t="inlineStr">
        <is>
          <t>99991231</t>
        </is>
      </c>
      <c r="N28" s="10" t="n">
        <v>165</v>
      </c>
      <c r="O28" s="10">
        <f>IFERROR(VLOOKUP(A28,Flete!$A:$J,10,0),"")</f>
        <v/>
      </c>
      <c r="P28" s="8" t="inlineStr">
        <is>
          <t>TN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900002741</v>
      </c>
      <c r="D29" s="7">
        <f>IFERROR(VLOOKUP(C29,TRAOPE!$G:$H,2,0),"")</f>
        <v/>
      </c>
      <c r="E29" s="8" t="inlineStr">
        <is>
          <t>DW81</t>
        </is>
      </c>
      <c r="F29" s="8" t="inlineStr">
        <is>
          <t>D094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10000404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20260201</t>
        </is>
      </c>
      <c r="M29" s="8" t="inlineStr">
        <is>
          <t>99991231</t>
        </is>
      </c>
      <c r="N29" s="10" t="n">
        <v>165</v>
      </c>
      <c r="O29" s="10">
        <f>IFERROR(VLOOKUP(A29,Flete!$A:$J,10,0),"")</f>
        <v/>
      </c>
      <c r="P29" s="8" t="inlineStr">
        <is>
          <t>TN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900002741</v>
      </c>
      <c r="D30" s="7">
        <f>IFERROR(VLOOKUP(C30,TRAOPE!$G:$H,2,0),"")</f>
        <v/>
      </c>
      <c r="E30" s="8" t="inlineStr">
        <is>
          <t>DW81</t>
        </is>
      </c>
      <c r="F30" s="8" t="inlineStr">
        <is>
          <t>D094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10000407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20260201</t>
        </is>
      </c>
      <c r="M30" s="8" t="inlineStr">
        <is>
          <t>99991231</t>
        </is>
      </c>
      <c r="N30" s="10" t="n">
        <v>165</v>
      </c>
      <c r="O30" s="10">
        <f>IFERROR(VLOOKUP(A30,Flete!$A:$J,10,0),"")</f>
        <v/>
      </c>
      <c r="P30" s="8" t="inlineStr">
        <is>
          <t>TN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900002741</v>
      </c>
      <c r="D31" s="7">
        <f>IFERROR(VLOOKUP(C31,TRAOPE!$G:$H,2,0),"")</f>
        <v/>
      </c>
      <c r="E31" s="8" t="inlineStr">
        <is>
          <t>DW81</t>
        </is>
      </c>
      <c r="F31" s="8" t="inlineStr">
        <is>
          <t>D094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10000430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20240704</t>
        </is>
      </c>
      <c r="M31" s="8" t="inlineStr">
        <is>
          <t>20240911</t>
        </is>
      </c>
      <c r="N31" s="10" t="n">
        <v>130.91</v>
      </c>
      <c r="O31" s="10">
        <f>IFERROR(VLOOKUP(A31,Flete!$A:$J,10,0),"")</f>
        <v/>
      </c>
      <c r="P31" s="8" t="inlineStr">
        <is>
          <t>TN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900002741</v>
      </c>
      <c r="D32" s="7">
        <f>IFERROR(VLOOKUP(C32,TRAOPE!$G:$H,2,0),"")</f>
        <v/>
      </c>
      <c r="E32" s="8" t="inlineStr">
        <is>
          <t>DW81</t>
        </is>
      </c>
      <c r="F32" s="8" t="inlineStr">
        <is>
          <t>D094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10000624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20260201</t>
        </is>
      </c>
      <c r="M32" s="8" t="inlineStr">
        <is>
          <t>99991231</t>
        </is>
      </c>
      <c r="N32" s="10" t="n">
        <v>165</v>
      </c>
      <c r="O32" s="10">
        <f>IFERROR(VLOOKUP(A32,Flete!$A:$J,10,0),"")</f>
        <v/>
      </c>
      <c r="P32" s="8" t="inlineStr">
        <is>
          <t>TN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900002741</v>
      </c>
      <c r="D33" s="7">
        <f>IFERROR(VLOOKUP(C33,TRAOPE!$G:$H,2,0),"")</f>
        <v/>
      </c>
      <c r="E33" s="8" t="inlineStr">
        <is>
          <t>DW81</t>
        </is>
      </c>
      <c r="F33" s="8" t="inlineStr">
        <is>
          <t>D094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10000859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20260201</t>
        </is>
      </c>
      <c r="M33" s="8" t="inlineStr">
        <is>
          <t>99991231</t>
        </is>
      </c>
      <c r="N33" s="10" t="n">
        <v>165</v>
      </c>
      <c r="O33" s="10">
        <f>IFERROR(VLOOKUP(A33,Flete!$A:$J,10,0),"")</f>
        <v/>
      </c>
      <c r="P33" s="8" t="inlineStr">
        <is>
          <t>TN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900002741</v>
      </c>
      <c r="D34" s="7">
        <f>IFERROR(VLOOKUP(C34,TRAOPE!$G:$H,2,0),"")</f>
        <v/>
      </c>
      <c r="E34" s="8" t="inlineStr">
        <is>
          <t>DW81</t>
        </is>
      </c>
      <c r="F34" s="8" t="inlineStr">
        <is>
          <t>D149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10000141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20220516</t>
        </is>
      </c>
      <c r="M34" s="8" t="inlineStr">
        <is>
          <t>20260525</t>
        </is>
      </c>
      <c r="N34" s="10" t="n">
        <v>72.78</v>
      </c>
      <c r="O34" s="10">
        <f>IFERROR(VLOOKUP(A34,Flete!$A:$J,10,0),"")</f>
        <v/>
      </c>
      <c r="P34" s="8" t="inlineStr">
        <is>
          <t>TN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900002741</v>
      </c>
      <c r="D35" s="7">
        <f>IFERROR(VLOOKUP(C35,TRAOPE!$G:$H,2,0),"")</f>
        <v/>
      </c>
      <c r="E35" s="8" t="inlineStr">
        <is>
          <t>DW81</t>
        </is>
      </c>
      <c r="F35" s="8" t="inlineStr">
        <is>
          <t>D149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10000402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20220516</t>
        </is>
      </c>
      <c r="M35" s="8" t="inlineStr">
        <is>
          <t>20260525</t>
        </is>
      </c>
      <c r="N35" s="10" t="n">
        <v>73.3</v>
      </c>
      <c r="O35" s="10">
        <f>IFERROR(VLOOKUP(A35,Flete!$A:$J,10,0),"")</f>
        <v/>
      </c>
      <c r="P35" s="8" t="inlineStr">
        <is>
          <t>TN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900002741</v>
      </c>
      <c r="D36" s="7">
        <f>IFERROR(VLOOKUP(C36,TRAOPE!$G:$H,2,0),"")</f>
        <v/>
      </c>
      <c r="E36" s="8" t="inlineStr">
        <is>
          <t>DW81</t>
        </is>
      </c>
      <c r="F36" s="8" t="inlineStr">
        <is>
          <t>D149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10000404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20220516</t>
        </is>
      </c>
      <c r="M36" s="8" t="inlineStr">
        <is>
          <t>20260525</t>
        </is>
      </c>
      <c r="N36" s="10" t="n">
        <v>72.78</v>
      </c>
      <c r="O36" s="10">
        <f>IFERROR(VLOOKUP(A36,Flete!$A:$J,10,0),"")</f>
        <v/>
      </c>
      <c r="P36" s="8" t="inlineStr">
        <is>
          <t>TN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900002741</v>
      </c>
      <c r="D37" s="7">
        <f>IFERROR(VLOOKUP(C37,TRAOPE!$G:$H,2,0),"")</f>
        <v/>
      </c>
      <c r="E37" s="8" t="inlineStr">
        <is>
          <t>DW81</t>
        </is>
      </c>
      <c r="F37" s="8" t="inlineStr">
        <is>
          <t>D149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10000407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20220516</t>
        </is>
      </c>
      <c r="M37" s="8" t="inlineStr">
        <is>
          <t>20260525</t>
        </is>
      </c>
      <c r="N37" s="10" t="n">
        <v>72.78</v>
      </c>
      <c r="O37" s="10">
        <f>IFERROR(VLOOKUP(A37,Flete!$A:$J,10,0),"")</f>
        <v/>
      </c>
      <c r="P37" s="8" t="inlineStr">
        <is>
          <t>TN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900002741</v>
      </c>
      <c r="D38" s="7">
        <f>IFERROR(VLOOKUP(C38,TRAOPE!$G:$H,2,0),"")</f>
        <v/>
      </c>
      <c r="E38" s="8" t="inlineStr">
        <is>
          <t>DW81</t>
        </is>
      </c>
      <c r="F38" s="8" t="inlineStr">
        <is>
          <t>D149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10000859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20220516</t>
        </is>
      </c>
      <c r="M38" s="8" t="inlineStr">
        <is>
          <t>20260525</t>
        </is>
      </c>
      <c r="N38" s="10" t="n">
        <v>73.3</v>
      </c>
      <c r="O38" s="10">
        <f>IFERROR(VLOOKUP(A38,Flete!$A:$J,10,0),"")</f>
        <v/>
      </c>
      <c r="P38" s="8" t="inlineStr">
        <is>
          <t>TN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900002741</v>
      </c>
      <c r="D39" s="7">
        <f>IFERROR(VLOOKUP(C39,TRAOPE!$G:$H,2,0),"")</f>
        <v/>
      </c>
      <c r="E39" s="8" t="inlineStr">
        <is>
          <t>DW81</t>
        </is>
      </c>
      <c r="F39" s="8" t="inlineStr">
        <is>
          <t>D154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10000141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20220516</t>
        </is>
      </c>
      <c r="M39" s="8" t="inlineStr">
        <is>
          <t>99991231</t>
        </is>
      </c>
      <c r="N39" s="10" t="n">
        <v>83.7</v>
      </c>
      <c r="O39" s="10">
        <f>IFERROR(VLOOKUP(A39,Flete!$A:$J,10,0),"")</f>
        <v/>
      </c>
      <c r="P39" s="8" t="inlineStr">
        <is>
          <t>TN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900002741</v>
      </c>
      <c r="D40" s="7">
        <f>IFERROR(VLOOKUP(C40,TRAOPE!$G:$H,2,0),"")</f>
        <v/>
      </c>
      <c r="E40" s="8" t="inlineStr">
        <is>
          <t>DW81</t>
        </is>
      </c>
      <c r="F40" s="8" t="inlineStr">
        <is>
          <t>D154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10000402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20220516</t>
        </is>
      </c>
      <c r="M40" s="8" t="inlineStr">
        <is>
          <t>99991231</t>
        </is>
      </c>
      <c r="N40" s="10" t="n">
        <v>84.29000000000001</v>
      </c>
      <c r="O40" s="10">
        <f>IFERROR(VLOOKUP(A40,Flete!$A:$J,10,0),"")</f>
        <v/>
      </c>
      <c r="P40" s="8" t="inlineStr">
        <is>
          <t>TN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900002741</v>
      </c>
      <c r="D41" s="7">
        <f>IFERROR(VLOOKUP(C41,TRAOPE!$G:$H,2,0),"")</f>
        <v/>
      </c>
      <c r="E41" s="8" t="inlineStr">
        <is>
          <t>DW81</t>
        </is>
      </c>
      <c r="F41" s="8" t="inlineStr">
        <is>
          <t>D154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10000404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20220516</t>
        </is>
      </c>
      <c r="M41" s="8" t="inlineStr">
        <is>
          <t>99991231</t>
        </is>
      </c>
      <c r="N41" s="10" t="n">
        <v>83.7</v>
      </c>
      <c r="O41" s="10">
        <f>IFERROR(VLOOKUP(A41,Flete!$A:$J,10,0),"")</f>
        <v/>
      </c>
      <c r="P41" s="8" t="inlineStr">
        <is>
          <t>TN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900002741</v>
      </c>
      <c r="D42" s="7">
        <f>IFERROR(VLOOKUP(C42,TRAOPE!$G:$H,2,0),"")</f>
        <v/>
      </c>
      <c r="E42" s="8" t="inlineStr">
        <is>
          <t>DW81</t>
        </is>
      </c>
      <c r="F42" s="8" t="inlineStr">
        <is>
          <t>D154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10000407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20220516</t>
        </is>
      </c>
      <c r="M42" s="8" t="inlineStr">
        <is>
          <t>99991231</t>
        </is>
      </c>
      <c r="N42" s="10" t="n">
        <v>83.7</v>
      </c>
      <c r="O42" s="10">
        <f>IFERROR(VLOOKUP(A42,Flete!$A:$J,10,0),"")</f>
        <v/>
      </c>
      <c r="P42" s="8" t="inlineStr">
        <is>
          <t>TN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900002741</v>
      </c>
      <c r="D43" s="7">
        <f>IFERROR(VLOOKUP(C43,TRAOPE!$G:$H,2,0),"")</f>
        <v/>
      </c>
      <c r="E43" s="8" t="inlineStr">
        <is>
          <t>DW81</t>
        </is>
      </c>
      <c r="F43" s="8" t="inlineStr">
        <is>
          <t>D154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10000859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20220516</t>
        </is>
      </c>
      <c r="M43" s="8" t="inlineStr">
        <is>
          <t>99991231</t>
        </is>
      </c>
      <c r="N43" s="10" t="n">
        <v>84.29000000000001</v>
      </c>
      <c r="O43" s="10">
        <f>IFERROR(VLOOKUP(A43,Flete!$A:$J,10,0),"")</f>
        <v/>
      </c>
      <c r="P43" s="8" t="inlineStr">
        <is>
          <t>TN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900002741</v>
      </c>
      <c r="D44" s="7">
        <f>IFERROR(VLOOKUP(C44,TRAOPE!$G:$H,2,0),"")</f>
        <v/>
      </c>
      <c r="E44" s="8" t="inlineStr">
        <is>
          <t>DW81</t>
        </is>
      </c>
      <c r="F44" s="8" t="inlineStr">
        <is>
          <t>D154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10087726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20220516</t>
        </is>
      </c>
      <c r="M44" s="8" t="inlineStr">
        <is>
          <t>99991231</t>
        </is>
      </c>
      <c r="N44" s="10" t="n">
        <v>83.7</v>
      </c>
      <c r="O44" s="10">
        <f>IFERROR(VLOOKUP(A44,Flete!$A:$J,10,0),"")</f>
        <v/>
      </c>
      <c r="P44" s="8" t="inlineStr">
        <is>
          <t>TN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900002741</v>
      </c>
      <c r="D45" s="7">
        <f>IFERROR(VLOOKUP(C45,TRAOPE!$G:$H,2,0),"")</f>
        <v/>
      </c>
      <c r="E45" s="8" t="inlineStr">
        <is>
          <t>DW81</t>
        </is>
      </c>
      <c r="F45" s="8" t="inlineStr">
        <is>
          <t>D169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10000141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20260201</t>
        </is>
      </c>
      <c r="M45" s="8" t="inlineStr">
        <is>
          <t>99991231</t>
        </is>
      </c>
      <c r="N45" s="10" t="n">
        <v>165</v>
      </c>
      <c r="O45" s="10">
        <f>IFERROR(VLOOKUP(A45,Flete!$A:$J,10,0),"")</f>
        <v/>
      </c>
      <c r="P45" s="8" t="inlineStr">
        <is>
          <t>TN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900002741</v>
      </c>
      <c r="D46" s="7">
        <f>IFERROR(VLOOKUP(C46,TRAOPE!$G:$H,2,0),"")</f>
        <v/>
      </c>
      <c r="E46" s="8" t="inlineStr">
        <is>
          <t>DW81</t>
        </is>
      </c>
      <c r="F46" s="8" t="inlineStr">
        <is>
          <t>D169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10000402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20260201</t>
        </is>
      </c>
      <c r="M46" s="8" t="inlineStr">
        <is>
          <t>99991231</t>
        </is>
      </c>
      <c r="N46" s="10" t="n">
        <v>165</v>
      </c>
      <c r="O46" s="10">
        <f>IFERROR(VLOOKUP(A46,Flete!$A:$J,10,0),"")</f>
        <v/>
      </c>
      <c r="P46" s="8" t="inlineStr">
        <is>
          <t>TN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900002741</v>
      </c>
      <c r="D47" s="7">
        <f>IFERROR(VLOOKUP(C47,TRAOPE!$G:$H,2,0),"")</f>
        <v/>
      </c>
      <c r="E47" s="8" t="inlineStr">
        <is>
          <t>DW81</t>
        </is>
      </c>
      <c r="F47" s="8" t="inlineStr">
        <is>
          <t>D169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10000404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20260201</t>
        </is>
      </c>
      <c r="M47" s="8" t="inlineStr">
        <is>
          <t>99991231</t>
        </is>
      </c>
      <c r="N47" s="10" t="n">
        <v>165</v>
      </c>
      <c r="O47" s="10">
        <f>IFERROR(VLOOKUP(A47,Flete!$A:$J,10,0),"")</f>
        <v/>
      </c>
      <c r="P47" s="8" t="inlineStr">
        <is>
          <t>TN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900002741</v>
      </c>
      <c r="D48" s="7">
        <f>IFERROR(VLOOKUP(C48,TRAOPE!$G:$H,2,0),"")</f>
        <v/>
      </c>
      <c r="E48" s="8" t="inlineStr">
        <is>
          <t>DW81</t>
        </is>
      </c>
      <c r="F48" s="8" t="inlineStr">
        <is>
          <t>D169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10000407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20260201</t>
        </is>
      </c>
      <c r="M48" s="8" t="inlineStr">
        <is>
          <t>99991231</t>
        </is>
      </c>
      <c r="N48" s="10" t="n">
        <v>165</v>
      </c>
      <c r="O48" s="10">
        <f>IFERROR(VLOOKUP(A48,Flete!$A:$J,10,0),"")</f>
        <v/>
      </c>
      <c r="P48" s="8" t="inlineStr">
        <is>
          <t>TN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900002741</v>
      </c>
      <c r="D49" s="7">
        <f>IFERROR(VLOOKUP(C49,TRAOPE!$G:$H,2,0),"")</f>
        <v/>
      </c>
      <c r="E49" s="8" t="inlineStr">
        <is>
          <t>DW81</t>
        </is>
      </c>
      <c r="F49" s="8" t="inlineStr">
        <is>
          <t>D169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10000859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20260201</t>
        </is>
      </c>
      <c r="M49" s="8" t="inlineStr">
        <is>
          <t>99991231</t>
        </is>
      </c>
      <c r="N49" s="10" t="n">
        <v>165</v>
      </c>
      <c r="O49" s="10">
        <f>IFERROR(VLOOKUP(A49,Flete!$A:$J,10,0),"")</f>
        <v/>
      </c>
      <c r="P49" s="8" t="inlineStr">
        <is>
          <t>TN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900002741</v>
      </c>
      <c r="D50" s="7">
        <f>IFERROR(VLOOKUP(C50,TRAOPE!$G:$H,2,0),"")</f>
        <v/>
      </c>
      <c r="E50" s="8" t="inlineStr">
        <is>
          <t>DW81</t>
        </is>
      </c>
      <c r="F50" s="8" t="inlineStr">
        <is>
          <t>D171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10000141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20240220</t>
        </is>
      </c>
      <c r="M50" s="8" t="inlineStr">
        <is>
          <t>99991231</t>
        </is>
      </c>
      <c r="N50" s="10" t="n">
        <v>130.91</v>
      </c>
      <c r="O50" s="10">
        <f>IFERROR(VLOOKUP(A50,Flete!$A:$J,10,0),"")</f>
        <v/>
      </c>
      <c r="P50" s="8" t="inlineStr">
        <is>
          <t>TN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900002741</v>
      </c>
      <c r="D51" s="7">
        <f>IFERROR(VLOOKUP(C51,TRAOPE!$G:$H,2,0),"")</f>
        <v/>
      </c>
      <c r="E51" s="8" t="inlineStr">
        <is>
          <t>DW81</t>
        </is>
      </c>
      <c r="F51" s="8" t="inlineStr">
        <is>
          <t>D171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10000402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20240220</t>
        </is>
      </c>
      <c r="M51" s="8" t="inlineStr">
        <is>
          <t>99991231</t>
        </is>
      </c>
      <c r="N51" s="10" t="n">
        <v>132.08</v>
      </c>
      <c r="O51" s="10">
        <f>IFERROR(VLOOKUP(A51,Flete!$A:$J,10,0),"")</f>
        <v/>
      </c>
      <c r="P51" s="8" t="inlineStr">
        <is>
          <t>TN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900002741</v>
      </c>
      <c r="D52" s="7">
        <f>IFERROR(VLOOKUP(C52,TRAOPE!$G:$H,2,0),"")</f>
        <v/>
      </c>
      <c r="E52" s="8" t="inlineStr">
        <is>
          <t>DW81</t>
        </is>
      </c>
      <c r="F52" s="8" t="inlineStr">
        <is>
          <t>D171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10000404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20240220</t>
        </is>
      </c>
      <c r="M52" s="8" t="inlineStr">
        <is>
          <t>99991231</t>
        </is>
      </c>
      <c r="N52" s="10" t="n">
        <v>130.91</v>
      </c>
      <c r="O52" s="10">
        <f>IFERROR(VLOOKUP(A52,Flete!$A:$J,10,0),"")</f>
        <v/>
      </c>
      <c r="P52" s="8" t="inlineStr">
        <is>
          <t>TN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900002741</v>
      </c>
      <c r="D53" s="7">
        <f>IFERROR(VLOOKUP(C53,TRAOPE!$G:$H,2,0),"")</f>
        <v/>
      </c>
      <c r="E53" s="8" t="inlineStr">
        <is>
          <t>DW81</t>
        </is>
      </c>
      <c r="F53" s="8" t="inlineStr">
        <is>
          <t>D171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10000407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20240220</t>
        </is>
      </c>
      <c r="M53" s="8" t="inlineStr">
        <is>
          <t>99991231</t>
        </is>
      </c>
      <c r="N53" s="10" t="n">
        <v>130.91</v>
      </c>
      <c r="O53" s="10">
        <f>IFERROR(VLOOKUP(A53,Flete!$A:$J,10,0),"")</f>
        <v/>
      </c>
      <c r="P53" s="8" t="inlineStr">
        <is>
          <t>TN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900002741</v>
      </c>
      <c r="D54" s="7">
        <f>IFERROR(VLOOKUP(C54,TRAOPE!$G:$H,2,0),"")</f>
        <v/>
      </c>
      <c r="E54" s="8" t="inlineStr">
        <is>
          <t>DW81</t>
        </is>
      </c>
      <c r="F54" s="8" t="inlineStr">
        <is>
          <t>D171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10000859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20240220</t>
        </is>
      </c>
      <c r="M54" s="8" t="inlineStr">
        <is>
          <t>99991231</t>
        </is>
      </c>
      <c r="N54" s="10" t="n">
        <v>132.08</v>
      </c>
      <c r="O54" s="10">
        <f>IFERROR(VLOOKUP(A54,Flete!$A:$J,10,0),"")</f>
        <v/>
      </c>
      <c r="P54" s="8" t="inlineStr">
        <is>
          <t>TN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900002741</v>
      </c>
      <c r="D55" s="7">
        <f>IFERROR(VLOOKUP(C55,TRAOPE!$G:$H,2,0),"")</f>
        <v/>
      </c>
      <c r="E55" s="8" t="inlineStr">
        <is>
          <t>DW81</t>
        </is>
      </c>
      <c r="F55" s="8" t="inlineStr">
        <is>
          <t>D171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10087726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20240220</t>
        </is>
      </c>
      <c r="M55" s="8" t="inlineStr">
        <is>
          <t>99991231</t>
        </is>
      </c>
      <c r="N55" s="10" t="n">
        <v>130.91</v>
      </c>
      <c r="O55" s="10">
        <f>IFERROR(VLOOKUP(A55,Flete!$A:$J,10,0),"")</f>
        <v/>
      </c>
      <c r="P55" s="8" t="inlineStr">
        <is>
          <t>TN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900002741</v>
      </c>
      <c r="D56" s="7">
        <f>IFERROR(VLOOKUP(C56,TRAOPE!$G:$H,2,0),"")</f>
        <v/>
      </c>
      <c r="E56" s="8" t="inlineStr">
        <is>
          <t>DW81</t>
        </is>
      </c>
      <c r="F56" s="8" t="inlineStr">
        <is>
          <t>D174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10000141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20230216</t>
        </is>
      </c>
      <c r="M56" s="8" t="inlineStr">
        <is>
          <t>20250423</t>
        </is>
      </c>
      <c r="N56" s="10" t="n">
        <v>121.21</v>
      </c>
      <c r="O56" s="10">
        <f>IFERROR(VLOOKUP(A56,Flete!$A:$J,10,0),"")</f>
        <v/>
      </c>
      <c r="P56" s="8" t="inlineStr">
        <is>
          <t>TN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900002741</v>
      </c>
      <c r="D57" s="7">
        <f>IFERROR(VLOOKUP(C57,TRAOPE!$G:$H,2,0),"")</f>
        <v/>
      </c>
      <c r="E57" s="8" t="inlineStr">
        <is>
          <t>DW81</t>
        </is>
      </c>
      <c r="F57" s="8" t="inlineStr">
        <is>
          <t>D174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10000402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20230216</t>
        </is>
      </c>
      <c r="M57" s="8" t="inlineStr">
        <is>
          <t>20250423</t>
        </is>
      </c>
      <c r="N57" s="10" t="n">
        <v>122.3</v>
      </c>
      <c r="O57" s="10">
        <f>IFERROR(VLOOKUP(A57,Flete!$A:$J,10,0),"")</f>
        <v/>
      </c>
      <c r="P57" s="8" t="inlineStr">
        <is>
          <t>TN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900002741</v>
      </c>
      <c r="D58" s="7">
        <f>IFERROR(VLOOKUP(C58,TRAOPE!$G:$H,2,0),"")</f>
        <v/>
      </c>
      <c r="E58" s="8" t="inlineStr">
        <is>
          <t>DW81</t>
        </is>
      </c>
      <c r="F58" s="8" t="inlineStr">
        <is>
          <t>D174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10000404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20230216</t>
        </is>
      </c>
      <c r="M58" s="8" t="inlineStr">
        <is>
          <t>20250423</t>
        </is>
      </c>
      <c r="N58" s="10" t="n">
        <v>121.21</v>
      </c>
      <c r="O58" s="10">
        <f>IFERROR(VLOOKUP(A58,Flete!$A:$J,10,0),"")</f>
        <v/>
      </c>
      <c r="P58" s="8" t="inlineStr">
        <is>
          <t>TN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900002741</v>
      </c>
      <c r="D59" s="7">
        <f>IFERROR(VLOOKUP(C59,TRAOPE!$G:$H,2,0),"")</f>
        <v/>
      </c>
      <c r="E59" s="8" t="inlineStr">
        <is>
          <t>DW81</t>
        </is>
      </c>
      <c r="F59" s="8" t="inlineStr">
        <is>
          <t>D174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10000407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20230216</t>
        </is>
      </c>
      <c r="M59" s="8" t="inlineStr">
        <is>
          <t>20250423</t>
        </is>
      </c>
      <c r="N59" s="10" t="n">
        <v>121.21</v>
      </c>
      <c r="O59" s="10">
        <f>IFERROR(VLOOKUP(A59,Flete!$A:$J,10,0),"")</f>
        <v/>
      </c>
      <c r="P59" s="8" t="inlineStr">
        <is>
          <t>TN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900002741</v>
      </c>
      <c r="D60" s="7">
        <f>IFERROR(VLOOKUP(C60,TRAOPE!$G:$H,2,0),"")</f>
        <v/>
      </c>
      <c r="E60" s="8" t="inlineStr">
        <is>
          <t>DW81</t>
        </is>
      </c>
      <c r="F60" s="8" t="inlineStr">
        <is>
          <t>D174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10000859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20230216</t>
        </is>
      </c>
      <c r="M60" s="8" t="inlineStr">
        <is>
          <t>20250423</t>
        </is>
      </c>
      <c r="N60" s="10" t="n">
        <v>122.3</v>
      </c>
      <c r="O60" s="10">
        <f>IFERROR(VLOOKUP(A60,Flete!$A:$J,10,0),"")</f>
        <v/>
      </c>
      <c r="P60" s="8" t="inlineStr">
        <is>
          <t>TN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900002741</v>
      </c>
      <c r="D61" s="7">
        <f>IFERROR(VLOOKUP(C61,TRAOPE!$G:$H,2,0),"")</f>
        <v/>
      </c>
      <c r="E61" s="8" t="inlineStr">
        <is>
          <t>DW81</t>
        </is>
      </c>
      <c r="F61" s="8" t="inlineStr">
        <is>
          <t>D192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10000141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20260201</t>
        </is>
      </c>
      <c r="M61" s="8" t="inlineStr">
        <is>
          <t>99991231</t>
        </is>
      </c>
      <c r="N61" s="10" t="n">
        <v>165</v>
      </c>
      <c r="O61" s="10">
        <f>IFERROR(VLOOKUP(A61,Flete!$A:$J,10,0),"")</f>
        <v/>
      </c>
      <c r="P61" s="8" t="inlineStr">
        <is>
          <t>TN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900002741</v>
      </c>
      <c r="D62" s="7">
        <f>IFERROR(VLOOKUP(C62,TRAOPE!$G:$H,2,0),"")</f>
        <v/>
      </c>
      <c r="E62" s="8" t="inlineStr">
        <is>
          <t>DW81</t>
        </is>
      </c>
      <c r="F62" s="8" t="inlineStr">
        <is>
          <t>D192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10000402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20260201</t>
        </is>
      </c>
      <c r="M62" s="8" t="inlineStr">
        <is>
          <t>99991231</t>
        </is>
      </c>
      <c r="N62" s="10" t="n">
        <v>165</v>
      </c>
      <c r="O62" s="10">
        <f>IFERROR(VLOOKUP(A62,Flete!$A:$J,10,0),"")</f>
        <v/>
      </c>
      <c r="P62" s="8" t="inlineStr">
        <is>
          <t>TN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900002741</v>
      </c>
      <c r="D63" s="7">
        <f>IFERROR(VLOOKUP(C63,TRAOPE!$G:$H,2,0),"")</f>
        <v/>
      </c>
      <c r="E63" s="8" t="inlineStr">
        <is>
          <t>DW81</t>
        </is>
      </c>
      <c r="F63" s="8" t="inlineStr">
        <is>
          <t>D192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10000404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20260201</t>
        </is>
      </c>
      <c r="M63" s="8" t="inlineStr">
        <is>
          <t>99991231</t>
        </is>
      </c>
      <c r="N63" s="10" t="n">
        <v>165</v>
      </c>
      <c r="O63" s="10">
        <f>IFERROR(VLOOKUP(A63,Flete!$A:$J,10,0),"")</f>
        <v/>
      </c>
      <c r="P63" s="8" t="inlineStr">
        <is>
          <t>TN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900002741</v>
      </c>
      <c r="D64" s="7">
        <f>IFERROR(VLOOKUP(C64,TRAOPE!$G:$H,2,0),"")</f>
        <v/>
      </c>
      <c r="E64" s="8" t="inlineStr">
        <is>
          <t>DW81</t>
        </is>
      </c>
      <c r="F64" s="8" t="inlineStr">
        <is>
          <t>D192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10000407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20260201</t>
        </is>
      </c>
      <c r="M64" s="8" t="inlineStr">
        <is>
          <t>99991231</t>
        </is>
      </c>
      <c r="N64" s="10" t="n">
        <v>165</v>
      </c>
      <c r="O64" s="10">
        <f>IFERROR(VLOOKUP(A64,Flete!$A:$J,10,0),"")</f>
        <v/>
      </c>
      <c r="P64" s="8" t="inlineStr">
        <is>
          <t>TN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900002741</v>
      </c>
      <c r="D65" s="7">
        <f>IFERROR(VLOOKUP(C65,TRAOPE!$G:$H,2,0),"")</f>
        <v/>
      </c>
      <c r="E65" s="8" t="inlineStr">
        <is>
          <t>DW81</t>
        </is>
      </c>
      <c r="F65" s="8" t="inlineStr">
        <is>
          <t>D192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10000859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20260201</t>
        </is>
      </c>
      <c r="M65" s="8" t="inlineStr">
        <is>
          <t>99991231</t>
        </is>
      </c>
      <c r="N65" s="10" t="n">
        <v>165</v>
      </c>
      <c r="O65" s="10">
        <f>IFERROR(VLOOKUP(A65,Flete!$A:$J,10,0),"")</f>
        <v/>
      </c>
      <c r="P65" s="8" t="inlineStr">
        <is>
          <t>TN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900002741</v>
      </c>
      <c r="D66" s="7">
        <f>IFERROR(VLOOKUP(C66,TRAOPE!$G:$H,2,0),"")</f>
        <v/>
      </c>
      <c r="E66" s="8" t="inlineStr">
        <is>
          <t>DW81</t>
        </is>
      </c>
      <c r="F66" s="8" t="inlineStr">
        <is>
          <t>D193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10000141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20220516</t>
        </is>
      </c>
      <c r="M66" s="8" t="inlineStr">
        <is>
          <t>20260525</t>
        </is>
      </c>
      <c r="N66" s="10" t="n">
        <v>72.78</v>
      </c>
      <c r="O66" s="10">
        <f>IFERROR(VLOOKUP(A66,Flete!$A:$J,10,0),"")</f>
        <v/>
      </c>
      <c r="P66" s="8" t="inlineStr">
        <is>
          <t>TN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900002741</v>
      </c>
      <c r="D67" s="7">
        <f>IFERROR(VLOOKUP(C67,TRAOPE!$G:$H,2,0),"")</f>
        <v/>
      </c>
      <c r="E67" s="8" t="inlineStr">
        <is>
          <t>DW81</t>
        </is>
      </c>
      <c r="F67" s="8" t="inlineStr">
        <is>
          <t>D193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10000402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20220516</t>
        </is>
      </c>
      <c r="M67" s="8" t="inlineStr">
        <is>
          <t>20260525</t>
        </is>
      </c>
      <c r="N67" s="10" t="n">
        <v>73.3</v>
      </c>
      <c r="O67" s="10">
        <f>IFERROR(VLOOKUP(A67,Flete!$A:$J,10,0),"")</f>
        <v/>
      </c>
      <c r="P67" s="8" t="inlineStr">
        <is>
          <t>TN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900002741</v>
      </c>
      <c r="D68" s="7">
        <f>IFERROR(VLOOKUP(C68,TRAOPE!$G:$H,2,0),"")</f>
        <v/>
      </c>
      <c r="E68" s="8" t="inlineStr">
        <is>
          <t>DW81</t>
        </is>
      </c>
      <c r="F68" s="8" t="inlineStr">
        <is>
          <t>D193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10000404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20220516</t>
        </is>
      </c>
      <c r="M68" s="8" t="inlineStr">
        <is>
          <t>20260525</t>
        </is>
      </c>
      <c r="N68" s="10" t="n">
        <v>72.78</v>
      </c>
      <c r="O68" s="10">
        <f>IFERROR(VLOOKUP(A68,Flete!$A:$J,10,0),"")</f>
        <v/>
      </c>
      <c r="P68" s="8" t="inlineStr">
        <is>
          <t>TN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900002741</v>
      </c>
      <c r="D69" s="7">
        <f>IFERROR(VLOOKUP(C69,TRAOPE!$G:$H,2,0),"")</f>
        <v/>
      </c>
      <c r="E69" s="8" t="inlineStr">
        <is>
          <t>DW81</t>
        </is>
      </c>
      <c r="F69" s="8" t="inlineStr">
        <is>
          <t>D193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10000407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20220516</t>
        </is>
      </c>
      <c r="M69" s="8" t="inlineStr">
        <is>
          <t>20260525</t>
        </is>
      </c>
      <c r="N69" s="10" t="n">
        <v>72.78</v>
      </c>
      <c r="O69" s="10">
        <f>IFERROR(VLOOKUP(A69,Flete!$A:$J,10,0),"")</f>
        <v/>
      </c>
      <c r="P69" s="8" t="inlineStr">
        <is>
          <t>TN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900002741</v>
      </c>
      <c r="D70" s="7">
        <f>IFERROR(VLOOKUP(C70,TRAOPE!$G:$H,2,0),"")</f>
        <v/>
      </c>
      <c r="E70" s="8" t="inlineStr">
        <is>
          <t>DW81</t>
        </is>
      </c>
      <c r="F70" s="8" t="inlineStr">
        <is>
          <t>D193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10000859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20220516</t>
        </is>
      </c>
      <c r="M70" s="8" t="inlineStr">
        <is>
          <t>20260525</t>
        </is>
      </c>
      <c r="N70" s="10" t="n">
        <v>73.3</v>
      </c>
      <c r="O70" s="10">
        <f>IFERROR(VLOOKUP(A70,Flete!$A:$J,10,0),"")</f>
        <v/>
      </c>
      <c r="P70" s="8" t="inlineStr">
        <is>
          <t>TN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900002741</v>
      </c>
      <c r="D71" s="7">
        <f>IFERROR(VLOOKUP(C71,TRAOPE!$G:$H,2,0),"")</f>
        <v/>
      </c>
      <c r="E71" s="8" t="inlineStr">
        <is>
          <t>DW81</t>
        </is>
      </c>
      <c r="F71" s="8" t="inlineStr">
        <is>
          <t>D195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10000141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20260201</t>
        </is>
      </c>
      <c r="M71" s="8" t="inlineStr">
        <is>
          <t>99991231</t>
        </is>
      </c>
      <c r="N71" s="10" t="n">
        <v>165</v>
      </c>
      <c r="O71" s="10">
        <f>IFERROR(VLOOKUP(A71,Flete!$A:$J,10,0),"")</f>
        <v/>
      </c>
      <c r="P71" s="8" t="inlineStr">
        <is>
          <t>TN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900002741</v>
      </c>
      <c r="D72" s="7">
        <f>IFERROR(VLOOKUP(C72,TRAOPE!$G:$H,2,0),"")</f>
        <v/>
      </c>
      <c r="E72" s="8" t="inlineStr">
        <is>
          <t>DW81</t>
        </is>
      </c>
      <c r="F72" s="8" t="inlineStr">
        <is>
          <t>D195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10000402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20260201</t>
        </is>
      </c>
      <c r="M72" s="8" t="inlineStr">
        <is>
          <t>99991231</t>
        </is>
      </c>
      <c r="N72" s="10" t="n">
        <v>165</v>
      </c>
      <c r="O72" s="10">
        <f>IFERROR(VLOOKUP(A72,Flete!$A:$J,10,0),"")</f>
        <v/>
      </c>
      <c r="P72" s="8" t="inlineStr">
        <is>
          <t>TN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900002741</v>
      </c>
      <c r="D73" s="7">
        <f>IFERROR(VLOOKUP(C73,TRAOPE!$G:$H,2,0),"")</f>
        <v/>
      </c>
      <c r="E73" s="8" t="inlineStr">
        <is>
          <t>DW81</t>
        </is>
      </c>
      <c r="F73" s="8" t="inlineStr">
        <is>
          <t>D195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10000404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20260201</t>
        </is>
      </c>
      <c r="M73" s="8" t="inlineStr">
        <is>
          <t>99991231</t>
        </is>
      </c>
      <c r="N73" s="10" t="n">
        <v>165</v>
      </c>
      <c r="O73" s="10">
        <f>IFERROR(VLOOKUP(A73,Flete!$A:$J,10,0),"")</f>
        <v/>
      </c>
      <c r="P73" s="8" t="inlineStr">
        <is>
          <t>TN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900002741</v>
      </c>
      <c r="D74" s="7">
        <f>IFERROR(VLOOKUP(C74,TRAOPE!$G:$H,2,0),"")</f>
        <v/>
      </c>
      <c r="E74" s="8" t="inlineStr">
        <is>
          <t>DW81</t>
        </is>
      </c>
      <c r="F74" s="8" t="inlineStr">
        <is>
          <t>D195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10000407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20260201</t>
        </is>
      </c>
      <c r="M74" s="8" t="inlineStr">
        <is>
          <t>99991231</t>
        </is>
      </c>
      <c r="N74" s="10" t="n">
        <v>165</v>
      </c>
      <c r="O74" s="10">
        <f>IFERROR(VLOOKUP(A74,Flete!$A:$J,10,0),"")</f>
        <v/>
      </c>
      <c r="P74" s="8" t="inlineStr">
        <is>
          <t>TN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  <row r="75">
      <c r="A75" s="7">
        <f>CONCATENATE(C75,E75,F75,I75)</f>
        <v/>
      </c>
      <c r="B75" s="7">
        <f>CONCATENATE(C75,E75,I75)</f>
        <v/>
      </c>
      <c r="C75" s="8" t="n">
        <v>900002741</v>
      </c>
      <c r="D75" s="7">
        <f>IFERROR(VLOOKUP(C75,TRAOPE!$G:$H,2,0),"")</f>
        <v/>
      </c>
      <c r="E75" s="8" t="inlineStr">
        <is>
          <t>DW81</t>
        </is>
      </c>
      <c r="F75" s="8" t="inlineStr">
        <is>
          <t>D195</t>
        </is>
      </c>
      <c r="G75" s="8">
        <f>IFERROR(VLOOKUP(A75,Flete!$A:$E,5,0),"")</f>
        <v/>
      </c>
      <c r="H75" s="7">
        <f>IFERROR(VLOOKUP(F75,TRAOPE!$AA:$AB,2,0),"")</f>
        <v/>
      </c>
      <c r="I75" s="7" t="n">
        <v>10000859</v>
      </c>
      <c r="J75" s="7">
        <f>IFERROR(VLOOKUP(I75,Materiales!$A:$H,8,0),"")</f>
        <v/>
      </c>
      <c r="K75" s="9">
        <f>IFERROR(VLOOKUP(I75,Materiales!$A:$G,7,0),"")</f>
        <v/>
      </c>
      <c r="L75" s="8" t="inlineStr">
        <is>
          <t>20260201</t>
        </is>
      </c>
      <c r="M75" s="8" t="inlineStr">
        <is>
          <t>99991231</t>
        </is>
      </c>
      <c r="N75" s="10" t="n">
        <v>165</v>
      </c>
      <c r="O75" s="10">
        <f>IFERROR(VLOOKUP(A75,Flete!$A:$J,10,0),"")</f>
        <v/>
      </c>
      <c r="P75" s="8" t="inlineStr">
        <is>
          <t>TN</t>
        </is>
      </c>
      <c r="Q75" s="10">
        <f>IFERROR(IFERROR(VLOOKUP(A75,TRAOPE!$A:$U,21,0),VLOOKUP(B75,TRAOPE!$A:$U,21,0)),"")</f>
        <v/>
      </c>
      <c r="R75" s="8">
        <f>IFERROR(IFERROR(VLOOKUP(A75,TRAOPE!$A:$W,23,0),VLOOKUP(B75,TRAOPE!$A:$W,23,0)),"")</f>
        <v/>
      </c>
      <c r="S75" s="10">
        <f>IF(AND(P75="TN",R75="TN"),N75+N(O75),IF(G75&amp;""="1",N(K75)*N75,(N75+N(O75))*N(K75)))</f>
        <v/>
      </c>
      <c r="T75" s="10">
        <f>IF(Q75="","",Q75-S75)</f>
        <v/>
      </c>
    </row>
    <row r="76">
      <c r="A76" s="7">
        <f>CONCATENATE(C76,E76,F76,I76)</f>
        <v/>
      </c>
      <c r="B76" s="7">
        <f>CONCATENATE(C76,E76,I76)</f>
        <v/>
      </c>
      <c r="C76" s="8" t="n">
        <v>900002741</v>
      </c>
      <c r="D76" s="7">
        <f>IFERROR(VLOOKUP(C76,TRAOPE!$G:$H,2,0),"")</f>
        <v/>
      </c>
      <c r="E76" s="8" t="inlineStr">
        <is>
          <t>DW81</t>
        </is>
      </c>
      <c r="F76" s="8" t="inlineStr">
        <is>
          <t>D197</t>
        </is>
      </c>
      <c r="G76" s="8">
        <f>IFERROR(VLOOKUP(A76,Flete!$A:$E,5,0),"")</f>
        <v/>
      </c>
      <c r="H76" s="7">
        <f>IFERROR(VLOOKUP(F76,TRAOPE!$AA:$AB,2,0),"")</f>
        <v/>
      </c>
      <c r="I76" s="7" t="n">
        <v>10000141</v>
      </c>
      <c r="J76" s="7">
        <f>IFERROR(VLOOKUP(I76,Materiales!$A:$H,8,0),"")</f>
        <v/>
      </c>
      <c r="K76" s="9">
        <f>IFERROR(VLOOKUP(I76,Materiales!$A:$G,7,0),"")</f>
        <v/>
      </c>
      <c r="L76" s="8" t="inlineStr">
        <is>
          <t>20260201</t>
        </is>
      </c>
      <c r="M76" s="8" t="inlineStr">
        <is>
          <t>99991231</t>
        </is>
      </c>
      <c r="N76" s="10" t="n">
        <v>165</v>
      </c>
      <c r="O76" s="10">
        <f>IFERROR(VLOOKUP(A76,Flete!$A:$J,10,0),"")</f>
        <v/>
      </c>
      <c r="P76" s="8" t="inlineStr">
        <is>
          <t>TN</t>
        </is>
      </c>
      <c r="Q76" s="10">
        <f>IFERROR(IFERROR(VLOOKUP(A76,TRAOPE!$A:$U,21,0),VLOOKUP(B76,TRAOPE!$A:$U,21,0)),"")</f>
        <v/>
      </c>
      <c r="R76" s="8">
        <f>IFERROR(IFERROR(VLOOKUP(A76,TRAOPE!$A:$W,23,0),VLOOKUP(B76,TRAOPE!$A:$W,23,0)),"")</f>
        <v/>
      </c>
      <c r="S76" s="10">
        <f>IF(AND(P76="TN",R76="TN"),N76+N(O76),IF(G76&amp;""="1",N(K76)*N76,(N76+N(O76))*N(K76)))</f>
        <v/>
      </c>
      <c r="T76" s="10">
        <f>IF(Q76="","",Q76-S76)</f>
        <v/>
      </c>
    </row>
    <row r="77">
      <c r="A77" s="7">
        <f>CONCATENATE(C77,E77,F77,I77)</f>
        <v/>
      </c>
      <c r="B77" s="7">
        <f>CONCATENATE(C77,E77,I77)</f>
        <v/>
      </c>
      <c r="C77" s="8" t="n">
        <v>900002741</v>
      </c>
      <c r="D77" s="7">
        <f>IFERROR(VLOOKUP(C77,TRAOPE!$G:$H,2,0),"")</f>
        <v/>
      </c>
      <c r="E77" s="8" t="inlineStr">
        <is>
          <t>DW81</t>
        </is>
      </c>
      <c r="F77" s="8" t="inlineStr">
        <is>
          <t>D197</t>
        </is>
      </c>
      <c r="G77" s="8">
        <f>IFERROR(VLOOKUP(A77,Flete!$A:$E,5,0),"")</f>
        <v/>
      </c>
      <c r="H77" s="7">
        <f>IFERROR(VLOOKUP(F77,TRAOPE!$AA:$AB,2,0),"")</f>
        <v/>
      </c>
      <c r="I77" s="7" t="n">
        <v>10000402</v>
      </c>
      <c r="J77" s="7">
        <f>IFERROR(VLOOKUP(I77,Materiales!$A:$H,8,0),"")</f>
        <v/>
      </c>
      <c r="K77" s="9">
        <f>IFERROR(VLOOKUP(I77,Materiales!$A:$G,7,0),"")</f>
        <v/>
      </c>
      <c r="L77" s="8" t="inlineStr">
        <is>
          <t>20260201</t>
        </is>
      </c>
      <c r="M77" s="8" t="inlineStr">
        <is>
          <t>99991231</t>
        </is>
      </c>
      <c r="N77" s="10" t="n">
        <v>165</v>
      </c>
      <c r="O77" s="10">
        <f>IFERROR(VLOOKUP(A77,Flete!$A:$J,10,0),"")</f>
        <v/>
      </c>
      <c r="P77" s="8" t="inlineStr">
        <is>
          <t>TN</t>
        </is>
      </c>
      <c r="Q77" s="10">
        <f>IFERROR(IFERROR(VLOOKUP(A77,TRAOPE!$A:$U,21,0),VLOOKUP(B77,TRAOPE!$A:$U,21,0)),"")</f>
        <v/>
      </c>
      <c r="R77" s="8">
        <f>IFERROR(IFERROR(VLOOKUP(A77,TRAOPE!$A:$W,23,0),VLOOKUP(B77,TRAOPE!$A:$W,23,0)),"")</f>
        <v/>
      </c>
      <c r="S77" s="10">
        <f>IF(AND(P77="TN",R77="TN"),N77+N(O77),IF(G77&amp;""="1",N(K77)*N77,(N77+N(O77))*N(K77)))</f>
        <v/>
      </c>
      <c r="T77" s="10">
        <f>IF(Q77="","",Q77-S77)</f>
        <v/>
      </c>
    </row>
    <row r="78">
      <c r="A78" s="7">
        <f>CONCATENATE(C78,E78,F78,I78)</f>
        <v/>
      </c>
      <c r="B78" s="7">
        <f>CONCATENATE(C78,E78,I78)</f>
        <v/>
      </c>
      <c r="C78" s="8" t="n">
        <v>900002741</v>
      </c>
      <c r="D78" s="7">
        <f>IFERROR(VLOOKUP(C78,TRAOPE!$G:$H,2,0),"")</f>
        <v/>
      </c>
      <c r="E78" s="8" t="inlineStr">
        <is>
          <t>DW81</t>
        </is>
      </c>
      <c r="F78" s="8" t="inlineStr">
        <is>
          <t>D197</t>
        </is>
      </c>
      <c r="G78" s="8">
        <f>IFERROR(VLOOKUP(A78,Flete!$A:$E,5,0),"")</f>
        <v/>
      </c>
      <c r="H78" s="7">
        <f>IFERROR(VLOOKUP(F78,TRAOPE!$AA:$AB,2,0),"")</f>
        <v/>
      </c>
      <c r="I78" s="7" t="n">
        <v>10000404</v>
      </c>
      <c r="J78" s="7">
        <f>IFERROR(VLOOKUP(I78,Materiales!$A:$H,8,0),"")</f>
        <v/>
      </c>
      <c r="K78" s="9">
        <f>IFERROR(VLOOKUP(I78,Materiales!$A:$G,7,0),"")</f>
        <v/>
      </c>
      <c r="L78" s="8" t="inlineStr">
        <is>
          <t>20260201</t>
        </is>
      </c>
      <c r="M78" s="8" t="inlineStr">
        <is>
          <t>99991231</t>
        </is>
      </c>
      <c r="N78" s="10" t="n">
        <v>165</v>
      </c>
      <c r="O78" s="10">
        <f>IFERROR(VLOOKUP(A78,Flete!$A:$J,10,0),"")</f>
        <v/>
      </c>
      <c r="P78" s="8" t="inlineStr">
        <is>
          <t>TN</t>
        </is>
      </c>
      <c r="Q78" s="10">
        <f>IFERROR(IFERROR(VLOOKUP(A78,TRAOPE!$A:$U,21,0),VLOOKUP(B78,TRAOPE!$A:$U,21,0)),"")</f>
        <v/>
      </c>
      <c r="R78" s="8">
        <f>IFERROR(IFERROR(VLOOKUP(A78,TRAOPE!$A:$W,23,0),VLOOKUP(B78,TRAOPE!$A:$W,23,0)),"")</f>
        <v/>
      </c>
      <c r="S78" s="10">
        <f>IF(AND(P78="TN",R78="TN"),N78+N(O78),IF(G78&amp;""="1",N(K78)*N78,(N78+N(O78))*N(K78)))</f>
        <v/>
      </c>
      <c r="T78" s="10">
        <f>IF(Q78="","",Q78-S78)</f>
        <v/>
      </c>
    </row>
    <row r="79">
      <c r="A79" s="7">
        <f>CONCATENATE(C79,E79,F79,I79)</f>
        <v/>
      </c>
      <c r="B79" s="7">
        <f>CONCATENATE(C79,E79,I79)</f>
        <v/>
      </c>
      <c r="C79" s="8" t="n">
        <v>900002741</v>
      </c>
      <c r="D79" s="7">
        <f>IFERROR(VLOOKUP(C79,TRAOPE!$G:$H,2,0),"")</f>
        <v/>
      </c>
      <c r="E79" s="8" t="inlineStr">
        <is>
          <t>DW81</t>
        </is>
      </c>
      <c r="F79" s="8" t="inlineStr">
        <is>
          <t>D197</t>
        </is>
      </c>
      <c r="G79" s="8">
        <f>IFERROR(VLOOKUP(A79,Flete!$A:$E,5,0),"")</f>
        <v/>
      </c>
      <c r="H79" s="7">
        <f>IFERROR(VLOOKUP(F79,TRAOPE!$AA:$AB,2,0),"")</f>
        <v/>
      </c>
      <c r="I79" s="7" t="n">
        <v>10000407</v>
      </c>
      <c r="J79" s="7">
        <f>IFERROR(VLOOKUP(I79,Materiales!$A:$H,8,0),"")</f>
        <v/>
      </c>
      <c r="K79" s="9">
        <f>IFERROR(VLOOKUP(I79,Materiales!$A:$G,7,0),"")</f>
        <v/>
      </c>
      <c r="L79" s="8" t="inlineStr">
        <is>
          <t>20260201</t>
        </is>
      </c>
      <c r="M79" s="8" t="inlineStr">
        <is>
          <t>99991231</t>
        </is>
      </c>
      <c r="N79" s="10" t="n">
        <v>165</v>
      </c>
      <c r="O79" s="10">
        <f>IFERROR(VLOOKUP(A79,Flete!$A:$J,10,0),"")</f>
        <v/>
      </c>
      <c r="P79" s="8" t="inlineStr">
        <is>
          <t>TN</t>
        </is>
      </c>
      <c r="Q79" s="10">
        <f>IFERROR(IFERROR(VLOOKUP(A79,TRAOPE!$A:$U,21,0),VLOOKUP(B79,TRAOPE!$A:$U,21,0)),"")</f>
        <v/>
      </c>
      <c r="R79" s="8">
        <f>IFERROR(IFERROR(VLOOKUP(A79,TRAOPE!$A:$W,23,0),VLOOKUP(B79,TRAOPE!$A:$W,23,0)),"")</f>
        <v/>
      </c>
      <c r="S79" s="10">
        <f>IF(AND(P79="TN",R79="TN"),N79+N(O79),IF(G79&amp;""="1",N(K79)*N79,(N79+N(O79))*N(K79)))</f>
        <v/>
      </c>
      <c r="T79" s="10">
        <f>IF(Q79="","",Q79-S79)</f>
        <v/>
      </c>
    </row>
    <row r="80">
      <c r="A80" s="7">
        <f>CONCATENATE(C80,E80,F80,I80)</f>
        <v/>
      </c>
      <c r="B80" s="7">
        <f>CONCATENATE(C80,E80,I80)</f>
        <v/>
      </c>
      <c r="C80" s="8" t="n">
        <v>900002741</v>
      </c>
      <c r="D80" s="7">
        <f>IFERROR(VLOOKUP(C80,TRAOPE!$G:$H,2,0),"")</f>
        <v/>
      </c>
      <c r="E80" s="8" t="inlineStr">
        <is>
          <t>DW81</t>
        </is>
      </c>
      <c r="F80" s="8" t="inlineStr">
        <is>
          <t>D197</t>
        </is>
      </c>
      <c r="G80" s="8">
        <f>IFERROR(VLOOKUP(A80,Flete!$A:$E,5,0),"")</f>
        <v/>
      </c>
      <c r="H80" s="7">
        <f>IFERROR(VLOOKUP(F80,TRAOPE!$AA:$AB,2,0),"")</f>
        <v/>
      </c>
      <c r="I80" s="7" t="n">
        <v>10000859</v>
      </c>
      <c r="J80" s="7">
        <f>IFERROR(VLOOKUP(I80,Materiales!$A:$H,8,0),"")</f>
        <v/>
      </c>
      <c r="K80" s="9">
        <f>IFERROR(VLOOKUP(I80,Materiales!$A:$G,7,0),"")</f>
        <v/>
      </c>
      <c r="L80" s="8" t="inlineStr">
        <is>
          <t>20260201</t>
        </is>
      </c>
      <c r="M80" s="8" t="inlineStr">
        <is>
          <t>99991231</t>
        </is>
      </c>
      <c r="N80" s="10" t="n">
        <v>165</v>
      </c>
      <c r="O80" s="10">
        <f>IFERROR(VLOOKUP(A80,Flete!$A:$J,10,0),"")</f>
        <v/>
      </c>
      <c r="P80" s="8" t="inlineStr">
        <is>
          <t>TN</t>
        </is>
      </c>
      <c r="Q80" s="10">
        <f>IFERROR(IFERROR(VLOOKUP(A80,TRAOPE!$A:$U,21,0),VLOOKUP(B80,TRAOPE!$A:$U,21,0)),"")</f>
        <v/>
      </c>
      <c r="R80" s="8">
        <f>IFERROR(IFERROR(VLOOKUP(A80,TRAOPE!$A:$W,23,0),VLOOKUP(B80,TRAOPE!$A:$W,23,0)),"")</f>
        <v/>
      </c>
      <c r="S80" s="10">
        <f>IF(AND(P80="TN",R80="TN"),N80+N(O80),IF(G80&amp;""="1",N(K80)*N80,(N80+N(O80))*N(K80)))</f>
        <v/>
      </c>
      <c r="T80" s="10">
        <f>IF(Q80="","",Q80-S80)</f>
        <v/>
      </c>
    </row>
    <row r="81">
      <c r="A81" s="7">
        <f>CONCATENATE(C81,E81,F81,I81)</f>
        <v/>
      </c>
      <c r="B81" s="7">
        <f>CONCATENATE(C81,E81,I81)</f>
        <v/>
      </c>
      <c r="C81" s="8" t="n">
        <v>900002741</v>
      </c>
      <c r="D81" s="7">
        <f>IFERROR(VLOOKUP(C81,TRAOPE!$G:$H,2,0),"")</f>
        <v/>
      </c>
      <c r="E81" s="8" t="inlineStr">
        <is>
          <t>DW81</t>
        </is>
      </c>
      <c r="F81" s="8" t="inlineStr">
        <is>
          <t>D197</t>
        </is>
      </c>
      <c r="G81" s="8">
        <f>IFERROR(VLOOKUP(A81,Flete!$A:$E,5,0),"")</f>
        <v/>
      </c>
      <c r="H81" s="7">
        <f>IFERROR(VLOOKUP(F81,TRAOPE!$AA:$AB,2,0),"")</f>
        <v/>
      </c>
      <c r="I81" s="7" t="n">
        <v>10087726</v>
      </c>
      <c r="J81" s="7">
        <f>IFERROR(VLOOKUP(I81,Materiales!$A:$H,8,0),"")</f>
        <v/>
      </c>
      <c r="K81" s="9">
        <f>IFERROR(VLOOKUP(I81,Materiales!$A:$G,7,0),"")</f>
        <v/>
      </c>
      <c r="L81" s="8" t="inlineStr">
        <is>
          <t>20260201</t>
        </is>
      </c>
      <c r="M81" s="8" t="inlineStr">
        <is>
          <t>99991231</t>
        </is>
      </c>
      <c r="N81" s="10" t="n">
        <v>165</v>
      </c>
      <c r="O81" s="10">
        <f>IFERROR(VLOOKUP(A81,Flete!$A:$J,10,0),"")</f>
        <v/>
      </c>
      <c r="P81" s="8" t="inlineStr">
        <is>
          <t>TN</t>
        </is>
      </c>
      <c r="Q81" s="10">
        <f>IFERROR(IFERROR(VLOOKUP(A81,TRAOPE!$A:$U,21,0),VLOOKUP(B81,TRAOPE!$A:$U,21,0)),"")</f>
        <v/>
      </c>
      <c r="R81" s="8">
        <f>IFERROR(IFERROR(VLOOKUP(A81,TRAOPE!$A:$W,23,0),VLOOKUP(B81,TRAOPE!$A:$W,23,0)),"")</f>
        <v/>
      </c>
      <c r="S81" s="10">
        <f>IF(AND(P81="TN",R81="TN"),N81+N(O81),IF(G81&amp;""="1",N(K81)*N81,(N81+N(O81))*N(K81)))</f>
        <v/>
      </c>
      <c r="T81" s="10">
        <f>IF(Q81="","",Q81-S81)</f>
        <v/>
      </c>
    </row>
    <row r="82">
      <c r="A82" s="7">
        <f>CONCATENATE(C82,E82,F82,I82)</f>
        <v/>
      </c>
      <c r="B82" s="7">
        <f>CONCATENATE(C82,E82,I82)</f>
        <v/>
      </c>
      <c r="C82" s="8" t="n">
        <v>900002741</v>
      </c>
      <c r="D82" s="7">
        <f>IFERROR(VLOOKUP(C82,TRAOPE!$G:$H,2,0),"")</f>
        <v/>
      </c>
      <c r="E82" s="8" t="inlineStr">
        <is>
          <t>DW81</t>
        </is>
      </c>
      <c r="F82" s="8" t="inlineStr">
        <is>
          <t>D198</t>
        </is>
      </c>
      <c r="G82" s="8">
        <f>IFERROR(VLOOKUP(A82,Flete!$A:$E,5,0),"")</f>
        <v/>
      </c>
      <c r="H82" s="7">
        <f>IFERROR(VLOOKUP(F82,TRAOPE!$AA:$AB,2,0),"")</f>
        <v/>
      </c>
      <c r="I82" s="7" t="n">
        <v>10000141</v>
      </c>
      <c r="J82" s="7">
        <f>IFERROR(VLOOKUP(I82,Materiales!$A:$H,8,0),"")</f>
        <v/>
      </c>
      <c r="K82" s="9">
        <f>IFERROR(VLOOKUP(I82,Materiales!$A:$G,7,0),"")</f>
        <v/>
      </c>
      <c r="L82" s="8" t="inlineStr">
        <is>
          <t>20230216</t>
        </is>
      </c>
      <c r="M82" s="8" t="inlineStr">
        <is>
          <t>99991231</t>
        </is>
      </c>
      <c r="N82" s="10" t="n">
        <v>121.21</v>
      </c>
      <c r="O82" s="10">
        <f>IFERROR(VLOOKUP(A82,Flete!$A:$J,10,0),"")</f>
        <v/>
      </c>
      <c r="P82" s="8" t="inlineStr">
        <is>
          <t>TN</t>
        </is>
      </c>
      <c r="Q82" s="10">
        <f>IFERROR(IFERROR(VLOOKUP(A82,TRAOPE!$A:$U,21,0),VLOOKUP(B82,TRAOPE!$A:$U,21,0)),"")</f>
        <v/>
      </c>
      <c r="R82" s="8">
        <f>IFERROR(IFERROR(VLOOKUP(A82,TRAOPE!$A:$W,23,0),VLOOKUP(B82,TRAOPE!$A:$W,23,0)),"")</f>
        <v/>
      </c>
      <c r="S82" s="10">
        <f>IF(AND(P82="TN",R82="TN"),N82+N(O82),IF(G82&amp;""="1",N(K82)*N82,(N82+N(O82))*N(K82)))</f>
        <v/>
      </c>
      <c r="T82" s="10">
        <f>IF(Q82="","",Q82-S82)</f>
        <v/>
      </c>
    </row>
    <row r="83">
      <c r="A83" s="7">
        <f>CONCATENATE(C83,E83,F83,I83)</f>
        <v/>
      </c>
      <c r="B83" s="7">
        <f>CONCATENATE(C83,E83,I83)</f>
        <v/>
      </c>
      <c r="C83" s="8" t="n">
        <v>900002741</v>
      </c>
      <c r="D83" s="7">
        <f>IFERROR(VLOOKUP(C83,TRAOPE!$G:$H,2,0),"")</f>
        <v/>
      </c>
      <c r="E83" s="8" t="inlineStr">
        <is>
          <t>DW81</t>
        </is>
      </c>
      <c r="F83" s="8" t="inlineStr">
        <is>
          <t>D198</t>
        </is>
      </c>
      <c r="G83" s="8">
        <f>IFERROR(VLOOKUP(A83,Flete!$A:$E,5,0),"")</f>
        <v/>
      </c>
      <c r="H83" s="7">
        <f>IFERROR(VLOOKUP(F83,TRAOPE!$AA:$AB,2,0),"")</f>
        <v/>
      </c>
      <c r="I83" s="7" t="n">
        <v>10000402</v>
      </c>
      <c r="J83" s="7">
        <f>IFERROR(VLOOKUP(I83,Materiales!$A:$H,8,0),"")</f>
        <v/>
      </c>
      <c r="K83" s="9">
        <f>IFERROR(VLOOKUP(I83,Materiales!$A:$G,7,0),"")</f>
        <v/>
      </c>
      <c r="L83" s="8" t="inlineStr">
        <is>
          <t>20230216</t>
        </is>
      </c>
      <c r="M83" s="8" t="inlineStr">
        <is>
          <t>99991231</t>
        </is>
      </c>
      <c r="N83" s="10" t="n">
        <v>122.3</v>
      </c>
      <c r="O83" s="10">
        <f>IFERROR(VLOOKUP(A83,Flete!$A:$J,10,0),"")</f>
        <v/>
      </c>
      <c r="P83" s="8" t="inlineStr">
        <is>
          <t>TN</t>
        </is>
      </c>
      <c r="Q83" s="10">
        <f>IFERROR(IFERROR(VLOOKUP(A83,TRAOPE!$A:$U,21,0),VLOOKUP(B83,TRAOPE!$A:$U,21,0)),"")</f>
        <v/>
      </c>
      <c r="R83" s="8">
        <f>IFERROR(IFERROR(VLOOKUP(A83,TRAOPE!$A:$W,23,0),VLOOKUP(B83,TRAOPE!$A:$W,23,0)),"")</f>
        <v/>
      </c>
      <c r="S83" s="10">
        <f>IF(AND(P83="TN",R83="TN"),N83+N(O83),IF(G83&amp;""="1",N(K83)*N83,(N83+N(O83))*N(K83)))</f>
        <v/>
      </c>
      <c r="T83" s="10">
        <f>IF(Q83="","",Q83-S83)</f>
        <v/>
      </c>
    </row>
    <row r="84">
      <c r="A84" s="7">
        <f>CONCATENATE(C84,E84,F84,I84)</f>
        <v/>
      </c>
      <c r="B84" s="7">
        <f>CONCATENATE(C84,E84,I84)</f>
        <v/>
      </c>
      <c r="C84" s="8" t="n">
        <v>900002741</v>
      </c>
      <c r="D84" s="7">
        <f>IFERROR(VLOOKUP(C84,TRAOPE!$G:$H,2,0),"")</f>
        <v/>
      </c>
      <c r="E84" s="8" t="inlineStr">
        <is>
          <t>DW81</t>
        </is>
      </c>
      <c r="F84" s="8" t="inlineStr">
        <is>
          <t>D198</t>
        </is>
      </c>
      <c r="G84" s="8">
        <f>IFERROR(VLOOKUP(A84,Flete!$A:$E,5,0),"")</f>
        <v/>
      </c>
      <c r="H84" s="7">
        <f>IFERROR(VLOOKUP(F84,TRAOPE!$AA:$AB,2,0),"")</f>
        <v/>
      </c>
      <c r="I84" s="7" t="n">
        <v>10000404</v>
      </c>
      <c r="J84" s="7">
        <f>IFERROR(VLOOKUP(I84,Materiales!$A:$H,8,0),"")</f>
        <v/>
      </c>
      <c r="K84" s="9">
        <f>IFERROR(VLOOKUP(I84,Materiales!$A:$G,7,0),"")</f>
        <v/>
      </c>
      <c r="L84" s="8" t="inlineStr">
        <is>
          <t>20230216</t>
        </is>
      </c>
      <c r="M84" s="8" t="inlineStr">
        <is>
          <t>99991231</t>
        </is>
      </c>
      <c r="N84" s="10" t="n">
        <v>121.21</v>
      </c>
      <c r="O84" s="10">
        <f>IFERROR(VLOOKUP(A84,Flete!$A:$J,10,0),"")</f>
        <v/>
      </c>
      <c r="P84" s="8" t="inlineStr">
        <is>
          <t>TN</t>
        </is>
      </c>
      <c r="Q84" s="10">
        <f>IFERROR(IFERROR(VLOOKUP(A84,TRAOPE!$A:$U,21,0),VLOOKUP(B84,TRAOPE!$A:$U,21,0)),"")</f>
        <v/>
      </c>
      <c r="R84" s="8">
        <f>IFERROR(IFERROR(VLOOKUP(A84,TRAOPE!$A:$W,23,0),VLOOKUP(B84,TRAOPE!$A:$W,23,0)),"")</f>
        <v/>
      </c>
      <c r="S84" s="10">
        <f>IF(AND(P84="TN",R84="TN"),N84+N(O84),IF(G84&amp;""="1",N(K84)*N84,(N84+N(O84))*N(K84)))</f>
        <v/>
      </c>
      <c r="T84" s="10">
        <f>IF(Q84="","",Q84-S84)</f>
        <v/>
      </c>
    </row>
    <row r="85">
      <c r="A85" s="7">
        <f>CONCATENATE(C85,E85,F85,I85)</f>
        <v/>
      </c>
      <c r="B85" s="7">
        <f>CONCATENATE(C85,E85,I85)</f>
        <v/>
      </c>
      <c r="C85" s="8" t="n">
        <v>900002741</v>
      </c>
      <c r="D85" s="7">
        <f>IFERROR(VLOOKUP(C85,TRAOPE!$G:$H,2,0),"")</f>
        <v/>
      </c>
      <c r="E85" s="8" t="inlineStr">
        <is>
          <t>DW81</t>
        </is>
      </c>
      <c r="F85" s="8" t="inlineStr">
        <is>
          <t>D198</t>
        </is>
      </c>
      <c r="G85" s="8">
        <f>IFERROR(VLOOKUP(A85,Flete!$A:$E,5,0),"")</f>
        <v/>
      </c>
      <c r="H85" s="7">
        <f>IFERROR(VLOOKUP(F85,TRAOPE!$AA:$AB,2,0),"")</f>
        <v/>
      </c>
      <c r="I85" s="7" t="n">
        <v>10000407</v>
      </c>
      <c r="J85" s="7">
        <f>IFERROR(VLOOKUP(I85,Materiales!$A:$H,8,0),"")</f>
        <v/>
      </c>
      <c r="K85" s="9">
        <f>IFERROR(VLOOKUP(I85,Materiales!$A:$G,7,0),"")</f>
        <v/>
      </c>
      <c r="L85" s="8" t="inlineStr">
        <is>
          <t>20230216</t>
        </is>
      </c>
      <c r="M85" s="8" t="inlineStr">
        <is>
          <t>99991231</t>
        </is>
      </c>
      <c r="N85" s="10" t="n">
        <v>121.21</v>
      </c>
      <c r="O85" s="10">
        <f>IFERROR(VLOOKUP(A85,Flete!$A:$J,10,0),"")</f>
        <v/>
      </c>
      <c r="P85" s="8" t="inlineStr">
        <is>
          <t>TN</t>
        </is>
      </c>
      <c r="Q85" s="10">
        <f>IFERROR(IFERROR(VLOOKUP(A85,TRAOPE!$A:$U,21,0),VLOOKUP(B85,TRAOPE!$A:$U,21,0)),"")</f>
        <v/>
      </c>
      <c r="R85" s="8">
        <f>IFERROR(IFERROR(VLOOKUP(A85,TRAOPE!$A:$W,23,0),VLOOKUP(B85,TRAOPE!$A:$W,23,0)),"")</f>
        <v/>
      </c>
      <c r="S85" s="10">
        <f>IF(AND(P85="TN",R85="TN"),N85+N(O85),IF(G85&amp;""="1",N(K85)*N85,(N85+N(O85))*N(K85)))</f>
        <v/>
      </c>
      <c r="T85" s="10">
        <f>IF(Q85="","",Q85-S85)</f>
        <v/>
      </c>
    </row>
    <row r="86">
      <c r="A86" s="7">
        <f>CONCATENATE(C86,E86,F86,I86)</f>
        <v/>
      </c>
      <c r="B86" s="7">
        <f>CONCATENATE(C86,E86,I86)</f>
        <v/>
      </c>
      <c r="C86" s="8" t="n">
        <v>900002741</v>
      </c>
      <c r="D86" s="7">
        <f>IFERROR(VLOOKUP(C86,TRAOPE!$G:$H,2,0),"")</f>
        <v/>
      </c>
      <c r="E86" s="8" t="inlineStr">
        <is>
          <t>DW81</t>
        </is>
      </c>
      <c r="F86" s="8" t="inlineStr">
        <is>
          <t>D198</t>
        </is>
      </c>
      <c r="G86" s="8">
        <f>IFERROR(VLOOKUP(A86,Flete!$A:$E,5,0),"")</f>
        <v/>
      </c>
      <c r="H86" s="7">
        <f>IFERROR(VLOOKUP(F86,TRAOPE!$AA:$AB,2,0),"")</f>
        <v/>
      </c>
      <c r="I86" s="7" t="n">
        <v>10000859</v>
      </c>
      <c r="J86" s="7">
        <f>IFERROR(VLOOKUP(I86,Materiales!$A:$H,8,0),"")</f>
        <v/>
      </c>
      <c r="K86" s="9">
        <f>IFERROR(VLOOKUP(I86,Materiales!$A:$G,7,0),"")</f>
        <v/>
      </c>
      <c r="L86" s="8" t="inlineStr">
        <is>
          <t>20230216</t>
        </is>
      </c>
      <c r="M86" s="8" t="inlineStr">
        <is>
          <t>99991231</t>
        </is>
      </c>
      <c r="N86" s="10" t="n">
        <v>122.3</v>
      </c>
      <c r="O86" s="10">
        <f>IFERROR(VLOOKUP(A86,Flete!$A:$J,10,0),"")</f>
        <v/>
      </c>
      <c r="P86" s="8" t="inlineStr">
        <is>
          <t>TN</t>
        </is>
      </c>
      <c r="Q86" s="10">
        <f>IFERROR(IFERROR(VLOOKUP(A86,TRAOPE!$A:$U,21,0),VLOOKUP(B86,TRAOPE!$A:$U,21,0)),"")</f>
        <v/>
      </c>
      <c r="R86" s="8">
        <f>IFERROR(IFERROR(VLOOKUP(A86,TRAOPE!$A:$W,23,0),VLOOKUP(B86,TRAOPE!$A:$W,23,0)),"")</f>
        <v/>
      </c>
      <c r="S86" s="10">
        <f>IF(AND(P86="TN",R86="TN"),N86+N(O86),IF(G86&amp;""="1",N(K86)*N86,(N86+N(O86))*N(K86)))</f>
        <v/>
      </c>
      <c r="T86" s="10">
        <f>IF(Q86="","",Q86-S86)</f>
        <v/>
      </c>
    </row>
    <row r="87">
      <c r="A87" s="7">
        <f>CONCATENATE(C87,E87,F87,I87)</f>
        <v/>
      </c>
      <c r="B87" s="7">
        <f>CONCATENATE(C87,E87,I87)</f>
        <v/>
      </c>
      <c r="C87" s="8" t="n">
        <v>900002741</v>
      </c>
      <c r="D87" s="7">
        <f>IFERROR(VLOOKUP(C87,TRAOPE!$G:$H,2,0),"")</f>
        <v/>
      </c>
      <c r="E87" s="8" t="inlineStr">
        <is>
          <t>DW81</t>
        </is>
      </c>
      <c r="F87" s="8" t="inlineStr">
        <is>
          <t>D202</t>
        </is>
      </c>
      <c r="G87" s="8">
        <f>IFERROR(VLOOKUP(A87,Flete!$A:$E,5,0),"")</f>
        <v/>
      </c>
      <c r="H87" s="7">
        <f>IFERROR(VLOOKUP(F87,TRAOPE!$AA:$AB,2,0),"")</f>
        <v/>
      </c>
      <c r="I87" s="7" t="n">
        <v>10000141</v>
      </c>
      <c r="J87" s="7">
        <f>IFERROR(VLOOKUP(I87,Materiales!$A:$H,8,0),"")</f>
        <v/>
      </c>
      <c r="K87" s="9">
        <f>IFERROR(VLOOKUP(I87,Materiales!$A:$G,7,0),"")</f>
        <v/>
      </c>
      <c r="L87" s="8" t="inlineStr">
        <is>
          <t>20210620</t>
        </is>
      </c>
      <c r="M87" s="8" t="inlineStr">
        <is>
          <t>99991231</t>
        </is>
      </c>
      <c r="N87" s="10" t="n">
        <v>96.55</v>
      </c>
      <c r="O87" s="10">
        <f>IFERROR(VLOOKUP(A87,Flete!$A:$J,10,0),"")</f>
        <v/>
      </c>
      <c r="P87" s="8" t="inlineStr">
        <is>
          <t>TN</t>
        </is>
      </c>
      <c r="Q87" s="10">
        <f>IFERROR(IFERROR(VLOOKUP(A87,TRAOPE!$A:$U,21,0),VLOOKUP(B87,TRAOPE!$A:$U,21,0)),"")</f>
        <v/>
      </c>
      <c r="R87" s="8">
        <f>IFERROR(IFERROR(VLOOKUP(A87,TRAOPE!$A:$W,23,0),VLOOKUP(B87,TRAOPE!$A:$W,23,0)),"")</f>
        <v/>
      </c>
      <c r="S87" s="10">
        <f>IF(AND(P87="TN",R87="TN"),N87+N(O87),IF(G87&amp;""="1",N(K87)*N87,(N87+N(O87))*N(K87)))</f>
        <v/>
      </c>
      <c r="T87" s="10">
        <f>IF(Q87="","",Q87-S87)</f>
        <v/>
      </c>
    </row>
    <row r="88">
      <c r="A88" s="7">
        <f>CONCATENATE(C88,E88,F88,I88)</f>
        <v/>
      </c>
      <c r="B88" s="7">
        <f>CONCATENATE(C88,E88,I88)</f>
        <v/>
      </c>
      <c r="C88" s="8" t="n">
        <v>900002741</v>
      </c>
      <c r="D88" s="7">
        <f>IFERROR(VLOOKUP(C88,TRAOPE!$G:$H,2,0),"")</f>
        <v/>
      </c>
      <c r="E88" s="8" t="inlineStr">
        <is>
          <t>DW81</t>
        </is>
      </c>
      <c r="F88" s="8" t="inlineStr">
        <is>
          <t>D202</t>
        </is>
      </c>
      <c r="G88" s="8">
        <f>IFERROR(VLOOKUP(A88,Flete!$A:$E,5,0),"")</f>
        <v/>
      </c>
      <c r="H88" s="7">
        <f>IFERROR(VLOOKUP(F88,TRAOPE!$AA:$AB,2,0),"")</f>
        <v/>
      </c>
      <c r="I88" s="7" t="n">
        <v>10000402</v>
      </c>
      <c r="J88" s="7">
        <f>IFERROR(VLOOKUP(I88,Materiales!$A:$H,8,0),"")</f>
        <v/>
      </c>
      <c r="K88" s="9">
        <f>IFERROR(VLOOKUP(I88,Materiales!$A:$G,7,0),"")</f>
        <v/>
      </c>
      <c r="L88" s="8" t="inlineStr">
        <is>
          <t>20210620</t>
        </is>
      </c>
      <c r="M88" s="8" t="inlineStr">
        <is>
          <t>99991231</t>
        </is>
      </c>
      <c r="N88" s="10" t="n">
        <v>97.59999999999999</v>
      </c>
      <c r="O88" s="10">
        <f>IFERROR(VLOOKUP(A88,Flete!$A:$J,10,0),"")</f>
        <v/>
      </c>
      <c r="P88" s="8" t="inlineStr">
        <is>
          <t>TN</t>
        </is>
      </c>
      <c r="Q88" s="10">
        <f>IFERROR(IFERROR(VLOOKUP(A88,TRAOPE!$A:$U,21,0),VLOOKUP(B88,TRAOPE!$A:$U,21,0)),"")</f>
        <v/>
      </c>
      <c r="R88" s="8">
        <f>IFERROR(IFERROR(VLOOKUP(A88,TRAOPE!$A:$W,23,0),VLOOKUP(B88,TRAOPE!$A:$W,23,0)),"")</f>
        <v/>
      </c>
      <c r="S88" s="10">
        <f>IF(AND(P88="TN",R88="TN"),N88+N(O88),IF(G88&amp;""="1",N(K88)*N88,(N88+N(O88))*N(K88)))</f>
        <v/>
      </c>
      <c r="T88" s="10">
        <f>IF(Q88="","",Q88-S88)</f>
        <v/>
      </c>
    </row>
    <row r="89">
      <c r="A89" s="7">
        <f>CONCATENATE(C89,E89,F89,I89)</f>
        <v/>
      </c>
      <c r="B89" s="7">
        <f>CONCATENATE(C89,E89,I89)</f>
        <v/>
      </c>
      <c r="C89" s="8" t="n">
        <v>900002741</v>
      </c>
      <c r="D89" s="7">
        <f>IFERROR(VLOOKUP(C89,TRAOPE!$G:$H,2,0),"")</f>
        <v/>
      </c>
      <c r="E89" s="8" t="inlineStr">
        <is>
          <t>DW81</t>
        </is>
      </c>
      <c r="F89" s="8" t="inlineStr">
        <is>
          <t>D202</t>
        </is>
      </c>
      <c r="G89" s="8">
        <f>IFERROR(VLOOKUP(A89,Flete!$A:$E,5,0),"")</f>
        <v/>
      </c>
      <c r="H89" s="7">
        <f>IFERROR(VLOOKUP(F89,TRAOPE!$AA:$AB,2,0),"")</f>
        <v/>
      </c>
      <c r="I89" s="7" t="n">
        <v>10000404</v>
      </c>
      <c r="J89" s="7">
        <f>IFERROR(VLOOKUP(I89,Materiales!$A:$H,8,0),"")</f>
        <v/>
      </c>
      <c r="K89" s="9">
        <f>IFERROR(VLOOKUP(I89,Materiales!$A:$G,7,0),"")</f>
        <v/>
      </c>
      <c r="L89" s="8" t="inlineStr">
        <is>
          <t>20210620</t>
        </is>
      </c>
      <c r="M89" s="8" t="inlineStr">
        <is>
          <t>99991231</t>
        </is>
      </c>
      <c r="N89" s="10" t="n">
        <v>96.55</v>
      </c>
      <c r="O89" s="10">
        <f>IFERROR(VLOOKUP(A89,Flete!$A:$J,10,0),"")</f>
        <v/>
      </c>
      <c r="P89" s="8" t="inlineStr">
        <is>
          <t>TN</t>
        </is>
      </c>
      <c r="Q89" s="10">
        <f>IFERROR(IFERROR(VLOOKUP(A89,TRAOPE!$A:$U,21,0),VLOOKUP(B89,TRAOPE!$A:$U,21,0)),"")</f>
        <v/>
      </c>
      <c r="R89" s="8">
        <f>IFERROR(IFERROR(VLOOKUP(A89,TRAOPE!$A:$W,23,0),VLOOKUP(B89,TRAOPE!$A:$W,23,0)),"")</f>
        <v/>
      </c>
      <c r="S89" s="10">
        <f>IF(AND(P89="TN",R89="TN"),N89+N(O89),IF(G89&amp;""="1",N(K89)*N89,(N89+N(O89))*N(K89)))</f>
        <v/>
      </c>
      <c r="T89" s="10">
        <f>IF(Q89="","",Q89-S89)</f>
        <v/>
      </c>
    </row>
    <row r="90">
      <c r="A90" s="7">
        <f>CONCATENATE(C90,E90,F90,I90)</f>
        <v/>
      </c>
      <c r="B90" s="7">
        <f>CONCATENATE(C90,E90,I90)</f>
        <v/>
      </c>
      <c r="C90" s="8" t="n">
        <v>900002741</v>
      </c>
      <c r="D90" s="7">
        <f>IFERROR(VLOOKUP(C90,TRAOPE!$G:$H,2,0),"")</f>
        <v/>
      </c>
      <c r="E90" s="8" t="inlineStr">
        <is>
          <t>DW81</t>
        </is>
      </c>
      <c r="F90" s="8" t="inlineStr">
        <is>
          <t>D202</t>
        </is>
      </c>
      <c r="G90" s="8">
        <f>IFERROR(VLOOKUP(A90,Flete!$A:$E,5,0),"")</f>
        <v/>
      </c>
      <c r="H90" s="7">
        <f>IFERROR(VLOOKUP(F90,TRAOPE!$AA:$AB,2,0),"")</f>
        <v/>
      </c>
      <c r="I90" s="7" t="n">
        <v>10000407</v>
      </c>
      <c r="J90" s="7">
        <f>IFERROR(VLOOKUP(I90,Materiales!$A:$H,8,0),"")</f>
        <v/>
      </c>
      <c r="K90" s="9">
        <f>IFERROR(VLOOKUP(I90,Materiales!$A:$G,7,0),"")</f>
        <v/>
      </c>
      <c r="L90" s="8" t="inlineStr">
        <is>
          <t>20210620</t>
        </is>
      </c>
      <c r="M90" s="8" t="inlineStr">
        <is>
          <t>99991231</t>
        </is>
      </c>
      <c r="N90" s="10" t="n">
        <v>96.55</v>
      </c>
      <c r="O90" s="10">
        <f>IFERROR(VLOOKUP(A90,Flete!$A:$J,10,0),"")</f>
        <v/>
      </c>
      <c r="P90" s="8" t="inlineStr">
        <is>
          <t>TN</t>
        </is>
      </c>
      <c r="Q90" s="10">
        <f>IFERROR(IFERROR(VLOOKUP(A90,TRAOPE!$A:$U,21,0),VLOOKUP(B90,TRAOPE!$A:$U,21,0)),"")</f>
        <v/>
      </c>
      <c r="R90" s="8">
        <f>IFERROR(IFERROR(VLOOKUP(A90,TRAOPE!$A:$W,23,0),VLOOKUP(B90,TRAOPE!$A:$W,23,0)),"")</f>
        <v/>
      </c>
      <c r="S90" s="10">
        <f>IF(AND(P90="TN",R90="TN"),N90+N(O90),IF(G90&amp;""="1",N(K90)*N90,(N90+N(O90))*N(K90)))</f>
        <v/>
      </c>
      <c r="T90" s="10">
        <f>IF(Q90="","",Q90-S90)</f>
        <v/>
      </c>
    </row>
    <row r="91">
      <c r="A91" s="7">
        <f>CONCATENATE(C91,E91,F91,I91)</f>
        <v/>
      </c>
      <c r="B91" s="7">
        <f>CONCATENATE(C91,E91,I91)</f>
        <v/>
      </c>
      <c r="C91" s="8" t="n">
        <v>900002741</v>
      </c>
      <c r="D91" s="7">
        <f>IFERROR(VLOOKUP(C91,TRAOPE!$G:$H,2,0),"")</f>
        <v/>
      </c>
      <c r="E91" s="8" t="inlineStr">
        <is>
          <t>DW81</t>
        </is>
      </c>
      <c r="F91" s="8" t="inlineStr">
        <is>
          <t>D202</t>
        </is>
      </c>
      <c r="G91" s="8">
        <f>IFERROR(VLOOKUP(A91,Flete!$A:$E,5,0),"")</f>
        <v/>
      </c>
      <c r="H91" s="7">
        <f>IFERROR(VLOOKUP(F91,TRAOPE!$AA:$AB,2,0),"")</f>
        <v/>
      </c>
      <c r="I91" s="7" t="n">
        <v>10000859</v>
      </c>
      <c r="J91" s="7">
        <f>IFERROR(VLOOKUP(I91,Materiales!$A:$H,8,0),"")</f>
        <v/>
      </c>
      <c r="K91" s="9">
        <f>IFERROR(VLOOKUP(I91,Materiales!$A:$G,7,0),"")</f>
        <v/>
      </c>
      <c r="L91" s="8" t="inlineStr">
        <is>
          <t>20210620</t>
        </is>
      </c>
      <c r="M91" s="8" t="inlineStr">
        <is>
          <t>99991231</t>
        </is>
      </c>
      <c r="N91" s="10" t="n">
        <v>97.59999999999999</v>
      </c>
      <c r="O91" s="10">
        <f>IFERROR(VLOOKUP(A91,Flete!$A:$J,10,0),"")</f>
        <v/>
      </c>
      <c r="P91" s="8" t="inlineStr">
        <is>
          <t>TN</t>
        </is>
      </c>
      <c r="Q91" s="10">
        <f>IFERROR(IFERROR(VLOOKUP(A91,TRAOPE!$A:$U,21,0),VLOOKUP(B91,TRAOPE!$A:$U,21,0)),"")</f>
        <v/>
      </c>
      <c r="R91" s="8">
        <f>IFERROR(IFERROR(VLOOKUP(A91,TRAOPE!$A:$W,23,0),VLOOKUP(B91,TRAOPE!$A:$W,23,0)),"")</f>
        <v/>
      </c>
      <c r="S91" s="10">
        <f>IF(AND(P91="TN",R91="TN"),N91+N(O91),IF(G91&amp;""="1",N(K91)*N91,(N91+N(O91))*N(K91)))</f>
        <v/>
      </c>
      <c r="T91" s="10">
        <f>IF(Q91="","",Q91-S91)</f>
        <v/>
      </c>
    </row>
    <row r="92">
      <c r="A92" s="7">
        <f>CONCATENATE(C92,E92,F92,I92)</f>
        <v/>
      </c>
      <c r="B92" s="7">
        <f>CONCATENATE(C92,E92,I92)</f>
        <v/>
      </c>
      <c r="C92" s="8" t="n">
        <v>900002741</v>
      </c>
      <c r="D92" s="7">
        <f>IFERROR(VLOOKUP(C92,TRAOPE!$G:$H,2,0),"")</f>
        <v/>
      </c>
      <c r="E92" s="8" t="inlineStr">
        <is>
          <t>DW81</t>
        </is>
      </c>
      <c r="F92" s="8" t="inlineStr">
        <is>
          <t>D204</t>
        </is>
      </c>
      <c r="G92" s="8">
        <f>IFERROR(VLOOKUP(A92,Flete!$A:$E,5,0),"")</f>
        <v/>
      </c>
      <c r="H92" s="7">
        <f>IFERROR(VLOOKUP(F92,TRAOPE!$AA:$AB,2,0),"")</f>
        <v/>
      </c>
      <c r="I92" s="7" t="n">
        <v>10000141</v>
      </c>
      <c r="J92" s="7">
        <f>IFERROR(VLOOKUP(I92,Materiales!$A:$H,8,0),"")</f>
        <v/>
      </c>
      <c r="K92" s="9">
        <f>IFERROR(VLOOKUP(I92,Materiales!$A:$G,7,0),"")</f>
        <v/>
      </c>
      <c r="L92" s="8" t="inlineStr">
        <is>
          <t>20220516</t>
        </is>
      </c>
      <c r="M92" s="8" t="inlineStr">
        <is>
          <t>99991231</t>
        </is>
      </c>
      <c r="N92" s="10" t="n">
        <v>83.7</v>
      </c>
      <c r="O92" s="10">
        <f>IFERROR(VLOOKUP(A92,Flete!$A:$J,10,0),"")</f>
        <v/>
      </c>
      <c r="P92" s="8" t="inlineStr">
        <is>
          <t>TN</t>
        </is>
      </c>
      <c r="Q92" s="10">
        <f>IFERROR(IFERROR(VLOOKUP(A92,TRAOPE!$A:$U,21,0),VLOOKUP(B92,TRAOPE!$A:$U,21,0)),"")</f>
        <v/>
      </c>
      <c r="R92" s="8">
        <f>IFERROR(IFERROR(VLOOKUP(A92,TRAOPE!$A:$W,23,0),VLOOKUP(B92,TRAOPE!$A:$W,23,0)),"")</f>
        <v/>
      </c>
      <c r="S92" s="10">
        <f>IF(AND(P92="TN",R92="TN"),N92+N(O92),IF(G92&amp;""="1",N(K92)*N92,(N92+N(O92))*N(K92)))</f>
        <v/>
      </c>
      <c r="T92" s="10">
        <f>IF(Q92="","",Q92-S92)</f>
        <v/>
      </c>
    </row>
    <row r="93">
      <c r="A93" s="7">
        <f>CONCATENATE(C93,E93,F93,I93)</f>
        <v/>
      </c>
      <c r="B93" s="7">
        <f>CONCATENATE(C93,E93,I93)</f>
        <v/>
      </c>
      <c r="C93" s="8" t="n">
        <v>900002741</v>
      </c>
      <c r="D93" s="7">
        <f>IFERROR(VLOOKUP(C93,TRAOPE!$G:$H,2,0),"")</f>
        <v/>
      </c>
      <c r="E93" s="8" t="inlineStr">
        <is>
          <t>DW81</t>
        </is>
      </c>
      <c r="F93" s="8" t="inlineStr">
        <is>
          <t>D204</t>
        </is>
      </c>
      <c r="G93" s="8">
        <f>IFERROR(VLOOKUP(A93,Flete!$A:$E,5,0),"")</f>
        <v/>
      </c>
      <c r="H93" s="7">
        <f>IFERROR(VLOOKUP(F93,TRAOPE!$AA:$AB,2,0),"")</f>
        <v/>
      </c>
      <c r="I93" s="7" t="n">
        <v>10000402</v>
      </c>
      <c r="J93" s="7">
        <f>IFERROR(VLOOKUP(I93,Materiales!$A:$H,8,0),"")</f>
        <v/>
      </c>
      <c r="K93" s="9">
        <f>IFERROR(VLOOKUP(I93,Materiales!$A:$G,7,0),"")</f>
        <v/>
      </c>
      <c r="L93" s="8" t="inlineStr">
        <is>
          <t>20220516</t>
        </is>
      </c>
      <c r="M93" s="8" t="inlineStr">
        <is>
          <t>99991231</t>
        </is>
      </c>
      <c r="N93" s="10" t="n">
        <v>84.29000000000001</v>
      </c>
      <c r="O93" s="10">
        <f>IFERROR(VLOOKUP(A93,Flete!$A:$J,10,0),"")</f>
        <v/>
      </c>
      <c r="P93" s="8" t="inlineStr">
        <is>
          <t>TN</t>
        </is>
      </c>
      <c r="Q93" s="10">
        <f>IFERROR(IFERROR(VLOOKUP(A93,TRAOPE!$A:$U,21,0),VLOOKUP(B93,TRAOPE!$A:$U,21,0)),"")</f>
        <v/>
      </c>
      <c r="R93" s="8">
        <f>IFERROR(IFERROR(VLOOKUP(A93,TRAOPE!$A:$W,23,0),VLOOKUP(B93,TRAOPE!$A:$W,23,0)),"")</f>
        <v/>
      </c>
      <c r="S93" s="10">
        <f>IF(AND(P93="TN",R93="TN"),N93+N(O93),IF(G93&amp;""="1",N(K93)*N93,(N93+N(O93))*N(K93)))</f>
        <v/>
      </c>
      <c r="T93" s="10">
        <f>IF(Q93="","",Q93-S93)</f>
        <v/>
      </c>
    </row>
    <row r="94">
      <c r="A94" s="7">
        <f>CONCATENATE(C94,E94,F94,I94)</f>
        <v/>
      </c>
      <c r="B94" s="7">
        <f>CONCATENATE(C94,E94,I94)</f>
        <v/>
      </c>
      <c r="C94" s="8" t="n">
        <v>900002741</v>
      </c>
      <c r="D94" s="7">
        <f>IFERROR(VLOOKUP(C94,TRAOPE!$G:$H,2,0),"")</f>
        <v/>
      </c>
      <c r="E94" s="8" t="inlineStr">
        <is>
          <t>DW81</t>
        </is>
      </c>
      <c r="F94" s="8" t="inlineStr">
        <is>
          <t>D204</t>
        </is>
      </c>
      <c r="G94" s="8">
        <f>IFERROR(VLOOKUP(A94,Flete!$A:$E,5,0),"")</f>
        <v/>
      </c>
      <c r="H94" s="7">
        <f>IFERROR(VLOOKUP(F94,TRAOPE!$AA:$AB,2,0),"")</f>
        <v/>
      </c>
      <c r="I94" s="7" t="n">
        <v>10000404</v>
      </c>
      <c r="J94" s="7">
        <f>IFERROR(VLOOKUP(I94,Materiales!$A:$H,8,0),"")</f>
        <v/>
      </c>
      <c r="K94" s="9">
        <f>IFERROR(VLOOKUP(I94,Materiales!$A:$G,7,0),"")</f>
        <v/>
      </c>
      <c r="L94" s="8" t="inlineStr">
        <is>
          <t>20220516</t>
        </is>
      </c>
      <c r="M94" s="8" t="inlineStr">
        <is>
          <t>99991231</t>
        </is>
      </c>
      <c r="N94" s="10" t="n">
        <v>83.7</v>
      </c>
      <c r="O94" s="10">
        <f>IFERROR(VLOOKUP(A94,Flete!$A:$J,10,0),"")</f>
        <v/>
      </c>
      <c r="P94" s="8" t="inlineStr">
        <is>
          <t>TN</t>
        </is>
      </c>
      <c r="Q94" s="10">
        <f>IFERROR(IFERROR(VLOOKUP(A94,TRAOPE!$A:$U,21,0),VLOOKUP(B94,TRAOPE!$A:$U,21,0)),"")</f>
        <v/>
      </c>
      <c r="R94" s="8">
        <f>IFERROR(IFERROR(VLOOKUP(A94,TRAOPE!$A:$W,23,0),VLOOKUP(B94,TRAOPE!$A:$W,23,0)),"")</f>
        <v/>
      </c>
      <c r="S94" s="10">
        <f>IF(AND(P94="TN",R94="TN"),N94+N(O94),IF(G94&amp;""="1",N(K94)*N94,(N94+N(O94))*N(K94)))</f>
        <v/>
      </c>
      <c r="T94" s="10">
        <f>IF(Q94="","",Q94-S94)</f>
        <v/>
      </c>
    </row>
    <row r="95">
      <c r="A95" s="7">
        <f>CONCATENATE(C95,E95,F95,I95)</f>
        <v/>
      </c>
      <c r="B95" s="7">
        <f>CONCATENATE(C95,E95,I95)</f>
        <v/>
      </c>
      <c r="C95" s="8" t="n">
        <v>900002741</v>
      </c>
      <c r="D95" s="7">
        <f>IFERROR(VLOOKUP(C95,TRAOPE!$G:$H,2,0),"")</f>
        <v/>
      </c>
      <c r="E95" s="8" t="inlineStr">
        <is>
          <t>DW81</t>
        </is>
      </c>
      <c r="F95" s="8" t="inlineStr">
        <is>
          <t>D204</t>
        </is>
      </c>
      <c r="G95" s="8">
        <f>IFERROR(VLOOKUP(A95,Flete!$A:$E,5,0),"")</f>
        <v/>
      </c>
      <c r="H95" s="7">
        <f>IFERROR(VLOOKUP(F95,TRAOPE!$AA:$AB,2,0),"")</f>
        <v/>
      </c>
      <c r="I95" s="7" t="n">
        <v>10000407</v>
      </c>
      <c r="J95" s="7">
        <f>IFERROR(VLOOKUP(I95,Materiales!$A:$H,8,0),"")</f>
        <v/>
      </c>
      <c r="K95" s="9">
        <f>IFERROR(VLOOKUP(I95,Materiales!$A:$G,7,0),"")</f>
        <v/>
      </c>
      <c r="L95" s="8" t="inlineStr">
        <is>
          <t>20220516</t>
        </is>
      </c>
      <c r="M95" s="8" t="inlineStr">
        <is>
          <t>99991231</t>
        </is>
      </c>
      <c r="N95" s="10" t="n">
        <v>83.7</v>
      </c>
      <c r="O95" s="10">
        <f>IFERROR(VLOOKUP(A95,Flete!$A:$J,10,0),"")</f>
        <v/>
      </c>
      <c r="P95" s="8" t="inlineStr">
        <is>
          <t>TN</t>
        </is>
      </c>
      <c r="Q95" s="10">
        <f>IFERROR(IFERROR(VLOOKUP(A95,TRAOPE!$A:$U,21,0),VLOOKUP(B95,TRAOPE!$A:$U,21,0)),"")</f>
        <v/>
      </c>
      <c r="R95" s="8">
        <f>IFERROR(IFERROR(VLOOKUP(A95,TRAOPE!$A:$W,23,0),VLOOKUP(B95,TRAOPE!$A:$W,23,0)),"")</f>
        <v/>
      </c>
      <c r="S95" s="10">
        <f>IF(AND(P95="TN",R95="TN"),N95+N(O95),IF(G95&amp;""="1",N(K95)*N95,(N95+N(O95))*N(K95)))</f>
        <v/>
      </c>
      <c r="T95" s="10">
        <f>IF(Q95="","",Q95-S95)</f>
        <v/>
      </c>
    </row>
    <row r="96">
      <c r="A96" s="7">
        <f>CONCATENATE(C96,E96,F96,I96)</f>
        <v/>
      </c>
      <c r="B96" s="7">
        <f>CONCATENATE(C96,E96,I96)</f>
        <v/>
      </c>
      <c r="C96" s="8" t="n">
        <v>900002741</v>
      </c>
      <c r="D96" s="7">
        <f>IFERROR(VLOOKUP(C96,TRAOPE!$G:$H,2,0),"")</f>
        <v/>
      </c>
      <c r="E96" s="8" t="inlineStr">
        <is>
          <t>DW81</t>
        </is>
      </c>
      <c r="F96" s="8" t="inlineStr">
        <is>
          <t>D204</t>
        </is>
      </c>
      <c r="G96" s="8">
        <f>IFERROR(VLOOKUP(A96,Flete!$A:$E,5,0),"")</f>
        <v/>
      </c>
      <c r="H96" s="7">
        <f>IFERROR(VLOOKUP(F96,TRAOPE!$AA:$AB,2,0),"")</f>
        <v/>
      </c>
      <c r="I96" s="7" t="n">
        <v>10000859</v>
      </c>
      <c r="J96" s="7">
        <f>IFERROR(VLOOKUP(I96,Materiales!$A:$H,8,0),"")</f>
        <v/>
      </c>
      <c r="K96" s="9">
        <f>IFERROR(VLOOKUP(I96,Materiales!$A:$G,7,0),"")</f>
        <v/>
      </c>
      <c r="L96" s="8" t="inlineStr">
        <is>
          <t>20220516</t>
        </is>
      </c>
      <c r="M96" s="8" t="inlineStr">
        <is>
          <t>99991231</t>
        </is>
      </c>
      <c r="N96" s="10" t="n">
        <v>84.29000000000001</v>
      </c>
      <c r="O96" s="10">
        <f>IFERROR(VLOOKUP(A96,Flete!$A:$J,10,0),"")</f>
        <v/>
      </c>
      <c r="P96" s="8" t="inlineStr">
        <is>
          <t>TN</t>
        </is>
      </c>
      <c r="Q96" s="10">
        <f>IFERROR(IFERROR(VLOOKUP(A96,TRAOPE!$A:$U,21,0),VLOOKUP(B96,TRAOPE!$A:$U,21,0)),"")</f>
        <v/>
      </c>
      <c r="R96" s="8">
        <f>IFERROR(IFERROR(VLOOKUP(A96,TRAOPE!$A:$W,23,0),VLOOKUP(B96,TRAOPE!$A:$W,23,0)),"")</f>
        <v/>
      </c>
      <c r="S96" s="10">
        <f>IF(AND(P96="TN",R96="TN"),N96+N(O96),IF(G96&amp;""="1",N(K96)*N96,(N96+N(O96))*N(K96)))</f>
        <v/>
      </c>
      <c r="T96" s="10">
        <f>IF(Q96="","",Q96-S96)</f>
        <v/>
      </c>
    </row>
    <row r="97">
      <c r="A97" s="7">
        <f>CONCATENATE(C97,E97,F97,I97)</f>
        <v/>
      </c>
      <c r="B97" s="7">
        <f>CONCATENATE(C97,E97,I97)</f>
        <v/>
      </c>
      <c r="C97" s="8" t="n">
        <v>900002741</v>
      </c>
      <c r="D97" s="7">
        <f>IFERROR(VLOOKUP(C97,TRAOPE!$G:$H,2,0),"")</f>
        <v/>
      </c>
      <c r="E97" s="8" t="inlineStr">
        <is>
          <t>DW81</t>
        </is>
      </c>
      <c r="F97" s="8" t="inlineStr">
        <is>
          <t>D204</t>
        </is>
      </c>
      <c r="G97" s="8">
        <f>IFERROR(VLOOKUP(A97,Flete!$A:$E,5,0),"")</f>
        <v/>
      </c>
      <c r="H97" s="7">
        <f>IFERROR(VLOOKUP(F97,TRAOPE!$AA:$AB,2,0),"")</f>
        <v/>
      </c>
      <c r="I97" s="7" t="n">
        <v>10087726</v>
      </c>
      <c r="J97" s="7">
        <f>IFERROR(VLOOKUP(I97,Materiales!$A:$H,8,0),"")</f>
        <v/>
      </c>
      <c r="K97" s="9">
        <f>IFERROR(VLOOKUP(I97,Materiales!$A:$G,7,0),"")</f>
        <v/>
      </c>
      <c r="L97" s="8" t="inlineStr">
        <is>
          <t>20220516</t>
        </is>
      </c>
      <c r="M97" s="8" t="inlineStr">
        <is>
          <t>99991231</t>
        </is>
      </c>
      <c r="N97" s="10" t="n">
        <v>83.7</v>
      </c>
      <c r="O97" s="10">
        <f>IFERROR(VLOOKUP(A97,Flete!$A:$J,10,0),"")</f>
        <v/>
      </c>
      <c r="P97" s="8" t="inlineStr">
        <is>
          <t>TN</t>
        </is>
      </c>
      <c r="Q97" s="10">
        <f>IFERROR(IFERROR(VLOOKUP(A97,TRAOPE!$A:$U,21,0),VLOOKUP(B97,TRAOPE!$A:$U,21,0)),"")</f>
        <v/>
      </c>
      <c r="R97" s="8">
        <f>IFERROR(IFERROR(VLOOKUP(A97,TRAOPE!$A:$W,23,0),VLOOKUP(B97,TRAOPE!$A:$W,23,0)),"")</f>
        <v/>
      </c>
      <c r="S97" s="10">
        <f>IF(AND(P97="TN",R97="TN"),N97+N(O97),IF(G97&amp;""="1",N(K97)*N97,(N97+N(O97))*N(K97)))</f>
        <v/>
      </c>
      <c r="T97" s="10">
        <f>IF(Q97="","",Q97-S97)</f>
        <v/>
      </c>
    </row>
    <row r="98">
      <c r="A98" s="7">
        <f>CONCATENATE(C98,E98,F98,I98)</f>
        <v/>
      </c>
      <c r="B98" s="7">
        <f>CONCATENATE(C98,E98,I98)</f>
        <v/>
      </c>
      <c r="C98" s="8" t="n">
        <v>900002741</v>
      </c>
      <c r="D98" s="7">
        <f>IFERROR(VLOOKUP(C98,TRAOPE!$G:$H,2,0),"")</f>
        <v/>
      </c>
      <c r="E98" s="8" t="inlineStr">
        <is>
          <t>DW81</t>
        </is>
      </c>
      <c r="F98" s="8" t="inlineStr">
        <is>
          <t>D259</t>
        </is>
      </c>
      <c r="G98" s="8">
        <f>IFERROR(VLOOKUP(A98,Flete!$A:$E,5,0),"")</f>
        <v/>
      </c>
      <c r="H98" s="7">
        <f>IFERROR(VLOOKUP(F98,TRAOPE!$AA:$AB,2,0),"")</f>
        <v/>
      </c>
      <c r="I98" s="7" t="n">
        <v>10000402</v>
      </c>
      <c r="J98" s="7">
        <f>IFERROR(VLOOKUP(I98,Materiales!$A:$H,8,0),"")</f>
        <v/>
      </c>
      <c r="K98" s="9">
        <f>IFERROR(VLOOKUP(I98,Materiales!$A:$G,7,0),"")</f>
        <v/>
      </c>
      <c r="L98" s="8" t="inlineStr">
        <is>
          <t>20240129</t>
        </is>
      </c>
      <c r="M98" s="8" t="inlineStr">
        <is>
          <t>20240223</t>
        </is>
      </c>
      <c r="N98" s="10" t="n">
        <v>132.08</v>
      </c>
      <c r="O98" s="10">
        <f>IFERROR(VLOOKUP(A98,Flete!$A:$J,10,0),"")</f>
        <v/>
      </c>
      <c r="P98" s="8" t="inlineStr">
        <is>
          <t>TN</t>
        </is>
      </c>
      <c r="Q98" s="10">
        <f>IFERROR(IFERROR(VLOOKUP(A98,TRAOPE!$A:$U,21,0),VLOOKUP(B98,TRAOPE!$A:$U,21,0)),"")</f>
        <v/>
      </c>
      <c r="R98" s="8">
        <f>IFERROR(IFERROR(VLOOKUP(A98,TRAOPE!$A:$W,23,0),VLOOKUP(B98,TRAOPE!$A:$W,23,0)),"")</f>
        <v/>
      </c>
      <c r="S98" s="10">
        <f>IF(AND(P98="TN",R98="TN"),N98+N(O98),IF(G98&amp;""="1",N(K98)*N98,(N98+N(O98))*N(K98)))</f>
        <v/>
      </c>
      <c r="T98" s="10">
        <f>IF(Q98="","",Q98-S98)</f>
        <v/>
      </c>
    </row>
    <row r="99">
      <c r="A99" s="7">
        <f>CONCATENATE(C99,E99,F99,I99)</f>
        <v/>
      </c>
      <c r="B99" s="7">
        <f>CONCATENATE(C99,E99,I99)</f>
        <v/>
      </c>
      <c r="C99" s="8" t="n">
        <v>900002741</v>
      </c>
      <c r="D99" s="7">
        <f>IFERROR(VLOOKUP(C99,TRAOPE!$G:$H,2,0),"")</f>
        <v/>
      </c>
      <c r="E99" s="8" t="inlineStr">
        <is>
          <t>DW81</t>
        </is>
      </c>
      <c r="F99" s="8" t="inlineStr">
        <is>
          <t>D259</t>
        </is>
      </c>
      <c r="G99" s="8">
        <f>IFERROR(VLOOKUP(A99,Flete!$A:$E,5,0),"")</f>
        <v/>
      </c>
      <c r="H99" s="7">
        <f>IFERROR(VLOOKUP(F99,TRAOPE!$AA:$AB,2,0),"")</f>
        <v/>
      </c>
      <c r="I99" s="7" t="n">
        <v>10000404</v>
      </c>
      <c r="J99" s="7">
        <f>IFERROR(VLOOKUP(I99,Materiales!$A:$H,8,0),"")</f>
        <v/>
      </c>
      <c r="K99" s="9">
        <f>IFERROR(VLOOKUP(I99,Materiales!$A:$G,7,0),"")</f>
        <v/>
      </c>
      <c r="L99" s="8" t="inlineStr">
        <is>
          <t>20240129</t>
        </is>
      </c>
      <c r="M99" s="8" t="inlineStr">
        <is>
          <t>20240223</t>
        </is>
      </c>
      <c r="N99" s="10" t="n">
        <v>130.91</v>
      </c>
      <c r="O99" s="10">
        <f>IFERROR(VLOOKUP(A99,Flete!$A:$J,10,0),"")</f>
        <v/>
      </c>
      <c r="P99" s="8" t="inlineStr">
        <is>
          <t>TN</t>
        </is>
      </c>
      <c r="Q99" s="10">
        <f>IFERROR(IFERROR(VLOOKUP(A99,TRAOPE!$A:$U,21,0),VLOOKUP(B99,TRAOPE!$A:$U,21,0)),"")</f>
        <v/>
      </c>
      <c r="R99" s="8">
        <f>IFERROR(IFERROR(VLOOKUP(A99,TRAOPE!$A:$W,23,0),VLOOKUP(B99,TRAOPE!$A:$W,23,0)),"")</f>
        <v/>
      </c>
      <c r="S99" s="10">
        <f>IF(AND(P99="TN",R99="TN"),N99+N(O99),IF(G99&amp;""="1",N(K99)*N99,(N99+N(O99))*N(K99)))</f>
        <v/>
      </c>
      <c r="T99" s="10">
        <f>IF(Q99="","",Q99-S99)</f>
        <v/>
      </c>
    </row>
    <row r="100">
      <c r="A100" s="7">
        <f>CONCATENATE(C100,E100,F100,I100)</f>
        <v/>
      </c>
      <c r="B100" s="7">
        <f>CONCATENATE(C100,E100,I100)</f>
        <v/>
      </c>
      <c r="C100" s="8" t="n">
        <v>900002741</v>
      </c>
      <c r="D100" s="7">
        <f>IFERROR(VLOOKUP(C100,TRAOPE!$G:$H,2,0),"")</f>
        <v/>
      </c>
      <c r="E100" s="8" t="inlineStr">
        <is>
          <t>DW81</t>
        </is>
      </c>
      <c r="F100" s="8" t="inlineStr">
        <is>
          <t>D259</t>
        </is>
      </c>
      <c r="G100" s="8">
        <f>IFERROR(VLOOKUP(A100,Flete!$A:$E,5,0),"")</f>
        <v/>
      </c>
      <c r="H100" s="7">
        <f>IFERROR(VLOOKUP(F100,TRAOPE!$AA:$AB,2,0),"")</f>
        <v/>
      </c>
      <c r="I100" s="7" t="n">
        <v>10000407</v>
      </c>
      <c r="J100" s="7">
        <f>IFERROR(VLOOKUP(I100,Materiales!$A:$H,8,0),"")</f>
        <v/>
      </c>
      <c r="K100" s="9">
        <f>IFERROR(VLOOKUP(I100,Materiales!$A:$G,7,0),"")</f>
        <v/>
      </c>
      <c r="L100" s="8" t="inlineStr">
        <is>
          <t>20240129</t>
        </is>
      </c>
      <c r="M100" s="8" t="inlineStr">
        <is>
          <t>20240223</t>
        </is>
      </c>
      <c r="N100" s="10" t="n">
        <v>130.91</v>
      </c>
      <c r="O100" s="10">
        <f>IFERROR(VLOOKUP(A100,Flete!$A:$J,10,0),"")</f>
        <v/>
      </c>
      <c r="P100" s="8" t="inlineStr">
        <is>
          <t>TN</t>
        </is>
      </c>
      <c r="Q100" s="10">
        <f>IFERROR(IFERROR(VLOOKUP(A100,TRAOPE!$A:$U,21,0),VLOOKUP(B100,TRAOPE!$A:$U,21,0)),"")</f>
        <v/>
      </c>
      <c r="R100" s="8">
        <f>IFERROR(IFERROR(VLOOKUP(A100,TRAOPE!$A:$W,23,0),VLOOKUP(B100,TRAOPE!$A:$W,23,0)),"")</f>
        <v/>
      </c>
      <c r="S100" s="10">
        <f>IF(AND(P100="TN",R100="TN"),N100+N(O100),IF(G100&amp;""="1",N(K100)*N100,(N100+N(O100))*N(K100)))</f>
        <v/>
      </c>
      <c r="T100" s="10">
        <f>IF(Q100="","",Q100-S100)</f>
        <v/>
      </c>
    </row>
    <row r="101">
      <c r="A101" s="7">
        <f>CONCATENATE(C101,E101,F101,I101)</f>
        <v/>
      </c>
      <c r="B101" s="7">
        <f>CONCATENATE(C101,E101,I101)</f>
        <v/>
      </c>
      <c r="C101" s="8" t="n">
        <v>900002741</v>
      </c>
      <c r="D101" s="7">
        <f>IFERROR(VLOOKUP(C101,TRAOPE!$G:$H,2,0),"")</f>
        <v/>
      </c>
      <c r="E101" s="8" t="inlineStr">
        <is>
          <t>DW81</t>
        </is>
      </c>
      <c r="F101" s="8" t="inlineStr">
        <is>
          <t>D259</t>
        </is>
      </c>
      <c r="G101" s="8">
        <f>IFERROR(VLOOKUP(A101,Flete!$A:$E,5,0),"")</f>
        <v/>
      </c>
      <c r="H101" s="7">
        <f>IFERROR(VLOOKUP(F101,TRAOPE!$AA:$AB,2,0),"")</f>
        <v/>
      </c>
      <c r="I101" s="7" t="n">
        <v>10000624</v>
      </c>
      <c r="J101" s="7">
        <f>IFERROR(VLOOKUP(I101,Materiales!$A:$H,8,0),"")</f>
        <v/>
      </c>
      <c r="K101" s="9">
        <f>IFERROR(VLOOKUP(I101,Materiales!$A:$G,7,0),"")</f>
        <v/>
      </c>
      <c r="L101" s="8" t="inlineStr">
        <is>
          <t>20240129</t>
        </is>
      </c>
      <c r="M101" s="8" t="inlineStr">
        <is>
          <t>20240223</t>
        </is>
      </c>
      <c r="N101" s="10" t="n">
        <v>130.91</v>
      </c>
      <c r="O101" s="10">
        <f>IFERROR(VLOOKUP(A101,Flete!$A:$J,10,0),"")</f>
        <v/>
      </c>
      <c r="P101" s="8" t="inlineStr">
        <is>
          <t>TN</t>
        </is>
      </c>
      <c r="Q101" s="10">
        <f>IFERROR(IFERROR(VLOOKUP(A101,TRAOPE!$A:$U,21,0),VLOOKUP(B101,TRAOPE!$A:$U,21,0)),"")</f>
        <v/>
      </c>
      <c r="R101" s="8">
        <f>IFERROR(IFERROR(VLOOKUP(A101,TRAOPE!$A:$W,23,0),VLOOKUP(B101,TRAOPE!$A:$W,23,0)),"")</f>
        <v/>
      </c>
      <c r="S101" s="10">
        <f>IF(AND(P101="TN",R101="TN"),N101+N(O101),IF(G101&amp;""="1",N(K101)*N101,(N101+N(O101))*N(K101)))</f>
        <v/>
      </c>
      <c r="T101" s="10">
        <f>IF(Q101="","",Q101-S101)</f>
        <v/>
      </c>
    </row>
    <row r="102">
      <c r="A102" s="7">
        <f>CONCATENATE(C102,E102,F102,I102)</f>
        <v/>
      </c>
      <c r="B102" s="7">
        <f>CONCATENATE(C102,E102,I102)</f>
        <v/>
      </c>
      <c r="C102" s="8" t="n">
        <v>900002741</v>
      </c>
      <c r="D102" s="7">
        <f>IFERROR(VLOOKUP(C102,TRAOPE!$G:$H,2,0),"")</f>
        <v/>
      </c>
      <c r="E102" s="8" t="inlineStr">
        <is>
          <t>DW81</t>
        </is>
      </c>
      <c r="F102" s="8" t="inlineStr">
        <is>
          <t>D259</t>
        </is>
      </c>
      <c r="G102" s="8">
        <f>IFERROR(VLOOKUP(A102,Flete!$A:$E,5,0),"")</f>
        <v/>
      </c>
      <c r="H102" s="7">
        <f>IFERROR(VLOOKUP(F102,TRAOPE!$AA:$AB,2,0),"")</f>
        <v/>
      </c>
      <c r="I102" s="7" t="n">
        <v>10000859</v>
      </c>
      <c r="J102" s="7">
        <f>IFERROR(VLOOKUP(I102,Materiales!$A:$H,8,0),"")</f>
        <v/>
      </c>
      <c r="K102" s="9">
        <f>IFERROR(VLOOKUP(I102,Materiales!$A:$G,7,0),"")</f>
        <v/>
      </c>
      <c r="L102" s="8" t="inlineStr">
        <is>
          <t>20240129</t>
        </is>
      </c>
      <c r="M102" s="8" t="inlineStr">
        <is>
          <t>20240223</t>
        </is>
      </c>
      <c r="N102" s="10" t="n">
        <v>132.08</v>
      </c>
      <c r="O102" s="10">
        <f>IFERROR(VLOOKUP(A102,Flete!$A:$J,10,0),"")</f>
        <v/>
      </c>
      <c r="P102" s="8" t="inlineStr">
        <is>
          <t>TN</t>
        </is>
      </c>
      <c r="Q102" s="10">
        <f>IFERROR(IFERROR(VLOOKUP(A102,TRAOPE!$A:$U,21,0),VLOOKUP(B102,TRAOPE!$A:$U,21,0)),"")</f>
        <v/>
      </c>
      <c r="R102" s="8">
        <f>IFERROR(IFERROR(VLOOKUP(A102,TRAOPE!$A:$W,23,0),VLOOKUP(B102,TRAOPE!$A:$W,23,0)),"")</f>
        <v/>
      </c>
      <c r="S102" s="10">
        <f>IF(AND(P102="TN",R102="TN"),N102+N(O102),IF(G102&amp;""="1",N(K102)*N102,(N102+N(O102))*N(K102)))</f>
        <v/>
      </c>
      <c r="T102" s="10">
        <f>IF(Q102="","",Q102-S102)</f>
        <v/>
      </c>
    </row>
    <row r="103">
      <c r="A103" s="7">
        <f>CONCATENATE(C103,E103,F103,I103)</f>
        <v/>
      </c>
      <c r="B103" s="7">
        <f>CONCATENATE(C103,E103,I103)</f>
        <v/>
      </c>
      <c r="C103" s="8" t="n">
        <v>900002741</v>
      </c>
      <c r="D103" s="7">
        <f>IFERROR(VLOOKUP(C103,TRAOPE!$G:$H,2,0),"")</f>
        <v/>
      </c>
      <c r="E103" s="8" t="inlineStr">
        <is>
          <t>DW81</t>
        </is>
      </c>
      <c r="F103" s="8" t="inlineStr">
        <is>
          <t>D259</t>
        </is>
      </c>
      <c r="G103" s="8">
        <f>IFERROR(VLOOKUP(A103,Flete!$A:$E,5,0),"")</f>
        <v/>
      </c>
      <c r="H103" s="7">
        <f>IFERROR(VLOOKUP(F103,TRAOPE!$AA:$AB,2,0),"")</f>
        <v/>
      </c>
      <c r="I103" s="7" t="n">
        <v>10087726</v>
      </c>
      <c r="J103" s="7">
        <f>IFERROR(VLOOKUP(I103,Materiales!$A:$H,8,0),"")</f>
        <v/>
      </c>
      <c r="K103" s="9">
        <f>IFERROR(VLOOKUP(I103,Materiales!$A:$G,7,0),"")</f>
        <v/>
      </c>
      <c r="L103" s="8" t="inlineStr">
        <is>
          <t>20240129</t>
        </is>
      </c>
      <c r="M103" s="8" t="inlineStr">
        <is>
          <t>20240223</t>
        </is>
      </c>
      <c r="N103" s="10" t="n">
        <v>130.91</v>
      </c>
      <c r="O103" s="10">
        <f>IFERROR(VLOOKUP(A103,Flete!$A:$J,10,0),"")</f>
        <v/>
      </c>
      <c r="P103" s="8" t="inlineStr">
        <is>
          <t>TN</t>
        </is>
      </c>
      <c r="Q103" s="10">
        <f>IFERROR(IFERROR(VLOOKUP(A103,TRAOPE!$A:$U,21,0),VLOOKUP(B103,TRAOPE!$A:$U,21,0)),"")</f>
        <v/>
      </c>
      <c r="R103" s="8">
        <f>IFERROR(IFERROR(VLOOKUP(A103,TRAOPE!$A:$W,23,0),VLOOKUP(B103,TRAOPE!$A:$W,23,0)),"")</f>
        <v/>
      </c>
      <c r="S103" s="10">
        <f>IF(AND(P103="TN",R103="TN"),N103+N(O103),IF(G103&amp;""="1",N(K103)*N103,(N103+N(O103))*N(K103)))</f>
        <v/>
      </c>
      <c r="T103" s="10">
        <f>IF(Q103="","",Q103-S103)</f>
        <v/>
      </c>
    </row>
    <row r="104">
      <c r="A104" s="7">
        <f>CONCATENATE(C104,E104,F104,I104)</f>
        <v/>
      </c>
      <c r="B104" s="7">
        <f>CONCATENATE(C104,E104,I104)</f>
        <v/>
      </c>
      <c r="C104" s="8" t="n">
        <v>900002812</v>
      </c>
      <c r="D104" s="7">
        <f>IFERROR(VLOOKUP(C104,TRAOPE!$G:$H,2,0),"")</f>
        <v/>
      </c>
      <c r="E104" s="8" t="inlineStr">
        <is>
          <t>DW81</t>
        </is>
      </c>
      <c r="F104" s="8" t="inlineStr">
        <is>
          <t>D149</t>
        </is>
      </c>
      <c r="G104" s="8">
        <f>IFERROR(VLOOKUP(A104,Flete!$A:$E,5,0),"")</f>
        <v/>
      </c>
      <c r="H104" s="7">
        <f>IFERROR(VLOOKUP(F104,TRAOPE!$AA:$AB,2,0),"")</f>
        <v/>
      </c>
      <c r="I104" s="7" t="n">
        <v>10000166</v>
      </c>
      <c r="J104" s="7">
        <f>IFERROR(VLOOKUP(I104,Materiales!$A:$H,8,0),"")</f>
        <v/>
      </c>
      <c r="K104" s="9">
        <f>IFERROR(VLOOKUP(I104,Materiales!$A:$G,7,0),"")</f>
        <v/>
      </c>
      <c r="L104" s="8" t="inlineStr">
        <is>
          <t>20231030</t>
        </is>
      </c>
      <c r="M104" s="8" t="inlineStr">
        <is>
          <t>99991231</t>
        </is>
      </c>
      <c r="N104" s="10" t="n">
        <v>151.08</v>
      </c>
      <c r="O104" s="10">
        <f>IFERROR(VLOOKUP(A104,Flete!$A:$J,10,0),"")</f>
        <v/>
      </c>
      <c r="P104" s="8" t="inlineStr">
        <is>
          <t>TN</t>
        </is>
      </c>
      <c r="Q104" s="10">
        <f>IFERROR(IFERROR(VLOOKUP(A104,TRAOPE!$A:$U,21,0),VLOOKUP(B104,TRAOPE!$A:$U,21,0)),"")</f>
        <v/>
      </c>
      <c r="R104" s="8">
        <f>IFERROR(IFERROR(VLOOKUP(A104,TRAOPE!$A:$W,23,0),VLOOKUP(B104,TRAOPE!$A:$W,23,0)),"")</f>
        <v/>
      </c>
      <c r="S104" s="10">
        <f>IF(AND(P104="TN",R104="TN"),N104+N(O104),IF(G104&amp;""="1",N(K104)*N104,(N104+N(O104))*N(K104)))</f>
        <v/>
      </c>
      <c r="T104" s="10">
        <f>IF(Q104="","",Q104-S104)</f>
        <v/>
      </c>
    </row>
    <row r="105">
      <c r="A105" s="7">
        <f>CONCATENATE(C105,E105,F105,I105)</f>
        <v/>
      </c>
      <c r="B105" s="7">
        <f>CONCATENATE(C105,E105,I105)</f>
        <v/>
      </c>
      <c r="C105" s="8" t="n">
        <v>900002812</v>
      </c>
      <c r="D105" s="7">
        <f>IFERROR(VLOOKUP(C105,TRAOPE!$G:$H,2,0),"")</f>
        <v/>
      </c>
      <c r="E105" s="8" t="inlineStr">
        <is>
          <t>DW81</t>
        </is>
      </c>
      <c r="F105" s="8" t="inlineStr">
        <is>
          <t>D149</t>
        </is>
      </c>
      <c r="G105" s="8">
        <f>IFERROR(VLOOKUP(A105,Flete!$A:$E,5,0),"")</f>
        <v/>
      </c>
      <c r="H105" s="7">
        <f>IFERROR(VLOOKUP(F105,TRAOPE!$AA:$AB,2,0),"")</f>
        <v/>
      </c>
      <c r="I105" s="7" t="n">
        <v>10000460</v>
      </c>
      <c r="J105" s="7">
        <f>IFERROR(VLOOKUP(I105,Materiales!$A:$H,8,0),"")</f>
        <v/>
      </c>
      <c r="K105" s="9">
        <f>IFERROR(VLOOKUP(I105,Materiales!$A:$G,7,0),"")</f>
        <v/>
      </c>
      <c r="L105" s="8" t="inlineStr">
        <is>
          <t>20231030</t>
        </is>
      </c>
      <c r="M105" s="8" t="inlineStr">
        <is>
          <t>99991231</t>
        </is>
      </c>
      <c r="N105" s="10" t="n">
        <v>158.13</v>
      </c>
      <c r="O105" s="10">
        <f>IFERROR(VLOOKUP(A105,Flete!$A:$J,10,0),"")</f>
        <v/>
      </c>
      <c r="P105" s="8" t="inlineStr">
        <is>
          <t>TN</t>
        </is>
      </c>
      <c r="Q105" s="10">
        <f>IFERROR(IFERROR(VLOOKUP(A105,TRAOPE!$A:$U,21,0),VLOOKUP(B105,TRAOPE!$A:$U,21,0)),"")</f>
        <v/>
      </c>
      <c r="R105" s="8">
        <f>IFERROR(IFERROR(VLOOKUP(A105,TRAOPE!$A:$W,23,0),VLOOKUP(B105,TRAOPE!$A:$W,23,0)),"")</f>
        <v/>
      </c>
      <c r="S105" s="10">
        <f>IF(AND(P105="TN",R105="TN"),N105+N(O105),IF(G105&amp;""="1",N(K105)*N105,(N105+N(O105))*N(K105)))</f>
        <v/>
      </c>
      <c r="T105" s="10">
        <f>IF(Q105="","",Q105-S105)</f>
        <v/>
      </c>
    </row>
    <row r="106">
      <c r="A106" s="7">
        <f>CONCATENATE(C106,E106,F106,I106)</f>
        <v/>
      </c>
      <c r="B106" s="7">
        <f>CONCATENATE(C106,E106,I106)</f>
        <v/>
      </c>
      <c r="C106" s="8" t="n">
        <v>900002812</v>
      </c>
      <c r="D106" s="7">
        <f>IFERROR(VLOOKUP(C106,TRAOPE!$G:$H,2,0),"")</f>
        <v/>
      </c>
      <c r="E106" s="8" t="inlineStr">
        <is>
          <t>DW81</t>
        </is>
      </c>
      <c r="F106" s="8" t="inlineStr">
        <is>
          <t>D149</t>
        </is>
      </c>
      <c r="G106" s="8">
        <f>IFERROR(VLOOKUP(A106,Flete!$A:$E,5,0),"")</f>
        <v/>
      </c>
      <c r="H106" s="7">
        <f>IFERROR(VLOOKUP(F106,TRAOPE!$AA:$AB,2,0),"")</f>
        <v/>
      </c>
      <c r="I106" s="7" t="n">
        <v>10169585</v>
      </c>
      <c r="J106" s="7">
        <f>IFERROR(VLOOKUP(I106,Materiales!$A:$H,8,0),"")</f>
        <v/>
      </c>
      <c r="K106" s="9">
        <f>IFERROR(VLOOKUP(I106,Materiales!$A:$G,7,0),"")</f>
        <v/>
      </c>
      <c r="L106" s="8" t="inlineStr">
        <is>
          <t>20231030</t>
        </is>
      </c>
      <c r="M106" s="8" t="inlineStr">
        <is>
          <t>99991231</t>
        </is>
      </c>
      <c r="N106" s="10" t="n">
        <v>159.51</v>
      </c>
      <c r="O106" s="10">
        <f>IFERROR(VLOOKUP(A106,Flete!$A:$J,10,0),"")</f>
        <v/>
      </c>
      <c r="P106" s="8" t="inlineStr">
        <is>
          <t>TN</t>
        </is>
      </c>
      <c r="Q106" s="10">
        <f>IFERROR(IFERROR(VLOOKUP(A106,TRAOPE!$A:$U,21,0),VLOOKUP(B106,TRAOPE!$A:$U,21,0)),"")</f>
        <v/>
      </c>
      <c r="R106" s="8">
        <f>IFERROR(IFERROR(VLOOKUP(A106,TRAOPE!$A:$W,23,0),VLOOKUP(B106,TRAOPE!$A:$W,23,0)),"")</f>
        <v/>
      </c>
      <c r="S106" s="10">
        <f>IF(AND(P106="TN",R106="TN"),N106+N(O106),IF(G106&amp;""="1",N(K106)*N106,(N106+N(O106))*N(K106)))</f>
        <v/>
      </c>
      <c r="T106" s="10">
        <f>IF(Q106="","",Q106-S106)</f>
        <v/>
      </c>
    </row>
    <row r="107">
      <c r="A107" s="7">
        <f>CONCATENATE(C107,E107,F107,I107)</f>
        <v/>
      </c>
      <c r="B107" s="7">
        <f>CONCATENATE(C107,E107,I107)</f>
        <v/>
      </c>
      <c r="C107" s="8" t="n">
        <v>900002812</v>
      </c>
      <c r="D107" s="7">
        <f>IFERROR(VLOOKUP(C107,TRAOPE!$G:$H,2,0),"")</f>
        <v/>
      </c>
      <c r="E107" s="8" t="inlineStr">
        <is>
          <t>DW81</t>
        </is>
      </c>
      <c r="F107" s="8" t="inlineStr">
        <is>
          <t>D171</t>
        </is>
      </c>
      <c r="G107" s="8">
        <f>IFERROR(VLOOKUP(A107,Flete!$A:$E,5,0),"")</f>
        <v/>
      </c>
      <c r="H107" s="7">
        <f>IFERROR(VLOOKUP(F107,TRAOPE!$AA:$AB,2,0),"")</f>
        <v/>
      </c>
      <c r="I107" s="7" t="n">
        <v>10000166</v>
      </c>
      <c r="J107" s="7">
        <f>IFERROR(VLOOKUP(I107,Materiales!$A:$H,8,0),"")</f>
        <v/>
      </c>
      <c r="K107" s="9">
        <f>IFERROR(VLOOKUP(I107,Materiales!$A:$G,7,0),"")</f>
        <v/>
      </c>
      <c r="L107" s="8" t="inlineStr">
        <is>
          <t>20231030</t>
        </is>
      </c>
      <c r="M107" s="8" t="inlineStr">
        <is>
          <t>99991231</t>
        </is>
      </c>
      <c r="N107" s="10" t="n">
        <v>158.5</v>
      </c>
      <c r="O107" s="10">
        <f>IFERROR(VLOOKUP(A107,Flete!$A:$J,10,0),"")</f>
        <v/>
      </c>
      <c r="P107" s="8" t="inlineStr">
        <is>
          <t>TN</t>
        </is>
      </c>
      <c r="Q107" s="10">
        <f>IFERROR(IFERROR(VLOOKUP(A107,TRAOPE!$A:$U,21,0),VLOOKUP(B107,TRAOPE!$A:$U,21,0)),"")</f>
        <v/>
      </c>
      <c r="R107" s="8">
        <f>IFERROR(IFERROR(VLOOKUP(A107,TRAOPE!$A:$W,23,0),VLOOKUP(B107,TRAOPE!$A:$W,23,0)),"")</f>
        <v/>
      </c>
      <c r="S107" s="10">
        <f>IF(AND(P107="TN",R107="TN"),N107+N(O107),IF(G107&amp;""="1",N(K107)*N107,(N107+N(O107))*N(K107)))</f>
        <v/>
      </c>
      <c r="T107" s="10">
        <f>IF(Q107="","",Q107-S107)</f>
        <v/>
      </c>
    </row>
    <row r="108">
      <c r="A108" s="7">
        <f>CONCATENATE(C108,E108,F108,I108)</f>
        <v/>
      </c>
      <c r="B108" s="7">
        <f>CONCATENATE(C108,E108,I108)</f>
        <v/>
      </c>
      <c r="C108" s="8" t="n">
        <v>900002812</v>
      </c>
      <c r="D108" s="7">
        <f>IFERROR(VLOOKUP(C108,TRAOPE!$G:$H,2,0),"")</f>
        <v/>
      </c>
      <c r="E108" s="8" t="inlineStr">
        <is>
          <t>DW81</t>
        </is>
      </c>
      <c r="F108" s="8" t="inlineStr">
        <is>
          <t>D171</t>
        </is>
      </c>
      <c r="G108" s="8">
        <f>IFERROR(VLOOKUP(A108,Flete!$A:$E,5,0),"")</f>
        <v/>
      </c>
      <c r="H108" s="7">
        <f>IFERROR(VLOOKUP(F108,TRAOPE!$AA:$AB,2,0),"")</f>
        <v/>
      </c>
      <c r="I108" s="7" t="n">
        <v>10000460</v>
      </c>
      <c r="J108" s="7">
        <f>IFERROR(VLOOKUP(I108,Materiales!$A:$H,8,0),"")</f>
        <v/>
      </c>
      <c r="K108" s="9">
        <f>IFERROR(VLOOKUP(I108,Materiales!$A:$G,7,0),"")</f>
        <v/>
      </c>
      <c r="L108" s="8" t="inlineStr">
        <is>
          <t>20231030</t>
        </is>
      </c>
      <c r="M108" s="8" t="inlineStr">
        <is>
          <t>99991231</t>
        </is>
      </c>
      <c r="N108" s="10" t="n">
        <v>165.9</v>
      </c>
      <c r="O108" s="10">
        <f>IFERROR(VLOOKUP(A108,Flete!$A:$J,10,0),"")</f>
        <v/>
      </c>
      <c r="P108" s="8" t="inlineStr">
        <is>
          <t>TN</t>
        </is>
      </c>
      <c r="Q108" s="10">
        <f>IFERROR(IFERROR(VLOOKUP(A108,TRAOPE!$A:$U,21,0),VLOOKUP(B108,TRAOPE!$A:$U,21,0)),"")</f>
        <v/>
      </c>
      <c r="R108" s="8">
        <f>IFERROR(IFERROR(VLOOKUP(A108,TRAOPE!$A:$W,23,0),VLOOKUP(B108,TRAOPE!$A:$W,23,0)),"")</f>
        <v/>
      </c>
      <c r="S108" s="10">
        <f>IF(AND(P108="TN",R108="TN"),N108+N(O108),IF(G108&amp;""="1",N(K108)*N108,(N108+N(O108))*N(K108)))</f>
        <v/>
      </c>
      <c r="T108" s="10">
        <f>IF(Q108="","",Q108-S108)</f>
        <v/>
      </c>
    </row>
    <row r="109">
      <c r="A109" s="7">
        <f>CONCATENATE(C109,E109,F109,I109)</f>
        <v/>
      </c>
      <c r="B109" s="7">
        <f>CONCATENATE(C109,E109,I109)</f>
        <v/>
      </c>
      <c r="C109" s="8" t="n">
        <v>900002812</v>
      </c>
      <c r="D109" s="7">
        <f>IFERROR(VLOOKUP(C109,TRAOPE!$G:$H,2,0),"")</f>
        <v/>
      </c>
      <c r="E109" s="8" t="inlineStr">
        <is>
          <t>DW81</t>
        </is>
      </c>
      <c r="F109" s="8" t="inlineStr">
        <is>
          <t>D171</t>
        </is>
      </c>
      <c r="G109" s="8">
        <f>IFERROR(VLOOKUP(A109,Flete!$A:$E,5,0),"")</f>
        <v/>
      </c>
      <c r="H109" s="7">
        <f>IFERROR(VLOOKUP(F109,TRAOPE!$AA:$AB,2,0),"")</f>
        <v/>
      </c>
      <c r="I109" s="7" t="n">
        <v>10169585</v>
      </c>
      <c r="J109" s="7">
        <f>IFERROR(VLOOKUP(I109,Materiales!$A:$H,8,0),"")</f>
        <v/>
      </c>
      <c r="K109" s="9">
        <f>IFERROR(VLOOKUP(I109,Materiales!$A:$G,7,0),"")</f>
        <v/>
      </c>
      <c r="L109" s="8" t="inlineStr">
        <is>
          <t>20231030</t>
        </is>
      </c>
      <c r="M109" s="8" t="inlineStr">
        <is>
          <t>99991231</t>
        </is>
      </c>
      <c r="N109" s="10" t="n">
        <v>167.35</v>
      </c>
      <c r="O109" s="10">
        <f>IFERROR(VLOOKUP(A109,Flete!$A:$J,10,0),"")</f>
        <v/>
      </c>
      <c r="P109" s="8" t="inlineStr">
        <is>
          <t>TN</t>
        </is>
      </c>
      <c r="Q109" s="10">
        <f>IFERROR(IFERROR(VLOOKUP(A109,TRAOPE!$A:$U,21,0),VLOOKUP(B109,TRAOPE!$A:$U,21,0)),"")</f>
        <v/>
      </c>
      <c r="R109" s="8">
        <f>IFERROR(IFERROR(VLOOKUP(A109,TRAOPE!$A:$W,23,0),VLOOKUP(B109,TRAOPE!$A:$W,23,0)),"")</f>
        <v/>
      </c>
      <c r="S109" s="10">
        <f>IF(AND(P109="TN",R109="TN"),N109+N(O109),IF(G109&amp;""="1",N(K109)*N109,(N109+N(O109))*N(K109)))</f>
        <v/>
      </c>
      <c r="T109" s="10">
        <f>IF(Q109="","",Q109-S109)</f>
        <v/>
      </c>
    </row>
    <row r="110">
      <c r="A110" s="7">
        <f>CONCATENATE(C110,E110,F110,I110)</f>
        <v/>
      </c>
      <c r="B110" s="7">
        <f>CONCATENATE(C110,E110,I110)</f>
        <v/>
      </c>
      <c r="C110" s="8" t="n">
        <v>900003849</v>
      </c>
      <c r="D110" s="7">
        <f>IFERROR(VLOOKUP(C110,TRAOPE!$G:$H,2,0),"")</f>
        <v/>
      </c>
      <c r="E110" s="8" t="inlineStr">
        <is>
          <t>DW81</t>
        </is>
      </c>
      <c r="F110" s="8" t="inlineStr">
        <is>
          <t>D148</t>
        </is>
      </c>
      <c r="G110" s="8">
        <f>IFERROR(VLOOKUP(A110,Flete!$A:$E,5,0),"")</f>
        <v/>
      </c>
      <c r="H110" s="7">
        <f>IFERROR(VLOOKUP(F110,TRAOPE!$AA:$AB,2,0),"")</f>
        <v/>
      </c>
      <c r="I110" s="7" t="n">
        <v>10000404</v>
      </c>
      <c r="J110" s="7">
        <f>IFERROR(VLOOKUP(I110,Materiales!$A:$H,8,0),"")</f>
        <v/>
      </c>
      <c r="K110" s="9">
        <f>IFERROR(VLOOKUP(I110,Materiales!$A:$G,7,0),"")</f>
        <v/>
      </c>
      <c r="L110" s="8" t="inlineStr">
        <is>
          <t>20250301</t>
        </is>
      </c>
      <c r="M110" s="8" t="inlineStr">
        <is>
          <t>99991231</t>
        </is>
      </c>
      <c r="N110" s="10" t="n">
        <v>146.17</v>
      </c>
      <c r="O110" s="10">
        <f>IFERROR(VLOOKUP(A110,Flete!$A:$J,10,0),"")</f>
        <v/>
      </c>
      <c r="P110" s="8" t="inlineStr">
        <is>
          <t>TN</t>
        </is>
      </c>
      <c r="Q110" s="10">
        <f>IFERROR(IFERROR(VLOOKUP(A110,TRAOPE!$A:$U,21,0),VLOOKUP(B110,TRAOPE!$A:$U,21,0)),"")</f>
        <v/>
      </c>
      <c r="R110" s="8">
        <f>IFERROR(IFERROR(VLOOKUP(A110,TRAOPE!$A:$W,23,0),VLOOKUP(B110,TRAOPE!$A:$W,23,0)),"")</f>
        <v/>
      </c>
      <c r="S110" s="10">
        <f>IF(AND(P110="TN",R110="TN"),N110+N(O110),IF(G110&amp;""="1",N(K110)*N110,(N110+N(O110))*N(K110)))</f>
        <v/>
      </c>
      <c r="T110" s="10">
        <f>IF(Q110="","",Q110-S110)</f>
        <v/>
      </c>
    </row>
    <row r="111">
      <c r="A111" s="7">
        <f>CONCATENATE(C111,E111,F111,I111)</f>
        <v/>
      </c>
      <c r="B111" s="7">
        <f>CONCATENATE(C111,E111,I111)</f>
        <v/>
      </c>
      <c r="C111" s="8" t="n">
        <v>900003849</v>
      </c>
      <c r="D111" s="7">
        <f>IFERROR(VLOOKUP(C111,TRAOPE!$G:$H,2,0),"")</f>
        <v/>
      </c>
      <c r="E111" s="8" t="inlineStr">
        <is>
          <t>DW81</t>
        </is>
      </c>
      <c r="F111" s="8" t="inlineStr">
        <is>
          <t>D148</t>
        </is>
      </c>
      <c r="G111" s="8">
        <f>IFERROR(VLOOKUP(A111,Flete!$A:$E,5,0),"")</f>
        <v/>
      </c>
      <c r="H111" s="7">
        <f>IFERROR(VLOOKUP(F111,TRAOPE!$AA:$AB,2,0),"")</f>
        <v/>
      </c>
      <c r="I111" s="7" t="n">
        <v>10000407</v>
      </c>
      <c r="J111" s="7">
        <f>IFERROR(VLOOKUP(I111,Materiales!$A:$H,8,0),"")</f>
        <v/>
      </c>
      <c r="K111" s="9">
        <f>IFERROR(VLOOKUP(I111,Materiales!$A:$G,7,0),"")</f>
        <v/>
      </c>
      <c r="L111" s="8" t="inlineStr">
        <is>
          <t>20250301</t>
        </is>
      </c>
      <c r="M111" s="8" t="inlineStr">
        <is>
          <t>99991231</t>
        </is>
      </c>
      <c r="N111" s="10" t="n">
        <v>146.17</v>
      </c>
      <c r="O111" s="10">
        <f>IFERROR(VLOOKUP(A111,Flete!$A:$J,10,0),"")</f>
        <v/>
      </c>
      <c r="P111" s="8" t="inlineStr">
        <is>
          <t>TN</t>
        </is>
      </c>
      <c r="Q111" s="10">
        <f>IFERROR(IFERROR(VLOOKUP(A111,TRAOPE!$A:$U,21,0),VLOOKUP(B111,TRAOPE!$A:$U,21,0)),"")</f>
        <v/>
      </c>
      <c r="R111" s="8">
        <f>IFERROR(IFERROR(VLOOKUP(A111,TRAOPE!$A:$W,23,0),VLOOKUP(B111,TRAOPE!$A:$W,23,0)),"")</f>
        <v/>
      </c>
      <c r="S111" s="10">
        <f>IF(AND(P111="TN",R111="TN"),N111+N(O111),IF(G111&amp;""="1",N(K111)*N111,(N111+N(O111))*N(K111)))</f>
        <v/>
      </c>
      <c r="T111" s="10">
        <f>IF(Q111="","",Q111-S111)</f>
        <v/>
      </c>
    </row>
    <row r="112">
      <c r="A112" s="7">
        <f>CONCATENATE(C112,E112,F112,I112)</f>
        <v/>
      </c>
      <c r="B112" s="7">
        <f>CONCATENATE(C112,E112,I112)</f>
        <v/>
      </c>
      <c r="C112" s="8" t="n">
        <v>900003849</v>
      </c>
      <c r="D112" s="7">
        <f>IFERROR(VLOOKUP(C112,TRAOPE!$G:$H,2,0),"")</f>
        <v/>
      </c>
      <c r="E112" s="8" t="inlineStr">
        <is>
          <t>DW81</t>
        </is>
      </c>
      <c r="F112" s="8" t="inlineStr">
        <is>
          <t>D148</t>
        </is>
      </c>
      <c r="G112" s="8">
        <f>IFERROR(VLOOKUP(A112,Flete!$A:$E,5,0),"")</f>
        <v/>
      </c>
      <c r="H112" s="7">
        <f>IFERROR(VLOOKUP(F112,TRAOPE!$AA:$AB,2,0),"")</f>
        <v/>
      </c>
      <c r="I112" s="7" t="n">
        <v>10000572</v>
      </c>
      <c r="J112" s="7">
        <f>IFERROR(VLOOKUP(I112,Materiales!$A:$H,8,0),"")</f>
        <v/>
      </c>
      <c r="K112" s="9">
        <f>IFERROR(VLOOKUP(I112,Materiales!$A:$G,7,0),"")</f>
        <v/>
      </c>
      <c r="L112" s="8" t="inlineStr">
        <is>
          <t>20250301</t>
        </is>
      </c>
      <c r="M112" s="8" t="inlineStr">
        <is>
          <t>99991231</t>
        </is>
      </c>
      <c r="N112" s="10" t="n">
        <v>153.53</v>
      </c>
      <c r="O112" s="10">
        <f>IFERROR(VLOOKUP(A112,Flete!$A:$J,10,0),"")</f>
        <v/>
      </c>
      <c r="P112" s="8" t="inlineStr">
        <is>
          <t>TN</t>
        </is>
      </c>
      <c r="Q112" s="10">
        <f>IFERROR(IFERROR(VLOOKUP(A112,TRAOPE!$A:$U,21,0),VLOOKUP(B112,TRAOPE!$A:$U,21,0)),"")</f>
        <v/>
      </c>
      <c r="R112" s="8">
        <f>IFERROR(IFERROR(VLOOKUP(A112,TRAOPE!$A:$W,23,0),VLOOKUP(B112,TRAOPE!$A:$W,23,0)),"")</f>
        <v/>
      </c>
      <c r="S112" s="10">
        <f>IF(AND(P112="TN",R112="TN"),N112+N(O112),IF(G112&amp;""="1",N(K112)*N112,(N112+N(O112))*N(K112)))</f>
        <v/>
      </c>
      <c r="T112" s="10">
        <f>IF(Q112="","",Q112-S112)</f>
        <v/>
      </c>
    </row>
    <row r="113">
      <c r="A113" s="7">
        <f>CONCATENATE(C113,E113,F113,I113)</f>
        <v/>
      </c>
      <c r="B113" s="7">
        <f>CONCATENATE(C113,E113,I113)</f>
        <v/>
      </c>
      <c r="C113" s="8" t="n">
        <v>900003849</v>
      </c>
      <c r="D113" s="7">
        <f>IFERROR(VLOOKUP(C113,TRAOPE!$G:$H,2,0),"")</f>
        <v/>
      </c>
      <c r="E113" s="8" t="inlineStr">
        <is>
          <t>DW81</t>
        </is>
      </c>
      <c r="F113" s="8" t="inlineStr">
        <is>
          <t>D148</t>
        </is>
      </c>
      <c r="G113" s="8">
        <f>IFERROR(VLOOKUP(A113,Flete!$A:$E,5,0),"")</f>
        <v/>
      </c>
      <c r="H113" s="7">
        <f>IFERROR(VLOOKUP(F113,TRAOPE!$AA:$AB,2,0),"")</f>
        <v/>
      </c>
      <c r="I113" s="7" t="n">
        <v>10000624</v>
      </c>
      <c r="J113" s="7">
        <f>IFERROR(VLOOKUP(I113,Materiales!$A:$H,8,0),"")</f>
        <v/>
      </c>
      <c r="K113" s="9">
        <f>IFERROR(VLOOKUP(I113,Materiales!$A:$G,7,0),"")</f>
        <v/>
      </c>
      <c r="L113" s="8" t="inlineStr">
        <is>
          <t>20250301</t>
        </is>
      </c>
      <c r="M113" s="8" t="inlineStr">
        <is>
          <t>99991231</t>
        </is>
      </c>
      <c r="N113" s="10" t="n">
        <v>146.17</v>
      </c>
      <c r="O113" s="10">
        <f>IFERROR(VLOOKUP(A113,Flete!$A:$J,10,0),"")</f>
        <v/>
      </c>
      <c r="P113" s="8" t="inlineStr">
        <is>
          <t>TN</t>
        </is>
      </c>
      <c r="Q113" s="10">
        <f>IFERROR(IFERROR(VLOOKUP(A113,TRAOPE!$A:$U,21,0),VLOOKUP(B113,TRAOPE!$A:$U,21,0)),"")</f>
        <v/>
      </c>
      <c r="R113" s="8">
        <f>IFERROR(IFERROR(VLOOKUP(A113,TRAOPE!$A:$W,23,0),VLOOKUP(B113,TRAOPE!$A:$W,23,0)),"")</f>
        <v/>
      </c>
      <c r="S113" s="10">
        <f>IF(AND(P113="TN",R113="TN"),N113+N(O113),IF(G113&amp;""="1",N(K113)*N113,(N113+N(O113))*N(K113)))</f>
        <v/>
      </c>
      <c r="T113" s="10">
        <f>IF(Q113="","",Q113-S113)</f>
        <v/>
      </c>
    </row>
    <row r="114">
      <c r="A114" s="7">
        <f>CONCATENATE(C114,E114,F114,I114)</f>
        <v/>
      </c>
      <c r="B114" s="7">
        <f>CONCATENATE(C114,E114,I114)</f>
        <v/>
      </c>
      <c r="C114" s="8" t="n">
        <v>900003849</v>
      </c>
      <c r="D114" s="7">
        <f>IFERROR(VLOOKUP(C114,TRAOPE!$G:$H,2,0),"")</f>
        <v/>
      </c>
      <c r="E114" s="8" t="inlineStr">
        <is>
          <t>DW81</t>
        </is>
      </c>
      <c r="F114" s="8" t="inlineStr">
        <is>
          <t>D149</t>
        </is>
      </c>
      <c r="G114" s="8">
        <f>IFERROR(VLOOKUP(A114,Flete!$A:$E,5,0),"")</f>
        <v/>
      </c>
      <c r="H114" s="7">
        <f>IFERROR(VLOOKUP(F114,TRAOPE!$AA:$AB,2,0),"")</f>
        <v/>
      </c>
      <c r="I114" s="7" t="n">
        <v>10000404</v>
      </c>
      <c r="J114" s="7">
        <f>IFERROR(VLOOKUP(I114,Materiales!$A:$H,8,0),"")</f>
        <v/>
      </c>
      <c r="K114" s="9">
        <f>IFERROR(VLOOKUP(I114,Materiales!$A:$G,7,0),"")</f>
        <v/>
      </c>
      <c r="L114" s="8" t="inlineStr">
        <is>
          <t>20250301</t>
        </is>
      </c>
      <c r="M114" s="8" t="inlineStr">
        <is>
          <t>99991231</t>
        </is>
      </c>
      <c r="N114" s="10" t="n">
        <v>136.07</v>
      </c>
      <c r="O114" s="10">
        <f>IFERROR(VLOOKUP(A114,Flete!$A:$J,10,0),"")</f>
        <v/>
      </c>
      <c r="P114" s="8" t="inlineStr">
        <is>
          <t>TN</t>
        </is>
      </c>
      <c r="Q114" s="10">
        <f>IFERROR(IFERROR(VLOOKUP(A114,TRAOPE!$A:$U,21,0),VLOOKUP(B114,TRAOPE!$A:$U,21,0)),"")</f>
        <v/>
      </c>
      <c r="R114" s="8">
        <f>IFERROR(IFERROR(VLOOKUP(A114,TRAOPE!$A:$W,23,0),VLOOKUP(B114,TRAOPE!$A:$W,23,0)),"")</f>
        <v/>
      </c>
      <c r="S114" s="10">
        <f>IF(AND(P114="TN",R114="TN"),N114+N(O114),IF(G114&amp;""="1",N(K114)*N114,(N114+N(O114))*N(K114)))</f>
        <v/>
      </c>
      <c r="T114" s="10">
        <f>IF(Q114="","",Q114-S114)</f>
        <v/>
      </c>
    </row>
    <row r="115">
      <c r="A115" s="7">
        <f>CONCATENATE(C115,E115,F115,I115)</f>
        <v/>
      </c>
      <c r="B115" s="7">
        <f>CONCATENATE(C115,E115,I115)</f>
        <v/>
      </c>
      <c r="C115" s="8" t="n">
        <v>900003849</v>
      </c>
      <c r="D115" s="7">
        <f>IFERROR(VLOOKUP(C115,TRAOPE!$G:$H,2,0),"")</f>
        <v/>
      </c>
      <c r="E115" s="8" t="inlineStr">
        <is>
          <t>DW81</t>
        </is>
      </c>
      <c r="F115" s="8" t="inlineStr">
        <is>
          <t>D149</t>
        </is>
      </c>
      <c r="G115" s="8">
        <f>IFERROR(VLOOKUP(A115,Flete!$A:$E,5,0),"")</f>
        <v/>
      </c>
      <c r="H115" s="7">
        <f>IFERROR(VLOOKUP(F115,TRAOPE!$AA:$AB,2,0),"")</f>
        <v/>
      </c>
      <c r="I115" s="7" t="n">
        <v>10000572</v>
      </c>
      <c r="J115" s="7">
        <f>IFERROR(VLOOKUP(I115,Materiales!$A:$H,8,0),"")</f>
        <v/>
      </c>
      <c r="K115" s="9">
        <f>IFERROR(VLOOKUP(I115,Materiales!$A:$G,7,0),"")</f>
        <v/>
      </c>
      <c r="L115" s="8" t="inlineStr">
        <is>
          <t>20250301</t>
        </is>
      </c>
      <c r="M115" s="8" t="inlineStr">
        <is>
          <t>99991231</t>
        </is>
      </c>
      <c r="N115" s="10" t="n">
        <v>136.07</v>
      </c>
      <c r="O115" s="10">
        <f>IFERROR(VLOOKUP(A115,Flete!$A:$J,10,0),"")</f>
        <v/>
      </c>
      <c r="P115" s="8" t="inlineStr">
        <is>
          <t>TN</t>
        </is>
      </c>
      <c r="Q115" s="10">
        <f>IFERROR(IFERROR(VLOOKUP(A115,TRAOPE!$A:$U,21,0),VLOOKUP(B115,TRAOPE!$A:$U,21,0)),"")</f>
        <v/>
      </c>
      <c r="R115" s="8">
        <f>IFERROR(IFERROR(VLOOKUP(A115,TRAOPE!$A:$W,23,0),VLOOKUP(B115,TRAOPE!$A:$W,23,0)),"")</f>
        <v/>
      </c>
      <c r="S115" s="10">
        <f>IF(AND(P115="TN",R115="TN"),N115+N(O115),IF(G115&amp;""="1",N(K115)*N115,(N115+N(O115))*N(K115)))</f>
        <v/>
      </c>
      <c r="T115" s="10">
        <f>IF(Q115="","",Q115-S115)</f>
        <v/>
      </c>
    </row>
    <row r="116">
      <c r="A116" s="7">
        <f>CONCATENATE(C116,E116,F116,I116)</f>
        <v/>
      </c>
      <c r="B116" s="7">
        <f>CONCATENATE(C116,E116,I116)</f>
        <v/>
      </c>
      <c r="C116" s="8" t="n">
        <v>900003849</v>
      </c>
      <c r="D116" s="7">
        <f>IFERROR(VLOOKUP(C116,TRAOPE!$G:$H,2,0),"")</f>
        <v/>
      </c>
      <c r="E116" s="8" t="inlineStr">
        <is>
          <t>DW81</t>
        </is>
      </c>
      <c r="F116" s="8" t="inlineStr">
        <is>
          <t>D149</t>
        </is>
      </c>
      <c r="G116" s="8">
        <f>IFERROR(VLOOKUP(A116,Flete!$A:$E,5,0),"")</f>
        <v/>
      </c>
      <c r="H116" s="7">
        <f>IFERROR(VLOOKUP(F116,TRAOPE!$AA:$AB,2,0),"")</f>
        <v/>
      </c>
      <c r="I116" s="7" t="n">
        <v>10000624</v>
      </c>
      <c r="J116" s="7">
        <f>IFERROR(VLOOKUP(I116,Materiales!$A:$H,8,0),"")</f>
        <v/>
      </c>
      <c r="K116" s="9">
        <f>IFERROR(VLOOKUP(I116,Materiales!$A:$G,7,0),"")</f>
        <v/>
      </c>
      <c r="L116" s="8" t="inlineStr">
        <is>
          <t>20250301</t>
        </is>
      </c>
      <c r="M116" s="8" t="inlineStr">
        <is>
          <t>99991231</t>
        </is>
      </c>
      <c r="N116" s="10" t="n">
        <v>136.07</v>
      </c>
      <c r="O116" s="10">
        <f>IFERROR(VLOOKUP(A116,Flete!$A:$J,10,0),"")</f>
        <v/>
      </c>
      <c r="P116" s="8" t="inlineStr">
        <is>
          <t>TN</t>
        </is>
      </c>
      <c r="Q116" s="10">
        <f>IFERROR(IFERROR(VLOOKUP(A116,TRAOPE!$A:$U,21,0),VLOOKUP(B116,TRAOPE!$A:$U,21,0)),"")</f>
        <v/>
      </c>
      <c r="R116" s="8">
        <f>IFERROR(IFERROR(VLOOKUP(A116,TRAOPE!$A:$W,23,0),VLOOKUP(B116,TRAOPE!$A:$W,23,0)),"")</f>
        <v/>
      </c>
      <c r="S116" s="10">
        <f>IF(AND(P116="TN",R116="TN"),N116+N(O116),IF(G116&amp;""="1",N(K116)*N116,(N116+N(O116))*N(K116)))</f>
        <v/>
      </c>
      <c r="T116" s="10">
        <f>IF(Q116="","",Q116-S116)</f>
        <v/>
      </c>
    </row>
    <row r="117">
      <c r="A117" s="7">
        <f>CONCATENATE(C117,E117,F117,I117)</f>
        <v/>
      </c>
      <c r="B117" s="7">
        <f>CONCATENATE(C117,E117,I117)</f>
        <v/>
      </c>
      <c r="C117" s="8" t="n">
        <v>900003849</v>
      </c>
      <c r="D117" s="7">
        <f>IFERROR(VLOOKUP(C117,TRAOPE!$G:$H,2,0),"")</f>
        <v/>
      </c>
      <c r="E117" s="8" t="inlineStr">
        <is>
          <t>DW81</t>
        </is>
      </c>
      <c r="F117" s="8" t="inlineStr">
        <is>
          <t>D171</t>
        </is>
      </c>
      <c r="G117" s="8">
        <f>IFERROR(VLOOKUP(A117,Flete!$A:$E,5,0),"")</f>
        <v/>
      </c>
      <c r="H117" s="7">
        <f>IFERROR(VLOOKUP(F117,TRAOPE!$AA:$AB,2,0),"")</f>
        <v/>
      </c>
      <c r="I117" s="7" t="n">
        <v>10000404</v>
      </c>
      <c r="J117" s="7">
        <f>IFERROR(VLOOKUP(I117,Materiales!$A:$H,8,0),"")</f>
        <v/>
      </c>
      <c r="K117" s="9">
        <f>IFERROR(VLOOKUP(I117,Materiales!$A:$G,7,0),"")</f>
        <v/>
      </c>
      <c r="L117" s="8" t="inlineStr">
        <is>
          <t>20250301</t>
        </is>
      </c>
      <c r="M117" s="8" t="inlineStr">
        <is>
          <t>99991231</t>
        </is>
      </c>
      <c r="N117" s="10" t="n">
        <v>143.14</v>
      </c>
      <c r="O117" s="10">
        <f>IFERROR(VLOOKUP(A117,Flete!$A:$J,10,0),"")</f>
        <v/>
      </c>
      <c r="P117" s="8" t="inlineStr">
        <is>
          <t>TN</t>
        </is>
      </c>
      <c r="Q117" s="10">
        <f>IFERROR(IFERROR(VLOOKUP(A117,TRAOPE!$A:$U,21,0),VLOOKUP(B117,TRAOPE!$A:$U,21,0)),"")</f>
        <v/>
      </c>
      <c r="R117" s="8">
        <f>IFERROR(IFERROR(VLOOKUP(A117,TRAOPE!$A:$W,23,0),VLOOKUP(B117,TRAOPE!$A:$W,23,0)),"")</f>
        <v/>
      </c>
      <c r="S117" s="10">
        <f>IF(AND(P117="TN",R117="TN"),N117+N(O117),IF(G117&amp;""="1",N(K117)*N117,(N117+N(O117))*N(K117)))</f>
        <v/>
      </c>
      <c r="T117" s="10">
        <f>IF(Q117="","",Q117-S117)</f>
        <v/>
      </c>
    </row>
    <row r="118">
      <c r="A118" s="7">
        <f>CONCATENATE(C118,E118,F118,I118)</f>
        <v/>
      </c>
      <c r="B118" s="7">
        <f>CONCATENATE(C118,E118,I118)</f>
        <v/>
      </c>
      <c r="C118" s="8" t="n">
        <v>900003849</v>
      </c>
      <c r="D118" s="7">
        <f>IFERROR(VLOOKUP(C118,TRAOPE!$G:$H,2,0),"")</f>
        <v/>
      </c>
      <c r="E118" s="8" t="inlineStr">
        <is>
          <t>DW81</t>
        </is>
      </c>
      <c r="F118" s="8" t="inlineStr">
        <is>
          <t>D171</t>
        </is>
      </c>
      <c r="G118" s="8">
        <f>IFERROR(VLOOKUP(A118,Flete!$A:$E,5,0),"")</f>
        <v/>
      </c>
      <c r="H118" s="7">
        <f>IFERROR(VLOOKUP(F118,TRAOPE!$AA:$AB,2,0),"")</f>
        <v/>
      </c>
      <c r="I118" s="7" t="n">
        <v>10000572</v>
      </c>
      <c r="J118" s="7">
        <f>IFERROR(VLOOKUP(I118,Materiales!$A:$H,8,0),"")</f>
        <v/>
      </c>
      <c r="K118" s="9">
        <f>IFERROR(VLOOKUP(I118,Materiales!$A:$G,7,0),"")</f>
        <v/>
      </c>
      <c r="L118" s="8" t="inlineStr">
        <is>
          <t>20250301</t>
        </is>
      </c>
      <c r="M118" s="8" t="inlineStr">
        <is>
          <t>99991231</t>
        </is>
      </c>
      <c r="N118" s="10" t="n">
        <v>149.69</v>
      </c>
      <c r="O118" s="10">
        <f>IFERROR(VLOOKUP(A118,Flete!$A:$J,10,0),"")</f>
        <v/>
      </c>
      <c r="P118" s="8" t="inlineStr">
        <is>
          <t>TN</t>
        </is>
      </c>
      <c r="Q118" s="10">
        <f>IFERROR(IFERROR(VLOOKUP(A118,TRAOPE!$A:$U,21,0),VLOOKUP(B118,TRAOPE!$A:$U,21,0)),"")</f>
        <v/>
      </c>
      <c r="R118" s="8">
        <f>IFERROR(IFERROR(VLOOKUP(A118,TRAOPE!$A:$W,23,0),VLOOKUP(B118,TRAOPE!$A:$W,23,0)),"")</f>
        <v/>
      </c>
      <c r="S118" s="10">
        <f>IF(AND(P118="TN",R118="TN"),N118+N(O118),IF(G118&amp;""="1",N(K118)*N118,(N118+N(O118))*N(K118)))</f>
        <v/>
      </c>
      <c r="T118" s="10">
        <f>IF(Q118="","",Q118-S118)</f>
        <v/>
      </c>
    </row>
    <row r="119">
      <c r="A119" s="7">
        <f>CONCATENATE(C119,E119,F119,I119)</f>
        <v/>
      </c>
      <c r="B119" s="7">
        <f>CONCATENATE(C119,E119,I119)</f>
        <v/>
      </c>
      <c r="C119" s="8" t="n">
        <v>900003849</v>
      </c>
      <c r="D119" s="7">
        <f>IFERROR(VLOOKUP(C119,TRAOPE!$G:$H,2,0),"")</f>
        <v/>
      </c>
      <c r="E119" s="8" t="inlineStr">
        <is>
          <t>DW81</t>
        </is>
      </c>
      <c r="F119" s="8" t="inlineStr">
        <is>
          <t>D171</t>
        </is>
      </c>
      <c r="G119" s="8">
        <f>IFERROR(VLOOKUP(A119,Flete!$A:$E,5,0),"")</f>
        <v/>
      </c>
      <c r="H119" s="7">
        <f>IFERROR(VLOOKUP(F119,TRAOPE!$AA:$AB,2,0),"")</f>
        <v/>
      </c>
      <c r="I119" s="7" t="n">
        <v>10000624</v>
      </c>
      <c r="J119" s="7">
        <f>IFERROR(VLOOKUP(I119,Materiales!$A:$H,8,0),"")</f>
        <v/>
      </c>
      <c r="K119" s="9">
        <f>IFERROR(VLOOKUP(I119,Materiales!$A:$G,7,0),"")</f>
        <v/>
      </c>
      <c r="L119" s="8" t="inlineStr">
        <is>
          <t>20250301</t>
        </is>
      </c>
      <c r="M119" s="8" t="inlineStr">
        <is>
          <t>99991231</t>
        </is>
      </c>
      <c r="N119" s="10" t="n">
        <v>143.14</v>
      </c>
      <c r="O119" s="10">
        <f>IFERROR(VLOOKUP(A119,Flete!$A:$J,10,0),"")</f>
        <v/>
      </c>
      <c r="P119" s="8" t="inlineStr">
        <is>
          <t>TN</t>
        </is>
      </c>
      <c r="Q119" s="10">
        <f>IFERROR(IFERROR(VLOOKUP(A119,TRAOPE!$A:$U,21,0),VLOOKUP(B119,TRAOPE!$A:$U,21,0)),"")</f>
        <v/>
      </c>
      <c r="R119" s="8">
        <f>IFERROR(IFERROR(VLOOKUP(A119,TRAOPE!$A:$W,23,0),VLOOKUP(B119,TRAOPE!$A:$W,23,0)),"")</f>
        <v/>
      </c>
      <c r="S119" s="10">
        <f>IF(AND(P119="TN",R119="TN"),N119+N(O119),IF(G119&amp;""="1",N(K119)*N119,(N119+N(O119))*N(K119)))</f>
        <v/>
      </c>
      <c r="T119" s="10">
        <f>IF(Q119="","",Q119-S119)</f>
        <v/>
      </c>
    </row>
    <row r="120">
      <c r="A120" s="7">
        <f>CONCATENATE(C120,E120,F120,I120)</f>
        <v/>
      </c>
      <c r="B120" s="7">
        <f>CONCATENATE(C120,E120,I120)</f>
        <v/>
      </c>
      <c r="C120" s="8" t="n">
        <v>900003849</v>
      </c>
      <c r="D120" s="7">
        <f>IFERROR(VLOOKUP(C120,TRAOPE!$G:$H,2,0),"")</f>
        <v/>
      </c>
      <c r="E120" s="8" t="inlineStr">
        <is>
          <t>DW81</t>
        </is>
      </c>
      <c r="F120" s="8" t="inlineStr">
        <is>
          <t>D171</t>
        </is>
      </c>
      <c r="G120" s="8">
        <f>IFERROR(VLOOKUP(A120,Flete!$A:$E,5,0),"")</f>
        <v/>
      </c>
      <c r="H120" s="7">
        <f>IFERROR(VLOOKUP(F120,TRAOPE!$AA:$AB,2,0),"")</f>
        <v/>
      </c>
      <c r="I120" s="7" t="n">
        <v>10000859</v>
      </c>
      <c r="J120" s="7">
        <f>IFERROR(VLOOKUP(I120,Materiales!$A:$H,8,0),"")</f>
        <v/>
      </c>
      <c r="K120" s="9">
        <f>IFERROR(VLOOKUP(I120,Materiales!$A:$G,7,0),"")</f>
        <v/>
      </c>
      <c r="L120" s="8" t="inlineStr">
        <is>
          <t>20230125</t>
        </is>
      </c>
      <c r="M120" s="8" t="inlineStr">
        <is>
          <t>99991231</t>
        </is>
      </c>
      <c r="N120" s="10" t="n">
        <v>150</v>
      </c>
      <c r="O120" s="10">
        <f>IFERROR(VLOOKUP(A120,Flete!$A:$J,10,0),"")</f>
        <v/>
      </c>
      <c r="P120" s="8" t="inlineStr">
        <is>
          <t>TN</t>
        </is>
      </c>
      <c r="Q120" s="10">
        <f>IFERROR(IFERROR(VLOOKUP(A120,TRAOPE!$A:$U,21,0),VLOOKUP(B120,TRAOPE!$A:$U,21,0)),"")</f>
        <v/>
      </c>
      <c r="R120" s="8">
        <f>IFERROR(IFERROR(VLOOKUP(A120,TRAOPE!$A:$W,23,0),VLOOKUP(B120,TRAOPE!$A:$W,23,0)),"")</f>
        <v/>
      </c>
      <c r="S120" s="10">
        <f>IF(AND(P120="TN",R120="TN"),N120+N(O120),IF(G120&amp;""="1",N(K120)*N120,(N120+N(O120))*N(K120)))</f>
        <v/>
      </c>
      <c r="T120" s="10">
        <f>IF(Q120="","",Q120-S120)</f>
        <v/>
      </c>
    </row>
    <row r="121">
      <c r="A121" s="7">
        <f>CONCATENATE(C121,E121,F121,I121)</f>
        <v/>
      </c>
      <c r="B121" s="7">
        <f>CONCATENATE(C121,E121,I121)</f>
        <v/>
      </c>
      <c r="C121" s="8" t="n">
        <v>900003908</v>
      </c>
      <c r="D121" s="7">
        <f>IFERROR(VLOOKUP(C121,TRAOPE!$G:$H,2,0),"")</f>
        <v/>
      </c>
      <c r="E121" s="8" t="inlineStr">
        <is>
          <t>DW81</t>
        </is>
      </c>
      <c r="F121" s="8" t="inlineStr">
        <is>
          <t>D149</t>
        </is>
      </c>
      <c r="G121" s="8">
        <f>IFERROR(VLOOKUP(A121,Flete!$A:$E,5,0),"")</f>
        <v/>
      </c>
      <c r="H121" s="7">
        <f>IFERROR(VLOOKUP(F121,TRAOPE!$AA:$AB,2,0),"")</f>
        <v/>
      </c>
      <c r="I121" s="7" t="n">
        <v>10000019</v>
      </c>
      <c r="J121" s="7">
        <f>IFERROR(VLOOKUP(I121,Materiales!$A:$H,8,0),"")</f>
        <v/>
      </c>
      <c r="K121" s="9">
        <f>IFERROR(VLOOKUP(I121,Materiales!$A:$G,7,0),"")</f>
        <v/>
      </c>
      <c r="L121" s="8" t="inlineStr">
        <is>
          <t>20210620</t>
        </is>
      </c>
      <c r="M121" s="8" t="inlineStr">
        <is>
          <t>99991231</t>
        </is>
      </c>
      <c r="N121" s="10" t="n">
        <v>124.68</v>
      </c>
      <c r="O121" s="10">
        <f>IFERROR(VLOOKUP(A121,Flete!$A:$J,10,0),"")</f>
        <v/>
      </c>
      <c r="P121" s="8" t="inlineStr">
        <is>
          <t>TN</t>
        </is>
      </c>
      <c r="Q121" s="10">
        <f>IFERROR(IFERROR(VLOOKUP(A121,TRAOPE!$A:$U,21,0),VLOOKUP(B121,TRAOPE!$A:$U,21,0)),"")</f>
        <v/>
      </c>
      <c r="R121" s="8">
        <f>IFERROR(IFERROR(VLOOKUP(A121,TRAOPE!$A:$W,23,0),VLOOKUP(B121,TRAOPE!$A:$W,23,0)),"")</f>
        <v/>
      </c>
      <c r="S121" s="10">
        <f>IF(AND(P121="TN",R121="TN"),N121+N(O121),IF(G121&amp;""="1",N(K121)*N121,(N121+N(O121))*N(K121)))</f>
        <v/>
      </c>
      <c r="T121" s="10">
        <f>IF(Q121="","",Q121-S121)</f>
        <v/>
      </c>
    </row>
    <row r="122">
      <c r="A122" s="7">
        <f>CONCATENATE(C122,E122,F122,I122)</f>
        <v/>
      </c>
      <c r="B122" s="7">
        <f>CONCATENATE(C122,E122,I122)</f>
        <v/>
      </c>
      <c r="C122" s="8" t="n">
        <v>900003908</v>
      </c>
      <c r="D122" s="7">
        <f>IFERROR(VLOOKUP(C122,TRAOPE!$G:$H,2,0),"")</f>
        <v/>
      </c>
      <c r="E122" s="8" t="inlineStr">
        <is>
          <t>DW81</t>
        </is>
      </c>
      <c r="F122" s="8" t="inlineStr">
        <is>
          <t>D149</t>
        </is>
      </c>
      <c r="G122" s="8">
        <f>IFERROR(VLOOKUP(A122,Flete!$A:$E,5,0),"")</f>
        <v/>
      </c>
      <c r="H122" s="7">
        <f>IFERROR(VLOOKUP(F122,TRAOPE!$AA:$AB,2,0),"")</f>
        <v/>
      </c>
      <c r="I122" s="7" t="n">
        <v>10000041</v>
      </c>
      <c r="J122" s="7">
        <f>IFERROR(VLOOKUP(I122,Materiales!$A:$H,8,0),"")</f>
        <v/>
      </c>
      <c r="K122" s="9">
        <f>IFERROR(VLOOKUP(I122,Materiales!$A:$G,7,0),"")</f>
        <v/>
      </c>
      <c r="L122" s="8" t="inlineStr">
        <is>
          <t>20210620</t>
        </is>
      </c>
      <c r="M122" s="8" t="inlineStr">
        <is>
          <t>99991231</t>
        </is>
      </c>
      <c r="N122" s="10" t="n">
        <v>136.67</v>
      </c>
      <c r="O122" s="10">
        <f>IFERROR(VLOOKUP(A122,Flete!$A:$J,10,0),"")</f>
        <v/>
      </c>
      <c r="P122" s="8" t="inlineStr">
        <is>
          <t>TN</t>
        </is>
      </c>
      <c r="Q122" s="10">
        <f>IFERROR(IFERROR(VLOOKUP(A122,TRAOPE!$A:$U,21,0),VLOOKUP(B122,TRAOPE!$A:$U,21,0)),"")</f>
        <v/>
      </c>
      <c r="R122" s="8">
        <f>IFERROR(IFERROR(VLOOKUP(A122,TRAOPE!$A:$W,23,0),VLOOKUP(B122,TRAOPE!$A:$W,23,0)),"")</f>
        <v/>
      </c>
      <c r="S122" s="10">
        <f>IF(AND(P122="TN",R122="TN"),N122+N(O122),IF(G122&amp;""="1",N(K122)*N122,(N122+N(O122))*N(K122)))</f>
        <v/>
      </c>
      <c r="T122" s="10">
        <f>IF(Q122="","",Q122-S122)</f>
        <v/>
      </c>
    </row>
    <row r="123">
      <c r="A123" s="7">
        <f>CONCATENATE(C123,E123,F123,I123)</f>
        <v/>
      </c>
      <c r="B123" s="7">
        <f>CONCATENATE(C123,E123,I123)</f>
        <v/>
      </c>
      <c r="C123" s="8" t="n">
        <v>900003988</v>
      </c>
      <c r="D123" s="7">
        <f>IFERROR(VLOOKUP(C123,TRAOPE!$G:$H,2,0),"")</f>
        <v/>
      </c>
      <c r="E123" s="8" t="inlineStr">
        <is>
          <t>DW81</t>
        </is>
      </c>
      <c r="F123" s="8" t="inlineStr">
        <is>
          <t>D148</t>
        </is>
      </c>
      <c r="G123" s="8">
        <f>IFERROR(VLOOKUP(A123,Flete!$A:$E,5,0),"")</f>
        <v/>
      </c>
      <c r="H123" s="7">
        <f>IFERROR(VLOOKUP(F123,TRAOPE!$AA:$AB,2,0),"")</f>
        <v/>
      </c>
      <c r="I123" s="7" t="n">
        <v>10031155</v>
      </c>
      <c r="J123" s="7">
        <f>IFERROR(VLOOKUP(I123,Materiales!$A:$H,8,0),"")</f>
        <v/>
      </c>
      <c r="K123" s="9">
        <f>IFERROR(VLOOKUP(I123,Materiales!$A:$G,7,0),"")</f>
        <v/>
      </c>
      <c r="L123" s="8" t="inlineStr">
        <is>
          <t>20210620</t>
        </is>
      </c>
      <c r="M123" s="8" t="inlineStr">
        <is>
          <t>99991231</t>
        </is>
      </c>
      <c r="N123" s="10" t="n">
        <v>58.75</v>
      </c>
      <c r="O123" s="10">
        <f>IFERROR(VLOOKUP(A123,Flete!$A:$J,10,0),"")</f>
        <v/>
      </c>
      <c r="P123" s="8" t="inlineStr">
        <is>
          <t>TN</t>
        </is>
      </c>
      <c r="Q123" s="10">
        <f>IFERROR(IFERROR(VLOOKUP(A123,TRAOPE!$A:$U,21,0),VLOOKUP(B123,TRAOPE!$A:$U,21,0)),"")</f>
        <v/>
      </c>
      <c r="R123" s="8">
        <f>IFERROR(IFERROR(VLOOKUP(A123,TRAOPE!$A:$W,23,0),VLOOKUP(B123,TRAOPE!$A:$W,23,0)),"")</f>
        <v/>
      </c>
      <c r="S123" s="10">
        <f>IF(AND(P123="TN",R123="TN"),N123+N(O123),IF(G123&amp;""="1",N(K123)*N123,(N123+N(O123))*N(K123)))</f>
        <v/>
      </c>
      <c r="T123" s="10">
        <f>IF(Q123="","",Q123-S123)</f>
        <v/>
      </c>
    </row>
    <row r="124">
      <c r="A124" s="7">
        <f>CONCATENATE(C124,E124,F124,I124)</f>
        <v/>
      </c>
      <c r="B124" s="7">
        <f>CONCATENATE(C124,E124,I124)</f>
        <v/>
      </c>
      <c r="C124" s="8" t="n">
        <v>900003988</v>
      </c>
      <c r="D124" s="7">
        <f>IFERROR(VLOOKUP(C124,TRAOPE!$G:$H,2,0),"")</f>
        <v/>
      </c>
      <c r="E124" s="8" t="inlineStr">
        <is>
          <t>DW81</t>
        </is>
      </c>
      <c r="F124" s="8" t="inlineStr">
        <is>
          <t>D148</t>
        </is>
      </c>
      <c r="G124" s="8">
        <f>IFERROR(VLOOKUP(A124,Flete!$A:$E,5,0),"")</f>
        <v/>
      </c>
      <c r="H124" s="7">
        <f>IFERROR(VLOOKUP(F124,TRAOPE!$AA:$AB,2,0),"")</f>
        <v/>
      </c>
      <c r="I124" s="7" t="n">
        <v>10031158</v>
      </c>
      <c r="J124" s="7">
        <f>IFERROR(VLOOKUP(I124,Materiales!$A:$H,8,0),"")</f>
        <v/>
      </c>
      <c r="K124" s="9">
        <f>IFERROR(VLOOKUP(I124,Materiales!$A:$G,7,0),"")</f>
        <v/>
      </c>
      <c r="L124" s="8" t="inlineStr">
        <is>
          <t>20210620</t>
        </is>
      </c>
      <c r="M124" s="8" t="inlineStr">
        <is>
          <t>99991231</t>
        </is>
      </c>
      <c r="N124" s="10" t="n">
        <v>53.5</v>
      </c>
      <c r="O124" s="10">
        <f>IFERROR(VLOOKUP(A124,Flete!$A:$J,10,0),"")</f>
        <v/>
      </c>
      <c r="P124" s="8" t="inlineStr">
        <is>
          <t>TN</t>
        </is>
      </c>
      <c r="Q124" s="10">
        <f>IFERROR(IFERROR(VLOOKUP(A124,TRAOPE!$A:$U,21,0),VLOOKUP(B124,TRAOPE!$A:$U,21,0)),"")</f>
        <v/>
      </c>
      <c r="R124" s="8">
        <f>IFERROR(IFERROR(VLOOKUP(A124,TRAOPE!$A:$W,23,0),VLOOKUP(B124,TRAOPE!$A:$W,23,0)),"")</f>
        <v/>
      </c>
      <c r="S124" s="10">
        <f>IF(AND(P124="TN",R124="TN"),N124+N(O124),IF(G124&amp;""="1",N(K124)*N124,(N124+N(O124))*N(K124)))</f>
        <v/>
      </c>
      <c r="T124" s="10">
        <f>IF(Q124="","",Q124-S124)</f>
        <v/>
      </c>
    </row>
    <row r="125">
      <c r="A125" s="7">
        <f>CONCATENATE(C125,E125,F125,I125)</f>
        <v/>
      </c>
      <c r="B125" s="7">
        <f>CONCATENATE(C125,E125,I125)</f>
        <v/>
      </c>
      <c r="C125" s="8" t="n">
        <v>900004091</v>
      </c>
      <c r="D125" s="7">
        <f>IFERROR(VLOOKUP(C125,TRAOPE!$G:$H,2,0),"")</f>
        <v/>
      </c>
      <c r="E125" s="8" t="inlineStr">
        <is>
          <t>DW81</t>
        </is>
      </c>
      <c r="F125" s="8" t="inlineStr">
        <is>
          <t>D171</t>
        </is>
      </c>
      <c r="G125" s="8">
        <f>IFERROR(VLOOKUP(A125,Flete!$A:$E,5,0),"")</f>
        <v/>
      </c>
      <c r="H125" s="7">
        <f>IFERROR(VLOOKUP(F125,TRAOPE!$AA:$AB,2,0),"")</f>
        <v/>
      </c>
      <c r="I125" s="7" t="n">
        <v>10017641</v>
      </c>
      <c r="J125" s="7">
        <f>IFERROR(VLOOKUP(I125,Materiales!$A:$H,8,0),"")</f>
        <v/>
      </c>
      <c r="K125" s="9">
        <f>IFERROR(VLOOKUP(I125,Materiales!$A:$G,7,0),"")</f>
        <v/>
      </c>
      <c r="L125" s="8" t="inlineStr">
        <is>
          <t>20210620</t>
        </is>
      </c>
      <c r="M125" s="8" t="inlineStr">
        <is>
          <t>20251031</t>
        </is>
      </c>
      <c r="N125" s="10" t="n">
        <v>142.74</v>
      </c>
      <c r="O125" s="10">
        <f>IFERROR(VLOOKUP(A125,Flete!$A:$J,10,0),"")</f>
        <v/>
      </c>
      <c r="P125" s="8" t="inlineStr">
        <is>
          <t>TN</t>
        </is>
      </c>
      <c r="Q125" s="10">
        <f>IFERROR(IFERROR(VLOOKUP(A125,TRAOPE!$A:$U,21,0),VLOOKUP(B125,TRAOPE!$A:$U,21,0)),"")</f>
        <v/>
      </c>
      <c r="R125" s="8">
        <f>IFERROR(IFERROR(VLOOKUP(A125,TRAOPE!$A:$W,23,0),VLOOKUP(B125,TRAOPE!$A:$W,23,0)),"")</f>
        <v/>
      </c>
      <c r="S125" s="10">
        <f>IF(AND(P125="TN",R125="TN"),N125+N(O125),IF(G125&amp;""="1",N(K125)*N125,(N125+N(O125))*N(K125)))</f>
        <v/>
      </c>
      <c r="T125" s="10">
        <f>IF(Q125="","",Q125-S125)</f>
        <v/>
      </c>
    </row>
    <row r="126">
      <c r="A126" s="7">
        <f>CONCATENATE(C126,E126,F126,I126)</f>
        <v/>
      </c>
      <c r="B126" s="7">
        <f>CONCATENATE(C126,E126,I126)</f>
        <v/>
      </c>
      <c r="C126" s="8" t="n">
        <v>900004091</v>
      </c>
      <c r="D126" s="7">
        <f>IFERROR(VLOOKUP(C126,TRAOPE!$G:$H,2,0),"")</f>
        <v/>
      </c>
      <c r="E126" s="8" t="inlineStr">
        <is>
          <t>DW81</t>
        </is>
      </c>
      <c r="F126" s="8" t="inlineStr">
        <is>
          <t>D171</t>
        </is>
      </c>
      <c r="G126" s="8">
        <f>IFERROR(VLOOKUP(A126,Flete!$A:$E,5,0),"")</f>
        <v/>
      </c>
      <c r="H126" s="7">
        <f>IFERROR(VLOOKUP(F126,TRAOPE!$AA:$AB,2,0),"")</f>
        <v/>
      </c>
      <c r="I126" s="7" t="n">
        <v>10066103</v>
      </c>
      <c r="J126" s="7">
        <f>IFERROR(VLOOKUP(I126,Materiales!$A:$H,8,0),"")</f>
        <v/>
      </c>
      <c r="K126" s="9">
        <f>IFERROR(VLOOKUP(I126,Materiales!$A:$G,7,0),"")</f>
        <v/>
      </c>
      <c r="L126" s="8" t="inlineStr">
        <is>
          <t>20210620</t>
        </is>
      </c>
      <c r="M126" s="8" t="inlineStr">
        <is>
          <t>20251031</t>
        </is>
      </c>
      <c r="N126" s="10" t="n">
        <v>138.48</v>
      </c>
      <c r="O126" s="10">
        <f>IFERROR(VLOOKUP(A126,Flete!$A:$J,10,0),"")</f>
        <v/>
      </c>
      <c r="P126" s="8" t="inlineStr">
        <is>
          <t>TN</t>
        </is>
      </c>
      <c r="Q126" s="10">
        <f>IFERROR(IFERROR(VLOOKUP(A126,TRAOPE!$A:$U,21,0),VLOOKUP(B126,TRAOPE!$A:$U,21,0)),"")</f>
        <v/>
      </c>
      <c r="R126" s="8">
        <f>IFERROR(IFERROR(VLOOKUP(A126,TRAOPE!$A:$W,23,0),VLOOKUP(B126,TRAOPE!$A:$W,23,0)),"")</f>
        <v/>
      </c>
      <c r="S126" s="10">
        <f>IF(AND(P126="TN",R126="TN"),N126+N(O126),IF(G126&amp;""="1",N(K126)*N126,(N126+N(O126))*N(K126)))</f>
        <v/>
      </c>
      <c r="T126" s="10">
        <f>IF(Q126="","",Q126-S126)</f>
        <v/>
      </c>
    </row>
    <row r="127">
      <c r="A127" s="7">
        <f>CONCATENATE(C127,E127,F127,I127)</f>
        <v/>
      </c>
      <c r="B127" s="7">
        <f>CONCATENATE(C127,E127,I127)</f>
        <v/>
      </c>
      <c r="C127" s="8" t="n">
        <v>900004125</v>
      </c>
      <c r="D127" s="7">
        <f>IFERROR(VLOOKUP(C127,TRAOPE!$G:$H,2,0),"")</f>
        <v/>
      </c>
      <c r="E127" s="8" t="inlineStr">
        <is>
          <t>DW81</t>
        </is>
      </c>
      <c r="F127" s="8" t="inlineStr">
        <is>
          <t>D195</t>
        </is>
      </c>
      <c r="G127" s="8">
        <f>IFERROR(VLOOKUP(A127,Flete!$A:$E,5,0),"")</f>
        <v/>
      </c>
      <c r="H127" s="7">
        <f>IFERROR(VLOOKUP(F127,TRAOPE!$AA:$AB,2,0),"")</f>
        <v/>
      </c>
      <c r="I127" s="7" t="n">
        <v>10002043</v>
      </c>
      <c r="J127" s="7">
        <f>IFERROR(VLOOKUP(I127,Materiales!$A:$H,8,0),"")</f>
        <v/>
      </c>
      <c r="K127" s="9">
        <f>IFERROR(VLOOKUP(I127,Materiales!$A:$G,7,0),"")</f>
        <v/>
      </c>
      <c r="L127" s="8" t="inlineStr">
        <is>
          <t>20220516</t>
        </is>
      </c>
      <c r="M127" s="8" t="inlineStr">
        <is>
          <t>99991231</t>
        </is>
      </c>
      <c r="N127" s="10" t="n">
        <v>101.07</v>
      </c>
      <c r="O127" s="10">
        <f>IFERROR(VLOOKUP(A127,Flete!$A:$J,10,0),"")</f>
        <v/>
      </c>
      <c r="P127" s="8" t="inlineStr">
        <is>
          <t>TN</t>
        </is>
      </c>
      <c r="Q127" s="10">
        <f>IFERROR(IFERROR(VLOOKUP(A127,TRAOPE!$A:$U,21,0),VLOOKUP(B127,TRAOPE!$A:$U,21,0)),"")</f>
        <v/>
      </c>
      <c r="R127" s="8">
        <f>IFERROR(IFERROR(VLOOKUP(A127,TRAOPE!$A:$W,23,0),VLOOKUP(B127,TRAOPE!$A:$W,23,0)),"")</f>
        <v/>
      </c>
      <c r="S127" s="10">
        <f>IF(AND(P127="TN",R127="TN"),N127+N(O127),IF(G127&amp;""="1",N(K127)*N127,(N127+N(O127))*N(K127)))</f>
        <v/>
      </c>
      <c r="T127" s="10">
        <f>IF(Q127="","",Q127-S127)</f>
        <v/>
      </c>
    </row>
    <row r="128">
      <c r="A128" s="7">
        <f>CONCATENATE(C128,E128,F128,I128)</f>
        <v/>
      </c>
      <c r="B128" s="7">
        <f>CONCATENATE(C128,E128,I128)</f>
        <v/>
      </c>
      <c r="C128" s="8" t="n">
        <v>900004125</v>
      </c>
      <c r="D128" s="7">
        <f>IFERROR(VLOOKUP(C128,TRAOPE!$G:$H,2,0),"")</f>
        <v/>
      </c>
      <c r="E128" s="8" t="inlineStr">
        <is>
          <t>DW81</t>
        </is>
      </c>
      <c r="F128" s="8" t="inlineStr">
        <is>
          <t>D195</t>
        </is>
      </c>
      <c r="G128" s="8">
        <f>IFERROR(VLOOKUP(A128,Flete!$A:$E,5,0),"")</f>
        <v/>
      </c>
      <c r="H128" s="7">
        <f>IFERROR(VLOOKUP(F128,TRAOPE!$AA:$AB,2,0),"")</f>
        <v/>
      </c>
      <c r="I128" s="7" t="n">
        <v>10067273</v>
      </c>
      <c r="J128" s="7">
        <f>IFERROR(VLOOKUP(I128,Materiales!$A:$H,8,0),"")</f>
        <v/>
      </c>
      <c r="K128" s="9">
        <f>IFERROR(VLOOKUP(I128,Materiales!$A:$G,7,0),"")</f>
        <v/>
      </c>
      <c r="L128" s="8" t="inlineStr">
        <is>
          <t>20220516</t>
        </is>
      </c>
      <c r="M128" s="8" t="inlineStr">
        <is>
          <t>99991231</t>
        </is>
      </c>
      <c r="N128" s="10" t="n">
        <v>433.61</v>
      </c>
      <c r="O128" s="10">
        <f>IFERROR(VLOOKUP(A128,Flete!$A:$J,10,0),"")</f>
        <v/>
      </c>
      <c r="P128" s="8" t="inlineStr">
        <is>
          <t>TN</t>
        </is>
      </c>
      <c r="Q128" s="10">
        <f>IFERROR(IFERROR(VLOOKUP(A128,TRAOPE!$A:$U,21,0),VLOOKUP(B128,TRAOPE!$A:$U,21,0)),"")</f>
        <v/>
      </c>
      <c r="R128" s="8">
        <f>IFERROR(IFERROR(VLOOKUP(A128,TRAOPE!$A:$W,23,0),VLOOKUP(B128,TRAOPE!$A:$W,23,0)),"")</f>
        <v/>
      </c>
      <c r="S128" s="10">
        <f>IF(AND(P128="TN",R128="TN"),N128+N(O128),IF(G128&amp;""="1",N(K128)*N128,(N128+N(O128))*N(K128)))</f>
        <v/>
      </c>
      <c r="T128" s="10">
        <f>IF(Q128="","",Q128-S128)</f>
        <v/>
      </c>
    </row>
    <row r="129">
      <c r="A129" s="7">
        <f>CONCATENATE(C129,E129,F129,I129)</f>
        <v/>
      </c>
      <c r="B129" s="7">
        <f>CONCATENATE(C129,E129,I129)</f>
        <v/>
      </c>
      <c r="C129" s="8" t="n">
        <v>900004125</v>
      </c>
      <c r="D129" s="7">
        <f>IFERROR(VLOOKUP(C129,TRAOPE!$G:$H,2,0),"")</f>
        <v/>
      </c>
      <c r="E129" s="8" t="inlineStr">
        <is>
          <t>DW81</t>
        </is>
      </c>
      <c r="F129" s="8" t="inlineStr">
        <is>
          <t>D195</t>
        </is>
      </c>
      <c r="G129" s="8">
        <f>IFERROR(VLOOKUP(A129,Flete!$A:$E,5,0),"")</f>
        <v/>
      </c>
      <c r="H129" s="7">
        <f>IFERROR(VLOOKUP(F129,TRAOPE!$AA:$AB,2,0),"")</f>
        <v/>
      </c>
      <c r="I129" s="7" t="n">
        <v>10067274</v>
      </c>
      <c r="J129" s="7">
        <f>IFERROR(VLOOKUP(I129,Materiales!$A:$H,8,0),"")</f>
        <v/>
      </c>
      <c r="K129" s="9">
        <f>IFERROR(VLOOKUP(I129,Materiales!$A:$G,7,0),"")</f>
        <v/>
      </c>
      <c r="L129" s="8" t="inlineStr">
        <is>
          <t>20220516</t>
        </is>
      </c>
      <c r="M129" s="8" t="inlineStr">
        <is>
          <t>99991231</t>
        </is>
      </c>
      <c r="N129" s="10" t="n">
        <v>419.2</v>
      </c>
      <c r="O129" s="10">
        <f>IFERROR(VLOOKUP(A129,Flete!$A:$J,10,0),"")</f>
        <v/>
      </c>
      <c r="P129" s="8" t="inlineStr">
        <is>
          <t>TN</t>
        </is>
      </c>
      <c r="Q129" s="10">
        <f>IFERROR(IFERROR(VLOOKUP(A129,TRAOPE!$A:$U,21,0),VLOOKUP(B129,TRAOPE!$A:$U,21,0)),"")</f>
        <v/>
      </c>
      <c r="R129" s="8">
        <f>IFERROR(IFERROR(VLOOKUP(A129,TRAOPE!$A:$W,23,0),VLOOKUP(B129,TRAOPE!$A:$W,23,0)),"")</f>
        <v/>
      </c>
      <c r="S129" s="10">
        <f>IF(AND(P129="TN",R129="TN"),N129+N(O129),IF(G129&amp;""="1",N(K129)*N129,(N129+N(O129))*N(K129)))</f>
        <v/>
      </c>
      <c r="T129" s="10">
        <f>IF(Q129="","",Q129-S129)</f>
        <v/>
      </c>
    </row>
    <row r="130">
      <c r="A130" s="7">
        <f>CONCATENATE(C130,E130,F130,I130)</f>
        <v/>
      </c>
      <c r="B130" s="7">
        <f>CONCATENATE(C130,E130,I130)</f>
        <v/>
      </c>
      <c r="C130" s="8" t="n">
        <v>900004409</v>
      </c>
      <c r="D130" s="7">
        <f>IFERROR(VLOOKUP(C130,TRAOPE!$G:$H,2,0),"")</f>
        <v/>
      </c>
      <c r="E130" s="8" t="inlineStr">
        <is>
          <t>DW81</t>
        </is>
      </c>
      <c r="F130" s="8" t="inlineStr">
        <is>
          <t>D149</t>
        </is>
      </c>
      <c r="G130" s="8">
        <f>IFERROR(VLOOKUP(A130,Flete!$A:$E,5,0),"")</f>
        <v/>
      </c>
      <c r="H130" s="7">
        <f>IFERROR(VLOOKUP(F130,TRAOPE!$AA:$AB,2,0),"")</f>
        <v/>
      </c>
      <c r="I130" s="7" t="n">
        <v>10017641</v>
      </c>
      <c r="J130" s="7">
        <f>IFERROR(VLOOKUP(I130,Materiales!$A:$H,8,0),"")</f>
        <v/>
      </c>
      <c r="K130" s="9">
        <f>IFERROR(VLOOKUP(I130,Materiales!$A:$G,7,0),"")</f>
        <v/>
      </c>
      <c r="L130" s="8" t="inlineStr">
        <is>
          <t>20210620</t>
        </is>
      </c>
      <c r="M130" s="8" t="inlineStr">
        <is>
          <t>99991231</t>
        </is>
      </c>
      <c r="N130" s="10" t="n">
        <v>104.03</v>
      </c>
      <c r="O130" s="10">
        <f>IFERROR(VLOOKUP(A130,Flete!$A:$J,10,0),"")</f>
        <v/>
      </c>
      <c r="P130" s="8" t="inlineStr">
        <is>
          <t>TN</t>
        </is>
      </c>
      <c r="Q130" s="10">
        <f>IFERROR(IFERROR(VLOOKUP(A130,TRAOPE!$A:$U,21,0),VLOOKUP(B130,TRAOPE!$A:$U,21,0)),"")</f>
        <v/>
      </c>
      <c r="R130" s="8">
        <f>IFERROR(IFERROR(VLOOKUP(A130,TRAOPE!$A:$W,23,0),VLOOKUP(B130,TRAOPE!$A:$W,23,0)),"")</f>
        <v/>
      </c>
      <c r="S130" s="10">
        <f>IF(AND(P130="TN",R130="TN"),N130+N(O130),IF(G130&amp;""="1",N(K130)*N130,(N130+N(O130))*N(K130)))</f>
        <v/>
      </c>
      <c r="T130" s="10">
        <f>IF(Q130="","",Q130-S130)</f>
        <v/>
      </c>
    </row>
    <row r="131">
      <c r="A131" s="7">
        <f>CONCATENATE(C131,E131,F131,I131)</f>
        <v/>
      </c>
      <c r="B131" s="7">
        <f>CONCATENATE(C131,E131,I131)</f>
        <v/>
      </c>
      <c r="C131" s="8" t="n">
        <v>900004409</v>
      </c>
      <c r="D131" s="7">
        <f>IFERROR(VLOOKUP(C131,TRAOPE!$G:$H,2,0),"")</f>
        <v/>
      </c>
      <c r="E131" s="8" t="inlineStr">
        <is>
          <t>DW81</t>
        </is>
      </c>
      <c r="F131" s="8" t="inlineStr">
        <is>
          <t>D149</t>
        </is>
      </c>
      <c r="G131" s="8">
        <f>IFERROR(VLOOKUP(A131,Flete!$A:$E,5,0),"")</f>
        <v/>
      </c>
      <c r="H131" s="7">
        <f>IFERROR(VLOOKUP(F131,TRAOPE!$AA:$AB,2,0),"")</f>
        <v/>
      </c>
      <c r="I131" s="7" t="n">
        <v>10066103</v>
      </c>
      <c r="J131" s="7">
        <f>IFERROR(VLOOKUP(I131,Materiales!$A:$H,8,0),"")</f>
        <v/>
      </c>
      <c r="K131" s="9">
        <f>IFERROR(VLOOKUP(I131,Materiales!$A:$G,7,0),"")</f>
        <v/>
      </c>
      <c r="L131" s="8" t="inlineStr">
        <is>
          <t>20210620</t>
        </is>
      </c>
      <c r="M131" s="8" t="inlineStr">
        <is>
          <t>99991231</t>
        </is>
      </c>
      <c r="N131" s="10" t="n">
        <v>102.21</v>
      </c>
      <c r="O131" s="10">
        <f>IFERROR(VLOOKUP(A131,Flete!$A:$J,10,0),"")</f>
        <v/>
      </c>
      <c r="P131" s="8" t="inlineStr">
        <is>
          <t>TN</t>
        </is>
      </c>
      <c r="Q131" s="10">
        <f>IFERROR(IFERROR(VLOOKUP(A131,TRAOPE!$A:$U,21,0),VLOOKUP(B131,TRAOPE!$A:$U,21,0)),"")</f>
        <v/>
      </c>
      <c r="R131" s="8">
        <f>IFERROR(IFERROR(VLOOKUP(A131,TRAOPE!$A:$W,23,0),VLOOKUP(B131,TRAOPE!$A:$W,23,0)),"")</f>
        <v/>
      </c>
      <c r="S131" s="10">
        <f>IF(AND(P131="TN",R131="TN"),N131+N(O131),IF(G131&amp;""="1",N(K131)*N131,(N131+N(O131))*N(K131)))</f>
        <v/>
      </c>
      <c r="T131" s="10">
        <f>IF(Q131="","",Q131-S131)</f>
        <v/>
      </c>
    </row>
    <row r="132">
      <c r="A132" s="7">
        <f>CONCATENATE(C132,E132,F132,I132)</f>
        <v/>
      </c>
      <c r="B132" s="7">
        <f>CONCATENATE(C132,E132,I132)</f>
        <v/>
      </c>
      <c r="C132" s="8" t="n">
        <v>900004721</v>
      </c>
      <c r="D132" s="7">
        <f>IFERROR(VLOOKUP(C132,TRAOPE!$G:$H,2,0),"")</f>
        <v/>
      </c>
      <c r="E132" s="8" t="inlineStr">
        <is>
          <t>DW81</t>
        </is>
      </c>
      <c r="F132" s="8" t="inlineStr">
        <is>
          <t>D148</t>
        </is>
      </c>
      <c r="G132" s="8">
        <f>IFERROR(VLOOKUP(A132,Flete!$A:$E,5,0),"")</f>
        <v/>
      </c>
      <c r="H132" s="7">
        <f>IFERROR(VLOOKUP(F132,TRAOPE!$AA:$AB,2,0),"")</f>
        <v/>
      </c>
      <c r="I132" s="7" t="n">
        <v>10000407</v>
      </c>
      <c r="J132" s="7">
        <f>IFERROR(VLOOKUP(I132,Materiales!$A:$H,8,0),"")</f>
        <v/>
      </c>
      <c r="K132" s="9">
        <f>IFERROR(VLOOKUP(I132,Materiales!$A:$G,7,0),"")</f>
        <v/>
      </c>
      <c r="L132" s="8" t="inlineStr">
        <is>
          <t>20210620</t>
        </is>
      </c>
      <c r="M132" s="8" t="inlineStr">
        <is>
          <t>20251031</t>
        </is>
      </c>
      <c r="N132" s="10" t="n">
        <v>93</v>
      </c>
      <c r="O132" s="10">
        <f>IFERROR(VLOOKUP(A132,Flete!$A:$J,10,0),"")</f>
        <v/>
      </c>
      <c r="P132" s="8" t="inlineStr">
        <is>
          <t>TN</t>
        </is>
      </c>
      <c r="Q132" s="10">
        <f>IFERROR(IFERROR(VLOOKUP(A132,TRAOPE!$A:$U,21,0),VLOOKUP(B132,TRAOPE!$A:$U,21,0)),"")</f>
        <v/>
      </c>
      <c r="R132" s="8">
        <f>IFERROR(IFERROR(VLOOKUP(A132,TRAOPE!$A:$W,23,0),VLOOKUP(B132,TRAOPE!$A:$W,23,0)),"")</f>
        <v/>
      </c>
      <c r="S132" s="10">
        <f>IF(AND(P132="TN",R132="TN"),N132+N(O132),IF(G132&amp;""="1",N(K132)*N132,(N132+N(O132))*N(K132)))</f>
        <v/>
      </c>
      <c r="T132" s="10">
        <f>IF(Q132="","",Q132-S132)</f>
        <v/>
      </c>
    </row>
    <row r="133">
      <c r="A133" s="7">
        <f>CONCATENATE(C133,E133,F133,I133)</f>
        <v/>
      </c>
      <c r="B133" s="7">
        <f>CONCATENATE(C133,E133,I133)</f>
        <v/>
      </c>
      <c r="C133" s="8" t="n">
        <v>900004721</v>
      </c>
      <c r="D133" s="7">
        <f>IFERROR(VLOOKUP(C133,TRAOPE!$G:$H,2,0),"")</f>
        <v/>
      </c>
      <c r="E133" s="8" t="inlineStr">
        <is>
          <t>DW81</t>
        </is>
      </c>
      <c r="F133" s="8" t="inlineStr">
        <is>
          <t>D148</t>
        </is>
      </c>
      <c r="G133" s="8">
        <f>IFERROR(VLOOKUP(A133,Flete!$A:$E,5,0),"")</f>
        <v/>
      </c>
      <c r="H133" s="7">
        <f>IFERROR(VLOOKUP(F133,TRAOPE!$AA:$AB,2,0),"")</f>
        <v/>
      </c>
      <c r="I133" s="7" t="n">
        <v>10000430</v>
      </c>
      <c r="J133" s="7">
        <f>IFERROR(VLOOKUP(I133,Materiales!$A:$H,8,0),"")</f>
        <v/>
      </c>
      <c r="K133" s="9">
        <f>IFERROR(VLOOKUP(I133,Materiales!$A:$G,7,0),"")</f>
        <v/>
      </c>
      <c r="L133" s="8" t="inlineStr">
        <is>
          <t>20210620</t>
        </is>
      </c>
      <c r="M133" s="8" t="inlineStr">
        <is>
          <t>20251031</t>
        </is>
      </c>
      <c r="N133" s="10" t="n">
        <v>89</v>
      </c>
      <c r="O133" s="10">
        <f>IFERROR(VLOOKUP(A133,Flete!$A:$J,10,0),"")</f>
        <v/>
      </c>
      <c r="P133" s="8" t="inlineStr">
        <is>
          <t>TN</t>
        </is>
      </c>
      <c r="Q133" s="10">
        <f>IFERROR(IFERROR(VLOOKUP(A133,TRAOPE!$A:$U,21,0),VLOOKUP(B133,TRAOPE!$A:$U,21,0)),"")</f>
        <v/>
      </c>
      <c r="R133" s="8">
        <f>IFERROR(IFERROR(VLOOKUP(A133,TRAOPE!$A:$W,23,0),VLOOKUP(B133,TRAOPE!$A:$W,23,0)),"")</f>
        <v/>
      </c>
      <c r="S133" s="10">
        <f>IF(AND(P133="TN",R133="TN"),N133+N(O133),IF(G133&amp;""="1",N(K133)*N133,(N133+N(O133))*N(K133)))</f>
        <v/>
      </c>
      <c r="T133" s="10">
        <f>IF(Q133="","",Q133-S133)</f>
        <v/>
      </c>
    </row>
    <row r="134">
      <c r="A134" s="7">
        <f>CONCATENATE(C134,E134,F134,I134)</f>
        <v/>
      </c>
      <c r="B134" s="7">
        <f>CONCATENATE(C134,E134,I134)</f>
        <v/>
      </c>
      <c r="C134" s="8" t="n">
        <v>900004721</v>
      </c>
      <c r="D134" s="7">
        <f>IFERROR(VLOOKUP(C134,TRAOPE!$G:$H,2,0),"")</f>
        <v/>
      </c>
      <c r="E134" s="8" t="inlineStr">
        <is>
          <t>DW81</t>
        </is>
      </c>
      <c r="F134" s="8" t="inlineStr">
        <is>
          <t>D148</t>
        </is>
      </c>
      <c r="G134" s="8">
        <f>IFERROR(VLOOKUP(A134,Flete!$A:$E,5,0),"")</f>
        <v/>
      </c>
      <c r="H134" s="7">
        <f>IFERROR(VLOOKUP(F134,TRAOPE!$AA:$AB,2,0),"")</f>
        <v/>
      </c>
      <c r="I134" s="7" t="n">
        <v>10000624</v>
      </c>
      <c r="J134" s="7">
        <f>IFERROR(VLOOKUP(I134,Materiales!$A:$H,8,0),"")</f>
        <v/>
      </c>
      <c r="K134" s="9">
        <f>IFERROR(VLOOKUP(I134,Materiales!$A:$G,7,0),"")</f>
        <v/>
      </c>
      <c r="L134" s="8" t="inlineStr">
        <is>
          <t>20210620</t>
        </is>
      </c>
      <c r="M134" s="8" t="inlineStr">
        <is>
          <t>20251031</t>
        </is>
      </c>
      <c r="N134" s="10" t="n">
        <v>89</v>
      </c>
      <c r="O134" s="10">
        <f>IFERROR(VLOOKUP(A134,Flete!$A:$J,10,0),"")</f>
        <v/>
      </c>
      <c r="P134" s="8" t="inlineStr">
        <is>
          <t>TN</t>
        </is>
      </c>
      <c r="Q134" s="10">
        <f>IFERROR(IFERROR(VLOOKUP(A134,TRAOPE!$A:$U,21,0),VLOOKUP(B134,TRAOPE!$A:$U,21,0)),"")</f>
        <v/>
      </c>
      <c r="R134" s="8">
        <f>IFERROR(IFERROR(VLOOKUP(A134,TRAOPE!$A:$W,23,0),VLOOKUP(B134,TRAOPE!$A:$W,23,0)),"")</f>
        <v/>
      </c>
      <c r="S134" s="10">
        <f>IF(AND(P134="TN",R134="TN"),N134+N(O134),IF(G134&amp;""="1",N(K134)*N134,(N134+N(O134))*N(K134)))</f>
        <v/>
      </c>
      <c r="T134" s="10">
        <f>IF(Q134="","",Q134-S134)</f>
        <v/>
      </c>
    </row>
    <row r="135">
      <c r="A135" s="7">
        <f>CONCATENATE(C135,E135,F135,I135)</f>
        <v/>
      </c>
      <c r="B135" s="7">
        <f>CONCATENATE(C135,E135,I135)</f>
        <v/>
      </c>
      <c r="C135" s="8" t="n">
        <v>900004721</v>
      </c>
      <c r="D135" s="7">
        <f>IFERROR(VLOOKUP(C135,TRAOPE!$G:$H,2,0),"")</f>
        <v/>
      </c>
      <c r="E135" s="8" t="inlineStr">
        <is>
          <t>DW81</t>
        </is>
      </c>
      <c r="F135" s="8" t="inlineStr">
        <is>
          <t>D148</t>
        </is>
      </c>
      <c r="G135" s="8">
        <f>IFERROR(VLOOKUP(A135,Flete!$A:$E,5,0),"")</f>
        <v/>
      </c>
      <c r="H135" s="7">
        <f>IFERROR(VLOOKUP(F135,TRAOPE!$AA:$AB,2,0),"")</f>
        <v/>
      </c>
      <c r="I135" s="7" t="n">
        <v>10132162</v>
      </c>
      <c r="J135" s="7">
        <f>IFERROR(VLOOKUP(I135,Materiales!$A:$H,8,0),"")</f>
        <v/>
      </c>
      <c r="K135" s="9">
        <f>IFERROR(VLOOKUP(I135,Materiales!$A:$G,7,0),"")</f>
        <v/>
      </c>
      <c r="L135" s="8" t="inlineStr">
        <is>
          <t>20210620</t>
        </is>
      </c>
      <c r="M135" s="8" t="inlineStr">
        <is>
          <t>20251031</t>
        </is>
      </c>
      <c r="N135" s="10" t="n">
        <v>95</v>
      </c>
      <c r="O135" s="10">
        <f>IFERROR(VLOOKUP(A135,Flete!$A:$J,10,0),"")</f>
        <v/>
      </c>
      <c r="P135" s="8" t="inlineStr">
        <is>
          <t>TN</t>
        </is>
      </c>
      <c r="Q135" s="10">
        <f>IFERROR(IFERROR(VLOOKUP(A135,TRAOPE!$A:$U,21,0),VLOOKUP(B135,TRAOPE!$A:$U,21,0)),"")</f>
        <v/>
      </c>
      <c r="R135" s="8">
        <f>IFERROR(IFERROR(VLOOKUP(A135,TRAOPE!$A:$W,23,0),VLOOKUP(B135,TRAOPE!$A:$W,23,0)),"")</f>
        <v/>
      </c>
      <c r="S135" s="10">
        <f>IF(AND(P135="TN",R135="TN"),N135+N(O135),IF(G135&amp;""="1",N(K135)*N135,(N135+N(O135))*N(K135)))</f>
        <v/>
      </c>
      <c r="T135" s="10">
        <f>IF(Q135="","",Q135-S135)</f>
        <v/>
      </c>
    </row>
    <row r="136">
      <c r="A136" s="7">
        <f>CONCATENATE(C136,E136,F136,I136)</f>
        <v/>
      </c>
      <c r="B136" s="7">
        <f>CONCATENATE(C136,E136,I136)</f>
        <v/>
      </c>
      <c r="C136" s="8" t="n">
        <v>900004721</v>
      </c>
      <c r="D136" s="7">
        <f>IFERROR(VLOOKUP(C136,TRAOPE!$G:$H,2,0),"")</f>
        <v/>
      </c>
      <c r="E136" s="8" t="inlineStr">
        <is>
          <t>DW81</t>
        </is>
      </c>
      <c r="F136" s="8" t="inlineStr">
        <is>
          <t>D149</t>
        </is>
      </c>
      <c r="G136" s="8">
        <f>IFERROR(VLOOKUP(A136,Flete!$A:$E,5,0),"")</f>
        <v/>
      </c>
      <c r="H136" s="7">
        <f>IFERROR(VLOOKUP(F136,TRAOPE!$AA:$AB,2,0),"")</f>
        <v/>
      </c>
      <c r="I136" s="7" t="n">
        <v>10000430</v>
      </c>
      <c r="J136" s="7">
        <f>IFERROR(VLOOKUP(I136,Materiales!$A:$H,8,0),"")</f>
        <v/>
      </c>
      <c r="K136" s="9">
        <f>IFERROR(VLOOKUP(I136,Materiales!$A:$G,7,0),"")</f>
        <v/>
      </c>
      <c r="L136" s="8" t="inlineStr">
        <is>
          <t>20210620</t>
        </is>
      </c>
      <c r="M136" s="8" t="inlineStr">
        <is>
          <t>20251031</t>
        </is>
      </c>
      <c r="N136" s="10" t="n">
        <v>132</v>
      </c>
      <c r="O136" s="10">
        <f>IFERROR(VLOOKUP(A136,Flete!$A:$J,10,0),"")</f>
        <v/>
      </c>
      <c r="P136" s="8" t="inlineStr">
        <is>
          <t>TN</t>
        </is>
      </c>
      <c r="Q136" s="10">
        <f>IFERROR(IFERROR(VLOOKUP(A136,TRAOPE!$A:$U,21,0),VLOOKUP(B136,TRAOPE!$A:$U,21,0)),"")</f>
        <v/>
      </c>
      <c r="R136" s="8">
        <f>IFERROR(IFERROR(VLOOKUP(A136,TRAOPE!$A:$W,23,0),VLOOKUP(B136,TRAOPE!$A:$W,23,0)),"")</f>
        <v/>
      </c>
      <c r="S136" s="10">
        <f>IF(AND(P136="TN",R136="TN"),N136+N(O136),IF(G136&amp;""="1",N(K136)*N136,(N136+N(O136))*N(K136)))</f>
        <v/>
      </c>
      <c r="T136" s="10">
        <f>IF(Q136="","",Q136-S136)</f>
        <v/>
      </c>
    </row>
    <row r="137">
      <c r="A137" s="7">
        <f>CONCATENATE(C137,E137,F137,I137)</f>
        <v/>
      </c>
      <c r="B137" s="7">
        <f>CONCATENATE(C137,E137,I137)</f>
        <v/>
      </c>
      <c r="C137" s="8" t="n">
        <v>900004721</v>
      </c>
      <c r="D137" s="7">
        <f>IFERROR(VLOOKUP(C137,TRAOPE!$G:$H,2,0),"")</f>
        <v/>
      </c>
      <c r="E137" s="8" t="inlineStr">
        <is>
          <t>DW81</t>
        </is>
      </c>
      <c r="F137" s="8" t="inlineStr">
        <is>
          <t>D149</t>
        </is>
      </c>
      <c r="G137" s="8">
        <f>IFERROR(VLOOKUP(A137,Flete!$A:$E,5,0),"")</f>
        <v/>
      </c>
      <c r="H137" s="7">
        <f>IFERROR(VLOOKUP(F137,TRAOPE!$AA:$AB,2,0),"")</f>
        <v/>
      </c>
      <c r="I137" s="7" t="n">
        <v>10000624</v>
      </c>
      <c r="J137" s="7">
        <f>IFERROR(VLOOKUP(I137,Materiales!$A:$H,8,0),"")</f>
        <v/>
      </c>
      <c r="K137" s="9">
        <f>IFERROR(VLOOKUP(I137,Materiales!$A:$G,7,0),"")</f>
        <v/>
      </c>
      <c r="L137" s="8" t="inlineStr">
        <is>
          <t>20210620</t>
        </is>
      </c>
      <c r="M137" s="8" t="inlineStr">
        <is>
          <t>20251031</t>
        </is>
      </c>
      <c r="N137" s="10" t="n">
        <v>132</v>
      </c>
      <c r="O137" s="10">
        <f>IFERROR(VLOOKUP(A137,Flete!$A:$J,10,0),"")</f>
        <v/>
      </c>
      <c r="P137" s="8" t="inlineStr">
        <is>
          <t>TN</t>
        </is>
      </c>
      <c r="Q137" s="10">
        <f>IFERROR(IFERROR(VLOOKUP(A137,TRAOPE!$A:$U,21,0),VLOOKUP(B137,TRAOPE!$A:$U,21,0)),"")</f>
        <v/>
      </c>
      <c r="R137" s="8">
        <f>IFERROR(IFERROR(VLOOKUP(A137,TRAOPE!$A:$W,23,0),VLOOKUP(B137,TRAOPE!$A:$W,23,0)),"")</f>
        <v/>
      </c>
      <c r="S137" s="10">
        <f>IF(AND(P137="TN",R137="TN"),N137+N(O137),IF(G137&amp;""="1",N(K137)*N137,(N137+N(O137))*N(K137)))</f>
        <v/>
      </c>
      <c r="T137" s="10">
        <f>IF(Q137="","",Q137-S137)</f>
        <v/>
      </c>
    </row>
    <row r="138">
      <c r="A138" s="7">
        <f>CONCATENATE(C138,E138,F138,I138)</f>
        <v/>
      </c>
      <c r="B138" s="7">
        <f>CONCATENATE(C138,E138,I138)</f>
        <v/>
      </c>
      <c r="C138" s="8" t="n">
        <v>900004721</v>
      </c>
      <c r="D138" s="7">
        <f>IFERROR(VLOOKUP(C138,TRAOPE!$G:$H,2,0),"")</f>
        <v/>
      </c>
      <c r="E138" s="8" t="inlineStr">
        <is>
          <t>DW81</t>
        </is>
      </c>
      <c r="F138" s="8" t="inlineStr">
        <is>
          <t>D149</t>
        </is>
      </c>
      <c r="G138" s="8">
        <f>IFERROR(VLOOKUP(A138,Flete!$A:$E,5,0),"")</f>
        <v/>
      </c>
      <c r="H138" s="7">
        <f>IFERROR(VLOOKUP(F138,TRAOPE!$AA:$AB,2,0),"")</f>
        <v/>
      </c>
      <c r="I138" s="7" t="n">
        <v>10000859</v>
      </c>
      <c r="J138" s="7">
        <f>IFERROR(VLOOKUP(I138,Materiales!$A:$H,8,0),"")</f>
        <v/>
      </c>
      <c r="K138" s="9">
        <f>IFERROR(VLOOKUP(I138,Materiales!$A:$G,7,0),"")</f>
        <v/>
      </c>
      <c r="L138" s="8" t="inlineStr">
        <is>
          <t>20210620</t>
        </is>
      </c>
      <c r="M138" s="8" t="inlineStr">
        <is>
          <t>20251031</t>
        </is>
      </c>
      <c r="N138" s="10" t="n">
        <v>278</v>
      </c>
      <c r="O138" s="10">
        <f>IFERROR(VLOOKUP(A138,Flete!$A:$J,10,0),"")</f>
        <v/>
      </c>
      <c r="P138" s="8" t="inlineStr">
        <is>
          <t>TN</t>
        </is>
      </c>
      <c r="Q138" s="10">
        <f>IFERROR(IFERROR(VLOOKUP(A138,TRAOPE!$A:$U,21,0),VLOOKUP(B138,TRAOPE!$A:$U,21,0)),"")</f>
        <v/>
      </c>
      <c r="R138" s="8">
        <f>IFERROR(IFERROR(VLOOKUP(A138,TRAOPE!$A:$W,23,0),VLOOKUP(B138,TRAOPE!$A:$W,23,0)),"")</f>
        <v/>
      </c>
      <c r="S138" s="10">
        <f>IF(AND(P138="TN",R138="TN"),N138+N(O138),IF(G138&amp;""="1",N(K138)*N138,(N138+N(O138))*N(K138)))</f>
        <v/>
      </c>
      <c r="T138" s="10">
        <f>IF(Q138="","",Q138-S138)</f>
        <v/>
      </c>
    </row>
    <row r="139">
      <c r="A139" s="7">
        <f>CONCATENATE(C139,E139,F139,I139)</f>
        <v/>
      </c>
      <c r="B139" s="7">
        <f>CONCATENATE(C139,E139,I139)</f>
        <v/>
      </c>
      <c r="C139" s="8" t="n">
        <v>900004721</v>
      </c>
      <c r="D139" s="7">
        <f>IFERROR(VLOOKUP(C139,TRAOPE!$G:$H,2,0),"")</f>
        <v/>
      </c>
      <c r="E139" s="8" t="inlineStr">
        <is>
          <t>DW81</t>
        </is>
      </c>
      <c r="F139" s="8" t="inlineStr">
        <is>
          <t>D149</t>
        </is>
      </c>
      <c r="G139" s="8">
        <f>IFERROR(VLOOKUP(A139,Flete!$A:$E,5,0),"")</f>
        <v/>
      </c>
      <c r="H139" s="7">
        <f>IFERROR(VLOOKUP(F139,TRAOPE!$AA:$AB,2,0),"")</f>
        <v/>
      </c>
      <c r="I139" s="7" t="n">
        <v>10132162</v>
      </c>
      <c r="J139" s="7">
        <f>IFERROR(VLOOKUP(I139,Materiales!$A:$H,8,0),"")</f>
        <v/>
      </c>
      <c r="K139" s="9">
        <f>IFERROR(VLOOKUP(I139,Materiales!$A:$G,7,0),"")</f>
        <v/>
      </c>
      <c r="L139" s="8" t="inlineStr">
        <is>
          <t>20210620</t>
        </is>
      </c>
      <c r="M139" s="8" t="inlineStr">
        <is>
          <t>20251031</t>
        </is>
      </c>
      <c r="N139" s="10" t="n">
        <v>132</v>
      </c>
      <c r="O139" s="10">
        <f>IFERROR(VLOOKUP(A139,Flete!$A:$J,10,0),"")</f>
        <v/>
      </c>
      <c r="P139" s="8" t="inlineStr">
        <is>
          <t>TN</t>
        </is>
      </c>
      <c r="Q139" s="10">
        <f>IFERROR(IFERROR(VLOOKUP(A139,TRAOPE!$A:$U,21,0),VLOOKUP(B139,TRAOPE!$A:$U,21,0)),"")</f>
        <v/>
      </c>
      <c r="R139" s="8">
        <f>IFERROR(IFERROR(VLOOKUP(A139,TRAOPE!$A:$W,23,0),VLOOKUP(B139,TRAOPE!$A:$W,23,0)),"")</f>
        <v/>
      </c>
      <c r="S139" s="10">
        <f>IF(AND(P139="TN",R139="TN"),N139+N(O139),IF(G139&amp;""="1",N(K139)*N139,(N139+N(O139))*N(K139)))</f>
        <v/>
      </c>
      <c r="T139" s="10">
        <f>IF(Q139="","",Q139-S139)</f>
        <v/>
      </c>
    </row>
    <row r="140">
      <c r="A140" s="7">
        <f>CONCATENATE(C140,E140,F140,I140)</f>
        <v/>
      </c>
      <c r="B140" s="7">
        <f>CONCATENATE(C140,E140,I140)</f>
        <v/>
      </c>
      <c r="C140" s="8" t="n">
        <v>900004721</v>
      </c>
      <c r="D140" s="7">
        <f>IFERROR(VLOOKUP(C140,TRAOPE!$G:$H,2,0),"")</f>
        <v/>
      </c>
      <c r="E140" s="8" t="inlineStr">
        <is>
          <t>DW81</t>
        </is>
      </c>
      <c r="F140" s="8" t="inlineStr">
        <is>
          <t>D171</t>
        </is>
      </c>
      <c r="G140" s="8">
        <f>IFERROR(VLOOKUP(A140,Flete!$A:$E,5,0),"")</f>
        <v/>
      </c>
      <c r="H140" s="7">
        <f>IFERROR(VLOOKUP(F140,TRAOPE!$AA:$AB,2,0),"")</f>
        <v/>
      </c>
      <c r="I140" s="7" t="n">
        <v>10000430</v>
      </c>
      <c r="J140" s="7">
        <f>IFERROR(VLOOKUP(I140,Materiales!$A:$H,8,0),"")</f>
        <v/>
      </c>
      <c r="K140" s="9">
        <f>IFERROR(VLOOKUP(I140,Materiales!$A:$G,7,0),"")</f>
        <v/>
      </c>
      <c r="L140" s="8" t="inlineStr">
        <is>
          <t>20210620</t>
        </is>
      </c>
      <c r="M140" s="8" t="inlineStr">
        <is>
          <t>20251031</t>
        </is>
      </c>
      <c r="N140" s="10" t="n">
        <v>132</v>
      </c>
      <c r="O140" s="10">
        <f>IFERROR(VLOOKUP(A140,Flete!$A:$J,10,0),"")</f>
        <v/>
      </c>
      <c r="P140" s="8" t="inlineStr">
        <is>
          <t>TN</t>
        </is>
      </c>
      <c r="Q140" s="10">
        <f>IFERROR(IFERROR(VLOOKUP(A140,TRAOPE!$A:$U,21,0),VLOOKUP(B140,TRAOPE!$A:$U,21,0)),"")</f>
        <v/>
      </c>
      <c r="R140" s="8">
        <f>IFERROR(IFERROR(VLOOKUP(A140,TRAOPE!$A:$W,23,0),VLOOKUP(B140,TRAOPE!$A:$W,23,0)),"")</f>
        <v/>
      </c>
      <c r="S140" s="10">
        <f>IF(AND(P140="TN",R140="TN"),N140+N(O140),IF(G140&amp;""="1",N(K140)*N140,(N140+N(O140))*N(K140)))</f>
        <v/>
      </c>
      <c r="T140" s="10">
        <f>IF(Q140="","",Q140-S140)</f>
        <v/>
      </c>
    </row>
    <row r="141">
      <c r="A141" s="7">
        <f>CONCATENATE(C141,E141,F141,I141)</f>
        <v/>
      </c>
      <c r="B141" s="7">
        <f>CONCATENATE(C141,E141,I141)</f>
        <v/>
      </c>
      <c r="C141" s="8" t="n">
        <v>900004721</v>
      </c>
      <c r="D141" s="7">
        <f>IFERROR(VLOOKUP(C141,TRAOPE!$G:$H,2,0),"")</f>
        <v/>
      </c>
      <c r="E141" s="8" t="inlineStr">
        <is>
          <t>DW81</t>
        </is>
      </c>
      <c r="F141" s="8" t="inlineStr">
        <is>
          <t>D171</t>
        </is>
      </c>
      <c r="G141" s="8">
        <f>IFERROR(VLOOKUP(A141,Flete!$A:$E,5,0),"")</f>
        <v/>
      </c>
      <c r="H141" s="7">
        <f>IFERROR(VLOOKUP(F141,TRAOPE!$AA:$AB,2,0),"")</f>
        <v/>
      </c>
      <c r="I141" s="7" t="n">
        <v>10000624</v>
      </c>
      <c r="J141" s="7">
        <f>IFERROR(VLOOKUP(I141,Materiales!$A:$H,8,0),"")</f>
        <v/>
      </c>
      <c r="K141" s="9">
        <f>IFERROR(VLOOKUP(I141,Materiales!$A:$G,7,0),"")</f>
        <v/>
      </c>
      <c r="L141" s="8" t="inlineStr">
        <is>
          <t>20210620</t>
        </is>
      </c>
      <c r="M141" s="8" t="inlineStr">
        <is>
          <t>20251031</t>
        </is>
      </c>
      <c r="N141" s="10" t="n">
        <v>132</v>
      </c>
      <c r="O141" s="10">
        <f>IFERROR(VLOOKUP(A141,Flete!$A:$J,10,0),"")</f>
        <v/>
      </c>
      <c r="P141" s="8" t="inlineStr">
        <is>
          <t>TN</t>
        </is>
      </c>
      <c r="Q141" s="10">
        <f>IFERROR(IFERROR(VLOOKUP(A141,TRAOPE!$A:$U,21,0),VLOOKUP(B141,TRAOPE!$A:$U,21,0)),"")</f>
        <v/>
      </c>
      <c r="R141" s="8">
        <f>IFERROR(IFERROR(VLOOKUP(A141,TRAOPE!$A:$W,23,0),VLOOKUP(B141,TRAOPE!$A:$W,23,0)),"")</f>
        <v/>
      </c>
      <c r="S141" s="10">
        <f>IF(AND(P141="TN",R141="TN"),N141+N(O141),IF(G141&amp;""="1",N(K141)*N141,(N141+N(O141))*N(K141)))</f>
        <v/>
      </c>
      <c r="T141" s="10">
        <f>IF(Q141="","",Q141-S141)</f>
        <v/>
      </c>
    </row>
    <row r="142">
      <c r="A142" s="7">
        <f>CONCATENATE(C142,E142,F142,I142)</f>
        <v/>
      </c>
      <c r="B142" s="7">
        <f>CONCATENATE(C142,E142,I142)</f>
        <v/>
      </c>
      <c r="C142" s="8" t="n">
        <v>900004721</v>
      </c>
      <c r="D142" s="7">
        <f>IFERROR(VLOOKUP(C142,TRAOPE!$G:$H,2,0),"")</f>
        <v/>
      </c>
      <c r="E142" s="8" t="inlineStr">
        <is>
          <t>DW81</t>
        </is>
      </c>
      <c r="F142" s="8" t="inlineStr">
        <is>
          <t>D171</t>
        </is>
      </c>
      <c r="G142" s="8">
        <f>IFERROR(VLOOKUP(A142,Flete!$A:$E,5,0),"")</f>
        <v/>
      </c>
      <c r="H142" s="7">
        <f>IFERROR(VLOOKUP(F142,TRAOPE!$AA:$AB,2,0),"")</f>
        <v/>
      </c>
      <c r="I142" s="7" t="n">
        <v>10000859</v>
      </c>
      <c r="J142" s="7">
        <f>IFERROR(VLOOKUP(I142,Materiales!$A:$H,8,0),"")</f>
        <v/>
      </c>
      <c r="K142" s="9">
        <f>IFERROR(VLOOKUP(I142,Materiales!$A:$G,7,0),"")</f>
        <v/>
      </c>
      <c r="L142" s="8" t="inlineStr">
        <is>
          <t>20210620</t>
        </is>
      </c>
      <c r="M142" s="8" t="inlineStr">
        <is>
          <t>20251031</t>
        </is>
      </c>
      <c r="N142" s="10" t="n">
        <v>278</v>
      </c>
      <c r="O142" s="10">
        <f>IFERROR(VLOOKUP(A142,Flete!$A:$J,10,0),"")</f>
        <v/>
      </c>
      <c r="P142" s="8" t="inlineStr">
        <is>
          <t>TN</t>
        </is>
      </c>
      <c r="Q142" s="10">
        <f>IFERROR(IFERROR(VLOOKUP(A142,TRAOPE!$A:$U,21,0),VLOOKUP(B142,TRAOPE!$A:$U,21,0)),"")</f>
        <v/>
      </c>
      <c r="R142" s="8">
        <f>IFERROR(IFERROR(VLOOKUP(A142,TRAOPE!$A:$W,23,0),VLOOKUP(B142,TRAOPE!$A:$W,23,0)),"")</f>
        <v/>
      </c>
      <c r="S142" s="10">
        <f>IF(AND(P142="TN",R142="TN"),N142+N(O142),IF(G142&amp;""="1",N(K142)*N142,(N142+N(O142))*N(K142)))</f>
        <v/>
      </c>
      <c r="T142" s="10">
        <f>IF(Q142="","",Q142-S142)</f>
        <v/>
      </c>
    </row>
    <row r="143">
      <c r="A143" s="7">
        <f>CONCATENATE(C143,E143,F143,I143)</f>
        <v/>
      </c>
      <c r="B143" s="7">
        <f>CONCATENATE(C143,E143,I143)</f>
        <v/>
      </c>
      <c r="C143" s="8" t="n">
        <v>900004721</v>
      </c>
      <c r="D143" s="7">
        <f>IFERROR(VLOOKUP(C143,TRAOPE!$G:$H,2,0),"")</f>
        <v/>
      </c>
      <c r="E143" s="8" t="inlineStr">
        <is>
          <t>DW81</t>
        </is>
      </c>
      <c r="F143" s="8" t="inlineStr">
        <is>
          <t>D171</t>
        </is>
      </c>
      <c r="G143" s="8">
        <f>IFERROR(VLOOKUP(A143,Flete!$A:$E,5,0),"")</f>
        <v/>
      </c>
      <c r="H143" s="7">
        <f>IFERROR(VLOOKUP(F143,TRAOPE!$AA:$AB,2,0),"")</f>
        <v/>
      </c>
      <c r="I143" s="7" t="n">
        <v>10132162</v>
      </c>
      <c r="J143" s="7">
        <f>IFERROR(VLOOKUP(I143,Materiales!$A:$H,8,0),"")</f>
        <v/>
      </c>
      <c r="K143" s="9">
        <f>IFERROR(VLOOKUP(I143,Materiales!$A:$G,7,0),"")</f>
        <v/>
      </c>
      <c r="L143" s="8" t="inlineStr">
        <is>
          <t>20210620</t>
        </is>
      </c>
      <c r="M143" s="8" t="inlineStr">
        <is>
          <t>20251031</t>
        </is>
      </c>
      <c r="N143" s="10" t="n">
        <v>132</v>
      </c>
      <c r="O143" s="10">
        <f>IFERROR(VLOOKUP(A143,Flete!$A:$J,10,0),"")</f>
        <v/>
      </c>
      <c r="P143" s="8" t="inlineStr">
        <is>
          <t>TN</t>
        </is>
      </c>
      <c r="Q143" s="10">
        <f>IFERROR(IFERROR(VLOOKUP(A143,TRAOPE!$A:$U,21,0),VLOOKUP(B143,TRAOPE!$A:$U,21,0)),"")</f>
        <v/>
      </c>
      <c r="R143" s="8">
        <f>IFERROR(IFERROR(VLOOKUP(A143,TRAOPE!$A:$W,23,0),VLOOKUP(B143,TRAOPE!$A:$W,23,0)),"")</f>
        <v/>
      </c>
      <c r="S143" s="10">
        <f>IF(AND(P143="TN",R143="TN"),N143+N(O143),IF(G143&amp;""="1",N(K143)*N143,(N143+N(O143))*N(K143)))</f>
        <v/>
      </c>
      <c r="T143" s="10">
        <f>IF(Q143="","",Q143-S143)</f>
        <v/>
      </c>
    </row>
    <row r="144">
      <c r="A144" s="7">
        <f>CONCATENATE(C144,E144,F144,I144)</f>
        <v/>
      </c>
      <c r="B144" s="7">
        <f>CONCATENATE(C144,E144,I144)</f>
        <v/>
      </c>
      <c r="C144" s="8" t="n">
        <v>900005855</v>
      </c>
      <c r="D144" s="7">
        <f>IFERROR(VLOOKUP(C144,TRAOPE!$G:$H,2,0),"")</f>
        <v/>
      </c>
      <c r="E144" s="8" t="inlineStr">
        <is>
          <t>DW81</t>
        </is>
      </c>
      <c r="F144" s="8" t="inlineStr">
        <is>
          <t>D171</t>
        </is>
      </c>
      <c r="G144" s="8">
        <f>IFERROR(VLOOKUP(A144,Flete!$A:$E,5,0),"")</f>
        <v/>
      </c>
      <c r="H144" s="7">
        <f>IFERROR(VLOOKUP(F144,TRAOPE!$AA:$AB,2,0),"")</f>
        <v/>
      </c>
      <c r="I144" s="7" t="n">
        <v>10160627</v>
      </c>
      <c r="J144" s="7">
        <f>IFERROR(VLOOKUP(I144,Materiales!$A:$H,8,0),"")</f>
        <v/>
      </c>
      <c r="K144" s="9">
        <f>IFERROR(VLOOKUP(I144,Materiales!$A:$G,7,0),"")</f>
        <v/>
      </c>
      <c r="L144" s="8" t="inlineStr">
        <is>
          <t>20231023</t>
        </is>
      </c>
      <c r="M144" s="8" t="inlineStr">
        <is>
          <t>99991231</t>
        </is>
      </c>
      <c r="N144" s="10" t="n">
        <v>1000</v>
      </c>
      <c r="O144" s="10">
        <f>IFERROR(VLOOKUP(A144,Flete!$A:$J,10,0),"")</f>
        <v/>
      </c>
      <c r="P144" s="8" t="inlineStr">
        <is>
          <t>TN</t>
        </is>
      </c>
      <c r="Q144" s="10">
        <f>IFERROR(IFERROR(VLOOKUP(A144,TRAOPE!$A:$U,21,0),VLOOKUP(B144,TRAOPE!$A:$U,21,0)),"")</f>
        <v/>
      </c>
      <c r="R144" s="8">
        <f>IFERROR(IFERROR(VLOOKUP(A144,TRAOPE!$A:$W,23,0),VLOOKUP(B144,TRAOPE!$A:$W,23,0)),"")</f>
        <v/>
      </c>
      <c r="S144" s="10">
        <f>IF(AND(P144="TN",R144="TN"),N144+N(O144),IF(G144&amp;""="1",N(K144)*N144,(N144+N(O144))*N(K144)))</f>
        <v/>
      </c>
      <c r="T144" s="10">
        <f>IF(Q144="","",Q144-S144)</f>
        <v/>
      </c>
    </row>
    <row r="145">
      <c r="A145" s="7">
        <f>CONCATENATE(C145,E145,F145,I145)</f>
        <v/>
      </c>
      <c r="B145" s="7">
        <f>CONCATENATE(C145,E145,I145)</f>
        <v/>
      </c>
      <c r="C145" s="8" t="n">
        <v>900007996</v>
      </c>
      <c r="D145" s="7">
        <f>IFERROR(VLOOKUP(C145,TRAOPE!$G:$H,2,0),"")</f>
        <v/>
      </c>
      <c r="E145" s="8" t="inlineStr">
        <is>
          <t>DW81</t>
        </is>
      </c>
      <c r="F145" s="8" t="inlineStr">
        <is>
          <t>D149</t>
        </is>
      </c>
      <c r="G145" s="8">
        <f>IFERROR(VLOOKUP(A145,Flete!$A:$E,5,0),"")</f>
        <v/>
      </c>
      <c r="H145" s="7">
        <f>IFERROR(VLOOKUP(F145,TRAOPE!$AA:$AB,2,0),"")</f>
        <v/>
      </c>
      <c r="I145" s="7" t="n">
        <v>10132162</v>
      </c>
      <c r="J145" s="7">
        <f>IFERROR(VLOOKUP(I145,Materiales!$A:$H,8,0),"")</f>
        <v/>
      </c>
      <c r="K145" s="9">
        <f>IFERROR(VLOOKUP(I145,Materiales!$A:$G,7,0),"")</f>
        <v/>
      </c>
      <c r="L145" s="8" t="inlineStr">
        <is>
          <t>20210620</t>
        </is>
      </c>
      <c r="M145" s="8" t="inlineStr">
        <is>
          <t>20251031</t>
        </is>
      </c>
      <c r="N145" s="10" t="n">
        <v>250.37</v>
      </c>
      <c r="O145" s="10">
        <f>IFERROR(VLOOKUP(A145,Flete!$A:$J,10,0),"")</f>
        <v/>
      </c>
      <c r="P145" s="8" t="inlineStr">
        <is>
          <t>TN</t>
        </is>
      </c>
      <c r="Q145" s="10">
        <f>IFERROR(IFERROR(VLOOKUP(A145,TRAOPE!$A:$U,21,0),VLOOKUP(B145,TRAOPE!$A:$U,21,0)),"")</f>
        <v/>
      </c>
      <c r="R145" s="8">
        <f>IFERROR(IFERROR(VLOOKUP(A145,TRAOPE!$A:$W,23,0),VLOOKUP(B145,TRAOPE!$A:$W,23,0)),"")</f>
        <v/>
      </c>
      <c r="S145" s="10">
        <f>IF(AND(P145="TN",R145="TN"),N145+N(O145),IF(G145&amp;""="1",N(K145)*N145,(N145+N(O145))*N(K145)))</f>
        <v/>
      </c>
      <c r="T145" s="10">
        <f>IF(Q145="","",Q145-S145)</f>
        <v/>
      </c>
    </row>
    <row r="146">
      <c r="A146" s="7">
        <f>CONCATENATE(C146,E146,F146,I146)</f>
        <v/>
      </c>
      <c r="B146" s="7">
        <f>CONCATENATE(C146,E146,I146)</f>
        <v/>
      </c>
      <c r="C146" s="8" t="n">
        <v>900007996</v>
      </c>
      <c r="D146" s="7">
        <f>IFERROR(VLOOKUP(C146,TRAOPE!$G:$H,2,0),"")</f>
        <v/>
      </c>
      <c r="E146" s="8" t="inlineStr">
        <is>
          <t>DW81</t>
        </is>
      </c>
      <c r="F146" s="8" t="inlineStr">
        <is>
          <t>D171</t>
        </is>
      </c>
      <c r="G146" s="8">
        <f>IFERROR(VLOOKUP(A146,Flete!$A:$E,5,0),"")</f>
        <v/>
      </c>
      <c r="H146" s="7">
        <f>IFERROR(VLOOKUP(F146,TRAOPE!$AA:$AB,2,0),"")</f>
        <v/>
      </c>
      <c r="I146" s="7" t="n">
        <v>10000430</v>
      </c>
      <c r="J146" s="7">
        <f>IFERROR(VLOOKUP(I146,Materiales!$A:$H,8,0),"")</f>
        <v/>
      </c>
      <c r="K146" s="9">
        <f>IFERROR(VLOOKUP(I146,Materiales!$A:$G,7,0),"")</f>
        <v/>
      </c>
      <c r="L146" s="8" t="inlineStr">
        <is>
          <t>20210620</t>
        </is>
      </c>
      <c r="M146" s="8" t="inlineStr">
        <is>
          <t>20251031</t>
        </is>
      </c>
      <c r="N146" s="10" t="n">
        <v>180</v>
      </c>
      <c r="O146" s="10">
        <f>IFERROR(VLOOKUP(A146,Flete!$A:$J,10,0),"")</f>
        <v/>
      </c>
      <c r="P146" s="8" t="inlineStr">
        <is>
          <t>TN</t>
        </is>
      </c>
      <c r="Q146" s="10">
        <f>IFERROR(IFERROR(VLOOKUP(A146,TRAOPE!$A:$U,21,0),VLOOKUP(B146,TRAOPE!$A:$U,21,0)),"")</f>
        <v/>
      </c>
      <c r="R146" s="8">
        <f>IFERROR(IFERROR(VLOOKUP(A146,TRAOPE!$A:$W,23,0),VLOOKUP(B146,TRAOPE!$A:$W,23,0)),"")</f>
        <v/>
      </c>
      <c r="S146" s="10">
        <f>IF(AND(P146="TN",R146="TN"),N146+N(O146),IF(G146&amp;""="1",N(K146)*N146,(N146+N(O146))*N(K146)))</f>
        <v/>
      </c>
      <c r="T146" s="10">
        <f>IF(Q146="","",Q146-S146)</f>
        <v/>
      </c>
    </row>
    <row r="147">
      <c r="A147" s="7">
        <f>CONCATENATE(C147,E147,F147,I147)</f>
        <v/>
      </c>
      <c r="B147" s="7">
        <f>CONCATENATE(C147,E147,I147)</f>
        <v/>
      </c>
      <c r="C147" s="8" t="n">
        <v>900007996</v>
      </c>
      <c r="D147" s="7">
        <f>IFERROR(VLOOKUP(C147,TRAOPE!$G:$H,2,0),"")</f>
        <v/>
      </c>
      <c r="E147" s="8" t="inlineStr">
        <is>
          <t>DW81</t>
        </is>
      </c>
      <c r="F147" s="8" t="inlineStr">
        <is>
          <t>D171</t>
        </is>
      </c>
      <c r="G147" s="8">
        <f>IFERROR(VLOOKUP(A147,Flete!$A:$E,5,0),"")</f>
        <v/>
      </c>
      <c r="H147" s="7">
        <f>IFERROR(VLOOKUP(F147,TRAOPE!$AA:$AB,2,0),"")</f>
        <v/>
      </c>
      <c r="I147" s="7" t="n">
        <v>10132162</v>
      </c>
      <c r="J147" s="7">
        <f>IFERROR(VLOOKUP(I147,Materiales!$A:$H,8,0),"")</f>
        <v/>
      </c>
      <c r="K147" s="9">
        <f>IFERROR(VLOOKUP(I147,Materiales!$A:$G,7,0),"")</f>
        <v/>
      </c>
      <c r="L147" s="8" t="inlineStr">
        <is>
          <t>20210620</t>
        </is>
      </c>
      <c r="M147" s="8" t="inlineStr">
        <is>
          <t>20251031</t>
        </is>
      </c>
      <c r="N147" s="10" t="n">
        <v>186.57</v>
      </c>
      <c r="O147" s="10">
        <f>IFERROR(VLOOKUP(A147,Flete!$A:$J,10,0),"")</f>
        <v/>
      </c>
      <c r="P147" s="8" t="inlineStr">
        <is>
          <t>TN</t>
        </is>
      </c>
      <c r="Q147" s="10">
        <f>IFERROR(IFERROR(VLOOKUP(A147,TRAOPE!$A:$U,21,0),VLOOKUP(B147,TRAOPE!$A:$U,21,0)),"")</f>
        <v/>
      </c>
      <c r="R147" s="8">
        <f>IFERROR(IFERROR(VLOOKUP(A147,TRAOPE!$A:$W,23,0),VLOOKUP(B147,TRAOPE!$A:$W,23,0)),"")</f>
        <v/>
      </c>
      <c r="S147" s="10">
        <f>IF(AND(P147="TN",R147="TN"),N147+N(O147),IF(G147&amp;""="1",N(K147)*N147,(N147+N(O147))*N(K147)))</f>
        <v/>
      </c>
      <c r="T147" s="10">
        <f>IF(Q147="","",Q147-S147)</f>
        <v/>
      </c>
    </row>
    <row r="148">
      <c r="A148" s="7">
        <f>CONCATENATE(C148,E148,F148,I148)</f>
        <v/>
      </c>
      <c r="B148" s="7">
        <f>CONCATENATE(C148,E148,I148)</f>
        <v/>
      </c>
      <c r="C148" s="8" t="n">
        <v>900007996</v>
      </c>
      <c r="D148" s="7">
        <f>IFERROR(VLOOKUP(C148,TRAOPE!$G:$H,2,0),"")</f>
        <v/>
      </c>
      <c r="E148" s="8" t="inlineStr">
        <is>
          <t>DW81</t>
        </is>
      </c>
      <c r="F148" s="8" t="inlineStr">
        <is>
          <t>DF77</t>
        </is>
      </c>
      <c r="G148" s="8">
        <f>IFERROR(VLOOKUP(A148,Flete!$A:$E,5,0),"")</f>
        <v/>
      </c>
      <c r="H148" s="7">
        <f>IFERROR(VLOOKUP(F148,TRAOPE!$AA:$AB,2,0),"")</f>
        <v/>
      </c>
      <c r="I148" s="7" t="n">
        <v>10000430</v>
      </c>
      <c r="J148" s="7">
        <f>IFERROR(VLOOKUP(I148,Materiales!$A:$H,8,0),"")</f>
        <v/>
      </c>
      <c r="K148" s="9">
        <f>IFERROR(VLOOKUP(I148,Materiales!$A:$G,7,0),"")</f>
        <v/>
      </c>
      <c r="L148" s="8" t="inlineStr">
        <is>
          <t>20230105</t>
        </is>
      </c>
      <c r="M148" s="8" t="inlineStr">
        <is>
          <t>20230122</t>
        </is>
      </c>
      <c r="N148" s="10" t="n">
        <v>180</v>
      </c>
      <c r="O148" s="10">
        <f>IFERROR(VLOOKUP(A148,Flete!$A:$J,10,0),"")</f>
        <v/>
      </c>
      <c r="P148" s="8" t="inlineStr">
        <is>
          <t>TN</t>
        </is>
      </c>
      <c r="Q148" s="10">
        <f>IFERROR(IFERROR(VLOOKUP(A148,TRAOPE!$A:$U,21,0),VLOOKUP(B148,TRAOPE!$A:$U,21,0)),"")</f>
        <v/>
      </c>
      <c r="R148" s="8">
        <f>IFERROR(IFERROR(VLOOKUP(A148,TRAOPE!$A:$W,23,0),VLOOKUP(B148,TRAOPE!$A:$W,23,0)),"")</f>
        <v/>
      </c>
      <c r="S148" s="10">
        <f>IF(AND(P148="TN",R148="TN"),N148+N(O148),IF(G148&amp;""="1",N(K148)*N148,(N148+N(O148))*N(K148)))</f>
        <v/>
      </c>
      <c r="T148" s="10">
        <f>IF(Q148="","",Q148-S148)</f>
        <v/>
      </c>
    </row>
    <row r="149">
      <c r="A149" s="7">
        <f>CONCATENATE(C149,E149,F149,I149)</f>
        <v/>
      </c>
      <c r="B149" s="7">
        <f>CONCATENATE(C149,E149,I149)</f>
        <v/>
      </c>
      <c r="C149" s="8" t="n">
        <v>900007996</v>
      </c>
      <c r="D149" s="7">
        <f>IFERROR(VLOOKUP(C149,TRAOPE!$G:$H,2,0),"")</f>
        <v/>
      </c>
      <c r="E149" s="8" t="inlineStr">
        <is>
          <t>DW81</t>
        </is>
      </c>
      <c r="F149" s="8" t="inlineStr">
        <is>
          <t>DF77</t>
        </is>
      </c>
      <c r="G149" s="8">
        <f>IFERROR(VLOOKUP(A149,Flete!$A:$E,5,0),"")</f>
        <v/>
      </c>
      <c r="H149" s="7">
        <f>IFERROR(VLOOKUP(F149,TRAOPE!$AA:$AB,2,0),"")</f>
        <v/>
      </c>
      <c r="I149" s="7" t="n">
        <v>10132162</v>
      </c>
      <c r="J149" s="7">
        <f>IFERROR(VLOOKUP(I149,Materiales!$A:$H,8,0),"")</f>
        <v/>
      </c>
      <c r="K149" s="9">
        <f>IFERROR(VLOOKUP(I149,Materiales!$A:$G,7,0),"")</f>
        <v/>
      </c>
      <c r="L149" s="8" t="inlineStr">
        <is>
          <t>20230105</t>
        </is>
      </c>
      <c r="M149" s="8" t="inlineStr">
        <is>
          <t>20230122</t>
        </is>
      </c>
      <c r="N149" s="10" t="n">
        <v>186.57</v>
      </c>
      <c r="O149" s="10">
        <f>IFERROR(VLOOKUP(A149,Flete!$A:$J,10,0),"")</f>
        <v/>
      </c>
      <c r="P149" s="8" t="inlineStr">
        <is>
          <t>TN</t>
        </is>
      </c>
      <c r="Q149" s="10">
        <f>IFERROR(IFERROR(VLOOKUP(A149,TRAOPE!$A:$U,21,0),VLOOKUP(B149,TRAOPE!$A:$U,21,0)),"")</f>
        <v/>
      </c>
      <c r="R149" s="8">
        <f>IFERROR(IFERROR(VLOOKUP(A149,TRAOPE!$A:$W,23,0),VLOOKUP(B149,TRAOPE!$A:$W,23,0)),"")</f>
        <v/>
      </c>
      <c r="S149" s="10">
        <f>IF(AND(P149="TN",R149="TN"),N149+N(O149),IF(G149&amp;""="1",N(K149)*N149,(N149+N(O149))*N(K149)))</f>
        <v/>
      </c>
      <c r="T149" s="10">
        <f>IF(Q149="","",Q149-S149)</f>
        <v/>
      </c>
    </row>
    <row r="150">
      <c r="A150" s="7">
        <f>CONCATENATE(C150,E150,F150,I150)</f>
        <v/>
      </c>
      <c r="B150" s="7">
        <f>CONCATENATE(C150,E150,I150)</f>
        <v/>
      </c>
      <c r="C150" s="8" t="n">
        <v>900007997</v>
      </c>
      <c r="D150" s="7">
        <f>IFERROR(VLOOKUP(C150,TRAOPE!$G:$H,2,0),"")</f>
        <v/>
      </c>
      <c r="E150" s="8" t="inlineStr">
        <is>
          <t>DW81</t>
        </is>
      </c>
      <c r="F150" s="8" t="inlineStr">
        <is>
          <t>D149</t>
        </is>
      </c>
      <c r="G150" s="8">
        <f>IFERROR(VLOOKUP(A150,Flete!$A:$E,5,0),"")</f>
        <v/>
      </c>
      <c r="H150" s="7">
        <f>IFERROR(VLOOKUP(F150,TRAOPE!$AA:$AB,2,0),"")</f>
        <v/>
      </c>
      <c r="I150" s="7" t="n">
        <v>10000166</v>
      </c>
      <c r="J150" s="7">
        <f>IFERROR(VLOOKUP(I150,Materiales!$A:$H,8,0),"")</f>
        <v/>
      </c>
      <c r="K150" s="9">
        <f>IFERROR(VLOOKUP(I150,Materiales!$A:$G,7,0),"")</f>
        <v/>
      </c>
      <c r="L150" s="8" t="inlineStr">
        <is>
          <t>20210620</t>
        </is>
      </c>
      <c r="M150" s="8" t="inlineStr">
        <is>
          <t>20251031</t>
        </is>
      </c>
      <c r="N150" s="10" t="n">
        <v>200</v>
      </c>
      <c r="O150" s="10">
        <f>IFERROR(VLOOKUP(A150,Flete!$A:$J,10,0),"")</f>
        <v/>
      </c>
      <c r="P150" s="8" t="inlineStr">
        <is>
          <t>TN</t>
        </is>
      </c>
      <c r="Q150" s="10">
        <f>IFERROR(IFERROR(VLOOKUP(A150,TRAOPE!$A:$U,21,0),VLOOKUP(B150,TRAOPE!$A:$U,21,0)),"")</f>
        <v/>
      </c>
      <c r="R150" s="8">
        <f>IFERROR(IFERROR(VLOOKUP(A150,TRAOPE!$A:$W,23,0),VLOOKUP(B150,TRAOPE!$A:$W,23,0)),"")</f>
        <v/>
      </c>
      <c r="S150" s="10">
        <f>IF(AND(P150="TN",R150="TN"),N150+N(O150),IF(G150&amp;""="1",N(K150)*N150,(N150+N(O150))*N(K150)))</f>
        <v/>
      </c>
      <c r="T150" s="10">
        <f>IF(Q150="","",Q150-S150)</f>
        <v/>
      </c>
    </row>
    <row r="151">
      <c r="A151" s="7">
        <f>CONCATENATE(C151,E151,F151,I151)</f>
        <v/>
      </c>
      <c r="B151" s="7">
        <f>CONCATENATE(C151,E151,I151)</f>
        <v/>
      </c>
      <c r="C151" s="8" t="n">
        <v>900007997</v>
      </c>
      <c r="D151" s="7">
        <f>IFERROR(VLOOKUP(C151,TRAOPE!$G:$H,2,0),"")</f>
        <v/>
      </c>
      <c r="E151" s="8" t="inlineStr">
        <is>
          <t>DW81</t>
        </is>
      </c>
      <c r="F151" s="8" t="inlineStr">
        <is>
          <t>D149</t>
        </is>
      </c>
      <c r="G151" s="8">
        <f>IFERROR(VLOOKUP(A151,Flete!$A:$E,5,0),"")</f>
        <v/>
      </c>
      <c r="H151" s="7">
        <f>IFERROR(VLOOKUP(F151,TRAOPE!$AA:$AB,2,0),"")</f>
        <v/>
      </c>
      <c r="I151" s="7" t="n">
        <v>10000460</v>
      </c>
      <c r="J151" s="7">
        <f>IFERROR(VLOOKUP(I151,Materiales!$A:$H,8,0),"")</f>
        <v/>
      </c>
      <c r="K151" s="9">
        <f>IFERROR(VLOOKUP(I151,Materiales!$A:$G,7,0),"")</f>
        <v/>
      </c>
      <c r="L151" s="8" t="inlineStr">
        <is>
          <t>20210620</t>
        </is>
      </c>
      <c r="M151" s="8" t="inlineStr">
        <is>
          <t>20251031</t>
        </is>
      </c>
      <c r="N151" s="10" t="n">
        <v>200</v>
      </c>
      <c r="O151" s="10">
        <f>IFERROR(VLOOKUP(A151,Flete!$A:$J,10,0),"")</f>
        <v/>
      </c>
      <c r="P151" s="8" t="inlineStr">
        <is>
          <t>TN</t>
        </is>
      </c>
      <c r="Q151" s="10">
        <f>IFERROR(IFERROR(VLOOKUP(A151,TRAOPE!$A:$U,21,0),VLOOKUP(B151,TRAOPE!$A:$U,21,0)),"")</f>
        <v/>
      </c>
      <c r="R151" s="8">
        <f>IFERROR(IFERROR(VLOOKUP(A151,TRAOPE!$A:$W,23,0),VLOOKUP(B151,TRAOPE!$A:$W,23,0)),"")</f>
        <v/>
      </c>
      <c r="S151" s="10">
        <f>IF(AND(P151="TN",R151="TN"),N151+N(O151),IF(G151&amp;""="1",N(K151)*N151,(N151+N(O151))*N(K151)))</f>
        <v/>
      </c>
      <c r="T151" s="10">
        <f>IF(Q151="","",Q151-S151)</f>
        <v/>
      </c>
    </row>
    <row r="152">
      <c r="A152" s="7">
        <f>CONCATENATE(C152,E152,F152,I152)</f>
        <v/>
      </c>
      <c r="B152" s="7">
        <f>CONCATENATE(C152,E152,I152)</f>
        <v/>
      </c>
      <c r="C152" s="8" t="n">
        <v>900007998</v>
      </c>
      <c r="D152" s="7">
        <f>IFERROR(VLOOKUP(C152,TRAOPE!$G:$H,2,0),"")</f>
        <v/>
      </c>
      <c r="E152" s="8" t="inlineStr">
        <is>
          <t>DW81</t>
        </is>
      </c>
      <c r="F152" s="8" t="inlineStr">
        <is>
          <t>D148</t>
        </is>
      </c>
      <c r="G152" s="8">
        <f>IFERROR(VLOOKUP(A152,Flete!$A:$E,5,0),"")</f>
        <v/>
      </c>
      <c r="H152" s="7">
        <f>IFERROR(VLOOKUP(F152,TRAOPE!$AA:$AB,2,0),"")</f>
        <v/>
      </c>
      <c r="I152" s="7" t="n">
        <v>10000404</v>
      </c>
      <c r="J152" s="7">
        <f>IFERROR(VLOOKUP(I152,Materiales!$A:$H,8,0),"")</f>
        <v/>
      </c>
      <c r="K152" s="9">
        <f>IFERROR(VLOOKUP(I152,Materiales!$A:$G,7,0),"")</f>
        <v/>
      </c>
      <c r="L152" s="8" t="inlineStr">
        <is>
          <t>20240320</t>
        </is>
      </c>
      <c r="M152" s="8" t="inlineStr">
        <is>
          <t>99991231</t>
        </is>
      </c>
      <c r="N152" s="10" t="n">
        <v>188</v>
      </c>
      <c r="O152" s="10">
        <f>IFERROR(VLOOKUP(A152,Flete!$A:$J,10,0),"")</f>
        <v/>
      </c>
      <c r="P152" s="8" t="inlineStr">
        <is>
          <t>TN</t>
        </is>
      </c>
      <c r="Q152" s="10">
        <f>IFERROR(IFERROR(VLOOKUP(A152,TRAOPE!$A:$U,21,0),VLOOKUP(B152,TRAOPE!$A:$U,21,0)),"")</f>
        <v/>
      </c>
      <c r="R152" s="8">
        <f>IFERROR(IFERROR(VLOOKUP(A152,TRAOPE!$A:$W,23,0),VLOOKUP(B152,TRAOPE!$A:$W,23,0)),"")</f>
        <v/>
      </c>
      <c r="S152" s="10">
        <f>IF(AND(P152="TN",R152="TN"),N152+N(O152),IF(G152&amp;""="1",N(K152)*N152,(N152+N(O152))*N(K152)))</f>
        <v/>
      </c>
      <c r="T152" s="10">
        <f>IF(Q152="","",Q152-S152)</f>
        <v/>
      </c>
    </row>
    <row r="153">
      <c r="A153" s="7">
        <f>CONCATENATE(C153,E153,F153,I153)</f>
        <v/>
      </c>
      <c r="B153" s="7">
        <f>CONCATENATE(C153,E153,I153)</f>
        <v/>
      </c>
      <c r="C153" s="8" t="n">
        <v>900007998</v>
      </c>
      <c r="D153" s="7">
        <f>IFERROR(VLOOKUP(C153,TRAOPE!$G:$H,2,0),"")</f>
        <v/>
      </c>
      <c r="E153" s="8" t="inlineStr">
        <is>
          <t>DW81</t>
        </is>
      </c>
      <c r="F153" s="8" t="inlineStr">
        <is>
          <t>D148</t>
        </is>
      </c>
      <c r="G153" s="8">
        <f>IFERROR(VLOOKUP(A153,Flete!$A:$E,5,0),"")</f>
        <v/>
      </c>
      <c r="H153" s="7">
        <f>IFERROR(VLOOKUP(F153,TRAOPE!$AA:$AB,2,0),"")</f>
        <v/>
      </c>
      <c r="I153" s="7" t="n">
        <v>10000572</v>
      </c>
      <c r="J153" s="7">
        <f>IFERROR(VLOOKUP(I153,Materiales!$A:$H,8,0),"")</f>
        <v/>
      </c>
      <c r="K153" s="9">
        <f>IFERROR(VLOOKUP(I153,Materiales!$A:$G,7,0),"")</f>
        <v/>
      </c>
      <c r="L153" s="8" t="inlineStr">
        <is>
          <t>20240320</t>
        </is>
      </c>
      <c r="M153" s="8" t="inlineStr">
        <is>
          <t>99991231</t>
        </is>
      </c>
      <c r="N153" s="10" t="n">
        <v>188</v>
      </c>
      <c r="O153" s="10">
        <f>IFERROR(VLOOKUP(A153,Flete!$A:$J,10,0),"")</f>
        <v/>
      </c>
      <c r="P153" s="8" t="inlineStr">
        <is>
          <t>TN</t>
        </is>
      </c>
      <c r="Q153" s="10">
        <f>IFERROR(IFERROR(VLOOKUP(A153,TRAOPE!$A:$U,21,0),VLOOKUP(B153,TRAOPE!$A:$U,21,0)),"")</f>
        <v/>
      </c>
      <c r="R153" s="8">
        <f>IFERROR(IFERROR(VLOOKUP(A153,TRAOPE!$A:$W,23,0),VLOOKUP(B153,TRAOPE!$A:$W,23,0)),"")</f>
        <v/>
      </c>
      <c r="S153" s="10">
        <f>IF(AND(P153="TN",R153="TN"),N153+N(O153),IF(G153&amp;""="1",N(K153)*N153,(N153+N(O153))*N(K153)))</f>
        <v/>
      </c>
      <c r="T153" s="10">
        <f>IF(Q153="","",Q153-S153)</f>
        <v/>
      </c>
    </row>
    <row r="154">
      <c r="A154" s="7">
        <f>CONCATENATE(C154,E154,F154,I154)</f>
        <v/>
      </c>
      <c r="B154" s="7">
        <f>CONCATENATE(C154,E154,I154)</f>
        <v/>
      </c>
      <c r="C154" s="8" t="n">
        <v>900007998</v>
      </c>
      <c r="D154" s="7">
        <f>IFERROR(VLOOKUP(C154,TRAOPE!$G:$H,2,0),"")</f>
        <v/>
      </c>
      <c r="E154" s="8" t="inlineStr">
        <is>
          <t>DW81</t>
        </is>
      </c>
      <c r="F154" s="8" t="inlineStr">
        <is>
          <t>D149</t>
        </is>
      </c>
      <c r="G154" s="8">
        <f>IFERROR(VLOOKUP(A154,Flete!$A:$E,5,0),"")</f>
        <v/>
      </c>
      <c r="H154" s="7">
        <f>IFERROR(VLOOKUP(F154,TRAOPE!$AA:$AB,2,0),"")</f>
        <v/>
      </c>
      <c r="I154" s="7" t="n">
        <v>10000404</v>
      </c>
      <c r="J154" s="7">
        <f>IFERROR(VLOOKUP(I154,Materiales!$A:$H,8,0),"")</f>
        <v/>
      </c>
      <c r="K154" s="9">
        <f>IFERROR(VLOOKUP(I154,Materiales!$A:$G,7,0),"")</f>
        <v/>
      </c>
      <c r="L154" s="8" t="inlineStr">
        <is>
          <t>20240508</t>
        </is>
      </c>
      <c r="M154" s="8" t="inlineStr">
        <is>
          <t>99991231</t>
        </is>
      </c>
      <c r="N154" s="10" t="n">
        <v>188</v>
      </c>
      <c r="O154" s="10">
        <f>IFERROR(VLOOKUP(A154,Flete!$A:$J,10,0),"")</f>
        <v/>
      </c>
      <c r="P154" s="8" t="inlineStr">
        <is>
          <t>TN</t>
        </is>
      </c>
      <c r="Q154" s="10">
        <f>IFERROR(IFERROR(VLOOKUP(A154,TRAOPE!$A:$U,21,0),VLOOKUP(B154,TRAOPE!$A:$U,21,0)),"")</f>
        <v/>
      </c>
      <c r="R154" s="8">
        <f>IFERROR(IFERROR(VLOOKUP(A154,TRAOPE!$A:$W,23,0),VLOOKUP(B154,TRAOPE!$A:$W,23,0)),"")</f>
        <v/>
      </c>
      <c r="S154" s="10">
        <f>IF(AND(P154="TN",R154="TN"),N154+N(O154),IF(G154&amp;""="1",N(K154)*N154,(N154+N(O154))*N(K154)))</f>
        <v/>
      </c>
      <c r="T154" s="10">
        <f>IF(Q154="","",Q154-S154)</f>
        <v/>
      </c>
    </row>
    <row r="155">
      <c r="A155" s="7">
        <f>CONCATENATE(C155,E155,F155,I155)</f>
        <v/>
      </c>
      <c r="B155" s="7">
        <f>CONCATENATE(C155,E155,I155)</f>
        <v/>
      </c>
      <c r="C155" s="8" t="n">
        <v>900007998</v>
      </c>
      <c r="D155" s="7">
        <f>IFERROR(VLOOKUP(C155,TRAOPE!$G:$H,2,0),"")</f>
        <v/>
      </c>
      <c r="E155" s="8" t="inlineStr">
        <is>
          <t>DW81</t>
        </is>
      </c>
      <c r="F155" s="8" t="inlineStr">
        <is>
          <t>D149</t>
        </is>
      </c>
      <c r="G155" s="8">
        <f>IFERROR(VLOOKUP(A155,Flete!$A:$E,5,0),"")</f>
        <v/>
      </c>
      <c r="H155" s="7">
        <f>IFERROR(VLOOKUP(F155,TRAOPE!$AA:$AB,2,0),"")</f>
        <v/>
      </c>
      <c r="I155" s="7" t="n">
        <v>10000572</v>
      </c>
      <c r="J155" s="7">
        <f>IFERROR(VLOOKUP(I155,Materiales!$A:$H,8,0),"")</f>
        <v/>
      </c>
      <c r="K155" s="9">
        <f>IFERROR(VLOOKUP(I155,Materiales!$A:$G,7,0),"")</f>
        <v/>
      </c>
      <c r="L155" s="8" t="inlineStr">
        <is>
          <t>20240508</t>
        </is>
      </c>
      <c r="M155" s="8" t="inlineStr">
        <is>
          <t>99991231</t>
        </is>
      </c>
      <c r="N155" s="10" t="n">
        <v>188</v>
      </c>
      <c r="O155" s="10">
        <f>IFERROR(VLOOKUP(A155,Flete!$A:$J,10,0),"")</f>
        <v/>
      </c>
      <c r="P155" s="8" t="inlineStr">
        <is>
          <t>TN</t>
        </is>
      </c>
      <c r="Q155" s="10">
        <f>IFERROR(IFERROR(VLOOKUP(A155,TRAOPE!$A:$U,21,0),VLOOKUP(B155,TRAOPE!$A:$U,21,0)),"")</f>
        <v/>
      </c>
      <c r="R155" s="8">
        <f>IFERROR(IFERROR(VLOOKUP(A155,TRAOPE!$A:$W,23,0),VLOOKUP(B155,TRAOPE!$A:$W,23,0)),"")</f>
        <v/>
      </c>
      <c r="S155" s="10">
        <f>IF(AND(P155="TN",R155="TN"),N155+N(O155),IF(G155&amp;""="1",N(K155)*N155,(N155+N(O155))*N(K155)))</f>
        <v/>
      </c>
      <c r="T155" s="10">
        <f>IF(Q155="","",Q155-S155)</f>
        <v/>
      </c>
    </row>
    <row r="156">
      <c r="A156" s="7">
        <f>CONCATENATE(C156,E156,F156,I156)</f>
        <v/>
      </c>
      <c r="B156" s="7">
        <f>CONCATENATE(C156,E156,I156)</f>
        <v/>
      </c>
      <c r="C156" s="8" t="n">
        <v>900007998</v>
      </c>
      <c r="D156" s="7">
        <f>IFERROR(VLOOKUP(C156,TRAOPE!$G:$H,2,0),"")</f>
        <v/>
      </c>
      <c r="E156" s="8" t="inlineStr">
        <is>
          <t>DW81</t>
        </is>
      </c>
      <c r="F156" s="8" t="inlineStr">
        <is>
          <t>D171</t>
        </is>
      </c>
      <c r="G156" s="8">
        <f>IFERROR(VLOOKUP(A156,Flete!$A:$E,5,0),"")</f>
        <v/>
      </c>
      <c r="H156" s="7">
        <f>IFERROR(VLOOKUP(F156,TRAOPE!$AA:$AB,2,0),"")</f>
        <v/>
      </c>
      <c r="I156" s="7" t="n">
        <v>10000404</v>
      </c>
      <c r="J156" s="7">
        <f>IFERROR(VLOOKUP(I156,Materiales!$A:$H,8,0),"")</f>
        <v/>
      </c>
      <c r="K156" s="9">
        <f>IFERROR(VLOOKUP(I156,Materiales!$A:$G,7,0),"")</f>
        <v/>
      </c>
      <c r="L156" s="8" t="inlineStr">
        <is>
          <t>20231005</t>
        </is>
      </c>
      <c r="M156" s="8" t="inlineStr">
        <is>
          <t>99991231</t>
        </is>
      </c>
      <c r="N156" s="10" t="n">
        <v>163</v>
      </c>
      <c r="O156" s="10">
        <f>IFERROR(VLOOKUP(A156,Flete!$A:$J,10,0),"")</f>
        <v/>
      </c>
      <c r="P156" s="8" t="inlineStr">
        <is>
          <t>TN</t>
        </is>
      </c>
      <c r="Q156" s="10">
        <f>IFERROR(IFERROR(VLOOKUP(A156,TRAOPE!$A:$U,21,0),VLOOKUP(B156,TRAOPE!$A:$U,21,0)),"")</f>
        <v/>
      </c>
      <c r="R156" s="8">
        <f>IFERROR(IFERROR(VLOOKUP(A156,TRAOPE!$A:$W,23,0),VLOOKUP(B156,TRAOPE!$A:$W,23,0)),"")</f>
        <v/>
      </c>
      <c r="S156" s="10">
        <f>IF(AND(P156="TN",R156="TN"),N156+N(O156),IF(G156&amp;""="1",N(K156)*N156,(N156+N(O156))*N(K156)))</f>
        <v/>
      </c>
      <c r="T156" s="10">
        <f>IF(Q156="","",Q156-S156)</f>
        <v/>
      </c>
    </row>
    <row r="157">
      <c r="A157" s="7">
        <f>CONCATENATE(C157,E157,F157,I157)</f>
        <v/>
      </c>
      <c r="B157" s="7">
        <f>CONCATENATE(C157,E157,I157)</f>
        <v/>
      </c>
      <c r="C157" s="8" t="n">
        <v>900007998</v>
      </c>
      <c r="D157" s="7">
        <f>IFERROR(VLOOKUP(C157,TRAOPE!$G:$H,2,0),"")</f>
        <v/>
      </c>
      <c r="E157" s="8" t="inlineStr">
        <is>
          <t>DW81</t>
        </is>
      </c>
      <c r="F157" s="8" t="inlineStr">
        <is>
          <t>D171</t>
        </is>
      </c>
      <c r="G157" s="8">
        <f>IFERROR(VLOOKUP(A157,Flete!$A:$E,5,0),"")</f>
        <v/>
      </c>
      <c r="H157" s="7">
        <f>IFERROR(VLOOKUP(F157,TRAOPE!$AA:$AB,2,0),"")</f>
        <v/>
      </c>
      <c r="I157" s="7" t="n">
        <v>10000572</v>
      </c>
      <c r="J157" s="7">
        <f>IFERROR(VLOOKUP(I157,Materiales!$A:$H,8,0),"")</f>
        <v/>
      </c>
      <c r="K157" s="9">
        <f>IFERROR(VLOOKUP(I157,Materiales!$A:$G,7,0),"")</f>
        <v/>
      </c>
      <c r="L157" s="8" t="inlineStr">
        <is>
          <t>20231005</t>
        </is>
      </c>
      <c r="M157" s="8" t="inlineStr">
        <is>
          <t>99991231</t>
        </is>
      </c>
      <c r="N157" s="10" t="n">
        <v>163</v>
      </c>
      <c r="O157" s="10">
        <f>IFERROR(VLOOKUP(A157,Flete!$A:$J,10,0),"")</f>
        <v/>
      </c>
      <c r="P157" s="8" t="inlineStr">
        <is>
          <t>TN</t>
        </is>
      </c>
      <c r="Q157" s="10">
        <f>IFERROR(IFERROR(VLOOKUP(A157,TRAOPE!$A:$U,21,0),VLOOKUP(B157,TRAOPE!$A:$U,21,0)),"")</f>
        <v/>
      </c>
      <c r="R157" s="8">
        <f>IFERROR(IFERROR(VLOOKUP(A157,TRAOPE!$A:$W,23,0),VLOOKUP(B157,TRAOPE!$A:$W,23,0)),"")</f>
        <v/>
      </c>
      <c r="S157" s="10">
        <f>IF(AND(P157="TN",R157="TN"),N157+N(O157),IF(G157&amp;""="1",N(K157)*N157,(N157+N(O157))*N(K157)))</f>
        <v/>
      </c>
      <c r="T157" s="10">
        <f>IF(Q157="","",Q157-S157)</f>
        <v/>
      </c>
    </row>
    <row r="158">
      <c r="A158" s="7">
        <f>CONCATENATE(C158,E158,F158,I158)</f>
        <v/>
      </c>
      <c r="B158" s="7">
        <f>CONCATENATE(C158,E158,I158)</f>
        <v/>
      </c>
      <c r="C158" s="8" t="n">
        <v>900008694</v>
      </c>
      <c r="D158" s="7">
        <f>IFERROR(VLOOKUP(C158,TRAOPE!$G:$H,2,0),"")</f>
        <v/>
      </c>
      <c r="E158" s="8" t="inlineStr">
        <is>
          <t>DW81</t>
        </is>
      </c>
      <c r="F158" s="8" t="inlineStr">
        <is>
          <t>D148</t>
        </is>
      </c>
      <c r="G158" s="8">
        <f>IFERROR(VLOOKUP(A158,Flete!$A:$E,5,0),"")</f>
        <v/>
      </c>
      <c r="H158" s="7">
        <f>IFERROR(VLOOKUP(F158,TRAOPE!$AA:$AB,2,0),"")</f>
        <v/>
      </c>
      <c r="I158" s="7" t="n">
        <v>10000404</v>
      </c>
      <c r="J158" s="7">
        <f>IFERROR(VLOOKUP(I158,Materiales!$A:$H,8,0),"")</f>
        <v/>
      </c>
      <c r="K158" s="9">
        <f>IFERROR(VLOOKUP(I158,Materiales!$A:$G,7,0),"")</f>
        <v/>
      </c>
      <c r="L158" s="8" t="inlineStr">
        <is>
          <t>20240229</t>
        </is>
      </c>
      <c r="M158" s="8" t="inlineStr">
        <is>
          <t>99991231</t>
        </is>
      </c>
      <c r="N158" s="10" t="n">
        <v>283.4</v>
      </c>
      <c r="O158" s="10">
        <f>IFERROR(VLOOKUP(A158,Flete!$A:$J,10,0),"")</f>
        <v/>
      </c>
      <c r="P158" s="8" t="inlineStr">
        <is>
          <t>TN</t>
        </is>
      </c>
      <c r="Q158" s="10">
        <f>IFERROR(IFERROR(VLOOKUP(A158,TRAOPE!$A:$U,21,0),VLOOKUP(B158,TRAOPE!$A:$U,21,0)),"")</f>
        <v/>
      </c>
      <c r="R158" s="8">
        <f>IFERROR(IFERROR(VLOOKUP(A158,TRAOPE!$A:$W,23,0),VLOOKUP(B158,TRAOPE!$A:$W,23,0)),"")</f>
        <v/>
      </c>
      <c r="S158" s="10">
        <f>IF(AND(P158="TN",R158="TN"),N158+N(O158),IF(G158&amp;""="1",N(K158)*N158,(N158+N(O158))*N(K158)))</f>
        <v/>
      </c>
      <c r="T158" s="10">
        <f>IF(Q158="","",Q158-S158)</f>
        <v/>
      </c>
    </row>
    <row r="159">
      <c r="A159" s="7">
        <f>CONCATENATE(C159,E159,F159,I159)</f>
        <v/>
      </c>
      <c r="B159" s="7">
        <f>CONCATENATE(C159,E159,I159)</f>
        <v/>
      </c>
      <c r="C159" s="8" t="n">
        <v>900008694</v>
      </c>
      <c r="D159" s="7">
        <f>IFERROR(VLOOKUP(C159,TRAOPE!$G:$H,2,0),"")</f>
        <v/>
      </c>
      <c r="E159" s="8" t="inlineStr">
        <is>
          <t>DW81</t>
        </is>
      </c>
      <c r="F159" s="8" t="inlineStr">
        <is>
          <t>D148</t>
        </is>
      </c>
      <c r="G159" s="8">
        <f>IFERROR(VLOOKUP(A159,Flete!$A:$E,5,0),"")</f>
        <v/>
      </c>
      <c r="H159" s="7">
        <f>IFERROR(VLOOKUP(F159,TRAOPE!$AA:$AB,2,0),"")</f>
        <v/>
      </c>
      <c r="I159" s="7" t="n">
        <v>10000572</v>
      </c>
      <c r="J159" s="7">
        <f>IFERROR(VLOOKUP(I159,Materiales!$A:$H,8,0),"")</f>
        <v/>
      </c>
      <c r="K159" s="9">
        <f>IFERROR(VLOOKUP(I159,Materiales!$A:$G,7,0),"")</f>
        <v/>
      </c>
      <c r="L159" s="8" t="inlineStr">
        <is>
          <t>20240229</t>
        </is>
      </c>
      <c r="M159" s="8" t="inlineStr">
        <is>
          <t>99991231</t>
        </is>
      </c>
      <c r="N159" s="10" t="n">
        <v>287.4</v>
      </c>
      <c r="O159" s="10">
        <f>IFERROR(VLOOKUP(A159,Flete!$A:$J,10,0),"")</f>
        <v/>
      </c>
      <c r="P159" s="8" t="inlineStr">
        <is>
          <t>TN</t>
        </is>
      </c>
      <c r="Q159" s="10">
        <f>IFERROR(IFERROR(VLOOKUP(A159,TRAOPE!$A:$U,21,0),VLOOKUP(B159,TRAOPE!$A:$U,21,0)),"")</f>
        <v/>
      </c>
      <c r="R159" s="8">
        <f>IFERROR(IFERROR(VLOOKUP(A159,TRAOPE!$A:$W,23,0),VLOOKUP(B159,TRAOPE!$A:$W,23,0)),"")</f>
        <v/>
      </c>
      <c r="S159" s="10">
        <f>IF(AND(P159="TN",R159="TN"),N159+N(O159),IF(G159&amp;""="1",N(K159)*N159,(N159+N(O159))*N(K159)))</f>
        <v/>
      </c>
      <c r="T159" s="10">
        <f>IF(Q159="","",Q159-S159)</f>
        <v/>
      </c>
    </row>
    <row r="160">
      <c r="A160" s="7">
        <f>CONCATENATE(C160,E160,F160,I160)</f>
        <v/>
      </c>
      <c r="B160" s="7">
        <f>CONCATENATE(C160,E160,I160)</f>
        <v/>
      </c>
      <c r="C160" s="8" t="n">
        <v>900008694</v>
      </c>
      <c r="D160" s="7">
        <f>IFERROR(VLOOKUP(C160,TRAOPE!$G:$H,2,0),"")</f>
        <v/>
      </c>
      <c r="E160" s="8" t="inlineStr">
        <is>
          <t>DW81</t>
        </is>
      </c>
      <c r="F160" s="8" t="inlineStr">
        <is>
          <t>D149</t>
        </is>
      </c>
      <c r="G160" s="8">
        <f>IFERROR(VLOOKUP(A160,Flete!$A:$E,5,0),"")</f>
        <v/>
      </c>
      <c r="H160" s="7">
        <f>IFERROR(VLOOKUP(F160,TRAOPE!$AA:$AB,2,0),"")</f>
        <v/>
      </c>
      <c r="I160" s="7" t="n">
        <v>10000404</v>
      </c>
      <c r="J160" s="7">
        <f>IFERROR(VLOOKUP(I160,Materiales!$A:$H,8,0),"")</f>
        <v/>
      </c>
      <c r="K160" s="9">
        <f>IFERROR(VLOOKUP(I160,Materiales!$A:$G,7,0),"")</f>
        <v/>
      </c>
      <c r="L160" s="8" t="inlineStr">
        <is>
          <t>20250301</t>
        </is>
      </c>
      <c r="M160" s="8" t="inlineStr">
        <is>
          <t>99991231</t>
        </is>
      </c>
      <c r="N160" s="10" t="n">
        <v>192</v>
      </c>
      <c r="O160" s="10">
        <f>IFERROR(VLOOKUP(A160,Flete!$A:$J,10,0),"")</f>
        <v/>
      </c>
      <c r="P160" s="8" t="inlineStr">
        <is>
          <t>TN</t>
        </is>
      </c>
      <c r="Q160" s="10">
        <f>IFERROR(IFERROR(VLOOKUP(A160,TRAOPE!$A:$U,21,0),VLOOKUP(B160,TRAOPE!$A:$U,21,0)),"")</f>
        <v/>
      </c>
      <c r="R160" s="8">
        <f>IFERROR(IFERROR(VLOOKUP(A160,TRAOPE!$A:$W,23,0),VLOOKUP(B160,TRAOPE!$A:$W,23,0)),"")</f>
        <v/>
      </c>
      <c r="S160" s="10">
        <f>IF(AND(P160="TN",R160="TN"),N160+N(O160),IF(G160&amp;""="1",N(K160)*N160,(N160+N(O160))*N(K160)))</f>
        <v/>
      </c>
      <c r="T160" s="10">
        <f>IF(Q160="","",Q160-S160)</f>
        <v/>
      </c>
    </row>
    <row r="161">
      <c r="A161" s="7">
        <f>CONCATENATE(C161,E161,F161,I161)</f>
        <v/>
      </c>
      <c r="B161" s="7">
        <f>CONCATENATE(C161,E161,I161)</f>
        <v/>
      </c>
      <c r="C161" s="8" t="n">
        <v>900008694</v>
      </c>
      <c r="D161" s="7">
        <f>IFERROR(VLOOKUP(C161,TRAOPE!$G:$H,2,0),"")</f>
        <v/>
      </c>
      <c r="E161" s="8" t="inlineStr">
        <is>
          <t>DW81</t>
        </is>
      </c>
      <c r="F161" s="8" t="inlineStr">
        <is>
          <t>D149</t>
        </is>
      </c>
      <c r="G161" s="8">
        <f>IFERROR(VLOOKUP(A161,Flete!$A:$E,5,0),"")</f>
        <v/>
      </c>
      <c r="H161" s="7">
        <f>IFERROR(VLOOKUP(F161,TRAOPE!$AA:$AB,2,0),"")</f>
        <v/>
      </c>
      <c r="I161" s="7" t="n">
        <v>10000572</v>
      </c>
      <c r="J161" s="7">
        <f>IFERROR(VLOOKUP(I161,Materiales!$A:$H,8,0),"")</f>
        <v/>
      </c>
      <c r="K161" s="9">
        <f>IFERROR(VLOOKUP(I161,Materiales!$A:$G,7,0),"")</f>
        <v/>
      </c>
      <c r="L161" s="8" t="inlineStr">
        <is>
          <t>20250301</t>
        </is>
      </c>
      <c r="M161" s="8" t="inlineStr">
        <is>
          <t>99991231</t>
        </is>
      </c>
      <c r="N161" s="10" t="n">
        <v>196</v>
      </c>
      <c r="O161" s="10">
        <f>IFERROR(VLOOKUP(A161,Flete!$A:$J,10,0),"")</f>
        <v/>
      </c>
      <c r="P161" s="8" t="inlineStr">
        <is>
          <t>TN</t>
        </is>
      </c>
      <c r="Q161" s="10">
        <f>IFERROR(IFERROR(VLOOKUP(A161,TRAOPE!$A:$U,21,0),VLOOKUP(B161,TRAOPE!$A:$U,21,0)),"")</f>
        <v/>
      </c>
      <c r="R161" s="8">
        <f>IFERROR(IFERROR(VLOOKUP(A161,TRAOPE!$A:$W,23,0),VLOOKUP(B161,TRAOPE!$A:$W,23,0)),"")</f>
        <v/>
      </c>
      <c r="S161" s="10">
        <f>IF(AND(P161="TN",R161="TN"),N161+N(O161),IF(G161&amp;""="1",N(K161)*N161,(N161+N(O161))*N(K161)))</f>
        <v/>
      </c>
      <c r="T161" s="10">
        <f>IF(Q161="","",Q161-S161)</f>
        <v/>
      </c>
    </row>
    <row r="162">
      <c r="A162" s="7">
        <f>CONCATENATE(C162,E162,F162,I162)</f>
        <v/>
      </c>
      <c r="B162" s="7">
        <f>CONCATENATE(C162,E162,I162)</f>
        <v/>
      </c>
      <c r="C162" s="8" t="n">
        <v>900008694</v>
      </c>
      <c r="D162" s="7">
        <f>IFERROR(VLOOKUP(C162,TRAOPE!$G:$H,2,0),"")</f>
        <v/>
      </c>
      <c r="E162" s="8" t="inlineStr">
        <is>
          <t>DW81</t>
        </is>
      </c>
      <c r="F162" s="8" t="inlineStr">
        <is>
          <t>D171</t>
        </is>
      </c>
      <c r="G162" s="8">
        <f>IFERROR(VLOOKUP(A162,Flete!$A:$E,5,0),"")</f>
        <v/>
      </c>
      <c r="H162" s="7">
        <f>IFERROR(VLOOKUP(F162,TRAOPE!$AA:$AB,2,0),"")</f>
        <v/>
      </c>
      <c r="I162" s="7" t="n">
        <v>10000404</v>
      </c>
      <c r="J162" s="7">
        <f>IFERROR(VLOOKUP(I162,Materiales!$A:$H,8,0),"")</f>
        <v/>
      </c>
      <c r="K162" s="9">
        <f>IFERROR(VLOOKUP(I162,Materiales!$A:$G,7,0),"")</f>
        <v/>
      </c>
      <c r="L162" s="8" t="inlineStr">
        <is>
          <t>20250301</t>
        </is>
      </c>
      <c r="M162" s="8" t="inlineStr">
        <is>
          <t>99991231</t>
        </is>
      </c>
      <c r="N162" s="10" t="n">
        <v>184</v>
      </c>
      <c r="O162" s="10">
        <f>IFERROR(VLOOKUP(A162,Flete!$A:$J,10,0),"")</f>
        <v/>
      </c>
      <c r="P162" s="8" t="inlineStr">
        <is>
          <t>TN</t>
        </is>
      </c>
      <c r="Q162" s="10">
        <f>IFERROR(IFERROR(VLOOKUP(A162,TRAOPE!$A:$U,21,0),VLOOKUP(B162,TRAOPE!$A:$U,21,0)),"")</f>
        <v/>
      </c>
      <c r="R162" s="8">
        <f>IFERROR(IFERROR(VLOOKUP(A162,TRAOPE!$A:$W,23,0),VLOOKUP(B162,TRAOPE!$A:$W,23,0)),"")</f>
        <v/>
      </c>
      <c r="S162" s="10">
        <f>IF(AND(P162="TN",R162="TN"),N162+N(O162),IF(G162&amp;""="1",N(K162)*N162,(N162+N(O162))*N(K162)))</f>
        <v/>
      </c>
      <c r="T162" s="10">
        <f>IF(Q162="","",Q162-S162)</f>
        <v/>
      </c>
    </row>
    <row r="163">
      <c r="A163" s="7">
        <f>CONCATENATE(C163,E163,F163,I163)</f>
        <v/>
      </c>
      <c r="B163" s="7">
        <f>CONCATENATE(C163,E163,I163)</f>
        <v/>
      </c>
      <c r="C163" s="8" t="n">
        <v>900008694</v>
      </c>
      <c r="D163" s="7">
        <f>IFERROR(VLOOKUP(C163,TRAOPE!$G:$H,2,0),"")</f>
        <v/>
      </c>
      <c r="E163" s="8" t="inlineStr">
        <is>
          <t>DW81</t>
        </is>
      </c>
      <c r="F163" s="8" t="inlineStr">
        <is>
          <t>D171</t>
        </is>
      </c>
      <c r="G163" s="8">
        <f>IFERROR(VLOOKUP(A163,Flete!$A:$E,5,0),"")</f>
        <v/>
      </c>
      <c r="H163" s="7">
        <f>IFERROR(VLOOKUP(F163,TRAOPE!$AA:$AB,2,0),"")</f>
        <v/>
      </c>
      <c r="I163" s="7" t="n">
        <v>10000572</v>
      </c>
      <c r="J163" s="7">
        <f>IFERROR(VLOOKUP(I163,Materiales!$A:$H,8,0),"")</f>
        <v/>
      </c>
      <c r="K163" s="9">
        <f>IFERROR(VLOOKUP(I163,Materiales!$A:$G,7,0),"")</f>
        <v/>
      </c>
      <c r="L163" s="8" t="inlineStr">
        <is>
          <t>20250301</t>
        </is>
      </c>
      <c r="M163" s="8" t="inlineStr">
        <is>
          <t>99991231</t>
        </is>
      </c>
      <c r="N163" s="10" t="n">
        <v>199</v>
      </c>
      <c r="O163" s="10">
        <f>IFERROR(VLOOKUP(A163,Flete!$A:$J,10,0),"")</f>
        <v/>
      </c>
      <c r="P163" s="8" t="inlineStr">
        <is>
          <t>TN</t>
        </is>
      </c>
      <c r="Q163" s="10">
        <f>IFERROR(IFERROR(VLOOKUP(A163,TRAOPE!$A:$U,21,0),VLOOKUP(B163,TRAOPE!$A:$U,21,0)),"")</f>
        <v/>
      </c>
      <c r="R163" s="8">
        <f>IFERROR(IFERROR(VLOOKUP(A163,TRAOPE!$A:$W,23,0),VLOOKUP(B163,TRAOPE!$A:$W,23,0)),"")</f>
        <v/>
      </c>
      <c r="S163" s="10">
        <f>IF(AND(P163="TN",R163="TN"),N163+N(O163),IF(G163&amp;""="1",N(K163)*N163,(N163+N(O163))*N(K163)))</f>
        <v/>
      </c>
      <c r="T163" s="10">
        <f>IF(Q163="","",Q163-S163)</f>
        <v/>
      </c>
    </row>
    <row r="164">
      <c r="A164" s="7">
        <f>CONCATENATE(C164,E164,F164,I164)</f>
        <v/>
      </c>
      <c r="B164" s="7">
        <f>CONCATENATE(C164,E164,I164)</f>
        <v/>
      </c>
      <c r="C164" s="8" t="n">
        <v>900009082</v>
      </c>
      <c r="D164" s="7">
        <f>IFERROR(VLOOKUP(C164,TRAOPE!$G:$H,2,0),"")</f>
        <v/>
      </c>
      <c r="E164" s="8" t="inlineStr">
        <is>
          <t>DW81</t>
        </is>
      </c>
      <c r="F164" s="8" t="inlineStr">
        <is>
          <t>D149</t>
        </is>
      </c>
      <c r="G164" s="8">
        <f>IFERROR(VLOOKUP(A164,Flete!$A:$E,5,0),"")</f>
        <v/>
      </c>
      <c r="H164" s="7">
        <f>IFERROR(VLOOKUP(F164,TRAOPE!$AA:$AB,2,0),"")</f>
        <v/>
      </c>
      <c r="I164" s="7" t="n">
        <v>10000404</v>
      </c>
      <c r="J164" s="7">
        <f>IFERROR(VLOOKUP(I164,Materiales!$A:$H,8,0),"")</f>
        <v/>
      </c>
      <c r="K164" s="9">
        <f>IFERROR(VLOOKUP(I164,Materiales!$A:$G,7,0),"")</f>
        <v/>
      </c>
      <c r="L164" s="8" t="inlineStr">
        <is>
          <t>20241223</t>
        </is>
      </c>
      <c r="M164" s="8" t="inlineStr">
        <is>
          <t>99991231</t>
        </is>
      </c>
      <c r="N164" s="10" t="n">
        <v>350</v>
      </c>
      <c r="O164" s="10">
        <f>IFERROR(VLOOKUP(A164,Flete!$A:$J,10,0),"")</f>
        <v/>
      </c>
      <c r="P164" s="8" t="inlineStr">
        <is>
          <t>TN</t>
        </is>
      </c>
      <c r="Q164" s="10">
        <f>IFERROR(IFERROR(VLOOKUP(A164,TRAOPE!$A:$U,21,0),VLOOKUP(B164,TRAOPE!$A:$U,21,0)),"")</f>
        <v/>
      </c>
      <c r="R164" s="8">
        <f>IFERROR(IFERROR(VLOOKUP(A164,TRAOPE!$A:$W,23,0),VLOOKUP(B164,TRAOPE!$A:$W,23,0)),"")</f>
        <v/>
      </c>
      <c r="S164" s="10">
        <f>IF(AND(P164="TN",R164="TN"),N164+N(O164),IF(G164&amp;""="1",N(K164)*N164,(N164+N(O164))*N(K164)))</f>
        <v/>
      </c>
      <c r="T164" s="10">
        <f>IF(Q164="","",Q164-S164)</f>
        <v/>
      </c>
    </row>
    <row r="165">
      <c r="A165" s="7">
        <f>CONCATENATE(C165,E165,F165,I165)</f>
        <v/>
      </c>
      <c r="B165" s="7">
        <f>CONCATENATE(C165,E165,I165)</f>
        <v/>
      </c>
      <c r="C165" s="8" t="n">
        <v>900009082</v>
      </c>
      <c r="D165" s="7">
        <f>IFERROR(VLOOKUP(C165,TRAOPE!$G:$H,2,0),"")</f>
        <v/>
      </c>
      <c r="E165" s="8" t="inlineStr">
        <is>
          <t>DW81</t>
        </is>
      </c>
      <c r="F165" s="8" t="inlineStr">
        <is>
          <t>D149</t>
        </is>
      </c>
      <c r="G165" s="8">
        <f>IFERROR(VLOOKUP(A165,Flete!$A:$E,5,0),"")</f>
        <v/>
      </c>
      <c r="H165" s="7">
        <f>IFERROR(VLOOKUP(F165,TRAOPE!$AA:$AB,2,0),"")</f>
        <v/>
      </c>
      <c r="I165" s="7" t="n">
        <v>10000572</v>
      </c>
      <c r="J165" s="7">
        <f>IFERROR(VLOOKUP(I165,Materiales!$A:$H,8,0),"")</f>
        <v/>
      </c>
      <c r="K165" s="9">
        <f>IFERROR(VLOOKUP(I165,Materiales!$A:$G,7,0),"")</f>
        <v/>
      </c>
      <c r="L165" s="8" t="inlineStr">
        <is>
          <t>20241223</t>
        </is>
      </c>
      <c r="M165" s="8" t="inlineStr">
        <is>
          <t>99991231</t>
        </is>
      </c>
      <c r="N165" s="10" t="n">
        <v>350</v>
      </c>
      <c r="O165" s="10">
        <f>IFERROR(VLOOKUP(A165,Flete!$A:$J,10,0),"")</f>
        <v/>
      </c>
      <c r="P165" s="8" t="inlineStr">
        <is>
          <t>TN</t>
        </is>
      </c>
      <c r="Q165" s="10">
        <f>IFERROR(IFERROR(VLOOKUP(A165,TRAOPE!$A:$U,21,0),VLOOKUP(B165,TRAOPE!$A:$U,21,0)),"")</f>
        <v/>
      </c>
      <c r="R165" s="8">
        <f>IFERROR(IFERROR(VLOOKUP(A165,TRAOPE!$A:$W,23,0),VLOOKUP(B165,TRAOPE!$A:$W,23,0)),"")</f>
        <v/>
      </c>
      <c r="S165" s="10">
        <f>IF(AND(P165="TN",R165="TN"),N165+N(O165),IF(G165&amp;""="1",N(K165)*N165,(N165+N(O165))*N(K165)))</f>
        <v/>
      </c>
      <c r="T165" s="10">
        <f>IF(Q165="","",Q165-S165)</f>
        <v/>
      </c>
    </row>
    <row r="166">
      <c r="A166" s="7">
        <f>CONCATENATE(C166,E166,F166,I166)</f>
        <v/>
      </c>
      <c r="B166" s="7">
        <f>CONCATENATE(C166,E166,I166)</f>
        <v/>
      </c>
      <c r="C166" s="8" t="n">
        <v>900009082</v>
      </c>
      <c r="D166" s="7">
        <f>IFERROR(VLOOKUP(C166,TRAOPE!$G:$H,2,0),"")</f>
        <v/>
      </c>
      <c r="E166" s="8" t="inlineStr">
        <is>
          <t>DW81</t>
        </is>
      </c>
      <c r="F166" s="8" t="inlineStr">
        <is>
          <t>D171</t>
        </is>
      </c>
      <c r="G166" s="8">
        <f>IFERROR(VLOOKUP(A166,Flete!$A:$E,5,0),"")</f>
        <v/>
      </c>
      <c r="H166" s="7">
        <f>IFERROR(VLOOKUP(F166,TRAOPE!$AA:$AB,2,0),"")</f>
        <v/>
      </c>
      <c r="I166" s="7" t="n">
        <v>10000404</v>
      </c>
      <c r="J166" s="7">
        <f>IFERROR(VLOOKUP(I166,Materiales!$A:$H,8,0),"")</f>
        <v/>
      </c>
      <c r="K166" s="9">
        <f>IFERROR(VLOOKUP(I166,Materiales!$A:$G,7,0),"")</f>
        <v/>
      </c>
      <c r="L166" s="8" t="inlineStr">
        <is>
          <t>20241223</t>
        </is>
      </c>
      <c r="M166" s="8" t="inlineStr">
        <is>
          <t>99991231</t>
        </is>
      </c>
      <c r="N166" s="10" t="n">
        <v>349</v>
      </c>
      <c r="O166" s="10">
        <f>IFERROR(VLOOKUP(A166,Flete!$A:$J,10,0),"")</f>
        <v/>
      </c>
      <c r="P166" s="8" t="inlineStr">
        <is>
          <t>TN</t>
        </is>
      </c>
      <c r="Q166" s="10">
        <f>IFERROR(IFERROR(VLOOKUP(A166,TRAOPE!$A:$U,21,0),VLOOKUP(B166,TRAOPE!$A:$U,21,0)),"")</f>
        <v/>
      </c>
      <c r="R166" s="8">
        <f>IFERROR(IFERROR(VLOOKUP(A166,TRAOPE!$A:$W,23,0),VLOOKUP(B166,TRAOPE!$A:$W,23,0)),"")</f>
        <v/>
      </c>
      <c r="S166" s="10">
        <f>IF(AND(P166="TN",R166="TN"),N166+N(O166),IF(G166&amp;""="1",N(K166)*N166,(N166+N(O166))*N(K166)))</f>
        <v/>
      </c>
      <c r="T166" s="10">
        <f>IF(Q166="","",Q166-S166)</f>
        <v/>
      </c>
    </row>
    <row r="167">
      <c r="A167" s="7">
        <f>CONCATENATE(C167,E167,F167,I167)</f>
        <v/>
      </c>
      <c r="B167" s="7">
        <f>CONCATENATE(C167,E167,I167)</f>
        <v/>
      </c>
      <c r="C167" s="8" t="n">
        <v>900009082</v>
      </c>
      <c r="D167" s="7">
        <f>IFERROR(VLOOKUP(C167,TRAOPE!$G:$H,2,0),"")</f>
        <v/>
      </c>
      <c r="E167" s="8" t="inlineStr">
        <is>
          <t>DW81</t>
        </is>
      </c>
      <c r="F167" s="8" t="inlineStr">
        <is>
          <t>D171</t>
        </is>
      </c>
      <c r="G167" s="8">
        <f>IFERROR(VLOOKUP(A167,Flete!$A:$E,5,0),"")</f>
        <v/>
      </c>
      <c r="H167" s="7">
        <f>IFERROR(VLOOKUP(F167,TRAOPE!$AA:$AB,2,0),"")</f>
        <v/>
      </c>
      <c r="I167" s="7" t="n">
        <v>10000572</v>
      </c>
      <c r="J167" s="7">
        <f>IFERROR(VLOOKUP(I167,Materiales!$A:$H,8,0),"")</f>
        <v/>
      </c>
      <c r="K167" s="9">
        <f>IFERROR(VLOOKUP(I167,Materiales!$A:$G,7,0),"")</f>
        <v/>
      </c>
      <c r="L167" s="8" t="inlineStr">
        <is>
          <t>20241223</t>
        </is>
      </c>
      <c r="M167" s="8" t="inlineStr">
        <is>
          <t>99991231</t>
        </is>
      </c>
      <c r="N167" s="10" t="n">
        <v>349</v>
      </c>
      <c r="O167" s="10">
        <f>IFERROR(VLOOKUP(A167,Flete!$A:$J,10,0),"")</f>
        <v/>
      </c>
      <c r="P167" s="8" t="inlineStr">
        <is>
          <t>TN</t>
        </is>
      </c>
      <c r="Q167" s="10">
        <f>IFERROR(IFERROR(VLOOKUP(A167,TRAOPE!$A:$U,21,0),VLOOKUP(B167,TRAOPE!$A:$U,21,0)),"")</f>
        <v/>
      </c>
      <c r="R167" s="8">
        <f>IFERROR(IFERROR(VLOOKUP(A167,TRAOPE!$A:$W,23,0),VLOOKUP(B167,TRAOPE!$A:$W,23,0)),"")</f>
        <v/>
      </c>
      <c r="S167" s="10">
        <f>IF(AND(P167="TN",R167="TN"),N167+N(O167),IF(G167&amp;""="1",N(K167)*N167,(N167+N(O167))*N(K167)))</f>
        <v/>
      </c>
      <c r="T167" s="10">
        <f>IF(Q167="","",Q167-S167)</f>
        <v/>
      </c>
    </row>
    <row r="168">
      <c r="A168" s="7">
        <f>CONCATENATE(C168,E168,F168,I168)</f>
        <v/>
      </c>
      <c r="B168" s="7">
        <f>CONCATENATE(C168,E168,I168)</f>
        <v/>
      </c>
      <c r="C168" s="8" t="n">
        <v>900009335</v>
      </c>
      <c r="D168" s="7">
        <f>IFERROR(VLOOKUP(C168,TRAOPE!$G:$H,2,0),"")</f>
        <v/>
      </c>
      <c r="E168" s="8" t="inlineStr">
        <is>
          <t>DW81</t>
        </is>
      </c>
      <c r="F168" s="8" t="inlineStr">
        <is>
          <t>D148</t>
        </is>
      </c>
      <c r="G168" s="8">
        <f>IFERROR(VLOOKUP(A168,Flete!$A:$E,5,0),"")</f>
        <v/>
      </c>
      <c r="H168" s="7">
        <f>IFERROR(VLOOKUP(F168,TRAOPE!$AA:$AB,2,0),"")</f>
        <v/>
      </c>
      <c r="I168" s="7" t="n">
        <v>10272234</v>
      </c>
      <c r="J168" s="7">
        <f>IFERROR(VLOOKUP(I168,Materiales!$A:$H,8,0),"")</f>
        <v/>
      </c>
      <c r="K168" s="9">
        <f>IFERROR(VLOOKUP(I168,Materiales!$A:$G,7,0),"")</f>
        <v/>
      </c>
      <c r="L168" s="8" t="inlineStr">
        <is>
          <t>20251028</t>
        </is>
      </c>
      <c r="M168" s="8" t="inlineStr">
        <is>
          <t>99991231</t>
        </is>
      </c>
      <c r="N168" s="10" t="n">
        <v>160</v>
      </c>
      <c r="O168" s="10">
        <f>IFERROR(VLOOKUP(A168,Flete!$A:$J,10,0),"")</f>
        <v/>
      </c>
      <c r="P168" s="8" t="inlineStr">
        <is>
          <t>TN</t>
        </is>
      </c>
      <c r="Q168" s="10">
        <f>IFERROR(IFERROR(VLOOKUP(A168,TRAOPE!$A:$U,21,0),VLOOKUP(B168,TRAOPE!$A:$U,21,0)),"")</f>
        <v/>
      </c>
      <c r="R168" s="8">
        <f>IFERROR(IFERROR(VLOOKUP(A168,TRAOPE!$A:$W,23,0),VLOOKUP(B168,TRAOPE!$A:$W,23,0)),"")</f>
        <v/>
      </c>
      <c r="S168" s="10">
        <f>IF(AND(P168="TN",R168="TN"),N168+N(O168),IF(G168&amp;""="1",N(K168)*N168,(N168+N(O168))*N(K168)))</f>
        <v/>
      </c>
      <c r="T168" s="10">
        <f>IF(Q168="","",Q168-S168)</f>
        <v/>
      </c>
    </row>
    <row r="169">
      <c r="A169" s="7">
        <f>CONCATENATE(C169,E169,F169,I169)</f>
        <v/>
      </c>
      <c r="B169" s="7">
        <f>CONCATENATE(C169,E169,I169)</f>
        <v/>
      </c>
      <c r="C169" s="8" t="n">
        <v>900009335</v>
      </c>
      <c r="D169" s="7">
        <f>IFERROR(VLOOKUP(C169,TRAOPE!$G:$H,2,0),"")</f>
        <v/>
      </c>
      <c r="E169" s="8" t="inlineStr">
        <is>
          <t>DW81</t>
        </is>
      </c>
      <c r="F169" s="8" t="inlineStr">
        <is>
          <t>D148</t>
        </is>
      </c>
      <c r="G169" s="8">
        <f>IFERROR(VLOOKUP(A169,Flete!$A:$E,5,0),"")</f>
        <v/>
      </c>
      <c r="H169" s="7">
        <f>IFERROR(VLOOKUP(F169,TRAOPE!$AA:$AB,2,0),"")</f>
        <v/>
      </c>
      <c r="I169" s="7" t="n">
        <v>10272235</v>
      </c>
      <c r="J169" s="7">
        <f>IFERROR(VLOOKUP(I169,Materiales!$A:$H,8,0),"")</f>
        <v/>
      </c>
      <c r="K169" s="9">
        <f>IFERROR(VLOOKUP(I169,Materiales!$A:$G,7,0),"")</f>
        <v/>
      </c>
      <c r="L169" s="8" t="inlineStr">
        <is>
          <t>20251028</t>
        </is>
      </c>
      <c r="M169" s="8" t="inlineStr">
        <is>
          <t>99991231</t>
        </is>
      </c>
      <c r="N169" s="10" t="n">
        <v>160</v>
      </c>
      <c r="O169" s="10">
        <f>IFERROR(VLOOKUP(A169,Flete!$A:$J,10,0),"")</f>
        <v/>
      </c>
      <c r="P169" s="8" t="inlineStr">
        <is>
          <t>TN</t>
        </is>
      </c>
      <c r="Q169" s="10">
        <f>IFERROR(IFERROR(VLOOKUP(A169,TRAOPE!$A:$U,21,0),VLOOKUP(B169,TRAOPE!$A:$U,21,0)),"")</f>
        <v/>
      </c>
      <c r="R169" s="8">
        <f>IFERROR(IFERROR(VLOOKUP(A169,TRAOPE!$A:$W,23,0),VLOOKUP(B169,TRAOPE!$A:$W,23,0)),"")</f>
        <v/>
      </c>
      <c r="S169" s="10">
        <f>IF(AND(P169="TN",R169="TN"),N169+N(O169),IF(G169&amp;""="1",N(K169)*N169,(N169+N(O169))*N(K169)))</f>
        <v/>
      </c>
      <c r="T169" s="10">
        <f>IF(Q169="","",Q169-S169)</f>
        <v/>
      </c>
    </row>
    <row r="170">
      <c r="A170" s="7">
        <f>CONCATENATE(C170,E170,F170,I170)</f>
        <v/>
      </c>
      <c r="B170" s="7">
        <f>CONCATENATE(C170,E170,I170)</f>
        <v/>
      </c>
      <c r="C170" s="8" t="n">
        <v>900009335</v>
      </c>
      <c r="D170" s="7">
        <f>IFERROR(VLOOKUP(C170,TRAOPE!$G:$H,2,0),"")</f>
        <v/>
      </c>
      <c r="E170" s="8" t="inlineStr">
        <is>
          <t>DW81</t>
        </is>
      </c>
      <c r="F170" s="8" t="inlineStr">
        <is>
          <t>D149</t>
        </is>
      </c>
      <c r="G170" s="8">
        <f>IFERROR(VLOOKUP(A170,Flete!$A:$E,5,0),"")</f>
        <v/>
      </c>
      <c r="H170" s="7">
        <f>IFERROR(VLOOKUP(F170,TRAOPE!$AA:$AB,2,0),"")</f>
        <v/>
      </c>
      <c r="I170" s="7" t="n">
        <v>10272234</v>
      </c>
      <c r="J170" s="7">
        <f>IFERROR(VLOOKUP(I170,Materiales!$A:$H,8,0),"")</f>
        <v/>
      </c>
      <c r="K170" s="9">
        <f>IFERROR(VLOOKUP(I170,Materiales!$A:$G,7,0),"")</f>
        <v/>
      </c>
      <c r="L170" s="8" t="inlineStr">
        <is>
          <t>20251028</t>
        </is>
      </c>
      <c r="M170" s="8" t="inlineStr">
        <is>
          <t>99991231</t>
        </is>
      </c>
      <c r="N170" s="10" t="n">
        <v>160</v>
      </c>
      <c r="O170" s="10">
        <f>IFERROR(VLOOKUP(A170,Flete!$A:$J,10,0),"")</f>
        <v/>
      </c>
      <c r="P170" s="8" t="inlineStr">
        <is>
          <t>TN</t>
        </is>
      </c>
      <c r="Q170" s="10">
        <f>IFERROR(IFERROR(VLOOKUP(A170,TRAOPE!$A:$U,21,0),VLOOKUP(B170,TRAOPE!$A:$U,21,0)),"")</f>
        <v/>
      </c>
      <c r="R170" s="8">
        <f>IFERROR(IFERROR(VLOOKUP(A170,TRAOPE!$A:$W,23,0),VLOOKUP(B170,TRAOPE!$A:$W,23,0)),"")</f>
        <v/>
      </c>
      <c r="S170" s="10">
        <f>IF(AND(P170="TN",R170="TN"),N170+N(O170),IF(G170&amp;""="1",N(K170)*N170,(N170+N(O170))*N(K170)))</f>
        <v/>
      </c>
      <c r="T170" s="10">
        <f>IF(Q170="","",Q170-S170)</f>
        <v/>
      </c>
    </row>
    <row r="171">
      <c r="A171" s="7">
        <f>CONCATENATE(C171,E171,F171,I171)</f>
        <v/>
      </c>
      <c r="B171" s="7">
        <f>CONCATENATE(C171,E171,I171)</f>
        <v/>
      </c>
      <c r="C171" s="8" t="n">
        <v>900009335</v>
      </c>
      <c r="D171" s="7">
        <f>IFERROR(VLOOKUP(C171,TRAOPE!$G:$H,2,0),"")</f>
        <v/>
      </c>
      <c r="E171" s="8" t="inlineStr">
        <is>
          <t>DW81</t>
        </is>
      </c>
      <c r="F171" s="8" t="inlineStr">
        <is>
          <t>D149</t>
        </is>
      </c>
      <c r="G171" s="8">
        <f>IFERROR(VLOOKUP(A171,Flete!$A:$E,5,0),"")</f>
        <v/>
      </c>
      <c r="H171" s="7">
        <f>IFERROR(VLOOKUP(F171,TRAOPE!$AA:$AB,2,0),"")</f>
        <v/>
      </c>
      <c r="I171" s="7" t="n">
        <v>10272235</v>
      </c>
      <c r="J171" s="7">
        <f>IFERROR(VLOOKUP(I171,Materiales!$A:$H,8,0),"")</f>
        <v/>
      </c>
      <c r="K171" s="9">
        <f>IFERROR(VLOOKUP(I171,Materiales!$A:$G,7,0),"")</f>
        <v/>
      </c>
      <c r="L171" s="8" t="inlineStr">
        <is>
          <t>20251028</t>
        </is>
      </c>
      <c r="M171" s="8" t="inlineStr">
        <is>
          <t>99991231</t>
        </is>
      </c>
      <c r="N171" s="10" t="n">
        <v>160</v>
      </c>
      <c r="O171" s="10">
        <f>IFERROR(VLOOKUP(A171,Flete!$A:$J,10,0),"")</f>
        <v/>
      </c>
      <c r="P171" s="8" t="inlineStr">
        <is>
          <t>TN</t>
        </is>
      </c>
      <c r="Q171" s="10">
        <f>IFERROR(IFERROR(VLOOKUP(A171,TRAOPE!$A:$U,21,0),VLOOKUP(B171,TRAOPE!$A:$U,21,0)),"")</f>
        <v/>
      </c>
      <c r="R171" s="8">
        <f>IFERROR(IFERROR(VLOOKUP(A171,TRAOPE!$A:$W,23,0),VLOOKUP(B171,TRAOPE!$A:$W,23,0)),"")</f>
        <v/>
      </c>
      <c r="S171" s="10">
        <f>IF(AND(P171="TN",R171="TN"),N171+N(O171),IF(G171&amp;""="1",N(K171)*N171,(N171+N(O171))*N(K171)))</f>
        <v/>
      </c>
      <c r="T171" s="10">
        <f>IF(Q171="","",Q171-S171)</f>
        <v/>
      </c>
    </row>
    <row r="172">
      <c r="A172" s="7">
        <f>CONCATENATE(C172,E172,F172,I172)</f>
        <v/>
      </c>
      <c r="B172" s="7">
        <f>CONCATENATE(C172,E172,I172)</f>
        <v/>
      </c>
      <c r="C172" s="8" t="n">
        <v>900009335</v>
      </c>
      <c r="D172" s="7">
        <f>IFERROR(VLOOKUP(C172,TRAOPE!$G:$H,2,0),"")</f>
        <v/>
      </c>
      <c r="E172" s="8" t="inlineStr">
        <is>
          <t>DW81</t>
        </is>
      </c>
      <c r="F172" s="8" t="inlineStr">
        <is>
          <t>D171</t>
        </is>
      </c>
      <c r="G172" s="8">
        <f>IFERROR(VLOOKUP(A172,Flete!$A:$E,5,0),"")</f>
        <v/>
      </c>
      <c r="H172" s="7">
        <f>IFERROR(VLOOKUP(F172,TRAOPE!$AA:$AB,2,0),"")</f>
        <v/>
      </c>
      <c r="I172" s="7" t="n">
        <v>10272234</v>
      </c>
      <c r="J172" s="7">
        <f>IFERROR(VLOOKUP(I172,Materiales!$A:$H,8,0),"")</f>
        <v/>
      </c>
      <c r="K172" s="9">
        <f>IFERROR(VLOOKUP(I172,Materiales!$A:$G,7,0),"")</f>
        <v/>
      </c>
      <c r="L172" s="8" t="inlineStr">
        <is>
          <t>20251028</t>
        </is>
      </c>
      <c r="M172" s="8" t="inlineStr">
        <is>
          <t>99991231</t>
        </is>
      </c>
      <c r="N172" s="10" t="n">
        <v>160</v>
      </c>
      <c r="O172" s="10">
        <f>IFERROR(VLOOKUP(A172,Flete!$A:$J,10,0),"")</f>
        <v/>
      </c>
      <c r="P172" s="8" t="inlineStr">
        <is>
          <t>TN</t>
        </is>
      </c>
      <c r="Q172" s="10">
        <f>IFERROR(IFERROR(VLOOKUP(A172,TRAOPE!$A:$U,21,0),VLOOKUP(B172,TRAOPE!$A:$U,21,0)),"")</f>
        <v/>
      </c>
      <c r="R172" s="8">
        <f>IFERROR(IFERROR(VLOOKUP(A172,TRAOPE!$A:$W,23,0),VLOOKUP(B172,TRAOPE!$A:$W,23,0)),"")</f>
        <v/>
      </c>
      <c r="S172" s="10">
        <f>IF(AND(P172="TN",R172="TN"),N172+N(O172),IF(G172&amp;""="1",N(K172)*N172,(N172+N(O172))*N(K172)))</f>
        <v/>
      </c>
      <c r="T172" s="10">
        <f>IF(Q172="","",Q172-S172)</f>
        <v/>
      </c>
    </row>
    <row r="173">
      <c r="A173" s="7">
        <f>CONCATENATE(C173,E173,F173,I173)</f>
        <v/>
      </c>
      <c r="B173" s="7">
        <f>CONCATENATE(C173,E173,I173)</f>
        <v/>
      </c>
      <c r="C173" s="8" t="n">
        <v>900009335</v>
      </c>
      <c r="D173" s="7">
        <f>IFERROR(VLOOKUP(C173,TRAOPE!$G:$H,2,0),"")</f>
        <v/>
      </c>
      <c r="E173" s="8" t="inlineStr">
        <is>
          <t>DW81</t>
        </is>
      </c>
      <c r="F173" s="8" t="inlineStr">
        <is>
          <t>D171</t>
        </is>
      </c>
      <c r="G173" s="8">
        <f>IFERROR(VLOOKUP(A173,Flete!$A:$E,5,0),"")</f>
        <v/>
      </c>
      <c r="H173" s="7">
        <f>IFERROR(VLOOKUP(F173,TRAOPE!$AA:$AB,2,0),"")</f>
        <v/>
      </c>
      <c r="I173" s="7" t="n">
        <v>10272235</v>
      </c>
      <c r="J173" s="7">
        <f>IFERROR(VLOOKUP(I173,Materiales!$A:$H,8,0),"")</f>
        <v/>
      </c>
      <c r="K173" s="9">
        <f>IFERROR(VLOOKUP(I173,Materiales!$A:$G,7,0),"")</f>
        <v/>
      </c>
      <c r="L173" s="8" t="inlineStr">
        <is>
          <t>20251028</t>
        </is>
      </c>
      <c r="M173" s="8" t="inlineStr">
        <is>
          <t>99991231</t>
        </is>
      </c>
      <c r="N173" s="10" t="n">
        <v>160</v>
      </c>
      <c r="O173" s="10">
        <f>IFERROR(VLOOKUP(A173,Flete!$A:$J,10,0),"")</f>
        <v/>
      </c>
      <c r="P173" s="8" t="inlineStr">
        <is>
          <t>TN</t>
        </is>
      </c>
      <c r="Q173" s="10">
        <f>IFERROR(IFERROR(VLOOKUP(A173,TRAOPE!$A:$U,21,0),VLOOKUP(B173,TRAOPE!$A:$U,21,0)),"")</f>
        <v/>
      </c>
      <c r="R173" s="8">
        <f>IFERROR(IFERROR(VLOOKUP(A173,TRAOPE!$A:$W,23,0),VLOOKUP(B173,TRAOPE!$A:$W,23,0)),"")</f>
        <v/>
      </c>
      <c r="S173" s="10">
        <f>IF(AND(P173="TN",R173="TN"),N173+N(O173),IF(G173&amp;""="1",N(K173)*N173,(N173+N(O173))*N(K173)))</f>
        <v/>
      </c>
      <c r="T173" s="10">
        <f>IF(Q173="","",Q173-S173)</f>
        <v/>
      </c>
    </row>
    <row r="174">
      <c r="A174" s="7">
        <f>CONCATENATE(C174,E174,F174,I174)</f>
        <v/>
      </c>
      <c r="B174" s="7">
        <f>CONCATENATE(C174,E174,I174)</f>
        <v/>
      </c>
      <c r="C174" s="8" t="n">
        <v>900009416</v>
      </c>
      <c r="D174" s="7">
        <f>IFERROR(VLOOKUP(C174,TRAOPE!$G:$H,2,0),"")</f>
        <v/>
      </c>
      <c r="E174" s="8" t="inlineStr">
        <is>
          <t>DW81</t>
        </is>
      </c>
      <c r="F174" s="8" t="inlineStr">
        <is>
          <t>D149</t>
        </is>
      </c>
      <c r="G174" s="8">
        <f>IFERROR(VLOOKUP(A174,Flete!$A:$E,5,0),"")</f>
        <v/>
      </c>
      <c r="H174" s="7">
        <f>IFERROR(VLOOKUP(F174,TRAOPE!$AA:$AB,2,0),"")</f>
        <v/>
      </c>
      <c r="I174" s="7" t="n">
        <v>10273351</v>
      </c>
      <c r="J174" s="7">
        <f>IFERROR(VLOOKUP(I174,Materiales!$A:$H,8,0),"")</f>
        <v/>
      </c>
      <c r="K174" s="9">
        <f>IFERROR(VLOOKUP(I174,Materiales!$A:$G,7,0),"")</f>
        <v/>
      </c>
      <c r="L174" s="8" t="inlineStr">
        <is>
          <t>20251217</t>
        </is>
      </c>
      <c r="M174" s="8" t="inlineStr">
        <is>
          <t>99991231</t>
        </is>
      </c>
      <c r="N174" s="10" t="n">
        <v>365</v>
      </c>
      <c r="O174" s="10">
        <f>IFERROR(VLOOKUP(A174,Flete!$A:$J,10,0),"")</f>
        <v/>
      </c>
      <c r="P174" s="8" t="inlineStr">
        <is>
          <t>TN</t>
        </is>
      </c>
      <c r="Q174" s="10">
        <f>IFERROR(IFERROR(VLOOKUP(A174,TRAOPE!$A:$U,21,0),VLOOKUP(B174,TRAOPE!$A:$U,21,0)),"")</f>
        <v/>
      </c>
      <c r="R174" s="8">
        <f>IFERROR(IFERROR(VLOOKUP(A174,TRAOPE!$A:$W,23,0),VLOOKUP(B174,TRAOPE!$A:$W,23,0)),"")</f>
        <v/>
      </c>
      <c r="S174" s="10">
        <f>IF(AND(P174="TN",R174="TN"),N174+N(O174),IF(G174&amp;""="1",N(K174)*N174,(N174+N(O174))*N(K174)))</f>
        <v/>
      </c>
      <c r="T174" s="10">
        <f>IF(Q174="","",Q174-S174)</f>
        <v/>
      </c>
    </row>
    <row r="175">
      <c r="A175" s="7">
        <f>CONCATENATE(C175,E175,F175,I175)</f>
        <v/>
      </c>
      <c r="B175" s="7">
        <f>CONCATENATE(C175,E175,I175)</f>
        <v/>
      </c>
      <c r="C175" s="8" t="n">
        <v>900009416</v>
      </c>
      <c r="D175" s="7">
        <f>IFERROR(VLOOKUP(C175,TRAOPE!$G:$H,2,0),"")</f>
        <v/>
      </c>
      <c r="E175" s="8" t="inlineStr">
        <is>
          <t>DW81</t>
        </is>
      </c>
      <c r="F175" s="8" t="inlineStr">
        <is>
          <t>D149</t>
        </is>
      </c>
      <c r="G175" s="8">
        <f>IFERROR(VLOOKUP(A175,Flete!$A:$E,5,0),"")</f>
        <v/>
      </c>
      <c r="H175" s="7">
        <f>IFERROR(VLOOKUP(F175,TRAOPE!$AA:$AB,2,0),"")</f>
        <v/>
      </c>
      <c r="I175" s="7" t="n">
        <v>10273352</v>
      </c>
      <c r="J175" s="7">
        <f>IFERROR(VLOOKUP(I175,Materiales!$A:$H,8,0),"")</f>
        <v/>
      </c>
      <c r="K175" s="9">
        <f>IFERROR(VLOOKUP(I175,Materiales!$A:$G,7,0),"")</f>
        <v/>
      </c>
      <c r="L175" s="8" t="inlineStr">
        <is>
          <t>20251217</t>
        </is>
      </c>
      <c r="M175" s="8" t="inlineStr">
        <is>
          <t>99991231</t>
        </is>
      </c>
      <c r="N175" s="10" t="n">
        <v>350</v>
      </c>
      <c r="O175" s="10">
        <f>IFERROR(VLOOKUP(A175,Flete!$A:$J,10,0),"")</f>
        <v/>
      </c>
      <c r="P175" s="8" t="inlineStr">
        <is>
          <t>TN</t>
        </is>
      </c>
      <c r="Q175" s="10">
        <f>IFERROR(IFERROR(VLOOKUP(A175,TRAOPE!$A:$U,21,0),VLOOKUP(B175,TRAOPE!$A:$U,21,0)),"")</f>
        <v/>
      </c>
      <c r="R175" s="8">
        <f>IFERROR(IFERROR(VLOOKUP(A175,TRAOPE!$A:$W,23,0),VLOOKUP(B175,TRAOPE!$A:$W,23,0)),"")</f>
        <v/>
      </c>
      <c r="S175" s="10">
        <f>IF(AND(P175="TN",R175="TN"),N175+N(O175),IF(G175&amp;""="1",N(K175)*N175,(N175+N(O175))*N(K175)))</f>
        <v/>
      </c>
      <c r="T175" s="10">
        <f>IF(Q175="","",Q175-S175)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900000007</t>
        </is>
      </c>
      <c r="B2" t="inlineStr">
        <is>
          <t>DW81</t>
        </is>
      </c>
      <c r="C2" t="inlineStr">
        <is>
          <t>D148</t>
        </is>
      </c>
      <c r="D2" t="inlineStr">
        <is>
          <t>10000404</t>
        </is>
      </c>
      <c r="E2" t="inlineStr"/>
      <c r="F2" s="11" t="n">
        <v>178</v>
      </c>
      <c r="G2" t="inlineStr"/>
      <c r="I2" t="inlineStr">
        <is>
          <t>TN</t>
        </is>
      </c>
      <c r="J2" t="inlineStr"/>
      <c r="K2" t="inlineStr">
        <is>
          <t>20241018</t>
        </is>
      </c>
      <c r="L2" t="inlineStr">
        <is>
          <t>99991231</t>
        </is>
      </c>
    </row>
    <row r="3">
      <c r="A3" t="inlineStr">
        <is>
          <t>900000007</t>
        </is>
      </c>
      <c r="B3" t="inlineStr">
        <is>
          <t>DW81</t>
        </is>
      </c>
      <c r="C3" t="inlineStr">
        <is>
          <t>D148</t>
        </is>
      </c>
      <c r="D3" t="inlineStr">
        <is>
          <t>10000572</t>
        </is>
      </c>
      <c r="E3" t="inlineStr"/>
      <c r="F3" s="11" t="n">
        <v>178</v>
      </c>
      <c r="G3" t="inlineStr"/>
      <c r="I3" t="inlineStr">
        <is>
          <t>TN</t>
        </is>
      </c>
      <c r="J3" t="inlineStr"/>
      <c r="K3" t="inlineStr">
        <is>
          <t>20241018</t>
        </is>
      </c>
      <c r="L3" t="inlineStr">
        <is>
          <t>99991231</t>
        </is>
      </c>
    </row>
    <row r="4">
      <c r="A4" t="inlineStr">
        <is>
          <t>900000007</t>
        </is>
      </c>
      <c r="B4" t="inlineStr">
        <is>
          <t>DW81</t>
        </is>
      </c>
      <c r="C4" t="inlineStr">
        <is>
          <t>D149</t>
        </is>
      </c>
      <c r="D4" t="inlineStr">
        <is>
          <t>10000404</t>
        </is>
      </c>
      <c r="E4" t="inlineStr"/>
      <c r="F4" s="11" t="n">
        <v>186</v>
      </c>
      <c r="G4" t="inlineStr"/>
      <c r="I4" t="inlineStr">
        <is>
          <t>TN</t>
        </is>
      </c>
      <c r="J4" t="inlineStr"/>
      <c r="K4" t="inlineStr">
        <is>
          <t>20240513</t>
        </is>
      </c>
      <c r="L4" t="inlineStr">
        <is>
          <t>99991231</t>
        </is>
      </c>
    </row>
    <row r="5">
      <c r="A5" t="inlineStr">
        <is>
          <t>900000007</t>
        </is>
      </c>
      <c r="B5" t="inlineStr">
        <is>
          <t>DW81</t>
        </is>
      </c>
      <c r="C5" t="inlineStr">
        <is>
          <t>D149</t>
        </is>
      </c>
      <c r="D5" t="inlineStr">
        <is>
          <t>10000572</t>
        </is>
      </c>
      <c r="E5" t="inlineStr"/>
      <c r="F5" s="11" t="n">
        <v>186</v>
      </c>
      <c r="G5" t="inlineStr"/>
      <c r="I5" t="inlineStr">
        <is>
          <t>TN</t>
        </is>
      </c>
      <c r="J5" t="inlineStr"/>
      <c r="K5" t="inlineStr">
        <is>
          <t>20240513</t>
        </is>
      </c>
      <c r="L5" t="inlineStr">
        <is>
          <t>99991231</t>
        </is>
      </c>
    </row>
    <row r="6">
      <c r="A6" t="inlineStr">
        <is>
          <t>900000007</t>
        </is>
      </c>
      <c r="B6" t="inlineStr">
        <is>
          <t>DW81</t>
        </is>
      </c>
      <c r="C6" t="inlineStr">
        <is>
          <t>D171</t>
        </is>
      </c>
      <c r="D6" t="inlineStr">
        <is>
          <t>10000404</t>
        </is>
      </c>
      <c r="E6" t="inlineStr"/>
      <c r="F6" s="11" t="n">
        <v>186</v>
      </c>
      <c r="G6" t="inlineStr"/>
      <c r="I6" t="inlineStr">
        <is>
          <t>TN</t>
        </is>
      </c>
      <c r="J6" t="inlineStr"/>
      <c r="K6" t="inlineStr">
        <is>
          <t>20240513</t>
        </is>
      </c>
      <c r="L6" t="inlineStr">
        <is>
          <t>99991231</t>
        </is>
      </c>
    </row>
    <row r="7">
      <c r="A7" t="inlineStr">
        <is>
          <t>900000007</t>
        </is>
      </c>
      <c r="B7" t="inlineStr">
        <is>
          <t>DW81</t>
        </is>
      </c>
      <c r="C7" t="inlineStr">
        <is>
          <t>D171</t>
        </is>
      </c>
      <c r="D7" t="inlineStr">
        <is>
          <t>10000572</t>
        </is>
      </c>
      <c r="E7" t="inlineStr"/>
      <c r="F7" s="11" t="n">
        <v>186</v>
      </c>
      <c r="G7" t="inlineStr"/>
      <c r="I7" t="inlineStr">
        <is>
          <t>TN</t>
        </is>
      </c>
      <c r="J7" t="inlineStr"/>
      <c r="K7" t="inlineStr">
        <is>
          <t>20240513</t>
        </is>
      </c>
      <c r="L7" t="inlineStr">
        <is>
          <t>99991231</t>
        </is>
      </c>
    </row>
    <row r="8">
      <c r="A8" t="inlineStr">
        <is>
          <t>900000052</t>
        </is>
      </c>
      <c r="B8" t="inlineStr">
        <is>
          <t>DW81</t>
        </is>
      </c>
      <c r="C8" t="inlineStr">
        <is>
          <t>D148</t>
        </is>
      </c>
      <c r="D8" t="inlineStr">
        <is>
          <t>10000572</t>
        </is>
      </c>
      <c r="E8" t="inlineStr"/>
      <c r="F8" s="11" t="n">
        <v>93.18000000000001</v>
      </c>
      <c r="G8" t="inlineStr"/>
      <c r="I8" t="inlineStr">
        <is>
          <t>TN</t>
        </is>
      </c>
      <c r="J8" t="inlineStr"/>
      <c r="K8" t="inlineStr">
        <is>
          <t>20210620</t>
        </is>
      </c>
      <c r="L8" t="inlineStr">
        <is>
          <t>20251031</t>
        </is>
      </c>
    </row>
    <row r="9">
      <c r="A9" t="inlineStr">
        <is>
          <t>900000052</t>
        </is>
      </c>
      <c r="B9" t="inlineStr">
        <is>
          <t>DW81</t>
        </is>
      </c>
      <c r="C9" t="inlineStr">
        <is>
          <t>D149</t>
        </is>
      </c>
      <c r="D9" t="inlineStr">
        <is>
          <t>10000404</t>
        </is>
      </c>
      <c r="E9" t="inlineStr"/>
      <c r="F9" s="11" t="n">
        <v>78.34</v>
      </c>
      <c r="G9" t="inlineStr"/>
      <c r="I9" t="inlineStr">
        <is>
          <t>TN</t>
        </is>
      </c>
      <c r="J9" t="inlineStr"/>
      <c r="K9" t="inlineStr">
        <is>
          <t>20210620</t>
        </is>
      </c>
      <c r="L9" t="inlineStr">
        <is>
          <t>20251031</t>
        </is>
      </c>
    </row>
    <row r="10">
      <c r="A10" t="inlineStr">
        <is>
          <t>900000052</t>
        </is>
      </c>
      <c r="B10" t="inlineStr">
        <is>
          <t>DW81</t>
        </is>
      </c>
      <c r="C10" t="inlineStr">
        <is>
          <t>D149</t>
        </is>
      </c>
      <c r="D10" t="inlineStr">
        <is>
          <t>10000572</t>
        </is>
      </c>
      <c r="E10" t="inlineStr"/>
      <c r="F10" s="11" t="n">
        <v>85.28</v>
      </c>
      <c r="G10" t="inlineStr"/>
      <c r="I10" t="inlineStr">
        <is>
          <t>TN</t>
        </is>
      </c>
      <c r="J10" t="inlineStr"/>
      <c r="K10" t="inlineStr">
        <is>
          <t>20210620</t>
        </is>
      </c>
      <c r="L10" t="inlineStr">
        <is>
          <t>20251031</t>
        </is>
      </c>
    </row>
    <row r="11">
      <c r="A11" t="inlineStr">
        <is>
          <t>900000106</t>
        </is>
      </c>
      <c r="B11" t="inlineStr">
        <is>
          <t>DW81</t>
        </is>
      </c>
      <c r="C11" t="inlineStr">
        <is>
          <t>D165</t>
        </is>
      </c>
      <c r="D11" t="inlineStr">
        <is>
          <t>10028438</t>
        </is>
      </c>
      <c r="E11" t="inlineStr"/>
      <c r="F11" s="11" t="n">
        <v>2325</v>
      </c>
      <c r="G11" t="inlineStr"/>
      <c r="I11" t="inlineStr">
        <is>
          <t>TN</t>
        </is>
      </c>
      <c r="J11" t="inlineStr"/>
      <c r="K11" t="inlineStr">
        <is>
          <t>20210620</t>
        </is>
      </c>
      <c r="L11" t="inlineStr">
        <is>
          <t>20251031</t>
        </is>
      </c>
    </row>
    <row r="12">
      <c r="A12" t="inlineStr">
        <is>
          <t>900000106</t>
        </is>
      </c>
      <c r="B12" t="inlineStr">
        <is>
          <t>DW81</t>
        </is>
      </c>
      <c r="C12" t="inlineStr">
        <is>
          <t>D169</t>
        </is>
      </c>
      <c r="D12" t="inlineStr">
        <is>
          <t>10028438</t>
        </is>
      </c>
      <c r="E12" t="inlineStr"/>
      <c r="F12" s="11" t="n">
        <v>2110</v>
      </c>
      <c r="G12" t="inlineStr"/>
      <c r="I12" t="inlineStr">
        <is>
          <t>TN</t>
        </is>
      </c>
      <c r="J12" t="inlineStr"/>
      <c r="K12" t="inlineStr">
        <is>
          <t>20210620</t>
        </is>
      </c>
      <c r="L12" t="inlineStr">
        <is>
          <t>20251031</t>
        </is>
      </c>
    </row>
    <row r="13">
      <c r="A13" t="inlineStr">
        <is>
          <t>900000106</t>
        </is>
      </c>
      <c r="B13" t="inlineStr">
        <is>
          <t>DW81</t>
        </is>
      </c>
      <c r="C13" t="inlineStr">
        <is>
          <t>D192</t>
        </is>
      </c>
      <c r="D13" t="inlineStr">
        <is>
          <t>10028438</t>
        </is>
      </c>
      <c r="E13" t="inlineStr"/>
      <c r="F13" s="11" t="n">
        <v>2111</v>
      </c>
      <c r="G13" t="inlineStr"/>
      <c r="I13" t="inlineStr">
        <is>
          <t>TN</t>
        </is>
      </c>
      <c r="J13" t="inlineStr"/>
      <c r="K13" t="inlineStr">
        <is>
          <t>20210620</t>
        </is>
      </c>
      <c r="L13" t="inlineStr">
        <is>
          <t>20251031</t>
        </is>
      </c>
    </row>
    <row r="14">
      <c r="A14" t="inlineStr">
        <is>
          <t>900000941</t>
        </is>
      </c>
      <c r="B14" t="inlineStr">
        <is>
          <t>DW81</t>
        </is>
      </c>
      <c r="C14" t="inlineStr">
        <is>
          <t>D149</t>
        </is>
      </c>
      <c r="D14" t="inlineStr">
        <is>
          <t>10000136</t>
        </is>
      </c>
      <c r="E14" t="inlineStr"/>
      <c r="F14" s="11" t="n">
        <v>179</v>
      </c>
      <c r="G14" t="inlineStr"/>
      <c r="I14" t="inlineStr">
        <is>
          <t>TN</t>
        </is>
      </c>
      <c r="J14" t="inlineStr"/>
      <c r="K14" t="inlineStr">
        <is>
          <t>20210620</t>
        </is>
      </c>
      <c r="L14" t="inlineStr">
        <is>
          <t>20251031</t>
        </is>
      </c>
    </row>
    <row r="15">
      <c r="A15" t="inlineStr">
        <is>
          <t>900000941</t>
        </is>
      </c>
      <c r="B15" t="inlineStr">
        <is>
          <t>DW81</t>
        </is>
      </c>
      <c r="C15" t="inlineStr">
        <is>
          <t>D149</t>
        </is>
      </c>
      <c r="D15" t="inlineStr">
        <is>
          <t>10000578</t>
        </is>
      </c>
      <c r="E15" t="inlineStr"/>
      <c r="F15" s="11" t="n">
        <v>179</v>
      </c>
      <c r="G15" t="inlineStr"/>
      <c r="I15" t="inlineStr">
        <is>
          <t>TN</t>
        </is>
      </c>
      <c r="J15" t="inlineStr"/>
      <c r="K15" t="inlineStr">
        <is>
          <t>20210620</t>
        </is>
      </c>
      <c r="L15" t="inlineStr">
        <is>
          <t>20251031</t>
        </is>
      </c>
    </row>
    <row r="16">
      <c r="A16" t="inlineStr">
        <is>
          <t>900000941</t>
        </is>
      </c>
      <c r="B16" t="inlineStr">
        <is>
          <t>DW81</t>
        </is>
      </c>
      <c r="C16" t="inlineStr">
        <is>
          <t>D171</t>
        </is>
      </c>
      <c r="D16" t="inlineStr">
        <is>
          <t>10000136</t>
        </is>
      </c>
      <c r="E16" t="inlineStr"/>
      <c r="F16" s="11" t="n">
        <v>179</v>
      </c>
      <c r="G16" t="inlineStr"/>
      <c r="I16" t="inlineStr">
        <is>
          <t>TN</t>
        </is>
      </c>
      <c r="J16" t="inlineStr"/>
      <c r="K16" t="inlineStr">
        <is>
          <t>20210620</t>
        </is>
      </c>
      <c r="L16" t="inlineStr">
        <is>
          <t>20251031</t>
        </is>
      </c>
    </row>
    <row r="17">
      <c r="A17" t="inlineStr">
        <is>
          <t>900000941</t>
        </is>
      </c>
      <c r="B17" t="inlineStr">
        <is>
          <t>DW81</t>
        </is>
      </c>
      <c r="C17" t="inlineStr">
        <is>
          <t>D171</t>
        </is>
      </c>
      <c r="D17" t="inlineStr">
        <is>
          <t>10000578</t>
        </is>
      </c>
      <c r="E17" t="inlineStr"/>
      <c r="F17" s="11" t="n">
        <v>179</v>
      </c>
      <c r="G17" t="inlineStr"/>
      <c r="I17" t="inlineStr">
        <is>
          <t>TN</t>
        </is>
      </c>
      <c r="J17" t="inlineStr"/>
      <c r="K17" t="inlineStr">
        <is>
          <t>20210620</t>
        </is>
      </c>
      <c r="L17" t="inlineStr">
        <is>
          <t>20251031</t>
        </is>
      </c>
    </row>
    <row r="18">
      <c r="A18" t="inlineStr">
        <is>
          <t>900000941</t>
        </is>
      </c>
      <c r="B18" t="inlineStr">
        <is>
          <t>DW81</t>
        </is>
      </c>
      <c r="C18" t="inlineStr">
        <is>
          <t>D171</t>
        </is>
      </c>
      <c r="D18" t="inlineStr">
        <is>
          <t>10000624</t>
        </is>
      </c>
      <c r="E18" t="inlineStr"/>
      <c r="F18" s="11" t="n">
        <v>179</v>
      </c>
      <c r="G18" t="inlineStr"/>
      <c r="I18" t="inlineStr">
        <is>
          <t>TN</t>
        </is>
      </c>
      <c r="J18" t="inlineStr"/>
      <c r="K18" t="inlineStr">
        <is>
          <t>20210620</t>
        </is>
      </c>
      <c r="L18" t="inlineStr">
        <is>
          <t>20251031</t>
        </is>
      </c>
    </row>
    <row r="19">
      <c r="A19" t="inlineStr">
        <is>
          <t>900001790</t>
        </is>
      </c>
      <c r="B19" t="inlineStr">
        <is>
          <t>DW81</t>
        </is>
      </c>
      <c r="C19" t="inlineStr">
        <is>
          <t>D149</t>
        </is>
      </c>
      <c r="D19" t="inlineStr">
        <is>
          <t>10000430</t>
        </is>
      </c>
      <c r="E19" t="inlineStr"/>
      <c r="F19" s="11" t="n">
        <v>180</v>
      </c>
      <c r="G19" t="inlineStr"/>
      <c r="I19" t="inlineStr">
        <is>
          <t>TN</t>
        </is>
      </c>
      <c r="J19" t="inlineStr"/>
      <c r="K19" t="inlineStr">
        <is>
          <t>20230601</t>
        </is>
      </c>
      <c r="L19" t="inlineStr">
        <is>
          <t>99991231</t>
        </is>
      </c>
    </row>
    <row r="20">
      <c r="A20" t="inlineStr">
        <is>
          <t>900001790</t>
        </is>
      </c>
      <c r="B20" t="inlineStr">
        <is>
          <t>DW81</t>
        </is>
      </c>
      <c r="C20" t="inlineStr">
        <is>
          <t>D149</t>
        </is>
      </c>
      <c r="D20" t="inlineStr">
        <is>
          <t>10000572</t>
        </is>
      </c>
      <c r="E20" t="inlineStr"/>
      <c r="F20" s="11" t="n">
        <v>180</v>
      </c>
      <c r="G20" t="inlineStr"/>
      <c r="I20" t="inlineStr">
        <is>
          <t>TN</t>
        </is>
      </c>
      <c r="J20" t="inlineStr"/>
      <c r="K20" t="inlineStr">
        <is>
          <t>20230601</t>
        </is>
      </c>
      <c r="L20" t="inlineStr">
        <is>
          <t>99991231</t>
        </is>
      </c>
    </row>
    <row r="21">
      <c r="A21" t="inlineStr">
        <is>
          <t>900002741</t>
        </is>
      </c>
      <c r="B21" t="inlineStr">
        <is>
          <t>DW81</t>
        </is>
      </c>
      <c r="C21" t="inlineStr">
        <is>
          <t>D049</t>
        </is>
      </c>
      <c r="D21" t="inlineStr">
        <is>
          <t>10000141</t>
        </is>
      </c>
      <c r="E21" t="inlineStr"/>
      <c r="F21" s="11" t="n">
        <v>165</v>
      </c>
      <c r="G21" t="inlineStr"/>
      <c r="I21" t="inlineStr">
        <is>
          <t>TN</t>
        </is>
      </c>
      <c r="J21" t="inlineStr"/>
      <c r="K21" t="inlineStr">
        <is>
          <t>20260201</t>
        </is>
      </c>
      <c r="L21" t="inlineStr">
        <is>
          <t>99991231</t>
        </is>
      </c>
    </row>
    <row r="22">
      <c r="A22" t="inlineStr">
        <is>
          <t>900002741</t>
        </is>
      </c>
      <c r="B22" t="inlineStr">
        <is>
          <t>DW81</t>
        </is>
      </c>
      <c r="C22" t="inlineStr">
        <is>
          <t>D049</t>
        </is>
      </c>
      <c r="D22" t="inlineStr">
        <is>
          <t>10000402</t>
        </is>
      </c>
      <c r="E22" t="inlineStr"/>
      <c r="F22" s="11" t="n">
        <v>165</v>
      </c>
      <c r="G22" t="inlineStr"/>
      <c r="I22" t="inlineStr">
        <is>
          <t>TN</t>
        </is>
      </c>
      <c r="J22" t="inlineStr"/>
      <c r="K22" t="inlineStr">
        <is>
          <t>20260201</t>
        </is>
      </c>
      <c r="L22" t="inlineStr">
        <is>
          <t>99991231</t>
        </is>
      </c>
    </row>
    <row r="23">
      <c r="A23" t="inlineStr">
        <is>
          <t>900002741</t>
        </is>
      </c>
      <c r="B23" t="inlineStr">
        <is>
          <t>DW81</t>
        </is>
      </c>
      <c r="C23" t="inlineStr">
        <is>
          <t>D049</t>
        </is>
      </c>
      <c r="D23" t="inlineStr">
        <is>
          <t>10000404</t>
        </is>
      </c>
      <c r="E23" t="inlineStr"/>
      <c r="F23" s="11" t="n">
        <v>165</v>
      </c>
      <c r="G23" t="inlineStr"/>
      <c r="I23" t="inlineStr">
        <is>
          <t>TN</t>
        </is>
      </c>
      <c r="J23" t="inlineStr"/>
      <c r="K23" t="inlineStr">
        <is>
          <t>20260201</t>
        </is>
      </c>
      <c r="L23" t="inlineStr">
        <is>
          <t>99991231</t>
        </is>
      </c>
    </row>
    <row r="24">
      <c r="A24" t="inlineStr">
        <is>
          <t>900002741</t>
        </is>
      </c>
      <c r="B24" t="inlineStr">
        <is>
          <t>DW81</t>
        </is>
      </c>
      <c r="C24" t="inlineStr">
        <is>
          <t>D049</t>
        </is>
      </c>
      <c r="D24" t="inlineStr">
        <is>
          <t>10000407</t>
        </is>
      </c>
      <c r="E24" t="inlineStr"/>
      <c r="F24" s="11" t="n">
        <v>165</v>
      </c>
      <c r="G24" t="inlineStr"/>
      <c r="I24" t="inlineStr">
        <is>
          <t>TN</t>
        </is>
      </c>
      <c r="J24" t="inlineStr"/>
      <c r="K24" t="inlineStr">
        <is>
          <t>20260201</t>
        </is>
      </c>
      <c r="L24" t="inlineStr">
        <is>
          <t>99991231</t>
        </is>
      </c>
    </row>
    <row r="25">
      <c r="A25" t="inlineStr">
        <is>
          <t>900002741</t>
        </is>
      </c>
      <c r="B25" t="inlineStr">
        <is>
          <t>DW81</t>
        </is>
      </c>
      <c r="C25" t="inlineStr">
        <is>
          <t>D049</t>
        </is>
      </c>
      <c r="D25" t="inlineStr">
        <is>
          <t>10000859</t>
        </is>
      </c>
      <c r="E25" t="inlineStr"/>
      <c r="F25" s="11" t="n">
        <v>165</v>
      </c>
      <c r="G25" t="inlineStr"/>
      <c r="I25" t="inlineStr">
        <is>
          <t>TN</t>
        </is>
      </c>
      <c r="J25" t="inlineStr"/>
      <c r="K25" t="inlineStr">
        <is>
          <t>20260201</t>
        </is>
      </c>
      <c r="L25" t="inlineStr">
        <is>
          <t>99991231</t>
        </is>
      </c>
    </row>
    <row r="26">
      <c r="A26" t="inlineStr">
        <is>
          <t>900002741</t>
        </is>
      </c>
      <c r="B26" t="inlineStr">
        <is>
          <t>DW81</t>
        </is>
      </c>
      <c r="C26" t="inlineStr">
        <is>
          <t>D094</t>
        </is>
      </c>
      <c r="D26" t="inlineStr">
        <is>
          <t>10000317</t>
        </is>
      </c>
      <c r="E26" t="inlineStr"/>
      <c r="F26" s="11" t="n">
        <v>150</v>
      </c>
      <c r="G26" t="inlineStr"/>
      <c r="I26" t="inlineStr">
        <is>
          <t>TN</t>
        </is>
      </c>
      <c r="J26" t="inlineStr"/>
      <c r="K26" t="inlineStr">
        <is>
          <t>20250201</t>
        </is>
      </c>
      <c r="L26" t="inlineStr">
        <is>
          <t>20251111</t>
        </is>
      </c>
    </row>
    <row r="27">
      <c r="A27" t="inlineStr">
        <is>
          <t>900002741</t>
        </is>
      </c>
      <c r="B27" t="inlineStr">
        <is>
          <t>DW81</t>
        </is>
      </c>
      <c r="C27" t="inlineStr">
        <is>
          <t>D094</t>
        </is>
      </c>
      <c r="D27" t="inlineStr">
        <is>
          <t>10000402</t>
        </is>
      </c>
      <c r="E27" t="inlineStr"/>
      <c r="F27" s="11" t="n">
        <v>165</v>
      </c>
      <c r="G27" t="inlineStr"/>
      <c r="I27" t="inlineStr">
        <is>
          <t>TN</t>
        </is>
      </c>
      <c r="J27" t="inlineStr"/>
      <c r="K27" t="inlineStr">
        <is>
          <t>20260201</t>
        </is>
      </c>
      <c r="L27" t="inlineStr">
        <is>
          <t>99991231</t>
        </is>
      </c>
    </row>
    <row r="28">
      <c r="A28" t="inlineStr">
        <is>
          <t>900002741</t>
        </is>
      </c>
      <c r="B28" t="inlineStr">
        <is>
          <t>DW81</t>
        </is>
      </c>
      <c r="C28" t="inlineStr">
        <is>
          <t>D094</t>
        </is>
      </c>
      <c r="D28" t="inlineStr">
        <is>
          <t>10000404</t>
        </is>
      </c>
      <c r="E28" t="inlineStr"/>
      <c r="F28" s="11" t="n">
        <v>165</v>
      </c>
      <c r="G28" t="inlineStr"/>
      <c r="I28" t="inlineStr">
        <is>
          <t>TN</t>
        </is>
      </c>
      <c r="J28" t="inlineStr"/>
      <c r="K28" t="inlineStr">
        <is>
          <t>20260201</t>
        </is>
      </c>
      <c r="L28" t="inlineStr">
        <is>
          <t>99991231</t>
        </is>
      </c>
    </row>
    <row r="29">
      <c r="A29" t="inlineStr">
        <is>
          <t>900002741</t>
        </is>
      </c>
      <c r="B29" t="inlineStr">
        <is>
          <t>DW81</t>
        </is>
      </c>
      <c r="C29" t="inlineStr">
        <is>
          <t>D094</t>
        </is>
      </c>
      <c r="D29" t="inlineStr">
        <is>
          <t>10000407</t>
        </is>
      </c>
      <c r="E29" t="inlineStr"/>
      <c r="F29" s="11" t="n">
        <v>165</v>
      </c>
      <c r="G29" t="inlineStr"/>
      <c r="I29" t="inlineStr">
        <is>
          <t>TN</t>
        </is>
      </c>
      <c r="J29" t="inlineStr"/>
      <c r="K29" t="inlineStr">
        <is>
          <t>20260201</t>
        </is>
      </c>
      <c r="L29" t="inlineStr">
        <is>
          <t>99991231</t>
        </is>
      </c>
    </row>
    <row r="30">
      <c r="A30" t="inlineStr">
        <is>
          <t>900002741</t>
        </is>
      </c>
      <c r="B30" t="inlineStr">
        <is>
          <t>DW81</t>
        </is>
      </c>
      <c r="C30" t="inlineStr">
        <is>
          <t>D094</t>
        </is>
      </c>
      <c r="D30" t="inlineStr">
        <is>
          <t>10000430</t>
        </is>
      </c>
      <c r="E30" t="inlineStr"/>
      <c r="F30" s="11" t="n">
        <v>130.91</v>
      </c>
      <c r="G30" t="inlineStr"/>
      <c r="I30" t="inlineStr">
        <is>
          <t>TN</t>
        </is>
      </c>
      <c r="J30" t="inlineStr"/>
      <c r="K30" t="inlineStr">
        <is>
          <t>20240704</t>
        </is>
      </c>
      <c r="L30" t="inlineStr">
        <is>
          <t>20240911</t>
        </is>
      </c>
    </row>
    <row r="31">
      <c r="A31" t="inlineStr">
        <is>
          <t>900002741</t>
        </is>
      </c>
      <c r="B31" t="inlineStr">
        <is>
          <t>DW81</t>
        </is>
      </c>
      <c r="C31" t="inlineStr">
        <is>
          <t>D094</t>
        </is>
      </c>
      <c r="D31" t="inlineStr">
        <is>
          <t>10000624</t>
        </is>
      </c>
      <c r="E31" t="inlineStr"/>
      <c r="F31" s="11" t="n">
        <v>165</v>
      </c>
      <c r="G31" t="inlineStr"/>
      <c r="I31" t="inlineStr">
        <is>
          <t>TN</t>
        </is>
      </c>
      <c r="J31" t="inlineStr"/>
      <c r="K31" t="inlineStr">
        <is>
          <t>20260201</t>
        </is>
      </c>
      <c r="L31" t="inlineStr">
        <is>
          <t>99991231</t>
        </is>
      </c>
    </row>
    <row r="32">
      <c r="A32" t="inlineStr">
        <is>
          <t>900002741</t>
        </is>
      </c>
      <c r="B32" t="inlineStr">
        <is>
          <t>DW81</t>
        </is>
      </c>
      <c r="C32" t="inlineStr">
        <is>
          <t>D094</t>
        </is>
      </c>
      <c r="D32" t="inlineStr">
        <is>
          <t>10000859</t>
        </is>
      </c>
      <c r="E32" t="inlineStr"/>
      <c r="F32" s="11" t="n">
        <v>165</v>
      </c>
      <c r="G32" t="inlineStr"/>
      <c r="I32" t="inlineStr">
        <is>
          <t>TN</t>
        </is>
      </c>
      <c r="J32" t="inlineStr"/>
      <c r="K32" t="inlineStr">
        <is>
          <t>20260201</t>
        </is>
      </c>
      <c r="L32" t="inlineStr">
        <is>
          <t>99991231</t>
        </is>
      </c>
    </row>
    <row r="33">
      <c r="A33" t="inlineStr">
        <is>
          <t>900002741</t>
        </is>
      </c>
      <c r="B33" t="inlineStr">
        <is>
          <t>DW81</t>
        </is>
      </c>
      <c r="C33" t="inlineStr">
        <is>
          <t>D149</t>
        </is>
      </c>
      <c r="D33" t="inlineStr">
        <is>
          <t>10000141</t>
        </is>
      </c>
      <c r="E33" t="inlineStr"/>
      <c r="F33" s="11" t="n">
        <v>72.78</v>
      </c>
      <c r="G33" t="inlineStr"/>
      <c r="I33" t="inlineStr">
        <is>
          <t>TN</t>
        </is>
      </c>
      <c r="J33" t="inlineStr"/>
      <c r="K33" t="inlineStr">
        <is>
          <t>20220516</t>
        </is>
      </c>
      <c r="L33" t="inlineStr">
        <is>
          <t>20260525</t>
        </is>
      </c>
    </row>
    <row r="34">
      <c r="A34" t="inlineStr">
        <is>
          <t>900002741</t>
        </is>
      </c>
      <c r="B34" t="inlineStr">
        <is>
          <t>DW81</t>
        </is>
      </c>
      <c r="C34" t="inlineStr">
        <is>
          <t>D149</t>
        </is>
      </c>
      <c r="D34" t="inlineStr">
        <is>
          <t>10000402</t>
        </is>
      </c>
      <c r="E34" t="inlineStr"/>
      <c r="F34" s="11" t="n">
        <v>73.3</v>
      </c>
      <c r="G34" t="inlineStr"/>
      <c r="I34" t="inlineStr">
        <is>
          <t>TN</t>
        </is>
      </c>
      <c r="J34" t="inlineStr"/>
      <c r="K34" t="inlineStr">
        <is>
          <t>20220516</t>
        </is>
      </c>
      <c r="L34" t="inlineStr">
        <is>
          <t>20260525</t>
        </is>
      </c>
    </row>
    <row r="35">
      <c r="A35" t="inlineStr">
        <is>
          <t>900002741</t>
        </is>
      </c>
      <c r="B35" t="inlineStr">
        <is>
          <t>DW81</t>
        </is>
      </c>
      <c r="C35" t="inlineStr">
        <is>
          <t>D149</t>
        </is>
      </c>
      <c r="D35" t="inlineStr">
        <is>
          <t>10000404</t>
        </is>
      </c>
      <c r="E35" t="inlineStr"/>
      <c r="F35" s="11" t="n">
        <v>72.78</v>
      </c>
      <c r="G35" t="inlineStr"/>
      <c r="I35" t="inlineStr">
        <is>
          <t>TN</t>
        </is>
      </c>
      <c r="J35" t="inlineStr"/>
      <c r="K35" t="inlineStr">
        <is>
          <t>20220516</t>
        </is>
      </c>
      <c r="L35" t="inlineStr">
        <is>
          <t>20260525</t>
        </is>
      </c>
    </row>
    <row r="36">
      <c r="A36" t="inlineStr">
        <is>
          <t>900002741</t>
        </is>
      </c>
      <c r="B36" t="inlineStr">
        <is>
          <t>DW81</t>
        </is>
      </c>
      <c r="C36" t="inlineStr">
        <is>
          <t>D149</t>
        </is>
      </c>
      <c r="D36" t="inlineStr">
        <is>
          <t>10000407</t>
        </is>
      </c>
      <c r="E36" t="inlineStr"/>
      <c r="F36" s="11" t="n">
        <v>72.78</v>
      </c>
      <c r="G36" t="inlineStr"/>
      <c r="I36" t="inlineStr">
        <is>
          <t>TN</t>
        </is>
      </c>
      <c r="J36" t="inlineStr"/>
      <c r="K36" t="inlineStr">
        <is>
          <t>20220516</t>
        </is>
      </c>
      <c r="L36" t="inlineStr">
        <is>
          <t>20260525</t>
        </is>
      </c>
    </row>
    <row r="37">
      <c r="A37" t="inlineStr">
        <is>
          <t>900002741</t>
        </is>
      </c>
      <c r="B37" t="inlineStr">
        <is>
          <t>DW81</t>
        </is>
      </c>
      <c r="C37" t="inlineStr">
        <is>
          <t>D149</t>
        </is>
      </c>
      <c r="D37" t="inlineStr">
        <is>
          <t>10000859</t>
        </is>
      </c>
      <c r="E37" t="inlineStr"/>
      <c r="F37" s="11" t="n">
        <v>73.3</v>
      </c>
      <c r="G37" t="inlineStr"/>
      <c r="I37" t="inlineStr">
        <is>
          <t>TN</t>
        </is>
      </c>
      <c r="J37" t="inlineStr"/>
      <c r="K37" t="inlineStr">
        <is>
          <t>20220516</t>
        </is>
      </c>
      <c r="L37" t="inlineStr">
        <is>
          <t>20260525</t>
        </is>
      </c>
    </row>
    <row r="38">
      <c r="A38" t="inlineStr">
        <is>
          <t>900002741</t>
        </is>
      </c>
      <c r="B38" t="inlineStr">
        <is>
          <t>DW81</t>
        </is>
      </c>
      <c r="C38" t="inlineStr">
        <is>
          <t>D154</t>
        </is>
      </c>
      <c r="D38" t="inlineStr">
        <is>
          <t>10000141</t>
        </is>
      </c>
      <c r="E38" t="inlineStr"/>
      <c r="F38" s="11" t="n">
        <v>83.7</v>
      </c>
      <c r="G38" t="inlineStr"/>
      <c r="I38" t="inlineStr">
        <is>
          <t>TN</t>
        </is>
      </c>
      <c r="J38" t="inlineStr"/>
      <c r="K38" t="inlineStr">
        <is>
          <t>20220516</t>
        </is>
      </c>
      <c r="L38" t="inlineStr">
        <is>
          <t>99991231</t>
        </is>
      </c>
    </row>
    <row r="39">
      <c r="A39" t="inlineStr">
        <is>
          <t>900002741</t>
        </is>
      </c>
      <c r="B39" t="inlineStr">
        <is>
          <t>DW81</t>
        </is>
      </c>
      <c r="C39" t="inlineStr">
        <is>
          <t>D154</t>
        </is>
      </c>
      <c r="D39" t="inlineStr">
        <is>
          <t>10000402</t>
        </is>
      </c>
      <c r="E39" t="inlineStr"/>
      <c r="F39" s="11" t="n">
        <v>84.29000000000001</v>
      </c>
      <c r="G39" t="inlineStr"/>
      <c r="I39" t="inlineStr">
        <is>
          <t>TN</t>
        </is>
      </c>
      <c r="J39" t="inlineStr"/>
      <c r="K39" t="inlineStr">
        <is>
          <t>20220516</t>
        </is>
      </c>
      <c r="L39" t="inlineStr">
        <is>
          <t>99991231</t>
        </is>
      </c>
    </row>
    <row r="40">
      <c r="A40" t="inlineStr">
        <is>
          <t>900002741</t>
        </is>
      </c>
      <c r="B40" t="inlineStr">
        <is>
          <t>DW81</t>
        </is>
      </c>
      <c r="C40" t="inlineStr">
        <is>
          <t>D154</t>
        </is>
      </c>
      <c r="D40" t="inlineStr">
        <is>
          <t>10000404</t>
        </is>
      </c>
      <c r="E40" t="inlineStr"/>
      <c r="F40" s="11" t="n">
        <v>83.7</v>
      </c>
      <c r="G40" t="inlineStr"/>
      <c r="I40" t="inlineStr">
        <is>
          <t>TN</t>
        </is>
      </c>
      <c r="J40" t="inlineStr"/>
      <c r="K40" t="inlineStr">
        <is>
          <t>20220516</t>
        </is>
      </c>
      <c r="L40" t="inlineStr">
        <is>
          <t>99991231</t>
        </is>
      </c>
    </row>
    <row r="41">
      <c r="A41" t="inlineStr">
        <is>
          <t>900002741</t>
        </is>
      </c>
      <c r="B41" t="inlineStr">
        <is>
          <t>DW81</t>
        </is>
      </c>
      <c r="C41" t="inlineStr">
        <is>
          <t>D154</t>
        </is>
      </c>
      <c r="D41" t="inlineStr">
        <is>
          <t>10000407</t>
        </is>
      </c>
      <c r="E41" t="inlineStr"/>
      <c r="F41" s="11" t="n">
        <v>83.7</v>
      </c>
      <c r="G41" t="inlineStr"/>
      <c r="I41" t="inlineStr">
        <is>
          <t>TN</t>
        </is>
      </c>
      <c r="J41" t="inlineStr"/>
      <c r="K41" t="inlineStr">
        <is>
          <t>20220516</t>
        </is>
      </c>
      <c r="L41" t="inlineStr">
        <is>
          <t>99991231</t>
        </is>
      </c>
    </row>
    <row r="42">
      <c r="A42" t="inlineStr">
        <is>
          <t>900002741</t>
        </is>
      </c>
      <c r="B42" t="inlineStr">
        <is>
          <t>DW81</t>
        </is>
      </c>
      <c r="C42" t="inlineStr">
        <is>
          <t>D154</t>
        </is>
      </c>
      <c r="D42" t="inlineStr">
        <is>
          <t>10000859</t>
        </is>
      </c>
      <c r="E42" t="inlineStr"/>
      <c r="F42" s="11" t="n">
        <v>84.29000000000001</v>
      </c>
      <c r="G42" t="inlineStr"/>
      <c r="I42" t="inlineStr">
        <is>
          <t>TN</t>
        </is>
      </c>
      <c r="J42" t="inlineStr"/>
      <c r="K42" t="inlineStr">
        <is>
          <t>20220516</t>
        </is>
      </c>
      <c r="L42" t="inlineStr">
        <is>
          <t>99991231</t>
        </is>
      </c>
    </row>
    <row r="43">
      <c r="A43" t="inlineStr">
        <is>
          <t>900002741</t>
        </is>
      </c>
      <c r="B43" t="inlineStr">
        <is>
          <t>DW81</t>
        </is>
      </c>
      <c r="C43" t="inlineStr">
        <is>
          <t>D154</t>
        </is>
      </c>
      <c r="D43" t="inlineStr">
        <is>
          <t>10087726</t>
        </is>
      </c>
      <c r="E43" t="inlineStr"/>
      <c r="F43" s="11" t="n">
        <v>83.7</v>
      </c>
      <c r="G43" t="inlineStr"/>
      <c r="I43" t="inlineStr">
        <is>
          <t>TN</t>
        </is>
      </c>
      <c r="J43" t="inlineStr"/>
      <c r="K43" t="inlineStr">
        <is>
          <t>20220516</t>
        </is>
      </c>
      <c r="L43" t="inlineStr">
        <is>
          <t>99991231</t>
        </is>
      </c>
    </row>
    <row r="44">
      <c r="A44" t="inlineStr">
        <is>
          <t>900002741</t>
        </is>
      </c>
      <c r="B44" t="inlineStr">
        <is>
          <t>DW81</t>
        </is>
      </c>
      <c r="C44" t="inlineStr">
        <is>
          <t>D169</t>
        </is>
      </c>
      <c r="D44" t="inlineStr">
        <is>
          <t>10000141</t>
        </is>
      </c>
      <c r="E44" t="inlineStr"/>
      <c r="F44" s="11" t="n">
        <v>165</v>
      </c>
      <c r="G44" t="inlineStr"/>
      <c r="I44" t="inlineStr">
        <is>
          <t>TN</t>
        </is>
      </c>
      <c r="J44" t="inlineStr"/>
      <c r="K44" t="inlineStr">
        <is>
          <t>20260201</t>
        </is>
      </c>
      <c r="L44" t="inlineStr">
        <is>
          <t>99991231</t>
        </is>
      </c>
    </row>
    <row r="45">
      <c r="A45" t="inlineStr">
        <is>
          <t>900002741</t>
        </is>
      </c>
      <c r="B45" t="inlineStr">
        <is>
          <t>DW81</t>
        </is>
      </c>
      <c r="C45" t="inlineStr">
        <is>
          <t>D169</t>
        </is>
      </c>
      <c r="D45" t="inlineStr">
        <is>
          <t>10000402</t>
        </is>
      </c>
      <c r="E45" t="inlineStr"/>
      <c r="F45" s="11" t="n">
        <v>165</v>
      </c>
      <c r="G45" t="inlineStr"/>
      <c r="I45" t="inlineStr">
        <is>
          <t>TN</t>
        </is>
      </c>
      <c r="J45" t="inlineStr"/>
      <c r="K45" t="inlineStr">
        <is>
          <t>20260201</t>
        </is>
      </c>
      <c r="L45" t="inlineStr">
        <is>
          <t>99991231</t>
        </is>
      </c>
    </row>
    <row r="46">
      <c r="A46" t="inlineStr">
        <is>
          <t>900002741</t>
        </is>
      </c>
      <c r="B46" t="inlineStr">
        <is>
          <t>DW81</t>
        </is>
      </c>
      <c r="C46" t="inlineStr">
        <is>
          <t>D169</t>
        </is>
      </c>
      <c r="D46" t="inlineStr">
        <is>
          <t>10000404</t>
        </is>
      </c>
      <c r="E46" t="inlineStr"/>
      <c r="F46" s="11" t="n">
        <v>165</v>
      </c>
      <c r="G46" t="inlineStr"/>
      <c r="I46" t="inlineStr">
        <is>
          <t>TN</t>
        </is>
      </c>
      <c r="J46" t="inlineStr"/>
      <c r="K46" t="inlineStr">
        <is>
          <t>20260201</t>
        </is>
      </c>
      <c r="L46" t="inlineStr">
        <is>
          <t>99991231</t>
        </is>
      </c>
    </row>
    <row r="47">
      <c r="A47" t="inlineStr">
        <is>
          <t>900002741</t>
        </is>
      </c>
      <c r="B47" t="inlineStr">
        <is>
          <t>DW81</t>
        </is>
      </c>
      <c r="C47" t="inlineStr">
        <is>
          <t>D169</t>
        </is>
      </c>
      <c r="D47" t="inlineStr">
        <is>
          <t>10000407</t>
        </is>
      </c>
      <c r="E47" t="inlineStr"/>
      <c r="F47" s="11" t="n">
        <v>165</v>
      </c>
      <c r="G47" t="inlineStr"/>
      <c r="I47" t="inlineStr">
        <is>
          <t>TN</t>
        </is>
      </c>
      <c r="J47" t="inlineStr"/>
      <c r="K47" t="inlineStr">
        <is>
          <t>20260201</t>
        </is>
      </c>
      <c r="L47" t="inlineStr">
        <is>
          <t>99991231</t>
        </is>
      </c>
    </row>
    <row r="48">
      <c r="A48" t="inlineStr">
        <is>
          <t>900002741</t>
        </is>
      </c>
      <c r="B48" t="inlineStr">
        <is>
          <t>DW81</t>
        </is>
      </c>
      <c r="C48" t="inlineStr">
        <is>
          <t>D169</t>
        </is>
      </c>
      <c r="D48" t="inlineStr">
        <is>
          <t>10000859</t>
        </is>
      </c>
      <c r="E48" t="inlineStr"/>
      <c r="F48" s="11" t="n">
        <v>165</v>
      </c>
      <c r="G48" t="inlineStr"/>
      <c r="I48" t="inlineStr">
        <is>
          <t>TN</t>
        </is>
      </c>
      <c r="J48" t="inlineStr"/>
      <c r="K48" t="inlineStr">
        <is>
          <t>20260201</t>
        </is>
      </c>
      <c r="L48" t="inlineStr">
        <is>
          <t>99991231</t>
        </is>
      </c>
    </row>
    <row r="49">
      <c r="A49" t="inlineStr">
        <is>
          <t>900002741</t>
        </is>
      </c>
      <c r="B49" t="inlineStr">
        <is>
          <t>DW81</t>
        </is>
      </c>
      <c r="C49" t="inlineStr">
        <is>
          <t>D171</t>
        </is>
      </c>
      <c r="D49" t="inlineStr">
        <is>
          <t>10000141</t>
        </is>
      </c>
      <c r="E49" t="inlineStr"/>
      <c r="F49" s="11" t="n">
        <v>130.91</v>
      </c>
      <c r="G49" t="inlineStr"/>
      <c r="I49" t="inlineStr">
        <is>
          <t>TN</t>
        </is>
      </c>
      <c r="J49" t="inlineStr"/>
      <c r="K49" t="inlineStr">
        <is>
          <t>20240220</t>
        </is>
      </c>
      <c r="L49" t="inlineStr">
        <is>
          <t>99991231</t>
        </is>
      </c>
    </row>
    <row r="50">
      <c r="A50" t="inlineStr">
        <is>
          <t>900002741</t>
        </is>
      </c>
      <c r="B50" t="inlineStr">
        <is>
          <t>DW81</t>
        </is>
      </c>
      <c r="C50" t="inlineStr">
        <is>
          <t>D171</t>
        </is>
      </c>
      <c r="D50" t="inlineStr">
        <is>
          <t>10000402</t>
        </is>
      </c>
      <c r="E50" t="inlineStr"/>
      <c r="F50" s="11" t="n">
        <v>132.08</v>
      </c>
      <c r="G50" t="inlineStr"/>
      <c r="I50" t="inlineStr">
        <is>
          <t>TN</t>
        </is>
      </c>
      <c r="J50" t="inlineStr"/>
      <c r="K50" t="inlineStr">
        <is>
          <t>20240220</t>
        </is>
      </c>
      <c r="L50" t="inlineStr">
        <is>
          <t>99991231</t>
        </is>
      </c>
    </row>
    <row r="51">
      <c r="A51" t="inlineStr">
        <is>
          <t>900002741</t>
        </is>
      </c>
      <c r="B51" t="inlineStr">
        <is>
          <t>DW81</t>
        </is>
      </c>
      <c r="C51" t="inlineStr">
        <is>
          <t>D171</t>
        </is>
      </c>
      <c r="D51" t="inlineStr">
        <is>
          <t>10000404</t>
        </is>
      </c>
      <c r="E51" t="inlineStr"/>
      <c r="F51" s="11" t="n">
        <v>130.91</v>
      </c>
      <c r="G51" t="inlineStr"/>
      <c r="I51" t="inlineStr">
        <is>
          <t>TN</t>
        </is>
      </c>
      <c r="J51" t="inlineStr"/>
      <c r="K51" t="inlineStr">
        <is>
          <t>20240220</t>
        </is>
      </c>
      <c r="L51" t="inlineStr">
        <is>
          <t>99991231</t>
        </is>
      </c>
    </row>
    <row r="52">
      <c r="A52" t="inlineStr">
        <is>
          <t>900002741</t>
        </is>
      </c>
      <c r="B52" t="inlineStr">
        <is>
          <t>DW81</t>
        </is>
      </c>
      <c r="C52" t="inlineStr">
        <is>
          <t>D171</t>
        </is>
      </c>
      <c r="D52" t="inlineStr">
        <is>
          <t>10000407</t>
        </is>
      </c>
      <c r="E52" t="inlineStr"/>
      <c r="F52" s="11" t="n">
        <v>130.91</v>
      </c>
      <c r="G52" t="inlineStr"/>
      <c r="I52" t="inlineStr">
        <is>
          <t>TN</t>
        </is>
      </c>
      <c r="J52" t="inlineStr"/>
      <c r="K52" t="inlineStr">
        <is>
          <t>20240220</t>
        </is>
      </c>
      <c r="L52" t="inlineStr">
        <is>
          <t>99991231</t>
        </is>
      </c>
    </row>
    <row r="53">
      <c r="A53" t="inlineStr">
        <is>
          <t>900002741</t>
        </is>
      </c>
      <c r="B53" t="inlineStr">
        <is>
          <t>DW81</t>
        </is>
      </c>
      <c r="C53" t="inlineStr">
        <is>
          <t>D171</t>
        </is>
      </c>
      <c r="D53" t="inlineStr">
        <is>
          <t>10000859</t>
        </is>
      </c>
      <c r="E53" t="inlineStr"/>
      <c r="F53" s="11" t="n">
        <v>132.08</v>
      </c>
      <c r="G53" t="inlineStr"/>
      <c r="I53" t="inlineStr">
        <is>
          <t>TN</t>
        </is>
      </c>
      <c r="J53" t="inlineStr"/>
      <c r="K53" t="inlineStr">
        <is>
          <t>20240220</t>
        </is>
      </c>
      <c r="L53" t="inlineStr">
        <is>
          <t>99991231</t>
        </is>
      </c>
    </row>
    <row r="54">
      <c r="A54" t="inlineStr">
        <is>
          <t>900002741</t>
        </is>
      </c>
      <c r="B54" t="inlineStr">
        <is>
          <t>DW81</t>
        </is>
      </c>
      <c r="C54" t="inlineStr">
        <is>
          <t>D171</t>
        </is>
      </c>
      <c r="D54" t="inlineStr">
        <is>
          <t>10087726</t>
        </is>
      </c>
      <c r="E54" t="inlineStr"/>
      <c r="F54" s="11" t="n">
        <v>130.91</v>
      </c>
      <c r="G54" t="inlineStr"/>
      <c r="I54" t="inlineStr">
        <is>
          <t>TN</t>
        </is>
      </c>
      <c r="J54" t="inlineStr"/>
      <c r="K54" t="inlineStr">
        <is>
          <t>20240220</t>
        </is>
      </c>
      <c r="L54" t="inlineStr">
        <is>
          <t>99991231</t>
        </is>
      </c>
    </row>
    <row r="55">
      <c r="A55" t="inlineStr">
        <is>
          <t>900002741</t>
        </is>
      </c>
      <c r="B55" t="inlineStr">
        <is>
          <t>DW81</t>
        </is>
      </c>
      <c r="C55" t="inlineStr">
        <is>
          <t>D174</t>
        </is>
      </c>
      <c r="D55" t="inlineStr">
        <is>
          <t>10000141</t>
        </is>
      </c>
      <c r="E55" t="inlineStr"/>
      <c r="F55" s="11" t="n">
        <v>121.21</v>
      </c>
      <c r="G55" t="inlineStr"/>
      <c r="I55" t="inlineStr">
        <is>
          <t>TN</t>
        </is>
      </c>
      <c r="J55" t="inlineStr"/>
      <c r="K55" t="inlineStr">
        <is>
          <t>20230216</t>
        </is>
      </c>
      <c r="L55" t="inlineStr">
        <is>
          <t>20250423</t>
        </is>
      </c>
    </row>
    <row r="56">
      <c r="A56" t="inlineStr">
        <is>
          <t>900002741</t>
        </is>
      </c>
      <c r="B56" t="inlineStr">
        <is>
          <t>DW81</t>
        </is>
      </c>
      <c r="C56" t="inlineStr">
        <is>
          <t>D174</t>
        </is>
      </c>
      <c r="D56" t="inlineStr">
        <is>
          <t>10000402</t>
        </is>
      </c>
      <c r="E56" t="inlineStr"/>
      <c r="F56" s="11" t="n">
        <v>122.3</v>
      </c>
      <c r="G56" t="inlineStr"/>
      <c r="I56" t="inlineStr">
        <is>
          <t>TN</t>
        </is>
      </c>
      <c r="J56" t="inlineStr"/>
      <c r="K56" t="inlineStr">
        <is>
          <t>20230216</t>
        </is>
      </c>
      <c r="L56" t="inlineStr">
        <is>
          <t>20250423</t>
        </is>
      </c>
    </row>
    <row r="57">
      <c r="A57" t="inlineStr">
        <is>
          <t>900002741</t>
        </is>
      </c>
      <c r="B57" t="inlineStr">
        <is>
          <t>DW81</t>
        </is>
      </c>
      <c r="C57" t="inlineStr">
        <is>
          <t>D174</t>
        </is>
      </c>
      <c r="D57" t="inlineStr">
        <is>
          <t>10000404</t>
        </is>
      </c>
      <c r="E57" t="inlineStr"/>
      <c r="F57" s="11" t="n">
        <v>121.21</v>
      </c>
      <c r="G57" t="inlineStr"/>
      <c r="I57" t="inlineStr">
        <is>
          <t>TN</t>
        </is>
      </c>
      <c r="J57" t="inlineStr"/>
      <c r="K57" t="inlineStr">
        <is>
          <t>20230216</t>
        </is>
      </c>
      <c r="L57" t="inlineStr">
        <is>
          <t>20250423</t>
        </is>
      </c>
    </row>
    <row r="58">
      <c r="A58" t="inlineStr">
        <is>
          <t>900002741</t>
        </is>
      </c>
      <c r="B58" t="inlineStr">
        <is>
          <t>DW81</t>
        </is>
      </c>
      <c r="C58" t="inlineStr">
        <is>
          <t>D174</t>
        </is>
      </c>
      <c r="D58" t="inlineStr">
        <is>
          <t>10000407</t>
        </is>
      </c>
      <c r="E58" t="inlineStr"/>
      <c r="F58" s="11" t="n">
        <v>121.21</v>
      </c>
      <c r="G58" t="inlineStr"/>
      <c r="I58" t="inlineStr">
        <is>
          <t>TN</t>
        </is>
      </c>
      <c r="J58" t="inlineStr"/>
      <c r="K58" t="inlineStr">
        <is>
          <t>20230216</t>
        </is>
      </c>
      <c r="L58" t="inlineStr">
        <is>
          <t>20250423</t>
        </is>
      </c>
    </row>
    <row r="59">
      <c r="A59" t="inlineStr">
        <is>
          <t>900002741</t>
        </is>
      </c>
      <c r="B59" t="inlineStr">
        <is>
          <t>DW81</t>
        </is>
      </c>
      <c r="C59" t="inlineStr">
        <is>
          <t>D174</t>
        </is>
      </c>
      <c r="D59" t="inlineStr">
        <is>
          <t>10000859</t>
        </is>
      </c>
      <c r="E59" t="inlineStr"/>
      <c r="F59" s="11" t="n">
        <v>122.3</v>
      </c>
      <c r="G59" t="inlineStr"/>
      <c r="I59" t="inlineStr">
        <is>
          <t>TN</t>
        </is>
      </c>
      <c r="J59" t="inlineStr"/>
      <c r="K59" t="inlineStr">
        <is>
          <t>20230216</t>
        </is>
      </c>
      <c r="L59" t="inlineStr">
        <is>
          <t>20250423</t>
        </is>
      </c>
    </row>
    <row r="60">
      <c r="A60" t="inlineStr">
        <is>
          <t>900002741</t>
        </is>
      </c>
      <c r="B60" t="inlineStr">
        <is>
          <t>DW81</t>
        </is>
      </c>
      <c r="C60" t="inlineStr">
        <is>
          <t>D192</t>
        </is>
      </c>
      <c r="D60" t="inlineStr">
        <is>
          <t>10000141</t>
        </is>
      </c>
      <c r="E60" t="inlineStr"/>
      <c r="F60" s="11" t="n">
        <v>165</v>
      </c>
      <c r="G60" t="inlineStr"/>
      <c r="I60" t="inlineStr">
        <is>
          <t>TN</t>
        </is>
      </c>
      <c r="J60" t="inlineStr"/>
      <c r="K60" t="inlineStr">
        <is>
          <t>20260201</t>
        </is>
      </c>
      <c r="L60" t="inlineStr">
        <is>
          <t>99991231</t>
        </is>
      </c>
    </row>
    <row r="61">
      <c r="A61" t="inlineStr">
        <is>
          <t>900002741</t>
        </is>
      </c>
      <c r="B61" t="inlineStr">
        <is>
          <t>DW81</t>
        </is>
      </c>
      <c r="C61" t="inlineStr">
        <is>
          <t>D192</t>
        </is>
      </c>
      <c r="D61" t="inlineStr">
        <is>
          <t>10000402</t>
        </is>
      </c>
      <c r="E61" t="inlineStr"/>
      <c r="F61" s="11" t="n">
        <v>165</v>
      </c>
      <c r="G61" t="inlineStr"/>
      <c r="I61" t="inlineStr">
        <is>
          <t>TN</t>
        </is>
      </c>
      <c r="J61" t="inlineStr"/>
      <c r="K61" t="inlineStr">
        <is>
          <t>20260201</t>
        </is>
      </c>
      <c r="L61" t="inlineStr">
        <is>
          <t>99991231</t>
        </is>
      </c>
    </row>
    <row r="62">
      <c r="A62" t="inlineStr">
        <is>
          <t>900002741</t>
        </is>
      </c>
      <c r="B62" t="inlineStr">
        <is>
          <t>DW81</t>
        </is>
      </c>
      <c r="C62" t="inlineStr">
        <is>
          <t>D192</t>
        </is>
      </c>
      <c r="D62" t="inlineStr">
        <is>
          <t>10000404</t>
        </is>
      </c>
      <c r="E62" t="inlineStr"/>
      <c r="F62" s="11" t="n">
        <v>165</v>
      </c>
      <c r="G62" t="inlineStr"/>
      <c r="I62" t="inlineStr">
        <is>
          <t>TN</t>
        </is>
      </c>
      <c r="J62" t="inlineStr"/>
      <c r="K62" t="inlineStr">
        <is>
          <t>20260201</t>
        </is>
      </c>
      <c r="L62" t="inlineStr">
        <is>
          <t>99991231</t>
        </is>
      </c>
    </row>
    <row r="63">
      <c r="A63" t="inlineStr">
        <is>
          <t>900002741</t>
        </is>
      </c>
      <c r="B63" t="inlineStr">
        <is>
          <t>DW81</t>
        </is>
      </c>
      <c r="C63" t="inlineStr">
        <is>
          <t>D192</t>
        </is>
      </c>
      <c r="D63" t="inlineStr">
        <is>
          <t>10000407</t>
        </is>
      </c>
      <c r="E63" t="inlineStr"/>
      <c r="F63" s="11" t="n">
        <v>165</v>
      </c>
      <c r="G63" t="inlineStr"/>
      <c r="I63" t="inlineStr">
        <is>
          <t>TN</t>
        </is>
      </c>
      <c r="J63" t="inlineStr"/>
      <c r="K63" t="inlineStr">
        <is>
          <t>20260201</t>
        </is>
      </c>
      <c r="L63" t="inlineStr">
        <is>
          <t>99991231</t>
        </is>
      </c>
    </row>
    <row r="64">
      <c r="A64" t="inlineStr">
        <is>
          <t>900002741</t>
        </is>
      </c>
      <c r="B64" t="inlineStr">
        <is>
          <t>DW81</t>
        </is>
      </c>
      <c r="C64" t="inlineStr">
        <is>
          <t>D192</t>
        </is>
      </c>
      <c r="D64" t="inlineStr">
        <is>
          <t>10000859</t>
        </is>
      </c>
      <c r="E64" t="inlineStr"/>
      <c r="F64" s="11" t="n">
        <v>165</v>
      </c>
      <c r="G64" t="inlineStr"/>
      <c r="I64" t="inlineStr">
        <is>
          <t>TN</t>
        </is>
      </c>
      <c r="J64" t="inlineStr"/>
      <c r="K64" t="inlineStr">
        <is>
          <t>20260201</t>
        </is>
      </c>
      <c r="L64" t="inlineStr">
        <is>
          <t>99991231</t>
        </is>
      </c>
    </row>
    <row r="65">
      <c r="A65" t="inlineStr">
        <is>
          <t>900002741</t>
        </is>
      </c>
      <c r="B65" t="inlineStr">
        <is>
          <t>DW81</t>
        </is>
      </c>
      <c r="C65" t="inlineStr">
        <is>
          <t>D193</t>
        </is>
      </c>
      <c r="D65" t="inlineStr">
        <is>
          <t>10000141</t>
        </is>
      </c>
      <c r="E65" t="inlineStr"/>
      <c r="F65" s="11" t="n">
        <v>72.78</v>
      </c>
      <c r="G65" t="inlineStr"/>
      <c r="I65" t="inlineStr">
        <is>
          <t>TN</t>
        </is>
      </c>
      <c r="J65" t="inlineStr"/>
      <c r="K65" t="inlineStr">
        <is>
          <t>20220516</t>
        </is>
      </c>
      <c r="L65" t="inlineStr">
        <is>
          <t>20260525</t>
        </is>
      </c>
    </row>
    <row r="66">
      <c r="A66" t="inlineStr">
        <is>
          <t>900002741</t>
        </is>
      </c>
      <c r="B66" t="inlineStr">
        <is>
          <t>DW81</t>
        </is>
      </c>
      <c r="C66" t="inlineStr">
        <is>
          <t>D193</t>
        </is>
      </c>
      <c r="D66" t="inlineStr">
        <is>
          <t>10000402</t>
        </is>
      </c>
      <c r="E66" t="inlineStr"/>
      <c r="F66" s="11" t="n">
        <v>73.3</v>
      </c>
      <c r="G66" t="inlineStr"/>
      <c r="I66" t="inlineStr">
        <is>
          <t>TN</t>
        </is>
      </c>
      <c r="J66" t="inlineStr"/>
      <c r="K66" t="inlineStr">
        <is>
          <t>20220516</t>
        </is>
      </c>
      <c r="L66" t="inlineStr">
        <is>
          <t>20260525</t>
        </is>
      </c>
    </row>
    <row r="67">
      <c r="A67" t="inlineStr">
        <is>
          <t>900002741</t>
        </is>
      </c>
      <c r="B67" t="inlineStr">
        <is>
          <t>DW81</t>
        </is>
      </c>
      <c r="C67" t="inlineStr">
        <is>
          <t>D193</t>
        </is>
      </c>
      <c r="D67" t="inlineStr">
        <is>
          <t>10000404</t>
        </is>
      </c>
      <c r="E67" t="inlineStr"/>
      <c r="F67" s="11" t="n">
        <v>72.78</v>
      </c>
      <c r="G67" t="inlineStr"/>
      <c r="I67" t="inlineStr">
        <is>
          <t>TN</t>
        </is>
      </c>
      <c r="J67" t="inlineStr"/>
      <c r="K67" t="inlineStr">
        <is>
          <t>20220516</t>
        </is>
      </c>
      <c r="L67" t="inlineStr">
        <is>
          <t>20260525</t>
        </is>
      </c>
    </row>
    <row r="68">
      <c r="A68" t="inlineStr">
        <is>
          <t>900002741</t>
        </is>
      </c>
      <c r="B68" t="inlineStr">
        <is>
          <t>DW81</t>
        </is>
      </c>
      <c r="C68" t="inlineStr">
        <is>
          <t>D193</t>
        </is>
      </c>
      <c r="D68" t="inlineStr">
        <is>
          <t>10000407</t>
        </is>
      </c>
      <c r="E68" t="inlineStr"/>
      <c r="F68" s="11" t="n">
        <v>72.78</v>
      </c>
      <c r="G68" t="inlineStr"/>
      <c r="I68" t="inlineStr">
        <is>
          <t>TN</t>
        </is>
      </c>
      <c r="J68" t="inlineStr"/>
      <c r="K68" t="inlineStr">
        <is>
          <t>20220516</t>
        </is>
      </c>
      <c r="L68" t="inlineStr">
        <is>
          <t>20260525</t>
        </is>
      </c>
    </row>
    <row r="69">
      <c r="A69" t="inlineStr">
        <is>
          <t>900002741</t>
        </is>
      </c>
      <c r="B69" t="inlineStr">
        <is>
          <t>DW81</t>
        </is>
      </c>
      <c r="C69" t="inlineStr">
        <is>
          <t>D193</t>
        </is>
      </c>
      <c r="D69" t="inlineStr">
        <is>
          <t>10000859</t>
        </is>
      </c>
      <c r="E69" t="inlineStr"/>
      <c r="F69" s="11" t="n">
        <v>73.3</v>
      </c>
      <c r="G69" t="inlineStr"/>
      <c r="I69" t="inlineStr">
        <is>
          <t>TN</t>
        </is>
      </c>
      <c r="J69" t="inlineStr"/>
      <c r="K69" t="inlineStr">
        <is>
          <t>20220516</t>
        </is>
      </c>
      <c r="L69" t="inlineStr">
        <is>
          <t>20260525</t>
        </is>
      </c>
    </row>
    <row r="70">
      <c r="A70" t="inlineStr">
        <is>
          <t>900002741</t>
        </is>
      </c>
      <c r="B70" t="inlineStr">
        <is>
          <t>DW81</t>
        </is>
      </c>
      <c r="C70" t="inlineStr">
        <is>
          <t>D195</t>
        </is>
      </c>
      <c r="D70" t="inlineStr">
        <is>
          <t>10000141</t>
        </is>
      </c>
      <c r="E70" t="inlineStr"/>
      <c r="F70" s="11" t="n">
        <v>165</v>
      </c>
      <c r="G70" t="inlineStr"/>
      <c r="I70" t="inlineStr">
        <is>
          <t>TN</t>
        </is>
      </c>
      <c r="J70" t="inlineStr"/>
      <c r="K70" t="inlineStr">
        <is>
          <t>20260201</t>
        </is>
      </c>
      <c r="L70" t="inlineStr">
        <is>
          <t>99991231</t>
        </is>
      </c>
    </row>
    <row r="71">
      <c r="A71" t="inlineStr">
        <is>
          <t>900002741</t>
        </is>
      </c>
      <c r="B71" t="inlineStr">
        <is>
          <t>DW81</t>
        </is>
      </c>
      <c r="C71" t="inlineStr">
        <is>
          <t>D195</t>
        </is>
      </c>
      <c r="D71" t="inlineStr">
        <is>
          <t>10000402</t>
        </is>
      </c>
      <c r="E71" t="inlineStr"/>
      <c r="F71" s="11" t="n">
        <v>165</v>
      </c>
      <c r="G71" t="inlineStr"/>
      <c r="I71" t="inlineStr">
        <is>
          <t>TN</t>
        </is>
      </c>
      <c r="J71" t="inlineStr"/>
      <c r="K71" t="inlineStr">
        <is>
          <t>20260201</t>
        </is>
      </c>
      <c r="L71" t="inlineStr">
        <is>
          <t>99991231</t>
        </is>
      </c>
    </row>
    <row r="72">
      <c r="A72" t="inlineStr">
        <is>
          <t>900002741</t>
        </is>
      </c>
      <c r="B72" t="inlineStr">
        <is>
          <t>DW81</t>
        </is>
      </c>
      <c r="C72" t="inlineStr">
        <is>
          <t>D195</t>
        </is>
      </c>
      <c r="D72" t="inlineStr">
        <is>
          <t>10000404</t>
        </is>
      </c>
      <c r="E72" t="inlineStr"/>
      <c r="F72" s="11" t="n">
        <v>165</v>
      </c>
      <c r="G72" t="inlineStr"/>
      <c r="I72" t="inlineStr">
        <is>
          <t>TN</t>
        </is>
      </c>
      <c r="J72" t="inlineStr"/>
      <c r="K72" t="inlineStr">
        <is>
          <t>20260201</t>
        </is>
      </c>
      <c r="L72" t="inlineStr">
        <is>
          <t>99991231</t>
        </is>
      </c>
    </row>
    <row r="73">
      <c r="A73" t="inlineStr">
        <is>
          <t>900002741</t>
        </is>
      </c>
      <c r="B73" t="inlineStr">
        <is>
          <t>DW81</t>
        </is>
      </c>
      <c r="C73" t="inlineStr">
        <is>
          <t>D195</t>
        </is>
      </c>
      <c r="D73" t="inlineStr">
        <is>
          <t>10000407</t>
        </is>
      </c>
      <c r="E73" t="inlineStr"/>
      <c r="F73" s="11" t="n">
        <v>165</v>
      </c>
      <c r="G73" t="inlineStr"/>
      <c r="I73" t="inlineStr">
        <is>
          <t>TN</t>
        </is>
      </c>
      <c r="J73" t="inlineStr"/>
      <c r="K73" t="inlineStr">
        <is>
          <t>20260201</t>
        </is>
      </c>
      <c r="L73" t="inlineStr">
        <is>
          <t>99991231</t>
        </is>
      </c>
    </row>
    <row r="74">
      <c r="A74" t="inlineStr">
        <is>
          <t>900002741</t>
        </is>
      </c>
      <c r="B74" t="inlineStr">
        <is>
          <t>DW81</t>
        </is>
      </c>
      <c r="C74" t="inlineStr">
        <is>
          <t>D195</t>
        </is>
      </c>
      <c r="D74" t="inlineStr">
        <is>
          <t>10000859</t>
        </is>
      </c>
      <c r="E74" t="inlineStr"/>
      <c r="F74" s="11" t="n">
        <v>165</v>
      </c>
      <c r="G74" t="inlineStr"/>
      <c r="I74" t="inlineStr">
        <is>
          <t>TN</t>
        </is>
      </c>
      <c r="J74" t="inlineStr"/>
      <c r="K74" t="inlineStr">
        <is>
          <t>20260201</t>
        </is>
      </c>
      <c r="L74" t="inlineStr">
        <is>
          <t>99991231</t>
        </is>
      </c>
    </row>
    <row r="75">
      <c r="A75" t="inlineStr">
        <is>
          <t>900002741</t>
        </is>
      </c>
      <c r="B75" t="inlineStr">
        <is>
          <t>DW81</t>
        </is>
      </c>
      <c r="C75" t="inlineStr">
        <is>
          <t>D197</t>
        </is>
      </c>
      <c r="D75" t="inlineStr">
        <is>
          <t>10000141</t>
        </is>
      </c>
      <c r="E75" t="inlineStr"/>
      <c r="F75" s="11" t="n">
        <v>165</v>
      </c>
      <c r="G75" t="inlineStr"/>
      <c r="I75" t="inlineStr">
        <is>
          <t>TN</t>
        </is>
      </c>
      <c r="J75" t="inlineStr"/>
      <c r="K75" t="inlineStr">
        <is>
          <t>20260201</t>
        </is>
      </c>
      <c r="L75" t="inlineStr">
        <is>
          <t>99991231</t>
        </is>
      </c>
    </row>
    <row r="76">
      <c r="A76" t="inlineStr">
        <is>
          <t>900002741</t>
        </is>
      </c>
      <c r="B76" t="inlineStr">
        <is>
          <t>DW81</t>
        </is>
      </c>
      <c r="C76" t="inlineStr">
        <is>
          <t>D197</t>
        </is>
      </c>
      <c r="D76" t="inlineStr">
        <is>
          <t>10000402</t>
        </is>
      </c>
      <c r="E76" t="inlineStr"/>
      <c r="F76" s="11" t="n">
        <v>165</v>
      </c>
      <c r="G76" t="inlineStr"/>
      <c r="I76" t="inlineStr">
        <is>
          <t>TN</t>
        </is>
      </c>
      <c r="J76" t="inlineStr"/>
      <c r="K76" t="inlineStr">
        <is>
          <t>20260201</t>
        </is>
      </c>
      <c r="L76" t="inlineStr">
        <is>
          <t>99991231</t>
        </is>
      </c>
    </row>
    <row r="77">
      <c r="A77" t="inlineStr">
        <is>
          <t>900002741</t>
        </is>
      </c>
      <c r="B77" t="inlineStr">
        <is>
          <t>DW81</t>
        </is>
      </c>
      <c r="C77" t="inlineStr">
        <is>
          <t>D197</t>
        </is>
      </c>
      <c r="D77" t="inlineStr">
        <is>
          <t>10000404</t>
        </is>
      </c>
      <c r="E77" t="inlineStr"/>
      <c r="F77" s="11" t="n">
        <v>165</v>
      </c>
      <c r="G77" t="inlineStr"/>
      <c r="I77" t="inlineStr">
        <is>
          <t>TN</t>
        </is>
      </c>
      <c r="J77" t="inlineStr"/>
      <c r="K77" t="inlineStr">
        <is>
          <t>20260201</t>
        </is>
      </c>
      <c r="L77" t="inlineStr">
        <is>
          <t>99991231</t>
        </is>
      </c>
    </row>
    <row r="78">
      <c r="A78" t="inlineStr">
        <is>
          <t>900002741</t>
        </is>
      </c>
      <c r="B78" t="inlineStr">
        <is>
          <t>DW81</t>
        </is>
      </c>
      <c r="C78" t="inlineStr">
        <is>
          <t>D197</t>
        </is>
      </c>
      <c r="D78" t="inlineStr">
        <is>
          <t>10000407</t>
        </is>
      </c>
      <c r="E78" t="inlineStr"/>
      <c r="F78" s="11" t="n">
        <v>165</v>
      </c>
      <c r="G78" t="inlineStr"/>
      <c r="I78" t="inlineStr">
        <is>
          <t>TN</t>
        </is>
      </c>
      <c r="J78" t="inlineStr"/>
      <c r="K78" t="inlineStr">
        <is>
          <t>20260201</t>
        </is>
      </c>
      <c r="L78" t="inlineStr">
        <is>
          <t>99991231</t>
        </is>
      </c>
    </row>
    <row r="79">
      <c r="A79" t="inlineStr">
        <is>
          <t>900002741</t>
        </is>
      </c>
      <c r="B79" t="inlineStr">
        <is>
          <t>DW81</t>
        </is>
      </c>
      <c r="C79" t="inlineStr">
        <is>
          <t>D197</t>
        </is>
      </c>
      <c r="D79" t="inlineStr">
        <is>
          <t>10000859</t>
        </is>
      </c>
      <c r="E79" t="inlineStr"/>
      <c r="F79" s="11" t="n">
        <v>165</v>
      </c>
      <c r="G79" t="inlineStr"/>
      <c r="I79" t="inlineStr">
        <is>
          <t>TN</t>
        </is>
      </c>
      <c r="J79" t="inlineStr"/>
      <c r="K79" t="inlineStr">
        <is>
          <t>20260201</t>
        </is>
      </c>
      <c r="L79" t="inlineStr">
        <is>
          <t>99991231</t>
        </is>
      </c>
    </row>
    <row r="80">
      <c r="A80" t="inlineStr">
        <is>
          <t>900002741</t>
        </is>
      </c>
      <c r="B80" t="inlineStr">
        <is>
          <t>DW81</t>
        </is>
      </c>
      <c r="C80" t="inlineStr">
        <is>
          <t>D197</t>
        </is>
      </c>
      <c r="D80" t="inlineStr">
        <is>
          <t>10087726</t>
        </is>
      </c>
      <c r="E80" t="inlineStr"/>
      <c r="F80" s="11" t="n">
        <v>165</v>
      </c>
      <c r="G80" t="inlineStr"/>
      <c r="I80" t="inlineStr">
        <is>
          <t>TN</t>
        </is>
      </c>
      <c r="J80" t="inlineStr"/>
      <c r="K80" t="inlineStr">
        <is>
          <t>20260201</t>
        </is>
      </c>
      <c r="L80" t="inlineStr">
        <is>
          <t>99991231</t>
        </is>
      </c>
    </row>
    <row r="81">
      <c r="A81" t="inlineStr">
        <is>
          <t>900002741</t>
        </is>
      </c>
      <c r="B81" t="inlineStr">
        <is>
          <t>DW81</t>
        </is>
      </c>
      <c r="C81" t="inlineStr">
        <is>
          <t>D198</t>
        </is>
      </c>
      <c r="D81" t="inlineStr">
        <is>
          <t>10000141</t>
        </is>
      </c>
      <c r="E81" t="inlineStr"/>
      <c r="F81" s="11" t="n">
        <v>121.21</v>
      </c>
      <c r="G81" t="inlineStr"/>
      <c r="I81" t="inlineStr">
        <is>
          <t>TN</t>
        </is>
      </c>
      <c r="J81" t="inlineStr"/>
      <c r="K81" t="inlineStr">
        <is>
          <t>20230216</t>
        </is>
      </c>
      <c r="L81" t="inlineStr">
        <is>
          <t>99991231</t>
        </is>
      </c>
    </row>
    <row r="82">
      <c r="A82" t="inlineStr">
        <is>
          <t>900002741</t>
        </is>
      </c>
      <c r="B82" t="inlineStr">
        <is>
          <t>DW81</t>
        </is>
      </c>
      <c r="C82" t="inlineStr">
        <is>
          <t>D198</t>
        </is>
      </c>
      <c r="D82" t="inlineStr">
        <is>
          <t>10000402</t>
        </is>
      </c>
      <c r="E82" t="inlineStr"/>
      <c r="F82" s="11" t="n">
        <v>122.3</v>
      </c>
      <c r="G82" t="inlineStr"/>
      <c r="I82" t="inlineStr">
        <is>
          <t>TN</t>
        </is>
      </c>
      <c r="J82" t="inlineStr"/>
      <c r="K82" t="inlineStr">
        <is>
          <t>20230216</t>
        </is>
      </c>
      <c r="L82" t="inlineStr">
        <is>
          <t>99991231</t>
        </is>
      </c>
    </row>
    <row r="83">
      <c r="A83" t="inlineStr">
        <is>
          <t>900002741</t>
        </is>
      </c>
      <c r="B83" t="inlineStr">
        <is>
          <t>DW81</t>
        </is>
      </c>
      <c r="C83" t="inlineStr">
        <is>
          <t>D198</t>
        </is>
      </c>
      <c r="D83" t="inlineStr">
        <is>
          <t>10000404</t>
        </is>
      </c>
      <c r="E83" t="inlineStr"/>
      <c r="F83" s="11" t="n">
        <v>121.21</v>
      </c>
      <c r="G83" t="inlineStr"/>
      <c r="I83" t="inlineStr">
        <is>
          <t>TN</t>
        </is>
      </c>
      <c r="J83" t="inlineStr"/>
      <c r="K83" t="inlineStr">
        <is>
          <t>20230216</t>
        </is>
      </c>
      <c r="L83" t="inlineStr">
        <is>
          <t>99991231</t>
        </is>
      </c>
    </row>
    <row r="84">
      <c r="A84" t="inlineStr">
        <is>
          <t>900002741</t>
        </is>
      </c>
      <c r="B84" t="inlineStr">
        <is>
          <t>DW81</t>
        </is>
      </c>
      <c r="C84" t="inlineStr">
        <is>
          <t>D198</t>
        </is>
      </c>
      <c r="D84" t="inlineStr">
        <is>
          <t>10000407</t>
        </is>
      </c>
      <c r="E84" t="inlineStr"/>
      <c r="F84" s="11" t="n">
        <v>121.21</v>
      </c>
      <c r="G84" t="inlineStr"/>
      <c r="I84" t="inlineStr">
        <is>
          <t>TN</t>
        </is>
      </c>
      <c r="J84" t="inlineStr"/>
      <c r="K84" t="inlineStr">
        <is>
          <t>20230216</t>
        </is>
      </c>
      <c r="L84" t="inlineStr">
        <is>
          <t>99991231</t>
        </is>
      </c>
    </row>
    <row r="85">
      <c r="A85" t="inlineStr">
        <is>
          <t>900002741</t>
        </is>
      </c>
      <c r="B85" t="inlineStr">
        <is>
          <t>DW81</t>
        </is>
      </c>
      <c r="C85" t="inlineStr">
        <is>
          <t>D198</t>
        </is>
      </c>
      <c r="D85" t="inlineStr">
        <is>
          <t>10000859</t>
        </is>
      </c>
      <c r="E85" t="inlineStr"/>
      <c r="F85" s="11" t="n">
        <v>122.3</v>
      </c>
      <c r="G85" t="inlineStr"/>
      <c r="I85" t="inlineStr">
        <is>
          <t>TN</t>
        </is>
      </c>
      <c r="J85" t="inlineStr"/>
      <c r="K85" t="inlineStr">
        <is>
          <t>20230216</t>
        </is>
      </c>
      <c r="L85" t="inlineStr">
        <is>
          <t>99991231</t>
        </is>
      </c>
    </row>
    <row r="86">
      <c r="A86" t="inlineStr">
        <is>
          <t>900002741</t>
        </is>
      </c>
      <c r="B86" t="inlineStr">
        <is>
          <t>DW81</t>
        </is>
      </c>
      <c r="C86" t="inlineStr">
        <is>
          <t>D202</t>
        </is>
      </c>
      <c r="D86" t="inlineStr">
        <is>
          <t>10000141</t>
        </is>
      </c>
      <c r="E86" t="inlineStr"/>
      <c r="F86" s="11" t="n">
        <v>96.55</v>
      </c>
      <c r="G86" t="inlineStr"/>
      <c r="I86" t="inlineStr">
        <is>
          <t>TN</t>
        </is>
      </c>
      <c r="J86" t="inlineStr"/>
      <c r="K86" t="inlineStr">
        <is>
          <t>20210620</t>
        </is>
      </c>
      <c r="L86" t="inlineStr">
        <is>
          <t>99991231</t>
        </is>
      </c>
    </row>
    <row r="87">
      <c r="A87" t="inlineStr">
        <is>
          <t>900002741</t>
        </is>
      </c>
      <c r="B87" t="inlineStr">
        <is>
          <t>DW81</t>
        </is>
      </c>
      <c r="C87" t="inlineStr">
        <is>
          <t>D202</t>
        </is>
      </c>
      <c r="D87" t="inlineStr">
        <is>
          <t>10000402</t>
        </is>
      </c>
      <c r="E87" t="inlineStr"/>
      <c r="F87" s="11" t="n">
        <v>97.59999999999999</v>
      </c>
      <c r="G87" t="inlineStr"/>
      <c r="I87" t="inlineStr">
        <is>
          <t>TN</t>
        </is>
      </c>
      <c r="J87" t="inlineStr"/>
      <c r="K87" t="inlineStr">
        <is>
          <t>20210620</t>
        </is>
      </c>
      <c r="L87" t="inlineStr">
        <is>
          <t>99991231</t>
        </is>
      </c>
    </row>
    <row r="88">
      <c r="A88" t="inlineStr">
        <is>
          <t>900002741</t>
        </is>
      </c>
      <c r="B88" t="inlineStr">
        <is>
          <t>DW81</t>
        </is>
      </c>
      <c r="C88" t="inlineStr">
        <is>
          <t>D202</t>
        </is>
      </c>
      <c r="D88" t="inlineStr">
        <is>
          <t>10000404</t>
        </is>
      </c>
      <c r="E88" t="inlineStr"/>
      <c r="F88" s="11" t="n">
        <v>96.55</v>
      </c>
      <c r="G88" t="inlineStr"/>
      <c r="I88" t="inlineStr">
        <is>
          <t>TN</t>
        </is>
      </c>
      <c r="J88" t="inlineStr"/>
      <c r="K88" t="inlineStr">
        <is>
          <t>20210620</t>
        </is>
      </c>
      <c r="L88" t="inlineStr">
        <is>
          <t>99991231</t>
        </is>
      </c>
    </row>
    <row r="89">
      <c r="A89" t="inlineStr">
        <is>
          <t>900002741</t>
        </is>
      </c>
      <c r="B89" t="inlineStr">
        <is>
          <t>DW81</t>
        </is>
      </c>
      <c r="C89" t="inlineStr">
        <is>
          <t>D202</t>
        </is>
      </c>
      <c r="D89" t="inlineStr">
        <is>
          <t>10000407</t>
        </is>
      </c>
      <c r="E89" t="inlineStr"/>
      <c r="F89" s="11" t="n">
        <v>96.55</v>
      </c>
      <c r="G89" t="inlineStr"/>
      <c r="I89" t="inlineStr">
        <is>
          <t>TN</t>
        </is>
      </c>
      <c r="J89" t="inlineStr"/>
      <c r="K89" t="inlineStr">
        <is>
          <t>20210620</t>
        </is>
      </c>
      <c r="L89" t="inlineStr">
        <is>
          <t>99991231</t>
        </is>
      </c>
    </row>
    <row r="90">
      <c r="A90" t="inlineStr">
        <is>
          <t>900002741</t>
        </is>
      </c>
      <c r="B90" t="inlineStr">
        <is>
          <t>DW81</t>
        </is>
      </c>
      <c r="C90" t="inlineStr">
        <is>
          <t>D202</t>
        </is>
      </c>
      <c r="D90" t="inlineStr">
        <is>
          <t>10000859</t>
        </is>
      </c>
      <c r="E90" t="inlineStr"/>
      <c r="F90" s="11" t="n">
        <v>97.59999999999999</v>
      </c>
      <c r="G90" t="inlineStr"/>
      <c r="I90" t="inlineStr">
        <is>
          <t>TN</t>
        </is>
      </c>
      <c r="J90" t="inlineStr"/>
      <c r="K90" t="inlineStr">
        <is>
          <t>20210620</t>
        </is>
      </c>
      <c r="L90" t="inlineStr">
        <is>
          <t>99991231</t>
        </is>
      </c>
    </row>
    <row r="91">
      <c r="A91" t="inlineStr">
        <is>
          <t>900002741</t>
        </is>
      </c>
      <c r="B91" t="inlineStr">
        <is>
          <t>DW81</t>
        </is>
      </c>
      <c r="C91" t="inlineStr">
        <is>
          <t>D204</t>
        </is>
      </c>
      <c r="D91" t="inlineStr">
        <is>
          <t>10000141</t>
        </is>
      </c>
      <c r="E91" t="inlineStr"/>
      <c r="F91" s="11" t="n">
        <v>83.7</v>
      </c>
      <c r="G91" t="inlineStr"/>
      <c r="I91" t="inlineStr">
        <is>
          <t>TN</t>
        </is>
      </c>
      <c r="J91" t="inlineStr"/>
      <c r="K91" t="inlineStr">
        <is>
          <t>20220516</t>
        </is>
      </c>
      <c r="L91" t="inlineStr">
        <is>
          <t>99991231</t>
        </is>
      </c>
    </row>
    <row r="92">
      <c r="A92" t="inlineStr">
        <is>
          <t>900002741</t>
        </is>
      </c>
      <c r="B92" t="inlineStr">
        <is>
          <t>DW81</t>
        </is>
      </c>
      <c r="C92" t="inlineStr">
        <is>
          <t>D204</t>
        </is>
      </c>
      <c r="D92" t="inlineStr">
        <is>
          <t>10000402</t>
        </is>
      </c>
      <c r="E92" t="inlineStr"/>
      <c r="F92" s="11" t="n">
        <v>84.29000000000001</v>
      </c>
      <c r="G92" t="inlineStr"/>
      <c r="I92" t="inlineStr">
        <is>
          <t>TN</t>
        </is>
      </c>
      <c r="J92" t="inlineStr"/>
      <c r="K92" t="inlineStr">
        <is>
          <t>20220516</t>
        </is>
      </c>
      <c r="L92" t="inlineStr">
        <is>
          <t>99991231</t>
        </is>
      </c>
    </row>
    <row r="93">
      <c r="A93" t="inlineStr">
        <is>
          <t>900002741</t>
        </is>
      </c>
      <c r="B93" t="inlineStr">
        <is>
          <t>DW81</t>
        </is>
      </c>
      <c r="C93" t="inlineStr">
        <is>
          <t>D204</t>
        </is>
      </c>
      <c r="D93" t="inlineStr">
        <is>
          <t>10000404</t>
        </is>
      </c>
      <c r="E93" t="inlineStr"/>
      <c r="F93" s="11" t="n">
        <v>83.7</v>
      </c>
      <c r="G93" t="inlineStr"/>
      <c r="I93" t="inlineStr">
        <is>
          <t>TN</t>
        </is>
      </c>
      <c r="J93" t="inlineStr"/>
      <c r="K93" t="inlineStr">
        <is>
          <t>20220516</t>
        </is>
      </c>
      <c r="L93" t="inlineStr">
        <is>
          <t>99991231</t>
        </is>
      </c>
    </row>
    <row r="94">
      <c r="A94" t="inlineStr">
        <is>
          <t>900002741</t>
        </is>
      </c>
      <c r="B94" t="inlineStr">
        <is>
          <t>DW81</t>
        </is>
      </c>
      <c r="C94" t="inlineStr">
        <is>
          <t>D204</t>
        </is>
      </c>
      <c r="D94" t="inlineStr">
        <is>
          <t>10000407</t>
        </is>
      </c>
      <c r="E94" t="inlineStr"/>
      <c r="F94" s="11" t="n">
        <v>83.7</v>
      </c>
      <c r="G94" t="inlineStr"/>
      <c r="I94" t="inlineStr">
        <is>
          <t>TN</t>
        </is>
      </c>
      <c r="J94" t="inlineStr"/>
      <c r="K94" t="inlineStr">
        <is>
          <t>20220516</t>
        </is>
      </c>
      <c r="L94" t="inlineStr">
        <is>
          <t>99991231</t>
        </is>
      </c>
    </row>
    <row r="95">
      <c r="A95" t="inlineStr">
        <is>
          <t>900002741</t>
        </is>
      </c>
      <c r="B95" t="inlineStr">
        <is>
          <t>DW81</t>
        </is>
      </c>
      <c r="C95" t="inlineStr">
        <is>
          <t>D204</t>
        </is>
      </c>
      <c r="D95" t="inlineStr">
        <is>
          <t>10000859</t>
        </is>
      </c>
      <c r="E95" t="inlineStr"/>
      <c r="F95" s="11" t="n">
        <v>84.29000000000001</v>
      </c>
      <c r="G95" t="inlineStr"/>
      <c r="I95" t="inlineStr">
        <is>
          <t>TN</t>
        </is>
      </c>
      <c r="J95" t="inlineStr"/>
      <c r="K95" t="inlineStr">
        <is>
          <t>20220516</t>
        </is>
      </c>
      <c r="L95" t="inlineStr">
        <is>
          <t>99991231</t>
        </is>
      </c>
    </row>
    <row r="96">
      <c r="A96" t="inlineStr">
        <is>
          <t>900002741</t>
        </is>
      </c>
      <c r="B96" t="inlineStr">
        <is>
          <t>DW81</t>
        </is>
      </c>
      <c r="C96" t="inlineStr">
        <is>
          <t>D204</t>
        </is>
      </c>
      <c r="D96" t="inlineStr">
        <is>
          <t>10087726</t>
        </is>
      </c>
      <c r="E96" t="inlineStr"/>
      <c r="F96" s="11" t="n">
        <v>83.7</v>
      </c>
      <c r="G96" t="inlineStr"/>
      <c r="I96" t="inlineStr">
        <is>
          <t>TN</t>
        </is>
      </c>
      <c r="J96" t="inlineStr"/>
      <c r="K96" t="inlineStr">
        <is>
          <t>20220516</t>
        </is>
      </c>
      <c r="L96" t="inlineStr">
        <is>
          <t>99991231</t>
        </is>
      </c>
    </row>
    <row r="97">
      <c r="A97" t="inlineStr">
        <is>
          <t>900002741</t>
        </is>
      </c>
      <c r="B97" t="inlineStr">
        <is>
          <t>DW81</t>
        </is>
      </c>
      <c r="C97" t="inlineStr">
        <is>
          <t>D259</t>
        </is>
      </c>
      <c r="D97" t="inlineStr">
        <is>
          <t>10000402</t>
        </is>
      </c>
      <c r="E97" t="inlineStr"/>
      <c r="F97" s="11" t="n">
        <v>132.08</v>
      </c>
      <c r="G97" t="inlineStr"/>
      <c r="I97" t="inlineStr">
        <is>
          <t>TN</t>
        </is>
      </c>
      <c r="J97" t="inlineStr"/>
      <c r="K97" t="inlineStr">
        <is>
          <t>20240129</t>
        </is>
      </c>
      <c r="L97" t="inlineStr">
        <is>
          <t>20240223</t>
        </is>
      </c>
    </row>
    <row r="98">
      <c r="A98" t="inlineStr">
        <is>
          <t>900002741</t>
        </is>
      </c>
      <c r="B98" t="inlineStr">
        <is>
          <t>DW81</t>
        </is>
      </c>
      <c r="C98" t="inlineStr">
        <is>
          <t>D259</t>
        </is>
      </c>
      <c r="D98" t="inlineStr">
        <is>
          <t>10000404</t>
        </is>
      </c>
      <c r="E98" t="inlineStr"/>
      <c r="F98" s="11" t="n">
        <v>130.91</v>
      </c>
      <c r="G98" t="inlineStr"/>
      <c r="I98" t="inlineStr">
        <is>
          <t>TN</t>
        </is>
      </c>
      <c r="J98" t="inlineStr"/>
      <c r="K98" t="inlineStr">
        <is>
          <t>20240129</t>
        </is>
      </c>
      <c r="L98" t="inlineStr">
        <is>
          <t>20240223</t>
        </is>
      </c>
    </row>
    <row r="99">
      <c r="A99" t="inlineStr">
        <is>
          <t>900002741</t>
        </is>
      </c>
      <c r="B99" t="inlineStr">
        <is>
          <t>DW81</t>
        </is>
      </c>
      <c r="C99" t="inlineStr">
        <is>
          <t>D259</t>
        </is>
      </c>
      <c r="D99" t="inlineStr">
        <is>
          <t>10000407</t>
        </is>
      </c>
      <c r="E99" t="inlineStr"/>
      <c r="F99" s="11" t="n">
        <v>130.91</v>
      </c>
      <c r="G99" t="inlineStr"/>
      <c r="I99" t="inlineStr">
        <is>
          <t>TN</t>
        </is>
      </c>
      <c r="J99" t="inlineStr"/>
      <c r="K99" t="inlineStr">
        <is>
          <t>20240129</t>
        </is>
      </c>
      <c r="L99" t="inlineStr">
        <is>
          <t>20240223</t>
        </is>
      </c>
    </row>
    <row r="100">
      <c r="A100" t="inlineStr">
        <is>
          <t>900002741</t>
        </is>
      </c>
      <c r="B100" t="inlineStr">
        <is>
          <t>DW81</t>
        </is>
      </c>
      <c r="C100" t="inlineStr">
        <is>
          <t>D259</t>
        </is>
      </c>
      <c r="D100" t="inlineStr">
        <is>
          <t>10000624</t>
        </is>
      </c>
      <c r="E100" t="inlineStr"/>
      <c r="F100" s="11" t="n">
        <v>130.91</v>
      </c>
      <c r="G100" t="inlineStr"/>
      <c r="I100" t="inlineStr">
        <is>
          <t>TN</t>
        </is>
      </c>
      <c r="J100" t="inlineStr"/>
      <c r="K100" t="inlineStr">
        <is>
          <t>20240129</t>
        </is>
      </c>
      <c r="L100" t="inlineStr">
        <is>
          <t>20240223</t>
        </is>
      </c>
    </row>
    <row r="101">
      <c r="A101" t="inlineStr">
        <is>
          <t>900002741</t>
        </is>
      </c>
      <c r="B101" t="inlineStr">
        <is>
          <t>DW81</t>
        </is>
      </c>
      <c r="C101" t="inlineStr">
        <is>
          <t>D259</t>
        </is>
      </c>
      <c r="D101" t="inlineStr">
        <is>
          <t>10000859</t>
        </is>
      </c>
      <c r="E101" t="inlineStr"/>
      <c r="F101" s="11" t="n">
        <v>132.08</v>
      </c>
      <c r="G101" t="inlineStr"/>
      <c r="I101" t="inlineStr">
        <is>
          <t>TN</t>
        </is>
      </c>
      <c r="J101" t="inlineStr"/>
      <c r="K101" t="inlineStr">
        <is>
          <t>20240129</t>
        </is>
      </c>
      <c r="L101" t="inlineStr">
        <is>
          <t>20240223</t>
        </is>
      </c>
    </row>
    <row r="102">
      <c r="A102" t="inlineStr">
        <is>
          <t>900002741</t>
        </is>
      </c>
      <c r="B102" t="inlineStr">
        <is>
          <t>DW81</t>
        </is>
      </c>
      <c r="C102" t="inlineStr">
        <is>
          <t>D259</t>
        </is>
      </c>
      <c r="D102" t="inlineStr">
        <is>
          <t>10087726</t>
        </is>
      </c>
      <c r="E102" t="inlineStr"/>
      <c r="F102" s="11" t="n">
        <v>130.91</v>
      </c>
      <c r="G102" t="inlineStr"/>
      <c r="I102" t="inlineStr">
        <is>
          <t>TN</t>
        </is>
      </c>
      <c r="J102" t="inlineStr"/>
      <c r="K102" t="inlineStr">
        <is>
          <t>20240129</t>
        </is>
      </c>
      <c r="L102" t="inlineStr">
        <is>
          <t>20240223</t>
        </is>
      </c>
    </row>
    <row r="103">
      <c r="A103" t="inlineStr">
        <is>
          <t>900002812</t>
        </is>
      </c>
      <c r="B103" t="inlineStr">
        <is>
          <t>DW81</t>
        </is>
      </c>
      <c r="C103" t="inlineStr">
        <is>
          <t>D149</t>
        </is>
      </c>
      <c r="D103" t="inlineStr">
        <is>
          <t>10000166</t>
        </is>
      </c>
      <c r="E103" t="inlineStr"/>
      <c r="F103" s="11" t="n">
        <v>151.08</v>
      </c>
      <c r="G103" t="inlineStr"/>
      <c r="I103" t="inlineStr">
        <is>
          <t>TN</t>
        </is>
      </c>
      <c r="J103" t="inlineStr"/>
      <c r="K103" t="inlineStr">
        <is>
          <t>20231030</t>
        </is>
      </c>
      <c r="L103" t="inlineStr">
        <is>
          <t>99991231</t>
        </is>
      </c>
    </row>
    <row r="104">
      <c r="A104" t="inlineStr">
        <is>
          <t>900002812</t>
        </is>
      </c>
      <c r="B104" t="inlineStr">
        <is>
          <t>DW81</t>
        </is>
      </c>
      <c r="C104" t="inlineStr">
        <is>
          <t>D149</t>
        </is>
      </c>
      <c r="D104" t="inlineStr">
        <is>
          <t>10000460</t>
        </is>
      </c>
      <c r="E104" t="inlineStr"/>
      <c r="F104" s="11" t="n">
        <v>158.13</v>
      </c>
      <c r="G104" t="inlineStr"/>
      <c r="I104" t="inlineStr">
        <is>
          <t>TN</t>
        </is>
      </c>
      <c r="J104" t="inlineStr"/>
      <c r="K104" t="inlineStr">
        <is>
          <t>20231030</t>
        </is>
      </c>
      <c r="L104" t="inlineStr">
        <is>
          <t>99991231</t>
        </is>
      </c>
    </row>
    <row r="105">
      <c r="A105" t="inlineStr">
        <is>
          <t>900002812</t>
        </is>
      </c>
      <c r="B105" t="inlineStr">
        <is>
          <t>DW81</t>
        </is>
      </c>
      <c r="C105" t="inlineStr">
        <is>
          <t>D149</t>
        </is>
      </c>
      <c r="D105" t="inlineStr">
        <is>
          <t>10169585</t>
        </is>
      </c>
      <c r="E105" t="inlineStr"/>
      <c r="F105" s="11" t="n">
        <v>159.51</v>
      </c>
      <c r="G105" t="inlineStr"/>
      <c r="I105" t="inlineStr">
        <is>
          <t>TN</t>
        </is>
      </c>
      <c r="J105" t="inlineStr"/>
      <c r="K105" t="inlineStr">
        <is>
          <t>20231030</t>
        </is>
      </c>
      <c r="L105" t="inlineStr">
        <is>
          <t>99991231</t>
        </is>
      </c>
    </row>
    <row r="106">
      <c r="A106" t="inlineStr">
        <is>
          <t>900002812</t>
        </is>
      </c>
      <c r="B106" t="inlineStr">
        <is>
          <t>DW81</t>
        </is>
      </c>
      <c r="C106" t="inlineStr">
        <is>
          <t>D171</t>
        </is>
      </c>
      <c r="D106" t="inlineStr">
        <is>
          <t>10000166</t>
        </is>
      </c>
      <c r="E106" t="inlineStr"/>
      <c r="F106" s="11" t="n">
        <v>158.5</v>
      </c>
      <c r="G106" t="inlineStr"/>
      <c r="I106" t="inlineStr">
        <is>
          <t>TN</t>
        </is>
      </c>
      <c r="J106" t="inlineStr"/>
      <c r="K106" t="inlineStr">
        <is>
          <t>20231030</t>
        </is>
      </c>
      <c r="L106" t="inlineStr">
        <is>
          <t>99991231</t>
        </is>
      </c>
    </row>
    <row r="107">
      <c r="A107" t="inlineStr">
        <is>
          <t>900002812</t>
        </is>
      </c>
      <c r="B107" t="inlineStr">
        <is>
          <t>DW81</t>
        </is>
      </c>
      <c r="C107" t="inlineStr">
        <is>
          <t>D171</t>
        </is>
      </c>
      <c r="D107" t="inlineStr">
        <is>
          <t>10000460</t>
        </is>
      </c>
      <c r="E107" t="inlineStr"/>
      <c r="F107" s="11" t="n">
        <v>165.9</v>
      </c>
      <c r="G107" t="inlineStr"/>
      <c r="I107" t="inlineStr">
        <is>
          <t>TN</t>
        </is>
      </c>
      <c r="J107" t="inlineStr"/>
      <c r="K107" t="inlineStr">
        <is>
          <t>20231030</t>
        </is>
      </c>
      <c r="L107" t="inlineStr">
        <is>
          <t>99991231</t>
        </is>
      </c>
    </row>
    <row r="108">
      <c r="A108" t="inlineStr">
        <is>
          <t>900002812</t>
        </is>
      </c>
      <c r="B108" t="inlineStr">
        <is>
          <t>DW81</t>
        </is>
      </c>
      <c r="C108" t="inlineStr">
        <is>
          <t>D171</t>
        </is>
      </c>
      <c r="D108" t="inlineStr">
        <is>
          <t>10169585</t>
        </is>
      </c>
      <c r="E108" t="inlineStr"/>
      <c r="F108" s="11" t="n">
        <v>167.35</v>
      </c>
      <c r="G108" t="inlineStr"/>
      <c r="I108" t="inlineStr">
        <is>
          <t>TN</t>
        </is>
      </c>
      <c r="J108" t="inlineStr"/>
      <c r="K108" t="inlineStr">
        <is>
          <t>20231030</t>
        </is>
      </c>
      <c r="L108" t="inlineStr">
        <is>
          <t>99991231</t>
        </is>
      </c>
    </row>
    <row r="109">
      <c r="A109" t="inlineStr">
        <is>
          <t>900003849</t>
        </is>
      </c>
      <c r="B109" t="inlineStr">
        <is>
          <t>DW81</t>
        </is>
      </c>
      <c r="C109" t="inlineStr">
        <is>
          <t>D148</t>
        </is>
      </c>
      <c r="D109" t="inlineStr">
        <is>
          <t>10000404</t>
        </is>
      </c>
      <c r="E109" t="inlineStr"/>
      <c r="F109" s="11" t="n">
        <v>146.17</v>
      </c>
      <c r="G109" t="inlineStr"/>
      <c r="I109" t="inlineStr">
        <is>
          <t>TN</t>
        </is>
      </c>
      <c r="J109" t="inlineStr"/>
      <c r="K109" t="inlineStr">
        <is>
          <t>20250301</t>
        </is>
      </c>
      <c r="L109" t="inlineStr">
        <is>
          <t>99991231</t>
        </is>
      </c>
    </row>
    <row r="110">
      <c r="A110" t="inlineStr">
        <is>
          <t>900003849</t>
        </is>
      </c>
      <c r="B110" t="inlineStr">
        <is>
          <t>DW81</t>
        </is>
      </c>
      <c r="C110" t="inlineStr">
        <is>
          <t>D148</t>
        </is>
      </c>
      <c r="D110" t="inlineStr">
        <is>
          <t>10000407</t>
        </is>
      </c>
      <c r="E110" t="inlineStr"/>
      <c r="F110" s="11" t="n">
        <v>146.17</v>
      </c>
      <c r="G110" t="inlineStr"/>
      <c r="I110" t="inlineStr">
        <is>
          <t>TN</t>
        </is>
      </c>
      <c r="J110" t="inlineStr"/>
      <c r="K110" t="inlineStr">
        <is>
          <t>20250301</t>
        </is>
      </c>
      <c r="L110" t="inlineStr">
        <is>
          <t>99991231</t>
        </is>
      </c>
    </row>
    <row r="111">
      <c r="A111" t="inlineStr">
        <is>
          <t>900003849</t>
        </is>
      </c>
      <c r="B111" t="inlineStr">
        <is>
          <t>DW81</t>
        </is>
      </c>
      <c r="C111" t="inlineStr">
        <is>
          <t>D148</t>
        </is>
      </c>
      <c r="D111" t="inlineStr">
        <is>
          <t>10000572</t>
        </is>
      </c>
      <c r="E111" t="inlineStr"/>
      <c r="F111" s="11" t="n">
        <v>153.53</v>
      </c>
      <c r="G111" t="inlineStr"/>
      <c r="I111" t="inlineStr">
        <is>
          <t>TN</t>
        </is>
      </c>
      <c r="J111" t="inlineStr"/>
      <c r="K111" t="inlineStr">
        <is>
          <t>20250301</t>
        </is>
      </c>
      <c r="L111" t="inlineStr">
        <is>
          <t>99991231</t>
        </is>
      </c>
    </row>
    <row r="112">
      <c r="A112" t="inlineStr">
        <is>
          <t>900003849</t>
        </is>
      </c>
      <c r="B112" t="inlineStr">
        <is>
          <t>DW81</t>
        </is>
      </c>
      <c r="C112" t="inlineStr">
        <is>
          <t>D148</t>
        </is>
      </c>
      <c r="D112" t="inlineStr">
        <is>
          <t>10000624</t>
        </is>
      </c>
      <c r="E112" t="inlineStr"/>
      <c r="F112" s="11" t="n">
        <v>146.17</v>
      </c>
      <c r="G112" t="inlineStr"/>
      <c r="I112" t="inlineStr">
        <is>
          <t>TN</t>
        </is>
      </c>
      <c r="J112" t="inlineStr"/>
      <c r="K112" t="inlineStr">
        <is>
          <t>20250301</t>
        </is>
      </c>
      <c r="L112" t="inlineStr">
        <is>
          <t>99991231</t>
        </is>
      </c>
    </row>
    <row r="113">
      <c r="A113" t="inlineStr">
        <is>
          <t>900003849</t>
        </is>
      </c>
      <c r="B113" t="inlineStr">
        <is>
          <t>DW81</t>
        </is>
      </c>
      <c r="C113" t="inlineStr">
        <is>
          <t>D149</t>
        </is>
      </c>
      <c r="D113" t="inlineStr">
        <is>
          <t>10000404</t>
        </is>
      </c>
      <c r="E113" t="inlineStr"/>
      <c r="F113" s="11" t="n">
        <v>136.07</v>
      </c>
      <c r="G113" t="inlineStr"/>
      <c r="I113" t="inlineStr">
        <is>
          <t>TN</t>
        </is>
      </c>
      <c r="J113" t="inlineStr"/>
      <c r="K113" t="inlineStr">
        <is>
          <t>20250301</t>
        </is>
      </c>
      <c r="L113" t="inlineStr">
        <is>
          <t>99991231</t>
        </is>
      </c>
    </row>
    <row r="114">
      <c r="A114" t="inlineStr">
        <is>
          <t>900003849</t>
        </is>
      </c>
      <c r="B114" t="inlineStr">
        <is>
          <t>DW81</t>
        </is>
      </c>
      <c r="C114" t="inlineStr">
        <is>
          <t>D149</t>
        </is>
      </c>
      <c r="D114" t="inlineStr">
        <is>
          <t>10000572</t>
        </is>
      </c>
      <c r="E114" t="inlineStr"/>
      <c r="F114" s="11" t="n">
        <v>136.07</v>
      </c>
      <c r="G114" t="inlineStr"/>
      <c r="I114" t="inlineStr">
        <is>
          <t>TN</t>
        </is>
      </c>
      <c r="J114" t="inlineStr"/>
      <c r="K114" t="inlineStr">
        <is>
          <t>20250301</t>
        </is>
      </c>
      <c r="L114" t="inlineStr">
        <is>
          <t>99991231</t>
        </is>
      </c>
    </row>
    <row r="115">
      <c r="A115" t="inlineStr">
        <is>
          <t>900003849</t>
        </is>
      </c>
      <c r="B115" t="inlineStr">
        <is>
          <t>DW81</t>
        </is>
      </c>
      <c r="C115" t="inlineStr">
        <is>
          <t>D149</t>
        </is>
      </c>
      <c r="D115" t="inlineStr">
        <is>
          <t>10000624</t>
        </is>
      </c>
      <c r="E115" t="inlineStr"/>
      <c r="F115" s="11" t="n">
        <v>136.07</v>
      </c>
      <c r="G115" t="inlineStr"/>
      <c r="I115" t="inlineStr">
        <is>
          <t>TN</t>
        </is>
      </c>
      <c r="J115" t="inlineStr"/>
      <c r="K115" t="inlineStr">
        <is>
          <t>20250301</t>
        </is>
      </c>
      <c r="L115" t="inlineStr">
        <is>
          <t>99991231</t>
        </is>
      </c>
    </row>
    <row r="116">
      <c r="A116" t="inlineStr">
        <is>
          <t>900003849</t>
        </is>
      </c>
      <c r="B116" t="inlineStr">
        <is>
          <t>DW81</t>
        </is>
      </c>
      <c r="C116" t="inlineStr">
        <is>
          <t>D171</t>
        </is>
      </c>
      <c r="D116" t="inlineStr">
        <is>
          <t>10000404</t>
        </is>
      </c>
      <c r="E116" t="inlineStr"/>
      <c r="F116" s="11" t="n">
        <v>143.14</v>
      </c>
      <c r="G116" t="inlineStr"/>
      <c r="I116" t="inlineStr">
        <is>
          <t>TN</t>
        </is>
      </c>
      <c r="J116" t="inlineStr"/>
      <c r="K116" t="inlineStr">
        <is>
          <t>20250301</t>
        </is>
      </c>
      <c r="L116" t="inlineStr">
        <is>
          <t>99991231</t>
        </is>
      </c>
    </row>
    <row r="117">
      <c r="A117" t="inlineStr">
        <is>
          <t>900003849</t>
        </is>
      </c>
      <c r="B117" t="inlineStr">
        <is>
          <t>DW81</t>
        </is>
      </c>
      <c r="C117" t="inlineStr">
        <is>
          <t>D171</t>
        </is>
      </c>
      <c r="D117" t="inlineStr">
        <is>
          <t>10000572</t>
        </is>
      </c>
      <c r="E117" t="inlineStr"/>
      <c r="F117" s="11" t="n">
        <v>149.69</v>
      </c>
      <c r="G117" t="inlineStr"/>
      <c r="I117" t="inlineStr">
        <is>
          <t>TN</t>
        </is>
      </c>
      <c r="J117" t="inlineStr"/>
      <c r="K117" t="inlineStr">
        <is>
          <t>20250301</t>
        </is>
      </c>
      <c r="L117" t="inlineStr">
        <is>
          <t>99991231</t>
        </is>
      </c>
    </row>
    <row r="118">
      <c r="A118" t="inlineStr">
        <is>
          <t>900003849</t>
        </is>
      </c>
      <c r="B118" t="inlineStr">
        <is>
          <t>DW81</t>
        </is>
      </c>
      <c r="C118" t="inlineStr">
        <is>
          <t>D171</t>
        </is>
      </c>
      <c r="D118" t="inlineStr">
        <is>
          <t>10000624</t>
        </is>
      </c>
      <c r="E118" t="inlineStr"/>
      <c r="F118" s="11" t="n">
        <v>143.14</v>
      </c>
      <c r="G118" t="inlineStr"/>
      <c r="I118" t="inlineStr">
        <is>
          <t>TN</t>
        </is>
      </c>
      <c r="J118" t="inlineStr"/>
      <c r="K118" t="inlineStr">
        <is>
          <t>20250301</t>
        </is>
      </c>
      <c r="L118" t="inlineStr">
        <is>
          <t>99991231</t>
        </is>
      </c>
    </row>
    <row r="119">
      <c r="A119" t="inlineStr">
        <is>
          <t>900003849</t>
        </is>
      </c>
      <c r="B119" t="inlineStr">
        <is>
          <t>DW81</t>
        </is>
      </c>
      <c r="C119" t="inlineStr">
        <is>
          <t>D171</t>
        </is>
      </c>
      <c r="D119" t="inlineStr">
        <is>
          <t>10000859</t>
        </is>
      </c>
      <c r="E119" t="inlineStr"/>
      <c r="F119" s="11" t="n">
        <v>150</v>
      </c>
      <c r="G119" t="inlineStr"/>
      <c r="I119" t="inlineStr">
        <is>
          <t>TN</t>
        </is>
      </c>
      <c r="J119" t="inlineStr"/>
      <c r="K119" t="inlineStr">
        <is>
          <t>20230125</t>
        </is>
      </c>
      <c r="L119" t="inlineStr">
        <is>
          <t>99991231</t>
        </is>
      </c>
    </row>
    <row r="120">
      <c r="A120" t="inlineStr">
        <is>
          <t>900003908</t>
        </is>
      </c>
      <c r="B120" t="inlineStr">
        <is>
          <t>DW81</t>
        </is>
      </c>
      <c r="C120" t="inlineStr">
        <is>
          <t>D149</t>
        </is>
      </c>
      <c r="D120" t="inlineStr">
        <is>
          <t>10000019</t>
        </is>
      </c>
      <c r="E120" t="inlineStr"/>
      <c r="F120" s="11" t="n">
        <v>124.68</v>
      </c>
      <c r="G120" t="inlineStr"/>
      <c r="I120" t="inlineStr">
        <is>
          <t>TN</t>
        </is>
      </c>
      <c r="J120" t="inlineStr"/>
      <c r="K120" t="inlineStr">
        <is>
          <t>20210620</t>
        </is>
      </c>
      <c r="L120" t="inlineStr">
        <is>
          <t>99991231</t>
        </is>
      </c>
    </row>
    <row r="121">
      <c r="A121" t="inlineStr">
        <is>
          <t>900003908</t>
        </is>
      </c>
      <c r="B121" t="inlineStr">
        <is>
          <t>DW81</t>
        </is>
      </c>
      <c r="C121" t="inlineStr">
        <is>
          <t>D149</t>
        </is>
      </c>
      <c r="D121" t="inlineStr">
        <is>
          <t>10000041</t>
        </is>
      </c>
      <c r="E121" t="inlineStr"/>
      <c r="F121" s="11" t="n">
        <v>136.67</v>
      </c>
      <c r="G121" t="inlineStr"/>
      <c r="I121" t="inlineStr">
        <is>
          <t>TN</t>
        </is>
      </c>
      <c r="J121" t="inlineStr"/>
      <c r="K121" t="inlineStr">
        <is>
          <t>20210620</t>
        </is>
      </c>
      <c r="L121" t="inlineStr">
        <is>
          <t>99991231</t>
        </is>
      </c>
    </row>
    <row r="122">
      <c r="A122" t="inlineStr">
        <is>
          <t>900003988</t>
        </is>
      </c>
      <c r="B122" t="inlineStr">
        <is>
          <t>DW81</t>
        </is>
      </c>
      <c r="C122" t="inlineStr">
        <is>
          <t>D148</t>
        </is>
      </c>
      <c r="D122" t="inlineStr">
        <is>
          <t>10031155</t>
        </is>
      </c>
      <c r="E122" t="inlineStr"/>
      <c r="F122" s="11" t="n">
        <v>58.75</v>
      </c>
      <c r="G122" t="inlineStr"/>
      <c r="I122" t="inlineStr">
        <is>
          <t>TN</t>
        </is>
      </c>
      <c r="J122" t="inlineStr"/>
      <c r="K122" t="inlineStr">
        <is>
          <t>20210620</t>
        </is>
      </c>
      <c r="L122" t="inlineStr">
        <is>
          <t>99991231</t>
        </is>
      </c>
    </row>
    <row r="123">
      <c r="A123" t="inlineStr">
        <is>
          <t>900003988</t>
        </is>
      </c>
      <c r="B123" t="inlineStr">
        <is>
          <t>DW81</t>
        </is>
      </c>
      <c r="C123" t="inlineStr">
        <is>
          <t>D148</t>
        </is>
      </c>
      <c r="D123" t="inlineStr">
        <is>
          <t>10031158</t>
        </is>
      </c>
      <c r="E123" t="inlineStr"/>
      <c r="F123" s="11" t="n">
        <v>53.5</v>
      </c>
      <c r="G123" t="inlineStr"/>
      <c r="I123" t="inlineStr">
        <is>
          <t>TN</t>
        </is>
      </c>
      <c r="J123" t="inlineStr"/>
      <c r="K123" t="inlineStr">
        <is>
          <t>20210620</t>
        </is>
      </c>
      <c r="L123" t="inlineStr">
        <is>
          <t>99991231</t>
        </is>
      </c>
    </row>
    <row r="124">
      <c r="A124" t="inlineStr">
        <is>
          <t>900004091</t>
        </is>
      </c>
      <c r="B124" t="inlineStr">
        <is>
          <t>DW81</t>
        </is>
      </c>
      <c r="C124" t="inlineStr">
        <is>
          <t>D171</t>
        </is>
      </c>
      <c r="D124" t="inlineStr">
        <is>
          <t>10017641</t>
        </is>
      </c>
      <c r="E124" t="inlineStr"/>
      <c r="F124" s="11" t="n">
        <v>142.74</v>
      </c>
      <c r="G124" t="inlineStr"/>
      <c r="I124" t="inlineStr">
        <is>
          <t>TN</t>
        </is>
      </c>
      <c r="J124" t="inlineStr"/>
      <c r="K124" t="inlineStr">
        <is>
          <t>20210620</t>
        </is>
      </c>
      <c r="L124" t="inlineStr">
        <is>
          <t>20251031</t>
        </is>
      </c>
    </row>
    <row r="125">
      <c r="A125" t="inlineStr">
        <is>
          <t>900004091</t>
        </is>
      </c>
      <c r="B125" t="inlineStr">
        <is>
          <t>DW81</t>
        </is>
      </c>
      <c r="C125" t="inlineStr">
        <is>
          <t>D171</t>
        </is>
      </c>
      <c r="D125" t="inlineStr">
        <is>
          <t>10066103</t>
        </is>
      </c>
      <c r="E125" t="inlineStr"/>
      <c r="F125" s="11" t="n">
        <v>138.48</v>
      </c>
      <c r="G125" t="inlineStr"/>
      <c r="I125" t="inlineStr">
        <is>
          <t>TN</t>
        </is>
      </c>
      <c r="J125" t="inlineStr"/>
      <c r="K125" t="inlineStr">
        <is>
          <t>20210620</t>
        </is>
      </c>
      <c r="L125" t="inlineStr">
        <is>
          <t>20251031</t>
        </is>
      </c>
    </row>
    <row r="126">
      <c r="A126" t="inlineStr">
        <is>
          <t>900004125</t>
        </is>
      </c>
      <c r="B126" t="inlineStr">
        <is>
          <t>DW81</t>
        </is>
      </c>
      <c r="C126" t="inlineStr">
        <is>
          <t>D195</t>
        </is>
      </c>
      <c r="D126" t="inlineStr">
        <is>
          <t>10002043</t>
        </is>
      </c>
      <c r="E126" t="inlineStr"/>
      <c r="F126" s="11" t="n">
        <v>101.07</v>
      </c>
      <c r="G126" t="inlineStr"/>
      <c r="I126" t="inlineStr">
        <is>
          <t>TN</t>
        </is>
      </c>
      <c r="J126" t="inlineStr"/>
      <c r="K126" t="inlineStr">
        <is>
          <t>20220516</t>
        </is>
      </c>
      <c r="L126" t="inlineStr">
        <is>
          <t>99991231</t>
        </is>
      </c>
    </row>
    <row r="127">
      <c r="A127" t="inlineStr">
        <is>
          <t>900004125</t>
        </is>
      </c>
      <c r="B127" t="inlineStr">
        <is>
          <t>DW81</t>
        </is>
      </c>
      <c r="C127" t="inlineStr">
        <is>
          <t>D195</t>
        </is>
      </c>
      <c r="D127" t="inlineStr">
        <is>
          <t>10067273</t>
        </is>
      </c>
      <c r="E127" t="inlineStr"/>
      <c r="F127" s="11" t="n">
        <v>433.61</v>
      </c>
      <c r="G127" t="inlineStr"/>
      <c r="I127" t="inlineStr">
        <is>
          <t>TN</t>
        </is>
      </c>
      <c r="J127" t="inlineStr"/>
      <c r="K127" t="inlineStr">
        <is>
          <t>20220516</t>
        </is>
      </c>
      <c r="L127" t="inlineStr">
        <is>
          <t>99991231</t>
        </is>
      </c>
    </row>
    <row r="128">
      <c r="A128" t="inlineStr">
        <is>
          <t>900004125</t>
        </is>
      </c>
      <c r="B128" t="inlineStr">
        <is>
          <t>DW81</t>
        </is>
      </c>
      <c r="C128" t="inlineStr">
        <is>
          <t>D195</t>
        </is>
      </c>
      <c r="D128" t="inlineStr">
        <is>
          <t>10067274</t>
        </is>
      </c>
      <c r="E128" t="inlineStr"/>
      <c r="F128" s="11" t="n">
        <v>419.2</v>
      </c>
      <c r="G128" t="inlineStr"/>
      <c r="I128" t="inlineStr">
        <is>
          <t>TN</t>
        </is>
      </c>
      <c r="J128" t="inlineStr"/>
      <c r="K128" t="inlineStr">
        <is>
          <t>20220516</t>
        </is>
      </c>
      <c r="L128" t="inlineStr">
        <is>
          <t>99991231</t>
        </is>
      </c>
    </row>
    <row r="129">
      <c r="A129" t="inlineStr">
        <is>
          <t>900004409</t>
        </is>
      </c>
      <c r="B129" t="inlineStr">
        <is>
          <t>DW81</t>
        </is>
      </c>
      <c r="C129" t="inlineStr">
        <is>
          <t>D149</t>
        </is>
      </c>
      <c r="D129" t="inlineStr">
        <is>
          <t>10017641</t>
        </is>
      </c>
      <c r="E129" t="inlineStr"/>
      <c r="F129" s="11" t="n">
        <v>104.03</v>
      </c>
      <c r="G129" t="inlineStr"/>
      <c r="I129" t="inlineStr">
        <is>
          <t>TN</t>
        </is>
      </c>
      <c r="J129" t="inlineStr"/>
      <c r="K129" t="inlineStr">
        <is>
          <t>20210620</t>
        </is>
      </c>
      <c r="L129" t="inlineStr">
        <is>
          <t>99991231</t>
        </is>
      </c>
    </row>
    <row r="130">
      <c r="A130" t="inlineStr">
        <is>
          <t>900004409</t>
        </is>
      </c>
      <c r="B130" t="inlineStr">
        <is>
          <t>DW81</t>
        </is>
      </c>
      <c r="C130" t="inlineStr">
        <is>
          <t>D149</t>
        </is>
      </c>
      <c r="D130" t="inlineStr">
        <is>
          <t>10066103</t>
        </is>
      </c>
      <c r="E130" t="inlineStr"/>
      <c r="F130" s="11" t="n">
        <v>102.21</v>
      </c>
      <c r="G130" t="inlineStr"/>
      <c r="I130" t="inlineStr">
        <is>
          <t>TN</t>
        </is>
      </c>
      <c r="J130" t="inlineStr"/>
      <c r="K130" t="inlineStr">
        <is>
          <t>20210620</t>
        </is>
      </c>
      <c r="L130" t="inlineStr">
        <is>
          <t>99991231</t>
        </is>
      </c>
    </row>
    <row r="131">
      <c r="A131" t="inlineStr">
        <is>
          <t>900004721</t>
        </is>
      </c>
      <c r="B131" t="inlineStr">
        <is>
          <t>DW81</t>
        </is>
      </c>
      <c r="C131" t="inlineStr">
        <is>
          <t>D148</t>
        </is>
      </c>
      <c r="D131" t="inlineStr">
        <is>
          <t>10000407</t>
        </is>
      </c>
      <c r="E131" t="inlineStr"/>
      <c r="F131" s="11" t="n">
        <v>93</v>
      </c>
      <c r="G131" t="inlineStr"/>
      <c r="I131" t="inlineStr">
        <is>
          <t>TN</t>
        </is>
      </c>
      <c r="J131" t="inlineStr"/>
      <c r="K131" t="inlineStr">
        <is>
          <t>20210620</t>
        </is>
      </c>
      <c r="L131" t="inlineStr">
        <is>
          <t>20251031</t>
        </is>
      </c>
    </row>
    <row r="132">
      <c r="A132" t="inlineStr">
        <is>
          <t>900004721</t>
        </is>
      </c>
      <c r="B132" t="inlineStr">
        <is>
          <t>DW81</t>
        </is>
      </c>
      <c r="C132" t="inlineStr">
        <is>
          <t>D148</t>
        </is>
      </c>
      <c r="D132" t="inlineStr">
        <is>
          <t>10000430</t>
        </is>
      </c>
      <c r="E132" t="inlineStr"/>
      <c r="F132" s="11" t="n">
        <v>89</v>
      </c>
      <c r="G132" t="inlineStr"/>
      <c r="I132" t="inlineStr">
        <is>
          <t>TN</t>
        </is>
      </c>
      <c r="J132" t="inlineStr"/>
      <c r="K132" t="inlineStr">
        <is>
          <t>20210620</t>
        </is>
      </c>
      <c r="L132" t="inlineStr">
        <is>
          <t>20251031</t>
        </is>
      </c>
    </row>
    <row r="133">
      <c r="A133" t="inlineStr">
        <is>
          <t>900004721</t>
        </is>
      </c>
      <c r="B133" t="inlineStr">
        <is>
          <t>DW81</t>
        </is>
      </c>
      <c r="C133" t="inlineStr">
        <is>
          <t>D148</t>
        </is>
      </c>
      <c r="D133" t="inlineStr">
        <is>
          <t>10000624</t>
        </is>
      </c>
      <c r="E133" t="inlineStr"/>
      <c r="F133" s="11" t="n">
        <v>89</v>
      </c>
      <c r="G133" t="inlineStr"/>
      <c r="I133" t="inlineStr">
        <is>
          <t>TN</t>
        </is>
      </c>
      <c r="J133" t="inlineStr"/>
      <c r="K133" t="inlineStr">
        <is>
          <t>20210620</t>
        </is>
      </c>
      <c r="L133" t="inlineStr">
        <is>
          <t>20251031</t>
        </is>
      </c>
    </row>
    <row r="134">
      <c r="A134" t="inlineStr">
        <is>
          <t>900004721</t>
        </is>
      </c>
      <c r="B134" t="inlineStr">
        <is>
          <t>DW81</t>
        </is>
      </c>
      <c r="C134" t="inlineStr">
        <is>
          <t>D148</t>
        </is>
      </c>
      <c r="D134" t="inlineStr">
        <is>
          <t>10132162</t>
        </is>
      </c>
      <c r="E134" t="inlineStr"/>
      <c r="F134" s="11" t="n">
        <v>95</v>
      </c>
      <c r="G134" t="inlineStr"/>
      <c r="I134" t="inlineStr">
        <is>
          <t>TN</t>
        </is>
      </c>
      <c r="J134" t="inlineStr"/>
      <c r="K134" t="inlineStr">
        <is>
          <t>20210620</t>
        </is>
      </c>
      <c r="L134" t="inlineStr">
        <is>
          <t>20251031</t>
        </is>
      </c>
    </row>
    <row r="135">
      <c r="A135" t="inlineStr">
        <is>
          <t>900004721</t>
        </is>
      </c>
      <c r="B135" t="inlineStr">
        <is>
          <t>DW81</t>
        </is>
      </c>
      <c r="C135" t="inlineStr">
        <is>
          <t>D149</t>
        </is>
      </c>
      <c r="D135" t="inlineStr">
        <is>
          <t>10000430</t>
        </is>
      </c>
      <c r="E135" t="inlineStr"/>
      <c r="F135" s="11" t="n">
        <v>132</v>
      </c>
      <c r="G135" t="inlineStr"/>
      <c r="I135" t="inlineStr">
        <is>
          <t>TN</t>
        </is>
      </c>
      <c r="J135" t="inlineStr"/>
      <c r="K135" t="inlineStr">
        <is>
          <t>20210620</t>
        </is>
      </c>
      <c r="L135" t="inlineStr">
        <is>
          <t>20251031</t>
        </is>
      </c>
    </row>
    <row r="136">
      <c r="A136" t="inlineStr">
        <is>
          <t>900004721</t>
        </is>
      </c>
      <c r="B136" t="inlineStr">
        <is>
          <t>DW81</t>
        </is>
      </c>
      <c r="C136" t="inlineStr">
        <is>
          <t>D149</t>
        </is>
      </c>
      <c r="D136" t="inlineStr">
        <is>
          <t>10000624</t>
        </is>
      </c>
      <c r="E136" t="inlineStr"/>
      <c r="F136" s="11" t="n">
        <v>132</v>
      </c>
      <c r="G136" t="inlineStr"/>
      <c r="I136" t="inlineStr">
        <is>
          <t>TN</t>
        </is>
      </c>
      <c r="J136" t="inlineStr"/>
      <c r="K136" t="inlineStr">
        <is>
          <t>20210620</t>
        </is>
      </c>
      <c r="L136" t="inlineStr">
        <is>
          <t>20251031</t>
        </is>
      </c>
    </row>
    <row r="137">
      <c r="A137" t="inlineStr">
        <is>
          <t>900004721</t>
        </is>
      </c>
      <c r="B137" t="inlineStr">
        <is>
          <t>DW81</t>
        </is>
      </c>
      <c r="C137" t="inlineStr">
        <is>
          <t>D149</t>
        </is>
      </c>
      <c r="D137" t="inlineStr">
        <is>
          <t>10000859</t>
        </is>
      </c>
      <c r="E137" t="inlineStr"/>
      <c r="F137" s="11" t="n">
        <v>278</v>
      </c>
      <c r="G137" t="inlineStr"/>
      <c r="I137" t="inlineStr">
        <is>
          <t>TN</t>
        </is>
      </c>
      <c r="J137" t="inlineStr"/>
      <c r="K137" t="inlineStr">
        <is>
          <t>20210620</t>
        </is>
      </c>
      <c r="L137" t="inlineStr">
        <is>
          <t>20251031</t>
        </is>
      </c>
    </row>
    <row r="138">
      <c r="A138" t="inlineStr">
        <is>
          <t>900004721</t>
        </is>
      </c>
      <c r="B138" t="inlineStr">
        <is>
          <t>DW81</t>
        </is>
      </c>
      <c r="C138" t="inlineStr">
        <is>
          <t>D149</t>
        </is>
      </c>
      <c r="D138" t="inlineStr">
        <is>
          <t>10132162</t>
        </is>
      </c>
      <c r="E138" t="inlineStr"/>
      <c r="F138" s="11" t="n">
        <v>132</v>
      </c>
      <c r="G138" t="inlineStr"/>
      <c r="I138" t="inlineStr">
        <is>
          <t>TN</t>
        </is>
      </c>
      <c r="J138" t="inlineStr"/>
      <c r="K138" t="inlineStr">
        <is>
          <t>20210620</t>
        </is>
      </c>
      <c r="L138" t="inlineStr">
        <is>
          <t>20251031</t>
        </is>
      </c>
    </row>
    <row r="139">
      <c r="A139" t="inlineStr">
        <is>
          <t>900004721</t>
        </is>
      </c>
      <c r="B139" t="inlineStr">
        <is>
          <t>DW81</t>
        </is>
      </c>
      <c r="C139" t="inlineStr">
        <is>
          <t>D171</t>
        </is>
      </c>
      <c r="D139" t="inlineStr">
        <is>
          <t>10000430</t>
        </is>
      </c>
      <c r="E139" t="inlineStr"/>
      <c r="F139" s="11" t="n">
        <v>132</v>
      </c>
      <c r="G139" t="inlineStr"/>
      <c r="I139" t="inlineStr">
        <is>
          <t>TN</t>
        </is>
      </c>
      <c r="J139" t="inlineStr"/>
      <c r="K139" t="inlineStr">
        <is>
          <t>20210620</t>
        </is>
      </c>
      <c r="L139" t="inlineStr">
        <is>
          <t>20251031</t>
        </is>
      </c>
    </row>
    <row r="140">
      <c r="A140" t="inlineStr">
        <is>
          <t>900004721</t>
        </is>
      </c>
      <c r="B140" t="inlineStr">
        <is>
          <t>DW81</t>
        </is>
      </c>
      <c r="C140" t="inlineStr">
        <is>
          <t>D171</t>
        </is>
      </c>
      <c r="D140" t="inlineStr">
        <is>
          <t>10000624</t>
        </is>
      </c>
      <c r="E140" t="inlineStr"/>
      <c r="F140" s="11" t="n">
        <v>132</v>
      </c>
      <c r="G140" t="inlineStr"/>
      <c r="I140" t="inlineStr">
        <is>
          <t>TN</t>
        </is>
      </c>
      <c r="J140" t="inlineStr"/>
      <c r="K140" t="inlineStr">
        <is>
          <t>20210620</t>
        </is>
      </c>
      <c r="L140" t="inlineStr">
        <is>
          <t>20251031</t>
        </is>
      </c>
    </row>
    <row r="141">
      <c r="A141" t="inlineStr">
        <is>
          <t>900004721</t>
        </is>
      </c>
      <c r="B141" t="inlineStr">
        <is>
          <t>DW81</t>
        </is>
      </c>
      <c r="C141" t="inlineStr">
        <is>
          <t>D171</t>
        </is>
      </c>
      <c r="D141" t="inlineStr">
        <is>
          <t>10000859</t>
        </is>
      </c>
      <c r="E141" t="inlineStr"/>
      <c r="F141" s="11" t="n">
        <v>278</v>
      </c>
      <c r="G141" t="inlineStr"/>
      <c r="I141" t="inlineStr">
        <is>
          <t>TN</t>
        </is>
      </c>
      <c r="J141" t="inlineStr"/>
      <c r="K141" t="inlineStr">
        <is>
          <t>20210620</t>
        </is>
      </c>
      <c r="L141" t="inlineStr">
        <is>
          <t>20251031</t>
        </is>
      </c>
    </row>
    <row r="142">
      <c r="A142" t="inlineStr">
        <is>
          <t>900004721</t>
        </is>
      </c>
      <c r="B142" t="inlineStr">
        <is>
          <t>DW81</t>
        </is>
      </c>
      <c r="C142" t="inlineStr">
        <is>
          <t>D171</t>
        </is>
      </c>
      <c r="D142" t="inlineStr">
        <is>
          <t>10132162</t>
        </is>
      </c>
      <c r="E142" t="inlineStr"/>
      <c r="F142" s="11" t="n">
        <v>132</v>
      </c>
      <c r="G142" t="inlineStr"/>
      <c r="I142" t="inlineStr">
        <is>
          <t>TN</t>
        </is>
      </c>
      <c r="J142" t="inlineStr"/>
      <c r="K142" t="inlineStr">
        <is>
          <t>20210620</t>
        </is>
      </c>
      <c r="L142" t="inlineStr">
        <is>
          <t>20251031</t>
        </is>
      </c>
    </row>
    <row r="143">
      <c r="A143" t="inlineStr">
        <is>
          <t>900005855</t>
        </is>
      </c>
      <c r="B143" t="inlineStr">
        <is>
          <t>DW81</t>
        </is>
      </c>
      <c r="C143" t="inlineStr">
        <is>
          <t>D171</t>
        </is>
      </c>
      <c r="D143" t="inlineStr">
        <is>
          <t>10160627</t>
        </is>
      </c>
      <c r="E143" t="inlineStr"/>
      <c r="F143" s="11" t="n">
        <v>1000</v>
      </c>
      <c r="G143" t="inlineStr"/>
      <c r="I143" t="inlineStr">
        <is>
          <t>TN</t>
        </is>
      </c>
      <c r="J143" t="inlineStr"/>
      <c r="K143" t="inlineStr">
        <is>
          <t>20231023</t>
        </is>
      </c>
      <c r="L143" t="inlineStr">
        <is>
          <t>99991231</t>
        </is>
      </c>
    </row>
    <row r="144">
      <c r="A144" t="inlineStr">
        <is>
          <t>900007996</t>
        </is>
      </c>
      <c r="B144" t="inlineStr">
        <is>
          <t>DW81</t>
        </is>
      </c>
      <c r="C144" t="inlineStr">
        <is>
          <t>D149</t>
        </is>
      </c>
      <c r="D144" t="inlineStr">
        <is>
          <t>10132162</t>
        </is>
      </c>
      <c r="E144" t="inlineStr"/>
      <c r="F144" s="11" t="n">
        <v>250.37</v>
      </c>
      <c r="G144" t="inlineStr"/>
      <c r="I144" t="inlineStr">
        <is>
          <t>TN</t>
        </is>
      </c>
      <c r="J144" t="inlineStr"/>
      <c r="K144" t="inlineStr">
        <is>
          <t>20210620</t>
        </is>
      </c>
      <c r="L144" t="inlineStr">
        <is>
          <t>20251031</t>
        </is>
      </c>
    </row>
    <row r="145">
      <c r="A145" t="inlineStr">
        <is>
          <t>900007996</t>
        </is>
      </c>
      <c r="B145" t="inlineStr">
        <is>
          <t>DW81</t>
        </is>
      </c>
      <c r="C145" t="inlineStr">
        <is>
          <t>D171</t>
        </is>
      </c>
      <c r="D145" t="inlineStr">
        <is>
          <t>10000430</t>
        </is>
      </c>
      <c r="E145" t="inlineStr"/>
      <c r="F145" s="11" t="n">
        <v>180</v>
      </c>
      <c r="G145" t="inlineStr"/>
      <c r="I145" t="inlineStr">
        <is>
          <t>TN</t>
        </is>
      </c>
      <c r="J145" t="inlineStr"/>
      <c r="K145" t="inlineStr">
        <is>
          <t>20210620</t>
        </is>
      </c>
      <c r="L145" t="inlineStr">
        <is>
          <t>20251031</t>
        </is>
      </c>
    </row>
    <row r="146">
      <c r="A146" t="inlineStr">
        <is>
          <t>900007996</t>
        </is>
      </c>
      <c r="B146" t="inlineStr">
        <is>
          <t>DW81</t>
        </is>
      </c>
      <c r="C146" t="inlineStr">
        <is>
          <t>D171</t>
        </is>
      </c>
      <c r="D146" t="inlineStr">
        <is>
          <t>10132162</t>
        </is>
      </c>
      <c r="E146" t="inlineStr"/>
      <c r="F146" s="11" t="n">
        <v>186.57</v>
      </c>
      <c r="G146" t="inlineStr"/>
      <c r="I146" t="inlineStr">
        <is>
          <t>TN</t>
        </is>
      </c>
      <c r="J146" t="inlineStr"/>
      <c r="K146" t="inlineStr">
        <is>
          <t>20210620</t>
        </is>
      </c>
      <c r="L146" t="inlineStr">
        <is>
          <t>20251031</t>
        </is>
      </c>
    </row>
    <row r="147">
      <c r="A147" t="inlineStr">
        <is>
          <t>900007996</t>
        </is>
      </c>
      <c r="B147" t="inlineStr">
        <is>
          <t>DW81</t>
        </is>
      </c>
      <c r="C147" t="inlineStr">
        <is>
          <t>DF77</t>
        </is>
      </c>
      <c r="D147" t="inlineStr">
        <is>
          <t>10000430</t>
        </is>
      </c>
      <c r="E147" t="inlineStr"/>
      <c r="F147" s="11" t="n">
        <v>180</v>
      </c>
      <c r="G147" t="inlineStr"/>
      <c r="I147" t="inlineStr">
        <is>
          <t>TN</t>
        </is>
      </c>
      <c r="J147" t="inlineStr"/>
      <c r="K147" t="inlineStr">
        <is>
          <t>20230105</t>
        </is>
      </c>
      <c r="L147" t="inlineStr">
        <is>
          <t>20230122</t>
        </is>
      </c>
    </row>
    <row r="148">
      <c r="A148" t="inlineStr">
        <is>
          <t>900007996</t>
        </is>
      </c>
      <c r="B148" t="inlineStr">
        <is>
          <t>DW81</t>
        </is>
      </c>
      <c r="C148" t="inlineStr">
        <is>
          <t>DF77</t>
        </is>
      </c>
      <c r="D148" t="inlineStr">
        <is>
          <t>10132162</t>
        </is>
      </c>
      <c r="E148" t="inlineStr"/>
      <c r="F148" s="11" t="n">
        <v>186.57</v>
      </c>
      <c r="G148" t="inlineStr"/>
      <c r="I148" t="inlineStr">
        <is>
          <t>TN</t>
        </is>
      </c>
      <c r="J148" t="inlineStr"/>
      <c r="K148" t="inlineStr">
        <is>
          <t>20230105</t>
        </is>
      </c>
      <c r="L148" t="inlineStr">
        <is>
          <t>20230122</t>
        </is>
      </c>
    </row>
    <row r="149">
      <c r="A149" t="inlineStr">
        <is>
          <t>900007997</t>
        </is>
      </c>
      <c r="B149" t="inlineStr">
        <is>
          <t>DW81</t>
        </is>
      </c>
      <c r="C149" t="inlineStr">
        <is>
          <t>D149</t>
        </is>
      </c>
      <c r="D149" t="inlineStr">
        <is>
          <t>10000166</t>
        </is>
      </c>
      <c r="E149" t="inlineStr"/>
      <c r="F149" s="11" t="n">
        <v>200</v>
      </c>
      <c r="G149" t="inlineStr"/>
      <c r="I149" t="inlineStr">
        <is>
          <t>TN</t>
        </is>
      </c>
      <c r="J149" t="inlineStr"/>
      <c r="K149" t="inlineStr">
        <is>
          <t>20210620</t>
        </is>
      </c>
      <c r="L149" t="inlineStr">
        <is>
          <t>20251031</t>
        </is>
      </c>
    </row>
    <row r="150">
      <c r="A150" t="inlineStr">
        <is>
          <t>900007997</t>
        </is>
      </c>
      <c r="B150" t="inlineStr">
        <is>
          <t>DW81</t>
        </is>
      </c>
      <c r="C150" t="inlineStr">
        <is>
          <t>D149</t>
        </is>
      </c>
      <c r="D150" t="inlineStr">
        <is>
          <t>10000460</t>
        </is>
      </c>
      <c r="E150" t="inlineStr"/>
      <c r="F150" s="11" t="n">
        <v>200</v>
      </c>
      <c r="G150" t="inlineStr"/>
      <c r="I150" t="inlineStr">
        <is>
          <t>TN</t>
        </is>
      </c>
      <c r="J150" t="inlineStr"/>
      <c r="K150" t="inlineStr">
        <is>
          <t>20210620</t>
        </is>
      </c>
      <c r="L150" t="inlineStr">
        <is>
          <t>20251031</t>
        </is>
      </c>
    </row>
    <row r="151">
      <c r="A151" t="inlineStr">
        <is>
          <t>900007998</t>
        </is>
      </c>
      <c r="B151" t="inlineStr">
        <is>
          <t>DW81</t>
        </is>
      </c>
      <c r="C151" t="inlineStr">
        <is>
          <t>D148</t>
        </is>
      </c>
      <c r="D151" t="inlineStr">
        <is>
          <t>10000404</t>
        </is>
      </c>
      <c r="E151" t="inlineStr"/>
      <c r="F151" s="11" t="n">
        <v>188</v>
      </c>
      <c r="G151" t="inlineStr"/>
      <c r="I151" t="inlineStr">
        <is>
          <t>TN</t>
        </is>
      </c>
      <c r="J151" t="inlineStr"/>
      <c r="K151" t="inlineStr">
        <is>
          <t>20240320</t>
        </is>
      </c>
      <c r="L151" t="inlineStr">
        <is>
          <t>99991231</t>
        </is>
      </c>
    </row>
    <row r="152">
      <c r="A152" t="inlineStr">
        <is>
          <t>900007998</t>
        </is>
      </c>
      <c r="B152" t="inlineStr">
        <is>
          <t>DW81</t>
        </is>
      </c>
      <c r="C152" t="inlineStr">
        <is>
          <t>D148</t>
        </is>
      </c>
      <c r="D152" t="inlineStr">
        <is>
          <t>10000572</t>
        </is>
      </c>
      <c r="E152" t="inlineStr"/>
      <c r="F152" s="11" t="n">
        <v>188</v>
      </c>
      <c r="G152" t="inlineStr"/>
      <c r="I152" t="inlineStr">
        <is>
          <t>TN</t>
        </is>
      </c>
      <c r="J152" t="inlineStr"/>
      <c r="K152" t="inlineStr">
        <is>
          <t>20240320</t>
        </is>
      </c>
      <c r="L152" t="inlineStr">
        <is>
          <t>99991231</t>
        </is>
      </c>
    </row>
    <row r="153">
      <c r="A153" t="inlineStr">
        <is>
          <t>900007998</t>
        </is>
      </c>
      <c r="B153" t="inlineStr">
        <is>
          <t>DW81</t>
        </is>
      </c>
      <c r="C153" t="inlineStr">
        <is>
          <t>D149</t>
        </is>
      </c>
      <c r="D153" t="inlineStr">
        <is>
          <t>10000404</t>
        </is>
      </c>
      <c r="E153" t="inlineStr"/>
      <c r="F153" s="11" t="n">
        <v>188</v>
      </c>
      <c r="G153" t="inlineStr"/>
      <c r="I153" t="inlineStr">
        <is>
          <t>TN</t>
        </is>
      </c>
      <c r="J153" t="inlineStr"/>
      <c r="K153" t="inlineStr">
        <is>
          <t>20240508</t>
        </is>
      </c>
      <c r="L153" t="inlineStr">
        <is>
          <t>99991231</t>
        </is>
      </c>
    </row>
    <row r="154">
      <c r="A154" t="inlineStr">
        <is>
          <t>900007998</t>
        </is>
      </c>
      <c r="B154" t="inlineStr">
        <is>
          <t>DW81</t>
        </is>
      </c>
      <c r="C154" t="inlineStr">
        <is>
          <t>D149</t>
        </is>
      </c>
      <c r="D154" t="inlineStr">
        <is>
          <t>10000572</t>
        </is>
      </c>
      <c r="E154" t="inlineStr"/>
      <c r="F154" s="11" t="n">
        <v>188</v>
      </c>
      <c r="G154" t="inlineStr"/>
      <c r="I154" t="inlineStr">
        <is>
          <t>TN</t>
        </is>
      </c>
      <c r="J154" t="inlineStr"/>
      <c r="K154" t="inlineStr">
        <is>
          <t>20240508</t>
        </is>
      </c>
      <c r="L154" t="inlineStr">
        <is>
          <t>99991231</t>
        </is>
      </c>
    </row>
    <row r="155">
      <c r="A155" t="inlineStr">
        <is>
          <t>900007998</t>
        </is>
      </c>
      <c r="B155" t="inlineStr">
        <is>
          <t>DW81</t>
        </is>
      </c>
      <c r="C155" t="inlineStr">
        <is>
          <t>D171</t>
        </is>
      </c>
      <c r="D155" t="inlineStr">
        <is>
          <t>10000404</t>
        </is>
      </c>
      <c r="E155" t="inlineStr"/>
      <c r="F155" s="11" t="n">
        <v>163</v>
      </c>
      <c r="G155" t="inlineStr"/>
      <c r="I155" t="inlineStr">
        <is>
          <t>TN</t>
        </is>
      </c>
      <c r="J155" t="inlineStr"/>
      <c r="K155" t="inlineStr">
        <is>
          <t>20231005</t>
        </is>
      </c>
      <c r="L155" t="inlineStr">
        <is>
          <t>99991231</t>
        </is>
      </c>
    </row>
    <row r="156">
      <c r="A156" t="inlineStr">
        <is>
          <t>900007998</t>
        </is>
      </c>
      <c r="B156" t="inlineStr">
        <is>
          <t>DW81</t>
        </is>
      </c>
      <c r="C156" t="inlineStr">
        <is>
          <t>D171</t>
        </is>
      </c>
      <c r="D156" t="inlineStr">
        <is>
          <t>10000572</t>
        </is>
      </c>
      <c r="E156" t="inlineStr"/>
      <c r="F156" s="11" t="n">
        <v>163</v>
      </c>
      <c r="G156" t="inlineStr"/>
      <c r="I156" t="inlineStr">
        <is>
          <t>TN</t>
        </is>
      </c>
      <c r="J156" t="inlineStr"/>
      <c r="K156" t="inlineStr">
        <is>
          <t>20231005</t>
        </is>
      </c>
      <c r="L156" t="inlineStr">
        <is>
          <t>99991231</t>
        </is>
      </c>
    </row>
    <row r="157">
      <c r="A157" t="inlineStr">
        <is>
          <t>900008694</t>
        </is>
      </c>
      <c r="B157" t="inlineStr">
        <is>
          <t>DW81</t>
        </is>
      </c>
      <c r="C157" t="inlineStr">
        <is>
          <t>D148</t>
        </is>
      </c>
      <c r="D157" t="inlineStr">
        <is>
          <t>10000404</t>
        </is>
      </c>
      <c r="E157" t="inlineStr"/>
      <c r="F157" s="11" t="n">
        <v>283.4</v>
      </c>
      <c r="G157" t="inlineStr"/>
      <c r="I157" t="inlineStr">
        <is>
          <t>TN</t>
        </is>
      </c>
      <c r="J157" t="inlineStr"/>
      <c r="K157" t="inlineStr">
        <is>
          <t>20240229</t>
        </is>
      </c>
      <c r="L157" t="inlineStr">
        <is>
          <t>99991231</t>
        </is>
      </c>
    </row>
    <row r="158">
      <c r="A158" t="inlineStr">
        <is>
          <t>900008694</t>
        </is>
      </c>
      <c r="B158" t="inlineStr">
        <is>
          <t>DW81</t>
        </is>
      </c>
      <c r="C158" t="inlineStr">
        <is>
          <t>D148</t>
        </is>
      </c>
      <c r="D158" t="inlineStr">
        <is>
          <t>10000572</t>
        </is>
      </c>
      <c r="E158" t="inlineStr"/>
      <c r="F158" s="11" t="n">
        <v>287.4</v>
      </c>
      <c r="G158" t="inlineStr"/>
      <c r="I158" t="inlineStr">
        <is>
          <t>TN</t>
        </is>
      </c>
      <c r="J158" t="inlineStr"/>
      <c r="K158" t="inlineStr">
        <is>
          <t>20240229</t>
        </is>
      </c>
      <c r="L158" t="inlineStr">
        <is>
          <t>99991231</t>
        </is>
      </c>
    </row>
    <row r="159">
      <c r="A159" t="inlineStr">
        <is>
          <t>900008694</t>
        </is>
      </c>
      <c r="B159" t="inlineStr">
        <is>
          <t>DW81</t>
        </is>
      </c>
      <c r="C159" t="inlineStr">
        <is>
          <t>D149</t>
        </is>
      </c>
      <c r="D159" t="inlineStr">
        <is>
          <t>10000404</t>
        </is>
      </c>
      <c r="E159" t="inlineStr"/>
      <c r="F159" s="11" t="n">
        <v>192</v>
      </c>
      <c r="G159" t="inlineStr"/>
      <c r="I159" t="inlineStr">
        <is>
          <t>TN</t>
        </is>
      </c>
      <c r="J159" t="inlineStr"/>
      <c r="K159" t="inlineStr">
        <is>
          <t>20250301</t>
        </is>
      </c>
      <c r="L159" t="inlineStr">
        <is>
          <t>99991231</t>
        </is>
      </c>
    </row>
    <row r="160">
      <c r="A160" t="inlineStr">
        <is>
          <t>900008694</t>
        </is>
      </c>
      <c r="B160" t="inlineStr">
        <is>
          <t>DW81</t>
        </is>
      </c>
      <c r="C160" t="inlineStr">
        <is>
          <t>D149</t>
        </is>
      </c>
      <c r="D160" t="inlineStr">
        <is>
          <t>10000572</t>
        </is>
      </c>
      <c r="E160" t="inlineStr"/>
      <c r="F160" s="11" t="n">
        <v>196</v>
      </c>
      <c r="G160" t="inlineStr"/>
      <c r="I160" t="inlineStr">
        <is>
          <t>TN</t>
        </is>
      </c>
      <c r="J160" t="inlineStr"/>
      <c r="K160" t="inlineStr">
        <is>
          <t>20250301</t>
        </is>
      </c>
      <c r="L160" t="inlineStr">
        <is>
          <t>99991231</t>
        </is>
      </c>
    </row>
    <row r="161">
      <c r="A161" t="inlineStr">
        <is>
          <t>900008694</t>
        </is>
      </c>
      <c r="B161" t="inlineStr">
        <is>
          <t>DW81</t>
        </is>
      </c>
      <c r="C161" t="inlineStr">
        <is>
          <t>D171</t>
        </is>
      </c>
      <c r="D161" t="inlineStr">
        <is>
          <t>10000404</t>
        </is>
      </c>
      <c r="E161" t="inlineStr"/>
      <c r="F161" s="11" t="n">
        <v>184</v>
      </c>
      <c r="G161" t="inlineStr"/>
      <c r="I161" t="inlineStr">
        <is>
          <t>TN</t>
        </is>
      </c>
      <c r="J161" t="inlineStr"/>
      <c r="K161" t="inlineStr">
        <is>
          <t>20250301</t>
        </is>
      </c>
      <c r="L161" t="inlineStr">
        <is>
          <t>99991231</t>
        </is>
      </c>
    </row>
    <row r="162">
      <c r="A162" t="inlineStr">
        <is>
          <t>900008694</t>
        </is>
      </c>
      <c r="B162" t="inlineStr">
        <is>
          <t>DW81</t>
        </is>
      </c>
      <c r="C162" t="inlineStr">
        <is>
          <t>D171</t>
        </is>
      </c>
      <c r="D162" t="inlineStr">
        <is>
          <t>10000572</t>
        </is>
      </c>
      <c r="E162" t="inlineStr"/>
      <c r="F162" s="11" t="n">
        <v>199</v>
      </c>
      <c r="G162" t="inlineStr"/>
      <c r="I162" t="inlineStr">
        <is>
          <t>TN</t>
        </is>
      </c>
      <c r="J162" t="inlineStr"/>
      <c r="K162" t="inlineStr">
        <is>
          <t>20250301</t>
        </is>
      </c>
      <c r="L162" t="inlineStr">
        <is>
          <t>99991231</t>
        </is>
      </c>
    </row>
    <row r="163">
      <c r="A163" t="inlineStr">
        <is>
          <t>900009082</t>
        </is>
      </c>
      <c r="B163" t="inlineStr">
        <is>
          <t>DW81</t>
        </is>
      </c>
      <c r="C163" t="inlineStr">
        <is>
          <t>D149</t>
        </is>
      </c>
      <c r="D163" t="inlineStr">
        <is>
          <t>10000404</t>
        </is>
      </c>
      <c r="E163" t="inlineStr"/>
      <c r="F163" s="11" t="n">
        <v>350</v>
      </c>
      <c r="G163" t="inlineStr"/>
      <c r="I163" t="inlineStr">
        <is>
          <t>TN</t>
        </is>
      </c>
      <c r="J163" t="inlineStr"/>
      <c r="K163" t="inlineStr">
        <is>
          <t>20241223</t>
        </is>
      </c>
      <c r="L163" t="inlineStr">
        <is>
          <t>99991231</t>
        </is>
      </c>
    </row>
    <row r="164">
      <c r="A164" t="inlineStr">
        <is>
          <t>900009082</t>
        </is>
      </c>
      <c r="B164" t="inlineStr">
        <is>
          <t>DW81</t>
        </is>
      </c>
      <c r="C164" t="inlineStr">
        <is>
          <t>D149</t>
        </is>
      </c>
      <c r="D164" t="inlineStr">
        <is>
          <t>10000572</t>
        </is>
      </c>
      <c r="E164" t="inlineStr"/>
      <c r="F164" s="11" t="n">
        <v>350</v>
      </c>
      <c r="G164" t="inlineStr"/>
      <c r="I164" t="inlineStr">
        <is>
          <t>TN</t>
        </is>
      </c>
      <c r="J164" t="inlineStr"/>
      <c r="K164" t="inlineStr">
        <is>
          <t>20241223</t>
        </is>
      </c>
      <c r="L164" t="inlineStr">
        <is>
          <t>99991231</t>
        </is>
      </c>
    </row>
    <row r="165">
      <c r="A165" t="inlineStr">
        <is>
          <t>900009082</t>
        </is>
      </c>
      <c r="B165" t="inlineStr">
        <is>
          <t>DW81</t>
        </is>
      </c>
      <c r="C165" t="inlineStr">
        <is>
          <t>D171</t>
        </is>
      </c>
      <c r="D165" t="inlineStr">
        <is>
          <t>10000404</t>
        </is>
      </c>
      <c r="E165" t="inlineStr"/>
      <c r="F165" s="11" t="n">
        <v>349</v>
      </c>
      <c r="G165" t="inlineStr"/>
      <c r="I165" t="inlineStr">
        <is>
          <t>TN</t>
        </is>
      </c>
      <c r="J165" t="inlineStr"/>
      <c r="K165" t="inlineStr">
        <is>
          <t>20241223</t>
        </is>
      </c>
      <c r="L165" t="inlineStr">
        <is>
          <t>99991231</t>
        </is>
      </c>
    </row>
    <row r="166">
      <c r="A166" t="inlineStr">
        <is>
          <t>900009082</t>
        </is>
      </c>
      <c r="B166" t="inlineStr">
        <is>
          <t>DW81</t>
        </is>
      </c>
      <c r="C166" t="inlineStr">
        <is>
          <t>D171</t>
        </is>
      </c>
      <c r="D166" t="inlineStr">
        <is>
          <t>10000572</t>
        </is>
      </c>
      <c r="E166" t="inlineStr"/>
      <c r="F166" s="11" t="n">
        <v>349</v>
      </c>
      <c r="G166" t="inlineStr"/>
      <c r="I166" t="inlineStr">
        <is>
          <t>TN</t>
        </is>
      </c>
      <c r="J166" t="inlineStr"/>
      <c r="K166" t="inlineStr">
        <is>
          <t>20241223</t>
        </is>
      </c>
      <c r="L166" t="inlineStr">
        <is>
          <t>99991231</t>
        </is>
      </c>
    </row>
    <row r="167">
      <c r="A167" t="inlineStr">
        <is>
          <t>900009335</t>
        </is>
      </c>
      <c r="B167" t="inlineStr">
        <is>
          <t>DW81</t>
        </is>
      </c>
      <c r="C167" t="inlineStr">
        <is>
          <t>D148</t>
        </is>
      </c>
      <c r="D167" t="inlineStr">
        <is>
          <t>10272234</t>
        </is>
      </c>
      <c r="E167" t="inlineStr"/>
      <c r="F167" s="11" t="n">
        <v>160</v>
      </c>
      <c r="G167" t="inlineStr"/>
      <c r="I167" t="inlineStr">
        <is>
          <t>TN</t>
        </is>
      </c>
      <c r="J167" t="inlineStr"/>
      <c r="K167" t="inlineStr">
        <is>
          <t>20251028</t>
        </is>
      </c>
      <c r="L167" t="inlineStr">
        <is>
          <t>99991231</t>
        </is>
      </c>
    </row>
    <row r="168">
      <c r="A168" t="inlineStr">
        <is>
          <t>900009335</t>
        </is>
      </c>
      <c r="B168" t="inlineStr">
        <is>
          <t>DW81</t>
        </is>
      </c>
      <c r="C168" t="inlineStr">
        <is>
          <t>D148</t>
        </is>
      </c>
      <c r="D168" t="inlineStr">
        <is>
          <t>10272235</t>
        </is>
      </c>
      <c r="E168" t="inlineStr"/>
      <c r="F168" s="11" t="n">
        <v>160</v>
      </c>
      <c r="G168" t="inlineStr"/>
      <c r="I168" t="inlineStr">
        <is>
          <t>TN</t>
        </is>
      </c>
      <c r="J168" t="inlineStr"/>
      <c r="K168" t="inlineStr">
        <is>
          <t>20251028</t>
        </is>
      </c>
      <c r="L168" t="inlineStr">
        <is>
          <t>99991231</t>
        </is>
      </c>
    </row>
    <row r="169">
      <c r="A169" t="inlineStr">
        <is>
          <t>900009335</t>
        </is>
      </c>
      <c r="B169" t="inlineStr">
        <is>
          <t>DW81</t>
        </is>
      </c>
      <c r="C169" t="inlineStr">
        <is>
          <t>D149</t>
        </is>
      </c>
      <c r="D169" t="inlineStr">
        <is>
          <t>10272234</t>
        </is>
      </c>
      <c r="E169" t="inlineStr"/>
      <c r="F169" s="11" t="n">
        <v>160</v>
      </c>
      <c r="G169" t="inlineStr"/>
      <c r="I169" t="inlineStr">
        <is>
          <t>TN</t>
        </is>
      </c>
      <c r="J169" t="inlineStr"/>
      <c r="K169" t="inlineStr">
        <is>
          <t>20251028</t>
        </is>
      </c>
      <c r="L169" t="inlineStr">
        <is>
          <t>99991231</t>
        </is>
      </c>
    </row>
    <row r="170">
      <c r="A170" t="inlineStr">
        <is>
          <t>900009335</t>
        </is>
      </c>
      <c r="B170" t="inlineStr">
        <is>
          <t>DW81</t>
        </is>
      </c>
      <c r="C170" t="inlineStr">
        <is>
          <t>D149</t>
        </is>
      </c>
      <c r="D170" t="inlineStr">
        <is>
          <t>10272235</t>
        </is>
      </c>
      <c r="E170" t="inlineStr"/>
      <c r="F170" s="11" t="n">
        <v>160</v>
      </c>
      <c r="G170" t="inlineStr"/>
      <c r="I170" t="inlineStr">
        <is>
          <t>TN</t>
        </is>
      </c>
      <c r="J170" t="inlineStr"/>
      <c r="K170" t="inlineStr">
        <is>
          <t>20251028</t>
        </is>
      </c>
      <c r="L170" t="inlineStr">
        <is>
          <t>99991231</t>
        </is>
      </c>
    </row>
    <row r="171">
      <c r="A171" t="inlineStr">
        <is>
          <t>900009335</t>
        </is>
      </c>
      <c r="B171" t="inlineStr">
        <is>
          <t>DW81</t>
        </is>
      </c>
      <c r="C171" t="inlineStr">
        <is>
          <t>D171</t>
        </is>
      </c>
      <c r="D171" t="inlineStr">
        <is>
          <t>10272234</t>
        </is>
      </c>
      <c r="E171" t="inlineStr"/>
      <c r="F171" s="11" t="n">
        <v>160</v>
      </c>
      <c r="G171" t="inlineStr"/>
      <c r="I171" t="inlineStr">
        <is>
          <t>TN</t>
        </is>
      </c>
      <c r="J171" t="inlineStr"/>
      <c r="K171" t="inlineStr">
        <is>
          <t>20251028</t>
        </is>
      </c>
      <c r="L171" t="inlineStr">
        <is>
          <t>99991231</t>
        </is>
      </c>
    </row>
    <row r="172">
      <c r="A172" t="inlineStr">
        <is>
          <t>900009335</t>
        </is>
      </c>
      <c r="B172" t="inlineStr">
        <is>
          <t>DW81</t>
        </is>
      </c>
      <c r="C172" t="inlineStr">
        <is>
          <t>D171</t>
        </is>
      </c>
      <c r="D172" t="inlineStr">
        <is>
          <t>10272235</t>
        </is>
      </c>
      <c r="E172" t="inlineStr"/>
      <c r="F172" s="11" t="n">
        <v>160</v>
      </c>
      <c r="G172" t="inlineStr"/>
      <c r="I172" t="inlineStr">
        <is>
          <t>TN</t>
        </is>
      </c>
      <c r="J172" t="inlineStr"/>
      <c r="K172" t="inlineStr">
        <is>
          <t>20251028</t>
        </is>
      </c>
      <c r="L172" t="inlineStr">
        <is>
          <t>99991231</t>
        </is>
      </c>
    </row>
    <row r="173">
      <c r="A173" t="inlineStr">
        <is>
          <t>900009416</t>
        </is>
      </c>
      <c r="B173" t="inlineStr">
        <is>
          <t>DW81</t>
        </is>
      </c>
      <c r="C173" t="inlineStr">
        <is>
          <t>D149</t>
        </is>
      </c>
      <c r="D173" t="inlineStr">
        <is>
          <t>10273351</t>
        </is>
      </c>
      <c r="E173" t="inlineStr"/>
      <c r="F173" s="11" t="n">
        <v>365</v>
      </c>
      <c r="G173" t="inlineStr"/>
      <c r="I173" t="inlineStr">
        <is>
          <t>TN</t>
        </is>
      </c>
      <c r="J173" t="inlineStr"/>
      <c r="K173" t="inlineStr">
        <is>
          <t>20251217</t>
        </is>
      </c>
      <c r="L173" t="inlineStr">
        <is>
          <t>99991231</t>
        </is>
      </c>
    </row>
    <row r="174">
      <c r="A174" t="inlineStr">
        <is>
          <t>900009416</t>
        </is>
      </c>
      <c r="B174" t="inlineStr">
        <is>
          <t>DW81</t>
        </is>
      </c>
      <c r="C174" t="inlineStr">
        <is>
          <t>D149</t>
        </is>
      </c>
      <c r="D174" t="inlineStr">
        <is>
          <t>10273352</t>
        </is>
      </c>
      <c r="E174" t="inlineStr"/>
      <c r="F174" s="11" t="n">
        <v>350</v>
      </c>
      <c r="G174" t="inlineStr"/>
      <c r="I174" t="inlineStr">
        <is>
          <t>TN</t>
        </is>
      </c>
      <c r="J174" t="inlineStr"/>
      <c r="K174" t="inlineStr">
        <is>
          <t>20251217</t>
        </is>
      </c>
      <c r="L174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900000007DW81D14810000404</t>
        </is>
      </c>
      <c r="B2" t="inlineStr">
        <is>
          <t>900000007</t>
        </is>
      </c>
      <c r="C2" t="inlineStr">
        <is>
          <t>DW81</t>
        </is>
      </c>
      <c r="D2" t="inlineStr">
        <is>
          <t>D148</t>
        </is>
      </c>
      <c r="E2" t="inlineStr">
        <is>
          <t>4</t>
        </is>
      </c>
      <c r="F2" t="inlineStr">
        <is>
          <t>10000404</t>
        </is>
      </c>
      <c r="H2" t="inlineStr"/>
      <c r="J2" t="n">
        <v>47</v>
      </c>
      <c r="K2" t="inlineStr"/>
      <c r="M2" t="inlineStr">
        <is>
          <t>TN</t>
        </is>
      </c>
      <c r="N2" t="inlineStr"/>
      <c r="P2" t="inlineStr">
        <is>
          <t>20241018</t>
        </is>
      </c>
      <c r="Q2" t="inlineStr">
        <is>
          <t>99991231</t>
        </is>
      </c>
    </row>
    <row r="3">
      <c r="A3" t="inlineStr">
        <is>
          <t>900000007DW81D14810000572</t>
        </is>
      </c>
      <c r="B3" t="inlineStr">
        <is>
          <t>900000007</t>
        </is>
      </c>
      <c r="C3" t="inlineStr">
        <is>
          <t>DW81</t>
        </is>
      </c>
      <c r="D3" t="inlineStr">
        <is>
          <t>D148</t>
        </is>
      </c>
      <c r="E3" t="inlineStr">
        <is>
          <t>4</t>
        </is>
      </c>
      <c r="F3" t="inlineStr">
        <is>
          <t>10000572</t>
        </is>
      </c>
      <c r="H3" t="inlineStr"/>
      <c r="J3" t="n">
        <v>47</v>
      </c>
      <c r="K3" t="inlineStr"/>
      <c r="M3" t="inlineStr">
        <is>
          <t>TN</t>
        </is>
      </c>
      <c r="N3" t="inlineStr"/>
      <c r="P3" t="inlineStr">
        <is>
          <t>20241018</t>
        </is>
      </c>
      <c r="Q3" t="inlineStr">
        <is>
          <t>99991231</t>
        </is>
      </c>
    </row>
    <row r="4">
      <c r="A4" t="inlineStr">
        <is>
          <t>900000007DW81D14910000404</t>
        </is>
      </c>
      <c r="B4" t="inlineStr">
        <is>
          <t>900000007</t>
        </is>
      </c>
      <c r="C4" t="inlineStr">
        <is>
          <t>DW81</t>
        </is>
      </c>
      <c r="D4" t="inlineStr">
        <is>
          <t>D149</t>
        </is>
      </c>
      <c r="E4" t="inlineStr">
        <is>
          <t>4</t>
        </is>
      </c>
      <c r="F4" t="inlineStr">
        <is>
          <t>10000404</t>
        </is>
      </c>
      <c r="H4" t="inlineStr"/>
      <c r="J4" t="n">
        <v>280</v>
      </c>
      <c r="K4" t="inlineStr"/>
      <c r="M4" t="inlineStr">
        <is>
          <t>TN</t>
        </is>
      </c>
      <c r="N4" t="inlineStr"/>
      <c r="P4" t="inlineStr">
        <is>
          <t>20240513</t>
        </is>
      </c>
      <c r="Q4" t="inlineStr">
        <is>
          <t>99991231</t>
        </is>
      </c>
    </row>
    <row r="5">
      <c r="A5" t="inlineStr">
        <is>
          <t>900000007DW81D14910000572</t>
        </is>
      </c>
      <c r="B5" t="inlineStr">
        <is>
          <t>900000007</t>
        </is>
      </c>
      <c r="C5" t="inlineStr">
        <is>
          <t>DW81</t>
        </is>
      </c>
      <c r="D5" t="inlineStr">
        <is>
          <t>D149</t>
        </is>
      </c>
      <c r="E5" t="inlineStr">
        <is>
          <t>4</t>
        </is>
      </c>
      <c r="F5" t="inlineStr">
        <is>
          <t>10000572</t>
        </is>
      </c>
      <c r="H5" t="inlineStr"/>
      <c r="J5" t="n">
        <v>280</v>
      </c>
      <c r="K5" t="inlineStr"/>
      <c r="M5" t="inlineStr">
        <is>
          <t>TN</t>
        </is>
      </c>
      <c r="N5" t="inlineStr"/>
      <c r="P5" t="inlineStr">
        <is>
          <t>20240513</t>
        </is>
      </c>
      <c r="Q5" t="inlineStr">
        <is>
          <t>99991231</t>
        </is>
      </c>
    </row>
    <row r="6">
      <c r="A6" t="inlineStr">
        <is>
          <t>900000007DW81D17110000404</t>
        </is>
      </c>
      <c r="B6" t="inlineStr">
        <is>
          <t>900000007</t>
        </is>
      </c>
      <c r="C6" t="inlineStr">
        <is>
          <t>DW81</t>
        </is>
      </c>
      <c r="D6" t="inlineStr">
        <is>
          <t>D171</t>
        </is>
      </c>
      <c r="E6" t="inlineStr">
        <is>
          <t>4</t>
        </is>
      </c>
      <c r="F6" t="inlineStr">
        <is>
          <t>10000404</t>
        </is>
      </c>
      <c r="H6" t="inlineStr"/>
      <c r="J6" t="n">
        <v>262</v>
      </c>
      <c r="K6" t="inlineStr"/>
      <c r="M6" t="inlineStr">
        <is>
          <t>TN</t>
        </is>
      </c>
      <c r="N6" t="inlineStr"/>
      <c r="P6" t="inlineStr">
        <is>
          <t>20240513</t>
        </is>
      </c>
      <c r="Q6" t="inlineStr">
        <is>
          <t>99991231</t>
        </is>
      </c>
    </row>
    <row r="7">
      <c r="A7" t="inlineStr">
        <is>
          <t>900000007DW81D17110000572</t>
        </is>
      </c>
      <c r="B7" t="inlineStr">
        <is>
          <t>900000007</t>
        </is>
      </c>
      <c r="C7" t="inlineStr">
        <is>
          <t>DW81</t>
        </is>
      </c>
      <c r="D7" t="inlineStr">
        <is>
          <t>D171</t>
        </is>
      </c>
      <c r="E7" t="inlineStr">
        <is>
          <t>4</t>
        </is>
      </c>
      <c r="F7" t="inlineStr">
        <is>
          <t>10000572</t>
        </is>
      </c>
      <c r="H7" t="inlineStr"/>
      <c r="J7" t="n">
        <v>262</v>
      </c>
      <c r="K7" t="inlineStr"/>
      <c r="M7" t="inlineStr">
        <is>
          <t>TN</t>
        </is>
      </c>
      <c r="N7" t="inlineStr"/>
      <c r="P7" t="inlineStr">
        <is>
          <t>20240513</t>
        </is>
      </c>
      <c r="Q7" t="inlineStr">
        <is>
          <t>99991231</t>
        </is>
      </c>
    </row>
    <row r="8">
      <c r="A8" t="inlineStr">
        <is>
          <t>900000052DW81D14810000572</t>
        </is>
      </c>
      <c r="B8" t="inlineStr">
        <is>
          <t>900000052</t>
        </is>
      </c>
      <c r="C8" t="inlineStr">
        <is>
          <t>DW81</t>
        </is>
      </c>
      <c r="D8" t="inlineStr">
        <is>
          <t>D148</t>
        </is>
      </c>
      <c r="E8" t="inlineStr">
        <is>
          <t>4</t>
        </is>
      </c>
      <c r="F8" t="inlineStr">
        <is>
          <t>10000572</t>
        </is>
      </c>
      <c r="H8" t="inlineStr"/>
      <c r="J8" t="n">
        <v>50</v>
      </c>
      <c r="K8" t="inlineStr"/>
      <c r="M8" t="inlineStr">
        <is>
          <t>TN</t>
        </is>
      </c>
      <c r="N8" t="inlineStr"/>
      <c r="P8" t="inlineStr">
        <is>
          <t>20210620</t>
        </is>
      </c>
      <c r="Q8" t="inlineStr">
        <is>
          <t>20251031</t>
        </is>
      </c>
    </row>
    <row r="9">
      <c r="A9" t="inlineStr">
        <is>
          <t>900000052DW81D14910000404</t>
        </is>
      </c>
      <c r="B9" t="inlineStr">
        <is>
          <t>900000052</t>
        </is>
      </c>
      <c r="C9" t="inlineStr">
        <is>
          <t>DW81</t>
        </is>
      </c>
      <c r="D9" t="inlineStr">
        <is>
          <t>D149</t>
        </is>
      </c>
      <c r="E9" t="inlineStr">
        <is>
          <t>4</t>
        </is>
      </c>
      <c r="F9" t="inlineStr">
        <is>
          <t>10000404</t>
        </is>
      </c>
      <c r="H9" t="inlineStr"/>
      <c r="J9" t="n">
        <v>240.28</v>
      </c>
      <c r="K9" t="inlineStr"/>
      <c r="M9" t="inlineStr">
        <is>
          <t>TN</t>
        </is>
      </c>
      <c r="N9" t="inlineStr"/>
      <c r="P9" t="inlineStr">
        <is>
          <t>20210620</t>
        </is>
      </c>
      <c r="Q9" t="inlineStr">
        <is>
          <t>20251031</t>
        </is>
      </c>
    </row>
    <row r="10">
      <c r="A10" t="inlineStr">
        <is>
          <t>900000052DW81D14910000572</t>
        </is>
      </c>
      <c r="B10" t="inlineStr">
        <is>
          <t>900000052</t>
        </is>
      </c>
      <c r="C10" t="inlineStr">
        <is>
          <t>DW81</t>
        </is>
      </c>
      <c r="D10" t="inlineStr">
        <is>
          <t>D149</t>
        </is>
      </c>
      <c r="E10" t="inlineStr">
        <is>
          <t>4</t>
        </is>
      </c>
      <c r="F10" t="inlineStr">
        <is>
          <t>10000572</t>
        </is>
      </c>
      <c r="H10" t="inlineStr"/>
      <c r="J10" t="n">
        <v>214.72</v>
      </c>
      <c r="K10" t="inlineStr"/>
      <c r="M10" t="inlineStr">
        <is>
          <t>TN</t>
        </is>
      </c>
      <c r="N10" t="inlineStr"/>
      <c r="P10" t="inlineStr">
        <is>
          <t>20210620</t>
        </is>
      </c>
      <c r="Q10" t="inlineStr">
        <is>
          <t>20251031</t>
        </is>
      </c>
    </row>
    <row r="11">
      <c r="A11" t="inlineStr">
        <is>
          <t>900000106DW81D16510028438</t>
        </is>
      </c>
      <c r="B11" t="inlineStr">
        <is>
          <t>900000106</t>
        </is>
      </c>
      <c r="C11" t="inlineStr">
        <is>
          <t>DW81</t>
        </is>
      </c>
      <c r="D11" t="inlineStr">
        <is>
          <t>D165</t>
        </is>
      </c>
      <c r="E11" t="inlineStr">
        <is>
          <t>4</t>
        </is>
      </c>
      <c r="F11" t="inlineStr">
        <is>
          <t>10028438</t>
        </is>
      </c>
      <c r="H11" t="inlineStr"/>
      <c r="J11" t="n">
        <v>300</v>
      </c>
      <c r="K11" t="inlineStr"/>
      <c r="M11" t="inlineStr">
        <is>
          <t>TN</t>
        </is>
      </c>
      <c r="N11" t="inlineStr"/>
      <c r="P11" t="inlineStr">
        <is>
          <t>20210620</t>
        </is>
      </c>
      <c r="Q11" t="inlineStr">
        <is>
          <t>20251031</t>
        </is>
      </c>
    </row>
    <row r="12">
      <c r="A12" t="inlineStr">
        <is>
          <t>900000106DW81D16910028438</t>
        </is>
      </c>
      <c r="B12" t="inlineStr">
        <is>
          <t>900000106</t>
        </is>
      </c>
      <c r="C12" t="inlineStr">
        <is>
          <t>DW81</t>
        </is>
      </c>
      <c r="D12" t="inlineStr">
        <is>
          <t>D169</t>
        </is>
      </c>
      <c r="E12" t="inlineStr">
        <is>
          <t>4</t>
        </is>
      </c>
      <c r="F12" t="inlineStr">
        <is>
          <t>10028438</t>
        </is>
      </c>
      <c r="H12" t="inlineStr"/>
      <c r="J12" t="n">
        <v>220</v>
      </c>
      <c r="K12" t="inlineStr"/>
      <c r="M12" t="inlineStr">
        <is>
          <t>TN</t>
        </is>
      </c>
      <c r="N12" t="inlineStr"/>
      <c r="P12" t="inlineStr">
        <is>
          <t>20210620</t>
        </is>
      </c>
      <c r="Q12" t="inlineStr">
        <is>
          <t>20251031</t>
        </is>
      </c>
    </row>
    <row r="13">
      <c r="A13" t="inlineStr">
        <is>
          <t>900000106DW81D19210028438</t>
        </is>
      </c>
      <c r="B13" t="inlineStr">
        <is>
          <t>900000106</t>
        </is>
      </c>
      <c r="C13" t="inlineStr">
        <is>
          <t>DW81</t>
        </is>
      </c>
      <c r="D13" t="inlineStr">
        <is>
          <t>D192</t>
        </is>
      </c>
      <c r="E13" t="inlineStr">
        <is>
          <t>4</t>
        </is>
      </c>
      <c r="F13" t="inlineStr">
        <is>
          <t>10028438</t>
        </is>
      </c>
      <c r="H13" t="inlineStr"/>
      <c r="J13" t="n">
        <v>220</v>
      </c>
      <c r="K13" t="inlineStr"/>
      <c r="M13" t="inlineStr">
        <is>
          <t>TN</t>
        </is>
      </c>
      <c r="N13" t="inlineStr"/>
      <c r="P13" t="inlineStr">
        <is>
          <t>20210620</t>
        </is>
      </c>
      <c r="Q13" t="inlineStr">
        <is>
          <t>20251031</t>
        </is>
      </c>
    </row>
    <row r="14">
      <c r="A14" t="inlineStr">
        <is>
          <t>900000941DW81D14910000136</t>
        </is>
      </c>
      <c r="B14" t="inlineStr">
        <is>
          <t>900000941</t>
        </is>
      </c>
      <c r="C14" t="inlineStr">
        <is>
          <t>DW81</t>
        </is>
      </c>
      <c r="D14" t="inlineStr">
        <is>
          <t>D149</t>
        </is>
      </c>
      <c r="E14" t="inlineStr">
        <is>
          <t>4</t>
        </is>
      </c>
      <c r="F14" t="inlineStr">
        <is>
          <t>10000136</t>
        </is>
      </c>
      <c r="H14" t="inlineStr"/>
      <c r="J14" t="n">
        <v>358</v>
      </c>
      <c r="K14" t="inlineStr"/>
      <c r="M14" t="inlineStr">
        <is>
          <t>TN</t>
        </is>
      </c>
      <c r="N14" t="inlineStr"/>
      <c r="P14" t="inlineStr">
        <is>
          <t>20210620</t>
        </is>
      </c>
      <c r="Q14" t="inlineStr">
        <is>
          <t>20251031</t>
        </is>
      </c>
    </row>
    <row r="15">
      <c r="A15" t="inlineStr">
        <is>
          <t>900000941DW81D14910000578</t>
        </is>
      </c>
      <c r="B15" t="inlineStr">
        <is>
          <t>900000941</t>
        </is>
      </c>
      <c r="C15" t="inlineStr">
        <is>
          <t>DW81</t>
        </is>
      </c>
      <c r="D15" t="inlineStr">
        <is>
          <t>D149</t>
        </is>
      </c>
      <c r="E15" t="inlineStr">
        <is>
          <t>4</t>
        </is>
      </c>
      <c r="F15" t="inlineStr">
        <is>
          <t>10000578</t>
        </is>
      </c>
      <c r="H15" t="inlineStr"/>
      <c r="J15" t="n">
        <v>358</v>
      </c>
      <c r="K15" t="inlineStr"/>
      <c r="M15" t="inlineStr">
        <is>
          <t>TN</t>
        </is>
      </c>
      <c r="N15" t="inlineStr"/>
      <c r="P15" t="inlineStr">
        <is>
          <t>20210620</t>
        </is>
      </c>
      <c r="Q15" t="inlineStr">
        <is>
          <t>20251031</t>
        </is>
      </c>
    </row>
    <row r="16">
      <c r="A16" t="inlineStr">
        <is>
          <t>900000941DW81D17110000136</t>
        </is>
      </c>
      <c r="B16" t="inlineStr">
        <is>
          <t>900000941</t>
        </is>
      </c>
      <c r="C16" t="inlineStr">
        <is>
          <t>DW81</t>
        </is>
      </c>
      <c r="D16" t="inlineStr">
        <is>
          <t>D171</t>
        </is>
      </c>
      <c r="E16" t="inlineStr">
        <is>
          <t>4</t>
        </is>
      </c>
      <c r="F16" t="inlineStr">
        <is>
          <t>10000136</t>
        </is>
      </c>
      <c r="H16" t="inlineStr"/>
      <c r="J16" t="n">
        <v>334</v>
      </c>
      <c r="K16" t="inlineStr"/>
      <c r="M16" t="inlineStr">
        <is>
          <t>TN</t>
        </is>
      </c>
      <c r="N16" t="inlineStr"/>
      <c r="P16" t="inlineStr">
        <is>
          <t>20210620</t>
        </is>
      </c>
      <c r="Q16" t="inlineStr">
        <is>
          <t>20251031</t>
        </is>
      </c>
    </row>
    <row r="17">
      <c r="A17" t="inlineStr">
        <is>
          <t>900000941DW81D17110000578</t>
        </is>
      </c>
      <c r="B17" t="inlineStr">
        <is>
          <t>900000941</t>
        </is>
      </c>
      <c r="C17" t="inlineStr">
        <is>
          <t>DW81</t>
        </is>
      </c>
      <c r="D17" t="inlineStr">
        <is>
          <t>D171</t>
        </is>
      </c>
      <c r="E17" t="inlineStr">
        <is>
          <t>4</t>
        </is>
      </c>
      <c r="F17" t="inlineStr">
        <is>
          <t>10000578</t>
        </is>
      </c>
      <c r="H17" t="inlineStr"/>
      <c r="J17" t="n">
        <v>334</v>
      </c>
      <c r="K17" t="inlineStr"/>
      <c r="M17" t="inlineStr">
        <is>
          <t>TN</t>
        </is>
      </c>
      <c r="N17" t="inlineStr"/>
      <c r="P17" t="inlineStr">
        <is>
          <t>20210620</t>
        </is>
      </c>
      <c r="Q17" t="inlineStr">
        <is>
          <t>20251031</t>
        </is>
      </c>
    </row>
    <row r="18">
      <c r="A18" t="inlineStr">
        <is>
          <t>900000941DW81D17110000624</t>
        </is>
      </c>
      <c r="B18" t="inlineStr">
        <is>
          <t>900000941</t>
        </is>
      </c>
      <c r="C18" t="inlineStr">
        <is>
          <t>DW81</t>
        </is>
      </c>
      <c r="D18" t="inlineStr">
        <is>
          <t>D171</t>
        </is>
      </c>
      <c r="E18" t="inlineStr">
        <is>
          <t>4</t>
        </is>
      </c>
      <c r="F18" t="inlineStr">
        <is>
          <t>10000624</t>
        </is>
      </c>
      <c r="H18" t="inlineStr"/>
      <c r="J18" t="n">
        <v>334</v>
      </c>
      <c r="K18" t="inlineStr"/>
      <c r="M18" t="inlineStr">
        <is>
          <t>TN</t>
        </is>
      </c>
      <c r="N18" t="inlineStr"/>
      <c r="P18" t="inlineStr">
        <is>
          <t>20210620</t>
        </is>
      </c>
      <c r="Q18" t="inlineStr">
        <is>
          <t>20251031</t>
        </is>
      </c>
    </row>
    <row r="19">
      <c r="A19" t="inlineStr">
        <is>
          <t>900001790DW81D14910000430</t>
        </is>
      </c>
      <c r="B19" t="inlineStr">
        <is>
          <t>900001790</t>
        </is>
      </c>
      <c r="C19" t="inlineStr">
        <is>
          <t>DW81</t>
        </is>
      </c>
      <c r="D19" t="inlineStr">
        <is>
          <t>D149</t>
        </is>
      </c>
      <c r="E19" t="inlineStr">
        <is>
          <t>4</t>
        </is>
      </c>
      <c r="F19" t="inlineStr">
        <is>
          <t>10000430</t>
        </is>
      </c>
      <c r="H19" t="inlineStr"/>
      <c r="J19" t="n">
        <v>170</v>
      </c>
      <c r="K19" t="inlineStr"/>
      <c r="M19" t="inlineStr">
        <is>
          <t>TN</t>
        </is>
      </c>
      <c r="N19" t="inlineStr"/>
      <c r="P19" t="inlineStr">
        <is>
          <t>20230601</t>
        </is>
      </c>
      <c r="Q19" t="inlineStr">
        <is>
          <t>99991231</t>
        </is>
      </c>
    </row>
    <row r="20">
      <c r="A20" t="inlineStr">
        <is>
          <t>900001790DW81D14910000572</t>
        </is>
      </c>
      <c r="B20" t="inlineStr">
        <is>
          <t>900001790</t>
        </is>
      </c>
      <c r="C20" t="inlineStr">
        <is>
          <t>DW81</t>
        </is>
      </c>
      <c r="D20" t="inlineStr">
        <is>
          <t>D149</t>
        </is>
      </c>
      <c r="E20" t="inlineStr">
        <is>
          <t>4</t>
        </is>
      </c>
      <c r="F20" t="inlineStr">
        <is>
          <t>10000572</t>
        </is>
      </c>
      <c r="H20" t="inlineStr"/>
      <c r="J20" t="n">
        <v>170</v>
      </c>
      <c r="K20" t="inlineStr"/>
      <c r="M20" t="inlineStr">
        <is>
          <t>TN</t>
        </is>
      </c>
      <c r="N20" t="inlineStr"/>
      <c r="P20" t="inlineStr">
        <is>
          <t>20230601</t>
        </is>
      </c>
      <c r="Q20" t="inlineStr">
        <is>
          <t>99991231</t>
        </is>
      </c>
    </row>
    <row r="21">
      <c r="A21" t="inlineStr">
        <is>
          <t>900002741DW81D04910000141</t>
        </is>
      </c>
      <c r="B21" t="inlineStr">
        <is>
          <t>900002741</t>
        </is>
      </c>
      <c r="C21" t="inlineStr">
        <is>
          <t>DW81</t>
        </is>
      </c>
      <c r="D21" t="inlineStr">
        <is>
          <t>D049</t>
        </is>
      </c>
      <c r="E21" t="inlineStr">
        <is>
          <t>4</t>
        </is>
      </c>
      <c r="F21" t="inlineStr">
        <is>
          <t>10000141</t>
        </is>
      </c>
      <c r="H21" t="inlineStr"/>
      <c r="J21" t="n">
        <v>48</v>
      </c>
      <c r="K21" t="inlineStr"/>
      <c r="M21" t="inlineStr">
        <is>
          <t>TN</t>
        </is>
      </c>
      <c r="N21" t="inlineStr"/>
      <c r="P21" t="inlineStr">
        <is>
          <t>20260201</t>
        </is>
      </c>
      <c r="Q21" t="inlineStr">
        <is>
          <t>99991231</t>
        </is>
      </c>
    </row>
    <row r="22">
      <c r="A22" t="inlineStr">
        <is>
          <t>900002741DW81D04910000402</t>
        </is>
      </c>
      <c r="B22" t="inlineStr">
        <is>
          <t>900002741</t>
        </is>
      </c>
      <c r="C22" t="inlineStr">
        <is>
          <t>DW81</t>
        </is>
      </c>
      <c r="D22" t="inlineStr">
        <is>
          <t>D049</t>
        </is>
      </c>
      <c r="E22" t="inlineStr">
        <is>
          <t>4</t>
        </is>
      </c>
      <c r="F22" t="inlineStr">
        <is>
          <t>10000402</t>
        </is>
      </c>
      <c r="H22" t="inlineStr"/>
      <c r="J22" t="n">
        <v>48</v>
      </c>
      <c r="K22" t="inlineStr"/>
      <c r="M22" t="inlineStr">
        <is>
          <t>TN</t>
        </is>
      </c>
      <c r="N22" t="inlineStr"/>
      <c r="P22" t="inlineStr">
        <is>
          <t>20260201</t>
        </is>
      </c>
      <c r="Q22" t="inlineStr">
        <is>
          <t>99991231</t>
        </is>
      </c>
    </row>
    <row r="23">
      <c r="A23" t="inlineStr">
        <is>
          <t>900002741DW81D04910000404</t>
        </is>
      </c>
      <c r="B23" t="inlineStr">
        <is>
          <t>900002741</t>
        </is>
      </c>
      <c r="C23" t="inlineStr">
        <is>
          <t>DW81</t>
        </is>
      </c>
      <c r="D23" t="inlineStr">
        <is>
          <t>D049</t>
        </is>
      </c>
      <c r="E23" t="inlineStr">
        <is>
          <t>4</t>
        </is>
      </c>
      <c r="F23" t="inlineStr">
        <is>
          <t>10000404</t>
        </is>
      </c>
      <c r="H23" t="inlineStr"/>
      <c r="J23" t="n">
        <v>48</v>
      </c>
      <c r="K23" t="inlineStr"/>
      <c r="M23" t="inlineStr">
        <is>
          <t>TN</t>
        </is>
      </c>
      <c r="N23" t="inlineStr"/>
      <c r="P23" t="inlineStr">
        <is>
          <t>20260201</t>
        </is>
      </c>
      <c r="Q23" t="inlineStr">
        <is>
          <t>99991231</t>
        </is>
      </c>
    </row>
    <row r="24">
      <c r="A24" t="inlineStr">
        <is>
          <t>900002741DW81D04910000407</t>
        </is>
      </c>
      <c r="B24" t="inlineStr">
        <is>
          <t>900002741</t>
        </is>
      </c>
      <c r="C24" t="inlineStr">
        <is>
          <t>DW81</t>
        </is>
      </c>
      <c r="D24" t="inlineStr">
        <is>
          <t>D049</t>
        </is>
      </c>
      <c r="E24" t="inlineStr">
        <is>
          <t>4</t>
        </is>
      </c>
      <c r="F24" t="inlineStr">
        <is>
          <t>10000407</t>
        </is>
      </c>
      <c r="H24" t="inlineStr"/>
      <c r="J24" t="n">
        <v>48</v>
      </c>
      <c r="K24" t="inlineStr"/>
      <c r="M24" t="inlineStr">
        <is>
          <t>TN</t>
        </is>
      </c>
      <c r="N24" t="inlineStr"/>
      <c r="P24" t="inlineStr">
        <is>
          <t>20260201</t>
        </is>
      </c>
      <c r="Q24" t="inlineStr">
        <is>
          <t>99991231</t>
        </is>
      </c>
    </row>
    <row r="25">
      <c r="A25" t="inlineStr">
        <is>
          <t>900002741DW81D04910000859</t>
        </is>
      </c>
      <c r="B25" t="inlineStr">
        <is>
          <t>900002741</t>
        </is>
      </c>
      <c r="C25" t="inlineStr">
        <is>
          <t>DW81</t>
        </is>
      </c>
      <c r="D25" t="inlineStr">
        <is>
          <t>D049</t>
        </is>
      </c>
      <c r="E25" t="inlineStr">
        <is>
          <t>4</t>
        </is>
      </c>
      <c r="F25" t="inlineStr">
        <is>
          <t>10000859</t>
        </is>
      </c>
      <c r="H25" t="inlineStr"/>
      <c r="J25" t="n">
        <v>48</v>
      </c>
      <c r="K25" t="inlineStr"/>
      <c r="M25" t="inlineStr">
        <is>
          <t>TN</t>
        </is>
      </c>
      <c r="N25" t="inlineStr"/>
      <c r="P25" t="inlineStr">
        <is>
          <t>20260201</t>
        </is>
      </c>
      <c r="Q25" t="inlineStr">
        <is>
          <t>99991231</t>
        </is>
      </c>
    </row>
    <row r="26">
      <c r="A26" t="inlineStr">
        <is>
          <t>900002741DW81D09410000317</t>
        </is>
      </c>
      <c r="B26" t="inlineStr">
        <is>
          <t>900002741</t>
        </is>
      </c>
      <c r="C26" t="inlineStr">
        <is>
          <t>DW81</t>
        </is>
      </c>
      <c r="D26" t="inlineStr">
        <is>
          <t>D094</t>
        </is>
      </c>
      <c r="E26" t="inlineStr">
        <is>
          <t>4</t>
        </is>
      </c>
      <c r="F26" t="inlineStr">
        <is>
          <t>10000317</t>
        </is>
      </c>
      <c r="H26" t="inlineStr"/>
      <c r="J26" t="n">
        <v>130</v>
      </c>
      <c r="K26" t="inlineStr"/>
      <c r="M26" t="inlineStr">
        <is>
          <t>TN</t>
        </is>
      </c>
      <c r="N26" t="inlineStr"/>
      <c r="P26" t="inlineStr">
        <is>
          <t>20250201</t>
        </is>
      </c>
      <c r="Q26" t="inlineStr">
        <is>
          <t>20251111</t>
        </is>
      </c>
    </row>
    <row r="27">
      <c r="A27" t="inlineStr">
        <is>
          <t>900002741DW81D09410000402</t>
        </is>
      </c>
      <c r="B27" t="inlineStr">
        <is>
          <t>900002741</t>
        </is>
      </c>
      <c r="C27" t="inlineStr">
        <is>
          <t>DW81</t>
        </is>
      </c>
      <c r="D27" t="inlineStr">
        <is>
          <t>D094</t>
        </is>
      </c>
      <c r="E27" t="inlineStr">
        <is>
          <t>4</t>
        </is>
      </c>
      <c r="F27" t="inlineStr">
        <is>
          <t>10000402</t>
        </is>
      </c>
      <c r="H27" t="inlineStr"/>
      <c r="J27" t="n">
        <v>143</v>
      </c>
      <c r="K27" t="inlineStr"/>
      <c r="M27" t="inlineStr">
        <is>
          <t>TN</t>
        </is>
      </c>
      <c r="N27" t="inlineStr"/>
      <c r="P27" t="inlineStr">
        <is>
          <t>20260201</t>
        </is>
      </c>
      <c r="Q27" t="inlineStr">
        <is>
          <t>99991231</t>
        </is>
      </c>
    </row>
    <row r="28">
      <c r="A28" t="inlineStr">
        <is>
          <t>900002741DW81D09410000404</t>
        </is>
      </c>
      <c r="B28" t="inlineStr">
        <is>
          <t>900002741</t>
        </is>
      </c>
      <c r="C28" t="inlineStr">
        <is>
          <t>DW81</t>
        </is>
      </c>
      <c r="D28" t="inlineStr">
        <is>
          <t>D094</t>
        </is>
      </c>
      <c r="E28" t="inlineStr">
        <is>
          <t>4</t>
        </is>
      </c>
      <c r="F28" t="inlineStr">
        <is>
          <t>10000404</t>
        </is>
      </c>
      <c r="H28" t="inlineStr"/>
      <c r="J28" t="n">
        <v>143</v>
      </c>
      <c r="K28" t="inlineStr"/>
      <c r="M28" t="inlineStr">
        <is>
          <t>TN</t>
        </is>
      </c>
      <c r="N28" t="inlineStr"/>
      <c r="P28" t="inlineStr">
        <is>
          <t>20260201</t>
        </is>
      </c>
      <c r="Q28" t="inlineStr">
        <is>
          <t>99991231</t>
        </is>
      </c>
    </row>
    <row r="29">
      <c r="A29" t="inlineStr">
        <is>
          <t>900002741DW81D09410000407</t>
        </is>
      </c>
      <c r="B29" t="inlineStr">
        <is>
          <t>900002741</t>
        </is>
      </c>
      <c r="C29" t="inlineStr">
        <is>
          <t>DW81</t>
        </is>
      </c>
      <c r="D29" t="inlineStr">
        <is>
          <t>D094</t>
        </is>
      </c>
      <c r="E29" t="inlineStr">
        <is>
          <t>4</t>
        </is>
      </c>
      <c r="F29" t="inlineStr">
        <is>
          <t>10000407</t>
        </is>
      </c>
      <c r="H29" t="inlineStr"/>
      <c r="J29" t="n">
        <v>143</v>
      </c>
      <c r="K29" t="inlineStr"/>
      <c r="M29" t="inlineStr">
        <is>
          <t>TN</t>
        </is>
      </c>
      <c r="N29" t="inlineStr"/>
      <c r="P29" t="inlineStr">
        <is>
          <t>20260201</t>
        </is>
      </c>
      <c r="Q29" t="inlineStr">
        <is>
          <t>99991231</t>
        </is>
      </c>
    </row>
    <row r="30">
      <c r="A30" t="inlineStr">
        <is>
          <t>900002741DW81D09410000430</t>
        </is>
      </c>
      <c r="B30" t="inlineStr">
        <is>
          <t>900002741</t>
        </is>
      </c>
      <c r="C30" t="inlineStr">
        <is>
          <t>DW81</t>
        </is>
      </c>
      <c r="D30" t="inlineStr">
        <is>
          <t>D094</t>
        </is>
      </c>
      <c r="E30" t="inlineStr">
        <is>
          <t>4</t>
        </is>
      </c>
      <c r="F30" t="inlineStr">
        <is>
          <t>10000430</t>
        </is>
      </c>
      <c r="H30" t="inlineStr"/>
      <c r="J30" t="n">
        <v>130</v>
      </c>
      <c r="K30" t="inlineStr"/>
      <c r="M30" t="inlineStr">
        <is>
          <t>TN</t>
        </is>
      </c>
      <c r="N30" t="inlineStr"/>
      <c r="P30" t="inlineStr">
        <is>
          <t>20240704</t>
        </is>
      </c>
      <c r="Q30" t="inlineStr">
        <is>
          <t>20240911</t>
        </is>
      </c>
    </row>
    <row r="31">
      <c r="A31" t="inlineStr">
        <is>
          <t>900002741DW81D09410000624</t>
        </is>
      </c>
      <c r="B31" t="inlineStr">
        <is>
          <t>900002741</t>
        </is>
      </c>
      <c r="C31" t="inlineStr">
        <is>
          <t>DW81</t>
        </is>
      </c>
      <c r="D31" t="inlineStr">
        <is>
          <t>D094</t>
        </is>
      </c>
      <c r="E31" t="inlineStr">
        <is>
          <t>4</t>
        </is>
      </c>
      <c r="F31" t="inlineStr">
        <is>
          <t>10000624</t>
        </is>
      </c>
      <c r="H31" t="inlineStr"/>
      <c r="J31" t="n">
        <v>143</v>
      </c>
      <c r="K31" t="inlineStr"/>
      <c r="M31" t="inlineStr">
        <is>
          <t>TN</t>
        </is>
      </c>
      <c r="N31" t="inlineStr"/>
      <c r="P31" t="inlineStr">
        <is>
          <t>20260201</t>
        </is>
      </c>
      <c r="Q31" t="inlineStr">
        <is>
          <t>99991231</t>
        </is>
      </c>
    </row>
    <row r="32">
      <c r="A32" t="inlineStr">
        <is>
          <t>900002741DW81D09410000859</t>
        </is>
      </c>
      <c r="B32" t="inlineStr">
        <is>
          <t>900002741</t>
        </is>
      </c>
      <c r="C32" t="inlineStr">
        <is>
          <t>DW81</t>
        </is>
      </c>
      <c r="D32" t="inlineStr">
        <is>
          <t>D094</t>
        </is>
      </c>
      <c r="E32" t="inlineStr">
        <is>
          <t>4</t>
        </is>
      </c>
      <c r="F32" t="inlineStr">
        <is>
          <t>10000859</t>
        </is>
      </c>
      <c r="H32" t="inlineStr"/>
      <c r="J32" t="n">
        <v>143</v>
      </c>
      <c r="K32" t="inlineStr"/>
      <c r="M32" t="inlineStr">
        <is>
          <t>TN</t>
        </is>
      </c>
      <c r="N32" t="inlineStr"/>
      <c r="P32" t="inlineStr">
        <is>
          <t>20260201</t>
        </is>
      </c>
      <c r="Q32" t="inlineStr">
        <is>
          <t>99991231</t>
        </is>
      </c>
    </row>
    <row r="33">
      <c r="A33" t="inlineStr">
        <is>
          <t>900002741DW81D14910000141</t>
        </is>
      </c>
      <c r="B33" t="inlineStr">
        <is>
          <t>900002741</t>
        </is>
      </c>
      <c r="C33" t="inlineStr">
        <is>
          <t>DW81</t>
        </is>
      </c>
      <c r="D33" t="inlineStr">
        <is>
          <t>D149</t>
        </is>
      </c>
      <c r="E33" t="inlineStr">
        <is>
          <t>4</t>
        </is>
      </c>
      <c r="F33" t="inlineStr">
        <is>
          <t>10000141</t>
        </is>
      </c>
      <c r="H33" t="inlineStr"/>
      <c r="J33" t="n">
        <v>698.7</v>
      </c>
      <c r="K33" t="inlineStr"/>
      <c r="M33" t="inlineStr">
        <is>
          <t>TN</t>
        </is>
      </c>
      <c r="N33" t="inlineStr"/>
      <c r="P33" t="inlineStr">
        <is>
          <t>20220516</t>
        </is>
      </c>
      <c r="Q33" t="inlineStr">
        <is>
          <t>20260525</t>
        </is>
      </c>
    </row>
    <row r="34">
      <c r="A34" t="inlineStr">
        <is>
          <t>900002741DW81D14910000402</t>
        </is>
      </c>
      <c r="B34" t="inlineStr">
        <is>
          <t>900002741</t>
        </is>
      </c>
      <c r="C34" t="inlineStr">
        <is>
          <t>DW81</t>
        </is>
      </c>
      <c r="D34" t="inlineStr">
        <is>
          <t>D149</t>
        </is>
      </c>
      <c r="E34" t="inlineStr">
        <is>
          <t>4</t>
        </is>
      </c>
      <c r="F34" t="inlineStr">
        <is>
          <t>10000402</t>
        </is>
      </c>
      <c r="H34" t="inlineStr"/>
      <c r="J34" t="n">
        <v>698.7</v>
      </c>
      <c r="K34" t="inlineStr"/>
      <c r="M34" t="inlineStr">
        <is>
          <t>TN</t>
        </is>
      </c>
      <c r="N34" t="inlineStr"/>
      <c r="P34" t="inlineStr">
        <is>
          <t>20220516</t>
        </is>
      </c>
      <c r="Q34" t="inlineStr">
        <is>
          <t>20260525</t>
        </is>
      </c>
    </row>
    <row r="35">
      <c r="A35" t="inlineStr">
        <is>
          <t>900002741DW81D14910000404</t>
        </is>
      </c>
      <c r="B35" t="inlineStr">
        <is>
          <t>900002741</t>
        </is>
      </c>
      <c r="C35" t="inlineStr">
        <is>
          <t>DW81</t>
        </is>
      </c>
      <c r="D35" t="inlineStr">
        <is>
          <t>D149</t>
        </is>
      </c>
      <c r="E35" t="inlineStr">
        <is>
          <t>4</t>
        </is>
      </c>
      <c r="F35" t="inlineStr">
        <is>
          <t>10000404</t>
        </is>
      </c>
      <c r="H35" t="inlineStr"/>
      <c r="J35" t="n">
        <v>698.7</v>
      </c>
      <c r="K35" t="inlineStr"/>
      <c r="M35" t="inlineStr">
        <is>
          <t>TN</t>
        </is>
      </c>
      <c r="N35" t="inlineStr"/>
      <c r="P35" t="inlineStr">
        <is>
          <t>20220516</t>
        </is>
      </c>
      <c r="Q35" t="inlineStr">
        <is>
          <t>20260525</t>
        </is>
      </c>
    </row>
    <row r="36">
      <c r="A36" t="inlineStr">
        <is>
          <t>900002741DW81D14910000407</t>
        </is>
      </c>
      <c r="B36" t="inlineStr">
        <is>
          <t>900002741</t>
        </is>
      </c>
      <c r="C36" t="inlineStr">
        <is>
          <t>DW81</t>
        </is>
      </c>
      <c r="D36" t="inlineStr">
        <is>
          <t>D149</t>
        </is>
      </c>
      <c r="E36" t="inlineStr">
        <is>
          <t>4</t>
        </is>
      </c>
      <c r="F36" t="inlineStr">
        <is>
          <t>10000407</t>
        </is>
      </c>
      <c r="H36" t="inlineStr"/>
      <c r="J36" t="n">
        <v>698.7</v>
      </c>
      <c r="K36" t="inlineStr"/>
      <c r="M36" t="inlineStr">
        <is>
          <t>TN</t>
        </is>
      </c>
      <c r="N36" t="inlineStr"/>
      <c r="P36" t="inlineStr">
        <is>
          <t>20220516</t>
        </is>
      </c>
      <c r="Q36" t="inlineStr">
        <is>
          <t>20260525</t>
        </is>
      </c>
    </row>
    <row r="37">
      <c r="A37" t="inlineStr">
        <is>
          <t>900002741DW81D14910000859</t>
        </is>
      </c>
      <c r="B37" t="inlineStr">
        <is>
          <t>900002741</t>
        </is>
      </c>
      <c r="C37" t="inlineStr">
        <is>
          <t>DW81</t>
        </is>
      </c>
      <c r="D37" t="inlineStr">
        <is>
          <t>D149</t>
        </is>
      </c>
      <c r="E37" t="inlineStr">
        <is>
          <t>4</t>
        </is>
      </c>
      <c r="F37" t="inlineStr">
        <is>
          <t>10000859</t>
        </is>
      </c>
      <c r="H37" t="inlineStr"/>
      <c r="J37" t="n">
        <v>698.7</v>
      </c>
      <c r="K37" t="inlineStr"/>
      <c r="M37" t="inlineStr">
        <is>
          <t>TN</t>
        </is>
      </c>
      <c r="N37" t="inlineStr"/>
      <c r="P37" t="inlineStr">
        <is>
          <t>20220516</t>
        </is>
      </c>
      <c r="Q37" t="inlineStr">
        <is>
          <t>20260525</t>
        </is>
      </c>
    </row>
    <row r="38">
      <c r="A38" t="inlineStr">
        <is>
          <t>900002741DW81D15410000141</t>
        </is>
      </c>
      <c r="B38" t="inlineStr">
        <is>
          <t>900002741</t>
        </is>
      </c>
      <c r="C38" t="inlineStr">
        <is>
          <t>DW81</t>
        </is>
      </c>
      <c r="D38" t="inlineStr">
        <is>
          <t>D154</t>
        </is>
      </c>
      <c r="E38" t="inlineStr">
        <is>
          <t>4</t>
        </is>
      </c>
      <c r="F38" t="inlineStr">
        <is>
          <t>10000141</t>
        </is>
      </c>
      <c r="H38" t="inlineStr"/>
      <c r="J38" t="n">
        <v>313</v>
      </c>
      <c r="K38" t="inlineStr"/>
      <c r="M38" t="inlineStr">
        <is>
          <t>TN</t>
        </is>
      </c>
      <c r="N38" t="inlineStr"/>
      <c r="P38" t="inlineStr">
        <is>
          <t>20220516</t>
        </is>
      </c>
      <c r="Q38" t="inlineStr">
        <is>
          <t>99991231</t>
        </is>
      </c>
    </row>
    <row r="39">
      <c r="A39" t="inlineStr">
        <is>
          <t>900002741DW81D15410000402</t>
        </is>
      </c>
      <c r="B39" t="inlineStr">
        <is>
          <t>900002741</t>
        </is>
      </c>
      <c r="C39" t="inlineStr">
        <is>
          <t>DW81</t>
        </is>
      </c>
      <c r="D39" t="inlineStr">
        <is>
          <t>D154</t>
        </is>
      </c>
      <c r="E39" t="inlineStr">
        <is>
          <t>4</t>
        </is>
      </c>
      <c r="F39" t="inlineStr">
        <is>
          <t>10000402</t>
        </is>
      </c>
      <c r="H39" t="inlineStr"/>
      <c r="J39" t="n">
        <v>313</v>
      </c>
      <c r="K39" t="inlineStr"/>
      <c r="M39" t="inlineStr">
        <is>
          <t>TN</t>
        </is>
      </c>
      <c r="N39" t="inlineStr"/>
      <c r="P39" t="inlineStr">
        <is>
          <t>20220516</t>
        </is>
      </c>
      <c r="Q39" t="inlineStr">
        <is>
          <t>99991231</t>
        </is>
      </c>
    </row>
    <row r="40">
      <c r="A40" t="inlineStr">
        <is>
          <t>900002741DW81D15410000404</t>
        </is>
      </c>
      <c r="B40" t="inlineStr">
        <is>
          <t>900002741</t>
        </is>
      </c>
      <c r="C40" t="inlineStr">
        <is>
          <t>DW81</t>
        </is>
      </c>
      <c r="D40" t="inlineStr">
        <is>
          <t>D154</t>
        </is>
      </c>
      <c r="E40" t="inlineStr">
        <is>
          <t>4</t>
        </is>
      </c>
      <c r="F40" t="inlineStr">
        <is>
          <t>10000404</t>
        </is>
      </c>
      <c r="H40" t="inlineStr"/>
      <c r="J40" t="n">
        <v>313</v>
      </c>
      <c r="K40" t="inlineStr"/>
      <c r="M40" t="inlineStr">
        <is>
          <t>TN</t>
        </is>
      </c>
      <c r="N40" t="inlineStr"/>
      <c r="P40" t="inlineStr">
        <is>
          <t>20220516</t>
        </is>
      </c>
      <c r="Q40" t="inlineStr">
        <is>
          <t>99991231</t>
        </is>
      </c>
    </row>
    <row r="41">
      <c r="A41" t="inlineStr">
        <is>
          <t>900002741DW81D15410000407</t>
        </is>
      </c>
      <c r="B41" t="inlineStr">
        <is>
          <t>900002741</t>
        </is>
      </c>
      <c r="C41" t="inlineStr">
        <is>
          <t>DW81</t>
        </is>
      </c>
      <c r="D41" t="inlineStr">
        <is>
          <t>D154</t>
        </is>
      </c>
      <c r="E41" t="inlineStr">
        <is>
          <t>4</t>
        </is>
      </c>
      <c r="F41" t="inlineStr">
        <is>
          <t>10000407</t>
        </is>
      </c>
      <c r="H41" t="inlineStr"/>
      <c r="J41" t="n">
        <v>313</v>
      </c>
      <c r="K41" t="inlineStr"/>
      <c r="M41" t="inlineStr">
        <is>
          <t>TN</t>
        </is>
      </c>
      <c r="N41" t="inlineStr"/>
      <c r="P41" t="inlineStr">
        <is>
          <t>20220516</t>
        </is>
      </c>
      <c r="Q41" t="inlineStr">
        <is>
          <t>99991231</t>
        </is>
      </c>
    </row>
    <row r="42">
      <c r="A42" t="inlineStr">
        <is>
          <t>900002741DW81D15410000859</t>
        </is>
      </c>
      <c r="B42" t="inlineStr">
        <is>
          <t>900002741</t>
        </is>
      </c>
      <c r="C42" t="inlineStr">
        <is>
          <t>DW81</t>
        </is>
      </c>
      <c r="D42" t="inlineStr">
        <is>
          <t>D154</t>
        </is>
      </c>
      <c r="E42" t="inlineStr">
        <is>
          <t>4</t>
        </is>
      </c>
      <c r="F42" t="inlineStr">
        <is>
          <t>10000859</t>
        </is>
      </c>
      <c r="H42" t="inlineStr"/>
      <c r="J42" t="n">
        <v>313</v>
      </c>
      <c r="K42" t="inlineStr"/>
      <c r="M42" t="inlineStr">
        <is>
          <t>TN</t>
        </is>
      </c>
      <c r="N42" t="inlineStr"/>
      <c r="P42" t="inlineStr">
        <is>
          <t>20220516</t>
        </is>
      </c>
      <c r="Q42" t="inlineStr">
        <is>
          <t>99991231</t>
        </is>
      </c>
    </row>
    <row r="43">
      <c r="A43" t="inlineStr">
        <is>
          <t>900002741DW81D15410087726</t>
        </is>
      </c>
      <c r="B43" t="inlineStr">
        <is>
          <t>900002741</t>
        </is>
      </c>
      <c r="C43" t="inlineStr">
        <is>
          <t>DW81</t>
        </is>
      </c>
      <c r="D43" t="inlineStr">
        <is>
          <t>D154</t>
        </is>
      </c>
      <c r="E43" t="inlineStr">
        <is>
          <t>4</t>
        </is>
      </c>
      <c r="F43" t="inlineStr">
        <is>
          <t>10087726</t>
        </is>
      </c>
      <c r="H43" t="inlineStr"/>
      <c r="J43" t="n">
        <v>313</v>
      </c>
      <c r="K43" t="inlineStr"/>
      <c r="M43" t="inlineStr">
        <is>
          <t>TN</t>
        </is>
      </c>
      <c r="N43" t="inlineStr"/>
      <c r="P43" t="inlineStr">
        <is>
          <t>20220516</t>
        </is>
      </c>
      <c r="Q43" t="inlineStr">
        <is>
          <t>99991231</t>
        </is>
      </c>
    </row>
    <row r="44">
      <c r="A44" t="inlineStr">
        <is>
          <t>900002741DW81D16910000141</t>
        </is>
      </c>
      <c r="B44" t="inlineStr">
        <is>
          <t>900002741</t>
        </is>
      </c>
      <c r="C44" t="inlineStr">
        <is>
          <t>DW81</t>
        </is>
      </c>
      <c r="D44" t="inlineStr">
        <is>
          <t>D169</t>
        </is>
      </c>
      <c r="E44" t="inlineStr">
        <is>
          <t>4</t>
        </is>
      </c>
      <c r="F44" t="inlineStr">
        <is>
          <t>10000141</t>
        </is>
      </c>
      <c r="H44" t="inlineStr"/>
      <c r="J44" t="n">
        <v>66</v>
      </c>
      <c r="K44" t="inlineStr"/>
      <c r="M44" t="inlineStr">
        <is>
          <t>TN</t>
        </is>
      </c>
      <c r="N44" t="inlineStr"/>
      <c r="P44" t="inlineStr">
        <is>
          <t>20260201</t>
        </is>
      </c>
      <c r="Q44" t="inlineStr">
        <is>
          <t>99991231</t>
        </is>
      </c>
    </row>
    <row r="45">
      <c r="A45" t="inlineStr">
        <is>
          <t>900002741DW81D16910000402</t>
        </is>
      </c>
      <c r="B45" t="inlineStr">
        <is>
          <t>900002741</t>
        </is>
      </c>
      <c r="C45" t="inlineStr">
        <is>
          <t>DW81</t>
        </is>
      </c>
      <c r="D45" t="inlineStr">
        <is>
          <t>D169</t>
        </is>
      </c>
      <c r="E45" t="inlineStr">
        <is>
          <t>4</t>
        </is>
      </c>
      <c r="F45" t="inlineStr">
        <is>
          <t>10000402</t>
        </is>
      </c>
      <c r="H45" t="inlineStr"/>
      <c r="J45" t="n">
        <v>66</v>
      </c>
      <c r="K45" t="inlineStr"/>
      <c r="M45" t="inlineStr">
        <is>
          <t>TN</t>
        </is>
      </c>
      <c r="N45" t="inlineStr"/>
      <c r="P45" t="inlineStr">
        <is>
          <t>20260201</t>
        </is>
      </c>
      <c r="Q45" t="inlineStr">
        <is>
          <t>99991231</t>
        </is>
      </c>
    </row>
    <row r="46">
      <c r="A46" t="inlineStr">
        <is>
          <t>900002741DW81D16910000404</t>
        </is>
      </c>
      <c r="B46" t="inlineStr">
        <is>
          <t>900002741</t>
        </is>
      </c>
      <c r="C46" t="inlineStr">
        <is>
          <t>DW81</t>
        </is>
      </c>
      <c r="D46" t="inlineStr">
        <is>
          <t>D169</t>
        </is>
      </c>
      <c r="E46" t="inlineStr">
        <is>
          <t>4</t>
        </is>
      </c>
      <c r="F46" t="inlineStr">
        <is>
          <t>10000404</t>
        </is>
      </c>
      <c r="H46" t="inlineStr"/>
      <c r="J46" t="n">
        <v>66</v>
      </c>
      <c r="K46" t="inlineStr"/>
      <c r="M46" t="inlineStr">
        <is>
          <t>TN</t>
        </is>
      </c>
      <c r="N46" t="inlineStr"/>
      <c r="P46" t="inlineStr">
        <is>
          <t>20260201</t>
        </is>
      </c>
      <c r="Q46" t="inlineStr">
        <is>
          <t>99991231</t>
        </is>
      </c>
    </row>
    <row r="47">
      <c r="A47" t="inlineStr">
        <is>
          <t>900002741DW81D16910000407</t>
        </is>
      </c>
      <c r="B47" t="inlineStr">
        <is>
          <t>900002741</t>
        </is>
      </c>
      <c r="C47" t="inlineStr">
        <is>
          <t>DW81</t>
        </is>
      </c>
      <c r="D47" t="inlineStr">
        <is>
          <t>D169</t>
        </is>
      </c>
      <c r="E47" t="inlineStr">
        <is>
          <t>4</t>
        </is>
      </c>
      <c r="F47" t="inlineStr">
        <is>
          <t>10000407</t>
        </is>
      </c>
      <c r="H47" t="inlineStr"/>
      <c r="J47" t="n">
        <v>66</v>
      </c>
      <c r="K47" t="inlineStr"/>
      <c r="M47" t="inlineStr">
        <is>
          <t>TN</t>
        </is>
      </c>
      <c r="N47" t="inlineStr"/>
      <c r="P47" t="inlineStr">
        <is>
          <t>20260201</t>
        </is>
      </c>
      <c r="Q47" t="inlineStr">
        <is>
          <t>99991231</t>
        </is>
      </c>
    </row>
    <row r="48">
      <c r="A48" t="inlineStr">
        <is>
          <t>900002741DW81D16910000859</t>
        </is>
      </c>
      <c r="B48" t="inlineStr">
        <is>
          <t>900002741</t>
        </is>
      </c>
      <c r="C48" t="inlineStr">
        <is>
          <t>DW81</t>
        </is>
      </c>
      <c r="D48" t="inlineStr">
        <is>
          <t>D169</t>
        </is>
      </c>
      <c r="E48" t="inlineStr">
        <is>
          <t>4</t>
        </is>
      </c>
      <c r="F48" t="inlineStr">
        <is>
          <t>10000859</t>
        </is>
      </c>
      <c r="H48" t="inlineStr"/>
      <c r="J48" t="n">
        <v>66</v>
      </c>
      <c r="K48" t="inlineStr"/>
      <c r="M48" t="inlineStr">
        <is>
          <t>TN</t>
        </is>
      </c>
      <c r="N48" t="inlineStr"/>
      <c r="P48" t="inlineStr">
        <is>
          <t>20260201</t>
        </is>
      </c>
      <c r="Q48" t="inlineStr">
        <is>
          <t>99991231</t>
        </is>
      </c>
    </row>
    <row r="49">
      <c r="A49" t="inlineStr">
        <is>
          <t>900002741DW81D17110000141</t>
        </is>
      </c>
      <c r="B49" t="inlineStr">
        <is>
          <t>900002741</t>
        </is>
      </c>
      <c r="C49" t="inlineStr">
        <is>
          <t>DW81</t>
        </is>
      </c>
      <c r="D49" t="inlineStr">
        <is>
          <t>D171</t>
        </is>
      </c>
      <c r="E49" t="inlineStr">
        <is>
          <t>4</t>
        </is>
      </c>
      <c r="F49" t="inlineStr">
        <is>
          <t>10000141</t>
        </is>
      </c>
      <c r="H49" t="inlineStr"/>
      <c r="J49" t="n">
        <v>875</v>
      </c>
      <c r="K49" t="inlineStr"/>
      <c r="M49" t="inlineStr">
        <is>
          <t>TN</t>
        </is>
      </c>
      <c r="N49" t="inlineStr"/>
      <c r="P49" t="inlineStr">
        <is>
          <t>20240220</t>
        </is>
      </c>
      <c r="Q49" t="inlineStr">
        <is>
          <t>99991231</t>
        </is>
      </c>
    </row>
    <row r="50">
      <c r="A50" t="inlineStr">
        <is>
          <t>900002741DW81D17110000402</t>
        </is>
      </c>
      <c r="B50" t="inlineStr">
        <is>
          <t>900002741</t>
        </is>
      </c>
      <c r="C50" t="inlineStr">
        <is>
          <t>DW81</t>
        </is>
      </c>
      <c r="D50" t="inlineStr">
        <is>
          <t>D171</t>
        </is>
      </c>
      <c r="E50" t="inlineStr">
        <is>
          <t>4</t>
        </is>
      </c>
      <c r="F50" t="inlineStr">
        <is>
          <t>10000402</t>
        </is>
      </c>
      <c r="H50" t="inlineStr"/>
      <c r="J50" t="n">
        <v>875</v>
      </c>
      <c r="K50" t="inlineStr"/>
      <c r="M50" t="inlineStr">
        <is>
          <t>TN</t>
        </is>
      </c>
      <c r="N50" t="inlineStr"/>
      <c r="P50" t="inlineStr">
        <is>
          <t>20240220</t>
        </is>
      </c>
      <c r="Q50" t="inlineStr">
        <is>
          <t>99991231</t>
        </is>
      </c>
    </row>
    <row r="51">
      <c r="A51" t="inlineStr">
        <is>
          <t>900002741DW81D17110000404</t>
        </is>
      </c>
      <c r="B51" t="inlineStr">
        <is>
          <t>900002741</t>
        </is>
      </c>
      <c r="C51" t="inlineStr">
        <is>
          <t>DW81</t>
        </is>
      </c>
      <c r="D51" t="inlineStr">
        <is>
          <t>D171</t>
        </is>
      </c>
      <c r="E51" t="inlineStr">
        <is>
          <t>4</t>
        </is>
      </c>
      <c r="F51" t="inlineStr">
        <is>
          <t>10000404</t>
        </is>
      </c>
      <c r="H51" t="inlineStr"/>
      <c r="J51" t="n">
        <v>875</v>
      </c>
      <c r="K51" t="inlineStr"/>
      <c r="M51" t="inlineStr">
        <is>
          <t>TN</t>
        </is>
      </c>
      <c r="N51" t="inlineStr"/>
      <c r="P51" t="inlineStr">
        <is>
          <t>20240220</t>
        </is>
      </c>
      <c r="Q51" t="inlineStr">
        <is>
          <t>99991231</t>
        </is>
      </c>
    </row>
    <row r="52">
      <c r="A52" t="inlineStr">
        <is>
          <t>900002741DW81D17110000407</t>
        </is>
      </c>
      <c r="B52" t="inlineStr">
        <is>
          <t>900002741</t>
        </is>
      </c>
      <c r="C52" t="inlineStr">
        <is>
          <t>DW81</t>
        </is>
      </c>
      <c r="D52" t="inlineStr">
        <is>
          <t>D171</t>
        </is>
      </c>
      <c r="E52" t="inlineStr">
        <is>
          <t>4</t>
        </is>
      </c>
      <c r="F52" t="inlineStr">
        <is>
          <t>10000407</t>
        </is>
      </c>
      <c r="H52" t="inlineStr"/>
      <c r="J52" t="n">
        <v>875</v>
      </c>
      <c r="K52" t="inlineStr"/>
      <c r="M52" t="inlineStr">
        <is>
          <t>TN</t>
        </is>
      </c>
      <c r="N52" t="inlineStr"/>
      <c r="P52" t="inlineStr">
        <is>
          <t>20240220</t>
        </is>
      </c>
      <c r="Q52" t="inlineStr">
        <is>
          <t>99991231</t>
        </is>
      </c>
    </row>
    <row r="53">
      <c r="A53" t="inlineStr">
        <is>
          <t>900002741DW81D17110000859</t>
        </is>
      </c>
      <c r="B53" t="inlineStr">
        <is>
          <t>900002741</t>
        </is>
      </c>
      <c r="C53" t="inlineStr">
        <is>
          <t>DW81</t>
        </is>
      </c>
      <c r="D53" t="inlineStr">
        <is>
          <t>D171</t>
        </is>
      </c>
      <c r="E53" t="inlineStr">
        <is>
          <t>4</t>
        </is>
      </c>
      <c r="F53" t="inlineStr">
        <is>
          <t>10000859</t>
        </is>
      </c>
      <c r="H53" t="inlineStr"/>
      <c r="J53" t="n">
        <v>875</v>
      </c>
      <c r="K53" t="inlineStr"/>
      <c r="M53" t="inlineStr">
        <is>
          <t>TN</t>
        </is>
      </c>
      <c r="N53" t="inlineStr"/>
      <c r="P53" t="inlineStr">
        <is>
          <t>20240220</t>
        </is>
      </c>
      <c r="Q53" t="inlineStr">
        <is>
          <t>99991231</t>
        </is>
      </c>
    </row>
    <row r="54">
      <c r="A54" t="inlineStr">
        <is>
          <t>900002741DW81D17110087726</t>
        </is>
      </c>
      <c r="B54" t="inlineStr">
        <is>
          <t>900002741</t>
        </is>
      </c>
      <c r="C54" t="inlineStr">
        <is>
          <t>DW81</t>
        </is>
      </c>
      <c r="D54" t="inlineStr">
        <is>
          <t>D171</t>
        </is>
      </c>
      <c r="E54" t="inlineStr">
        <is>
          <t>4</t>
        </is>
      </c>
      <c r="F54" t="inlineStr">
        <is>
          <t>10087726</t>
        </is>
      </c>
      <c r="H54" t="inlineStr"/>
      <c r="J54" t="n">
        <v>875</v>
      </c>
      <c r="K54" t="inlineStr"/>
      <c r="M54" t="inlineStr">
        <is>
          <t>TN</t>
        </is>
      </c>
      <c r="N54" t="inlineStr"/>
      <c r="P54" t="inlineStr">
        <is>
          <t>20240220</t>
        </is>
      </c>
      <c r="Q54" t="inlineStr">
        <is>
          <t>99991231</t>
        </is>
      </c>
    </row>
    <row r="55">
      <c r="A55" t="inlineStr">
        <is>
          <t>900002741DW81D17410000141</t>
        </is>
      </c>
      <c r="B55" t="inlineStr">
        <is>
          <t>900002741</t>
        </is>
      </c>
      <c r="C55" t="inlineStr">
        <is>
          <t>DW81</t>
        </is>
      </c>
      <c r="D55" t="inlineStr">
        <is>
          <t>D174</t>
        </is>
      </c>
      <c r="E55" t="inlineStr">
        <is>
          <t>4</t>
        </is>
      </c>
      <c r="F55" t="inlineStr">
        <is>
          <t>10000141</t>
        </is>
      </c>
      <c r="H55" t="inlineStr"/>
      <c r="J55" t="n">
        <v>383.29</v>
      </c>
      <c r="K55" t="inlineStr"/>
      <c r="M55" t="inlineStr">
        <is>
          <t>TN</t>
        </is>
      </c>
      <c r="N55" t="inlineStr"/>
      <c r="P55" t="inlineStr">
        <is>
          <t>20230216</t>
        </is>
      </c>
      <c r="Q55" t="inlineStr">
        <is>
          <t>20250423</t>
        </is>
      </c>
    </row>
    <row r="56">
      <c r="A56" t="inlineStr">
        <is>
          <t>900002741DW81D17410000402</t>
        </is>
      </c>
      <c r="B56" t="inlineStr">
        <is>
          <t>900002741</t>
        </is>
      </c>
      <c r="C56" t="inlineStr">
        <is>
          <t>DW81</t>
        </is>
      </c>
      <c r="D56" t="inlineStr">
        <is>
          <t>D174</t>
        </is>
      </c>
      <c r="E56" t="inlineStr">
        <is>
          <t>4</t>
        </is>
      </c>
      <c r="F56" t="inlineStr">
        <is>
          <t>10000402</t>
        </is>
      </c>
      <c r="H56" t="inlineStr"/>
      <c r="J56" t="n">
        <v>383.29</v>
      </c>
      <c r="K56" t="inlineStr"/>
      <c r="M56" t="inlineStr">
        <is>
          <t>TN</t>
        </is>
      </c>
      <c r="N56" t="inlineStr"/>
      <c r="P56" t="inlineStr">
        <is>
          <t>20230216</t>
        </is>
      </c>
      <c r="Q56" t="inlineStr">
        <is>
          <t>20250423</t>
        </is>
      </c>
    </row>
    <row r="57">
      <c r="A57" t="inlineStr">
        <is>
          <t>900002741DW81D17410000404</t>
        </is>
      </c>
      <c r="B57" t="inlineStr">
        <is>
          <t>900002741</t>
        </is>
      </c>
      <c r="C57" t="inlineStr">
        <is>
          <t>DW81</t>
        </is>
      </c>
      <c r="D57" t="inlineStr">
        <is>
          <t>D174</t>
        </is>
      </c>
      <c r="E57" t="inlineStr">
        <is>
          <t>4</t>
        </is>
      </c>
      <c r="F57" t="inlineStr">
        <is>
          <t>10000404</t>
        </is>
      </c>
      <c r="H57" t="inlineStr"/>
      <c r="J57" t="n">
        <v>383.29</v>
      </c>
      <c r="K57" t="inlineStr"/>
      <c r="M57" t="inlineStr">
        <is>
          <t>TN</t>
        </is>
      </c>
      <c r="N57" t="inlineStr"/>
      <c r="P57" t="inlineStr">
        <is>
          <t>20230216</t>
        </is>
      </c>
      <c r="Q57" t="inlineStr">
        <is>
          <t>20250423</t>
        </is>
      </c>
    </row>
    <row r="58">
      <c r="A58" t="inlineStr">
        <is>
          <t>900002741DW81D17410000407</t>
        </is>
      </c>
      <c r="B58" t="inlineStr">
        <is>
          <t>900002741</t>
        </is>
      </c>
      <c r="C58" t="inlineStr">
        <is>
          <t>DW81</t>
        </is>
      </c>
      <c r="D58" t="inlineStr">
        <is>
          <t>D174</t>
        </is>
      </c>
      <c r="E58" t="inlineStr">
        <is>
          <t>4</t>
        </is>
      </c>
      <c r="F58" t="inlineStr">
        <is>
          <t>10000407</t>
        </is>
      </c>
      <c r="H58" t="inlineStr"/>
      <c r="J58" t="n">
        <v>383.29</v>
      </c>
      <c r="K58" t="inlineStr"/>
      <c r="M58" t="inlineStr">
        <is>
          <t>TN</t>
        </is>
      </c>
      <c r="N58" t="inlineStr"/>
      <c r="P58" t="inlineStr">
        <is>
          <t>20230216</t>
        </is>
      </c>
      <c r="Q58" t="inlineStr">
        <is>
          <t>20250423</t>
        </is>
      </c>
    </row>
    <row r="59">
      <c r="A59" t="inlineStr">
        <is>
          <t>900002741DW81D17410000859</t>
        </is>
      </c>
      <c r="B59" t="inlineStr">
        <is>
          <t>900002741</t>
        </is>
      </c>
      <c r="C59" t="inlineStr">
        <is>
          <t>DW81</t>
        </is>
      </c>
      <c r="D59" t="inlineStr">
        <is>
          <t>D174</t>
        </is>
      </c>
      <c r="E59" t="inlineStr">
        <is>
          <t>4</t>
        </is>
      </c>
      <c r="F59" t="inlineStr">
        <is>
          <t>10000859</t>
        </is>
      </c>
      <c r="H59" t="inlineStr"/>
      <c r="J59" t="n">
        <v>383.29</v>
      </c>
      <c r="K59" t="inlineStr"/>
      <c r="M59" t="inlineStr">
        <is>
          <t>TN</t>
        </is>
      </c>
      <c r="N59" t="inlineStr"/>
      <c r="P59" t="inlineStr">
        <is>
          <t>20230216</t>
        </is>
      </c>
      <c r="Q59" t="inlineStr">
        <is>
          <t>20250423</t>
        </is>
      </c>
    </row>
    <row r="60">
      <c r="A60" t="inlineStr">
        <is>
          <t>900002741DW81D19210000141</t>
        </is>
      </c>
      <c r="B60" t="inlineStr">
        <is>
          <t>900002741</t>
        </is>
      </c>
      <c r="C60" t="inlineStr">
        <is>
          <t>DW81</t>
        </is>
      </c>
      <c r="D60" t="inlineStr">
        <is>
          <t>D192</t>
        </is>
      </c>
      <c r="E60" t="inlineStr">
        <is>
          <t>4</t>
        </is>
      </c>
      <c r="F60" t="inlineStr">
        <is>
          <t>10000141</t>
        </is>
      </c>
      <c r="H60" t="inlineStr"/>
      <c r="J60" t="n">
        <v>75</v>
      </c>
      <c r="K60" t="inlineStr"/>
      <c r="M60" t="inlineStr">
        <is>
          <t>TN</t>
        </is>
      </c>
      <c r="N60" t="inlineStr"/>
      <c r="P60" t="inlineStr">
        <is>
          <t>20260201</t>
        </is>
      </c>
      <c r="Q60" t="inlineStr">
        <is>
          <t>99991231</t>
        </is>
      </c>
    </row>
    <row r="61">
      <c r="A61" t="inlineStr">
        <is>
          <t>900002741DW81D19210000402</t>
        </is>
      </c>
      <c r="B61" t="inlineStr">
        <is>
          <t>900002741</t>
        </is>
      </c>
      <c r="C61" t="inlineStr">
        <is>
          <t>DW81</t>
        </is>
      </c>
      <c r="D61" t="inlineStr">
        <is>
          <t>D192</t>
        </is>
      </c>
      <c r="E61" t="inlineStr">
        <is>
          <t>4</t>
        </is>
      </c>
      <c r="F61" t="inlineStr">
        <is>
          <t>10000402</t>
        </is>
      </c>
      <c r="H61" t="inlineStr"/>
      <c r="J61" t="n">
        <v>75</v>
      </c>
      <c r="K61" t="inlineStr"/>
      <c r="M61" t="inlineStr">
        <is>
          <t>TN</t>
        </is>
      </c>
      <c r="N61" t="inlineStr"/>
      <c r="P61" t="inlineStr">
        <is>
          <t>20260201</t>
        </is>
      </c>
      <c r="Q61" t="inlineStr">
        <is>
          <t>99991231</t>
        </is>
      </c>
    </row>
    <row r="62">
      <c r="A62" t="inlineStr">
        <is>
          <t>900002741DW81D19210000404</t>
        </is>
      </c>
      <c r="B62" t="inlineStr">
        <is>
          <t>900002741</t>
        </is>
      </c>
      <c r="C62" t="inlineStr">
        <is>
          <t>DW81</t>
        </is>
      </c>
      <c r="D62" t="inlineStr">
        <is>
          <t>D192</t>
        </is>
      </c>
      <c r="E62" t="inlineStr">
        <is>
          <t>4</t>
        </is>
      </c>
      <c r="F62" t="inlineStr">
        <is>
          <t>10000404</t>
        </is>
      </c>
      <c r="H62" t="inlineStr"/>
      <c r="J62" t="n">
        <v>75</v>
      </c>
      <c r="K62" t="inlineStr"/>
      <c r="M62" t="inlineStr">
        <is>
          <t>TN</t>
        </is>
      </c>
      <c r="N62" t="inlineStr"/>
      <c r="P62" t="inlineStr">
        <is>
          <t>20260201</t>
        </is>
      </c>
      <c r="Q62" t="inlineStr">
        <is>
          <t>99991231</t>
        </is>
      </c>
    </row>
    <row r="63">
      <c r="A63" t="inlineStr">
        <is>
          <t>900002741DW81D19210000407</t>
        </is>
      </c>
      <c r="B63" t="inlineStr">
        <is>
          <t>900002741</t>
        </is>
      </c>
      <c r="C63" t="inlineStr">
        <is>
          <t>DW81</t>
        </is>
      </c>
      <c r="D63" t="inlineStr">
        <is>
          <t>D192</t>
        </is>
      </c>
      <c r="E63" t="inlineStr">
        <is>
          <t>4</t>
        </is>
      </c>
      <c r="F63" t="inlineStr">
        <is>
          <t>10000407</t>
        </is>
      </c>
      <c r="H63" t="inlineStr"/>
      <c r="J63" t="n">
        <v>75</v>
      </c>
      <c r="K63" t="inlineStr"/>
      <c r="M63" t="inlineStr">
        <is>
          <t>TN</t>
        </is>
      </c>
      <c r="N63" t="inlineStr"/>
      <c r="P63" t="inlineStr">
        <is>
          <t>20260201</t>
        </is>
      </c>
      <c r="Q63" t="inlineStr">
        <is>
          <t>99991231</t>
        </is>
      </c>
    </row>
    <row r="64">
      <c r="A64" t="inlineStr">
        <is>
          <t>900002741DW81D19210000859</t>
        </is>
      </c>
      <c r="B64" t="inlineStr">
        <is>
          <t>900002741</t>
        </is>
      </c>
      <c r="C64" t="inlineStr">
        <is>
          <t>DW81</t>
        </is>
      </c>
      <c r="D64" t="inlineStr">
        <is>
          <t>D192</t>
        </is>
      </c>
      <c r="E64" t="inlineStr">
        <is>
          <t>4</t>
        </is>
      </c>
      <c r="F64" t="inlineStr">
        <is>
          <t>10000859</t>
        </is>
      </c>
      <c r="H64" t="inlineStr"/>
      <c r="J64" t="n">
        <v>75</v>
      </c>
      <c r="K64" t="inlineStr"/>
      <c r="M64" t="inlineStr">
        <is>
          <t>TN</t>
        </is>
      </c>
      <c r="N64" t="inlineStr"/>
      <c r="P64" t="inlineStr">
        <is>
          <t>20260201</t>
        </is>
      </c>
      <c r="Q64" t="inlineStr">
        <is>
          <t>99991231</t>
        </is>
      </c>
    </row>
    <row r="65">
      <c r="A65" t="inlineStr">
        <is>
          <t>900002741DW81D19310000141</t>
        </is>
      </c>
      <c r="B65" t="inlineStr">
        <is>
          <t>900002741</t>
        </is>
      </c>
      <c r="C65" t="inlineStr">
        <is>
          <t>DW81</t>
        </is>
      </c>
      <c r="D65" t="inlineStr">
        <is>
          <t>D193</t>
        </is>
      </c>
      <c r="E65" t="inlineStr">
        <is>
          <t>4</t>
        </is>
      </c>
      <c r="F65" t="inlineStr">
        <is>
          <t>10000141</t>
        </is>
      </c>
      <c r="H65" t="inlineStr"/>
      <c r="J65" t="n">
        <v>58.49</v>
      </c>
      <c r="K65" t="inlineStr"/>
      <c r="M65" t="inlineStr">
        <is>
          <t>TN</t>
        </is>
      </c>
      <c r="N65" t="inlineStr"/>
      <c r="P65" t="inlineStr">
        <is>
          <t>20220516</t>
        </is>
      </c>
      <c r="Q65" t="inlineStr">
        <is>
          <t>20260525</t>
        </is>
      </c>
    </row>
    <row r="66">
      <c r="A66" t="inlineStr">
        <is>
          <t>900002741DW81D19310000402</t>
        </is>
      </c>
      <c r="B66" t="inlineStr">
        <is>
          <t>900002741</t>
        </is>
      </c>
      <c r="C66" t="inlineStr">
        <is>
          <t>DW81</t>
        </is>
      </c>
      <c r="D66" t="inlineStr">
        <is>
          <t>D193</t>
        </is>
      </c>
      <c r="E66" t="inlineStr">
        <is>
          <t>4</t>
        </is>
      </c>
      <c r="F66" t="inlineStr">
        <is>
          <t>10000402</t>
        </is>
      </c>
      <c r="H66" t="inlineStr"/>
      <c r="J66" t="n">
        <v>58.49</v>
      </c>
      <c r="K66" t="inlineStr"/>
      <c r="M66" t="inlineStr">
        <is>
          <t>TN</t>
        </is>
      </c>
      <c r="N66" t="inlineStr"/>
      <c r="P66" t="inlineStr">
        <is>
          <t>20220516</t>
        </is>
      </c>
      <c r="Q66" t="inlineStr">
        <is>
          <t>20260525</t>
        </is>
      </c>
    </row>
    <row r="67">
      <c r="A67" t="inlineStr">
        <is>
          <t>900002741DW81D19310000404</t>
        </is>
      </c>
      <c r="B67" t="inlineStr">
        <is>
          <t>900002741</t>
        </is>
      </c>
      <c r="C67" t="inlineStr">
        <is>
          <t>DW81</t>
        </is>
      </c>
      <c r="D67" t="inlineStr">
        <is>
          <t>D193</t>
        </is>
      </c>
      <c r="E67" t="inlineStr">
        <is>
          <t>4</t>
        </is>
      </c>
      <c r="F67" t="inlineStr">
        <is>
          <t>10000404</t>
        </is>
      </c>
      <c r="H67" t="inlineStr"/>
      <c r="J67" t="n">
        <v>58.49</v>
      </c>
      <c r="K67" t="inlineStr"/>
      <c r="M67" t="inlineStr">
        <is>
          <t>TN</t>
        </is>
      </c>
      <c r="N67" t="inlineStr"/>
      <c r="P67" t="inlineStr">
        <is>
          <t>20220516</t>
        </is>
      </c>
      <c r="Q67" t="inlineStr">
        <is>
          <t>20260525</t>
        </is>
      </c>
    </row>
    <row r="68">
      <c r="A68" t="inlineStr">
        <is>
          <t>900002741DW81D19310000407</t>
        </is>
      </c>
      <c r="B68" t="inlineStr">
        <is>
          <t>900002741</t>
        </is>
      </c>
      <c r="C68" t="inlineStr">
        <is>
          <t>DW81</t>
        </is>
      </c>
      <c r="D68" t="inlineStr">
        <is>
          <t>D193</t>
        </is>
      </c>
      <c r="E68" t="inlineStr">
        <is>
          <t>4</t>
        </is>
      </c>
      <c r="F68" t="inlineStr">
        <is>
          <t>10000407</t>
        </is>
      </c>
      <c r="H68" t="inlineStr"/>
      <c r="J68" t="n">
        <v>58.49</v>
      </c>
      <c r="K68" t="inlineStr"/>
      <c r="M68" t="inlineStr">
        <is>
          <t>TN</t>
        </is>
      </c>
      <c r="N68" t="inlineStr"/>
      <c r="P68" t="inlineStr">
        <is>
          <t>20220516</t>
        </is>
      </c>
      <c r="Q68" t="inlineStr">
        <is>
          <t>20260525</t>
        </is>
      </c>
    </row>
    <row r="69">
      <c r="A69" t="inlineStr">
        <is>
          <t>900002741DW81D19310000859</t>
        </is>
      </c>
      <c r="B69" t="inlineStr">
        <is>
          <t>900002741</t>
        </is>
      </c>
      <c r="C69" t="inlineStr">
        <is>
          <t>DW81</t>
        </is>
      </c>
      <c r="D69" t="inlineStr">
        <is>
          <t>D193</t>
        </is>
      </c>
      <c r="E69" t="inlineStr">
        <is>
          <t>4</t>
        </is>
      </c>
      <c r="F69" t="inlineStr">
        <is>
          <t>10000859</t>
        </is>
      </c>
      <c r="H69" t="inlineStr"/>
      <c r="J69" t="n">
        <v>58.49</v>
      </c>
      <c r="K69" t="inlineStr"/>
      <c r="M69" t="inlineStr">
        <is>
          <t>TN</t>
        </is>
      </c>
      <c r="N69" t="inlineStr"/>
      <c r="P69" t="inlineStr">
        <is>
          <t>20220516</t>
        </is>
      </c>
      <c r="Q69" t="inlineStr">
        <is>
          <t>20260525</t>
        </is>
      </c>
    </row>
    <row r="70">
      <c r="A70" t="inlineStr">
        <is>
          <t>900002741DW81D19510000141</t>
        </is>
      </c>
      <c r="B70" t="inlineStr">
        <is>
          <t>900002741</t>
        </is>
      </c>
      <c r="C70" t="inlineStr">
        <is>
          <t>DW81</t>
        </is>
      </c>
      <c r="D70" t="inlineStr">
        <is>
          <t>D195</t>
        </is>
      </c>
      <c r="E70" t="inlineStr">
        <is>
          <t>4</t>
        </is>
      </c>
      <c r="F70" t="inlineStr">
        <is>
          <t>10000141</t>
        </is>
      </c>
      <c r="H70" t="inlineStr"/>
      <c r="J70" t="n">
        <v>70</v>
      </c>
      <c r="K70" t="inlineStr"/>
      <c r="M70" t="inlineStr">
        <is>
          <t>TN</t>
        </is>
      </c>
      <c r="N70" t="inlineStr"/>
      <c r="P70" t="inlineStr">
        <is>
          <t>20260201</t>
        </is>
      </c>
      <c r="Q70" t="inlineStr">
        <is>
          <t>99991231</t>
        </is>
      </c>
    </row>
    <row r="71">
      <c r="A71" t="inlineStr">
        <is>
          <t>900002741DW81D19510000402</t>
        </is>
      </c>
      <c r="B71" t="inlineStr">
        <is>
          <t>900002741</t>
        </is>
      </c>
      <c r="C71" t="inlineStr">
        <is>
          <t>DW81</t>
        </is>
      </c>
      <c r="D71" t="inlineStr">
        <is>
          <t>D195</t>
        </is>
      </c>
      <c r="E71" t="inlineStr">
        <is>
          <t>4</t>
        </is>
      </c>
      <c r="F71" t="inlineStr">
        <is>
          <t>10000402</t>
        </is>
      </c>
      <c r="H71" t="inlineStr"/>
      <c r="J71" t="n">
        <v>70</v>
      </c>
      <c r="K71" t="inlineStr"/>
      <c r="M71" t="inlineStr">
        <is>
          <t>TN</t>
        </is>
      </c>
      <c r="N71" t="inlineStr"/>
      <c r="P71" t="inlineStr">
        <is>
          <t>20260201</t>
        </is>
      </c>
      <c r="Q71" t="inlineStr">
        <is>
          <t>99991231</t>
        </is>
      </c>
    </row>
    <row r="72">
      <c r="A72" t="inlineStr">
        <is>
          <t>900002741DW81D19510000404</t>
        </is>
      </c>
      <c r="B72" t="inlineStr">
        <is>
          <t>900002741</t>
        </is>
      </c>
      <c r="C72" t="inlineStr">
        <is>
          <t>DW81</t>
        </is>
      </c>
      <c r="D72" t="inlineStr">
        <is>
          <t>D195</t>
        </is>
      </c>
      <c r="E72" t="inlineStr">
        <is>
          <t>4</t>
        </is>
      </c>
      <c r="F72" t="inlineStr">
        <is>
          <t>10000404</t>
        </is>
      </c>
      <c r="H72" t="inlineStr"/>
      <c r="J72" t="n">
        <v>70</v>
      </c>
      <c r="K72" t="inlineStr"/>
      <c r="M72" t="inlineStr">
        <is>
          <t>TN</t>
        </is>
      </c>
      <c r="N72" t="inlineStr"/>
      <c r="P72" t="inlineStr">
        <is>
          <t>20260201</t>
        </is>
      </c>
      <c r="Q72" t="inlineStr">
        <is>
          <t>99991231</t>
        </is>
      </c>
    </row>
    <row r="73">
      <c r="A73" t="inlineStr">
        <is>
          <t>900002741DW81D19510000407</t>
        </is>
      </c>
      <c r="B73" t="inlineStr">
        <is>
          <t>900002741</t>
        </is>
      </c>
      <c r="C73" t="inlineStr">
        <is>
          <t>DW81</t>
        </is>
      </c>
      <c r="D73" t="inlineStr">
        <is>
          <t>D195</t>
        </is>
      </c>
      <c r="E73" t="inlineStr">
        <is>
          <t>4</t>
        </is>
      </c>
      <c r="F73" t="inlineStr">
        <is>
          <t>10000407</t>
        </is>
      </c>
      <c r="H73" t="inlineStr"/>
      <c r="J73" t="n">
        <v>70</v>
      </c>
      <c r="K73" t="inlineStr"/>
      <c r="M73" t="inlineStr">
        <is>
          <t>TN</t>
        </is>
      </c>
      <c r="N73" t="inlineStr"/>
      <c r="P73" t="inlineStr">
        <is>
          <t>20260201</t>
        </is>
      </c>
      <c r="Q73" t="inlineStr">
        <is>
          <t>99991231</t>
        </is>
      </c>
    </row>
    <row r="74">
      <c r="A74" t="inlineStr">
        <is>
          <t>900002741DW81D19510000859</t>
        </is>
      </c>
      <c r="B74" t="inlineStr">
        <is>
          <t>900002741</t>
        </is>
      </c>
      <c r="C74" t="inlineStr">
        <is>
          <t>DW81</t>
        </is>
      </c>
      <c r="D74" t="inlineStr">
        <is>
          <t>D195</t>
        </is>
      </c>
      <c r="E74" t="inlineStr">
        <is>
          <t>4</t>
        </is>
      </c>
      <c r="F74" t="inlineStr">
        <is>
          <t>10000859</t>
        </is>
      </c>
      <c r="H74" t="inlineStr"/>
      <c r="J74" t="n">
        <v>70</v>
      </c>
      <c r="K74" t="inlineStr"/>
      <c r="M74" t="inlineStr">
        <is>
          <t>TN</t>
        </is>
      </c>
      <c r="N74" t="inlineStr"/>
      <c r="P74" t="inlineStr">
        <is>
          <t>20260201</t>
        </is>
      </c>
      <c r="Q74" t="inlineStr">
        <is>
          <t>99991231</t>
        </is>
      </c>
    </row>
    <row r="75">
      <c r="A75" t="inlineStr">
        <is>
          <t>900002741DW81D19710000141</t>
        </is>
      </c>
      <c r="B75" t="inlineStr">
        <is>
          <t>900002741</t>
        </is>
      </c>
      <c r="C75" t="inlineStr">
        <is>
          <t>DW81</t>
        </is>
      </c>
      <c r="D75" t="inlineStr">
        <is>
          <t>D197</t>
        </is>
      </c>
      <c r="E75" t="inlineStr">
        <is>
          <t>4</t>
        </is>
      </c>
      <c r="F75" t="inlineStr">
        <is>
          <t>10000141</t>
        </is>
      </c>
      <c r="H75" t="inlineStr"/>
      <c r="J75" t="n">
        <v>187</v>
      </c>
      <c r="K75" t="inlineStr"/>
      <c r="M75" t="inlineStr">
        <is>
          <t>TN</t>
        </is>
      </c>
      <c r="N75" t="inlineStr"/>
      <c r="P75" t="inlineStr">
        <is>
          <t>20260201</t>
        </is>
      </c>
      <c r="Q75" t="inlineStr">
        <is>
          <t>99991231</t>
        </is>
      </c>
    </row>
    <row r="76">
      <c r="A76" t="inlineStr">
        <is>
          <t>900002741DW81D19710000402</t>
        </is>
      </c>
      <c r="B76" t="inlineStr">
        <is>
          <t>900002741</t>
        </is>
      </c>
      <c r="C76" t="inlineStr">
        <is>
          <t>DW81</t>
        </is>
      </c>
      <c r="D76" t="inlineStr">
        <is>
          <t>D197</t>
        </is>
      </c>
      <c r="E76" t="inlineStr">
        <is>
          <t>4</t>
        </is>
      </c>
      <c r="F76" t="inlineStr">
        <is>
          <t>10000402</t>
        </is>
      </c>
      <c r="H76" t="inlineStr"/>
      <c r="J76" t="n">
        <v>187</v>
      </c>
      <c r="K76" t="inlineStr"/>
      <c r="M76" t="inlineStr">
        <is>
          <t>TN</t>
        </is>
      </c>
      <c r="N76" t="inlineStr"/>
      <c r="P76" t="inlineStr">
        <is>
          <t>20260201</t>
        </is>
      </c>
      <c r="Q76" t="inlineStr">
        <is>
          <t>99991231</t>
        </is>
      </c>
    </row>
    <row r="77">
      <c r="A77" t="inlineStr">
        <is>
          <t>900002741DW81D19710000404</t>
        </is>
      </c>
      <c r="B77" t="inlineStr">
        <is>
          <t>900002741</t>
        </is>
      </c>
      <c r="C77" t="inlineStr">
        <is>
          <t>DW81</t>
        </is>
      </c>
      <c r="D77" t="inlineStr">
        <is>
          <t>D197</t>
        </is>
      </c>
      <c r="E77" t="inlineStr">
        <is>
          <t>4</t>
        </is>
      </c>
      <c r="F77" t="inlineStr">
        <is>
          <t>10000404</t>
        </is>
      </c>
      <c r="H77" t="inlineStr"/>
      <c r="J77" t="n">
        <v>187</v>
      </c>
      <c r="K77" t="inlineStr"/>
      <c r="M77" t="inlineStr">
        <is>
          <t>TN</t>
        </is>
      </c>
      <c r="N77" t="inlineStr"/>
      <c r="P77" t="inlineStr">
        <is>
          <t>20260201</t>
        </is>
      </c>
      <c r="Q77" t="inlineStr">
        <is>
          <t>99991231</t>
        </is>
      </c>
    </row>
    <row r="78">
      <c r="A78" t="inlineStr">
        <is>
          <t>900002741DW81D19710000407</t>
        </is>
      </c>
      <c r="B78" t="inlineStr">
        <is>
          <t>900002741</t>
        </is>
      </c>
      <c r="C78" t="inlineStr">
        <is>
          <t>DW81</t>
        </is>
      </c>
      <c r="D78" t="inlineStr">
        <is>
          <t>D197</t>
        </is>
      </c>
      <c r="E78" t="inlineStr">
        <is>
          <t>4</t>
        </is>
      </c>
      <c r="F78" t="inlineStr">
        <is>
          <t>10000407</t>
        </is>
      </c>
      <c r="H78" t="inlineStr"/>
      <c r="J78" t="n">
        <v>187</v>
      </c>
      <c r="K78" t="inlineStr"/>
      <c r="M78" t="inlineStr">
        <is>
          <t>TN</t>
        </is>
      </c>
      <c r="N78" t="inlineStr"/>
      <c r="P78" t="inlineStr">
        <is>
          <t>20260201</t>
        </is>
      </c>
      <c r="Q78" t="inlineStr">
        <is>
          <t>99991231</t>
        </is>
      </c>
    </row>
    <row r="79">
      <c r="A79" t="inlineStr">
        <is>
          <t>900002741DW81D19710000859</t>
        </is>
      </c>
      <c r="B79" t="inlineStr">
        <is>
          <t>900002741</t>
        </is>
      </c>
      <c r="C79" t="inlineStr">
        <is>
          <t>DW81</t>
        </is>
      </c>
      <c r="D79" t="inlineStr">
        <is>
          <t>D197</t>
        </is>
      </c>
      <c r="E79" t="inlineStr">
        <is>
          <t>4</t>
        </is>
      </c>
      <c r="F79" t="inlineStr">
        <is>
          <t>10000859</t>
        </is>
      </c>
      <c r="H79" t="inlineStr"/>
      <c r="J79" t="n">
        <v>187</v>
      </c>
      <c r="K79" t="inlineStr"/>
      <c r="M79" t="inlineStr">
        <is>
          <t>TN</t>
        </is>
      </c>
      <c r="N79" t="inlineStr"/>
      <c r="P79" t="inlineStr">
        <is>
          <t>20260201</t>
        </is>
      </c>
      <c r="Q79" t="inlineStr">
        <is>
          <t>99991231</t>
        </is>
      </c>
    </row>
    <row r="80">
      <c r="A80" t="inlineStr">
        <is>
          <t>900002741DW81D19710087726</t>
        </is>
      </c>
      <c r="B80" t="inlineStr">
        <is>
          <t>900002741</t>
        </is>
      </c>
      <c r="C80" t="inlineStr">
        <is>
          <t>DW81</t>
        </is>
      </c>
      <c r="D80" t="inlineStr">
        <is>
          <t>D197</t>
        </is>
      </c>
      <c r="E80" t="inlineStr">
        <is>
          <t>4</t>
        </is>
      </c>
      <c r="F80" t="inlineStr">
        <is>
          <t>10087726</t>
        </is>
      </c>
      <c r="H80" t="inlineStr"/>
      <c r="J80" t="n">
        <v>187</v>
      </c>
      <c r="K80" t="inlineStr"/>
      <c r="M80" t="inlineStr">
        <is>
          <t>TN</t>
        </is>
      </c>
      <c r="N80" t="inlineStr"/>
      <c r="P80" t="inlineStr">
        <is>
          <t>20260201</t>
        </is>
      </c>
      <c r="Q80" t="inlineStr">
        <is>
          <t>99991231</t>
        </is>
      </c>
    </row>
    <row r="81">
      <c r="A81" t="inlineStr">
        <is>
          <t>900002741DW81D19810000141</t>
        </is>
      </c>
      <c r="B81" t="inlineStr">
        <is>
          <t>900002741</t>
        </is>
      </c>
      <c r="C81" t="inlineStr">
        <is>
          <t>DW81</t>
        </is>
      </c>
      <c r="D81" t="inlineStr">
        <is>
          <t>D198</t>
        </is>
      </c>
      <c r="E81" t="inlineStr">
        <is>
          <t>4</t>
        </is>
      </c>
      <c r="F81" t="inlineStr">
        <is>
          <t>10000141</t>
        </is>
      </c>
      <c r="H81" t="inlineStr"/>
      <c r="J81" t="n">
        <v>383.29</v>
      </c>
      <c r="K81" t="inlineStr"/>
      <c r="M81" t="inlineStr">
        <is>
          <t>TN</t>
        </is>
      </c>
      <c r="N81" t="inlineStr"/>
      <c r="P81" t="inlineStr">
        <is>
          <t>20230216</t>
        </is>
      </c>
      <c r="Q81" t="inlineStr">
        <is>
          <t>99991231</t>
        </is>
      </c>
    </row>
    <row r="82">
      <c r="A82" t="inlineStr">
        <is>
          <t>900002741DW81D19810000402</t>
        </is>
      </c>
      <c r="B82" t="inlineStr">
        <is>
          <t>900002741</t>
        </is>
      </c>
      <c r="C82" t="inlineStr">
        <is>
          <t>DW81</t>
        </is>
      </c>
      <c r="D82" t="inlineStr">
        <is>
          <t>D198</t>
        </is>
      </c>
      <c r="E82" t="inlineStr">
        <is>
          <t>4</t>
        </is>
      </c>
      <c r="F82" t="inlineStr">
        <is>
          <t>10000402</t>
        </is>
      </c>
      <c r="H82" t="inlineStr"/>
      <c r="J82" t="n">
        <v>383.29</v>
      </c>
      <c r="K82" t="inlineStr"/>
      <c r="M82" t="inlineStr">
        <is>
          <t>TN</t>
        </is>
      </c>
      <c r="N82" t="inlineStr"/>
      <c r="P82" t="inlineStr">
        <is>
          <t>20230216</t>
        </is>
      </c>
      <c r="Q82" t="inlineStr">
        <is>
          <t>99991231</t>
        </is>
      </c>
    </row>
    <row r="83">
      <c r="A83" t="inlineStr">
        <is>
          <t>900002741DW81D19810000404</t>
        </is>
      </c>
      <c r="B83" t="inlineStr">
        <is>
          <t>900002741</t>
        </is>
      </c>
      <c r="C83" t="inlineStr">
        <is>
          <t>DW81</t>
        </is>
      </c>
      <c r="D83" t="inlineStr">
        <is>
          <t>D198</t>
        </is>
      </c>
      <c r="E83" t="inlineStr">
        <is>
          <t>4</t>
        </is>
      </c>
      <c r="F83" t="inlineStr">
        <is>
          <t>10000404</t>
        </is>
      </c>
      <c r="H83" t="inlineStr"/>
      <c r="J83" t="n">
        <v>383.29</v>
      </c>
      <c r="K83" t="inlineStr"/>
      <c r="M83" t="inlineStr">
        <is>
          <t>TN</t>
        </is>
      </c>
      <c r="N83" t="inlineStr"/>
      <c r="P83" t="inlineStr">
        <is>
          <t>20230216</t>
        </is>
      </c>
      <c r="Q83" t="inlineStr">
        <is>
          <t>99991231</t>
        </is>
      </c>
    </row>
    <row r="84">
      <c r="A84" t="inlineStr">
        <is>
          <t>900002741DW81D19810000407</t>
        </is>
      </c>
      <c r="B84" t="inlineStr">
        <is>
          <t>900002741</t>
        </is>
      </c>
      <c r="C84" t="inlineStr">
        <is>
          <t>DW81</t>
        </is>
      </c>
      <c r="D84" t="inlineStr">
        <is>
          <t>D198</t>
        </is>
      </c>
      <c r="E84" t="inlineStr">
        <is>
          <t>4</t>
        </is>
      </c>
      <c r="F84" t="inlineStr">
        <is>
          <t>10000407</t>
        </is>
      </c>
      <c r="H84" t="inlineStr"/>
      <c r="J84" t="n">
        <v>383.29</v>
      </c>
      <c r="K84" t="inlineStr"/>
      <c r="M84" t="inlineStr">
        <is>
          <t>TN</t>
        </is>
      </c>
      <c r="N84" t="inlineStr"/>
      <c r="P84" t="inlineStr">
        <is>
          <t>20230216</t>
        </is>
      </c>
      <c r="Q84" t="inlineStr">
        <is>
          <t>99991231</t>
        </is>
      </c>
    </row>
    <row r="85">
      <c r="A85" t="inlineStr">
        <is>
          <t>900002741DW81D19810000859</t>
        </is>
      </c>
      <c r="B85" t="inlineStr">
        <is>
          <t>900002741</t>
        </is>
      </c>
      <c r="C85" t="inlineStr">
        <is>
          <t>DW81</t>
        </is>
      </c>
      <c r="D85" t="inlineStr">
        <is>
          <t>D198</t>
        </is>
      </c>
      <c r="E85" t="inlineStr">
        <is>
          <t>4</t>
        </is>
      </c>
      <c r="F85" t="inlineStr">
        <is>
          <t>10000859</t>
        </is>
      </c>
      <c r="H85" t="inlineStr"/>
      <c r="J85" t="n">
        <v>383.29</v>
      </c>
      <c r="K85" t="inlineStr"/>
      <c r="M85" t="inlineStr">
        <is>
          <t>TN</t>
        </is>
      </c>
      <c r="N85" t="inlineStr"/>
      <c r="P85" t="inlineStr">
        <is>
          <t>20230216</t>
        </is>
      </c>
      <c r="Q85" t="inlineStr">
        <is>
          <t>99991231</t>
        </is>
      </c>
    </row>
    <row r="86">
      <c r="A86" t="inlineStr">
        <is>
          <t>900002741DW81D20210000141</t>
        </is>
      </c>
      <c r="B86" t="inlineStr">
        <is>
          <t>900002741</t>
        </is>
      </c>
      <c r="C86" t="inlineStr">
        <is>
          <t>DW81</t>
        </is>
      </c>
      <c r="D86" t="inlineStr">
        <is>
          <t>D202</t>
        </is>
      </c>
      <c r="E86" t="inlineStr">
        <is>
          <t>4</t>
        </is>
      </c>
      <c r="F86" t="inlineStr">
        <is>
          <t>10000141</t>
        </is>
      </c>
      <c r="H86" t="inlineStr"/>
      <c r="J86" t="n">
        <v>41</v>
      </c>
      <c r="K86" t="inlineStr"/>
      <c r="M86" t="inlineStr">
        <is>
          <t>TN</t>
        </is>
      </c>
      <c r="N86" t="inlineStr"/>
      <c r="P86" t="inlineStr">
        <is>
          <t>20210620</t>
        </is>
      </c>
      <c r="Q86" t="inlineStr">
        <is>
          <t>99991231</t>
        </is>
      </c>
    </row>
    <row r="87">
      <c r="A87" t="inlineStr">
        <is>
          <t>900002741DW81D20210000402</t>
        </is>
      </c>
      <c r="B87" t="inlineStr">
        <is>
          <t>900002741</t>
        </is>
      </c>
      <c r="C87" t="inlineStr">
        <is>
          <t>DW81</t>
        </is>
      </c>
      <c r="D87" t="inlineStr">
        <is>
          <t>D202</t>
        </is>
      </c>
      <c r="E87" t="inlineStr">
        <is>
          <t>4</t>
        </is>
      </c>
      <c r="F87" t="inlineStr">
        <is>
          <t>10000402</t>
        </is>
      </c>
      <c r="H87" t="inlineStr"/>
      <c r="J87" t="n">
        <v>41</v>
      </c>
      <c r="K87" t="inlineStr"/>
      <c r="M87" t="inlineStr">
        <is>
          <t>TN</t>
        </is>
      </c>
      <c r="N87" t="inlineStr"/>
      <c r="P87" t="inlineStr">
        <is>
          <t>20210620</t>
        </is>
      </c>
      <c r="Q87" t="inlineStr">
        <is>
          <t>99991231</t>
        </is>
      </c>
    </row>
    <row r="88">
      <c r="A88" t="inlineStr">
        <is>
          <t>900002741DW81D20210000404</t>
        </is>
      </c>
      <c r="B88" t="inlineStr">
        <is>
          <t>900002741</t>
        </is>
      </c>
      <c r="C88" t="inlineStr">
        <is>
          <t>DW81</t>
        </is>
      </c>
      <c r="D88" t="inlineStr">
        <is>
          <t>D202</t>
        </is>
      </c>
      <c r="E88" t="inlineStr">
        <is>
          <t>4</t>
        </is>
      </c>
      <c r="F88" t="inlineStr">
        <is>
          <t>10000404</t>
        </is>
      </c>
      <c r="H88" t="inlineStr"/>
      <c r="J88" t="n">
        <v>41</v>
      </c>
      <c r="K88" t="inlineStr"/>
      <c r="M88" t="inlineStr">
        <is>
          <t>TN</t>
        </is>
      </c>
      <c r="N88" t="inlineStr"/>
      <c r="P88" t="inlineStr">
        <is>
          <t>20210620</t>
        </is>
      </c>
      <c r="Q88" t="inlineStr">
        <is>
          <t>99991231</t>
        </is>
      </c>
    </row>
    <row r="89">
      <c r="A89" t="inlineStr">
        <is>
          <t>900002741DW81D20210000407</t>
        </is>
      </c>
      <c r="B89" t="inlineStr">
        <is>
          <t>900002741</t>
        </is>
      </c>
      <c r="C89" t="inlineStr">
        <is>
          <t>DW81</t>
        </is>
      </c>
      <c r="D89" t="inlineStr">
        <is>
          <t>D202</t>
        </is>
      </c>
      <c r="E89" t="inlineStr">
        <is>
          <t>4</t>
        </is>
      </c>
      <c r="F89" t="inlineStr">
        <is>
          <t>10000407</t>
        </is>
      </c>
      <c r="H89" t="inlineStr"/>
      <c r="J89" t="n">
        <v>41</v>
      </c>
      <c r="K89" t="inlineStr"/>
      <c r="M89" t="inlineStr">
        <is>
          <t>TN</t>
        </is>
      </c>
      <c r="N89" t="inlineStr"/>
      <c r="P89" t="inlineStr">
        <is>
          <t>20210620</t>
        </is>
      </c>
      <c r="Q89" t="inlineStr">
        <is>
          <t>99991231</t>
        </is>
      </c>
    </row>
    <row r="90">
      <c r="A90" t="inlineStr">
        <is>
          <t>900002741DW81D20210000859</t>
        </is>
      </c>
      <c r="B90" t="inlineStr">
        <is>
          <t>900002741</t>
        </is>
      </c>
      <c r="C90" t="inlineStr">
        <is>
          <t>DW81</t>
        </is>
      </c>
      <c r="D90" t="inlineStr">
        <is>
          <t>D202</t>
        </is>
      </c>
      <c r="E90" t="inlineStr">
        <is>
          <t>4</t>
        </is>
      </c>
      <c r="F90" t="inlineStr">
        <is>
          <t>10000859</t>
        </is>
      </c>
      <c r="H90" t="inlineStr"/>
      <c r="J90" t="n">
        <v>41</v>
      </c>
      <c r="K90" t="inlineStr"/>
      <c r="M90" t="inlineStr">
        <is>
          <t>TN</t>
        </is>
      </c>
      <c r="N90" t="inlineStr"/>
      <c r="P90" t="inlineStr">
        <is>
          <t>20210620</t>
        </is>
      </c>
      <c r="Q90" t="inlineStr">
        <is>
          <t>99991231</t>
        </is>
      </c>
    </row>
    <row r="91">
      <c r="A91" t="inlineStr">
        <is>
          <t>900002741DW81D20410000141</t>
        </is>
      </c>
      <c r="B91" t="inlineStr">
        <is>
          <t>900002741</t>
        </is>
      </c>
      <c r="C91" t="inlineStr">
        <is>
          <t>DW81</t>
        </is>
      </c>
      <c r="D91" t="inlineStr">
        <is>
          <t>D204</t>
        </is>
      </c>
      <c r="E91" t="inlineStr">
        <is>
          <t>4</t>
        </is>
      </c>
      <c r="F91" t="inlineStr">
        <is>
          <t>10000141</t>
        </is>
      </c>
      <c r="H91" t="inlineStr"/>
      <c r="J91" t="n">
        <v>313</v>
      </c>
      <c r="K91" t="inlineStr"/>
      <c r="M91" t="inlineStr">
        <is>
          <t>TN</t>
        </is>
      </c>
      <c r="N91" t="inlineStr"/>
      <c r="P91" t="inlineStr">
        <is>
          <t>20220516</t>
        </is>
      </c>
      <c r="Q91" t="inlineStr">
        <is>
          <t>99991231</t>
        </is>
      </c>
    </row>
    <row r="92">
      <c r="A92" t="inlineStr">
        <is>
          <t>900002741DW81D20410000402</t>
        </is>
      </c>
      <c r="B92" t="inlineStr">
        <is>
          <t>900002741</t>
        </is>
      </c>
      <c r="C92" t="inlineStr">
        <is>
          <t>DW81</t>
        </is>
      </c>
      <c r="D92" t="inlineStr">
        <is>
          <t>D204</t>
        </is>
      </c>
      <c r="E92" t="inlineStr">
        <is>
          <t>4</t>
        </is>
      </c>
      <c r="F92" t="inlineStr">
        <is>
          <t>10000402</t>
        </is>
      </c>
      <c r="H92" t="inlineStr"/>
      <c r="J92" t="n">
        <v>313</v>
      </c>
      <c r="K92" t="inlineStr"/>
      <c r="M92" t="inlineStr">
        <is>
          <t>TN</t>
        </is>
      </c>
      <c r="N92" t="inlineStr"/>
      <c r="P92" t="inlineStr">
        <is>
          <t>20220516</t>
        </is>
      </c>
      <c r="Q92" t="inlineStr">
        <is>
          <t>99991231</t>
        </is>
      </c>
    </row>
    <row r="93">
      <c r="A93" t="inlineStr">
        <is>
          <t>900002741DW81D20410000404</t>
        </is>
      </c>
      <c r="B93" t="inlineStr">
        <is>
          <t>900002741</t>
        </is>
      </c>
      <c r="C93" t="inlineStr">
        <is>
          <t>DW81</t>
        </is>
      </c>
      <c r="D93" t="inlineStr">
        <is>
          <t>D204</t>
        </is>
      </c>
      <c r="E93" t="inlineStr">
        <is>
          <t>4</t>
        </is>
      </c>
      <c r="F93" t="inlineStr">
        <is>
          <t>10000404</t>
        </is>
      </c>
      <c r="H93" t="inlineStr"/>
      <c r="J93" t="n">
        <v>313</v>
      </c>
      <c r="K93" t="inlineStr"/>
      <c r="M93" t="inlineStr">
        <is>
          <t>TN</t>
        </is>
      </c>
      <c r="N93" t="inlineStr"/>
      <c r="P93" t="inlineStr">
        <is>
          <t>20220516</t>
        </is>
      </c>
      <c r="Q93" t="inlineStr">
        <is>
          <t>99991231</t>
        </is>
      </c>
    </row>
    <row r="94">
      <c r="A94" t="inlineStr">
        <is>
          <t>900002741DW81D20410000407</t>
        </is>
      </c>
      <c r="B94" t="inlineStr">
        <is>
          <t>900002741</t>
        </is>
      </c>
      <c r="C94" t="inlineStr">
        <is>
          <t>DW81</t>
        </is>
      </c>
      <c r="D94" t="inlineStr">
        <is>
          <t>D204</t>
        </is>
      </c>
      <c r="E94" t="inlineStr">
        <is>
          <t>4</t>
        </is>
      </c>
      <c r="F94" t="inlineStr">
        <is>
          <t>10000407</t>
        </is>
      </c>
      <c r="H94" t="inlineStr"/>
      <c r="J94" t="n">
        <v>313</v>
      </c>
      <c r="K94" t="inlineStr"/>
      <c r="M94" t="inlineStr">
        <is>
          <t>TN</t>
        </is>
      </c>
      <c r="N94" t="inlineStr"/>
      <c r="P94" t="inlineStr">
        <is>
          <t>20220516</t>
        </is>
      </c>
      <c r="Q94" t="inlineStr">
        <is>
          <t>99991231</t>
        </is>
      </c>
    </row>
    <row r="95">
      <c r="A95" t="inlineStr">
        <is>
          <t>900002741DW81D20410000859</t>
        </is>
      </c>
      <c r="B95" t="inlineStr">
        <is>
          <t>900002741</t>
        </is>
      </c>
      <c r="C95" t="inlineStr">
        <is>
          <t>DW81</t>
        </is>
      </c>
      <c r="D95" t="inlineStr">
        <is>
          <t>D204</t>
        </is>
      </c>
      <c r="E95" t="inlineStr">
        <is>
          <t>4</t>
        </is>
      </c>
      <c r="F95" t="inlineStr">
        <is>
          <t>10000859</t>
        </is>
      </c>
      <c r="H95" t="inlineStr"/>
      <c r="J95" t="n">
        <v>313</v>
      </c>
      <c r="K95" t="inlineStr"/>
      <c r="M95" t="inlineStr">
        <is>
          <t>TN</t>
        </is>
      </c>
      <c r="N95" t="inlineStr"/>
      <c r="P95" t="inlineStr">
        <is>
          <t>20220516</t>
        </is>
      </c>
      <c r="Q95" t="inlineStr">
        <is>
          <t>99991231</t>
        </is>
      </c>
    </row>
    <row r="96">
      <c r="A96" t="inlineStr">
        <is>
          <t>900002741DW81D20410087726</t>
        </is>
      </c>
      <c r="B96" t="inlineStr">
        <is>
          <t>900002741</t>
        </is>
      </c>
      <c r="C96" t="inlineStr">
        <is>
          <t>DW81</t>
        </is>
      </c>
      <c r="D96" t="inlineStr">
        <is>
          <t>D204</t>
        </is>
      </c>
      <c r="E96" t="inlineStr">
        <is>
          <t>4</t>
        </is>
      </c>
      <c r="F96" t="inlineStr">
        <is>
          <t>10087726</t>
        </is>
      </c>
      <c r="H96" t="inlineStr"/>
      <c r="J96" t="n">
        <v>313</v>
      </c>
      <c r="K96" t="inlineStr"/>
      <c r="M96" t="inlineStr">
        <is>
          <t>TN</t>
        </is>
      </c>
      <c r="N96" t="inlineStr"/>
      <c r="P96" t="inlineStr">
        <is>
          <t>20220516</t>
        </is>
      </c>
      <c r="Q96" t="inlineStr">
        <is>
          <t>99991231</t>
        </is>
      </c>
    </row>
    <row r="97">
      <c r="A97" t="inlineStr">
        <is>
          <t>900002741DW81D25910000402</t>
        </is>
      </c>
      <c r="B97" t="inlineStr">
        <is>
          <t>900002741</t>
        </is>
      </c>
      <c r="C97" t="inlineStr">
        <is>
          <t>DW81</t>
        </is>
      </c>
      <c r="D97" t="inlineStr">
        <is>
          <t>D259</t>
        </is>
      </c>
      <c r="E97" t="inlineStr">
        <is>
          <t>4</t>
        </is>
      </c>
      <c r="F97" t="inlineStr">
        <is>
          <t>10000402</t>
        </is>
      </c>
      <c r="H97" t="inlineStr"/>
      <c r="J97" t="n">
        <v>460.35</v>
      </c>
      <c r="K97" t="inlineStr"/>
      <c r="M97" t="inlineStr">
        <is>
          <t>TN</t>
        </is>
      </c>
      <c r="N97" t="inlineStr"/>
      <c r="P97" t="inlineStr">
        <is>
          <t>20240129</t>
        </is>
      </c>
      <c r="Q97" t="inlineStr">
        <is>
          <t>20240223</t>
        </is>
      </c>
    </row>
    <row r="98">
      <c r="A98" t="inlineStr">
        <is>
          <t>900002741DW81D25910000404</t>
        </is>
      </c>
      <c r="B98" t="inlineStr">
        <is>
          <t>900002741</t>
        </is>
      </c>
      <c r="C98" t="inlineStr">
        <is>
          <t>DW81</t>
        </is>
      </c>
      <c r="D98" t="inlineStr">
        <is>
          <t>D259</t>
        </is>
      </c>
      <c r="E98" t="inlineStr">
        <is>
          <t>4</t>
        </is>
      </c>
      <c r="F98" t="inlineStr">
        <is>
          <t>10000404</t>
        </is>
      </c>
      <c r="H98" t="inlineStr"/>
      <c r="J98" t="n">
        <v>460.35</v>
      </c>
      <c r="K98" t="inlineStr"/>
      <c r="M98" t="inlineStr">
        <is>
          <t>TN</t>
        </is>
      </c>
      <c r="N98" t="inlineStr"/>
      <c r="P98" t="inlineStr">
        <is>
          <t>20240129</t>
        </is>
      </c>
      <c r="Q98" t="inlineStr">
        <is>
          <t>20240223</t>
        </is>
      </c>
    </row>
    <row r="99">
      <c r="A99" t="inlineStr">
        <is>
          <t>900002741DW81D25910000407</t>
        </is>
      </c>
      <c r="B99" t="inlineStr">
        <is>
          <t>900002741</t>
        </is>
      </c>
      <c r="C99" t="inlineStr">
        <is>
          <t>DW81</t>
        </is>
      </c>
      <c r="D99" t="inlineStr">
        <is>
          <t>D259</t>
        </is>
      </c>
      <c r="E99" t="inlineStr">
        <is>
          <t>4</t>
        </is>
      </c>
      <c r="F99" t="inlineStr">
        <is>
          <t>10000407</t>
        </is>
      </c>
      <c r="H99" t="inlineStr"/>
      <c r="J99" t="n">
        <v>460.35</v>
      </c>
      <c r="K99" t="inlineStr"/>
      <c r="M99" t="inlineStr">
        <is>
          <t>TN</t>
        </is>
      </c>
      <c r="N99" t="inlineStr"/>
      <c r="P99" t="inlineStr">
        <is>
          <t>20240129</t>
        </is>
      </c>
      <c r="Q99" t="inlineStr">
        <is>
          <t>20240223</t>
        </is>
      </c>
    </row>
    <row r="100">
      <c r="A100" t="inlineStr">
        <is>
          <t>900002741DW81D25910000624</t>
        </is>
      </c>
      <c r="B100" t="inlineStr">
        <is>
          <t>900002741</t>
        </is>
      </c>
      <c r="C100" t="inlineStr">
        <is>
          <t>DW81</t>
        </is>
      </c>
      <c r="D100" t="inlineStr">
        <is>
          <t>D259</t>
        </is>
      </c>
      <c r="E100" t="inlineStr">
        <is>
          <t>4</t>
        </is>
      </c>
      <c r="F100" t="inlineStr">
        <is>
          <t>10000624</t>
        </is>
      </c>
      <c r="H100" t="inlineStr"/>
      <c r="J100" t="n">
        <v>460.35</v>
      </c>
      <c r="K100" t="inlineStr"/>
      <c r="M100" t="inlineStr">
        <is>
          <t>TN</t>
        </is>
      </c>
      <c r="N100" t="inlineStr"/>
      <c r="P100" t="inlineStr">
        <is>
          <t>20240129</t>
        </is>
      </c>
      <c r="Q100" t="inlineStr">
        <is>
          <t>20240223</t>
        </is>
      </c>
    </row>
    <row r="101">
      <c r="A101" t="inlineStr">
        <is>
          <t>900002741DW81D25910000859</t>
        </is>
      </c>
      <c r="B101" t="inlineStr">
        <is>
          <t>900002741</t>
        </is>
      </c>
      <c r="C101" t="inlineStr">
        <is>
          <t>DW81</t>
        </is>
      </c>
      <c r="D101" t="inlineStr">
        <is>
          <t>D259</t>
        </is>
      </c>
      <c r="E101" t="inlineStr">
        <is>
          <t>4</t>
        </is>
      </c>
      <c r="F101" t="inlineStr">
        <is>
          <t>10000859</t>
        </is>
      </c>
      <c r="H101" t="inlineStr"/>
      <c r="J101" t="n">
        <v>460.35</v>
      </c>
      <c r="K101" t="inlineStr"/>
      <c r="M101" t="inlineStr">
        <is>
          <t>TN</t>
        </is>
      </c>
      <c r="N101" t="inlineStr"/>
      <c r="P101" t="inlineStr">
        <is>
          <t>20240129</t>
        </is>
      </c>
      <c r="Q101" t="inlineStr">
        <is>
          <t>20240223</t>
        </is>
      </c>
    </row>
    <row r="102">
      <c r="A102" t="inlineStr">
        <is>
          <t>900002741DW81D25910087726</t>
        </is>
      </c>
      <c r="B102" t="inlineStr">
        <is>
          <t>900002741</t>
        </is>
      </c>
      <c r="C102" t="inlineStr">
        <is>
          <t>DW81</t>
        </is>
      </c>
      <c r="D102" t="inlineStr">
        <is>
          <t>D259</t>
        </is>
      </c>
      <c r="E102" t="inlineStr">
        <is>
          <t>4</t>
        </is>
      </c>
      <c r="F102" t="inlineStr">
        <is>
          <t>10087726</t>
        </is>
      </c>
      <c r="H102" t="inlineStr"/>
      <c r="J102" t="n">
        <v>460.35</v>
      </c>
      <c r="K102" t="inlineStr"/>
      <c r="M102" t="inlineStr">
        <is>
          <t>TN</t>
        </is>
      </c>
      <c r="N102" t="inlineStr"/>
      <c r="P102" t="inlineStr">
        <is>
          <t>20240129</t>
        </is>
      </c>
      <c r="Q102" t="inlineStr">
        <is>
          <t>20240223</t>
        </is>
      </c>
    </row>
    <row r="103">
      <c r="A103" t="inlineStr">
        <is>
          <t>900002812DW81D14910000166</t>
        </is>
      </c>
      <c r="B103" t="inlineStr">
        <is>
          <t>900002812</t>
        </is>
      </c>
      <c r="C103" t="inlineStr">
        <is>
          <t>DW81</t>
        </is>
      </c>
      <c r="D103" t="inlineStr">
        <is>
          <t>D149</t>
        </is>
      </c>
      <c r="E103" t="inlineStr">
        <is>
          <t>4</t>
        </is>
      </c>
      <c r="F103" t="inlineStr">
        <is>
          <t>10000166</t>
        </is>
      </c>
      <c r="H103" t="inlineStr"/>
      <c r="J103" t="n">
        <v>124.2</v>
      </c>
      <c r="K103" t="inlineStr"/>
      <c r="M103" t="inlineStr">
        <is>
          <t>TN</t>
        </is>
      </c>
      <c r="N103" t="inlineStr"/>
      <c r="P103" t="inlineStr">
        <is>
          <t>20231030</t>
        </is>
      </c>
      <c r="Q103" t="inlineStr">
        <is>
          <t>99991231</t>
        </is>
      </c>
    </row>
    <row r="104">
      <c r="A104" t="inlineStr">
        <is>
          <t>900002812DW81D14910000460</t>
        </is>
      </c>
      <c r="B104" t="inlineStr">
        <is>
          <t>900002812</t>
        </is>
      </c>
      <c r="C104" t="inlineStr">
        <is>
          <t>DW81</t>
        </is>
      </c>
      <c r="D104" t="inlineStr">
        <is>
          <t>D149</t>
        </is>
      </c>
      <c r="E104" t="inlineStr">
        <is>
          <t>4</t>
        </is>
      </c>
      <c r="F104" t="inlineStr">
        <is>
          <t>10000460</t>
        </is>
      </c>
      <c r="H104" t="inlineStr"/>
      <c r="J104" t="n">
        <v>130</v>
      </c>
      <c r="K104" t="inlineStr"/>
      <c r="M104" t="inlineStr">
        <is>
          <t>TN</t>
        </is>
      </c>
      <c r="N104" t="inlineStr"/>
      <c r="P104" t="inlineStr">
        <is>
          <t>20231030</t>
        </is>
      </c>
      <c r="Q104" t="inlineStr">
        <is>
          <t>99991231</t>
        </is>
      </c>
    </row>
    <row r="105">
      <c r="A105" t="inlineStr">
        <is>
          <t>900002812DW81D14910169585</t>
        </is>
      </c>
      <c r="B105" t="inlineStr">
        <is>
          <t>900002812</t>
        </is>
      </c>
      <c r="C105" t="inlineStr">
        <is>
          <t>DW81</t>
        </is>
      </c>
      <c r="D105" t="inlineStr">
        <is>
          <t>D149</t>
        </is>
      </c>
      <c r="E105" t="inlineStr">
        <is>
          <t>4</t>
        </is>
      </c>
      <c r="F105" t="inlineStr">
        <is>
          <t>10169585</t>
        </is>
      </c>
      <c r="H105" t="inlineStr"/>
      <c r="J105" t="n">
        <v>131.14</v>
      </c>
      <c r="K105" t="inlineStr"/>
      <c r="M105" t="inlineStr">
        <is>
          <t>TN</t>
        </is>
      </c>
      <c r="N105" t="inlineStr"/>
      <c r="P105" t="inlineStr">
        <is>
          <t>20231030</t>
        </is>
      </c>
      <c r="Q105" t="inlineStr">
        <is>
          <t>99991231</t>
        </is>
      </c>
    </row>
    <row r="106">
      <c r="A106" t="inlineStr">
        <is>
          <t>900002812DW81D17110000166</t>
        </is>
      </c>
      <c r="B106" t="inlineStr">
        <is>
          <t>900002812</t>
        </is>
      </c>
      <c r="C106" t="inlineStr">
        <is>
          <t>DW81</t>
        </is>
      </c>
      <c r="D106" t="inlineStr">
        <is>
          <t>D171</t>
        </is>
      </c>
      <c r="E106" t="inlineStr">
        <is>
          <t>4</t>
        </is>
      </c>
      <c r="F106" t="inlineStr">
        <is>
          <t>10000166</t>
        </is>
      </c>
      <c r="H106" t="inlineStr"/>
      <c r="J106" t="n">
        <v>76.43000000000001</v>
      </c>
      <c r="K106" t="inlineStr"/>
      <c r="M106" t="inlineStr">
        <is>
          <t>TN</t>
        </is>
      </c>
      <c r="N106" t="inlineStr"/>
      <c r="P106" t="inlineStr">
        <is>
          <t>20231030</t>
        </is>
      </c>
      <c r="Q106" t="inlineStr">
        <is>
          <t>99991231</t>
        </is>
      </c>
    </row>
    <row r="107">
      <c r="A107" t="inlineStr">
        <is>
          <t>900002812DW81D17110000460</t>
        </is>
      </c>
      <c r="B107" t="inlineStr">
        <is>
          <t>900002812</t>
        </is>
      </c>
      <c r="C107" t="inlineStr">
        <is>
          <t>DW81</t>
        </is>
      </c>
      <c r="D107" t="inlineStr">
        <is>
          <t>D171</t>
        </is>
      </c>
      <c r="E107" t="inlineStr">
        <is>
          <t>4</t>
        </is>
      </c>
      <c r="F107" t="inlineStr">
        <is>
          <t>10000460</t>
        </is>
      </c>
      <c r="H107" t="inlineStr"/>
      <c r="J107" t="n">
        <v>80</v>
      </c>
      <c r="K107" t="inlineStr"/>
      <c r="M107" t="inlineStr">
        <is>
          <t>TN</t>
        </is>
      </c>
      <c r="N107" t="inlineStr"/>
      <c r="P107" t="inlineStr">
        <is>
          <t>20231030</t>
        </is>
      </c>
      <c r="Q107" t="inlineStr">
        <is>
          <t>99991231</t>
        </is>
      </c>
    </row>
    <row r="108">
      <c r="A108" t="inlineStr">
        <is>
          <t>900002812DW81D17110169585</t>
        </is>
      </c>
      <c r="B108" t="inlineStr">
        <is>
          <t>900002812</t>
        </is>
      </c>
      <c r="C108" t="inlineStr">
        <is>
          <t>DW81</t>
        </is>
      </c>
      <c r="D108" t="inlineStr">
        <is>
          <t>D171</t>
        </is>
      </c>
      <c r="E108" t="inlineStr">
        <is>
          <t>4</t>
        </is>
      </c>
      <c r="F108" t="inlineStr">
        <is>
          <t>10169585</t>
        </is>
      </c>
      <c r="H108" t="inlineStr"/>
      <c r="J108" t="n">
        <v>80.7</v>
      </c>
      <c r="K108" t="inlineStr"/>
      <c r="M108" t="inlineStr">
        <is>
          <t>TN</t>
        </is>
      </c>
      <c r="N108" t="inlineStr"/>
      <c r="P108" t="inlineStr">
        <is>
          <t>20231030</t>
        </is>
      </c>
      <c r="Q108" t="inlineStr">
        <is>
          <t>99991231</t>
        </is>
      </c>
    </row>
    <row r="109">
      <c r="A109" t="inlineStr">
        <is>
          <t>900003849DW81D14810000404</t>
        </is>
      </c>
      <c r="B109" t="inlineStr">
        <is>
          <t>900003849</t>
        </is>
      </c>
      <c r="C109" t="inlineStr">
        <is>
          <t>DW81</t>
        </is>
      </c>
      <c r="D109" t="inlineStr">
        <is>
          <t>D148</t>
        </is>
      </c>
      <c r="E109" t="inlineStr">
        <is>
          <t>4</t>
        </is>
      </c>
      <c r="F109" t="inlineStr">
        <is>
          <t>10000404</t>
        </is>
      </c>
      <c r="H109" t="inlineStr"/>
      <c r="J109" t="n">
        <v>60.78</v>
      </c>
      <c r="K109" t="inlineStr"/>
      <c r="M109" t="inlineStr">
        <is>
          <t>TN</t>
        </is>
      </c>
      <c r="N109" t="inlineStr"/>
      <c r="P109" t="inlineStr">
        <is>
          <t>20250301</t>
        </is>
      </c>
      <c r="Q109" t="inlineStr">
        <is>
          <t>99991231</t>
        </is>
      </c>
    </row>
    <row r="110">
      <c r="A110" t="inlineStr">
        <is>
          <t>900003849DW81D14810000407</t>
        </is>
      </c>
      <c r="B110" t="inlineStr">
        <is>
          <t>900003849</t>
        </is>
      </c>
      <c r="C110" t="inlineStr">
        <is>
          <t>DW81</t>
        </is>
      </c>
      <c r="D110" t="inlineStr">
        <is>
          <t>D148</t>
        </is>
      </c>
      <c r="E110" t="inlineStr">
        <is>
          <t>4</t>
        </is>
      </c>
      <c r="F110" t="inlineStr">
        <is>
          <t>10000407</t>
        </is>
      </c>
      <c r="H110" t="inlineStr"/>
      <c r="J110" t="n">
        <v>60.78</v>
      </c>
      <c r="K110" t="inlineStr"/>
      <c r="M110" t="inlineStr">
        <is>
          <t>TN</t>
        </is>
      </c>
      <c r="N110" t="inlineStr"/>
      <c r="P110" t="inlineStr">
        <is>
          <t>20250301</t>
        </is>
      </c>
      <c r="Q110" t="inlineStr">
        <is>
          <t>99991231</t>
        </is>
      </c>
    </row>
    <row r="111">
      <c r="A111" t="inlineStr">
        <is>
          <t>900003849DW81D14810000572</t>
        </is>
      </c>
      <c r="B111" t="inlineStr">
        <is>
          <t>900003849</t>
        </is>
      </c>
      <c r="C111" t="inlineStr">
        <is>
          <t>DW81</t>
        </is>
      </c>
      <c r="D111" t="inlineStr">
        <is>
          <t>D148</t>
        </is>
      </c>
      <c r="E111" t="inlineStr">
        <is>
          <t>4</t>
        </is>
      </c>
      <c r="F111" t="inlineStr">
        <is>
          <t>10000572</t>
        </is>
      </c>
      <c r="H111" t="inlineStr"/>
      <c r="J111" t="n">
        <v>60.78</v>
      </c>
      <c r="K111" t="inlineStr"/>
      <c r="M111" t="inlineStr">
        <is>
          <t>TN</t>
        </is>
      </c>
      <c r="N111" t="inlineStr"/>
      <c r="P111" t="inlineStr">
        <is>
          <t>20250301</t>
        </is>
      </c>
      <c r="Q111" t="inlineStr">
        <is>
          <t>99991231</t>
        </is>
      </c>
    </row>
    <row r="112">
      <c r="A112" t="inlineStr">
        <is>
          <t>900003849DW81D14810000624</t>
        </is>
      </c>
      <c r="B112" t="inlineStr">
        <is>
          <t>900003849</t>
        </is>
      </c>
      <c r="C112" t="inlineStr">
        <is>
          <t>DW81</t>
        </is>
      </c>
      <c r="D112" t="inlineStr">
        <is>
          <t>D148</t>
        </is>
      </c>
      <c r="E112" t="inlineStr">
        <is>
          <t>4</t>
        </is>
      </c>
      <c r="F112" t="inlineStr">
        <is>
          <t>10000624</t>
        </is>
      </c>
      <c r="H112" t="inlineStr"/>
      <c r="J112" t="n">
        <v>60.78</v>
      </c>
      <c r="K112" t="inlineStr"/>
      <c r="M112" t="inlineStr">
        <is>
          <t>TN</t>
        </is>
      </c>
      <c r="N112" t="inlineStr"/>
      <c r="P112" t="inlineStr">
        <is>
          <t>20250301</t>
        </is>
      </c>
      <c r="Q112" t="inlineStr">
        <is>
          <t>99991231</t>
        </is>
      </c>
    </row>
    <row r="113">
      <c r="A113" t="inlineStr">
        <is>
          <t>900003849DW81D14910000404</t>
        </is>
      </c>
      <c r="B113" t="inlineStr">
        <is>
          <t>900003849</t>
        </is>
      </c>
      <c r="C113" t="inlineStr">
        <is>
          <t>DW81</t>
        </is>
      </c>
      <c r="D113" t="inlineStr">
        <is>
          <t>D149</t>
        </is>
      </c>
      <c r="E113" t="inlineStr">
        <is>
          <t>4</t>
        </is>
      </c>
      <c r="F113" t="inlineStr">
        <is>
          <t>10000404</t>
        </is>
      </c>
      <c r="H113" t="inlineStr"/>
      <c r="J113" t="n">
        <v>389.24</v>
      </c>
      <c r="K113" t="inlineStr"/>
      <c r="M113" t="inlineStr">
        <is>
          <t>TN</t>
        </is>
      </c>
      <c r="N113" t="inlineStr"/>
      <c r="P113" t="inlineStr">
        <is>
          <t>20250301</t>
        </is>
      </c>
      <c r="Q113" t="inlineStr">
        <is>
          <t>99991231</t>
        </is>
      </c>
    </row>
    <row r="114">
      <c r="A114" t="inlineStr">
        <is>
          <t>900003849DW81D14910000572</t>
        </is>
      </c>
      <c r="B114" t="inlineStr">
        <is>
          <t>900003849</t>
        </is>
      </c>
      <c r="C114" t="inlineStr">
        <is>
          <t>DW81</t>
        </is>
      </c>
      <c r="D114" t="inlineStr">
        <is>
          <t>D149</t>
        </is>
      </c>
      <c r="E114" t="inlineStr">
        <is>
          <t>4</t>
        </is>
      </c>
      <c r="F114" t="inlineStr">
        <is>
          <t>10000572</t>
        </is>
      </c>
      <c r="H114" t="inlineStr"/>
      <c r="J114" t="n">
        <v>389.24</v>
      </c>
      <c r="K114" t="inlineStr"/>
      <c r="M114" t="inlineStr">
        <is>
          <t>TN</t>
        </is>
      </c>
      <c r="N114" t="inlineStr"/>
      <c r="P114" t="inlineStr">
        <is>
          <t>20250301</t>
        </is>
      </c>
      <c r="Q114" t="inlineStr">
        <is>
          <t>99991231</t>
        </is>
      </c>
    </row>
    <row r="115">
      <c r="A115" t="inlineStr">
        <is>
          <t>900003849DW81D14910000624</t>
        </is>
      </c>
      <c r="B115" t="inlineStr">
        <is>
          <t>900003849</t>
        </is>
      </c>
      <c r="C115" t="inlineStr">
        <is>
          <t>DW81</t>
        </is>
      </c>
      <c r="D115" t="inlineStr">
        <is>
          <t>D149</t>
        </is>
      </c>
      <c r="E115" t="inlineStr">
        <is>
          <t>4</t>
        </is>
      </c>
      <c r="F115" t="inlineStr">
        <is>
          <t>10000624</t>
        </is>
      </c>
      <c r="H115" t="inlineStr"/>
      <c r="J115" t="n">
        <v>389.24</v>
      </c>
      <c r="K115" t="inlineStr"/>
      <c r="M115" t="inlineStr">
        <is>
          <t>TN</t>
        </is>
      </c>
      <c r="N115" t="inlineStr"/>
      <c r="P115" t="inlineStr">
        <is>
          <t>20250301</t>
        </is>
      </c>
      <c r="Q115" t="inlineStr">
        <is>
          <t>99991231</t>
        </is>
      </c>
    </row>
    <row r="116">
      <c r="A116" t="inlineStr">
        <is>
          <t>900003849DW81D17110000404</t>
        </is>
      </c>
      <c r="B116" t="inlineStr">
        <is>
          <t>900003849</t>
        </is>
      </c>
      <c r="C116" t="inlineStr">
        <is>
          <t>DW81</t>
        </is>
      </c>
      <c r="D116" t="inlineStr">
        <is>
          <t>D171</t>
        </is>
      </c>
      <c r="E116" t="inlineStr">
        <is>
          <t>4</t>
        </is>
      </c>
      <c r="F116" t="inlineStr">
        <is>
          <t>10000404</t>
        </is>
      </c>
      <c r="H116" t="inlineStr"/>
      <c r="J116" t="n">
        <v>321.78</v>
      </c>
      <c r="K116" t="inlineStr"/>
      <c r="M116" t="inlineStr">
        <is>
          <t>TN</t>
        </is>
      </c>
      <c r="N116" t="inlineStr"/>
      <c r="P116" t="inlineStr">
        <is>
          <t>20250301</t>
        </is>
      </c>
      <c r="Q116" t="inlineStr">
        <is>
          <t>99991231</t>
        </is>
      </c>
    </row>
    <row r="117">
      <c r="A117" t="inlineStr">
        <is>
          <t>900003849DW81D17110000572</t>
        </is>
      </c>
      <c r="B117" t="inlineStr">
        <is>
          <t>900003849</t>
        </is>
      </c>
      <c r="C117" t="inlineStr">
        <is>
          <t>DW81</t>
        </is>
      </c>
      <c r="D117" t="inlineStr">
        <is>
          <t>D171</t>
        </is>
      </c>
      <c r="E117" t="inlineStr">
        <is>
          <t>4</t>
        </is>
      </c>
      <c r="F117" t="inlineStr">
        <is>
          <t>10000572</t>
        </is>
      </c>
      <c r="H117" t="inlineStr"/>
      <c r="J117" t="n">
        <v>315.23</v>
      </c>
      <c r="K117" t="inlineStr"/>
      <c r="M117" t="inlineStr">
        <is>
          <t>TN</t>
        </is>
      </c>
      <c r="N117" t="inlineStr"/>
      <c r="P117" t="inlineStr">
        <is>
          <t>20250301</t>
        </is>
      </c>
      <c r="Q117" t="inlineStr">
        <is>
          <t>99991231</t>
        </is>
      </c>
    </row>
    <row r="118">
      <c r="A118" t="inlineStr">
        <is>
          <t>900003849DW81D17110000624</t>
        </is>
      </c>
      <c r="B118" t="inlineStr">
        <is>
          <t>900003849</t>
        </is>
      </c>
      <c r="C118" t="inlineStr">
        <is>
          <t>DW81</t>
        </is>
      </c>
      <c r="D118" t="inlineStr">
        <is>
          <t>D171</t>
        </is>
      </c>
      <c r="E118" t="inlineStr">
        <is>
          <t>4</t>
        </is>
      </c>
      <c r="F118" t="inlineStr">
        <is>
          <t>10000624</t>
        </is>
      </c>
      <c r="H118" t="inlineStr"/>
      <c r="J118" t="n">
        <v>321.78</v>
      </c>
      <c r="K118" t="inlineStr"/>
      <c r="M118" t="inlineStr">
        <is>
          <t>TN</t>
        </is>
      </c>
      <c r="N118" t="inlineStr"/>
      <c r="P118" t="inlineStr">
        <is>
          <t>20250301</t>
        </is>
      </c>
      <c r="Q118" t="inlineStr">
        <is>
          <t>99991231</t>
        </is>
      </c>
    </row>
    <row r="119">
      <c r="A119" t="inlineStr">
        <is>
          <t>900003849DW81D17110000859</t>
        </is>
      </c>
      <c r="B119" t="inlineStr">
        <is>
          <t>900003849</t>
        </is>
      </c>
      <c r="C119" t="inlineStr">
        <is>
          <t>DW81</t>
        </is>
      </c>
      <c r="D119" t="inlineStr">
        <is>
          <t>D171</t>
        </is>
      </c>
      <c r="E119" t="inlineStr">
        <is>
          <t>4</t>
        </is>
      </c>
      <c r="F119" t="inlineStr">
        <is>
          <t>10000859</t>
        </is>
      </c>
      <c r="H119" t="inlineStr"/>
      <c r="J119" t="n">
        <v>277</v>
      </c>
      <c r="K119" t="inlineStr"/>
      <c r="M119" t="inlineStr">
        <is>
          <t>TN</t>
        </is>
      </c>
      <c r="N119" t="inlineStr"/>
      <c r="P119" t="inlineStr">
        <is>
          <t>20230125</t>
        </is>
      </c>
      <c r="Q119" t="inlineStr">
        <is>
          <t>99991231</t>
        </is>
      </c>
    </row>
    <row r="120">
      <c r="A120" t="inlineStr">
        <is>
          <t>900003908DW81D14910000019</t>
        </is>
      </c>
      <c r="B120" t="inlineStr">
        <is>
          <t>900003908</t>
        </is>
      </c>
      <c r="C120" t="inlineStr">
        <is>
          <t>DW81</t>
        </is>
      </c>
      <c r="D120" t="inlineStr">
        <is>
          <t>D149</t>
        </is>
      </c>
      <c r="E120" t="inlineStr">
        <is>
          <t>1</t>
        </is>
      </c>
      <c r="F120" t="inlineStr">
        <is>
          <t>10000019</t>
        </is>
      </c>
      <c r="H120" t="inlineStr"/>
      <c r="J120" t="n">
        <v>19.79</v>
      </c>
      <c r="K120" t="inlineStr"/>
      <c r="M120" t="inlineStr">
        <is>
          <t>TN</t>
        </is>
      </c>
      <c r="N120" t="inlineStr"/>
      <c r="P120" t="inlineStr">
        <is>
          <t>20210620</t>
        </is>
      </c>
      <c r="Q120" t="inlineStr">
        <is>
          <t>99991231</t>
        </is>
      </c>
    </row>
    <row r="121">
      <c r="A121" t="inlineStr">
        <is>
          <t>900003908DW81D14910000041</t>
        </is>
      </c>
      <c r="B121" t="inlineStr">
        <is>
          <t>900003908</t>
        </is>
      </c>
      <c r="C121" t="inlineStr">
        <is>
          <t>DW81</t>
        </is>
      </c>
      <c r="D121" t="inlineStr">
        <is>
          <t>D149</t>
        </is>
      </c>
      <c r="E121" t="inlineStr">
        <is>
          <t>1</t>
        </is>
      </c>
      <c r="F121" t="inlineStr">
        <is>
          <t>10000041</t>
        </is>
      </c>
      <c r="H121" t="inlineStr"/>
      <c r="J121" t="n">
        <v>19.79</v>
      </c>
      <c r="K121" t="inlineStr"/>
      <c r="M121" t="inlineStr">
        <is>
          <t>TN</t>
        </is>
      </c>
      <c r="N121" t="inlineStr"/>
      <c r="P121" t="inlineStr">
        <is>
          <t>20210620</t>
        </is>
      </c>
      <c r="Q121" t="inlineStr">
        <is>
          <t>99991231</t>
        </is>
      </c>
    </row>
    <row r="122">
      <c r="A122" t="inlineStr">
        <is>
          <t>900003988DW81D14810031155</t>
        </is>
      </c>
      <c r="B122" t="inlineStr">
        <is>
          <t>900003988</t>
        </is>
      </c>
      <c r="C122" t="inlineStr">
        <is>
          <t>DW81</t>
        </is>
      </c>
      <c r="D122" t="inlineStr">
        <is>
          <t>D148</t>
        </is>
      </c>
      <c r="E122" t="inlineStr">
        <is>
          <t>4</t>
        </is>
      </c>
      <c r="F122" t="inlineStr">
        <is>
          <t>10031155</t>
        </is>
      </c>
      <c r="H122" t="inlineStr"/>
      <c r="J122" t="n">
        <v>20</v>
      </c>
      <c r="K122" t="inlineStr"/>
      <c r="M122" t="inlineStr">
        <is>
          <t>TN</t>
        </is>
      </c>
      <c r="N122" t="inlineStr"/>
      <c r="P122" t="inlineStr">
        <is>
          <t>20210620</t>
        </is>
      </c>
      <c r="Q122" t="inlineStr">
        <is>
          <t>99991231</t>
        </is>
      </c>
    </row>
    <row r="123">
      <c r="A123" t="inlineStr">
        <is>
          <t>900003988DW81D14810031158</t>
        </is>
      </c>
      <c r="B123" t="inlineStr">
        <is>
          <t>900003988</t>
        </is>
      </c>
      <c r="C123" t="inlineStr">
        <is>
          <t>DW81</t>
        </is>
      </c>
      <c r="D123" t="inlineStr">
        <is>
          <t>D148</t>
        </is>
      </c>
      <c r="E123" t="inlineStr">
        <is>
          <t>4</t>
        </is>
      </c>
      <c r="F123" t="inlineStr">
        <is>
          <t>10031158</t>
        </is>
      </c>
      <c r="H123" t="inlineStr"/>
      <c r="J123" t="n">
        <v>20</v>
      </c>
      <c r="K123" t="inlineStr"/>
      <c r="M123" t="inlineStr">
        <is>
          <t>TN</t>
        </is>
      </c>
      <c r="N123" t="inlineStr"/>
      <c r="P123" t="inlineStr">
        <is>
          <t>20210620</t>
        </is>
      </c>
      <c r="Q123" t="inlineStr">
        <is>
          <t>99991231</t>
        </is>
      </c>
    </row>
    <row r="124">
      <c r="A124" t="inlineStr">
        <is>
          <t>900004091DW81D17110066103</t>
        </is>
      </c>
      <c r="B124" t="inlineStr">
        <is>
          <t>900004091</t>
        </is>
      </c>
      <c r="C124" t="inlineStr">
        <is>
          <t>DW81</t>
        </is>
      </c>
      <c r="D124" t="inlineStr">
        <is>
          <t>D171</t>
        </is>
      </c>
      <c r="E124" t="inlineStr">
        <is>
          <t>4</t>
        </is>
      </c>
      <c r="F124" t="inlineStr">
        <is>
          <t>10066103</t>
        </is>
      </c>
      <c r="H124" t="inlineStr"/>
      <c r="J124" t="n">
        <v>100</v>
      </c>
      <c r="K124" t="inlineStr"/>
      <c r="M124" t="inlineStr">
        <is>
          <t>TN</t>
        </is>
      </c>
      <c r="N124" t="inlineStr"/>
      <c r="P124" t="inlineStr">
        <is>
          <t>20210620</t>
        </is>
      </c>
      <c r="Q124" t="inlineStr">
        <is>
          <t>20251031</t>
        </is>
      </c>
    </row>
    <row r="125">
      <c r="A125" t="inlineStr">
        <is>
          <t>900004125DW81D19510002043</t>
        </is>
      </c>
      <c r="B125" t="inlineStr">
        <is>
          <t>900004125</t>
        </is>
      </c>
      <c r="C125" t="inlineStr">
        <is>
          <t>DW81</t>
        </is>
      </c>
      <c r="D125" t="inlineStr">
        <is>
          <t>D195</t>
        </is>
      </c>
      <c r="E125" t="inlineStr">
        <is>
          <t>1</t>
        </is>
      </c>
      <c r="F125" t="inlineStr">
        <is>
          <t>10002043</t>
        </is>
      </c>
      <c r="H125" t="inlineStr"/>
      <c r="J125" t="n">
        <v>235.29</v>
      </c>
      <c r="K125" t="inlineStr"/>
      <c r="M125" t="inlineStr">
        <is>
          <t>TN</t>
        </is>
      </c>
      <c r="N125" t="inlineStr"/>
      <c r="P125" t="inlineStr">
        <is>
          <t>20220201</t>
        </is>
      </c>
      <c r="Q125" t="inlineStr">
        <is>
          <t>99991231</t>
        </is>
      </c>
    </row>
    <row r="126">
      <c r="A126" t="inlineStr">
        <is>
          <t>900004125DW81D19510067273</t>
        </is>
      </c>
      <c r="B126" t="inlineStr">
        <is>
          <t>900004125</t>
        </is>
      </c>
      <c r="C126" t="inlineStr">
        <is>
          <t>DW81</t>
        </is>
      </c>
      <c r="D126" t="inlineStr">
        <is>
          <t>D195</t>
        </is>
      </c>
      <c r="E126" t="inlineStr">
        <is>
          <t>1</t>
        </is>
      </c>
      <c r="F126" t="inlineStr">
        <is>
          <t>10067273</t>
        </is>
      </c>
      <c r="H126" t="inlineStr"/>
      <c r="J126" t="n">
        <v>235.29</v>
      </c>
      <c r="K126" t="inlineStr"/>
      <c r="M126" t="inlineStr">
        <is>
          <t>TN</t>
        </is>
      </c>
      <c r="N126" t="inlineStr"/>
      <c r="P126" t="inlineStr">
        <is>
          <t>20210727</t>
        </is>
      </c>
      <c r="Q126" t="inlineStr">
        <is>
          <t>99991231</t>
        </is>
      </c>
    </row>
    <row r="127">
      <c r="A127" t="inlineStr">
        <is>
          <t>900004125DW81D19510067274</t>
        </is>
      </c>
      <c r="B127" t="inlineStr">
        <is>
          <t>900004125</t>
        </is>
      </c>
      <c r="C127" t="inlineStr">
        <is>
          <t>DW81</t>
        </is>
      </c>
      <c r="D127" t="inlineStr">
        <is>
          <t>D195</t>
        </is>
      </c>
      <c r="E127" t="inlineStr">
        <is>
          <t>1</t>
        </is>
      </c>
      <c r="F127" t="inlineStr">
        <is>
          <t>10067274</t>
        </is>
      </c>
      <c r="H127" t="inlineStr"/>
      <c r="J127" t="n">
        <v>235.29</v>
      </c>
      <c r="K127" t="inlineStr"/>
      <c r="M127" t="inlineStr">
        <is>
          <t>TN</t>
        </is>
      </c>
      <c r="N127" t="inlineStr"/>
      <c r="P127" t="inlineStr">
        <is>
          <t>20210727</t>
        </is>
      </c>
      <c r="Q127" t="inlineStr">
        <is>
          <t>99991231</t>
        </is>
      </c>
    </row>
    <row r="128">
      <c r="A128" t="inlineStr">
        <is>
          <t>900004409DW81D14910066103</t>
        </is>
      </c>
      <c r="B128" t="inlineStr">
        <is>
          <t>900004409</t>
        </is>
      </c>
      <c r="C128" t="inlineStr">
        <is>
          <t>DW81</t>
        </is>
      </c>
      <c r="D128" t="inlineStr">
        <is>
          <t>D149</t>
        </is>
      </c>
      <c r="E128" t="inlineStr">
        <is>
          <t>1</t>
        </is>
      </c>
      <c r="F128" t="inlineStr">
        <is>
          <t>10066103</t>
        </is>
      </c>
      <c r="H128" t="inlineStr"/>
      <c r="J128" t="n">
        <v>19.79</v>
      </c>
      <c r="K128" t="inlineStr"/>
      <c r="M128" t="inlineStr">
        <is>
          <t>TN</t>
        </is>
      </c>
      <c r="N128" t="inlineStr"/>
      <c r="P128" t="inlineStr">
        <is>
          <t>20210620</t>
        </is>
      </c>
      <c r="Q128" t="inlineStr">
        <is>
          <t>99991231</t>
        </is>
      </c>
    </row>
    <row r="129">
      <c r="A129" t="inlineStr">
        <is>
          <t>900004721DW81D14810000407</t>
        </is>
      </c>
      <c r="B129" t="inlineStr">
        <is>
          <t>900004721</t>
        </is>
      </c>
      <c r="C129" t="inlineStr">
        <is>
          <t>DW81</t>
        </is>
      </c>
      <c r="D129" t="inlineStr">
        <is>
          <t>D148</t>
        </is>
      </c>
      <c r="E129" t="inlineStr">
        <is>
          <t>4</t>
        </is>
      </c>
      <c r="F129" t="inlineStr">
        <is>
          <t>10000407</t>
        </is>
      </c>
      <c r="H129" t="inlineStr"/>
      <c r="J129" t="n">
        <v>62</v>
      </c>
      <c r="K129" t="inlineStr"/>
      <c r="M129" t="inlineStr">
        <is>
          <t>TN</t>
        </is>
      </c>
      <c r="N129" t="inlineStr"/>
      <c r="P129" t="inlineStr">
        <is>
          <t>20210620</t>
        </is>
      </c>
      <c r="Q129" t="inlineStr">
        <is>
          <t>20251031</t>
        </is>
      </c>
    </row>
    <row r="130">
      <c r="A130" t="inlineStr">
        <is>
          <t>900004721DW81D14810000430</t>
        </is>
      </c>
      <c r="B130" t="inlineStr">
        <is>
          <t>900004721</t>
        </is>
      </c>
      <c r="C130" t="inlineStr">
        <is>
          <t>DW81</t>
        </is>
      </c>
      <c r="D130" t="inlineStr">
        <is>
          <t>D148</t>
        </is>
      </c>
      <c r="E130" t="inlineStr">
        <is>
          <t>4</t>
        </is>
      </c>
      <c r="F130" t="inlineStr">
        <is>
          <t>10000430</t>
        </is>
      </c>
      <c r="H130" t="inlineStr"/>
      <c r="J130" t="n">
        <v>62</v>
      </c>
      <c r="K130" t="inlineStr"/>
      <c r="M130" t="inlineStr">
        <is>
          <t>TN</t>
        </is>
      </c>
      <c r="N130" t="inlineStr"/>
      <c r="P130" t="inlineStr">
        <is>
          <t>20210620</t>
        </is>
      </c>
      <c r="Q130" t="inlineStr">
        <is>
          <t>20251031</t>
        </is>
      </c>
    </row>
    <row r="131">
      <c r="A131" t="inlineStr">
        <is>
          <t>900004721DW81D14810000624</t>
        </is>
      </c>
      <c r="B131" t="inlineStr">
        <is>
          <t>900004721</t>
        </is>
      </c>
      <c r="C131" t="inlineStr">
        <is>
          <t>DW81</t>
        </is>
      </c>
      <c r="D131" t="inlineStr">
        <is>
          <t>D148</t>
        </is>
      </c>
      <c r="E131" t="inlineStr">
        <is>
          <t>4</t>
        </is>
      </c>
      <c r="F131" t="inlineStr">
        <is>
          <t>10000624</t>
        </is>
      </c>
      <c r="H131" t="inlineStr"/>
      <c r="J131" t="n">
        <v>62</v>
      </c>
      <c r="K131" t="inlineStr"/>
      <c r="M131" t="inlineStr">
        <is>
          <t>TN</t>
        </is>
      </c>
      <c r="N131" t="inlineStr"/>
      <c r="P131" t="inlineStr">
        <is>
          <t>20210620</t>
        </is>
      </c>
      <c r="Q131" t="inlineStr">
        <is>
          <t>20251031</t>
        </is>
      </c>
    </row>
    <row r="132">
      <c r="A132" t="inlineStr">
        <is>
          <t>900004721DW81D14810132162</t>
        </is>
      </c>
      <c r="B132" t="inlineStr">
        <is>
          <t>900004721</t>
        </is>
      </c>
      <c r="C132" t="inlineStr">
        <is>
          <t>DW81</t>
        </is>
      </c>
      <c r="D132" t="inlineStr">
        <is>
          <t>D148</t>
        </is>
      </c>
      <c r="E132" t="inlineStr">
        <is>
          <t>4</t>
        </is>
      </c>
      <c r="F132" t="inlineStr">
        <is>
          <t>10132162</t>
        </is>
      </c>
      <c r="H132" t="inlineStr"/>
      <c r="J132" t="n">
        <v>62</v>
      </c>
      <c r="K132" t="inlineStr"/>
      <c r="M132" t="inlineStr">
        <is>
          <t>TN</t>
        </is>
      </c>
      <c r="N132" t="inlineStr"/>
      <c r="P132" t="inlineStr">
        <is>
          <t>20210620</t>
        </is>
      </c>
      <c r="Q132" t="inlineStr">
        <is>
          <t>20251031</t>
        </is>
      </c>
    </row>
    <row r="133">
      <c r="A133" t="inlineStr">
        <is>
          <t>900004721DW81D14910000430</t>
        </is>
      </c>
      <c r="B133" t="inlineStr">
        <is>
          <t>900004721</t>
        </is>
      </c>
      <c r="C133" t="inlineStr">
        <is>
          <t>DW81</t>
        </is>
      </c>
      <c r="D133" t="inlineStr">
        <is>
          <t>D149</t>
        </is>
      </c>
      <c r="E133" t="inlineStr">
        <is>
          <t>4</t>
        </is>
      </c>
      <c r="F133" t="inlineStr">
        <is>
          <t>10000430</t>
        </is>
      </c>
      <c r="H133" t="inlineStr"/>
      <c r="J133" t="n">
        <v>348</v>
      </c>
      <c r="K133" t="inlineStr"/>
      <c r="M133" t="inlineStr">
        <is>
          <t>TN</t>
        </is>
      </c>
      <c r="N133" t="inlineStr"/>
      <c r="P133" t="inlineStr">
        <is>
          <t>20210620</t>
        </is>
      </c>
      <c r="Q133" t="inlineStr">
        <is>
          <t>20251031</t>
        </is>
      </c>
    </row>
    <row r="134">
      <c r="A134" t="inlineStr">
        <is>
          <t>900004721DW81D14910000624</t>
        </is>
      </c>
      <c r="B134" t="inlineStr">
        <is>
          <t>900004721</t>
        </is>
      </c>
      <c r="C134" t="inlineStr">
        <is>
          <t>DW81</t>
        </is>
      </c>
      <c r="D134" t="inlineStr">
        <is>
          <t>D149</t>
        </is>
      </c>
      <c r="E134" t="inlineStr">
        <is>
          <t>4</t>
        </is>
      </c>
      <c r="F134" t="inlineStr">
        <is>
          <t>10000624</t>
        </is>
      </c>
      <c r="H134" t="inlineStr"/>
      <c r="J134" t="n">
        <v>348</v>
      </c>
      <c r="K134" t="inlineStr"/>
      <c r="M134" t="inlineStr">
        <is>
          <t>TN</t>
        </is>
      </c>
      <c r="N134" t="inlineStr"/>
      <c r="P134" t="inlineStr">
        <is>
          <t>20210620</t>
        </is>
      </c>
      <c r="Q134" t="inlineStr">
        <is>
          <t>20251031</t>
        </is>
      </c>
    </row>
    <row r="135">
      <c r="A135" t="inlineStr">
        <is>
          <t>900004721DW81D14910000859</t>
        </is>
      </c>
      <c r="B135" t="inlineStr">
        <is>
          <t>900004721</t>
        </is>
      </c>
      <c r="C135" t="inlineStr">
        <is>
          <t>DW81</t>
        </is>
      </c>
      <c r="D135" t="inlineStr">
        <is>
          <t>D149</t>
        </is>
      </c>
      <c r="E135" t="inlineStr">
        <is>
          <t>4</t>
        </is>
      </c>
      <c r="F135" t="inlineStr">
        <is>
          <t>10000859</t>
        </is>
      </c>
      <c r="H135" t="inlineStr"/>
      <c r="J135" t="n">
        <v>348</v>
      </c>
      <c r="K135" t="inlineStr"/>
      <c r="M135" t="inlineStr">
        <is>
          <t>TN</t>
        </is>
      </c>
      <c r="N135" t="inlineStr"/>
      <c r="P135" t="inlineStr">
        <is>
          <t>20210620</t>
        </is>
      </c>
      <c r="Q135" t="inlineStr">
        <is>
          <t>20251031</t>
        </is>
      </c>
    </row>
    <row r="136">
      <c r="A136" t="inlineStr">
        <is>
          <t>900004721DW81D14910132162</t>
        </is>
      </c>
      <c r="B136" t="inlineStr">
        <is>
          <t>900004721</t>
        </is>
      </c>
      <c r="C136" t="inlineStr">
        <is>
          <t>DW81</t>
        </is>
      </c>
      <c r="D136" t="inlineStr">
        <is>
          <t>D149</t>
        </is>
      </c>
      <c r="E136" t="inlineStr">
        <is>
          <t>4</t>
        </is>
      </c>
      <c r="F136" t="inlineStr">
        <is>
          <t>10132162</t>
        </is>
      </c>
      <c r="H136" t="inlineStr"/>
      <c r="J136" t="n">
        <v>348</v>
      </c>
      <c r="K136" t="inlineStr"/>
      <c r="M136" t="inlineStr">
        <is>
          <t>TN</t>
        </is>
      </c>
      <c r="N136" t="inlineStr"/>
      <c r="P136" t="inlineStr">
        <is>
          <t>20210620</t>
        </is>
      </c>
      <c r="Q136" t="inlineStr">
        <is>
          <t>20251031</t>
        </is>
      </c>
    </row>
    <row r="137">
      <c r="A137" t="inlineStr">
        <is>
          <t>900004721DW81D17110000430</t>
        </is>
      </c>
      <c r="B137" t="inlineStr">
        <is>
          <t>900004721</t>
        </is>
      </c>
      <c r="C137" t="inlineStr">
        <is>
          <t>DW81</t>
        </is>
      </c>
      <c r="D137" t="inlineStr">
        <is>
          <t>D171</t>
        </is>
      </c>
      <c r="E137" t="inlineStr">
        <is>
          <t>4</t>
        </is>
      </c>
      <c r="F137" t="inlineStr">
        <is>
          <t>10000430</t>
        </is>
      </c>
      <c r="H137" t="inlineStr"/>
      <c r="J137" t="n">
        <v>293</v>
      </c>
      <c r="K137" t="inlineStr"/>
      <c r="M137" t="inlineStr">
        <is>
          <t>TN</t>
        </is>
      </c>
      <c r="N137" t="inlineStr"/>
      <c r="P137" t="inlineStr">
        <is>
          <t>20210620</t>
        </is>
      </c>
      <c r="Q137" t="inlineStr">
        <is>
          <t>20251031</t>
        </is>
      </c>
    </row>
    <row r="138">
      <c r="A138" t="inlineStr">
        <is>
          <t>900004721DW81D17110000624</t>
        </is>
      </c>
      <c r="B138" t="inlineStr">
        <is>
          <t>900004721</t>
        </is>
      </c>
      <c r="C138" t="inlineStr">
        <is>
          <t>DW81</t>
        </is>
      </c>
      <c r="D138" t="inlineStr">
        <is>
          <t>D171</t>
        </is>
      </c>
      <c r="E138" t="inlineStr">
        <is>
          <t>4</t>
        </is>
      </c>
      <c r="F138" t="inlineStr">
        <is>
          <t>10000624</t>
        </is>
      </c>
      <c r="H138" t="inlineStr"/>
      <c r="J138" t="n">
        <v>293</v>
      </c>
      <c r="K138" t="inlineStr"/>
      <c r="M138" t="inlineStr">
        <is>
          <t>TN</t>
        </is>
      </c>
      <c r="N138" t="inlineStr"/>
      <c r="P138" t="inlineStr">
        <is>
          <t>20210620</t>
        </is>
      </c>
      <c r="Q138" t="inlineStr">
        <is>
          <t>20251031</t>
        </is>
      </c>
    </row>
    <row r="139">
      <c r="A139" t="inlineStr">
        <is>
          <t>900004721DW81D17110000859</t>
        </is>
      </c>
      <c r="B139" t="inlineStr">
        <is>
          <t>900004721</t>
        </is>
      </c>
      <c r="C139" t="inlineStr">
        <is>
          <t>DW81</t>
        </is>
      </c>
      <c r="D139" t="inlineStr">
        <is>
          <t>D171</t>
        </is>
      </c>
      <c r="E139" t="inlineStr">
        <is>
          <t>4</t>
        </is>
      </c>
      <c r="F139" t="inlineStr">
        <is>
          <t>10000859</t>
        </is>
      </c>
      <c r="H139" t="inlineStr"/>
      <c r="J139" t="n">
        <v>293</v>
      </c>
      <c r="K139" t="inlineStr"/>
      <c r="M139" t="inlineStr">
        <is>
          <t>TN</t>
        </is>
      </c>
      <c r="N139" t="inlineStr"/>
      <c r="P139" t="inlineStr">
        <is>
          <t>20210620</t>
        </is>
      </c>
      <c r="Q139" t="inlineStr">
        <is>
          <t>20251031</t>
        </is>
      </c>
    </row>
    <row r="140">
      <c r="A140" t="inlineStr">
        <is>
          <t>900004721DW81D17110132162</t>
        </is>
      </c>
      <c r="B140" t="inlineStr">
        <is>
          <t>900004721</t>
        </is>
      </c>
      <c r="C140" t="inlineStr">
        <is>
          <t>DW81</t>
        </is>
      </c>
      <c r="D140" t="inlineStr">
        <is>
          <t>D171</t>
        </is>
      </c>
      <c r="E140" t="inlineStr">
        <is>
          <t>4</t>
        </is>
      </c>
      <c r="F140" t="inlineStr">
        <is>
          <t>10132162</t>
        </is>
      </c>
      <c r="H140" t="inlineStr"/>
      <c r="J140" t="n">
        <v>293</v>
      </c>
      <c r="K140" t="inlineStr"/>
      <c r="M140" t="inlineStr">
        <is>
          <t>TN</t>
        </is>
      </c>
      <c r="N140" t="inlineStr"/>
      <c r="P140" t="inlineStr">
        <is>
          <t>20210620</t>
        </is>
      </c>
      <c r="Q140" t="inlineStr">
        <is>
          <t>20251031</t>
        </is>
      </c>
    </row>
    <row r="141">
      <c r="A141" t="inlineStr">
        <is>
          <t>900005855DW81D17110160627</t>
        </is>
      </c>
      <c r="B141" t="inlineStr">
        <is>
          <t>900005855</t>
        </is>
      </c>
      <c r="C141" t="inlineStr">
        <is>
          <t>DW81</t>
        </is>
      </c>
      <c r="D141" t="inlineStr">
        <is>
          <t>D171</t>
        </is>
      </c>
      <c r="E141" t="inlineStr">
        <is>
          <t>4</t>
        </is>
      </c>
      <c r="F141" t="inlineStr">
        <is>
          <t>10160627</t>
        </is>
      </c>
      <c r="H141" t="inlineStr"/>
      <c r="J141" t="n">
        <v>1870</v>
      </c>
      <c r="K141" t="inlineStr"/>
      <c r="M141" t="inlineStr">
        <is>
          <t>TN</t>
        </is>
      </c>
      <c r="N141" t="inlineStr"/>
      <c r="P141" t="inlineStr">
        <is>
          <t>20231023</t>
        </is>
      </c>
      <c r="Q141" t="inlineStr">
        <is>
          <t>99991231</t>
        </is>
      </c>
    </row>
    <row r="142">
      <c r="A142" t="inlineStr">
        <is>
          <t>900007996DW81D14910132162</t>
        </is>
      </c>
      <c r="B142" t="inlineStr">
        <is>
          <t>900007996</t>
        </is>
      </c>
      <c r="C142" t="inlineStr">
        <is>
          <t>DW81</t>
        </is>
      </c>
      <c r="D142" t="inlineStr">
        <is>
          <t>D149</t>
        </is>
      </c>
      <c r="E142" t="inlineStr">
        <is>
          <t>4</t>
        </is>
      </c>
      <c r="F142" t="inlineStr">
        <is>
          <t>10132162</t>
        </is>
      </c>
      <c r="H142" t="inlineStr"/>
      <c r="J142" t="n">
        <v>160.07</v>
      </c>
      <c r="K142" t="inlineStr"/>
      <c r="M142" t="inlineStr">
        <is>
          <t>TN</t>
        </is>
      </c>
      <c r="N142" t="inlineStr"/>
      <c r="P142" t="inlineStr">
        <is>
          <t>20210620</t>
        </is>
      </c>
      <c r="Q142" t="inlineStr">
        <is>
          <t>20251031</t>
        </is>
      </c>
    </row>
    <row r="143">
      <c r="A143" t="inlineStr">
        <is>
          <t>900007996DW81D17110000430</t>
        </is>
      </c>
      <c r="B143" t="inlineStr">
        <is>
          <t>900007996</t>
        </is>
      </c>
      <c r="C143" t="inlineStr">
        <is>
          <t>DW81</t>
        </is>
      </c>
      <c r="D143" t="inlineStr">
        <is>
          <t>D171</t>
        </is>
      </c>
      <c r="E143" t="inlineStr">
        <is>
          <t>4</t>
        </is>
      </c>
      <c r="F143" t="inlineStr">
        <is>
          <t>10000430</t>
        </is>
      </c>
      <c r="H143" t="inlineStr"/>
      <c r="J143" t="n">
        <v>106.67</v>
      </c>
      <c r="K143" t="inlineStr"/>
      <c r="M143" t="inlineStr">
        <is>
          <t>TN</t>
        </is>
      </c>
      <c r="N143" t="inlineStr"/>
      <c r="P143" t="inlineStr">
        <is>
          <t>20210620</t>
        </is>
      </c>
      <c r="Q143" t="inlineStr">
        <is>
          <t>20251031</t>
        </is>
      </c>
    </row>
    <row r="144">
      <c r="A144" t="inlineStr">
        <is>
          <t>900007996DW81D17110132162</t>
        </is>
      </c>
      <c r="B144" t="inlineStr">
        <is>
          <t>900007996</t>
        </is>
      </c>
      <c r="C144" t="inlineStr">
        <is>
          <t>DW81</t>
        </is>
      </c>
      <c r="D144" t="inlineStr">
        <is>
          <t>D171</t>
        </is>
      </c>
      <c r="E144" t="inlineStr">
        <is>
          <t>4</t>
        </is>
      </c>
      <c r="F144" t="inlineStr">
        <is>
          <t>10132162</t>
        </is>
      </c>
      <c r="H144" t="inlineStr"/>
      <c r="J144" t="n">
        <v>99.5</v>
      </c>
      <c r="K144" t="inlineStr"/>
      <c r="M144" t="inlineStr">
        <is>
          <t>TN</t>
        </is>
      </c>
      <c r="N144" t="inlineStr"/>
      <c r="P144" t="inlineStr">
        <is>
          <t>20210620</t>
        </is>
      </c>
      <c r="Q144" t="inlineStr">
        <is>
          <t>20251031</t>
        </is>
      </c>
    </row>
    <row r="145">
      <c r="A145" t="inlineStr">
        <is>
          <t>900007997DW81D14910000166</t>
        </is>
      </c>
      <c r="B145" t="inlineStr">
        <is>
          <t>900007997</t>
        </is>
      </c>
      <c r="C145" t="inlineStr">
        <is>
          <t>DW81</t>
        </is>
      </c>
      <c r="D145" t="inlineStr">
        <is>
          <t>D149</t>
        </is>
      </c>
      <c r="E145" t="inlineStr">
        <is>
          <t>4</t>
        </is>
      </c>
      <c r="F145" t="inlineStr">
        <is>
          <t>10000166</t>
        </is>
      </c>
      <c r="H145" t="inlineStr"/>
      <c r="J145" t="n">
        <v>95</v>
      </c>
      <c r="K145" t="inlineStr"/>
      <c r="M145" t="inlineStr">
        <is>
          <t>TN</t>
        </is>
      </c>
      <c r="N145" t="inlineStr"/>
      <c r="P145" t="inlineStr">
        <is>
          <t>20210620</t>
        </is>
      </c>
      <c r="Q145" t="inlineStr">
        <is>
          <t>20251031</t>
        </is>
      </c>
    </row>
    <row r="146">
      <c r="A146" t="inlineStr">
        <is>
          <t>900007997DW81D14910000460</t>
        </is>
      </c>
      <c r="B146" t="inlineStr">
        <is>
          <t>900007997</t>
        </is>
      </c>
      <c r="C146" t="inlineStr">
        <is>
          <t>DW81</t>
        </is>
      </c>
      <c r="D146" t="inlineStr">
        <is>
          <t>D149</t>
        </is>
      </c>
      <c r="E146" t="inlineStr">
        <is>
          <t>4</t>
        </is>
      </c>
      <c r="F146" t="inlineStr">
        <is>
          <t>10000460</t>
        </is>
      </c>
      <c r="H146" t="inlineStr"/>
      <c r="J146" t="n">
        <v>95</v>
      </c>
      <c r="K146" t="inlineStr"/>
      <c r="M146" t="inlineStr">
        <is>
          <t>TN</t>
        </is>
      </c>
      <c r="N146" t="inlineStr"/>
      <c r="P146" t="inlineStr">
        <is>
          <t>20210620</t>
        </is>
      </c>
      <c r="Q146" t="inlineStr">
        <is>
          <t>20251031</t>
        </is>
      </c>
    </row>
    <row r="147">
      <c r="A147" t="inlineStr">
        <is>
          <t>900007998DW81D14810000404</t>
        </is>
      </c>
      <c r="B147" t="inlineStr">
        <is>
          <t>900007998</t>
        </is>
      </c>
      <c r="C147" t="inlineStr">
        <is>
          <t>DW81</t>
        </is>
      </c>
      <c r="D147" t="inlineStr">
        <is>
          <t>D148</t>
        </is>
      </c>
      <c r="E147" t="inlineStr">
        <is>
          <t>4</t>
        </is>
      </c>
      <c r="F147" t="inlineStr">
        <is>
          <t>10000404</t>
        </is>
      </c>
      <c r="H147" t="inlineStr"/>
      <c r="J147" t="n">
        <v>40</v>
      </c>
      <c r="K147" t="inlineStr"/>
      <c r="M147" t="inlineStr">
        <is>
          <t>TN</t>
        </is>
      </c>
      <c r="N147" t="inlineStr"/>
      <c r="P147" t="inlineStr">
        <is>
          <t>20240320</t>
        </is>
      </c>
      <c r="Q147" t="inlineStr">
        <is>
          <t>99991231</t>
        </is>
      </c>
    </row>
    <row r="148">
      <c r="A148" t="inlineStr">
        <is>
          <t>900007998DW81D14810000572</t>
        </is>
      </c>
      <c r="B148" t="inlineStr">
        <is>
          <t>900007998</t>
        </is>
      </c>
      <c r="C148" t="inlineStr">
        <is>
          <t>DW81</t>
        </is>
      </c>
      <c r="D148" t="inlineStr">
        <is>
          <t>D148</t>
        </is>
      </c>
      <c r="E148" t="inlineStr">
        <is>
          <t>4</t>
        </is>
      </c>
      <c r="F148" t="inlineStr">
        <is>
          <t>10000572</t>
        </is>
      </c>
      <c r="H148" t="inlineStr"/>
      <c r="J148" t="n">
        <v>40</v>
      </c>
      <c r="K148" t="inlineStr"/>
      <c r="M148" t="inlineStr">
        <is>
          <t>TN</t>
        </is>
      </c>
      <c r="N148" t="inlineStr"/>
      <c r="P148" t="inlineStr">
        <is>
          <t>20240320</t>
        </is>
      </c>
      <c r="Q148" t="inlineStr">
        <is>
          <t>99991231</t>
        </is>
      </c>
    </row>
    <row r="149">
      <c r="A149" t="inlineStr">
        <is>
          <t>900007998DW81D14910000404</t>
        </is>
      </c>
      <c r="B149" t="inlineStr">
        <is>
          <t>900007998</t>
        </is>
      </c>
      <c r="C149" t="inlineStr">
        <is>
          <t>DW81</t>
        </is>
      </c>
      <c r="D149" t="inlineStr">
        <is>
          <t>D149</t>
        </is>
      </c>
      <c r="E149" t="inlineStr">
        <is>
          <t>4</t>
        </is>
      </c>
      <c r="F149" t="inlineStr">
        <is>
          <t>10000404</t>
        </is>
      </c>
      <c r="H149" t="inlineStr"/>
      <c r="J149" t="n">
        <v>360</v>
      </c>
      <c r="K149" t="inlineStr"/>
      <c r="M149" t="inlineStr">
        <is>
          <t>TN</t>
        </is>
      </c>
      <c r="N149" t="inlineStr"/>
      <c r="P149" t="inlineStr">
        <is>
          <t>20240508</t>
        </is>
      </c>
      <c r="Q149" t="inlineStr">
        <is>
          <t>99991231</t>
        </is>
      </c>
    </row>
    <row r="150">
      <c r="A150" t="inlineStr">
        <is>
          <t>900007998DW81D14910000572</t>
        </is>
      </c>
      <c r="B150" t="inlineStr">
        <is>
          <t>900007998</t>
        </is>
      </c>
      <c r="C150" t="inlineStr">
        <is>
          <t>DW81</t>
        </is>
      </c>
      <c r="D150" t="inlineStr">
        <is>
          <t>D149</t>
        </is>
      </c>
      <c r="E150" t="inlineStr">
        <is>
          <t>4</t>
        </is>
      </c>
      <c r="F150" t="inlineStr">
        <is>
          <t>10000572</t>
        </is>
      </c>
      <c r="H150" t="inlineStr"/>
      <c r="J150" t="n">
        <v>360</v>
      </c>
      <c r="K150" t="inlineStr"/>
      <c r="M150" t="inlineStr">
        <is>
          <t>TN</t>
        </is>
      </c>
      <c r="N150" t="inlineStr"/>
      <c r="P150" t="inlineStr">
        <is>
          <t>20240508</t>
        </is>
      </c>
      <c r="Q150" t="inlineStr">
        <is>
          <t>99991231</t>
        </is>
      </c>
    </row>
    <row r="151">
      <c r="A151" t="inlineStr">
        <is>
          <t>900007998DW81D17110000404</t>
        </is>
      </c>
      <c r="B151" t="inlineStr">
        <is>
          <t>900007998</t>
        </is>
      </c>
      <c r="C151" t="inlineStr">
        <is>
          <t>DW81</t>
        </is>
      </c>
      <c r="D151" t="inlineStr">
        <is>
          <t>D171</t>
        </is>
      </c>
      <c r="E151" t="inlineStr">
        <is>
          <t>4</t>
        </is>
      </c>
      <c r="F151" t="inlineStr">
        <is>
          <t>10000404</t>
        </is>
      </c>
      <c r="H151" t="inlineStr"/>
      <c r="J151" t="n">
        <v>295</v>
      </c>
      <c r="K151" t="inlineStr"/>
      <c r="M151" t="inlineStr">
        <is>
          <t>TN</t>
        </is>
      </c>
      <c r="N151" t="inlineStr"/>
      <c r="P151" t="inlineStr">
        <is>
          <t>20231005</t>
        </is>
      </c>
      <c r="Q151" t="inlineStr">
        <is>
          <t>99991231</t>
        </is>
      </c>
    </row>
    <row r="152">
      <c r="A152" t="inlineStr">
        <is>
          <t>900007998DW81D17110000572</t>
        </is>
      </c>
      <c r="B152" t="inlineStr">
        <is>
          <t>900007998</t>
        </is>
      </c>
      <c r="C152" t="inlineStr">
        <is>
          <t>DW81</t>
        </is>
      </c>
      <c r="D152" t="inlineStr">
        <is>
          <t>D171</t>
        </is>
      </c>
      <c r="E152" t="inlineStr">
        <is>
          <t>4</t>
        </is>
      </c>
      <c r="F152" t="inlineStr">
        <is>
          <t>10000572</t>
        </is>
      </c>
      <c r="H152" t="inlineStr"/>
      <c r="J152" t="n">
        <v>295</v>
      </c>
      <c r="K152" t="inlineStr"/>
      <c r="M152" t="inlineStr">
        <is>
          <t>TN</t>
        </is>
      </c>
      <c r="N152" t="inlineStr"/>
      <c r="P152" t="inlineStr">
        <is>
          <t>20231005</t>
        </is>
      </c>
      <c r="Q152" t="inlineStr">
        <is>
          <t>99991231</t>
        </is>
      </c>
    </row>
    <row r="153">
      <c r="A153" t="inlineStr">
        <is>
          <t>900008694DW81D14810000404</t>
        </is>
      </c>
      <c r="B153" t="inlineStr">
        <is>
          <t>900008694</t>
        </is>
      </c>
      <c r="C153" t="inlineStr">
        <is>
          <t>DW81</t>
        </is>
      </c>
      <c r="D153" t="inlineStr">
        <is>
          <t>D148</t>
        </is>
      </c>
      <c r="E153" t="inlineStr">
        <is>
          <t>4</t>
        </is>
      </c>
      <c r="F153" t="inlineStr">
        <is>
          <t>10000404</t>
        </is>
      </c>
      <c r="H153" t="inlineStr"/>
      <c r="J153" t="n">
        <v>52.6</v>
      </c>
      <c r="K153" t="inlineStr"/>
      <c r="M153" t="inlineStr">
        <is>
          <t>TN</t>
        </is>
      </c>
      <c r="N153" t="inlineStr"/>
      <c r="P153" t="inlineStr">
        <is>
          <t>20240229</t>
        </is>
      </c>
      <c r="Q153" t="inlineStr">
        <is>
          <t>99991231</t>
        </is>
      </c>
    </row>
    <row r="154">
      <c r="A154" t="inlineStr">
        <is>
          <t>900008694DW81D14810000572</t>
        </is>
      </c>
      <c r="B154" t="inlineStr">
        <is>
          <t>900008694</t>
        </is>
      </c>
      <c r="C154" t="inlineStr">
        <is>
          <t>DW81</t>
        </is>
      </c>
      <c r="D154" t="inlineStr">
        <is>
          <t>D148</t>
        </is>
      </c>
      <c r="E154" t="inlineStr">
        <is>
          <t>4</t>
        </is>
      </c>
      <c r="F154" t="inlineStr">
        <is>
          <t>10000572</t>
        </is>
      </c>
      <c r="H154" t="inlineStr"/>
      <c r="J154" t="n">
        <v>52.6</v>
      </c>
      <c r="K154" t="inlineStr"/>
      <c r="M154" t="inlineStr">
        <is>
          <t>TN</t>
        </is>
      </c>
      <c r="N154" t="inlineStr"/>
      <c r="P154" t="inlineStr">
        <is>
          <t>20240229</t>
        </is>
      </c>
      <c r="Q154" t="inlineStr">
        <is>
          <t>99991231</t>
        </is>
      </c>
    </row>
    <row r="155">
      <c r="A155" t="inlineStr">
        <is>
          <t>900008694DW81D14910000404</t>
        </is>
      </c>
      <c r="B155" t="inlineStr">
        <is>
          <t>900008694</t>
        </is>
      </c>
      <c r="C155" t="inlineStr">
        <is>
          <t>DW81</t>
        </is>
      </c>
      <c r="D155" t="inlineStr">
        <is>
          <t>D149</t>
        </is>
      </c>
      <c r="E155" t="inlineStr">
        <is>
          <t>4</t>
        </is>
      </c>
      <c r="F155" t="inlineStr">
        <is>
          <t>10000404</t>
        </is>
      </c>
      <c r="H155" t="inlineStr"/>
      <c r="J155" t="n">
        <v>289</v>
      </c>
      <c r="K155" t="inlineStr"/>
      <c r="M155" t="inlineStr">
        <is>
          <t>TN</t>
        </is>
      </c>
      <c r="N155" t="inlineStr"/>
      <c r="P155" t="inlineStr">
        <is>
          <t>20250301</t>
        </is>
      </c>
      <c r="Q155" t="inlineStr">
        <is>
          <t>99991231</t>
        </is>
      </c>
    </row>
    <row r="156">
      <c r="A156" t="inlineStr">
        <is>
          <t>900008694DW81D14910000572</t>
        </is>
      </c>
      <c r="B156" t="inlineStr">
        <is>
          <t>900008694</t>
        </is>
      </c>
      <c r="C156" t="inlineStr">
        <is>
          <t>DW81</t>
        </is>
      </c>
      <c r="D156" t="inlineStr">
        <is>
          <t>D149</t>
        </is>
      </c>
      <c r="E156" t="inlineStr">
        <is>
          <t>4</t>
        </is>
      </c>
      <c r="F156" t="inlineStr">
        <is>
          <t>10000572</t>
        </is>
      </c>
      <c r="H156" t="inlineStr"/>
      <c r="J156" t="n">
        <v>289</v>
      </c>
      <c r="K156" t="inlineStr"/>
      <c r="M156" t="inlineStr">
        <is>
          <t>TN</t>
        </is>
      </c>
      <c r="N156" t="inlineStr"/>
      <c r="P156" t="inlineStr">
        <is>
          <t>20250301</t>
        </is>
      </c>
      <c r="Q156" t="inlineStr">
        <is>
          <t>99991231</t>
        </is>
      </c>
    </row>
    <row r="157">
      <c r="A157" t="inlineStr">
        <is>
          <t>900008694DW81D17110000404</t>
        </is>
      </c>
      <c r="B157" t="inlineStr">
        <is>
          <t>900008694</t>
        </is>
      </c>
      <c r="C157" t="inlineStr">
        <is>
          <t>DW81</t>
        </is>
      </c>
      <c r="D157" t="inlineStr">
        <is>
          <t>D171</t>
        </is>
      </c>
      <c r="E157" t="inlineStr">
        <is>
          <t>4</t>
        </is>
      </c>
      <c r="F157" t="inlineStr">
        <is>
          <t>10000404</t>
        </is>
      </c>
      <c r="H157" t="inlineStr"/>
      <c r="J157" t="n">
        <v>232</v>
      </c>
      <c r="K157" t="inlineStr"/>
      <c r="M157" t="inlineStr">
        <is>
          <t>TN</t>
        </is>
      </c>
      <c r="N157" t="inlineStr"/>
      <c r="P157" t="inlineStr">
        <is>
          <t>20250301</t>
        </is>
      </c>
      <c r="Q157" t="inlineStr">
        <is>
          <t>99991231</t>
        </is>
      </c>
    </row>
    <row r="158">
      <c r="A158" t="inlineStr">
        <is>
          <t>900008694DW81D17110000572</t>
        </is>
      </c>
      <c r="B158" t="inlineStr">
        <is>
          <t>900008694</t>
        </is>
      </c>
      <c r="C158" t="inlineStr">
        <is>
          <t>DW81</t>
        </is>
      </c>
      <c r="D158" t="inlineStr">
        <is>
          <t>D171</t>
        </is>
      </c>
      <c r="E158" t="inlineStr">
        <is>
          <t>4</t>
        </is>
      </c>
      <c r="F158" t="inlineStr">
        <is>
          <t>10000572</t>
        </is>
      </c>
      <c r="H158" t="inlineStr"/>
      <c r="J158" t="n">
        <v>232</v>
      </c>
      <c r="K158" t="inlineStr"/>
      <c r="M158" t="inlineStr">
        <is>
          <t>TN</t>
        </is>
      </c>
      <c r="N158" t="inlineStr"/>
      <c r="P158" t="inlineStr">
        <is>
          <t>20250301</t>
        </is>
      </c>
      <c r="Q158" t="inlineStr">
        <is>
          <t>99991231</t>
        </is>
      </c>
    </row>
    <row r="159">
      <c r="A159" t="inlineStr">
        <is>
          <t>900009082DW81D14910000404</t>
        </is>
      </c>
      <c r="B159" t="inlineStr">
        <is>
          <t>900009082</t>
        </is>
      </c>
      <c r="C159" t="inlineStr">
        <is>
          <t>DW81</t>
        </is>
      </c>
      <c r="D159" t="inlineStr">
        <is>
          <t>D149</t>
        </is>
      </c>
      <c r="E159" t="inlineStr">
        <is>
          <t>4</t>
        </is>
      </c>
      <c r="F159" t="inlineStr">
        <is>
          <t>10000404</t>
        </is>
      </c>
      <c r="H159" t="inlineStr"/>
      <c r="J159" t="n">
        <v>125</v>
      </c>
      <c r="K159" t="inlineStr"/>
      <c r="M159" t="inlineStr">
        <is>
          <t>TN</t>
        </is>
      </c>
      <c r="N159" t="inlineStr"/>
      <c r="P159" t="inlineStr">
        <is>
          <t>20241223</t>
        </is>
      </c>
      <c r="Q159" t="inlineStr">
        <is>
          <t>99991231</t>
        </is>
      </c>
    </row>
    <row r="160">
      <c r="A160" t="inlineStr">
        <is>
          <t>900009082DW81D14910000572</t>
        </is>
      </c>
      <c r="B160" t="inlineStr">
        <is>
          <t>900009082</t>
        </is>
      </c>
      <c r="C160" t="inlineStr">
        <is>
          <t>DW81</t>
        </is>
      </c>
      <c r="D160" t="inlineStr">
        <is>
          <t>D149</t>
        </is>
      </c>
      <c r="E160" t="inlineStr">
        <is>
          <t>4</t>
        </is>
      </c>
      <c r="F160" t="inlineStr">
        <is>
          <t>10000572</t>
        </is>
      </c>
      <c r="H160" t="inlineStr"/>
      <c r="J160" t="n">
        <v>125</v>
      </c>
      <c r="K160" t="inlineStr"/>
      <c r="M160" t="inlineStr">
        <is>
          <t>TN</t>
        </is>
      </c>
      <c r="N160" t="inlineStr"/>
      <c r="P160" t="inlineStr">
        <is>
          <t>20241223</t>
        </is>
      </c>
      <c r="Q160" t="inlineStr">
        <is>
          <t>99991231</t>
        </is>
      </c>
    </row>
    <row r="161">
      <c r="A161" t="inlineStr">
        <is>
          <t>900009082DW81D17110000404</t>
        </is>
      </c>
      <c r="B161" t="inlineStr">
        <is>
          <t>900009082</t>
        </is>
      </c>
      <c r="C161" t="inlineStr">
        <is>
          <t>DW81</t>
        </is>
      </c>
      <c r="D161" t="inlineStr">
        <is>
          <t>D171</t>
        </is>
      </c>
      <c r="E161" t="inlineStr">
        <is>
          <t>4</t>
        </is>
      </c>
      <c r="F161" t="inlineStr">
        <is>
          <t>10000404</t>
        </is>
      </c>
      <c r="H161" t="inlineStr"/>
      <c r="J161" t="n">
        <v>1</v>
      </c>
      <c r="K161" t="inlineStr"/>
      <c r="M161" t="inlineStr">
        <is>
          <t>TN</t>
        </is>
      </c>
      <c r="N161" t="inlineStr"/>
      <c r="P161" t="inlineStr">
        <is>
          <t>20241223</t>
        </is>
      </c>
      <c r="Q161" t="inlineStr">
        <is>
          <t>99991231</t>
        </is>
      </c>
    </row>
    <row r="162">
      <c r="A162" t="inlineStr">
        <is>
          <t>900009082DW81D17110000572</t>
        </is>
      </c>
      <c r="B162" t="inlineStr">
        <is>
          <t>900009082</t>
        </is>
      </c>
      <c r="C162" t="inlineStr">
        <is>
          <t>DW81</t>
        </is>
      </c>
      <c r="D162" t="inlineStr">
        <is>
          <t>D171</t>
        </is>
      </c>
      <c r="E162" t="inlineStr">
        <is>
          <t>4</t>
        </is>
      </c>
      <c r="F162" t="inlineStr">
        <is>
          <t>10000572</t>
        </is>
      </c>
      <c r="H162" t="inlineStr"/>
      <c r="J162" t="n">
        <v>1</v>
      </c>
      <c r="K162" t="inlineStr"/>
      <c r="M162" t="inlineStr">
        <is>
          <t>TN</t>
        </is>
      </c>
      <c r="N162" t="inlineStr"/>
      <c r="P162" t="inlineStr">
        <is>
          <t>20241223</t>
        </is>
      </c>
      <c r="Q162" t="inlineStr">
        <is>
          <t>99991231</t>
        </is>
      </c>
    </row>
    <row r="163">
      <c r="A163" t="inlineStr">
        <is>
          <t>900009335DW81D14810272234</t>
        </is>
      </c>
      <c r="B163" t="inlineStr">
        <is>
          <t>900009335</t>
        </is>
      </c>
      <c r="C163" t="inlineStr">
        <is>
          <t>DW81</t>
        </is>
      </c>
      <c r="D163" t="inlineStr">
        <is>
          <t>D148</t>
        </is>
      </c>
      <c r="E163" t="inlineStr">
        <is>
          <t>4</t>
        </is>
      </c>
      <c r="F163" t="inlineStr">
        <is>
          <t>10272234</t>
        </is>
      </c>
      <c r="H163" t="inlineStr"/>
      <c r="J163" t="n">
        <v>53</v>
      </c>
      <c r="K163" t="inlineStr"/>
      <c r="M163" t="inlineStr">
        <is>
          <t>TN</t>
        </is>
      </c>
      <c r="N163" t="inlineStr"/>
      <c r="P163" t="inlineStr">
        <is>
          <t>20251028</t>
        </is>
      </c>
      <c r="Q163" t="inlineStr">
        <is>
          <t>99991231</t>
        </is>
      </c>
    </row>
    <row r="164">
      <c r="A164" t="inlineStr">
        <is>
          <t>900009335DW81D14810272235</t>
        </is>
      </c>
      <c r="B164" t="inlineStr">
        <is>
          <t>900009335</t>
        </is>
      </c>
      <c r="C164" t="inlineStr">
        <is>
          <t>DW81</t>
        </is>
      </c>
      <c r="D164" t="inlineStr">
        <is>
          <t>D148</t>
        </is>
      </c>
      <c r="E164" t="inlineStr">
        <is>
          <t>4</t>
        </is>
      </c>
      <c r="F164" t="inlineStr">
        <is>
          <t>10272235</t>
        </is>
      </c>
      <c r="H164" t="inlineStr"/>
      <c r="J164" t="n">
        <v>53</v>
      </c>
      <c r="K164" t="inlineStr"/>
      <c r="M164" t="inlineStr">
        <is>
          <t>TN</t>
        </is>
      </c>
      <c r="N164" t="inlineStr"/>
      <c r="P164" t="inlineStr">
        <is>
          <t>20251028</t>
        </is>
      </c>
      <c r="Q164" t="inlineStr">
        <is>
          <t>99991231</t>
        </is>
      </c>
    </row>
    <row r="165">
      <c r="A165" t="inlineStr">
        <is>
          <t>900009335DW81D14910272234</t>
        </is>
      </c>
      <c r="B165" t="inlineStr">
        <is>
          <t>900009335</t>
        </is>
      </c>
      <c r="C165" t="inlineStr">
        <is>
          <t>DW81</t>
        </is>
      </c>
      <c r="D165" t="inlineStr">
        <is>
          <t>D149</t>
        </is>
      </c>
      <c r="E165" t="inlineStr">
        <is>
          <t>4</t>
        </is>
      </c>
      <c r="F165" t="inlineStr">
        <is>
          <t>10272234</t>
        </is>
      </c>
      <c r="H165" t="inlineStr"/>
      <c r="J165" t="n">
        <v>303</v>
      </c>
      <c r="K165" t="inlineStr"/>
      <c r="M165" t="inlineStr">
        <is>
          <t>TN</t>
        </is>
      </c>
      <c r="N165" t="inlineStr"/>
      <c r="P165" t="inlineStr">
        <is>
          <t>20251028</t>
        </is>
      </c>
      <c r="Q165" t="inlineStr">
        <is>
          <t>99991231</t>
        </is>
      </c>
    </row>
    <row r="166">
      <c r="A166" t="inlineStr">
        <is>
          <t>900009335DW81D14910272235</t>
        </is>
      </c>
      <c r="B166" t="inlineStr">
        <is>
          <t>900009335</t>
        </is>
      </c>
      <c r="C166" t="inlineStr">
        <is>
          <t>DW81</t>
        </is>
      </c>
      <c r="D166" t="inlineStr">
        <is>
          <t>D149</t>
        </is>
      </c>
      <c r="E166" t="inlineStr">
        <is>
          <t>4</t>
        </is>
      </c>
      <c r="F166" t="inlineStr">
        <is>
          <t>10272235</t>
        </is>
      </c>
      <c r="H166" t="inlineStr"/>
      <c r="J166" t="n">
        <v>303</v>
      </c>
      <c r="K166" t="inlineStr"/>
      <c r="M166" t="inlineStr">
        <is>
          <t>TN</t>
        </is>
      </c>
      <c r="N166" t="inlineStr"/>
      <c r="P166" t="inlineStr">
        <is>
          <t>20251028</t>
        </is>
      </c>
      <c r="Q166" t="inlineStr">
        <is>
          <t>99991231</t>
        </is>
      </c>
    </row>
    <row r="167">
      <c r="A167" t="inlineStr">
        <is>
          <t>900009335DW81D17110272234</t>
        </is>
      </c>
      <c r="B167" t="inlineStr">
        <is>
          <t>900009335</t>
        </is>
      </c>
      <c r="C167" t="inlineStr">
        <is>
          <t>DW81</t>
        </is>
      </c>
      <c r="D167" t="inlineStr">
        <is>
          <t>D171</t>
        </is>
      </c>
      <c r="E167" t="inlineStr">
        <is>
          <t>4</t>
        </is>
      </c>
      <c r="F167" t="inlineStr">
        <is>
          <t>10272234</t>
        </is>
      </c>
      <c r="H167" t="inlineStr"/>
      <c r="J167" t="n">
        <v>186</v>
      </c>
      <c r="K167" t="inlineStr"/>
      <c r="M167" t="inlineStr">
        <is>
          <t>TN</t>
        </is>
      </c>
      <c r="N167" t="inlineStr"/>
      <c r="P167" t="inlineStr">
        <is>
          <t>20251028</t>
        </is>
      </c>
      <c r="Q167" t="inlineStr">
        <is>
          <t>99991231</t>
        </is>
      </c>
    </row>
    <row r="168">
      <c r="A168" t="inlineStr">
        <is>
          <t>900009335DW81D17110272235</t>
        </is>
      </c>
      <c r="B168" t="inlineStr">
        <is>
          <t>900009335</t>
        </is>
      </c>
      <c r="C168" t="inlineStr">
        <is>
          <t>DW81</t>
        </is>
      </c>
      <c r="D168" t="inlineStr">
        <is>
          <t>D171</t>
        </is>
      </c>
      <c r="E168" t="inlineStr">
        <is>
          <t>4</t>
        </is>
      </c>
      <c r="F168" t="inlineStr">
        <is>
          <t>10272235</t>
        </is>
      </c>
      <c r="H168" t="inlineStr"/>
      <c r="J168" t="n">
        <v>186</v>
      </c>
      <c r="K168" t="inlineStr"/>
      <c r="M168" t="inlineStr">
        <is>
          <t>TN</t>
        </is>
      </c>
      <c r="N168" t="inlineStr"/>
      <c r="P168" t="inlineStr">
        <is>
          <t>20251028</t>
        </is>
      </c>
      <c r="Q168" t="inlineStr">
        <is>
          <t>99991231</t>
        </is>
      </c>
    </row>
    <row r="169">
      <c r="A169" t="inlineStr">
        <is>
          <t>900009416DW81D14910273351</t>
        </is>
      </c>
      <c r="B169" t="inlineStr">
        <is>
          <t>900009416</t>
        </is>
      </c>
      <c r="C169" t="inlineStr">
        <is>
          <t>DW81</t>
        </is>
      </c>
      <c r="D169" t="inlineStr">
        <is>
          <t>D149</t>
        </is>
      </c>
      <c r="E169" t="inlineStr">
        <is>
          <t>4</t>
        </is>
      </c>
      <c r="F169" t="inlineStr">
        <is>
          <t>10273351</t>
        </is>
      </c>
      <c r="H169" t="inlineStr"/>
      <c r="J169" t="n">
        <v>50</v>
      </c>
      <c r="K169" t="inlineStr"/>
      <c r="M169" t="inlineStr">
        <is>
          <t>TN</t>
        </is>
      </c>
      <c r="N169" t="inlineStr"/>
      <c r="P169" t="inlineStr">
        <is>
          <t>20251217</t>
        </is>
      </c>
      <c r="Q169" t="inlineStr">
        <is>
          <t>99991231</t>
        </is>
      </c>
    </row>
    <row r="170">
      <c r="A170" t="inlineStr">
        <is>
          <t>900009416DW81D14910273352</t>
        </is>
      </c>
      <c r="B170" t="inlineStr">
        <is>
          <t>900009416</t>
        </is>
      </c>
      <c r="C170" t="inlineStr">
        <is>
          <t>DW81</t>
        </is>
      </c>
      <c r="D170" t="inlineStr">
        <is>
          <t>D149</t>
        </is>
      </c>
      <c r="E170" t="inlineStr">
        <is>
          <t>4</t>
        </is>
      </c>
      <c r="F170" t="inlineStr">
        <is>
          <t>10273352</t>
        </is>
      </c>
      <c r="H170" t="inlineStr"/>
      <c r="J170" t="n">
        <v>50</v>
      </c>
      <c r="K170" t="inlineStr"/>
      <c r="M170" t="inlineStr">
        <is>
          <t>TN</t>
        </is>
      </c>
      <c r="N170" t="inlineStr"/>
      <c r="P170" t="inlineStr">
        <is>
          <t>20251217</t>
        </is>
      </c>
      <c r="Q170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900007996DW81D17110000430</t>
        </is>
      </c>
      <c r="B2" t="inlineStr">
        <is>
          <t>4600056243-20</t>
        </is>
      </c>
      <c r="C2" t="n">
        <v>4600056243</v>
      </c>
      <c r="D2" t="n">
        <v>20</v>
      </c>
      <c r="E2" t="inlineStr">
        <is>
          <t>MXPO</t>
        </is>
      </c>
      <c r="F2" t="inlineStr">
        <is>
          <t>MXL</t>
        </is>
      </c>
      <c r="G2" t="n">
        <v>900007996</v>
      </c>
      <c r="H2" t="inlineStr">
        <is>
          <t>SF TC-ED-SIGLO 21</t>
        </is>
      </c>
      <c r="I2" t="n">
        <v>5087794</v>
      </c>
      <c r="J2" t="inlineStr">
        <is>
          <t>TRITURACION SIGLO 21 SA DE CV</t>
        </is>
      </c>
      <c r="K2" t="inlineStr">
        <is>
          <t>Z09</t>
        </is>
      </c>
      <c r="L2" t="inlineStr">
        <is>
          <t>(AP) 90 Dias</t>
        </is>
      </c>
      <c r="M2" t="n">
        <v>10000430</v>
      </c>
      <c r="N2" t="inlineStr">
        <is>
          <t>Grava Triturada Caliza 20 mm - 3/4"</t>
        </is>
      </c>
      <c r="O2" t="inlineStr">
        <is>
          <t>DW81</t>
        </is>
      </c>
      <c r="P2" t="inlineStr">
        <is>
          <t>MX-CED. SALTILLO</t>
        </is>
      </c>
      <c r="Q2" t="n">
        <v>20230928</v>
      </c>
      <c r="R2" t="n">
        <v>20281231</v>
      </c>
      <c r="S2" t="n">
        <v>20230105</v>
      </c>
      <c r="T2" t="n">
        <v>20271231</v>
      </c>
      <c r="U2" t="n">
        <v>430</v>
      </c>
      <c r="V2" t="inlineStr">
        <is>
          <t>MXN</t>
        </is>
      </c>
      <c r="W2" t="inlineStr">
        <is>
          <t>M3</t>
        </is>
      </c>
      <c r="X2" t="n">
        <v>160</v>
      </c>
      <c r="Y2" t="inlineStr">
        <is>
          <t>MXN</t>
        </is>
      </c>
      <c r="Z2" t="inlineStr">
        <is>
          <t>M3</t>
        </is>
      </c>
      <c r="AA2" t="inlineStr">
        <is>
          <t>D171</t>
        </is>
      </c>
      <c r="AB2" t="inlineStr">
        <is>
          <t>PD0016 PIEDRAS NEGRAS</t>
        </is>
      </c>
      <c r="AC2" t="n">
        <v>56103637</v>
      </c>
      <c r="AD2" t="n">
        <v>6644381540</v>
      </c>
      <c r="AE2" t="n">
        <v>4</v>
      </c>
      <c r="AF2" t="inlineStr">
        <is>
          <t>ENTREGA DIRECTA</t>
        </is>
      </c>
      <c r="AG2" t="n">
        <v>1.5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V1</t>
        </is>
      </c>
      <c r="AL2" t="n">
        <v>20230920</v>
      </c>
      <c r="AM2" t="inlineStr">
        <is>
          <t>DW81-900007996-D171-10000430-4</t>
        </is>
      </c>
    </row>
    <row r="3">
      <c r="A3" t="inlineStr">
        <is>
          <t>900007997DW81D14910000460</t>
        </is>
      </c>
      <c r="B3" t="inlineStr">
        <is>
          <t>4600056094-10</t>
        </is>
      </c>
      <c r="C3" t="n">
        <v>4600056094</v>
      </c>
      <c r="D3" t="n">
        <v>10</v>
      </c>
      <c r="E3" t="inlineStr">
        <is>
          <t>MXPO</t>
        </is>
      </c>
      <c r="F3" t="inlineStr">
        <is>
          <t>MXL</t>
        </is>
      </c>
      <c r="G3" t="n">
        <v>900007997</v>
      </c>
      <c r="H3" t="inlineStr">
        <is>
          <t>SF TC-ED-ABC DEL NORTE</t>
        </is>
      </c>
      <c r="I3" t="n">
        <v>5086160</v>
      </c>
      <c r="J3" t="inlineStr">
        <is>
          <t>AGREGADOS BLOCK Y CONCRETOS DEL NOR</t>
        </is>
      </c>
      <c r="K3" t="inlineStr">
        <is>
          <t>N90</t>
        </is>
      </c>
      <c r="L3" t="inlineStr">
        <is>
          <t>(AP) NAFIN 90 Dias</t>
        </is>
      </c>
      <c r="M3" t="n">
        <v>10000460</v>
      </c>
      <c r="N3" t="inlineStr">
        <is>
          <t>Grava Clasificada Río 20 mm - 3/4"</t>
        </is>
      </c>
      <c r="O3" t="inlineStr">
        <is>
          <t>DW81</t>
        </is>
      </c>
      <c r="P3" t="inlineStr">
        <is>
          <t>MX-CED. SALTILLO</t>
        </is>
      </c>
      <c r="Q3" t="n">
        <v>20230104</v>
      </c>
      <c r="R3" t="n">
        <v>20271231</v>
      </c>
      <c r="S3" t="n">
        <v>20230104</v>
      </c>
      <c r="T3" t="n">
        <v>20271231</v>
      </c>
      <c r="U3" t="n">
        <v>295</v>
      </c>
      <c r="V3" t="inlineStr">
        <is>
          <t>MXN</t>
        </is>
      </c>
      <c r="W3" t="inlineStr">
        <is>
          <t>TN</t>
        </is>
      </c>
      <c r="X3" t="n">
        <v>95</v>
      </c>
      <c r="Y3" t="inlineStr">
        <is>
          <t>MXN</t>
        </is>
      </c>
      <c r="Z3" t="inlineStr">
        <is>
          <t>TN</t>
        </is>
      </c>
      <c r="AA3" t="inlineStr">
        <is>
          <t>D149</t>
        </is>
      </c>
      <c r="AB3" t="inlineStr">
        <is>
          <t>PD051 ACUÑA</t>
        </is>
      </c>
      <c r="AC3" t="n">
        <v>56103637</v>
      </c>
      <c r="AD3" t="n">
        <v>6644381540</v>
      </c>
      <c r="AE3" t="n">
        <v>4</v>
      </c>
      <c r="AF3" t="inlineStr">
        <is>
          <t>ENTREGA DIRECTA</t>
        </is>
      </c>
      <c r="AG3" t="n">
        <v>1</v>
      </c>
      <c r="AH3" t="inlineStr">
        <is>
          <t>TO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20230920</v>
      </c>
      <c r="AM3" t="inlineStr">
        <is>
          <t>DW81-900007997-D149-10000460-4</t>
        </is>
      </c>
    </row>
    <row r="4">
      <c r="A4" t="inlineStr">
        <is>
          <t>900008694DW81D17110000572</t>
        </is>
      </c>
      <c r="B4" t="inlineStr">
        <is>
          <t>4600069205-50</t>
        </is>
      </c>
      <c r="C4" t="n">
        <v>4600069205</v>
      </c>
      <c r="D4" t="n">
        <v>50</v>
      </c>
      <c r="E4" t="inlineStr">
        <is>
          <t>MXPO</t>
        </is>
      </c>
      <c r="F4" t="inlineStr">
        <is>
          <t>MXL</t>
        </is>
      </c>
      <c r="G4" t="n">
        <v>900008694</v>
      </c>
      <c r="H4" t="inlineStr">
        <is>
          <t>SF TC-ED TRICABA</t>
        </is>
      </c>
      <c r="I4" t="n">
        <v>5092353</v>
      </c>
      <c r="J4" t="inlineStr">
        <is>
          <t>TRICABA DE SABINAS SA DE CV</t>
        </is>
      </c>
      <c r="K4" t="inlineStr">
        <is>
          <t>N90</t>
        </is>
      </c>
      <c r="L4" t="inlineStr">
        <is>
          <t>(AP) NAFIN 90 Dias</t>
        </is>
      </c>
      <c r="M4" t="n">
        <v>10000572</v>
      </c>
      <c r="N4" t="inlineStr">
        <is>
          <t>Arena Triturada Caliza Malla 4</t>
        </is>
      </c>
      <c r="O4" t="inlineStr">
        <is>
          <t>DW81</t>
        </is>
      </c>
      <c r="P4" t="inlineStr">
        <is>
          <t>MX-CED. SALTILLO</t>
        </is>
      </c>
      <c r="Q4" t="n">
        <v>20240229</v>
      </c>
      <c r="R4" t="n">
        <v>20291231</v>
      </c>
      <c r="S4" t="n">
        <v>20250301</v>
      </c>
      <c r="T4" t="n">
        <v>20301231</v>
      </c>
      <c r="U4" t="n">
        <v>431</v>
      </c>
      <c r="V4" t="inlineStr">
        <is>
          <t>MXN</t>
        </is>
      </c>
      <c r="W4" t="inlineStr">
        <is>
          <t>TN</t>
        </is>
      </c>
      <c r="X4" t="n">
        <v>232</v>
      </c>
      <c r="Y4" t="inlineStr">
        <is>
          <t>MXN</t>
        </is>
      </c>
      <c r="Z4" t="inlineStr">
        <is>
          <t>TN</t>
        </is>
      </c>
      <c r="AA4" t="inlineStr">
        <is>
          <t>D171</t>
        </is>
      </c>
      <c r="AB4" t="inlineStr">
        <is>
          <t>PD0016 PIEDRAS NEGRAS</t>
        </is>
      </c>
      <c r="AC4" t="n">
        <v>56103638</v>
      </c>
      <c r="AD4" t="n">
        <v>6644381540</v>
      </c>
      <c r="AE4" t="n">
        <v>4</v>
      </c>
      <c r="AF4" t="inlineStr">
        <is>
          <t>ENTREGA DIRECTA</t>
        </is>
      </c>
      <c r="AG4" t="n">
        <v>1</v>
      </c>
      <c r="AH4" t="inlineStr">
        <is>
          <t>TO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20250408</v>
      </c>
      <c r="AM4" t="inlineStr">
        <is>
          <t>DW81-900008694-D171-10000572-4</t>
        </is>
      </c>
    </row>
    <row r="5">
      <c r="A5" t="inlineStr">
        <is>
          <t>900008694DW81D14910000404</t>
        </is>
      </c>
      <c r="B5" t="inlineStr">
        <is>
          <t>4600069205-20</t>
        </is>
      </c>
      <c r="C5" t="n">
        <v>4600069205</v>
      </c>
      <c r="D5" t="n">
        <v>20</v>
      </c>
      <c r="E5" t="inlineStr">
        <is>
          <t>MXPO</t>
        </is>
      </c>
      <c r="F5" t="inlineStr">
        <is>
          <t>MXL</t>
        </is>
      </c>
      <c r="G5" t="n">
        <v>900008694</v>
      </c>
      <c r="H5" t="inlineStr">
        <is>
          <t>SF TC-ED TRICABA</t>
        </is>
      </c>
      <c r="I5" t="n">
        <v>5092353</v>
      </c>
      <c r="J5" t="inlineStr">
        <is>
          <t>TRICABA DE SABINAS SA DE CV</t>
        </is>
      </c>
      <c r="K5" t="inlineStr">
        <is>
          <t>N90</t>
        </is>
      </c>
      <c r="L5" t="inlineStr">
        <is>
          <t>(AP) NAFIN 90 Dias</t>
        </is>
      </c>
      <c r="M5" t="n">
        <v>10000404</v>
      </c>
      <c r="N5" t="inlineStr">
        <is>
          <t>Grava Triturada Caliza 20 mm - 3/4"</t>
        </is>
      </c>
      <c r="O5" t="inlineStr">
        <is>
          <t>DW81</t>
        </is>
      </c>
      <c r="P5" t="inlineStr">
        <is>
          <t>MX-CED. SALTILLO</t>
        </is>
      </c>
      <c r="Q5" t="n">
        <v>20240229</v>
      </c>
      <c r="R5" t="n">
        <v>20291231</v>
      </c>
      <c r="S5" t="n">
        <v>20250301</v>
      </c>
      <c r="T5" t="n">
        <v>20301231</v>
      </c>
      <c r="U5" t="n">
        <v>481</v>
      </c>
      <c r="V5" t="inlineStr">
        <is>
          <t>MXN</t>
        </is>
      </c>
      <c r="W5" t="inlineStr">
        <is>
          <t>TN</t>
        </is>
      </c>
      <c r="X5" t="n">
        <v>289</v>
      </c>
      <c r="Y5" t="inlineStr">
        <is>
          <t>MXN</t>
        </is>
      </c>
      <c r="Z5" t="inlineStr">
        <is>
          <t>TN</t>
        </is>
      </c>
      <c r="AA5" t="inlineStr">
        <is>
          <t>D149</t>
        </is>
      </c>
      <c r="AB5" t="inlineStr">
        <is>
          <t>PD051 ACUÑA</t>
        </is>
      </c>
      <c r="AC5" t="n">
        <v>56103637</v>
      </c>
      <c r="AD5" t="n">
        <v>6644381540</v>
      </c>
      <c r="AE5" t="n">
        <v>4</v>
      </c>
      <c r="AF5" t="inlineStr">
        <is>
          <t>ENTREGA DIRECTA</t>
        </is>
      </c>
      <c r="AG5" t="n">
        <v>1</v>
      </c>
      <c r="AH5" t="inlineStr">
        <is>
          <t>TO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20250408</v>
      </c>
      <c r="AM5" t="inlineStr">
        <is>
          <t>DW81-900008694-D149-10000404-4</t>
        </is>
      </c>
    </row>
    <row r="6">
      <c r="A6" t="inlineStr">
        <is>
          <t>900008694DW81D17110000404</t>
        </is>
      </c>
      <c r="B6" t="inlineStr">
        <is>
          <t>4600069205-60</t>
        </is>
      </c>
      <c r="C6" t="n">
        <v>4600069205</v>
      </c>
      <c r="D6" t="n">
        <v>60</v>
      </c>
      <c r="E6" t="inlineStr">
        <is>
          <t>MXPO</t>
        </is>
      </c>
      <c r="F6" t="inlineStr">
        <is>
          <t>MXL</t>
        </is>
      </c>
      <c r="G6" t="n">
        <v>900008694</v>
      </c>
      <c r="H6" t="inlineStr">
        <is>
          <t>SF TC-ED TRICABA</t>
        </is>
      </c>
      <c r="I6" t="n">
        <v>5092353</v>
      </c>
      <c r="J6" t="inlineStr">
        <is>
          <t>TRICABA DE SABINAS SA DE CV</t>
        </is>
      </c>
      <c r="K6" t="inlineStr">
        <is>
          <t>N90</t>
        </is>
      </c>
      <c r="L6" t="inlineStr">
        <is>
          <t>(AP) NAFIN 90 Dias</t>
        </is>
      </c>
      <c r="M6" t="n">
        <v>10000404</v>
      </c>
      <c r="N6" t="inlineStr">
        <is>
          <t>Grava Triturada Caliza 20 mm - 3/4"</t>
        </is>
      </c>
      <c r="O6" t="inlineStr">
        <is>
          <t>DW81</t>
        </is>
      </c>
      <c r="P6" t="inlineStr">
        <is>
          <t>MX-CED. SALTILLO</t>
        </is>
      </c>
      <c r="Q6" t="n">
        <v>20240229</v>
      </c>
      <c r="R6" t="n">
        <v>20291231</v>
      </c>
      <c r="S6" t="n">
        <v>20250301</v>
      </c>
      <c r="T6" t="n">
        <v>20301231</v>
      </c>
      <c r="U6" t="n">
        <v>416</v>
      </c>
      <c r="V6" t="inlineStr">
        <is>
          <t>MXN</t>
        </is>
      </c>
      <c r="W6" t="inlineStr">
        <is>
          <t>TN</t>
        </is>
      </c>
      <c r="X6" t="n">
        <v>232</v>
      </c>
      <c r="Y6" t="inlineStr">
        <is>
          <t>MXN</t>
        </is>
      </c>
      <c r="Z6" t="inlineStr">
        <is>
          <t>TN</t>
        </is>
      </c>
      <c r="AA6" t="inlineStr">
        <is>
          <t>D171</t>
        </is>
      </c>
      <c r="AB6" t="inlineStr">
        <is>
          <t>PD0016 PIEDRAS NEGRAS</t>
        </is>
      </c>
      <c r="AC6" t="n">
        <v>56103637</v>
      </c>
      <c r="AD6" t="n">
        <v>6644381540</v>
      </c>
      <c r="AE6" t="n">
        <v>4</v>
      </c>
      <c r="AF6" t="inlineStr">
        <is>
          <t>ENTREGA DIRECTA</t>
        </is>
      </c>
      <c r="AG6" t="n">
        <v>1</v>
      </c>
      <c r="AH6" t="inlineStr">
        <is>
          <t>TO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20250408</v>
      </c>
      <c r="AM6" t="inlineStr">
        <is>
          <t>DW81-900008694-D171-10000404-4</t>
        </is>
      </c>
    </row>
    <row r="7">
      <c r="A7" t="inlineStr">
        <is>
          <t>900007997DW81D14910000166</t>
        </is>
      </c>
      <c r="B7" t="inlineStr">
        <is>
          <t>4600056094-20</t>
        </is>
      </c>
      <c r="C7" t="n">
        <v>4600056094</v>
      </c>
      <c r="D7" t="n">
        <v>20</v>
      </c>
      <c r="E7" t="inlineStr">
        <is>
          <t>MXPO</t>
        </is>
      </c>
      <c r="F7" t="inlineStr">
        <is>
          <t>MXL</t>
        </is>
      </c>
      <c r="G7" t="n">
        <v>900007997</v>
      </c>
      <c r="H7" t="inlineStr">
        <is>
          <t>SF TC-ED-ABC DEL NORTE</t>
        </is>
      </c>
      <c r="I7" t="n">
        <v>5086160</v>
      </c>
      <c r="J7" t="inlineStr">
        <is>
          <t>AGREGADOS BLOCK Y CONCRETOS DEL NOR</t>
        </is>
      </c>
      <c r="K7" t="inlineStr">
        <is>
          <t>N90</t>
        </is>
      </c>
      <c r="L7" t="inlineStr">
        <is>
          <t>(AP) NAFIN 90 Dias</t>
        </is>
      </c>
      <c r="M7" t="n">
        <v>10000166</v>
      </c>
      <c r="N7" t="inlineStr">
        <is>
          <t>Arena Clasificada Río Malla 4</t>
        </is>
      </c>
      <c r="O7" t="inlineStr">
        <is>
          <t>DW81</t>
        </is>
      </c>
      <c r="P7" t="inlineStr">
        <is>
          <t>MX-CED. SALTILLO</t>
        </is>
      </c>
      <c r="Q7" t="n">
        <v>20230104</v>
      </c>
      <c r="R7" t="n">
        <v>20271231</v>
      </c>
      <c r="S7" t="n">
        <v>20230104</v>
      </c>
      <c r="T7" t="n">
        <v>20271231</v>
      </c>
      <c r="U7" t="n">
        <v>295</v>
      </c>
      <c r="V7" t="inlineStr">
        <is>
          <t>MXN</t>
        </is>
      </c>
      <c r="W7" t="inlineStr">
        <is>
          <t>TN</t>
        </is>
      </c>
      <c r="X7" t="n">
        <v>95</v>
      </c>
      <c r="Y7" t="inlineStr">
        <is>
          <t>MXN</t>
        </is>
      </c>
      <c r="Z7" t="inlineStr">
        <is>
          <t>TN</t>
        </is>
      </c>
      <c r="AA7" t="inlineStr">
        <is>
          <t>D149</t>
        </is>
      </c>
      <c r="AB7" t="inlineStr">
        <is>
          <t>PD051 ACUÑA</t>
        </is>
      </c>
      <c r="AC7" t="n">
        <v>56103638</v>
      </c>
      <c r="AD7" t="n">
        <v>6644381540</v>
      </c>
      <c r="AE7" t="n">
        <v>4</v>
      </c>
      <c r="AF7" t="inlineStr">
        <is>
          <t>ENTREGA DIRECTA</t>
        </is>
      </c>
      <c r="AG7" t="n">
        <v>1</v>
      </c>
      <c r="AH7" t="inlineStr">
        <is>
          <t>TO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DW81-900007997-D149-10000166-4</t>
        </is>
      </c>
    </row>
    <row r="8">
      <c r="A8" t="inlineStr">
        <is>
          <t>900007996DW81D17110132162</t>
        </is>
      </c>
      <c r="B8" t="inlineStr">
        <is>
          <t>4600056243-10</t>
        </is>
      </c>
      <c r="C8" t="n">
        <v>4600056243</v>
      </c>
      <c r="D8" t="n">
        <v>10</v>
      </c>
      <c r="E8" t="inlineStr">
        <is>
          <t>MXPO</t>
        </is>
      </c>
      <c r="F8" t="inlineStr">
        <is>
          <t>MXL</t>
        </is>
      </c>
      <c r="G8" t="n">
        <v>900007996</v>
      </c>
      <c r="H8" t="inlineStr">
        <is>
          <t>SF TC-ED-SIGLO 21</t>
        </is>
      </c>
      <c r="I8" t="n">
        <v>5087794</v>
      </c>
      <c r="J8" t="inlineStr">
        <is>
          <t>TRITURACION SIGLO 21 SA DE CV</t>
        </is>
      </c>
      <c r="K8" t="inlineStr">
        <is>
          <t>Z09</t>
        </is>
      </c>
      <c r="L8" t="inlineStr">
        <is>
          <t>(AP) 90 Dias</t>
        </is>
      </c>
      <c r="M8" t="n">
        <v>10132162</v>
      </c>
      <c r="N8" t="inlineStr">
        <is>
          <t>ARENA TRITURADA CALIZA MALLA 4</t>
        </is>
      </c>
      <c r="O8" t="inlineStr">
        <is>
          <t>DW81</t>
        </is>
      </c>
      <c r="P8" t="inlineStr">
        <is>
          <t>MX-CED. SALTILLO</t>
        </is>
      </c>
      <c r="Q8" t="n">
        <v>20230928</v>
      </c>
      <c r="R8" t="n">
        <v>20281231</v>
      </c>
      <c r="S8" t="n">
        <v>20230105</v>
      </c>
      <c r="T8" t="n">
        <v>20271231</v>
      </c>
      <c r="U8" t="n">
        <v>460</v>
      </c>
      <c r="V8" t="inlineStr">
        <is>
          <t>MXN</t>
        </is>
      </c>
      <c r="W8" t="inlineStr">
        <is>
          <t>M3</t>
        </is>
      </c>
      <c r="X8" t="n">
        <v>160</v>
      </c>
      <c r="Y8" t="inlineStr">
        <is>
          <t>MXN</t>
        </is>
      </c>
      <c r="Z8" t="inlineStr">
        <is>
          <t>M3</t>
        </is>
      </c>
      <c r="AA8" t="inlineStr">
        <is>
          <t>D171</t>
        </is>
      </c>
      <c r="AB8" t="inlineStr">
        <is>
          <t>PD0016 PIEDRAS NEGRAS</t>
        </is>
      </c>
      <c r="AC8" t="n">
        <v>56103638</v>
      </c>
      <c r="AD8" t="n">
        <v>6644381867</v>
      </c>
      <c r="AE8" t="n">
        <v>4</v>
      </c>
      <c r="AF8" t="inlineStr">
        <is>
          <t>ENTREGA DIRECTA</t>
        </is>
      </c>
      <c r="AG8" t="n">
        <v>1.608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V1</t>
        </is>
      </c>
      <c r="AL8" t="n">
        <v>20230920</v>
      </c>
      <c r="AM8" t="inlineStr">
        <is>
          <t>DW81-900007996-D171-10132162-4</t>
        </is>
      </c>
    </row>
    <row r="9">
      <c r="A9" t="inlineStr">
        <is>
          <t>900009416DW81D14910273352</t>
        </is>
      </c>
      <c r="B9" t="inlineStr">
        <is>
          <t>4600071871-20</t>
        </is>
      </c>
      <c r="C9" t="n">
        <v>4600071871</v>
      </c>
      <c r="D9" t="n">
        <v>20</v>
      </c>
      <c r="E9" t="inlineStr">
        <is>
          <t>MXPO</t>
        </is>
      </c>
      <c r="F9" t="inlineStr">
        <is>
          <t>MXL</t>
        </is>
      </c>
      <c r="G9" t="n">
        <v>900009416</v>
      </c>
      <c r="H9" t="inlineStr">
        <is>
          <t>SF TC-ED ARIM DEL NORTE</t>
        </is>
      </c>
      <c r="I9" t="n">
        <v>5095598</v>
      </c>
      <c r="J9" t="inlineStr">
        <is>
          <t>DESARROLLOS ARIM DEL NORTE SA DE CV</t>
        </is>
      </c>
      <c r="K9" t="inlineStr">
        <is>
          <t>Z09</t>
        </is>
      </c>
      <c r="L9" t="inlineStr">
        <is>
          <t>(AP) 90 Dias</t>
        </is>
      </c>
      <c r="M9" t="n">
        <v>10273352</v>
      </c>
      <c r="N9" t="inlineStr">
        <is>
          <t>MP GRAVA TRIT. CALIZA 20 MM - 3/4"</t>
        </is>
      </c>
      <c r="O9" t="inlineStr">
        <is>
          <t>DW81</t>
        </is>
      </c>
      <c r="P9" t="inlineStr">
        <is>
          <t>MX-CED. SALTILLO</t>
        </is>
      </c>
      <c r="Q9" t="n">
        <v>20251217</v>
      </c>
      <c r="R9" t="n">
        <v>20301231</v>
      </c>
      <c r="S9" t="n">
        <v>20251217</v>
      </c>
      <c r="T9" t="n">
        <v>20301231</v>
      </c>
      <c r="U9" t="n">
        <v>400</v>
      </c>
      <c r="V9" t="inlineStr">
        <is>
          <t>MXN</t>
        </is>
      </c>
      <c r="W9" t="inlineStr">
        <is>
          <t>TN</t>
        </is>
      </c>
      <c r="X9" t="n">
        <v>50</v>
      </c>
      <c r="Y9" t="inlineStr">
        <is>
          <t>MXN</t>
        </is>
      </c>
      <c r="Z9" t="inlineStr">
        <is>
          <t>TN</t>
        </is>
      </c>
      <c r="AA9" t="inlineStr">
        <is>
          <t>D149</t>
        </is>
      </c>
      <c r="AB9" t="inlineStr">
        <is>
          <t>PD051 ACUÑA</t>
        </is>
      </c>
      <c r="AC9" t="n">
        <v>56103637</v>
      </c>
      <c r="AD9" t="n">
        <v>6644381540</v>
      </c>
      <c r="AE9" t="n">
        <v>4</v>
      </c>
      <c r="AF9" t="inlineStr">
        <is>
          <t>ENTREGA DIRECTA</t>
        </is>
      </c>
      <c r="AG9" t="n">
        <v>1</v>
      </c>
      <c r="AH9" t="inlineStr">
        <is>
          <t>TO</t>
        </is>
      </c>
      <c r="AI9" t="inlineStr">
        <is>
          <t>X</t>
        </is>
      </c>
      <c r="AJ9" t="n">
        <v>4</v>
      </c>
      <c r="AK9" t="inlineStr">
        <is>
          <t>V1</t>
        </is>
      </c>
      <c r="AL9" t="n">
        <v>20251224</v>
      </c>
      <c r="AM9" t="inlineStr">
        <is>
          <t>DW81-900009416-D149-10273352-4</t>
        </is>
      </c>
    </row>
    <row r="10">
      <c r="A10" t="inlineStr">
        <is>
          <t>900009416DW81D14910273351</t>
        </is>
      </c>
      <c r="B10" t="inlineStr">
        <is>
          <t>4600071871-10</t>
        </is>
      </c>
      <c r="C10" t="n">
        <v>4600071871</v>
      </c>
      <c r="D10" t="n">
        <v>10</v>
      </c>
      <c r="E10" t="inlineStr">
        <is>
          <t>MXPO</t>
        </is>
      </c>
      <c r="F10" t="inlineStr">
        <is>
          <t>MXL</t>
        </is>
      </c>
      <c r="G10" t="n">
        <v>900009416</v>
      </c>
      <c r="H10" t="inlineStr">
        <is>
          <t>SF TC-ED ARIM DEL NORTE</t>
        </is>
      </c>
      <c r="I10" t="n">
        <v>5095598</v>
      </c>
      <c r="J10" t="inlineStr">
        <is>
          <t>DESARROLLOS ARIM DEL NORTE SA DE CV</t>
        </is>
      </c>
      <c r="K10" t="inlineStr">
        <is>
          <t>Z09</t>
        </is>
      </c>
      <c r="L10" t="inlineStr">
        <is>
          <t>(AP) 90 Dias</t>
        </is>
      </c>
      <c r="M10" t="n">
        <v>10273351</v>
      </c>
      <c r="N10" t="inlineStr">
        <is>
          <t>MP ARENA TRIT. CALIZA MALLA 4</t>
        </is>
      </c>
      <c r="O10" t="inlineStr">
        <is>
          <t>DW81</t>
        </is>
      </c>
      <c r="P10" t="inlineStr">
        <is>
          <t>MX-CED. SALTILLO</t>
        </is>
      </c>
      <c r="Q10" t="n">
        <v>20251217</v>
      </c>
      <c r="R10" t="n">
        <v>20301231</v>
      </c>
      <c r="S10" t="n">
        <v>20251217</v>
      </c>
      <c r="T10" t="n">
        <v>20301231</v>
      </c>
      <c r="U10" t="n">
        <v>415</v>
      </c>
      <c r="V10" t="inlineStr">
        <is>
          <t>MXN</t>
        </is>
      </c>
      <c r="W10" t="inlineStr">
        <is>
          <t>TN</t>
        </is>
      </c>
      <c r="X10" t="n">
        <v>50</v>
      </c>
      <c r="Y10" t="inlineStr">
        <is>
          <t>MXN</t>
        </is>
      </c>
      <c r="Z10" t="inlineStr">
        <is>
          <t>TN</t>
        </is>
      </c>
      <c r="AA10" t="inlineStr">
        <is>
          <t>D149</t>
        </is>
      </c>
      <c r="AB10" t="inlineStr">
        <is>
          <t>PD051 ACUÑA</t>
        </is>
      </c>
      <c r="AC10" t="n">
        <v>56103638</v>
      </c>
      <c r="AD10" t="n">
        <v>6644381540</v>
      </c>
      <c r="AE10" t="n">
        <v>4</v>
      </c>
      <c r="AF10" t="inlineStr">
        <is>
          <t>ENTREGA DIRECTA</t>
        </is>
      </c>
      <c r="AG10" t="n">
        <v>1</v>
      </c>
      <c r="AH10" t="inlineStr">
        <is>
          <t>TO</t>
        </is>
      </c>
      <c r="AI10" t="inlineStr">
        <is>
          <t>X</t>
        </is>
      </c>
      <c r="AJ10" t="n">
        <v>4</v>
      </c>
      <c r="AK10" t="inlineStr">
        <is>
          <t>V1</t>
        </is>
      </c>
      <c r="AL10" t="n">
        <v>20251224</v>
      </c>
      <c r="AM10" t="inlineStr">
        <is>
          <t>DW81-900009416-D149-10273351-4</t>
        </is>
      </c>
    </row>
    <row r="11">
      <c r="A11" t="inlineStr">
        <is>
          <t>900009082DW81D14910000572</t>
        </is>
      </c>
      <c r="B11" t="inlineStr">
        <is>
          <t>4600070692-30</t>
        </is>
      </c>
      <c r="C11" t="n">
        <v>4600070692</v>
      </c>
      <c r="D11" t="n">
        <v>30</v>
      </c>
      <c r="E11" t="inlineStr">
        <is>
          <t>MXPO</t>
        </is>
      </c>
      <c r="F11" t="inlineStr">
        <is>
          <t>MXL</t>
        </is>
      </c>
      <c r="G11" t="n">
        <v>900009082</v>
      </c>
      <c r="H11" t="inlineStr">
        <is>
          <t>SF TC-ED TRAYMAQ</t>
        </is>
      </c>
      <c r="I11" t="n">
        <v>5094852</v>
      </c>
      <c r="J11" t="inlineStr">
        <is>
          <t>TRAYMAQ AGREGADOS SA DE CV</t>
        </is>
      </c>
      <c r="K11" t="inlineStr">
        <is>
          <t>Z09</t>
        </is>
      </c>
      <c r="L11" t="inlineStr">
        <is>
          <t>(AP) 90 Dias</t>
        </is>
      </c>
      <c r="M11" t="n">
        <v>10000572</v>
      </c>
      <c r="N11" t="inlineStr">
        <is>
          <t>Arena Triturada Caliza Malla 4</t>
        </is>
      </c>
      <c r="O11" t="inlineStr">
        <is>
          <t>DW81</t>
        </is>
      </c>
      <c r="P11" t="inlineStr">
        <is>
          <t>MX-CED. SALTILLO</t>
        </is>
      </c>
      <c r="Q11" t="n">
        <v>20241223</v>
      </c>
      <c r="R11" t="n">
        <v>20291231</v>
      </c>
      <c r="S11" t="n">
        <v>20241223</v>
      </c>
      <c r="T11" t="n">
        <v>20291231</v>
      </c>
      <c r="U11" t="n">
        <v>475</v>
      </c>
      <c r="V11" t="inlineStr">
        <is>
          <t>MXN</t>
        </is>
      </c>
      <c r="W11" t="inlineStr">
        <is>
          <t>TN</t>
        </is>
      </c>
      <c r="X11" t="n">
        <v>125</v>
      </c>
      <c r="Y11" t="inlineStr">
        <is>
          <t>MXN</t>
        </is>
      </c>
      <c r="Z11" t="inlineStr">
        <is>
          <t>TN</t>
        </is>
      </c>
      <c r="AA11" t="inlineStr">
        <is>
          <t>D149</t>
        </is>
      </c>
      <c r="AB11" t="inlineStr">
        <is>
          <t>PD051 ACUÑA</t>
        </is>
      </c>
      <c r="AC11" t="n">
        <v>56103638</v>
      </c>
      <c r="AD11" t="n">
        <v>6644381540</v>
      </c>
      <c r="AE11" t="n">
        <v>4</v>
      </c>
      <c r="AF11" t="inlineStr">
        <is>
          <t>ENTREGA DIRECTA</t>
        </is>
      </c>
      <c r="AG11" t="n">
        <v>1</v>
      </c>
      <c r="AH11" t="inlineStr">
        <is>
          <t>TO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20241227</v>
      </c>
      <c r="AM11" t="inlineStr">
        <is>
          <t>DW81-900009082-D149-10000572-4</t>
        </is>
      </c>
    </row>
    <row r="12">
      <c r="A12" t="inlineStr">
        <is>
          <t>900009082DW81D17110000404</t>
        </is>
      </c>
      <c r="B12" t="inlineStr">
        <is>
          <t>4600070692-20</t>
        </is>
      </c>
      <c r="C12" t="n">
        <v>4600070692</v>
      </c>
      <c r="D12" t="n">
        <v>20</v>
      </c>
      <c r="E12" t="inlineStr">
        <is>
          <t>MXPO</t>
        </is>
      </c>
      <c r="F12" t="inlineStr">
        <is>
          <t>MXL</t>
        </is>
      </c>
      <c r="G12" t="n">
        <v>900009082</v>
      </c>
      <c r="H12" t="inlineStr">
        <is>
          <t>SF TC-ED TRAYMAQ</t>
        </is>
      </c>
      <c r="I12" t="n">
        <v>5094852</v>
      </c>
      <c r="J12" t="inlineStr">
        <is>
          <t>TRAYMAQ AGREGADOS SA DE CV</t>
        </is>
      </c>
      <c r="K12" t="inlineStr">
        <is>
          <t>Z09</t>
        </is>
      </c>
      <c r="L12" t="inlineStr">
        <is>
          <t>(AP) 90 Dias</t>
        </is>
      </c>
      <c r="M12" t="n">
        <v>10000404</v>
      </c>
      <c r="N12" t="inlineStr">
        <is>
          <t>Grava Triturada Caliza 20 mm - 3/4"</t>
        </is>
      </c>
      <c r="O12" t="inlineStr">
        <is>
          <t>DW81</t>
        </is>
      </c>
      <c r="P12" t="inlineStr">
        <is>
          <t>MX-CED. SALTILLO</t>
        </is>
      </c>
      <c r="Q12" t="n">
        <v>20241223</v>
      </c>
      <c r="R12" t="n">
        <v>20291231</v>
      </c>
      <c r="S12" t="n">
        <v>20241223</v>
      </c>
      <c r="T12" t="n">
        <v>20291231</v>
      </c>
      <c r="U12" t="n">
        <v>350</v>
      </c>
      <c r="V12" t="inlineStr">
        <is>
          <t>MXN</t>
        </is>
      </c>
      <c r="W12" t="inlineStr">
        <is>
          <t>TN</t>
        </is>
      </c>
      <c r="X12" t="n">
        <v>1</v>
      </c>
      <c r="Y12" t="inlineStr">
        <is>
          <t>MXN</t>
        </is>
      </c>
      <c r="Z12" t="inlineStr">
        <is>
          <t>TN</t>
        </is>
      </c>
      <c r="AA12" t="inlineStr">
        <is>
          <t>D171</t>
        </is>
      </c>
      <c r="AB12" t="inlineStr">
        <is>
          <t>PD0016 PIEDRAS NEGRAS</t>
        </is>
      </c>
      <c r="AC12" t="n">
        <v>56103637</v>
      </c>
      <c r="AD12" t="n">
        <v>6644381540</v>
      </c>
      <c r="AE12" t="n">
        <v>4</v>
      </c>
      <c r="AF12" t="inlineStr">
        <is>
          <t>ENTREGA DIRECTA</t>
        </is>
      </c>
      <c r="AG12" t="n">
        <v>1</v>
      </c>
      <c r="AH12" t="inlineStr">
        <is>
          <t>TO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20241227</v>
      </c>
      <c r="AM12" t="inlineStr">
        <is>
          <t>DW81-900009082-D171-10000404-4</t>
        </is>
      </c>
    </row>
    <row r="13">
      <c r="A13" t="inlineStr">
        <is>
          <t>900009082DW81D14910000404</t>
        </is>
      </c>
      <c r="B13" t="inlineStr">
        <is>
          <t>4600070692-40</t>
        </is>
      </c>
      <c r="C13" t="n">
        <v>4600070692</v>
      </c>
      <c r="D13" t="n">
        <v>40</v>
      </c>
      <c r="E13" t="inlineStr">
        <is>
          <t>MXPO</t>
        </is>
      </c>
      <c r="F13" t="inlineStr">
        <is>
          <t>MXL</t>
        </is>
      </c>
      <c r="G13" t="n">
        <v>900009082</v>
      </c>
      <c r="H13" t="inlineStr">
        <is>
          <t>SF TC-ED TRAYMAQ</t>
        </is>
      </c>
      <c r="I13" t="n">
        <v>5094852</v>
      </c>
      <c r="J13" t="inlineStr">
        <is>
          <t>TRAYMAQ AGREGADOS SA DE CV</t>
        </is>
      </c>
      <c r="K13" t="inlineStr">
        <is>
          <t>Z09</t>
        </is>
      </c>
      <c r="L13" t="inlineStr">
        <is>
          <t>(AP) 90 Dias</t>
        </is>
      </c>
      <c r="M13" t="n">
        <v>10000404</v>
      </c>
      <c r="N13" t="inlineStr">
        <is>
          <t>Grava Triturada Caliza 20 mm - 3/4"</t>
        </is>
      </c>
      <c r="O13" t="inlineStr">
        <is>
          <t>DW81</t>
        </is>
      </c>
      <c r="P13" t="inlineStr">
        <is>
          <t>MX-CED. SALTILLO</t>
        </is>
      </c>
      <c r="Q13" t="n">
        <v>20241223</v>
      </c>
      <c r="R13" t="n">
        <v>20291231</v>
      </c>
      <c r="S13" t="n">
        <v>20241223</v>
      </c>
      <c r="T13" t="n">
        <v>20291231</v>
      </c>
      <c r="U13" t="n">
        <v>475</v>
      </c>
      <c r="V13" t="inlineStr">
        <is>
          <t>MXN</t>
        </is>
      </c>
      <c r="W13" t="inlineStr">
        <is>
          <t>TN</t>
        </is>
      </c>
      <c r="X13" t="n">
        <v>125</v>
      </c>
      <c r="Y13" t="inlineStr">
        <is>
          <t>MXN</t>
        </is>
      </c>
      <c r="Z13" t="inlineStr">
        <is>
          <t>TN</t>
        </is>
      </c>
      <c r="AA13" t="inlineStr">
        <is>
          <t>D149</t>
        </is>
      </c>
      <c r="AB13" t="inlineStr">
        <is>
          <t>PD051 ACUÑA</t>
        </is>
      </c>
      <c r="AC13" t="n">
        <v>56103637</v>
      </c>
      <c r="AD13" t="n">
        <v>6644381540</v>
      </c>
      <c r="AE13" t="n">
        <v>4</v>
      </c>
      <c r="AF13" t="inlineStr">
        <is>
          <t>ENTREGA DIRECTA</t>
        </is>
      </c>
      <c r="AG13" t="n">
        <v>1</v>
      </c>
      <c r="AH13" t="inlineStr">
        <is>
          <t>TO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20241227</v>
      </c>
      <c r="AM13" t="inlineStr">
        <is>
          <t>DW81-900009082-D149-10000404-4</t>
        </is>
      </c>
    </row>
    <row r="14">
      <c r="A14" t="inlineStr">
        <is>
          <t>900009082DW81D17110000572</t>
        </is>
      </c>
      <c r="B14" t="inlineStr">
        <is>
          <t>4600070692-10</t>
        </is>
      </c>
      <c r="C14" t="n">
        <v>4600070692</v>
      </c>
      <c r="D14" t="n">
        <v>10</v>
      </c>
      <c r="E14" t="inlineStr">
        <is>
          <t>MXPO</t>
        </is>
      </c>
      <c r="F14" t="inlineStr">
        <is>
          <t>MXL</t>
        </is>
      </c>
      <c r="G14" t="n">
        <v>900009082</v>
      </c>
      <c r="H14" t="inlineStr">
        <is>
          <t>SF TC-ED TRAYMAQ</t>
        </is>
      </c>
      <c r="I14" t="n">
        <v>5094852</v>
      </c>
      <c r="J14" t="inlineStr">
        <is>
          <t>TRAYMAQ AGREGADOS SA DE CV</t>
        </is>
      </c>
      <c r="K14" t="inlineStr">
        <is>
          <t>Z09</t>
        </is>
      </c>
      <c r="L14" t="inlineStr">
        <is>
          <t>(AP) 90 Dias</t>
        </is>
      </c>
      <c r="M14" t="n">
        <v>10000572</v>
      </c>
      <c r="N14" t="inlineStr">
        <is>
          <t>Arena Triturada Caliza Malla 4</t>
        </is>
      </c>
      <c r="O14" t="inlineStr">
        <is>
          <t>DW81</t>
        </is>
      </c>
      <c r="P14" t="inlineStr">
        <is>
          <t>MX-CED. SALTILLO</t>
        </is>
      </c>
      <c r="Q14" t="n">
        <v>20241223</v>
      </c>
      <c r="R14" t="n">
        <v>20291231</v>
      </c>
      <c r="S14" t="n">
        <v>20241223</v>
      </c>
      <c r="T14" t="n">
        <v>20291231</v>
      </c>
      <c r="U14" t="n">
        <v>350</v>
      </c>
      <c r="V14" t="inlineStr">
        <is>
          <t>MXN</t>
        </is>
      </c>
      <c r="W14" t="inlineStr">
        <is>
          <t>TN</t>
        </is>
      </c>
      <c r="X14" t="n">
        <v>1</v>
      </c>
      <c r="Y14" t="inlineStr">
        <is>
          <t>MXN</t>
        </is>
      </c>
      <c r="Z14" t="inlineStr">
        <is>
          <t>TN</t>
        </is>
      </c>
      <c r="AA14" t="inlineStr">
        <is>
          <t>D171</t>
        </is>
      </c>
      <c r="AB14" t="inlineStr">
        <is>
          <t>PD0016 PIEDRAS NEGRAS</t>
        </is>
      </c>
      <c r="AC14" t="n">
        <v>56103638</v>
      </c>
      <c r="AD14" t="n">
        <v>6644381540</v>
      </c>
      <c r="AE14" t="n">
        <v>4</v>
      </c>
      <c r="AF14" t="inlineStr">
        <is>
          <t>ENTREGA DIRECTA</t>
        </is>
      </c>
      <c r="AG14" t="n">
        <v>1</v>
      </c>
      <c r="AH14" t="inlineStr">
        <is>
          <t>TO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20241227</v>
      </c>
      <c r="AM14" t="inlineStr">
        <is>
          <t>DW81-900009082-D171-10000572-4</t>
        </is>
      </c>
    </row>
    <row r="15">
      <c r="A15" t="inlineStr">
        <is>
          <t>900007998DW81D14810000404</t>
        </is>
      </c>
      <c r="B15" t="inlineStr">
        <is>
          <t>4600068584-30</t>
        </is>
      </c>
      <c r="C15" t="n">
        <v>4600068584</v>
      </c>
      <c r="D15" t="n">
        <v>30</v>
      </c>
      <c r="E15" t="inlineStr">
        <is>
          <t>MXPO</t>
        </is>
      </c>
      <c r="F15" t="inlineStr">
        <is>
          <t>MXL</t>
        </is>
      </c>
      <c r="G15" t="n">
        <v>900007998</v>
      </c>
      <c r="H15" t="inlineStr">
        <is>
          <t>SF TC-ED-MATERIALES AMEZCUA</t>
        </is>
      </c>
      <c r="I15" t="n">
        <v>5086022</v>
      </c>
      <c r="J15" t="inlineStr">
        <is>
          <t>MATERIALES RENE AMEZCUA SA DE CV</t>
        </is>
      </c>
      <c r="K15" t="inlineStr">
        <is>
          <t>N90</t>
        </is>
      </c>
      <c r="L15" t="inlineStr">
        <is>
          <t>(AP) NAFIN 90 Dias</t>
        </is>
      </c>
      <c r="M15" t="n">
        <v>10000404</v>
      </c>
      <c r="N15" t="inlineStr">
        <is>
          <t>Grava Triturada Caliza 20 mm - 3/4"</t>
        </is>
      </c>
      <c r="O15" t="inlineStr">
        <is>
          <t>DW81</t>
        </is>
      </c>
      <c r="P15" t="inlineStr">
        <is>
          <t>MX-CED. SALTILLO</t>
        </is>
      </c>
      <c r="Q15" t="n">
        <v>20231006</v>
      </c>
      <c r="R15" t="n">
        <v>20291231</v>
      </c>
      <c r="S15" t="n">
        <v>20240320</v>
      </c>
      <c r="T15" t="n">
        <v>20291231</v>
      </c>
      <c r="U15" t="n">
        <v>228</v>
      </c>
      <c r="V15" t="inlineStr">
        <is>
          <t>MXN</t>
        </is>
      </c>
      <c r="W15" t="inlineStr">
        <is>
          <t>TN</t>
        </is>
      </c>
      <c r="X15" t="n">
        <v>40</v>
      </c>
      <c r="Y15" t="inlineStr">
        <is>
          <t>MXN</t>
        </is>
      </c>
      <c r="Z15" t="inlineStr">
        <is>
          <t>TN</t>
        </is>
      </c>
      <c r="AA15" t="inlineStr">
        <is>
          <t>D148</t>
        </is>
      </c>
      <c r="AB15" t="inlineStr">
        <is>
          <t>PD032 CASTAÑOS</t>
        </is>
      </c>
      <c r="AC15" t="n">
        <v>56103637</v>
      </c>
      <c r="AD15" t="n">
        <v>6644381540</v>
      </c>
      <c r="AE15" t="n">
        <v>4</v>
      </c>
      <c r="AF15" t="inlineStr">
        <is>
          <t>ENTREGA DIRECTA</t>
        </is>
      </c>
      <c r="AG15" t="n">
        <v>1</v>
      </c>
      <c r="AH15" t="inlineStr">
        <is>
          <t>TO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20240326</v>
      </c>
      <c r="AM15" t="inlineStr">
        <is>
          <t>DW81-900007998-D148-10000404-4</t>
        </is>
      </c>
    </row>
    <row r="16">
      <c r="A16" t="inlineStr">
        <is>
          <t>900007998DW81D14810000572</t>
        </is>
      </c>
      <c r="B16" t="inlineStr">
        <is>
          <t>4600068584-40</t>
        </is>
      </c>
      <c r="C16" t="n">
        <v>4600068584</v>
      </c>
      <c r="D16" t="n">
        <v>40</v>
      </c>
      <c r="E16" t="inlineStr">
        <is>
          <t>MXPO</t>
        </is>
      </c>
      <c r="F16" t="inlineStr">
        <is>
          <t>MXL</t>
        </is>
      </c>
      <c r="G16" t="n">
        <v>900007998</v>
      </c>
      <c r="H16" t="inlineStr">
        <is>
          <t>SF TC-ED-MATERIALES AMEZCUA</t>
        </is>
      </c>
      <c r="I16" t="n">
        <v>5086022</v>
      </c>
      <c r="J16" t="inlineStr">
        <is>
          <t>MATERIALES RENE AMEZCUA SA DE CV</t>
        </is>
      </c>
      <c r="K16" t="inlineStr">
        <is>
          <t>N90</t>
        </is>
      </c>
      <c r="L16" t="inlineStr">
        <is>
          <t>(AP) NAFIN 90 Dias</t>
        </is>
      </c>
      <c r="M16" t="n">
        <v>10000572</v>
      </c>
      <c r="N16" t="inlineStr">
        <is>
          <t>Arena Triturada Caliza Malla 4</t>
        </is>
      </c>
      <c r="O16" t="inlineStr">
        <is>
          <t>DW81</t>
        </is>
      </c>
      <c r="P16" t="inlineStr">
        <is>
          <t>MX-CED. SALTILLO</t>
        </is>
      </c>
      <c r="Q16" t="n">
        <v>20231006</v>
      </c>
      <c r="R16" t="n">
        <v>20291231</v>
      </c>
      <c r="S16" t="n">
        <v>20240320</v>
      </c>
      <c r="T16" t="n">
        <v>20291231</v>
      </c>
      <c r="U16" t="n">
        <v>228</v>
      </c>
      <c r="V16" t="inlineStr">
        <is>
          <t>MXN</t>
        </is>
      </c>
      <c r="W16" t="inlineStr">
        <is>
          <t>TN</t>
        </is>
      </c>
      <c r="X16" t="n">
        <v>40</v>
      </c>
      <c r="Y16" t="inlineStr">
        <is>
          <t>MXN</t>
        </is>
      </c>
      <c r="Z16" t="inlineStr">
        <is>
          <t>TN</t>
        </is>
      </c>
      <c r="AA16" t="inlineStr">
        <is>
          <t>D148</t>
        </is>
      </c>
      <c r="AB16" t="inlineStr">
        <is>
          <t>PD032 CASTAÑOS</t>
        </is>
      </c>
      <c r="AC16" t="n">
        <v>56103638</v>
      </c>
      <c r="AD16" t="n">
        <v>6644381540</v>
      </c>
      <c r="AE16" t="n">
        <v>4</v>
      </c>
      <c r="AF16" t="inlineStr">
        <is>
          <t>ENTREGA DIRECTA</t>
        </is>
      </c>
      <c r="AG16" t="n">
        <v>1</v>
      </c>
      <c r="AH16" t="inlineStr">
        <is>
          <t>TO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20240326</v>
      </c>
      <c r="AM16" t="inlineStr">
        <is>
          <t>DW81-900007998-D148-10000572-4</t>
        </is>
      </c>
    </row>
    <row r="17">
      <c r="A17" t="inlineStr">
        <is>
          <t>900000007DW81D14910000572</t>
        </is>
      </c>
      <c r="B17" t="inlineStr">
        <is>
          <t>4600069516-40</t>
        </is>
      </c>
      <c r="C17" t="n">
        <v>4600069516</v>
      </c>
      <c r="D17" t="n">
        <v>40</v>
      </c>
      <c r="E17" t="inlineStr">
        <is>
          <t>MXPO</t>
        </is>
      </c>
      <c r="F17" t="inlineStr">
        <is>
          <t>MXL</t>
        </is>
      </c>
      <c r="G17" t="n">
        <v>900000007</v>
      </c>
      <c r="H17" t="inlineStr">
        <is>
          <t>TC-ED-CONTRISSA</t>
        </is>
      </c>
      <c r="I17" t="n">
        <v>5001240</v>
      </c>
      <c r="J17" t="inlineStr">
        <is>
          <t>CONTRISSA</t>
        </is>
      </c>
      <c r="K17" t="inlineStr">
        <is>
          <t>N90</t>
        </is>
      </c>
      <c r="L17" t="inlineStr">
        <is>
          <t>(AP) NAFIN 90 Dias</t>
        </is>
      </c>
      <c r="M17" t="n">
        <v>10000572</v>
      </c>
      <c r="N17" t="inlineStr">
        <is>
          <t>Arena Triturada Caliza Malla 4</t>
        </is>
      </c>
      <c r="O17" t="inlineStr">
        <is>
          <t>DW81</t>
        </is>
      </c>
      <c r="P17" t="inlineStr">
        <is>
          <t>MX-CED. SALTILLO</t>
        </is>
      </c>
      <c r="Q17" t="n">
        <v>20240513</v>
      </c>
      <c r="R17" t="n">
        <v>20291231</v>
      </c>
      <c r="S17" t="n">
        <v>20240513</v>
      </c>
      <c r="T17" t="n">
        <v>20291231</v>
      </c>
      <c r="U17" t="n">
        <v>466</v>
      </c>
      <c r="V17" t="inlineStr">
        <is>
          <t>MXN</t>
        </is>
      </c>
      <c r="W17" t="inlineStr">
        <is>
          <t>TN</t>
        </is>
      </c>
      <c r="X17" t="n">
        <v>280</v>
      </c>
      <c r="Y17" t="inlineStr">
        <is>
          <t>MXN</t>
        </is>
      </c>
      <c r="Z17" t="inlineStr">
        <is>
          <t>TN</t>
        </is>
      </c>
      <c r="AA17" t="inlineStr">
        <is>
          <t>D149</t>
        </is>
      </c>
      <c r="AB17" t="inlineStr">
        <is>
          <t>PD051 ACUÑA</t>
        </is>
      </c>
      <c r="AC17" t="n">
        <v>56103638</v>
      </c>
      <c r="AD17" t="n">
        <v>6644381540</v>
      </c>
      <c r="AE17" t="n">
        <v>4</v>
      </c>
      <c r="AF17" t="inlineStr">
        <is>
          <t>ENTREGA DIRECTA</t>
        </is>
      </c>
      <c r="AG17" t="n">
        <v>1</v>
      </c>
      <c r="AH17" t="inlineStr">
        <is>
          <t>TO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20240516</v>
      </c>
      <c r="AM17" t="inlineStr">
        <is>
          <t>DW81-900000007-D149-10000572-4</t>
        </is>
      </c>
    </row>
    <row r="18">
      <c r="A18" t="inlineStr">
        <is>
          <t>900000007DW81D14910000404</t>
        </is>
      </c>
      <c r="B18" t="inlineStr">
        <is>
          <t>4600069516-30</t>
        </is>
      </c>
      <c r="C18" t="n">
        <v>4600069516</v>
      </c>
      <c r="D18" t="n">
        <v>30</v>
      </c>
      <c r="E18" t="inlineStr">
        <is>
          <t>MXPO</t>
        </is>
      </c>
      <c r="F18" t="inlineStr">
        <is>
          <t>MXL</t>
        </is>
      </c>
      <c r="G18" t="n">
        <v>900000007</v>
      </c>
      <c r="H18" t="inlineStr">
        <is>
          <t>TC-ED-CONTRISSA</t>
        </is>
      </c>
      <c r="I18" t="n">
        <v>5001240</v>
      </c>
      <c r="J18" t="inlineStr">
        <is>
          <t>CONTRISSA</t>
        </is>
      </c>
      <c r="K18" t="inlineStr">
        <is>
          <t>N90</t>
        </is>
      </c>
      <c r="L18" t="inlineStr">
        <is>
          <t>(AP) NAFIN 90 Dias</t>
        </is>
      </c>
      <c r="M18" t="n">
        <v>10000404</v>
      </c>
      <c r="N18" t="inlineStr">
        <is>
          <t>Grava Triturada Caliza 20 mm - 3/4"</t>
        </is>
      </c>
      <c r="O18" t="inlineStr">
        <is>
          <t>DW81</t>
        </is>
      </c>
      <c r="P18" t="inlineStr">
        <is>
          <t>MX-CED. SALTILLO</t>
        </is>
      </c>
      <c r="Q18" t="n">
        <v>20240513</v>
      </c>
      <c r="R18" t="n">
        <v>20291231</v>
      </c>
      <c r="S18" t="n">
        <v>20240513</v>
      </c>
      <c r="T18" t="n">
        <v>20291231</v>
      </c>
      <c r="U18" t="n">
        <v>466</v>
      </c>
      <c r="V18" t="inlineStr">
        <is>
          <t>MXN</t>
        </is>
      </c>
      <c r="W18" t="inlineStr">
        <is>
          <t>TN</t>
        </is>
      </c>
      <c r="X18" t="n">
        <v>280</v>
      </c>
      <c r="Y18" t="inlineStr">
        <is>
          <t>MXN</t>
        </is>
      </c>
      <c r="Z18" t="inlineStr">
        <is>
          <t>TN</t>
        </is>
      </c>
      <c r="AA18" t="inlineStr">
        <is>
          <t>D149</t>
        </is>
      </c>
      <c r="AB18" t="inlineStr">
        <is>
          <t>PD051 ACUÑA</t>
        </is>
      </c>
      <c r="AC18" t="n">
        <v>56103637</v>
      </c>
      <c r="AD18" t="n">
        <v>6644381540</v>
      </c>
      <c r="AE18" t="n">
        <v>4</v>
      </c>
      <c r="AF18" t="inlineStr">
        <is>
          <t>ENTREGA DIRECTA</t>
        </is>
      </c>
      <c r="AG18" t="n">
        <v>1</v>
      </c>
      <c r="AH18" t="inlineStr">
        <is>
          <t>TO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20240516</v>
      </c>
      <c r="AM18" t="inlineStr">
        <is>
          <t>DW81-900000007-D149-10000404-4</t>
        </is>
      </c>
    </row>
    <row r="19">
      <c r="A19" t="inlineStr">
        <is>
          <t>900000007DW81D14810000404</t>
        </is>
      </c>
      <c r="B19" t="inlineStr">
        <is>
          <t>4600069516-10</t>
        </is>
      </c>
      <c r="C19" t="n">
        <v>4600069516</v>
      </c>
      <c r="D19" t="n">
        <v>10</v>
      </c>
      <c r="E19" t="inlineStr">
        <is>
          <t>MXPO</t>
        </is>
      </c>
      <c r="F19" t="inlineStr">
        <is>
          <t>MXL</t>
        </is>
      </c>
      <c r="G19" t="n">
        <v>900000007</v>
      </c>
      <c r="H19" t="inlineStr">
        <is>
          <t>TC-ED-CONTRISSA</t>
        </is>
      </c>
      <c r="I19" t="n">
        <v>5001240</v>
      </c>
      <c r="J19" t="inlineStr">
        <is>
          <t>CONTRISSA</t>
        </is>
      </c>
      <c r="K19" t="inlineStr">
        <is>
          <t>N90</t>
        </is>
      </c>
      <c r="L19" t="inlineStr">
        <is>
          <t>(AP) NAFIN 90 Dias</t>
        </is>
      </c>
      <c r="M19" t="n">
        <v>10000404</v>
      </c>
      <c r="N19" t="inlineStr">
        <is>
          <t>Grava Triturada Caliza 20 mm - 3/4"</t>
        </is>
      </c>
      <c r="O19" t="inlineStr">
        <is>
          <t>DW81</t>
        </is>
      </c>
      <c r="P19" t="inlineStr">
        <is>
          <t>MX-CED. SALTILLO</t>
        </is>
      </c>
      <c r="Q19" t="n">
        <v>20240513</v>
      </c>
      <c r="R19" t="n">
        <v>20291231</v>
      </c>
      <c r="S19" t="n">
        <v>20241018</v>
      </c>
      <c r="T19" t="n">
        <v>20291231</v>
      </c>
      <c r="U19" t="n">
        <v>225</v>
      </c>
      <c r="V19" t="inlineStr">
        <is>
          <t>MXN</t>
        </is>
      </c>
      <c r="W19" t="inlineStr">
        <is>
          <t>TN</t>
        </is>
      </c>
      <c r="X19" t="n">
        <v>47</v>
      </c>
      <c r="Y19" t="inlineStr">
        <is>
          <t>MXN</t>
        </is>
      </c>
      <c r="Z19" t="inlineStr">
        <is>
          <t>TN</t>
        </is>
      </c>
      <c r="AA19" t="inlineStr">
        <is>
          <t>D148</t>
        </is>
      </c>
      <c r="AB19" t="inlineStr">
        <is>
          <t>PD032 CASTAÑOS</t>
        </is>
      </c>
      <c r="AC19" t="n">
        <v>56103637</v>
      </c>
      <c r="AD19" t="n">
        <v>6644381540</v>
      </c>
      <c r="AE19" t="n">
        <v>4</v>
      </c>
      <c r="AF19" t="inlineStr">
        <is>
          <t>ENTREGA DIRECTA</t>
        </is>
      </c>
      <c r="AG19" t="n">
        <v>1</v>
      </c>
      <c r="AH19" t="inlineStr">
        <is>
          <t>TO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20241024</v>
      </c>
      <c r="AM19" t="inlineStr">
        <is>
          <t>DW81-900000007-D148-10000404-4</t>
        </is>
      </c>
    </row>
    <row r="20">
      <c r="A20" t="inlineStr">
        <is>
          <t>900000007DW81D14810000572</t>
        </is>
      </c>
      <c r="B20" t="inlineStr">
        <is>
          <t>4600069516-20</t>
        </is>
      </c>
      <c r="C20" t="n">
        <v>4600069516</v>
      </c>
      <c r="D20" t="n">
        <v>20</v>
      </c>
      <c r="E20" t="inlineStr">
        <is>
          <t>MXPO</t>
        </is>
      </c>
      <c r="F20" t="inlineStr">
        <is>
          <t>MXL</t>
        </is>
      </c>
      <c r="G20" t="n">
        <v>900000007</v>
      </c>
      <c r="H20" t="inlineStr">
        <is>
          <t>TC-ED-CONTRISSA</t>
        </is>
      </c>
      <c r="I20" t="n">
        <v>5001240</v>
      </c>
      <c r="J20" t="inlineStr">
        <is>
          <t>CONTRISSA</t>
        </is>
      </c>
      <c r="K20" t="inlineStr">
        <is>
          <t>N90</t>
        </is>
      </c>
      <c r="L20" t="inlineStr">
        <is>
          <t>(AP) NAFIN 90 Dias</t>
        </is>
      </c>
      <c r="M20" t="n">
        <v>10000572</v>
      </c>
      <c r="N20" t="inlineStr">
        <is>
          <t>Arena Triturada Caliza Malla 4</t>
        </is>
      </c>
      <c r="O20" t="inlineStr">
        <is>
          <t>DW81</t>
        </is>
      </c>
      <c r="P20" t="inlineStr">
        <is>
          <t>MX-CED. SALTILLO</t>
        </is>
      </c>
      <c r="Q20" t="n">
        <v>20240513</v>
      </c>
      <c r="R20" t="n">
        <v>20291231</v>
      </c>
      <c r="S20" t="n">
        <v>20241018</v>
      </c>
      <c r="T20" t="n">
        <v>20291231</v>
      </c>
      <c r="U20" t="n">
        <v>225</v>
      </c>
      <c r="V20" t="inlineStr">
        <is>
          <t>MXN</t>
        </is>
      </c>
      <c r="W20" t="inlineStr">
        <is>
          <t>TN</t>
        </is>
      </c>
      <c r="X20" t="n">
        <v>47</v>
      </c>
      <c r="Y20" t="inlineStr">
        <is>
          <t>MXN</t>
        </is>
      </c>
      <c r="Z20" t="inlineStr">
        <is>
          <t>TN</t>
        </is>
      </c>
      <c r="AA20" t="inlineStr">
        <is>
          <t>D148</t>
        </is>
      </c>
      <c r="AB20" t="inlineStr">
        <is>
          <t>PD032 CASTAÑOS</t>
        </is>
      </c>
      <c r="AC20" t="n">
        <v>56103638</v>
      </c>
      <c r="AD20" t="n">
        <v>6644381540</v>
      </c>
      <c r="AE20" t="n">
        <v>4</v>
      </c>
      <c r="AF20" t="inlineStr">
        <is>
          <t>ENTREGA DIRECTA</t>
        </is>
      </c>
      <c r="AG20" t="n">
        <v>1</v>
      </c>
      <c r="AH20" t="inlineStr">
        <is>
          <t>TO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20241024</v>
      </c>
      <c r="AM20" t="inlineStr">
        <is>
          <t>DW81-900000007-D148-10000572-4</t>
        </is>
      </c>
    </row>
    <row r="21">
      <c r="A21" t="inlineStr">
        <is>
          <t>900007998DW81D17110000572</t>
        </is>
      </c>
      <c r="B21" t="inlineStr">
        <is>
          <t>4600068584-20</t>
        </is>
      </c>
      <c r="C21" t="n">
        <v>4600068584</v>
      </c>
      <c r="D21" t="n">
        <v>20</v>
      </c>
      <c r="E21" t="inlineStr">
        <is>
          <t>MXPO</t>
        </is>
      </c>
      <c r="F21" t="inlineStr">
        <is>
          <t>MXL</t>
        </is>
      </c>
      <c r="G21" t="n">
        <v>900007998</v>
      </c>
      <c r="H21" t="inlineStr">
        <is>
          <t>SF TC-ED-MATERIALES AMEZCUA</t>
        </is>
      </c>
      <c r="I21" t="n">
        <v>5086022</v>
      </c>
      <c r="J21" t="inlineStr">
        <is>
          <t>MATERIALES RENE AMEZCUA SA DE CV</t>
        </is>
      </c>
      <c r="K21" t="inlineStr">
        <is>
          <t>N90</t>
        </is>
      </c>
      <c r="L21" t="inlineStr">
        <is>
          <t>(AP) NAFIN 90 Dias</t>
        </is>
      </c>
      <c r="M21" t="n">
        <v>10000572</v>
      </c>
      <c r="N21" t="inlineStr">
        <is>
          <t>Arena Triturada Caliza Malla 4</t>
        </is>
      </c>
      <c r="O21" t="inlineStr">
        <is>
          <t>DW81</t>
        </is>
      </c>
      <c r="P21" t="inlineStr">
        <is>
          <t>MX-CED. SALTILLO</t>
        </is>
      </c>
      <c r="Q21" t="n">
        <v>20231006</v>
      </c>
      <c r="R21" t="n">
        <v>20291231</v>
      </c>
      <c r="S21" t="n">
        <v>20231006</v>
      </c>
      <c r="T21" t="n">
        <v>20281231</v>
      </c>
      <c r="U21" t="n">
        <v>458</v>
      </c>
      <c r="V21" t="inlineStr">
        <is>
          <t>MXN</t>
        </is>
      </c>
      <c r="W21" t="inlineStr">
        <is>
          <t>TN</t>
        </is>
      </c>
      <c r="X21" t="n">
        <v>295</v>
      </c>
      <c r="Y21" t="inlineStr">
        <is>
          <t>MXN</t>
        </is>
      </c>
      <c r="Z21" t="inlineStr">
        <is>
          <t>TN</t>
        </is>
      </c>
      <c r="AA21" t="inlineStr">
        <is>
          <t>D171</t>
        </is>
      </c>
      <c r="AB21" t="inlineStr">
        <is>
          <t>PD0016 PIEDRAS NEGRAS</t>
        </is>
      </c>
      <c r="AC21" t="n">
        <v>56103638</v>
      </c>
      <c r="AD21" t="n">
        <v>6644381540</v>
      </c>
      <c r="AE21" t="n">
        <v>4</v>
      </c>
      <c r="AF21" t="inlineStr">
        <is>
          <t>ENTREGA DIRECTA</t>
        </is>
      </c>
      <c r="AG21" t="n">
        <v>1</v>
      </c>
      <c r="AH21" t="inlineStr">
        <is>
          <t>TO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20231009</v>
      </c>
      <c r="AM21" t="inlineStr">
        <is>
          <t>DW81-900007998-D171-10000572-4</t>
        </is>
      </c>
    </row>
    <row r="22">
      <c r="A22" t="inlineStr">
        <is>
          <t>900000007DW81D17110000572</t>
        </is>
      </c>
      <c r="B22" t="inlineStr">
        <is>
          <t>4600069516-60</t>
        </is>
      </c>
      <c r="C22" t="n">
        <v>4600069516</v>
      </c>
      <c r="D22" t="n">
        <v>60</v>
      </c>
      <c r="E22" t="inlineStr">
        <is>
          <t>MXPO</t>
        </is>
      </c>
      <c r="F22" t="inlineStr">
        <is>
          <t>MXL</t>
        </is>
      </c>
      <c r="G22" t="n">
        <v>900000007</v>
      </c>
      <c r="H22" t="inlineStr">
        <is>
          <t>TC-ED-CONTRISSA</t>
        </is>
      </c>
      <c r="I22" t="n">
        <v>5001240</v>
      </c>
      <c r="J22" t="inlineStr">
        <is>
          <t>CONTRISSA</t>
        </is>
      </c>
      <c r="K22" t="inlineStr">
        <is>
          <t>N90</t>
        </is>
      </c>
      <c r="L22" t="inlineStr">
        <is>
          <t>(AP) NAFIN 90 Dias</t>
        </is>
      </c>
      <c r="M22" t="n">
        <v>10000572</v>
      </c>
      <c r="N22" t="inlineStr">
        <is>
          <t>Arena Triturada Caliza Malla 4</t>
        </is>
      </c>
      <c r="O22" t="inlineStr">
        <is>
          <t>DW81</t>
        </is>
      </c>
      <c r="P22" t="inlineStr">
        <is>
          <t>MX-CED. SALTILLO</t>
        </is>
      </c>
      <c r="Q22" t="n">
        <v>20240513</v>
      </c>
      <c r="R22" t="n">
        <v>20291231</v>
      </c>
      <c r="S22" t="n">
        <v>20240513</v>
      </c>
      <c r="T22" t="n">
        <v>20291231</v>
      </c>
      <c r="U22" t="n">
        <v>448</v>
      </c>
      <c r="V22" t="inlineStr">
        <is>
          <t>MXN</t>
        </is>
      </c>
      <c r="W22" t="inlineStr">
        <is>
          <t>TN</t>
        </is>
      </c>
      <c r="X22" t="n">
        <v>262</v>
      </c>
      <c r="Y22" t="inlineStr">
        <is>
          <t>MXN</t>
        </is>
      </c>
      <c r="Z22" t="inlineStr">
        <is>
          <t>TN</t>
        </is>
      </c>
      <c r="AA22" t="inlineStr">
        <is>
          <t>D171</t>
        </is>
      </c>
      <c r="AB22" t="inlineStr">
        <is>
          <t>PD0016 PIEDRAS NEGRAS</t>
        </is>
      </c>
      <c r="AC22" t="n">
        <v>56103638</v>
      </c>
      <c r="AD22" t="n">
        <v>6644381540</v>
      </c>
      <c r="AE22" t="n">
        <v>4</v>
      </c>
      <c r="AF22" t="inlineStr">
        <is>
          <t>ENTREGA DIRECTA</t>
        </is>
      </c>
      <c r="AG22" t="n">
        <v>1</v>
      </c>
      <c r="AH22" t="inlineStr">
        <is>
          <t>TO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20240516</v>
      </c>
      <c r="AM22" t="inlineStr">
        <is>
          <t>DW81-900000007-D171-10000572-4</t>
        </is>
      </c>
    </row>
    <row r="23">
      <c r="A23" t="inlineStr">
        <is>
          <t>900002812DW81D17110169585</t>
        </is>
      </c>
      <c r="B23" t="inlineStr">
        <is>
          <t>4600050344-20</t>
        </is>
      </c>
      <c r="C23" t="n">
        <v>4600050344</v>
      </c>
      <c r="D23" t="n">
        <v>20</v>
      </c>
      <c r="E23" t="inlineStr">
        <is>
          <t>MXPO</t>
        </is>
      </c>
      <c r="F23" t="inlineStr">
        <is>
          <t>MXL</t>
        </is>
      </c>
      <c r="G23" t="n">
        <v>900002812</v>
      </c>
      <c r="H23" t="inlineStr">
        <is>
          <t>TC-ED-JAIME DE HOYOS</t>
        </is>
      </c>
      <c r="I23" t="n">
        <v>5006940</v>
      </c>
      <c r="J23" t="inlineStr">
        <is>
          <t>DE HOYOS MEDINA LUIS JAIME</t>
        </is>
      </c>
      <c r="K23" t="inlineStr">
        <is>
          <t>Z04</t>
        </is>
      </c>
      <c r="L23" t="inlineStr">
        <is>
          <t>(AP) 30 Dias</t>
        </is>
      </c>
      <c r="M23" t="n">
        <v>10169585</v>
      </c>
      <c r="N23" t="inlineStr">
        <is>
          <t>GRAVA CLASIFICADA RÍO 10 MM - 3/8"</t>
        </is>
      </c>
      <c r="O23" t="inlineStr">
        <is>
          <t>DW81</t>
        </is>
      </c>
      <c r="P23" t="inlineStr">
        <is>
          <t>MX-CED. SALTILLO</t>
        </is>
      </c>
      <c r="Q23" t="n">
        <v>20231030</v>
      </c>
      <c r="R23" t="n">
        <v>20281231</v>
      </c>
      <c r="S23" t="n">
        <v>20260903</v>
      </c>
      <c r="T23" t="n">
        <v>20301231</v>
      </c>
      <c r="U23" t="n">
        <v>442.62</v>
      </c>
      <c r="V23" t="inlineStr">
        <is>
          <t>MXN</t>
        </is>
      </c>
      <c r="W23" t="inlineStr">
        <is>
          <t>M3</t>
        </is>
      </c>
      <c r="X23" t="n">
        <v>144</v>
      </c>
      <c r="Y23" t="inlineStr">
        <is>
          <t>MXN</t>
        </is>
      </c>
      <c r="Z23" t="inlineStr">
        <is>
          <t>M3</t>
        </is>
      </c>
      <c r="AA23" t="inlineStr">
        <is>
          <t>D171</t>
        </is>
      </c>
      <c r="AB23" t="inlineStr">
        <is>
          <t>PD0016 PIEDRAS NEGRAS</t>
        </is>
      </c>
      <c r="AC23" t="n">
        <v>56103637</v>
      </c>
      <c r="AD23" t="n">
        <v>6644381540</v>
      </c>
      <c r="AE23" t="n">
        <v>4</v>
      </c>
      <c r="AF23" t="inlineStr">
        <is>
          <t>ENTREGA DIRECTA</t>
        </is>
      </c>
      <c r="AG23" t="n">
        <v>1.487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20260909</v>
      </c>
      <c r="AM23" t="inlineStr">
        <is>
          <t>DW81-900002812-D171-10169585-4</t>
        </is>
      </c>
    </row>
    <row r="24">
      <c r="A24" t="inlineStr">
        <is>
          <t>900002812DW81D14910000166</t>
        </is>
      </c>
      <c r="B24" t="inlineStr">
        <is>
          <t>4600050344-40</t>
        </is>
      </c>
      <c r="C24" t="n">
        <v>4600050344</v>
      </c>
      <c r="D24" t="n">
        <v>40</v>
      </c>
      <c r="E24" t="inlineStr">
        <is>
          <t>MXPO</t>
        </is>
      </c>
      <c r="F24" t="inlineStr">
        <is>
          <t>MXL</t>
        </is>
      </c>
      <c r="G24" t="n">
        <v>900002812</v>
      </c>
      <c r="H24" t="inlineStr">
        <is>
          <t>TC-ED-JAIME DE HOYOS</t>
        </is>
      </c>
      <c r="I24" t="n">
        <v>5006940</v>
      </c>
      <c r="J24" t="inlineStr">
        <is>
          <t>DE HOYOS MEDINA LUIS JAIME</t>
        </is>
      </c>
      <c r="K24" t="inlineStr">
        <is>
          <t>Z04</t>
        </is>
      </c>
      <c r="L24" t="inlineStr">
        <is>
          <t>(AP) 30 Dias</t>
        </is>
      </c>
      <c r="M24" t="n">
        <v>10000166</v>
      </c>
      <c r="N24" t="inlineStr">
        <is>
          <t>Arena Clasificada Río Malla 4</t>
        </is>
      </c>
      <c r="O24" t="inlineStr">
        <is>
          <t>DW81</t>
        </is>
      </c>
      <c r="P24" t="inlineStr">
        <is>
          <t>MX-CED. SALTILLO</t>
        </is>
      </c>
      <c r="Q24" t="n">
        <v>20231030</v>
      </c>
      <c r="R24" t="n">
        <v>20281231</v>
      </c>
      <c r="S24" t="n">
        <v>20260903</v>
      </c>
      <c r="T24" t="n">
        <v>20301231</v>
      </c>
      <c r="U24" t="n">
        <v>518.62</v>
      </c>
      <c r="V24" t="inlineStr">
        <is>
          <t>MXN</t>
        </is>
      </c>
      <c r="W24" t="inlineStr">
        <is>
          <t>M3</t>
        </is>
      </c>
      <c r="X24" t="n">
        <v>234</v>
      </c>
      <c r="Y24" t="inlineStr">
        <is>
          <t>MXN</t>
        </is>
      </c>
      <c r="Z24" t="inlineStr">
        <is>
          <t>M3</t>
        </is>
      </c>
      <c r="AA24" t="inlineStr">
        <is>
          <t>D149</t>
        </is>
      </c>
      <c r="AB24" t="inlineStr">
        <is>
          <t>PD051 ACUÑA</t>
        </is>
      </c>
      <c r="AC24" t="n">
        <v>56103638</v>
      </c>
      <c r="AD24" t="n">
        <v>6644381540</v>
      </c>
      <c r="AE24" t="n">
        <v>4</v>
      </c>
      <c r="AF24" t="inlineStr">
        <is>
          <t>ENTREGA DIRECTA</t>
        </is>
      </c>
      <c r="AG24" t="n">
        <v>1.57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20260909</v>
      </c>
      <c r="AM24" t="inlineStr">
        <is>
          <t>DW81-900002812-D149-10000166-4</t>
        </is>
      </c>
    </row>
    <row r="25">
      <c r="A25" t="inlineStr">
        <is>
          <t>900002812DW81D17110000166</t>
        </is>
      </c>
      <c r="B25" t="inlineStr">
        <is>
          <t>4600050344-50</t>
        </is>
      </c>
      <c r="C25" t="n">
        <v>4600050344</v>
      </c>
      <c r="D25" t="n">
        <v>50</v>
      </c>
      <c r="E25" t="inlineStr">
        <is>
          <t>MXPO</t>
        </is>
      </c>
      <c r="F25" t="inlineStr">
        <is>
          <t>MXL</t>
        </is>
      </c>
      <c r="G25" t="n">
        <v>900002812</v>
      </c>
      <c r="H25" t="inlineStr">
        <is>
          <t>TC-ED-JAIME DE HOYOS</t>
        </is>
      </c>
      <c r="I25" t="n">
        <v>5006940</v>
      </c>
      <c r="J25" t="inlineStr">
        <is>
          <t>DE HOYOS MEDINA LUIS JAIME</t>
        </is>
      </c>
      <c r="K25" t="inlineStr">
        <is>
          <t>Z04</t>
        </is>
      </c>
      <c r="L25" t="inlineStr">
        <is>
          <t>(AP) 30 Dias</t>
        </is>
      </c>
      <c r="M25" t="n">
        <v>10000166</v>
      </c>
      <c r="N25" t="inlineStr">
        <is>
          <t>Arena Clasificada Río Malla 4</t>
        </is>
      </c>
      <c r="O25" t="inlineStr">
        <is>
          <t>DW81</t>
        </is>
      </c>
      <c r="P25" t="inlineStr">
        <is>
          <t>MX-CED. SALTILLO</t>
        </is>
      </c>
      <c r="Q25" t="n">
        <v>20231030</v>
      </c>
      <c r="R25" t="n">
        <v>20281231</v>
      </c>
      <c r="S25" t="n">
        <v>20260903</v>
      </c>
      <c r="T25" t="n">
        <v>20301231</v>
      </c>
      <c r="U25" t="n">
        <v>442.62</v>
      </c>
      <c r="V25" t="inlineStr">
        <is>
          <t>MXN</t>
        </is>
      </c>
      <c r="W25" t="inlineStr">
        <is>
          <t>M3</t>
        </is>
      </c>
      <c r="X25" t="n">
        <v>144</v>
      </c>
      <c r="Y25" t="inlineStr">
        <is>
          <t>MXN</t>
        </is>
      </c>
      <c r="Z25" t="inlineStr">
        <is>
          <t>M3</t>
        </is>
      </c>
      <c r="AA25" t="inlineStr">
        <is>
          <t>D171</t>
        </is>
      </c>
      <c r="AB25" t="inlineStr">
        <is>
          <t>PD0016 PIEDRAS NEGRAS</t>
        </is>
      </c>
      <c r="AC25" t="n">
        <v>56103638</v>
      </c>
      <c r="AD25" t="n">
        <v>6644381540</v>
      </c>
      <c r="AE25" t="n">
        <v>4</v>
      </c>
      <c r="AF25" t="inlineStr">
        <is>
          <t>ENTREGA DIRECTA</t>
        </is>
      </c>
      <c r="AG25" t="n">
        <v>1.57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20260909</v>
      </c>
      <c r="AM25" t="inlineStr">
        <is>
          <t>DW81-900002812-D171-10000166-4</t>
        </is>
      </c>
    </row>
    <row r="26">
      <c r="A26" t="inlineStr">
        <is>
          <t>900002812DW81D14910000460</t>
        </is>
      </c>
      <c r="B26" t="inlineStr">
        <is>
          <t>4600050344-30</t>
        </is>
      </c>
      <c r="C26" t="n">
        <v>4600050344</v>
      </c>
      <c r="D26" t="n">
        <v>30</v>
      </c>
      <c r="E26" t="inlineStr">
        <is>
          <t>MXPO</t>
        </is>
      </c>
      <c r="F26" t="inlineStr">
        <is>
          <t>MXL</t>
        </is>
      </c>
      <c r="G26" t="n">
        <v>900002812</v>
      </c>
      <c r="H26" t="inlineStr">
        <is>
          <t>TC-ED-JAIME DE HOYOS</t>
        </is>
      </c>
      <c r="I26" t="n">
        <v>5006940</v>
      </c>
      <c r="J26" t="inlineStr">
        <is>
          <t>DE HOYOS MEDINA LUIS JAIME</t>
        </is>
      </c>
      <c r="K26" t="inlineStr">
        <is>
          <t>Z04</t>
        </is>
      </c>
      <c r="L26" t="inlineStr">
        <is>
          <t>(AP) 30 Dias</t>
        </is>
      </c>
      <c r="M26" t="n">
        <v>10000460</v>
      </c>
      <c r="N26" t="inlineStr">
        <is>
          <t>Grava Clasificada Río 20 mm - 3/4"</t>
        </is>
      </c>
      <c r="O26" t="inlineStr">
        <is>
          <t>DW81</t>
        </is>
      </c>
      <c r="P26" t="inlineStr">
        <is>
          <t>MX-CED. SALTILLO</t>
        </is>
      </c>
      <c r="Q26" t="n">
        <v>20231030</v>
      </c>
      <c r="R26" t="n">
        <v>20281231</v>
      </c>
      <c r="S26" t="n">
        <v>20260903</v>
      </c>
      <c r="T26" t="n">
        <v>20301231</v>
      </c>
      <c r="U26" t="n">
        <v>518.62</v>
      </c>
      <c r="V26" t="inlineStr">
        <is>
          <t>MXN</t>
        </is>
      </c>
      <c r="W26" t="inlineStr">
        <is>
          <t>M3</t>
        </is>
      </c>
      <c r="X26" t="n">
        <v>234</v>
      </c>
      <c r="Y26" t="inlineStr">
        <is>
          <t>MXN</t>
        </is>
      </c>
      <c r="Z26" t="inlineStr">
        <is>
          <t>M3</t>
        </is>
      </c>
      <c r="AA26" t="inlineStr">
        <is>
          <t>D149</t>
        </is>
      </c>
      <c r="AB26" t="inlineStr">
        <is>
          <t>PD051 ACUÑA</t>
        </is>
      </c>
      <c r="AC26" t="n">
        <v>56103637</v>
      </c>
      <c r="AD26" t="n">
        <v>6644381540</v>
      </c>
      <c r="AE26" t="n">
        <v>4</v>
      </c>
      <c r="AF26" t="inlineStr">
        <is>
          <t>ENTREGA DIRECTA</t>
        </is>
      </c>
      <c r="AG26" t="n">
        <v>1.5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20260909</v>
      </c>
      <c r="AM26" t="inlineStr">
        <is>
          <t>DW81-900002812-D149-10000460-4</t>
        </is>
      </c>
    </row>
    <row r="27">
      <c r="A27" t="inlineStr">
        <is>
          <t>900002812DW81D17110000460</t>
        </is>
      </c>
      <c r="B27" t="inlineStr">
        <is>
          <t>4600050344-60</t>
        </is>
      </c>
      <c r="C27" t="n">
        <v>4600050344</v>
      </c>
      <c r="D27" t="n">
        <v>60</v>
      </c>
      <c r="E27" t="inlineStr">
        <is>
          <t>MXPO</t>
        </is>
      </c>
      <c r="F27" t="inlineStr">
        <is>
          <t>MXL</t>
        </is>
      </c>
      <c r="G27" t="n">
        <v>900002812</v>
      </c>
      <c r="H27" t="inlineStr">
        <is>
          <t>TC-ED-JAIME DE HOYOS</t>
        </is>
      </c>
      <c r="I27" t="n">
        <v>5006940</v>
      </c>
      <c r="J27" t="inlineStr">
        <is>
          <t>DE HOYOS MEDINA LUIS JAIME</t>
        </is>
      </c>
      <c r="K27" t="inlineStr">
        <is>
          <t>Z04</t>
        </is>
      </c>
      <c r="L27" t="inlineStr">
        <is>
          <t>(AP) 30 Dias</t>
        </is>
      </c>
      <c r="M27" t="n">
        <v>10000460</v>
      </c>
      <c r="N27" t="inlineStr">
        <is>
          <t>Grava Clasificada Río 20 mm - 3/4"</t>
        </is>
      </c>
      <c r="O27" t="inlineStr">
        <is>
          <t>DW81</t>
        </is>
      </c>
      <c r="P27" t="inlineStr">
        <is>
          <t>MX-CED. SALTILLO</t>
        </is>
      </c>
      <c r="Q27" t="n">
        <v>20231030</v>
      </c>
      <c r="R27" t="n">
        <v>20281231</v>
      </c>
      <c r="S27" t="n">
        <v>20260903</v>
      </c>
      <c r="T27" t="n">
        <v>20301231</v>
      </c>
      <c r="U27" t="n">
        <v>442.62</v>
      </c>
      <c r="V27" t="inlineStr">
        <is>
          <t>MXN</t>
        </is>
      </c>
      <c r="W27" t="inlineStr">
        <is>
          <t>M3</t>
        </is>
      </c>
      <c r="X27" t="n">
        <v>144</v>
      </c>
      <c r="Y27" t="inlineStr">
        <is>
          <t>MXN</t>
        </is>
      </c>
      <c r="Z27" t="inlineStr">
        <is>
          <t>M3</t>
        </is>
      </c>
      <c r="AA27" t="inlineStr">
        <is>
          <t>D171</t>
        </is>
      </c>
      <c r="AB27" t="inlineStr">
        <is>
          <t>PD0016 PIEDRAS NEGRAS</t>
        </is>
      </c>
      <c r="AC27" t="n">
        <v>56103637</v>
      </c>
      <c r="AD27" t="n">
        <v>6644381540</v>
      </c>
      <c r="AE27" t="n">
        <v>4</v>
      </c>
      <c r="AF27" t="inlineStr">
        <is>
          <t>ENTREGA DIRECTA</t>
        </is>
      </c>
      <c r="AG27" t="n">
        <v>1.5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20260909</v>
      </c>
      <c r="AM27" t="inlineStr">
        <is>
          <t>DW81-900002812-D171-10000460-4</t>
        </is>
      </c>
    </row>
    <row r="28">
      <c r="A28" t="inlineStr">
        <is>
          <t>900002812DW81D14910169585</t>
        </is>
      </c>
      <c r="B28" t="inlineStr">
        <is>
          <t>4600050344-10</t>
        </is>
      </c>
      <c r="C28" t="n">
        <v>4600050344</v>
      </c>
      <c r="D28" t="n">
        <v>10</v>
      </c>
      <c r="E28" t="inlineStr">
        <is>
          <t>MXPO</t>
        </is>
      </c>
      <c r="F28" t="inlineStr">
        <is>
          <t>MXL</t>
        </is>
      </c>
      <c r="G28" t="n">
        <v>900002812</v>
      </c>
      <c r="H28" t="inlineStr">
        <is>
          <t>TC-ED-JAIME DE HOYOS</t>
        </is>
      </c>
      <c r="I28" t="n">
        <v>5006940</v>
      </c>
      <c r="J28" t="inlineStr">
        <is>
          <t>DE HOYOS MEDINA LUIS JAIME</t>
        </is>
      </c>
      <c r="K28" t="inlineStr">
        <is>
          <t>Z04</t>
        </is>
      </c>
      <c r="L28" t="inlineStr">
        <is>
          <t>(AP) 30 Dias</t>
        </is>
      </c>
      <c r="M28" t="n">
        <v>10169585</v>
      </c>
      <c r="N28" t="inlineStr">
        <is>
          <t>GRAVA CLASIFICADA RÍO 10 MM - 3/8"</t>
        </is>
      </c>
      <c r="O28" t="inlineStr">
        <is>
          <t>DW81</t>
        </is>
      </c>
      <c r="P28" t="inlineStr">
        <is>
          <t>MX-CED. SALTILLO</t>
        </is>
      </c>
      <c r="Q28" t="n">
        <v>20231030</v>
      </c>
      <c r="R28" t="n">
        <v>20281231</v>
      </c>
      <c r="S28" t="n">
        <v>20260903</v>
      </c>
      <c r="T28" t="n">
        <v>20301231</v>
      </c>
      <c r="U28" t="n">
        <v>518.62</v>
      </c>
      <c r="V28" t="inlineStr">
        <is>
          <t>MXN</t>
        </is>
      </c>
      <c r="W28" t="inlineStr">
        <is>
          <t>M3</t>
        </is>
      </c>
      <c r="X28" t="n">
        <v>234</v>
      </c>
      <c r="Y28" t="inlineStr">
        <is>
          <t>MXN</t>
        </is>
      </c>
      <c r="Z28" t="inlineStr">
        <is>
          <t>M3</t>
        </is>
      </c>
      <c r="AA28" t="inlineStr">
        <is>
          <t>D149</t>
        </is>
      </c>
      <c r="AB28" t="inlineStr">
        <is>
          <t>PD051 ACUÑA</t>
        </is>
      </c>
      <c r="AC28" t="n">
        <v>56103637</v>
      </c>
      <c r="AD28" t="n">
        <v>6644381540</v>
      </c>
      <c r="AE28" t="n">
        <v>4</v>
      </c>
      <c r="AF28" t="inlineStr">
        <is>
          <t>ENTREGA DIRECTA</t>
        </is>
      </c>
      <c r="AG28" t="n">
        <v>1.487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20260909</v>
      </c>
      <c r="AM28" t="inlineStr">
        <is>
          <t>DW81-900002812-D149-10169585-4</t>
        </is>
      </c>
    </row>
    <row r="29">
      <c r="A29" t="inlineStr">
        <is>
          <t>900008694DW81D14810000404</t>
        </is>
      </c>
      <c r="B29" t="inlineStr">
        <is>
          <t>4600069205-40</t>
        </is>
      </c>
      <c r="C29" t="n">
        <v>4600069205</v>
      </c>
      <c r="D29" t="n">
        <v>40</v>
      </c>
      <c r="E29" t="inlineStr">
        <is>
          <t>MXPO</t>
        </is>
      </c>
      <c r="F29" t="inlineStr">
        <is>
          <t>MXL</t>
        </is>
      </c>
      <c r="G29" t="n">
        <v>900008694</v>
      </c>
      <c r="H29" t="inlineStr">
        <is>
          <t>SF TC-ED TRICABA</t>
        </is>
      </c>
      <c r="I29" t="n">
        <v>5092353</v>
      </c>
      <c r="J29" t="inlineStr">
        <is>
          <t>TRICABA DE SABINAS SA DE CV</t>
        </is>
      </c>
      <c r="K29" t="inlineStr">
        <is>
          <t>N90</t>
        </is>
      </c>
      <c r="L29" t="inlineStr">
        <is>
          <t>(AP) NAFIN 90 Dias</t>
        </is>
      </c>
      <c r="M29" t="n">
        <v>10000404</v>
      </c>
      <c r="N29" t="inlineStr">
        <is>
          <t>Grava Triturada Caliza 20 mm - 3/4"</t>
        </is>
      </c>
      <c r="O29" t="inlineStr">
        <is>
          <t>DW81</t>
        </is>
      </c>
      <c r="P29" t="inlineStr">
        <is>
          <t>MX-CED. SALTILLO</t>
        </is>
      </c>
      <c r="Q29" t="n">
        <v>20240229</v>
      </c>
      <c r="R29" t="n">
        <v>20291231</v>
      </c>
      <c r="S29" t="n">
        <v>20240229</v>
      </c>
      <c r="T29" t="n">
        <v>20291231</v>
      </c>
      <c r="U29" t="n">
        <v>336</v>
      </c>
      <c r="V29" t="inlineStr">
        <is>
          <t>MXN</t>
        </is>
      </c>
      <c r="W29" t="inlineStr">
        <is>
          <t>TN</t>
        </is>
      </c>
      <c r="X29" t="n">
        <v>52.6</v>
      </c>
      <c r="Y29" t="inlineStr">
        <is>
          <t>MXN</t>
        </is>
      </c>
      <c r="Z29" t="inlineStr">
        <is>
          <t>TN</t>
        </is>
      </c>
      <c r="AA29" t="inlineStr">
        <is>
          <t>D148</t>
        </is>
      </c>
      <c r="AB29" t="inlineStr">
        <is>
          <t>PD032 CASTAÑOS</t>
        </is>
      </c>
      <c r="AC29" t="n">
        <v>56103637</v>
      </c>
      <c r="AD29" t="n">
        <v>6644381540</v>
      </c>
      <c r="AE29" t="n">
        <v>4</v>
      </c>
      <c r="AF29" t="inlineStr">
        <is>
          <t>ENTREGA DIRECTA</t>
        </is>
      </c>
      <c r="AG29" t="n">
        <v>1</v>
      </c>
      <c r="AH29" t="inlineStr">
        <is>
          <t>TO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20240307</v>
      </c>
      <c r="AM29" t="inlineStr">
        <is>
          <t>DW81-900008694-D148-10000404-4</t>
        </is>
      </c>
    </row>
    <row r="30">
      <c r="A30" t="inlineStr">
        <is>
          <t>900008694DW81D14810000572</t>
        </is>
      </c>
      <c r="B30" t="inlineStr">
        <is>
          <t>4600069205-30</t>
        </is>
      </c>
      <c r="C30" t="n">
        <v>4600069205</v>
      </c>
      <c r="D30" t="n">
        <v>30</v>
      </c>
      <c r="E30" t="inlineStr">
        <is>
          <t>MXPO</t>
        </is>
      </c>
      <c r="F30" t="inlineStr">
        <is>
          <t>MXL</t>
        </is>
      </c>
      <c r="G30" t="n">
        <v>900008694</v>
      </c>
      <c r="H30" t="inlineStr">
        <is>
          <t>SF TC-ED TRICABA</t>
        </is>
      </c>
      <c r="I30" t="n">
        <v>5092353</v>
      </c>
      <c r="J30" t="inlineStr">
        <is>
          <t>TRICABA DE SABINAS SA DE CV</t>
        </is>
      </c>
      <c r="K30" t="inlineStr">
        <is>
          <t>N90</t>
        </is>
      </c>
      <c r="L30" t="inlineStr">
        <is>
          <t>(AP) NAFIN 90 Dias</t>
        </is>
      </c>
      <c r="M30" t="n">
        <v>10000572</v>
      </c>
      <c r="N30" t="inlineStr">
        <is>
          <t>Arena Triturada Caliza Malla 4</t>
        </is>
      </c>
      <c r="O30" t="inlineStr">
        <is>
          <t>DW81</t>
        </is>
      </c>
      <c r="P30" t="inlineStr">
        <is>
          <t>MX-CED. SALTILLO</t>
        </is>
      </c>
      <c r="Q30" t="n">
        <v>20240229</v>
      </c>
      <c r="R30" t="n">
        <v>20291231</v>
      </c>
      <c r="S30" t="n">
        <v>20240229</v>
      </c>
      <c r="T30" t="n">
        <v>20291231</v>
      </c>
      <c r="U30" t="n">
        <v>340</v>
      </c>
      <c r="V30" t="inlineStr">
        <is>
          <t>MXN</t>
        </is>
      </c>
      <c r="W30" t="inlineStr">
        <is>
          <t>TN</t>
        </is>
      </c>
      <c r="X30" t="n">
        <v>52.6</v>
      </c>
      <c r="Y30" t="inlineStr">
        <is>
          <t>MXN</t>
        </is>
      </c>
      <c r="Z30" t="inlineStr">
        <is>
          <t>TN</t>
        </is>
      </c>
      <c r="AA30" t="inlineStr">
        <is>
          <t>D148</t>
        </is>
      </c>
      <c r="AB30" t="inlineStr">
        <is>
          <t>PD032 CASTAÑOS</t>
        </is>
      </c>
      <c r="AC30" t="n">
        <v>56103638</v>
      </c>
      <c r="AD30" t="n">
        <v>6644381540</v>
      </c>
      <c r="AE30" t="n">
        <v>4</v>
      </c>
      <c r="AF30" t="inlineStr">
        <is>
          <t>ENTREGA DIRECTA</t>
        </is>
      </c>
      <c r="AG30" t="n">
        <v>1</v>
      </c>
      <c r="AH30" t="inlineStr">
        <is>
          <t>TO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20240307</v>
      </c>
      <c r="AM30" t="inlineStr">
        <is>
          <t>DW81-900008694-D148-10000572-4</t>
        </is>
      </c>
    </row>
    <row r="31">
      <c r="A31" t="inlineStr">
        <is>
          <t>900000941DW81D17110000578</t>
        </is>
      </c>
      <c r="B31" t="inlineStr">
        <is>
          <t>4600050336-50</t>
        </is>
      </c>
      <c r="C31" t="n">
        <v>4600050336</v>
      </c>
      <c r="D31" t="n">
        <v>50</v>
      </c>
      <c r="E31" t="inlineStr">
        <is>
          <t>MXPO</t>
        </is>
      </c>
      <c r="F31" t="inlineStr">
        <is>
          <t>MXL</t>
        </is>
      </c>
      <c r="G31" t="n">
        <v>900000941</v>
      </c>
      <c r="H31" t="inlineStr">
        <is>
          <t>TC-ED-GIH</t>
        </is>
      </c>
      <c r="I31" t="n">
        <v>5005072</v>
      </c>
      <c r="J31" t="inlineStr">
        <is>
          <t>GIH D/CERRALVO D/RESPONS LIMIT D/ C</t>
        </is>
      </c>
      <c r="K31" t="inlineStr">
        <is>
          <t>Z06</t>
        </is>
      </c>
      <c r="L31" t="inlineStr">
        <is>
          <t>(AP) 45 Dias</t>
        </is>
      </c>
      <c r="M31" t="n">
        <v>10000578</v>
      </c>
      <c r="N31" t="inlineStr">
        <is>
          <t>Grava Triturada Caliza 20 mm - 3/4"</t>
        </is>
      </c>
      <c r="O31" t="inlineStr">
        <is>
          <t>DW81</t>
        </is>
      </c>
      <c r="P31" t="inlineStr">
        <is>
          <t>MX-CED. SALTILLO</t>
        </is>
      </c>
      <c r="Q31" t="n">
        <v>20210801</v>
      </c>
      <c r="R31" t="n">
        <v>20271231</v>
      </c>
      <c r="S31" t="n">
        <v>20220301</v>
      </c>
      <c r="T31" t="n">
        <v>20271231</v>
      </c>
      <c r="U31" t="n">
        <v>513</v>
      </c>
      <c r="V31" t="inlineStr">
        <is>
          <t>MXN</t>
        </is>
      </c>
      <c r="W31" t="inlineStr">
        <is>
          <t>TN</t>
        </is>
      </c>
      <c r="X31" t="n">
        <v>334</v>
      </c>
      <c r="Y31" t="inlineStr">
        <is>
          <t>MXN</t>
        </is>
      </c>
      <c r="Z31" t="inlineStr">
        <is>
          <t>TN</t>
        </is>
      </c>
      <c r="AA31" t="inlineStr">
        <is>
          <t>D171</t>
        </is>
      </c>
      <c r="AB31" t="inlineStr">
        <is>
          <t>PD0016 PIEDRAS NEGRAS</t>
        </is>
      </c>
      <c r="AC31" t="n">
        <v>56103637</v>
      </c>
      <c r="AD31" t="n">
        <v>6644381540</v>
      </c>
      <c r="AE31" t="n">
        <v>4</v>
      </c>
      <c r="AF31" t="inlineStr">
        <is>
          <t>ENTREGA DIRECTA</t>
        </is>
      </c>
      <c r="AG31" t="n">
        <v>1</v>
      </c>
      <c r="AH31" t="inlineStr">
        <is>
          <t>TO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20230920</v>
      </c>
      <c r="AM31" t="inlineStr">
        <is>
          <t>DW81-900000941-D171-10000578-4</t>
        </is>
      </c>
    </row>
    <row r="32">
      <c r="A32" t="inlineStr">
        <is>
          <t>900002741DW81D19810000402</t>
        </is>
      </c>
      <c r="B32" t="inlineStr">
        <is>
          <t>4600050343-460</t>
        </is>
      </c>
      <c r="C32" t="n">
        <v>4600050343</v>
      </c>
      <c r="D32" t="n">
        <v>460</v>
      </c>
      <c r="E32" t="inlineStr">
        <is>
          <t>MXPO</t>
        </is>
      </c>
      <c r="F32" t="inlineStr">
        <is>
          <t>MXL</t>
        </is>
      </c>
      <c r="G32" t="n">
        <v>900002741</v>
      </c>
      <c r="H32" t="inlineStr">
        <is>
          <t>TC-ED-TRITURADOS GRAMOL SA DE CV</t>
        </is>
      </c>
      <c r="I32" t="n">
        <v>5005459</v>
      </c>
      <c r="J32" t="inlineStr">
        <is>
          <t>TRITURADOS GRAMOL SA DE CV</t>
        </is>
      </c>
      <c r="K32" t="inlineStr">
        <is>
          <t>Z04</t>
        </is>
      </c>
      <c r="L32" t="inlineStr">
        <is>
          <t>(AP) 30 Dias</t>
        </is>
      </c>
      <c r="M32" t="n">
        <v>10000402</v>
      </c>
      <c r="N32" t="inlineStr">
        <is>
          <t>Arena Triturada Caliza Malla 4</t>
        </is>
      </c>
      <c r="O32" t="inlineStr">
        <is>
          <t>DW81</t>
        </is>
      </c>
      <c r="P32" t="inlineStr">
        <is>
          <t>MX-CED. SALTILLO</t>
        </is>
      </c>
      <c r="Q32" t="n">
        <v>20210801</v>
      </c>
      <c r="R32" t="n">
        <v>20291231</v>
      </c>
      <c r="S32" t="n">
        <v>20230216</v>
      </c>
      <c r="T32" t="n">
        <v>20281231</v>
      </c>
      <c r="U32" t="n">
        <v>505.59</v>
      </c>
      <c r="V32" t="inlineStr">
        <is>
          <t>MXN</t>
        </is>
      </c>
      <c r="W32" t="inlineStr">
        <is>
          <t>TN</t>
        </is>
      </c>
      <c r="X32" t="n">
        <v>383.29</v>
      </c>
      <c r="Y32" t="inlineStr">
        <is>
          <t>MXN</t>
        </is>
      </c>
      <c r="Z32" t="inlineStr">
        <is>
          <t>TN</t>
        </is>
      </c>
      <c r="AA32" t="inlineStr">
        <is>
          <t>D198</t>
        </is>
      </c>
      <c r="AB32" t="inlineStr">
        <is>
          <t>PD0239 SALINAS VICTORIA</t>
        </is>
      </c>
      <c r="AC32" t="n">
        <v>56103638</v>
      </c>
      <c r="AD32" t="n">
        <v>6644381540</v>
      </c>
      <c r="AE32" t="n">
        <v>4</v>
      </c>
      <c r="AF32" t="inlineStr">
        <is>
          <t>ENTREGA DIRECTA</t>
        </is>
      </c>
      <c r="AG32" t="n">
        <v>1</v>
      </c>
      <c r="AH32" t="inlineStr">
        <is>
          <t>TO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20230920</v>
      </c>
      <c r="AM32" t="inlineStr">
        <is>
          <t>DW81-900002741-D198-10000402-4</t>
        </is>
      </c>
    </row>
    <row r="33">
      <c r="A33" t="inlineStr">
        <is>
          <t>900000941DW81D14910000136</t>
        </is>
      </c>
      <c r="B33" t="inlineStr">
        <is>
          <t>4600050336-30</t>
        </is>
      </c>
      <c r="C33" t="n">
        <v>4600050336</v>
      </c>
      <c r="D33" t="n">
        <v>30</v>
      </c>
      <c r="E33" t="inlineStr">
        <is>
          <t>MXPO</t>
        </is>
      </c>
      <c r="F33" t="inlineStr">
        <is>
          <t>MXL</t>
        </is>
      </c>
      <c r="G33" t="n">
        <v>900000941</v>
      </c>
      <c r="H33" t="inlineStr">
        <is>
          <t>TC-ED-GIH</t>
        </is>
      </c>
      <c r="I33" t="n">
        <v>5005072</v>
      </c>
      <c r="J33" t="inlineStr">
        <is>
          <t>GIH D/CERRALVO D/RESPONS LIMIT D/ C</t>
        </is>
      </c>
      <c r="K33" t="inlineStr">
        <is>
          <t>Z06</t>
        </is>
      </c>
      <c r="L33" t="inlineStr">
        <is>
          <t>(AP) 45 Dias</t>
        </is>
      </c>
      <c r="M33" t="n">
        <v>10000136</v>
      </c>
      <c r="N33" t="inlineStr">
        <is>
          <t>Arena Triturada Caliza Malla 4</t>
        </is>
      </c>
      <c r="O33" t="inlineStr">
        <is>
          <t>DW81</t>
        </is>
      </c>
      <c r="P33" t="inlineStr">
        <is>
          <t>MX-CED. SALTILLO</t>
        </is>
      </c>
      <c r="Q33" t="n">
        <v>20210801</v>
      </c>
      <c r="R33" t="n">
        <v>20271231</v>
      </c>
      <c r="S33" t="n">
        <v>20220301</v>
      </c>
      <c r="T33" t="n">
        <v>20271231</v>
      </c>
      <c r="U33" t="n">
        <v>537</v>
      </c>
      <c r="V33" t="inlineStr">
        <is>
          <t>MXN</t>
        </is>
      </c>
      <c r="W33" t="inlineStr">
        <is>
          <t>TN</t>
        </is>
      </c>
      <c r="X33" t="n">
        <v>358</v>
      </c>
      <c r="Y33" t="inlineStr">
        <is>
          <t>MXN</t>
        </is>
      </c>
      <c r="Z33" t="inlineStr">
        <is>
          <t>TN</t>
        </is>
      </c>
      <c r="AA33" t="inlineStr">
        <is>
          <t>D149</t>
        </is>
      </c>
      <c r="AB33" t="inlineStr">
        <is>
          <t>PD051 ACUÑA</t>
        </is>
      </c>
      <c r="AC33" t="n">
        <v>56103638</v>
      </c>
      <c r="AD33" t="n">
        <v>6644381540</v>
      </c>
      <c r="AE33" t="n">
        <v>4</v>
      </c>
      <c r="AF33" t="inlineStr">
        <is>
          <t>ENTREGA DIRECTA</t>
        </is>
      </c>
      <c r="AG33" t="n">
        <v>1</v>
      </c>
      <c r="AH33" t="inlineStr">
        <is>
          <t>TO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20230920</v>
      </c>
      <c r="AM33" t="inlineStr">
        <is>
          <t>DW81-900000941-D149-10000136-4</t>
        </is>
      </c>
    </row>
    <row r="34">
      <c r="A34" t="inlineStr">
        <is>
          <t>900002741DW81D19810000407</t>
        </is>
      </c>
      <c r="B34" t="inlineStr">
        <is>
          <t>4600050343-430</t>
        </is>
      </c>
      <c r="C34" t="n">
        <v>4600050343</v>
      </c>
      <c r="D34" t="n">
        <v>430</v>
      </c>
      <c r="E34" t="inlineStr">
        <is>
          <t>MXPO</t>
        </is>
      </c>
      <c r="F34" t="inlineStr">
        <is>
          <t>MXL</t>
        </is>
      </c>
      <c r="G34" t="n">
        <v>900002741</v>
      </c>
      <c r="H34" t="inlineStr">
        <is>
          <t>TC-ED-TRITURADOS GRAMOL SA DE CV</t>
        </is>
      </c>
      <c r="I34" t="n">
        <v>5005459</v>
      </c>
      <c r="J34" t="inlineStr">
        <is>
          <t>TRITURADOS GRAMOL SA DE CV</t>
        </is>
      </c>
      <c r="K34" t="inlineStr">
        <is>
          <t>Z04</t>
        </is>
      </c>
      <c r="L34" t="inlineStr">
        <is>
          <t>(AP) 30 Dias</t>
        </is>
      </c>
      <c r="M34" t="n">
        <v>10000407</v>
      </c>
      <c r="N34" t="inlineStr">
        <is>
          <t>Grava Triturada Caliza 10 mm - 3/8"</t>
        </is>
      </c>
      <c r="O34" t="inlineStr">
        <is>
          <t>DW81</t>
        </is>
      </c>
      <c r="P34" t="inlineStr">
        <is>
          <t>MX-CED. SALTILLO</t>
        </is>
      </c>
      <c r="Q34" t="n">
        <v>20210801</v>
      </c>
      <c r="R34" t="n">
        <v>20291231</v>
      </c>
      <c r="S34" t="n">
        <v>20230216</v>
      </c>
      <c r="T34" t="n">
        <v>20281231</v>
      </c>
      <c r="U34" t="n">
        <v>504.5</v>
      </c>
      <c r="V34" t="inlineStr">
        <is>
          <t>MXN</t>
        </is>
      </c>
      <c r="W34" t="inlineStr">
        <is>
          <t>TN</t>
        </is>
      </c>
      <c r="X34" t="n">
        <v>383.29</v>
      </c>
      <c r="Y34" t="inlineStr">
        <is>
          <t>MXN</t>
        </is>
      </c>
      <c r="Z34" t="inlineStr">
        <is>
          <t>TN</t>
        </is>
      </c>
      <c r="AA34" t="inlineStr">
        <is>
          <t>D198</t>
        </is>
      </c>
      <c r="AB34" t="inlineStr">
        <is>
          <t>PD0239 SALINAS VICTORIA</t>
        </is>
      </c>
      <c r="AC34" t="n">
        <v>56103637</v>
      </c>
      <c r="AD34" t="n">
        <v>6644381540</v>
      </c>
      <c r="AE34" t="n">
        <v>4</v>
      </c>
      <c r="AF34" t="inlineStr">
        <is>
          <t>ENTREGA DIRECTA</t>
        </is>
      </c>
      <c r="AG34" t="n">
        <v>1</v>
      </c>
      <c r="AH34" t="inlineStr">
        <is>
          <t>TO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20230920</v>
      </c>
      <c r="AM34" t="inlineStr">
        <is>
          <t>DW81-900002741-D198-10000407-4</t>
        </is>
      </c>
    </row>
    <row r="35">
      <c r="A35" t="inlineStr">
        <is>
          <t>900000941DW81D14910000578</t>
        </is>
      </c>
      <c r="B35" t="inlineStr">
        <is>
          <t>4600050336-20</t>
        </is>
      </c>
      <c r="C35" t="n">
        <v>4600050336</v>
      </c>
      <c r="D35" t="n">
        <v>20</v>
      </c>
      <c r="E35" t="inlineStr">
        <is>
          <t>MXPO</t>
        </is>
      </c>
      <c r="F35" t="inlineStr">
        <is>
          <t>MXL</t>
        </is>
      </c>
      <c r="G35" t="n">
        <v>900000941</v>
      </c>
      <c r="H35" t="inlineStr">
        <is>
          <t>TC-ED-GIH</t>
        </is>
      </c>
      <c r="I35" t="n">
        <v>5005072</v>
      </c>
      <c r="J35" t="inlineStr">
        <is>
          <t>GIH D/CERRALVO D/RESPONS LIMIT D/ C</t>
        </is>
      </c>
      <c r="K35" t="inlineStr">
        <is>
          <t>Z06</t>
        </is>
      </c>
      <c r="L35" t="inlineStr">
        <is>
          <t>(AP) 45 Dias</t>
        </is>
      </c>
      <c r="M35" t="n">
        <v>10000578</v>
      </c>
      <c r="N35" t="inlineStr">
        <is>
          <t>Grava Triturada Caliza 20 mm - 3/4"</t>
        </is>
      </c>
      <c r="O35" t="inlineStr">
        <is>
          <t>DW81</t>
        </is>
      </c>
      <c r="P35" t="inlineStr">
        <is>
          <t>MX-CED. SALTILLO</t>
        </is>
      </c>
      <c r="Q35" t="n">
        <v>20210801</v>
      </c>
      <c r="R35" t="n">
        <v>20271231</v>
      </c>
      <c r="S35" t="n">
        <v>20220301</v>
      </c>
      <c r="T35" t="n">
        <v>20271231</v>
      </c>
      <c r="U35" t="n">
        <v>537</v>
      </c>
      <c r="V35" t="inlineStr">
        <is>
          <t>MXN</t>
        </is>
      </c>
      <c r="W35" t="inlineStr">
        <is>
          <t>TN</t>
        </is>
      </c>
      <c r="X35" t="n">
        <v>358</v>
      </c>
      <c r="Y35" t="inlineStr">
        <is>
          <t>MXN</t>
        </is>
      </c>
      <c r="Z35" t="inlineStr">
        <is>
          <t>TN</t>
        </is>
      </c>
      <c r="AA35" t="inlineStr">
        <is>
          <t>D149</t>
        </is>
      </c>
      <c r="AB35" t="inlineStr">
        <is>
          <t>PD051 ACUÑA</t>
        </is>
      </c>
      <c r="AC35" t="n">
        <v>56103637</v>
      </c>
      <c r="AD35" t="n">
        <v>6644381540</v>
      </c>
      <c r="AE35" t="n">
        <v>4</v>
      </c>
      <c r="AF35" t="inlineStr">
        <is>
          <t>ENTREGA DIRECTA</t>
        </is>
      </c>
      <c r="AG35" t="n">
        <v>1</v>
      </c>
      <c r="AH35" t="inlineStr">
        <is>
          <t>TO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20230920</v>
      </c>
      <c r="AM35" t="inlineStr">
        <is>
          <t>DW81-900000941-D149-10000578-4</t>
        </is>
      </c>
    </row>
    <row r="36">
      <c r="A36" t="inlineStr">
        <is>
          <t>900002741DW81D19810000141</t>
        </is>
      </c>
      <c r="B36" t="inlineStr">
        <is>
          <t>4600050343-440</t>
        </is>
      </c>
      <c r="C36" t="n">
        <v>4600050343</v>
      </c>
      <c r="D36" t="n">
        <v>440</v>
      </c>
      <c r="E36" t="inlineStr">
        <is>
          <t>MXPO</t>
        </is>
      </c>
      <c r="F36" t="inlineStr">
        <is>
          <t>MXL</t>
        </is>
      </c>
      <c r="G36" t="n">
        <v>900002741</v>
      </c>
      <c r="H36" t="inlineStr">
        <is>
          <t>TC-ED-TRITURADOS GRAMOL SA DE CV</t>
        </is>
      </c>
      <c r="I36" t="n">
        <v>5005459</v>
      </c>
      <c r="J36" t="inlineStr">
        <is>
          <t>TRITURADOS GRAMOL SA DE CV</t>
        </is>
      </c>
      <c r="K36" t="inlineStr">
        <is>
          <t>Z04</t>
        </is>
      </c>
      <c r="L36" t="inlineStr">
        <is>
          <t>(AP) 30 Dias</t>
        </is>
      </c>
      <c r="M36" t="n">
        <v>10000141</v>
      </c>
      <c r="N36" t="inlineStr">
        <is>
          <t>Grava Triturada Caliza 40 mm - 1 1/2"</t>
        </is>
      </c>
      <c r="O36" t="inlineStr">
        <is>
          <t>DW81</t>
        </is>
      </c>
      <c r="P36" t="inlineStr">
        <is>
          <t>MX-CED. SALTILLO</t>
        </is>
      </c>
      <c r="Q36" t="n">
        <v>20210801</v>
      </c>
      <c r="R36" t="n">
        <v>20291231</v>
      </c>
      <c r="S36" t="n">
        <v>20230216</v>
      </c>
      <c r="T36" t="n">
        <v>20281231</v>
      </c>
      <c r="U36" t="n">
        <v>504.5</v>
      </c>
      <c r="V36" t="inlineStr">
        <is>
          <t>MXN</t>
        </is>
      </c>
      <c r="W36" t="inlineStr">
        <is>
          <t>TN</t>
        </is>
      </c>
      <c r="X36" t="n">
        <v>383.29</v>
      </c>
      <c r="Y36" t="inlineStr">
        <is>
          <t>MXN</t>
        </is>
      </c>
      <c r="Z36" t="inlineStr">
        <is>
          <t>TN</t>
        </is>
      </c>
      <c r="AA36" t="inlineStr">
        <is>
          <t>D198</t>
        </is>
      </c>
      <c r="AB36" t="inlineStr">
        <is>
          <t>PD0239 SALINAS VICTORIA</t>
        </is>
      </c>
      <c r="AC36" t="n">
        <v>56103637</v>
      </c>
      <c r="AD36" t="n">
        <v>6644381540</v>
      </c>
      <c r="AE36" t="n">
        <v>4</v>
      </c>
      <c r="AF36" t="inlineStr">
        <is>
          <t>ENTREGA DIRECTA</t>
        </is>
      </c>
      <c r="AG36" t="n">
        <v>1</v>
      </c>
      <c r="AH36" t="inlineStr">
        <is>
          <t>TO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20230920</v>
      </c>
      <c r="AM36" t="inlineStr">
        <is>
          <t>DW81-900002741-D198-10000141-4</t>
        </is>
      </c>
    </row>
    <row r="37">
      <c r="A37" t="inlineStr">
        <is>
          <t>900002741DW81D19810000859</t>
        </is>
      </c>
      <c r="B37" t="inlineStr">
        <is>
          <t>4600050343-470</t>
        </is>
      </c>
      <c r="C37" t="n">
        <v>4600050343</v>
      </c>
      <c r="D37" t="n">
        <v>470</v>
      </c>
      <c r="E37" t="inlineStr">
        <is>
          <t>MXPO</t>
        </is>
      </c>
      <c r="F37" t="inlineStr">
        <is>
          <t>MXL</t>
        </is>
      </c>
      <c r="G37" t="n">
        <v>900002741</v>
      </c>
      <c r="H37" t="inlineStr">
        <is>
          <t>TC-ED-TRITURADOS GRAMOL SA DE CV</t>
        </is>
      </c>
      <c r="I37" t="n">
        <v>5005459</v>
      </c>
      <c r="J37" t="inlineStr">
        <is>
          <t>TRITURADOS GRAMOL SA DE CV</t>
        </is>
      </c>
      <c r="K37" t="inlineStr">
        <is>
          <t>Z04</t>
        </is>
      </c>
      <c r="L37" t="inlineStr">
        <is>
          <t>(AP) 30 Dias</t>
        </is>
      </c>
      <c r="M37" t="n">
        <v>10000859</v>
      </c>
      <c r="N37" t="inlineStr">
        <is>
          <t>Arena Triturada Caliza Malla 5</t>
        </is>
      </c>
      <c r="O37" t="inlineStr">
        <is>
          <t>DW81</t>
        </is>
      </c>
      <c r="P37" t="inlineStr">
        <is>
          <t>MX-CED. SALTILLO</t>
        </is>
      </c>
      <c r="Q37" t="n">
        <v>20210801</v>
      </c>
      <c r="R37" t="n">
        <v>20291231</v>
      </c>
      <c r="S37" t="n">
        <v>20230216</v>
      </c>
      <c r="T37" t="n">
        <v>20281231</v>
      </c>
      <c r="U37" t="n">
        <v>505.59</v>
      </c>
      <c r="V37" t="inlineStr">
        <is>
          <t>MXN</t>
        </is>
      </c>
      <c r="W37" t="inlineStr">
        <is>
          <t>TN</t>
        </is>
      </c>
      <c r="X37" t="n">
        <v>383.29</v>
      </c>
      <c r="Y37" t="inlineStr">
        <is>
          <t>MXN</t>
        </is>
      </c>
      <c r="Z37" t="inlineStr">
        <is>
          <t>TN</t>
        </is>
      </c>
      <c r="AA37" t="inlineStr">
        <is>
          <t>D198</t>
        </is>
      </c>
      <c r="AB37" t="inlineStr">
        <is>
          <t>PD0239 SALINAS VICTORIA</t>
        </is>
      </c>
      <c r="AC37" t="n">
        <v>56103638</v>
      </c>
      <c r="AD37" t="n">
        <v>6644381540</v>
      </c>
      <c r="AE37" t="n">
        <v>4</v>
      </c>
      <c r="AF37" t="inlineStr">
        <is>
          <t>ENTREGA DIRECTA</t>
        </is>
      </c>
      <c r="AG37" t="n">
        <v>1</v>
      </c>
      <c r="AH37" t="inlineStr">
        <is>
          <t>TO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20230920</v>
      </c>
      <c r="AM37" t="inlineStr">
        <is>
          <t>DW81-900002741-D198-10000859-4</t>
        </is>
      </c>
    </row>
    <row r="38">
      <c r="A38" t="inlineStr">
        <is>
          <t>900000941DW81D17110000136</t>
        </is>
      </c>
      <c r="B38" t="inlineStr">
        <is>
          <t>4600050336-40</t>
        </is>
      </c>
      <c r="C38" t="n">
        <v>4600050336</v>
      </c>
      <c r="D38" t="n">
        <v>40</v>
      </c>
      <c r="E38" t="inlineStr">
        <is>
          <t>MXPO</t>
        </is>
      </c>
      <c r="F38" t="inlineStr">
        <is>
          <t>MXL</t>
        </is>
      </c>
      <c r="G38" t="n">
        <v>900000941</v>
      </c>
      <c r="H38" t="inlineStr">
        <is>
          <t>TC-ED-GIH</t>
        </is>
      </c>
      <c r="I38" t="n">
        <v>5005072</v>
      </c>
      <c r="J38" t="inlineStr">
        <is>
          <t>GIH D/CERRALVO D/RESPONS LIMIT D/ C</t>
        </is>
      </c>
      <c r="K38" t="inlineStr">
        <is>
          <t>Z06</t>
        </is>
      </c>
      <c r="L38" t="inlineStr">
        <is>
          <t>(AP) 45 Dias</t>
        </is>
      </c>
      <c r="M38" t="n">
        <v>10000136</v>
      </c>
      <c r="N38" t="inlineStr">
        <is>
          <t>Arena Triturada Caliza Malla 4</t>
        </is>
      </c>
      <c r="O38" t="inlineStr">
        <is>
          <t>DW81</t>
        </is>
      </c>
      <c r="P38" t="inlineStr">
        <is>
          <t>MX-CED. SALTILLO</t>
        </is>
      </c>
      <c r="Q38" t="n">
        <v>20210801</v>
      </c>
      <c r="R38" t="n">
        <v>20271231</v>
      </c>
      <c r="S38" t="n">
        <v>20220301</v>
      </c>
      <c r="T38" t="n">
        <v>20271231</v>
      </c>
      <c r="U38" t="n">
        <v>513</v>
      </c>
      <c r="V38" t="inlineStr">
        <is>
          <t>MXN</t>
        </is>
      </c>
      <c r="W38" t="inlineStr">
        <is>
          <t>TN</t>
        </is>
      </c>
      <c r="X38" t="n">
        <v>334</v>
      </c>
      <c r="Y38" t="inlineStr">
        <is>
          <t>MXN</t>
        </is>
      </c>
      <c r="Z38" t="inlineStr">
        <is>
          <t>TN</t>
        </is>
      </c>
      <c r="AA38" t="inlineStr">
        <is>
          <t>D171</t>
        </is>
      </c>
      <c r="AB38" t="inlineStr">
        <is>
          <t>PD0016 PIEDRAS NEGRAS</t>
        </is>
      </c>
      <c r="AC38" t="n">
        <v>56103638</v>
      </c>
      <c r="AD38" t="n">
        <v>6644381540</v>
      </c>
      <c r="AE38" t="n">
        <v>4</v>
      </c>
      <c r="AF38" t="inlineStr">
        <is>
          <t>ENTREGA DIRECTA</t>
        </is>
      </c>
      <c r="AG38" t="n">
        <v>1</v>
      </c>
      <c r="AH38" t="inlineStr">
        <is>
          <t>TO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20230920</v>
      </c>
      <c r="AM38" t="inlineStr">
        <is>
          <t>DW81-900000941-D171-10000136-4</t>
        </is>
      </c>
    </row>
    <row r="39">
      <c r="A39" t="inlineStr">
        <is>
          <t>900003849DW81D17110000859</t>
        </is>
      </c>
      <c r="B39" t="inlineStr">
        <is>
          <t>4600050345-70</t>
        </is>
      </c>
      <c r="C39" t="n">
        <v>4600050345</v>
      </c>
      <c r="D39" t="n">
        <v>70</v>
      </c>
      <c r="E39" t="inlineStr">
        <is>
          <t>MXPO</t>
        </is>
      </c>
      <c r="F39" t="inlineStr">
        <is>
          <t>MXL</t>
        </is>
      </c>
      <c r="G39" t="n">
        <v>900003849</v>
      </c>
      <c r="H39" t="inlineStr">
        <is>
          <t>TC-ED ARTURO MONCADA</t>
        </is>
      </c>
      <c r="I39" t="n">
        <v>5054193</v>
      </c>
      <c r="J39" t="inlineStr">
        <is>
          <t>MONCADA CANTU ARTURO</t>
        </is>
      </c>
      <c r="K39" t="inlineStr">
        <is>
          <t>N90</t>
        </is>
      </c>
      <c r="L39" t="inlineStr">
        <is>
          <t>(AP) NAFIN 90 Dias</t>
        </is>
      </c>
      <c r="M39" t="n">
        <v>10000859</v>
      </c>
      <c r="N39" t="inlineStr">
        <is>
          <t>Arena Triturada Caliza Malla 5</t>
        </is>
      </c>
      <c r="O39" t="inlineStr">
        <is>
          <t>DW81</t>
        </is>
      </c>
      <c r="P39" t="inlineStr">
        <is>
          <t>MX-CED. SALTILLO</t>
        </is>
      </c>
      <c r="Q39" t="n">
        <v>20210801</v>
      </c>
      <c r="R39" t="n">
        <v>20291231</v>
      </c>
      <c r="S39" t="n">
        <v>20230125</v>
      </c>
      <c r="T39" t="n">
        <v>20281231</v>
      </c>
      <c r="U39" t="n">
        <v>427</v>
      </c>
      <c r="V39" t="inlineStr">
        <is>
          <t>MXN</t>
        </is>
      </c>
      <c r="W39" t="inlineStr">
        <is>
          <t>TN</t>
        </is>
      </c>
      <c r="X39" t="n">
        <v>277</v>
      </c>
      <c r="Y39" t="inlineStr">
        <is>
          <t>MXN</t>
        </is>
      </c>
      <c r="Z39" t="inlineStr">
        <is>
          <t>TN</t>
        </is>
      </c>
      <c r="AA39" t="inlineStr">
        <is>
          <t>D171</t>
        </is>
      </c>
      <c r="AB39" t="inlineStr">
        <is>
          <t>PD0016 PIEDRAS NEGRAS</t>
        </is>
      </c>
      <c r="AC39" t="n">
        <v>56103638</v>
      </c>
      <c r="AD39" t="n">
        <v>6644381540</v>
      </c>
      <c r="AE39" t="n">
        <v>4</v>
      </c>
      <c r="AF39" t="inlineStr">
        <is>
          <t>ENTREGA DIRECTA</t>
        </is>
      </c>
      <c r="AG39" t="n">
        <v>1</v>
      </c>
      <c r="AH39" t="inlineStr">
        <is>
          <t>TO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20230920</v>
      </c>
      <c r="AM39" t="inlineStr">
        <is>
          <t>DW81-900003849-D171-10000859-4</t>
        </is>
      </c>
    </row>
    <row r="40">
      <c r="A40" t="inlineStr">
        <is>
          <t>900002741DW81D19810000404</t>
        </is>
      </c>
      <c r="B40" t="inlineStr">
        <is>
          <t>4600050343-450</t>
        </is>
      </c>
      <c r="C40" t="n">
        <v>4600050343</v>
      </c>
      <c r="D40" t="n">
        <v>450</v>
      </c>
      <c r="E40" t="inlineStr">
        <is>
          <t>MXPO</t>
        </is>
      </c>
      <c r="F40" t="inlineStr">
        <is>
          <t>MXL</t>
        </is>
      </c>
      <c r="G40" t="n">
        <v>900002741</v>
      </c>
      <c r="H40" t="inlineStr">
        <is>
          <t>TC-ED-TRITURADOS GRAMOL SA DE CV</t>
        </is>
      </c>
      <c r="I40" t="n">
        <v>5005459</v>
      </c>
      <c r="J40" t="inlineStr">
        <is>
          <t>TRITURADOS GRAMOL SA DE CV</t>
        </is>
      </c>
      <c r="K40" t="inlineStr">
        <is>
          <t>Z04</t>
        </is>
      </c>
      <c r="L40" t="inlineStr">
        <is>
          <t>(AP) 30 Dias</t>
        </is>
      </c>
      <c r="M40" t="n">
        <v>10000404</v>
      </c>
      <c r="N40" t="inlineStr">
        <is>
          <t>Grava Triturada Caliza 20 mm - 3/4"</t>
        </is>
      </c>
      <c r="O40" t="inlineStr">
        <is>
          <t>DW81</t>
        </is>
      </c>
      <c r="P40" t="inlineStr">
        <is>
          <t>MX-CED. SALTILLO</t>
        </is>
      </c>
      <c r="Q40" t="n">
        <v>20210801</v>
      </c>
      <c r="R40" t="n">
        <v>20291231</v>
      </c>
      <c r="S40" t="n">
        <v>20230216</v>
      </c>
      <c r="T40" t="n">
        <v>20281231</v>
      </c>
      <c r="U40" t="n">
        <v>504.5</v>
      </c>
      <c r="V40" t="inlineStr">
        <is>
          <t>MXN</t>
        </is>
      </c>
      <c r="W40" t="inlineStr">
        <is>
          <t>TN</t>
        </is>
      </c>
      <c r="X40" t="n">
        <v>383.29</v>
      </c>
      <c r="Y40" t="inlineStr">
        <is>
          <t>MXN</t>
        </is>
      </c>
      <c r="Z40" t="inlineStr">
        <is>
          <t>TN</t>
        </is>
      </c>
      <c r="AA40" t="inlineStr">
        <is>
          <t>D198</t>
        </is>
      </c>
      <c r="AB40" t="inlineStr">
        <is>
          <t>PD0239 SALINAS VICTORIA</t>
        </is>
      </c>
      <c r="AC40" t="n">
        <v>56103637</v>
      </c>
      <c r="AD40" t="n">
        <v>6644381540</v>
      </c>
      <c r="AE40" t="n">
        <v>4</v>
      </c>
      <c r="AF40" t="inlineStr">
        <is>
          <t>ENTREGA DIRECTA</t>
        </is>
      </c>
      <c r="AG40" t="n">
        <v>1</v>
      </c>
      <c r="AH40" t="inlineStr">
        <is>
          <t>TO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20230920</v>
      </c>
      <c r="AM40" t="inlineStr">
        <is>
          <t>DW81-900002741-D198-10000404-4</t>
        </is>
      </c>
    </row>
    <row r="41">
      <c r="A41" t="inlineStr">
        <is>
          <t>900000941DW81D17110000624</t>
        </is>
      </c>
      <c r="B41" t="inlineStr">
        <is>
          <t>4600050336-10</t>
        </is>
      </c>
      <c r="C41" t="n">
        <v>4600050336</v>
      </c>
      <c r="D41" t="n">
        <v>10</v>
      </c>
      <c r="E41" t="inlineStr">
        <is>
          <t>MXPO</t>
        </is>
      </c>
      <c r="F41" t="inlineStr">
        <is>
          <t>MXL</t>
        </is>
      </c>
      <c r="G41" t="n">
        <v>900000941</v>
      </c>
      <c r="H41" t="inlineStr">
        <is>
          <t>TC-ED-GIH</t>
        </is>
      </c>
      <c r="I41" t="n">
        <v>5005072</v>
      </c>
      <c r="J41" t="inlineStr">
        <is>
          <t>GIH D/CERRALVO D/RESPONS LIMIT D/ C</t>
        </is>
      </c>
      <c r="K41" t="inlineStr">
        <is>
          <t>Z06</t>
        </is>
      </c>
      <c r="L41" t="inlineStr">
        <is>
          <t>(AP) 45 Dias</t>
        </is>
      </c>
      <c r="M41" t="n">
        <v>10000624</v>
      </c>
      <c r="N41" t="inlineStr">
        <is>
          <t>Grava Triturada Caliza 40 mm - 1 1/2"</t>
        </is>
      </c>
      <c r="O41" t="inlineStr">
        <is>
          <t>DW81</t>
        </is>
      </c>
      <c r="P41" t="inlineStr">
        <is>
          <t>MX-CED. SALTILLO</t>
        </is>
      </c>
      <c r="Q41" t="n">
        <v>20210801</v>
      </c>
      <c r="R41" t="n">
        <v>20271231</v>
      </c>
      <c r="S41" t="n">
        <v>20220301</v>
      </c>
      <c r="T41" t="n">
        <v>20271231</v>
      </c>
      <c r="U41" t="n">
        <v>513</v>
      </c>
      <c r="V41" t="inlineStr">
        <is>
          <t>MXN</t>
        </is>
      </c>
      <c r="W41" t="inlineStr">
        <is>
          <t>TN</t>
        </is>
      </c>
      <c r="X41" t="n">
        <v>334</v>
      </c>
      <c r="Y41" t="inlineStr">
        <is>
          <t>MXN</t>
        </is>
      </c>
      <c r="Z41" t="inlineStr">
        <is>
          <t>TN</t>
        </is>
      </c>
      <c r="AA41" t="inlineStr">
        <is>
          <t>D171</t>
        </is>
      </c>
      <c r="AB41" t="inlineStr">
        <is>
          <t>PD0016 PIEDRAS NEGRAS</t>
        </is>
      </c>
      <c r="AC41" t="n">
        <v>56103637</v>
      </c>
      <c r="AD41" t="n">
        <v>6644381540</v>
      </c>
      <c r="AE41" t="n">
        <v>4</v>
      </c>
      <c r="AF41" t="inlineStr">
        <is>
          <t>ENTREGA DIRECTA</t>
        </is>
      </c>
      <c r="AG41" t="n">
        <v>1</v>
      </c>
      <c r="AH41" t="inlineStr">
        <is>
          <t>TO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20230920</v>
      </c>
      <c r="AM41" t="inlineStr">
        <is>
          <t>DW81-900000941-D171-10000624-4</t>
        </is>
      </c>
    </row>
    <row r="42">
      <c r="A42" t="inlineStr">
        <is>
          <t>900002741DW81D16910000402</t>
        </is>
      </c>
      <c r="B42" t="inlineStr">
        <is>
          <t>4600050343-330</t>
        </is>
      </c>
      <c r="C42" t="n">
        <v>4600050343</v>
      </c>
      <c r="D42" t="n">
        <v>330</v>
      </c>
      <c r="E42" t="inlineStr">
        <is>
          <t>MXPO</t>
        </is>
      </c>
      <c r="F42" t="inlineStr">
        <is>
          <t>MXL</t>
        </is>
      </c>
      <c r="G42" t="n">
        <v>900002741</v>
      </c>
      <c r="H42" t="inlineStr">
        <is>
          <t>TC-ED-TRITURADOS GRAMOL SA DE CV</t>
        </is>
      </c>
      <c r="I42" t="n">
        <v>5005459</v>
      </c>
      <c r="J42" t="inlineStr">
        <is>
          <t>TRITURADOS GRAMOL SA DE CV</t>
        </is>
      </c>
      <c r="K42" t="inlineStr">
        <is>
          <t>Z04</t>
        </is>
      </c>
      <c r="L42" t="inlineStr">
        <is>
          <t>(AP) 30 Dias</t>
        </is>
      </c>
      <c r="M42" t="n">
        <v>10000402</v>
      </c>
      <c r="N42" t="inlineStr">
        <is>
          <t>Arena Triturada Caliza Malla 4</t>
        </is>
      </c>
      <c r="O42" t="inlineStr">
        <is>
          <t>DW81</t>
        </is>
      </c>
      <c r="P42" t="inlineStr">
        <is>
          <t>MX-CED. SALTILLO</t>
        </is>
      </c>
      <c r="Q42" t="n">
        <v>20210801</v>
      </c>
      <c r="R42" t="n">
        <v>20291231</v>
      </c>
      <c r="S42" t="n">
        <v>20260201</v>
      </c>
      <c r="T42" t="n">
        <v>20301231</v>
      </c>
      <c r="U42" t="n">
        <v>231</v>
      </c>
      <c r="V42" t="inlineStr">
        <is>
          <t>MXN</t>
        </is>
      </c>
      <c r="W42" t="inlineStr">
        <is>
          <t>TN</t>
        </is>
      </c>
      <c r="X42" t="n">
        <v>66</v>
      </c>
      <c r="Y42" t="inlineStr">
        <is>
          <t>MXN</t>
        </is>
      </c>
      <c r="Z42" t="inlineStr">
        <is>
          <t>TN</t>
        </is>
      </c>
      <c r="AA42" t="inlineStr">
        <is>
          <t>D169</t>
        </is>
      </c>
      <c r="AB42" t="inlineStr">
        <is>
          <t>SICLO-PD029 SALTILLO 1 PERIFERICO</t>
        </is>
      </c>
      <c r="AC42" t="n">
        <v>56103638</v>
      </c>
      <c r="AD42" t="n">
        <v>6644381540</v>
      </c>
      <c r="AE42" t="n">
        <v>4</v>
      </c>
      <c r="AF42" t="inlineStr">
        <is>
          <t>ENTREGA DIRECTA</t>
        </is>
      </c>
      <c r="AG42" t="n">
        <v>1</v>
      </c>
      <c r="AH42" t="inlineStr">
        <is>
          <t>TO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20260204</v>
      </c>
      <c r="AM42" t="inlineStr">
        <is>
          <t>DW81-900002741-D169-10000402-4</t>
        </is>
      </c>
    </row>
    <row r="43">
      <c r="A43" t="inlineStr">
        <is>
          <t>900002741DW81D19510000859</t>
        </is>
      </c>
      <c r="B43" t="inlineStr">
        <is>
          <t>4600050343-40</t>
        </is>
      </c>
      <c r="C43" t="n">
        <v>4600050343</v>
      </c>
      <c r="D43" t="n">
        <v>40</v>
      </c>
      <c r="E43" t="inlineStr">
        <is>
          <t>MXPO</t>
        </is>
      </c>
      <c r="F43" t="inlineStr">
        <is>
          <t>MXL</t>
        </is>
      </c>
      <c r="G43" t="n">
        <v>900002741</v>
      </c>
      <c r="H43" t="inlineStr">
        <is>
          <t>TC-ED-TRITURADOS GRAMOL SA DE CV</t>
        </is>
      </c>
      <c r="I43" t="n">
        <v>5005459</v>
      </c>
      <c r="J43" t="inlineStr">
        <is>
          <t>TRITURADOS GRAMOL SA DE CV</t>
        </is>
      </c>
      <c r="K43" t="inlineStr">
        <is>
          <t>Z04</t>
        </is>
      </c>
      <c r="L43" t="inlineStr">
        <is>
          <t>(AP) 30 Dias</t>
        </is>
      </c>
      <c r="M43" t="n">
        <v>10000859</v>
      </c>
      <c r="N43" t="inlineStr">
        <is>
          <t>Arena Triturada Caliza Malla 5</t>
        </is>
      </c>
      <c r="O43" t="inlineStr">
        <is>
          <t>DW81</t>
        </is>
      </c>
      <c r="P43" t="inlineStr">
        <is>
          <t>MX-CED. SALTILLO</t>
        </is>
      </c>
      <c r="Q43" t="n">
        <v>20210801</v>
      </c>
      <c r="R43" t="n">
        <v>20291231</v>
      </c>
      <c r="S43" t="n">
        <v>20260201</v>
      </c>
      <c r="T43" t="n">
        <v>20301231</v>
      </c>
      <c r="U43" t="n">
        <v>235</v>
      </c>
      <c r="V43" t="inlineStr">
        <is>
          <t>MXN</t>
        </is>
      </c>
      <c r="W43" t="inlineStr">
        <is>
          <t>TN</t>
        </is>
      </c>
      <c r="X43" t="n">
        <v>70</v>
      </c>
      <c r="Y43" t="inlineStr">
        <is>
          <t>MXN</t>
        </is>
      </c>
      <c r="Z43" t="inlineStr">
        <is>
          <t>TN</t>
        </is>
      </c>
      <c r="AA43" t="inlineStr">
        <is>
          <t>D195</t>
        </is>
      </c>
      <c r="AB43" t="inlineStr">
        <is>
          <t>PD0405 PLANTA 4 RAMOS ARIZPE</t>
        </is>
      </c>
      <c r="AC43" t="n">
        <v>56103638</v>
      </c>
      <c r="AD43" t="n">
        <v>6644381540</v>
      </c>
      <c r="AE43" t="n">
        <v>4</v>
      </c>
      <c r="AF43" t="inlineStr">
        <is>
          <t>ENTREGA DIRECTA</t>
        </is>
      </c>
      <c r="AG43" t="n">
        <v>1</v>
      </c>
      <c r="AH43" t="inlineStr">
        <is>
          <t>TO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20260204</v>
      </c>
      <c r="AM43" t="inlineStr">
        <is>
          <t>DW81-900002741-D195-10000859-4</t>
        </is>
      </c>
    </row>
    <row r="44">
      <c r="A44" t="inlineStr">
        <is>
          <t>900002741DW81D19710000859</t>
        </is>
      </c>
      <c r="B44" t="inlineStr">
        <is>
          <t>4600050343-830</t>
        </is>
      </c>
      <c r="C44" t="n">
        <v>4600050343</v>
      </c>
      <c r="D44" t="n">
        <v>830</v>
      </c>
      <c r="E44" t="inlineStr">
        <is>
          <t>MXPO</t>
        </is>
      </c>
      <c r="F44" t="inlineStr">
        <is>
          <t>MXL</t>
        </is>
      </c>
      <c r="G44" t="n">
        <v>900002741</v>
      </c>
      <c r="H44" t="inlineStr">
        <is>
          <t>TC-ED-TRITURADOS GRAMOL SA DE CV</t>
        </is>
      </c>
      <c r="I44" t="n">
        <v>5005459</v>
      </c>
      <c r="J44" t="inlineStr">
        <is>
          <t>TRITURADOS GRAMOL SA DE CV</t>
        </is>
      </c>
      <c r="K44" t="inlineStr">
        <is>
          <t>Z04</t>
        </is>
      </c>
      <c r="L44" t="inlineStr">
        <is>
          <t>(AP) 30 Dias</t>
        </is>
      </c>
      <c r="M44" t="n">
        <v>10000859</v>
      </c>
      <c r="N44" t="inlineStr">
        <is>
          <t>Arena Triturada Caliza Malla 5</t>
        </is>
      </c>
      <c r="O44" t="inlineStr">
        <is>
          <t>DW81</t>
        </is>
      </c>
      <c r="P44" t="inlineStr">
        <is>
          <t>MX-CED. SALTILLO</t>
        </is>
      </c>
      <c r="Q44" t="n">
        <v>20210801</v>
      </c>
      <c r="R44" t="n">
        <v>20291231</v>
      </c>
      <c r="S44" t="n">
        <v>20260201</v>
      </c>
      <c r="T44" t="n">
        <v>20301231</v>
      </c>
      <c r="U44" t="n">
        <v>352</v>
      </c>
      <c r="V44" t="inlineStr">
        <is>
          <t>MXN</t>
        </is>
      </c>
      <c r="W44" t="inlineStr">
        <is>
          <t>TN</t>
        </is>
      </c>
      <c r="X44" t="n">
        <v>187</v>
      </c>
      <c r="Y44" t="inlineStr">
        <is>
          <t>MXN</t>
        </is>
      </c>
      <c r="Z44" t="inlineStr">
        <is>
          <t>TN</t>
        </is>
      </c>
      <c r="AA44" t="inlineStr">
        <is>
          <t>D197</t>
        </is>
      </c>
      <c r="AB44" t="inlineStr">
        <is>
          <t>PD0413 PLANTA VI DERRAMADERO</t>
        </is>
      </c>
      <c r="AC44" t="n">
        <v>56103638</v>
      </c>
      <c r="AD44" t="n">
        <v>6644381540</v>
      </c>
      <c r="AE44" t="n">
        <v>4</v>
      </c>
      <c r="AF44" t="inlineStr">
        <is>
          <t>ENTREGA DIRECTA</t>
        </is>
      </c>
      <c r="AG44" t="n">
        <v>1</v>
      </c>
      <c r="AH44" t="inlineStr">
        <is>
          <t>TO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20260204</v>
      </c>
      <c r="AM44" t="inlineStr">
        <is>
          <t>DW81-900002741-D197-10000859-4</t>
        </is>
      </c>
    </row>
    <row r="45">
      <c r="A45" t="inlineStr">
        <is>
          <t>900002741DW81D16910000404</t>
        </is>
      </c>
      <c r="B45" t="inlineStr">
        <is>
          <t>4600050343-320</t>
        </is>
      </c>
      <c r="C45" t="n">
        <v>4600050343</v>
      </c>
      <c r="D45" t="n">
        <v>320</v>
      </c>
      <c r="E45" t="inlineStr">
        <is>
          <t>MXPO</t>
        </is>
      </c>
      <c r="F45" t="inlineStr">
        <is>
          <t>MXL</t>
        </is>
      </c>
      <c r="G45" t="n">
        <v>900002741</v>
      </c>
      <c r="H45" t="inlineStr">
        <is>
          <t>TC-ED-TRITURADOS GRAMOL SA DE CV</t>
        </is>
      </c>
      <c r="I45" t="n">
        <v>5005459</v>
      </c>
      <c r="J45" t="inlineStr">
        <is>
          <t>TRITURADOS GRAMOL SA DE CV</t>
        </is>
      </c>
      <c r="K45" t="inlineStr">
        <is>
          <t>Z04</t>
        </is>
      </c>
      <c r="L45" t="inlineStr">
        <is>
          <t>(AP) 30 Dias</t>
        </is>
      </c>
      <c r="M45" t="n">
        <v>10000404</v>
      </c>
      <c r="N45" t="inlineStr">
        <is>
          <t>Grava Triturada Caliza 20 mm - 3/4"</t>
        </is>
      </c>
      <c r="O45" t="inlineStr">
        <is>
          <t>DW81</t>
        </is>
      </c>
      <c r="P45" t="inlineStr">
        <is>
          <t>MX-CED. SALTILLO</t>
        </is>
      </c>
      <c r="Q45" t="n">
        <v>20210801</v>
      </c>
      <c r="R45" t="n">
        <v>20291231</v>
      </c>
      <c r="S45" t="n">
        <v>20260201</v>
      </c>
      <c r="T45" t="n">
        <v>20301231</v>
      </c>
      <c r="U45" t="n">
        <v>231</v>
      </c>
      <c r="V45" t="inlineStr">
        <is>
          <t>MXN</t>
        </is>
      </c>
      <c r="W45" t="inlineStr">
        <is>
          <t>TN</t>
        </is>
      </c>
      <c r="X45" t="n">
        <v>66</v>
      </c>
      <c r="Y45" t="inlineStr">
        <is>
          <t>MXN</t>
        </is>
      </c>
      <c r="Z45" t="inlineStr">
        <is>
          <t>TN</t>
        </is>
      </c>
      <c r="AA45" t="inlineStr">
        <is>
          <t>D169</t>
        </is>
      </c>
      <c r="AB45" t="inlineStr">
        <is>
          <t>SICLO-PD029 SALTILLO 1 PERIFERICO</t>
        </is>
      </c>
      <c r="AC45" t="n">
        <v>56103637</v>
      </c>
      <c r="AD45" t="n">
        <v>6644381540</v>
      </c>
      <c r="AE45" t="n">
        <v>4</v>
      </c>
      <c r="AF45" t="inlineStr">
        <is>
          <t>ENTREGA DIRECTA</t>
        </is>
      </c>
      <c r="AG45" t="n">
        <v>1</v>
      </c>
      <c r="AH45" t="inlineStr">
        <is>
          <t>TO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20260204</v>
      </c>
      <c r="AM45" t="inlineStr">
        <is>
          <t>DW81-900002741-D169-10000404-4</t>
        </is>
      </c>
    </row>
    <row r="46">
      <c r="A46" t="inlineStr">
        <is>
          <t>900002741DW81D04910000859</t>
        </is>
      </c>
      <c r="B46" t="inlineStr">
        <is>
          <t>4600050343-420</t>
        </is>
      </c>
      <c r="C46" t="n">
        <v>4600050343</v>
      </c>
      <c r="D46" t="n">
        <v>420</v>
      </c>
      <c r="E46" t="inlineStr">
        <is>
          <t>MXPO</t>
        </is>
      </c>
      <c r="F46" t="inlineStr">
        <is>
          <t>MXL</t>
        </is>
      </c>
      <c r="G46" t="n">
        <v>900002741</v>
      </c>
      <c r="H46" t="inlineStr">
        <is>
          <t>TC-ED-TRITURADOS GRAMOL SA DE CV</t>
        </is>
      </c>
      <c r="I46" t="n">
        <v>5005459</v>
      </c>
      <c r="J46" t="inlineStr">
        <is>
          <t>TRITURADOS GRAMOL SA DE CV</t>
        </is>
      </c>
      <c r="K46" t="inlineStr">
        <is>
          <t>Z04</t>
        </is>
      </c>
      <c r="L46" t="inlineStr">
        <is>
          <t>(AP) 30 Dias</t>
        </is>
      </c>
      <c r="M46" t="n">
        <v>10000859</v>
      </c>
      <c r="N46" t="inlineStr">
        <is>
          <t>Arena Triturada Caliza Malla 5</t>
        </is>
      </c>
      <c r="O46" t="inlineStr">
        <is>
          <t>DW81</t>
        </is>
      </c>
      <c r="P46" t="inlineStr">
        <is>
          <t>MX-CED. SALTILLO</t>
        </is>
      </c>
      <c r="Q46" t="n">
        <v>20210801</v>
      </c>
      <c r="R46" t="n">
        <v>20291231</v>
      </c>
      <c r="S46" t="n">
        <v>20260201</v>
      </c>
      <c r="T46" t="n">
        <v>20301231</v>
      </c>
      <c r="U46" t="n">
        <v>213</v>
      </c>
      <c r="V46" t="inlineStr">
        <is>
          <t>MXN</t>
        </is>
      </c>
      <c r="W46" t="inlineStr">
        <is>
          <t>TN</t>
        </is>
      </c>
      <c r="X46" t="n">
        <v>48</v>
      </c>
      <c r="Y46" t="inlineStr">
        <is>
          <t>MXN</t>
        </is>
      </c>
      <c r="Z46" t="inlineStr">
        <is>
          <t>TN</t>
        </is>
      </c>
      <c r="AA46" t="inlineStr">
        <is>
          <t>D049</t>
        </is>
      </c>
      <c r="AB46" t="inlineStr">
        <is>
          <t>PD0236 ARTEAGA</t>
        </is>
      </c>
      <c r="AC46" t="n">
        <v>56103638</v>
      </c>
      <c r="AD46" t="n">
        <v>6644381540</v>
      </c>
      <c r="AE46" t="n">
        <v>4</v>
      </c>
      <c r="AF46" t="inlineStr">
        <is>
          <t>ENTREGA DIRECTA</t>
        </is>
      </c>
      <c r="AG46" t="n">
        <v>1</v>
      </c>
      <c r="AH46" t="inlineStr">
        <is>
          <t>TO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20260204</v>
      </c>
      <c r="AM46" t="inlineStr">
        <is>
          <t>DW81-900002741-D049-10000859-4</t>
        </is>
      </c>
    </row>
    <row r="47">
      <c r="A47" t="inlineStr">
        <is>
          <t>900002741DW81D19210000407</t>
        </is>
      </c>
      <c r="B47" t="inlineStr">
        <is>
          <t>4600050343-350</t>
        </is>
      </c>
      <c r="C47" t="n">
        <v>4600050343</v>
      </c>
      <c r="D47" t="n">
        <v>350</v>
      </c>
      <c r="E47" t="inlineStr">
        <is>
          <t>MXPO</t>
        </is>
      </c>
      <c r="F47" t="inlineStr">
        <is>
          <t>MXL</t>
        </is>
      </c>
      <c r="G47" t="n">
        <v>900002741</v>
      </c>
      <c r="H47" t="inlineStr">
        <is>
          <t>TC-ED-TRITURADOS GRAMOL SA DE CV</t>
        </is>
      </c>
      <c r="I47" t="n">
        <v>5005459</v>
      </c>
      <c r="J47" t="inlineStr">
        <is>
          <t>TRITURADOS GRAMOL SA DE CV</t>
        </is>
      </c>
      <c r="K47" t="inlineStr">
        <is>
          <t>Z04</t>
        </is>
      </c>
      <c r="L47" t="inlineStr">
        <is>
          <t>(AP) 30 Dias</t>
        </is>
      </c>
      <c r="M47" t="n">
        <v>10000407</v>
      </c>
      <c r="N47" t="inlineStr">
        <is>
          <t>Grava Triturada Caliza 10 mm - 3/8"</t>
        </is>
      </c>
      <c r="O47" t="inlineStr">
        <is>
          <t>DW81</t>
        </is>
      </c>
      <c r="P47" t="inlineStr">
        <is>
          <t>MX-CED. SALTILLO</t>
        </is>
      </c>
      <c r="Q47" t="n">
        <v>20210801</v>
      </c>
      <c r="R47" t="n">
        <v>20291231</v>
      </c>
      <c r="S47" t="n">
        <v>20260201</v>
      </c>
      <c r="T47" t="n">
        <v>20301231</v>
      </c>
      <c r="U47" t="n">
        <v>240</v>
      </c>
      <c r="V47" t="inlineStr">
        <is>
          <t>MXN</t>
        </is>
      </c>
      <c r="W47" t="inlineStr">
        <is>
          <t>TN</t>
        </is>
      </c>
      <c r="X47" t="n">
        <v>75</v>
      </c>
      <c r="Y47" t="inlineStr">
        <is>
          <t>MXN</t>
        </is>
      </c>
      <c r="Z47" t="inlineStr">
        <is>
          <t>TN</t>
        </is>
      </c>
      <c r="AA47" t="inlineStr">
        <is>
          <t>D192</t>
        </is>
      </c>
      <c r="AB47" t="inlineStr">
        <is>
          <t>PD0301 LOMAS LOURDES</t>
        </is>
      </c>
      <c r="AC47" t="n">
        <v>56103637</v>
      </c>
      <c r="AD47" t="n">
        <v>6644381540</v>
      </c>
      <c r="AE47" t="n">
        <v>4</v>
      </c>
      <c r="AF47" t="inlineStr">
        <is>
          <t>ENTREGA DIRECTA</t>
        </is>
      </c>
      <c r="AG47" t="n">
        <v>1</v>
      </c>
      <c r="AH47" t="inlineStr">
        <is>
          <t>TO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20260204</v>
      </c>
      <c r="AM47" t="inlineStr">
        <is>
          <t>DW81-900002741-D192-10000407-4</t>
        </is>
      </c>
    </row>
    <row r="48">
      <c r="A48" t="inlineStr">
        <is>
          <t>900002741DW81D19710000407</t>
        </is>
      </c>
      <c r="B48" t="inlineStr">
        <is>
          <t>4600050343-840</t>
        </is>
      </c>
      <c r="C48" t="n">
        <v>4600050343</v>
      </c>
      <c r="D48" t="n">
        <v>840</v>
      </c>
      <c r="E48" t="inlineStr">
        <is>
          <t>MXPO</t>
        </is>
      </c>
      <c r="F48" t="inlineStr">
        <is>
          <t>MXL</t>
        </is>
      </c>
      <c r="G48" t="n">
        <v>900002741</v>
      </c>
      <c r="H48" t="inlineStr">
        <is>
          <t>TC-ED-TRITURADOS GRAMOL SA DE CV</t>
        </is>
      </c>
      <c r="I48" t="n">
        <v>5005459</v>
      </c>
      <c r="J48" t="inlineStr">
        <is>
          <t>TRITURADOS GRAMOL SA DE CV</t>
        </is>
      </c>
      <c r="K48" t="inlineStr">
        <is>
          <t>Z04</t>
        </is>
      </c>
      <c r="L48" t="inlineStr">
        <is>
          <t>(AP) 30 Dias</t>
        </is>
      </c>
      <c r="M48" t="n">
        <v>10000407</v>
      </c>
      <c r="N48" t="inlineStr">
        <is>
          <t>Grava Triturada Caliza 10 mm - 3/8"</t>
        </is>
      </c>
      <c r="O48" t="inlineStr">
        <is>
          <t>DW81</t>
        </is>
      </c>
      <c r="P48" t="inlineStr">
        <is>
          <t>MX-CED. SALTILLO</t>
        </is>
      </c>
      <c r="Q48" t="n">
        <v>20210801</v>
      </c>
      <c r="R48" t="n">
        <v>20291231</v>
      </c>
      <c r="S48" t="n">
        <v>20260201</v>
      </c>
      <c r="T48" t="n">
        <v>20301231</v>
      </c>
      <c r="U48" t="n">
        <v>352</v>
      </c>
      <c r="V48" t="inlineStr">
        <is>
          <t>MXN</t>
        </is>
      </c>
      <c r="W48" t="inlineStr">
        <is>
          <t>TN</t>
        </is>
      </c>
      <c r="X48" t="n">
        <v>187</v>
      </c>
      <c r="Y48" t="inlineStr">
        <is>
          <t>MXN</t>
        </is>
      </c>
      <c r="Z48" t="inlineStr">
        <is>
          <t>TN</t>
        </is>
      </c>
      <c r="AA48" t="inlineStr">
        <is>
          <t>D197</t>
        </is>
      </c>
      <c r="AB48" t="inlineStr">
        <is>
          <t>PD0413 PLANTA VI DERRAMADERO</t>
        </is>
      </c>
      <c r="AC48" t="n">
        <v>56103637</v>
      </c>
      <c r="AD48" t="n">
        <v>6644381540</v>
      </c>
      <c r="AE48" t="n">
        <v>4</v>
      </c>
      <c r="AF48" t="inlineStr">
        <is>
          <t>ENTREGA DIRECTA</t>
        </is>
      </c>
      <c r="AG48" t="n">
        <v>1</v>
      </c>
      <c r="AH48" t="inlineStr">
        <is>
          <t>TO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20260204</v>
      </c>
      <c r="AM48" t="inlineStr">
        <is>
          <t>DW81-900002741-D197-10000407-4</t>
        </is>
      </c>
    </row>
    <row r="49">
      <c r="A49" t="inlineStr">
        <is>
          <t>900002741DW81D19510000141</t>
        </is>
      </c>
      <c r="B49" t="inlineStr">
        <is>
          <t>4600050343-280</t>
        </is>
      </c>
      <c r="C49" t="n">
        <v>4600050343</v>
      </c>
      <c r="D49" t="n">
        <v>280</v>
      </c>
      <c r="E49" t="inlineStr">
        <is>
          <t>MXPO</t>
        </is>
      </c>
      <c r="F49" t="inlineStr">
        <is>
          <t>MXL</t>
        </is>
      </c>
      <c r="G49" t="n">
        <v>900002741</v>
      </c>
      <c r="H49" t="inlineStr">
        <is>
          <t>TC-ED-TRITURADOS GRAMOL SA DE CV</t>
        </is>
      </c>
      <c r="I49" t="n">
        <v>5005459</v>
      </c>
      <c r="J49" t="inlineStr">
        <is>
          <t>TRITURADOS GRAMOL SA DE CV</t>
        </is>
      </c>
      <c r="K49" t="inlineStr">
        <is>
          <t>Z04</t>
        </is>
      </c>
      <c r="L49" t="inlineStr">
        <is>
          <t>(AP) 30 Dias</t>
        </is>
      </c>
      <c r="M49" t="n">
        <v>10000141</v>
      </c>
      <c r="N49" t="inlineStr">
        <is>
          <t>Grava Triturada Caliza 40 mm - 1 1/2"</t>
        </is>
      </c>
      <c r="O49" t="inlineStr">
        <is>
          <t>DW81</t>
        </is>
      </c>
      <c r="P49" t="inlineStr">
        <is>
          <t>MX-CED. SALTILLO</t>
        </is>
      </c>
      <c r="Q49" t="n">
        <v>20210801</v>
      </c>
      <c r="R49" t="n">
        <v>20291231</v>
      </c>
      <c r="S49" t="n">
        <v>20260201</v>
      </c>
      <c r="T49" t="n">
        <v>20301231</v>
      </c>
      <c r="U49" t="n">
        <v>235</v>
      </c>
      <c r="V49" t="inlineStr">
        <is>
          <t>MXN</t>
        </is>
      </c>
      <c r="W49" t="inlineStr">
        <is>
          <t>TN</t>
        </is>
      </c>
      <c r="X49" t="n">
        <v>70</v>
      </c>
      <c r="Y49" t="inlineStr">
        <is>
          <t>MXN</t>
        </is>
      </c>
      <c r="Z49" t="inlineStr">
        <is>
          <t>TN</t>
        </is>
      </c>
      <c r="AA49" t="inlineStr">
        <is>
          <t>D195</t>
        </is>
      </c>
      <c r="AB49" t="inlineStr">
        <is>
          <t>PD0405 PLANTA 4 RAMOS ARIZPE</t>
        </is>
      </c>
      <c r="AC49" t="n">
        <v>56103637</v>
      </c>
      <c r="AD49" t="n">
        <v>6644381540</v>
      </c>
      <c r="AE49" t="n">
        <v>4</v>
      </c>
      <c r="AF49" t="inlineStr">
        <is>
          <t>ENTREGA DIRECTA</t>
        </is>
      </c>
      <c r="AG49" t="n">
        <v>1</v>
      </c>
      <c r="AH49" t="inlineStr">
        <is>
          <t>TO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20260204</v>
      </c>
      <c r="AM49" t="inlineStr">
        <is>
          <t>DW81-900002741-D195-10000141-4</t>
        </is>
      </c>
    </row>
    <row r="50">
      <c r="A50" t="inlineStr">
        <is>
          <t>900002741DW81D19510000404</t>
        </is>
      </c>
      <c r="B50" t="inlineStr">
        <is>
          <t>4600050343-260</t>
        </is>
      </c>
      <c r="C50" t="n">
        <v>4600050343</v>
      </c>
      <c r="D50" t="n">
        <v>260</v>
      </c>
      <c r="E50" t="inlineStr">
        <is>
          <t>MXPO</t>
        </is>
      </c>
      <c r="F50" t="inlineStr">
        <is>
          <t>MXL</t>
        </is>
      </c>
      <c r="G50" t="n">
        <v>900002741</v>
      </c>
      <c r="H50" t="inlineStr">
        <is>
          <t>TC-ED-TRITURADOS GRAMOL SA DE CV</t>
        </is>
      </c>
      <c r="I50" t="n">
        <v>5005459</v>
      </c>
      <c r="J50" t="inlineStr">
        <is>
          <t>TRITURADOS GRAMOL SA DE CV</t>
        </is>
      </c>
      <c r="K50" t="inlineStr">
        <is>
          <t>Z04</t>
        </is>
      </c>
      <c r="L50" t="inlineStr">
        <is>
          <t>(AP) 30 Dias</t>
        </is>
      </c>
      <c r="M50" t="n">
        <v>10000404</v>
      </c>
      <c r="N50" t="inlineStr">
        <is>
          <t>Grava Triturada Caliza 20 mm - 3/4"</t>
        </is>
      </c>
      <c r="O50" t="inlineStr">
        <is>
          <t>DW81</t>
        </is>
      </c>
      <c r="P50" t="inlineStr">
        <is>
          <t>MX-CED. SALTILLO</t>
        </is>
      </c>
      <c r="Q50" t="n">
        <v>20210801</v>
      </c>
      <c r="R50" t="n">
        <v>20291231</v>
      </c>
      <c r="S50" t="n">
        <v>20260201</v>
      </c>
      <c r="T50" t="n">
        <v>20301231</v>
      </c>
      <c r="U50" t="n">
        <v>235</v>
      </c>
      <c r="V50" t="inlineStr">
        <is>
          <t>MXN</t>
        </is>
      </c>
      <c r="W50" t="inlineStr">
        <is>
          <t>TN</t>
        </is>
      </c>
      <c r="X50" t="n">
        <v>70</v>
      </c>
      <c r="Y50" t="inlineStr">
        <is>
          <t>MXN</t>
        </is>
      </c>
      <c r="Z50" t="inlineStr">
        <is>
          <t>TN</t>
        </is>
      </c>
      <c r="AA50" t="inlineStr">
        <is>
          <t>D195</t>
        </is>
      </c>
      <c r="AB50" t="inlineStr">
        <is>
          <t>PD0405 PLANTA 4 RAMOS ARIZPE</t>
        </is>
      </c>
      <c r="AC50" t="n">
        <v>56103637</v>
      </c>
      <c r="AD50" t="n">
        <v>6644381540</v>
      </c>
      <c r="AE50" t="n">
        <v>4</v>
      </c>
      <c r="AF50" t="inlineStr">
        <is>
          <t>ENTREGA DIRECTA</t>
        </is>
      </c>
      <c r="AG50" t="n">
        <v>1</v>
      </c>
      <c r="AH50" t="inlineStr">
        <is>
          <t>TO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20260204</v>
      </c>
      <c r="AM50" t="inlineStr">
        <is>
          <t>DW81-900002741-D195-10000404-4</t>
        </is>
      </c>
    </row>
    <row r="51">
      <c r="A51" t="inlineStr">
        <is>
          <t>900002741DW81D19710000141</t>
        </is>
      </c>
      <c r="B51" t="inlineStr">
        <is>
          <t>4600050343-870</t>
        </is>
      </c>
      <c r="C51" t="n">
        <v>4600050343</v>
      </c>
      <c r="D51" t="n">
        <v>870</v>
      </c>
      <c r="E51" t="inlineStr">
        <is>
          <t>MXPO</t>
        </is>
      </c>
      <c r="F51" t="inlineStr">
        <is>
          <t>MXL</t>
        </is>
      </c>
      <c r="G51" t="n">
        <v>900002741</v>
      </c>
      <c r="H51" t="inlineStr">
        <is>
          <t>TC-ED-TRITURADOS GRAMOL SA DE CV</t>
        </is>
      </c>
      <c r="I51" t="n">
        <v>5005459</v>
      </c>
      <c r="J51" t="inlineStr">
        <is>
          <t>TRITURADOS GRAMOL SA DE CV</t>
        </is>
      </c>
      <c r="K51" t="inlineStr">
        <is>
          <t>Z04</t>
        </is>
      </c>
      <c r="L51" t="inlineStr">
        <is>
          <t>(AP) 30 Dias</t>
        </is>
      </c>
      <c r="M51" t="n">
        <v>10000141</v>
      </c>
      <c r="N51" t="inlineStr">
        <is>
          <t>Grava Triturada Caliza 40 mm - 1 1/2"</t>
        </is>
      </c>
      <c r="O51" t="inlineStr">
        <is>
          <t>DW81</t>
        </is>
      </c>
      <c r="P51" t="inlineStr">
        <is>
          <t>MX-CED. SALTILLO</t>
        </is>
      </c>
      <c r="Q51" t="n">
        <v>20210801</v>
      </c>
      <c r="R51" t="n">
        <v>20291231</v>
      </c>
      <c r="S51" t="n">
        <v>20260201</v>
      </c>
      <c r="T51" t="n">
        <v>20301231</v>
      </c>
      <c r="U51" t="n">
        <v>352</v>
      </c>
      <c r="V51" t="inlineStr">
        <is>
          <t>MXN</t>
        </is>
      </c>
      <c r="W51" t="inlineStr">
        <is>
          <t>TN</t>
        </is>
      </c>
      <c r="X51" t="n">
        <v>187</v>
      </c>
      <c r="Y51" t="inlineStr">
        <is>
          <t>MXN</t>
        </is>
      </c>
      <c r="Z51" t="inlineStr">
        <is>
          <t>TN</t>
        </is>
      </c>
      <c r="AA51" t="inlineStr">
        <is>
          <t>D197</t>
        </is>
      </c>
      <c r="AB51" t="inlineStr">
        <is>
          <t>PD0413 PLANTA VI DERRAMADERO</t>
        </is>
      </c>
      <c r="AC51" t="n">
        <v>56103637</v>
      </c>
      <c r="AD51" t="n">
        <v>6644381540</v>
      </c>
      <c r="AE51" t="n">
        <v>4</v>
      </c>
      <c r="AF51" t="inlineStr">
        <is>
          <t>ENTREGA DIRECTA</t>
        </is>
      </c>
      <c r="AG51" t="n">
        <v>1</v>
      </c>
      <c r="AH51" t="inlineStr">
        <is>
          <t>TO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20260204</v>
      </c>
      <c r="AM51" t="inlineStr">
        <is>
          <t>DW81-900002741-D197-10000141-4</t>
        </is>
      </c>
    </row>
    <row r="52">
      <c r="A52" t="inlineStr">
        <is>
          <t>900009335DW81D17110272234</t>
        </is>
      </c>
      <c r="B52" t="inlineStr">
        <is>
          <t>4600071744-30</t>
        </is>
      </c>
      <c r="C52" t="n">
        <v>4600071744</v>
      </c>
      <c r="D52" t="n">
        <v>30</v>
      </c>
      <c r="E52" t="inlineStr">
        <is>
          <t>MXPO</t>
        </is>
      </c>
      <c r="F52" t="inlineStr">
        <is>
          <t>MXL</t>
        </is>
      </c>
      <c r="G52" t="n">
        <v>900009335</v>
      </c>
      <c r="H52" t="inlineStr">
        <is>
          <t>SF TC-ED TTR MVA</t>
        </is>
      </c>
      <c r="I52" t="n">
        <v>5096741</v>
      </c>
      <c r="J52" t="inlineStr">
        <is>
          <t>TTR DE MVA SA DE CV</t>
        </is>
      </c>
      <c r="K52" t="inlineStr">
        <is>
          <t>Z09</t>
        </is>
      </c>
      <c r="L52" t="inlineStr">
        <is>
          <t>(AP) 90 Dias</t>
        </is>
      </c>
      <c r="M52" t="n">
        <v>10272234</v>
      </c>
      <c r="N52" t="inlineStr">
        <is>
          <t>MP ARENA CALIZA NO.4 - 3/16"</t>
        </is>
      </c>
      <c r="O52" t="inlineStr">
        <is>
          <t>DW81</t>
        </is>
      </c>
      <c r="P52" t="inlineStr">
        <is>
          <t>MX-CED. SALTILLO</t>
        </is>
      </c>
      <c r="Q52" t="n">
        <v>20251028</v>
      </c>
      <c r="R52" t="n">
        <v>20301231</v>
      </c>
      <c r="S52" t="n">
        <v>20251028</v>
      </c>
      <c r="T52" t="n">
        <v>20301231</v>
      </c>
      <c r="U52" t="n">
        <v>346</v>
      </c>
      <c r="V52" t="inlineStr">
        <is>
          <t>MXN</t>
        </is>
      </c>
      <c r="W52" t="inlineStr">
        <is>
          <t>TN</t>
        </is>
      </c>
      <c r="X52" t="n">
        <v>186</v>
      </c>
      <c r="Y52" t="inlineStr">
        <is>
          <t>MXN</t>
        </is>
      </c>
      <c r="Z52" t="inlineStr">
        <is>
          <t>TN</t>
        </is>
      </c>
      <c r="AA52" t="inlineStr">
        <is>
          <t>D171</t>
        </is>
      </c>
      <c r="AB52" t="inlineStr">
        <is>
          <t>PD0016 PIEDRAS NEGRAS</t>
        </is>
      </c>
      <c r="AC52" t="n">
        <v>56103638</v>
      </c>
      <c r="AD52" t="n">
        <v>6644381540</v>
      </c>
      <c r="AE52" t="n">
        <v>4</v>
      </c>
      <c r="AF52" t="inlineStr">
        <is>
          <t>ENTREGA DIRECTA</t>
        </is>
      </c>
      <c r="AG52" t="n">
        <v>1</v>
      </c>
      <c r="AH52" t="inlineStr">
        <is>
          <t>TO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20251103</v>
      </c>
      <c r="AM52" t="inlineStr">
        <is>
          <t>DW81-900009335-D171-10272234-4</t>
        </is>
      </c>
    </row>
    <row r="53">
      <c r="A53" t="inlineStr">
        <is>
          <t>900002741DW81D19710087726</t>
        </is>
      </c>
      <c r="B53" t="inlineStr">
        <is>
          <t>4600050343-880</t>
        </is>
      </c>
      <c r="C53" t="n">
        <v>4600050343</v>
      </c>
      <c r="D53" t="n">
        <v>880</v>
      </c>
      <c r="E53" t="inlineStr">
        <is>
          <t>MXPO</t>
        </is>
      </c>
      <c r="F53" t="inlineStr">
        <is>
          <t>MXL</t>
        </is>
      </c>
      <c r="G53" t="n">
        <v>900002741</v>
      </c>
      <c r="H53" t="inlineStr">
        <is>
          <t>TC-ED-TRITURADOS GRAMOL SA DE CV</t>
        </is>
      </c>
      <c r="I53" t="n">
        <v>5005459</v>
      </c>
      <c r="J53" t="inlineStr">
        <is>
          <t>TRITURADOS GRAMOL SA DE CV</t>
        </is>
      </c>
      <c r="K53" t="inlineStr">
        <is>
          <t>Z04</t>
        </is>
      </c>
      <c r="L53" t="inlineStr">
        <is>
          <t>(AP) 30 Dias</t>
        </is>
      </c>
      <c r="M53" t="n">
        <v>10087726</v>
      </c>
      <c r="N53" t="inlineStr">
        <is>
          <t>BASE HIDRAULICA CALIZA 50% EQ. ARENA SCT</t>
        </is>
      </c>
      <c r="O53" t="inlineStr">
        <is>
          <t>DW81</t>
        </is>
      </c>
      <c r="P53" t="inlineStr">
        <is>
          <t>MX-CED. SALTILLO</t>
        </is>
      </c>
      <c r="Q53" t="n">
        <v>20210801</v>
      </c>
      <c r="R53" t="n">
        <v>20291231</v>
      </c>
      <c r="S53" t="n">
        <v>20260201</v>
      </c>
      <c r="T53" t="n">
        <v>20301231</v>
      </c>
      <c r="U53" t="n">
        <v>352</v>
      </c>
      <c r="V53" t="inlineStr">
        <is>
          <t>MXN</t>
        </is>
      </c>
      <c r="W53" t="inlineStr">
        <is>
          <t>TN</t>
        </is>
      </c>
      <c r="X53" t="n">
        <v>187</v>
      </c>
      <c r="Y53" t="inlineStr">
        <is>
          <t>MXN</t>
        </is>
      </c>
      <c r="Z53" t="inlineStr">
        <is>
          <t>TN</t>
        </is>
      </c>
      <c r="AA53" t="inlineStr">
        <is>
          <t>D197</t>
        </is>
      </c>
      <c r="AB53" t="inlineStr">
        <is>
          <t>PD0413 PLANTA VI DERRAMADERO</t>
        </is>
      </c>
      <c r="AC53" t="n">
        <v>56103590</v>
      </c>
      <c r="AD53" t="n">
        <v>6644381540</v>
      </c>
      <c r="AE53" t="n">
        <v>4</v>
      </c>
      <c r="AF53" t="inlineStr">
        <is>
          <t>ENTREGA DIRECTA</t>
        </is>
      </c>
      <c r="AG53" t="n">
        <v>1</v>
      </c>
      <c r="AH53" t="inlineStr">
        <is>
          <t>TO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20260204</v>
      </c>
      <c r="AM53" t="inlineStr">
        <is>
          <t>DW81-900002741-D197-10087726-4</t>
        </is>
      </c>
    </row>
    <row r="54">
      <c r="A54" t="inlineStr">
        <is>
          <t>900002741DW81D19210000859</t>
        </is>
      </c>
      <c r="B54" t="inlineStr">
        <is>
          <t>4600050343-290</t>
        </is>
      </c>
      <c r="C54" t="n">
        <v>4600050343</v>
      </c>
      <c r="D54" t="n">
        <v>290</v>
      </c>
      <c r="E54" t="inlineStr">
        <is>
          <t>MXPO</t>
        </is>
      </c>
      <c r="F54" t="inlineStr">
        <is>
          <t>MXL</t>
        </is>
      </c>
      <c r="G54" t="n">
        <v>900002741</v>
      </c>
      <c r="H54" t="inlineStr">
        <is>
          <t>TC-ED-TRITURADOS GRAMOL SA DE CV</t>
        </is>
      </c>
      <c r="I54" t="n">
        <v>5005459</v>
      </c>
      <c r="J54" t="inlineStr">
        <is>
          <t>TRITURADOS GRAMOL SA DE CV</t>
        </is>
      </c>
      <c r="K54" t="inlineStr">
        <is>
          <t>Z04</t>
        </is>
      </c>
      <c r="L54" t="inlineStr">
        <is>
          <t>(AP) 30 Dias</t>
        </is>
      </c>
      <c r="M54" t="n">
        <v>10000859</v>
      </c>
      <c r="N54" t="inlineStr">
        <is>
          <t>Arena Triturada Caliza Malla 5</t>
        </is>
      </c>
      <c r="O54" t="inlineStr">
        <is>
          <t>DW81</t>
        </is>
      </c>
      <c r="P54" t="inlineStr">
        <is>
          <t>MX-CED. SALTILLO</t>
        </is>
      </c>
      <c r="Q54" t="n">
        <v>20210801</v>
      </c>
      <c r="R54" t="n">
        <v>20291231</v>
      </c>
      <c r="S54" t="n">
        <v>20260201</v>
      </c>
      <c r="T54" t="n">
        <v>20301231</v>
      </c>
      <c r="U54" t="n">
        <v>240</v>
      </c>
      <c r="V54" t="inlineStr">
        <is>
          <t>MXN</t>
        </is>
      </c>
      <c r="W54" t="inlineStr">
        <is>
          <t>TN</t>
        </is>
      </c>
      <c r="X54" t="n">
        <v>75</v>
      </c>
      <c r="Y54" t="inlineStr">
        <is>
          <t>MXN</t>
        </is>
      </c>
      <c r="Z54" t="inlineStr">
        <is>
          <t>TN</t>
        </is>
      </c>
      <c r="AA54" t="inlineStr">
        <is>
          <t>D192</t>
        </is>
      </c>
      <c r="AB54" t="inlineStr">
        <is>
          <t>PD0301 LOMAS LOURDES</t>
        </is>
      </c>
      <c r="AC54" t="n">
        <v>56103638</v>
      </c>
      <c r="AD54" t="n">
        <v>6644381540</v>
      </c>
      <c r="AE54" t="n">
        <v>4</v>
      </c>
      <c r="AF54" t="inlineStr">
        <is>
          <t>ENTREGA DIRECTA</t>
        </is>
      </c>
      <c r="AG54" t="n">
        <v>1</v>
      </c>
      <c r="AH54" t="inlineStr">
        <is>
          <t>TO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20260204</v>
      </c>
      <c r="AM54" t="inlineStr">
        <is>
          <t>DW81-900002741-D192-10000859-4</t>
        </is>
      </c>
    </row>
    <row r="55">
      <c r="A55" t="inlineStr">
        <is>
          <t>900002741DW81D09410000624</t>
        </is>
      </c>
      <c r="B55" t="inlineStr">
        <is>
          <t>4600050343-810</t>
        </is>
      </c>
      <c r="C55" t="n">
        <v>4600050343</v>
      </c>
      <c r="D55" t="n">
        <v>810</v>
      </c>
      <c r="E55" t="inlineStr">
        <is>
          <t>MXPO</t>
        </is>
      </c>
      <c r="F55" t="inlineStr">
        <is>
          <t>MXL</t>
        </is>
      </c>
      <c r="G55" t="n">
        <v>900002741</v>
      </c>
      <c r="H55" t="inlineStr">
        <is>
          <t>TC-ED-TRITURADOS GRAMOL SA DE CV</t>
        </is>
      </c>
      <c r="I55" t="n">
        <v>5005459</v>
      </c>
      <c r="J55" t="inlineStr">
        <is>
          <t>TRITURADOS GRAMOL SA DE CV</t>
        </is>
      </c>
      <c r="K55" t="inlineStr">
        <is>
          <t>Z04</t>
        </is>
      </c>
      <c r="L55" t="inlineStr">
        <is>
          <t>(AP) 30 Dias</t>
        </is>
      </c>
      <c r="M55" t="n">
        <v>10000624</v>
      </c>
      <c r="N55" t="inlineStr">
        <is>
          <t>Grava Triturada Caliza 40 mm - 1 1/2"</t>
        </is>
      </c>
      <c r="O55" t="inlineStr">
        <is>
          <t>DW81</t>
        </is>
      </c>
      <c r="P55" t="inlineStr">
        <is>
          <t>MX-CED. SALTILLO</t>
        </is>
      </c>
      <c r="Q55" t="n">
        <v>20210801</v>
      </c>
      <c r="R55" t="n">
        <v>20291231</v>
      </c>
      <c r="S55" t="n">
        <v>20260201</v>
      </c>
      <c r="T55" t="n">
        <v>20301231</v>
      </c>
      <c r="U55" t="n">
        <v>308</v>
      </c>
      <c r="V55" t="inlineStr">
        <is>
          <t>MXN</t>
        </is>
      </c>
      <c r="W55" t="inlineStr">
        <is>
          <t>TN</t>
        </is>
      </c>
      <c r="X55" t="n">
        <v>143</v>
      </c>
      <c r="Y55" t="inlineStr">
        <is>
          <t>MXN</t>
        </is>
      </c>
      <c r="Z55" t="inlineStr">
        <is>
          <t>TN</t>
        </is>
      </c>
      <c r="AA55" t="inlineStr">
        <is>
          <t>D094</t>
        </is>
      </c>
      <c r="AB55" t="inlineStr">
        <is>
          <t>PD0284 PLANTA DEACERO</t>
        </is>
      </c>
      <c r="AC55" t="n">
        <v>56103637</v>
      </c>
      <c r="AD55" t="n">
        <v>6644381540</v>
      </c>
      <c r="AE55" t="n">
        <v>4</v>
      </c>
      <c r="AF55" t="inlineStr">
        <is>
          <t>ENTREGA DIRECTA</t>
        </is>
      </c>
      <c r="AG55" t="n">
        <v>1</v>
      </c>
      <c r="AH55" t="inlineStr">
        <is>
          <t>TO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20260204</v>
      </c>
      <c r="AM55" t="inlineStr">
        <is>
          <t>DW81-900002741-D094-10000624-4</t>
        </is>
      </c>
    </row>
    <row r="56">
      <c r="A56" t="inlineStr">
        <is>
          <t>900009335DW81D14810272235</t>
        </is>
      </c>
      <c r="B56" t="inlineStr">
        <is>
          <t>4600071744-20</t>
        </is>
      </c>
      <c r="C56" t="n">
        <v>4600071744</v>
      </c>
      <c r="D56" t="n">
        <v>20</v>
      </c>
      <c r="E56" t="inlineStr">
        <is>
          <t>MXPO</t>
        </is>
      </c>
      <c r="F56" t="inlineStr">
        <is>
          <t>MXL</t>
        </is>
      </c>
      <c r="G56" t="n">
        <v>900009335</v>
      </c>
      <c r="H56" t="inlineStr">
        <is>
          <t>SF TC-ED TTR MVA</t>
        </is>
      </c>
      <c r="I56" t="n">
        <v>5096741</v>
      </c>
      <c r="J56" t="inlineStr">
        <is>
          <t>TTR DE MVA SA DE CV</t>
        </is>
      </c>
      <c r="K56" t="inlineStr">
        <is>
          <t>Z09</t>
        </is>
      </c>
      <c r="L56" t="inlineStr">
        <is>
          <t>(AP) 90 Dias</t>
        </is>
      </c>
      <c r="M56" t="n">
        <v>10272235</v>
      </c>
      <c r="N56" t="inlineStr">
        <is>
          <t>MP GRAVA CALIZA 20MM - 3/4"</t>
        </is>
      </c>
      <c r="O56" t="inlineStr">
        <is>
          <t>DW81</t>
        </is>
      </c>
      <c r="P56" t="inlineStr">
        <is>
          <t>MX-CED. SALTILLO</t>
        </is>
      </c>
      <c r="Q56" t="n">
        <v>20251028</v>
      </c>
      <c r="R56" t="n">
        <v>20301231</v>
      </c>
      <c r="S56" t="n">
        <v>20251028</v>
      </c>
      <c r="T56" t="n">
        <v>20301231</v>
      </c>
      <c r="U56" t="n">
        <v>213</v>
      </c>
      <c r="V56" t="inlineStr">
        <is>
          <t>MXN</t>
        </is>
      </c>
      <c r="W56" t="inlineStr">
        <is>
          <t>TN</t>
        </is>
      </c>
      <c r="X56" t="n">
        <v>53</v>
      </c>
      <c r="Y56" t="inlineStr">
        <is>
          <t>MXN</t>
        </is>
      </c>
      <c r="Z56" t="inlineStr">
        <is>
          <t>TN</t>
        </is>
      </c>
      <c r="AA56" t="inlineStr">
        <is>
          <t>D148</t>
        </is>
      </c>
      <c r="AB56" t="inlineStr">
        <is>
          <t>PD032 CASTAÑOS</t>
        </is>
      </c>
      <c r="AC56" t="n">
        <v>56103637</v>
      </c>
      <c r="AD56" t="n">
        <v>6644381540</v>
      </c>
      <c r="AE56" t="n">
        <v>4</v>
      </c>
      <c r="AF56" t="inlineStr">
        <is>
          <t>ENTREGA DIRECTA</t>
        </is>
      </c>
      <c r="AG56" t="n">
        <v>1</v>
      </c>
      <c r="AH56" t="inlineStr">
        <is>
          <t>TO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20251103</v>
      </c>
      <c r="AM56" t="inlineStr">
        <is>
          <t>DW81-900009335-D148-10272235-4</t>
        </is>
      </c>
    </row>
    <row r="57">
      <c r="A57" t="inlineStr">
        <is>
          <t>900009335DW81D17110272235</t>
        </is>
      </c>
      <c r="B57" t="inlineStr">
        <is>
          <t>4600071744-40</t>
        </is>
      </c>
      <c r="C57" t="n">
        <v>4600071744</v>
      </c>
      <c r="D57" t="n">
        <v>40</v>
      </c>
      <c r="E57" t="inlineStr">
        <is>
          <t>MXPO</t>
        </is>
      </c>
      <c r="F57" t="inlineStr">
        <is>
          <t>MXL</t>
        </is>
      </c>
      <c r="G57" t="n">
        <v>900009335</v>
      </c>
      <c r="H57" t="inlineStr">
        <is>
          <t>SF TC-ED TTR MVA</t>
        </is>
      </c>
      <c r="I57" t="n">
        <v>5096741</v>
      </c>
      <c r="J57" t="inlineStr">
        <is>
          <t>TTR DE MVA SA DE CV</t>
        </is>
      </c>
      <c r="K57" t="inlineStr">
        <is>
          <t>Z09</t>
        </is>
      </c>
      <c r="L57" t="inlineStr">
        <is>
          <t>(AP) 90 Dias</t>
        </is>
      </c>
      <c r="M57" t="n">
        <v>10272235</v>
      </c>
      <c r="N57" t="inlineStr">
        <is>
          <t>MP GRAVA CALIZA 20MM - 3/4"</t>
        </is>
      </c>
      <c r="O57" t="inlineStr">
        <is>
          <t>DW81</t>
        </is>
      </c>
      <c r="P57" t="inlineStr">
        <is>
          <t>MX-CED. SALTILLO</t>
        </is>
      </c>
      <c r="Q57" t="n">
        <v>20251028</v>
      </c>
      <c r="R57" t="n">
        <v>20301231</v>
      </c>
      <c r="S57" t="n">
        <v>20251028</v>
      </c>
      <c r="T57" t="n">
        <v>20301231</v>
      </c>
      <c r="U57" t="n">
        <v>346</v>
      </c>
      <c r="V57" t="inlineStr">
        <is>
          <t>MXN</t>
        </is>
      </c>
      <c r="W57" t="inlineStr">
        <is>
          <t>TN</t>
        </is>
      </c>
      <c r="X57" t="n">
        <v>186</v>
      </c>
      <c r="Y57" t="inlineStr">
        <is>
          <t>MXN</t>
        </is>
      </c>
      <c r="Z57" t="inlineStr">
        <is>
          <t>TN</t>
        </is>
      </c>
      <c r="AA57" t="inlineStr">
        <is>
          <t>D171</t>
        </is>
      </c>
      <c r="AB57" t="inlineStr">
        <is>
          <t>PD0016 PIEDRAS NEGRAS</t>
        </is>
      </c>
      <c r="AC57" t="n">
        <v>56103637</v>
      </c>
      <c r="AD57" t="n">
        <v>6644381540</v>
      </c>
      <c r="AE57" t="n">
        <v>4</v>
      </c>
      <c r="AF57" t="inlineStr">
        <is>
          <t>ENTREGA DIRECTA</t>
        </is>
      </c>
      <c r="AG57" t="n">
        <v>1</v>
      </c>
      <c r="AH57" t="inlineStr">
        <is>
          <t>TO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20251103</v>
      </c>
      <c r="AM57" t="inlineStr">
        <is>
          <t>DW81-900009335-D171-10272235-4</t>
        </is>
      </c>
    </row>
    <row r="58">
      <c r="A58" t="inlineStr">
        <is>
          <t>900002741DW81D09410000402</t>
        </is>
      </c>
      <c r="B58" t="inlineStr">
        <is>
          <t>4600050343-780</t>
        </is>
      </c>
      <c r="C58" t="n">
        <v>4600050343</v>
      </c>
      <c r="D58" t="n">
        <v>780</v>
      </c>
      <c r="E58" t="inlineStr">
        <is>
          <t>MXPO</t>
        </is>
      </c>
      <c r="F58" t="inlineStr">
        <is>
          <t>MXL</t>
        </is>
      </c>
      <c r="G58" t="n">
        <v>900002741</v>
      </c>
      <c r="H58" t="inlineStr">
        <is>
          <t>TC-ED-TRITURADOS GRAMOL SA DE CV</t>
        </is>
      </c>
      <c r="I58" t="n">
        <v>5005459</v>
      </c>
      <c r="J58" t="inlineStr">
        <is>
          <t>TRITURADOS GRAMOL SA DE CV</t>
        </is>
      </c>
      <c r="K58" t="inlineStr">
        <is>
          <t>Z04</t>
        </is>
      </c>
      <c r="L58" t="inlineStr">
        <is>
          <t>(AP) 30 Dias</t>
        </is>
      </c>
      <c r="M58" t="n">
        <v>10000402</v>
      </c>
      <c r="N58" t="inlineStr">
        <is>
          <t>Arena Triturada Caliza Malla 4</t>
        </is>
      </c>
      <c r="O58" t="inlineStr">
        <is>
          <t>DW81</t>
        </is>
      </c>
      <c r="P58" t="inlineStr">
        <is>
          <t>MX-CED. SALTILLO</t>
        </is>
      </c>
      <c r="Q58" t="n">
        <v>20210801</v>
      </c>
      <c r="R58" t="n">
        <v>20291231</v>
      </c>
      <c r="S58" t="n">
        <v>20260201</v>
      </c>
      <c r="T58" t="n">
        <v>20301231</v>
      </c>
      <c r="U58" t="n">
        <v>308</v>
      </c>
      <c r="V58" t="inlineStr">
        <is>
          <t>MXN</t>
        </is>
      </c>
      <c r="W58" t="inlineStr">
        <is>
          <t>TN</t>
        </is>
      </c>
      <c r="X58" t="n">
        <v>143</v>
      </c>
      <c r="Y58" t="inlineStr">
        <is>
          <t>MXN</t>
        </is>
      </c>
      <c r="Z58" t="inlineStr">
        <is>
          <t>TN</t>
        </is>
      </c>
      <c r="AA58" t="inlineStr">
        <is>
          <t>D094</t>
        </is>
      </c>
      <c r="AB58" t="inlineStr">
        <is>
          <t>PD0284 PLANTA DEACERO</t>
        </is>
      </c>
      <c r="AC58" t="n">
        <v>56103638</v>
      </c>
      <c r="AD58" t="n">
        <v>6644381540</v>
      </c>
      <c r="AE58" t="n">
        <v>4</v>
      </c>
      <c r="AF58" t="inlineStr">
        <is>
          <t>ENTREGA DIRECTA</t>
        </is>
      </c>
      <c r="AG58" t="n">
        <v>1</v>
      </c>
      <c r="AH58" t="inlineStr">
        <is>
          <t>TO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20260204</v>
      </c>
      <c r="AM58" t="inlineStr">
        <is>
          <t>DW81-900002741-D094-10000402-4</t>
        </is>
      </c>
    </row>
    <row r="59">
      <c r="A59" t="inlineStr">
        <is>
          <t>900002741DW81D19210000404</t>
        </is>
      </c>
      <c r="B59" t="inlineStr">
        <is>
          <t>4600050343-300</t>
        </is>
      </c>
      <c r="C59" t="n">
        <v>4600050343</v>
      </c>
      <c r="D59" t="n">
        <v>300</v>
      </c>
      <c r="E59" t="inlineStr">
        <is>
          <t>MXPO</t>
        </is>
      </c>
      <c r="F59" t="inlineStr">
        <is>
          <t>MXL</t>
        </is>
      </c>
      <c r="G59" t="n">
        <v>900002741</v>
      </c>
      <c r="H59" t="inlineStr">
        <is>
          <t>TC-ED-TRITURADOS GRAMOL SA DE CV</t>
        </is>
      </c>
      <c r="I59" t="n">
        <v>5005459</v>
      </c>
      <c r="J59" t="inlineStr">
        <is>
          <t>TRITURADOS GRAMOL SA DE CV</t>
        </is>
      </c>
      <c r="K59" t="inlineStr">
        <is>
          <t>Z04</t>
        </is>
      </c>
      <c r="L59" t="inlineStr">
        <is>
          <t>(AP) 30 Dias</t>
        </is>
      </c>
      <c r="M59" t="n">
        <v>10000404</v>
      </c>
      <c r="N59" t="inlineStr">
        <is>
          <t>Grava Triturada Caliza 20 mm - 3/4"</t>
        </is>
      </c>
      <c r="O59" t="inlineStr">
        <is>
          <t>DW81</t>
        </is>
      </c>
      <c r="P59" t="inlineStr">
        <is>
          <t>MX-CED. SALTILLO</t>
        </is>
      </c>
      <c r="Q59" t="n">
        <v>20210801</v>
      </c>
      <c r="R59" t="n">
        <v>20291231</v>
      </c>
      <c r="S59" t="n">
        <v>20260201</v>
      </c>
      <c r="T59" t="n">
        <v>20301231</v>
      </c>
      <c r="U59" t="n">
        <v>240</v>
      </c>
      <c r="V59" t="inlineStr">
        <is>
          <t>MXN</t>
        </is>
      </c>
      <c r="W59" t="inlineStr">
        <is>
          <t>TN</t>
        </is>
      </c>
      <c r="X59" t="n">
        <v>75</v>
      </c>
      <c r="Y59" t="inlineStr">
        <is>
          <t>MXN</t>
        </is>
      </c>
      <c r="Z59" t="inlineStr">
        <is>
          <t>TN</t>
        </is>
      </c>
      <c r="AA59" t="inlineStr">
        <is>
          <t>D192</t>
        </is>
      </c>
      <c r="AB59" t="inlineStr">
        <is>
          <t>PD0301 LOMAS LOURDES</t>
        </is>
      </c>
      <c r="AC59" t="n">
        <v>56103637</v>
      </c>
      <c r="AD59" t="n">
        <v>6644381540</v>
      </c>
      <c r="AE59" t="n">
        <v>4</v>
      </c>
      <c r="AF59" t="inlineStr">
        <is>
          <t>ENTREGA DIRECTA</t>
        </is>
      </c>
      <c r="AG59" t="n">
        <v>1</v>
      </c>
      <c r="AH59" t="inlineStr">
        <is>
          <t>TO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20260204</v>
      </c>
      <c r="AM59" t="inlineStr">
        <is>
          <t>DW81-900002741-D192-10000404-4</t>
        </is>
      </c>
    </row>
    <row r="60">
      <c r="A60" t="inlineStr">
        <is>
          <t>900002741DW81D19710000404</t>
        </is>
      </c>
      <c r="B60" t="inlineStr">
        <is>
          <t>4600050343-850</t>
        </is>
      </c>
      <c r="C60" t="n">
        <v>4600050343</v>
      </c>
      <c r="D60" t="n">
        <v>850</v>
      </c>
      <c r="E60" t="inlineStr">
        <is>
          <t>MXPO</t>
        </is>
      </c>
      <c r="F60" t="inlineStr">
        <is>
          <t>MXL</t>
        </is>
      </c>
      <c r="G60" t="n">
        <v>900002741</v>
      </c>
      <c r="H60" t="inlineStr">
        <is>
          <t>TC-ED-TRITURADOS GRAMOL SA DE CV</t>
        </is>
      </c>
      <c r="I60" t="n">
        <v>5005459</v>
      </c>
      <c r="J60" t="inlineStr">
        <is>
          <t>TRITURADOS GRAMOL SA DE CV</t>
        </is>
      </c>
      <c r="K60" t="inlineStr">
        <is>
          <t>Z04</t>
        </is>
      </c>
      <c r="L60" t="inlineStr">
        <is>
          <t>(AP) 30 Dias</t>
        </is>
      </c>
      <c r="M60" t="n">
        <v>10000404</v>
      </c>
      <c r="N60" t="inlineStr">
        <is>
          <t>Grava Triturada Caliza 20 mm - 3/4"</t>
        </is>
      </c>
      <c r="O60" t="inlineStr">
        <is>
          <t>DW81</t>
        </is>
      </c>
      <c r="P60" t="inlineStr">
        <is>
          <t>MX-CED. SALTILLO</t>
        </is>
      </c>
      <c r="Q60" t="n">
        <v>20210801</v>
      </c>
      <c r="R60" t="n">
        <v>20291231</v>
      </c>
      <c r="S60" t="n">
        <v>20260201</v>
      </c>
      <c r="T60" t="n">
        <v>20301231</v>
      </c>
      <c r="U60" t="n">
        <v>352</v>
      </c>
      <c r="V60" t="inlineStr">
        <is>
          <t>MXN</t>
        </is>
      </c>
      <c r="W60" t="inlineStr">
        <is>
          <t>TN</t>
        </is>
      </c>
      <c r="X60" t="n">
        <v>187</v>
      </c>
      <c r="Y60" t="inlineStr">
        <is>
          <t>MXN</t>
        </is>
      </c>
      <c r="Z60" t="inlineStr">
        <is>
          <t>TN</t>
        </is>
      </c>
      <c r="AA60" t="inlineStr">
        <is>
          <t>D197</t>
        </is>
      </c>
      <c r="AB60" t="inlineStr">
        <is>
          <t>PD0413 PLANTA VI DERRAMADERO</t>
        </is>
      </c>
      <c r="AC60" t="n">
        <v>56103637</v>
      </c>
      <c r="AD60" t="n">
        <v>6644381540</v>
      </c>
      <c r="AE60" t="n">
        <v>4</v>
      </c>
      <c r="AF60" t="inlineStr">
        <is>
          <t>ENTREGA DIRECTA</t>
        </is>
      </c>
      <c r="AG60" t="n">
        <v>1</v>
      </c>
      <c r="AH60" t="inlineStr">
        <is>
          <t>TO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20260204</v>
      </c>
      <c r="AM60" t="inlineStr">
        <is>
          <t>DW81-900002741-D197-10000404-4</t>
        </is>
      </c>
    </row>
    <row r="61">
      <c r="A61" t="inlineStr">
        <is>
          <t>900009335DW81D14910272234</t>
        </is>
      </c>
      <c r="B61" t="inlineStr">
        <is>
          <t>4600071744-50</t>
        </is>
      </c>
      <c r="C61" t="n">
        <v>4600071744</v>
      </c>
      <c r="D61" t="n">
        <v>50</v>
      </c>
      <c r="E61" t="inlineStr">
        <is>
          <t>MXPO</t>
        </is>
      </c>
      <c r="F61" t="inlineStr">
        <is>
          <t>MXL</t>
        </is>
      </c>
      <c r="G61" t="n">
        <v>900009335</v>
      </c>
      <c r="H61" t="inlineStr">
        <is>
          <t>SF TC-ED TTR MVA</t>
        </is>
      </c>
      <c r="I61" t="n">
        <v>5096741</v>
      </c>
      <c r="J61" t="inlineStr">
        <is>
          <t>TTR DE MVA SA DE CV</t>
        </is>
      </c>
      <c r="K61" t="inlineStr">
        <is>
          <t>Z09</t>
        </is>
      </c>
      <c r="L61" t="inlineStr">
        <is>
          <t>(AP) 90 Dias</t>
        </is>
      </c>
      <c r="M61" t="n">
        <v>10272234</v>
      </c>
      <c r="N61" t="inlineStr">
        <is>
          <t>MP ARENA CALIZA NO.4 - 3/16"</t>
        </is>
      </c>
      <c r="O61" t="inlineStr">
        <is>
          <t>DW81</t>
        </is>
      </c>
      <c r="P61" t="inlineStr">
        <is>
          <t>MX-CED. SALTILLO</t>
        </is>
      </c>
      <c r="Q61" t="n">
        <v>20251028</v>
      </c>
      <c r="R61" t="n">
        <v>20301231</v>
      </c>
      <c r="S61" t="n">
        <v>20251028</v>
      </c>
      <c r="T61" t="n">
        <v>20301231</v>
      </c>
      <c r="U61" t="n">
        <v>463</v>
      </c>
      <c r="V61" t="inlineStr">
        <is>
          <t>MXN</t>
        </is>
      </c>
      <c r="W61" t="inlineStr">
        <is>
          <t>TN</t>
        </is>
      </c>
      <c r="X61" t="n">
        <v>303</v>
      </c>
      <c r="Y61" t="inlineStr">
        <is>
          <t>MXN</t>
        </is>
      </c>
      <c r="Z61" t="inlineStr">
        <is>
          <t>TN</t>
        </is>
      </c>
      <c r="AA61" t="inlineStr">
        <is>
          <t>D149</t>
        </is>
      </c>
      <c r="AB61" t="inlineStr">
        <is>
          <t>PD051 ACUÑA</t>
        </is>
      </c>
      <c r="AC61" t="n">
        <v>56103638</v>
      </c>
      <c r="AD61" t="n">
        <v>6644381540</v>
      </c>
      <c r="AE61" t="n">
        <v>4</v>
      </c>
      <c r="AF61" t="inlineStr">
        <is>
          <t>ENTREGA DIRECTA</t>
        </is>
      </c>
      <c r="AG61" t="n">
        <v>1</v>
      </c>
      <c r="AH61" t="inlineStr">
        <is>
          <t>TO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20251103</v>
      </c>
      <c r="AM61" t="inlineStr">
        <is>
          <t>DW81-900009335-D149-10272234-4</t>
        </is>
      </c>
    </row>
    <row r="62">
      <c r="A62" t="inlineStr">
        <is>
          <t>900002741DW81D04910000407</t>
        </is>
      </c>
      <c r="B62" t="inlineStr">
        <is>
          <t>4600050343-80</t>
        </is>
      </c>
      <c r="C62" t="n">
        <v>4600050343</v>
      </c>
      <c r="D62" t="n">
        <v>80</v>
      </c>
      <c r="E62" t="inlineStr">
        <is>
          <t>MXPO</t>
        </is>
      </c>
      <c r="F62" t="inlineStr">
        <is>
          <t>MXL</t>
        </is>
      </c>
      <c r="G62" t="n">
        <v>900002741</v>
      </c>
      <c r="H62" t="inlineStr">
        <is>
          <t>TC-ED-TRITURADOS GRAMOL SA DE CV</t>
        </is>
      </c>
      <c r="I62" t="n">
        <v>5005459</v>
      </c>
      <c r="J62" t="inlineStr">
        <is>
          <t>TRITURADOS GRAMOL SA DE CV</t>
        </is>
      </c>
      <c r="K62" t="inlineStr">
        <is>
          <t>Z04</t>
        </is>
      </c>
      <c r="L62" t="inlineStr">
        <is>
          <t>(AP) 30 Dias</t>
        </is>
      </c>
      <c r="M62" t="n">
        <v>10000407</v>
      </c>
      <c r="N62" t="inlineStr">
        <is>
          <t>Grava Triturada Caliza 10 mm - 3/8"</t>
        </is>
      </c>
      <c r="O62" t="inlineStr">
        <is>
          <t>DW81</t>
        </is>
      </c>
      <c r="P62" t="inlineStr">
        <is>
          <t>MX-CED. SALTILLO</t>
        </is>
      </c>
      <c r="Q62" t="n">
        <v>20210801</v>
      </c>
      <c r="R62" t="n">
        <v>20291231</v>
      </c>
      <c r="S62" t="n">
        <v>20260201</v>
      </c>
      <c r="T62" t="n">
        <v>20301231</v>
      </c>
      <c r="U62" t="n">
        <v>213</v>
      </c>
      <c r="V62" t="inlineStr">
        <is>
          <t>MXN</t>
        </is>
      </c>
      <c r="W62" t="inlineStr">
        <is>
          <t>TN</t>
        </is>
      </c>
      <c r="X62" t="n">
        <v>48</v>
      </c>
      <c r="Y62" t="inlineStr">
        <is>
          <t>MXN</t>
        </is>
      </c>
      <c r="Z62" t="inlineStr">
        <is>
          <t>TN</t>
        </is>
      </c>
      <c r="AA62" t="inlineStr">
        <is>
          <t>D049</t>
        </is>
      </c>
      <c r="AB62" t="inlineStr">
        <is>
          <t>PD0236 ARTEAGA</t>
        </is>
      </c>
      <c r="AC62" t="n">
        <v>56103637</v>
      </c>
      <c r="AD62" t="n">
        <v>6644381540</v>
      </c>
      <c r="AE62" t="n">
        <v>4</v>
      </c>
      <c r="AF62" t="inlineStr">
        <is>
          <t>ENTREGA DIRECTA</t>
        </is>
      </c>
      <c r="AG62" t="n">
        <v>1</v>
      </c>
      <c r="AH62" t="inlineStr">
        <is>
          <t>TO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20260204</v>
      </c>
      <c r="AM62" t="inlineStr">
        <is>
          <t>DW81-900002741-D049-10000407-4</t>
        </is>
      </c>
    </row>
    <row r="63">
      <c r="A63" t="inlineStr">
        <is>
          <t>900002741DW81D16910000859</t>
        </is>
      </c>
      <c r="B63" t="inlineStr">
        <is>
          <t>4600050343-220</t>
        </is>
      </c>
      <c r="C63" t="n">
        <v>4600050343</v>
      </c>
      <c r="D63" t="n">
        <v>220</v>
      </c>
      <c r="E63" t="inlineStr">
        <is>
          <t>MXPO</t>
        </is>
      </c>
      <c r="F63" t="inlineStr">
        <is>
          <t>MXL</t>
        </is>
      </c>
      <c r="G63" t="n">
        <v>900002741</v>
      </c>
      <c r="H63" t="inlineStr">
        <is>
          <t>TC-ED-TRITURADOS GRAMOL SA DE CV</t>
        </is>
      </c>
      <c r="I63" t="n">
        <v>5005459</v>
      </c>
      <c r="J63" t="inlineStr">
        <is>
          <t>TRITURADOS GRAMOL SA DE CV</t>
        </is>
      </c>
      <c r="K63" t="inlineStr">
        <is>
          <t>Z04</t>
        </is>
      </c>
      <c r="L63" t="inlineStr">
        <is>
          <t>(AP) 30 Dias</t>
        </is>
      </c>
      <c r="M63" t="n">
        <v>10000859</v>
      </c>
      <c r="N63" t="inlineStr">
        <is>
          <t>Arena Triturada Caliza Malla 5</t>
        </is>
      </c>
      <c r="O63" t="inlineStr">
        <is>
          <t>DW81</t>
        </is>
      </c>
      <c r="P63" t="inlineStr">
        <is>
          <t>MX-CED. SALTILLO</t>
        </is>
      </c>
      <c r="Q63" t="n">
        <v>20210801</v>
      </c>
      <c r="R63" t="n">
        <v>20291231</v>
      </c>
      <c r="S63" t="n">
        <v>20260201</v>
      </c>
      <c r="T63" t="n">
        <v>20301231</v>
      </c>
      <c r="U63" t="n">
        <v>231</v>
      </c>
      <c r="V63" t="inlineStr">
        <is>
          <t>MXN</t>
        </is>
      </c>
      <c r="W63" t="inlineStr">
        <is>
          <t>TN</t>
        </is>
      </c>
      <c r="X63" t="n">
        <v>66</v>
      </c>
      <c r="Y63" t="inlineStr">
        <is>
          <t>MXN</t>
        </is>
      </c>
      <c r="Z63" t="inlineStr">
        <is>
          <t>TN</t>
        </is>
      </c>
      <c r="AA63" t="inlineStr">
        <is>
          <t>D169</t>
        </is>
      </c>
      <c r="AB63" t="inlineStr">
        <is>
          <t>SICLO-PD029 SALTILLO 1 PERIFERICO</t>
        </is>
      </c>
      <c r="AC63" t="n">
        <v>56103638</v>
      </c>
      <c r="AD63" t="n">
        <v>6644381540</v>
      </c>
      <c r="AE63" t="n">
        <v>4</v>
      </c>
      <c r="AF63" t="inlineStr">
        <is>
          <t>ENTREGA DIRECTA</t>
        </is>
      </c>
      <c r="AG63" t="n">
        <v>1</v>
      </c>
      <c r="AH63" t="inlineStr">
        <is>
          <t>TO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20260204</v>
      </c>
      <c r="AM63" t="inlineStr">
        <is>
          <t>DW81-900002741-D169-10000859-4</t>
        </is>
      </c>
    </row>
    <row r="64">
      <c r="A64" t="inlineStr">
        <is>
          <t>900002741DW81D19510000402</t>
        </is>
      </c>
      <c r="B64" t="inlineStr">
        <is>
          <t>4600050343-270</t>
        </is>
      </c>
      <c r="C64" t="n">
        <v>4600050343</v>
      </c>
      <c r="D64" t="n">
        <v>270</v>
      </c>
      <c r="E64" t="inlineStr">
        <is>
          <t>MXPO</t>
        </is>
      </c>
      <c r="F64" t="inlineStr">
        <is>
          <t>MXL</t>
        </is>
      </c>
      <c r="G64" t="n">
        <v>900002741</v>
      </c>
      <c r="H64" t="inlineStr">
        <is>
          <t>TC-ED-TRITURADOS GRAMOL SA DE CV</t>
        </is>
      </c>
      <c r="I64" t="n">
        <v>5005459</v>
      </c>
      <c r="J64" t="inlineStr">
        <is>
          <t>TRITURADOS GRAMOL SA DE CV</t>
        </is>
      </c>
      <c r="K64" t="inlineStr">
        <is>
          <t>Z04</t>
        </is>
      </c>
      <c r="L64" t="inlineStr">
        <is>
          <t>(AP) 30 Dias</t>
        </is>
      </c>
      <c r="M64" t="n">
        <v>10000402</v>
      </c>
      <c r="N64" t="inlineStr">
        <is>
          <t>Arena Triturada Caliza Malla 4</t>
        </is>
      </c>
      <c r="O64" t="inlineStr">
        <is>
          <t>DW81</t>
        </is>
      </c>
      <c r="P64" t="inlineStr">
        <is>
          <t>MX-CED. SALTILLO</t>
        </is>
      </c>
      <c r="Q64" t="n">
        <v>20210801</v>
      </c>
      <c r="R64" t="n">
        <v>20291231</v>
      </c>
      <c r="S64" t="n">
        <v>20260201</v>
      </c>
      <c r="T64" t="n">
        <v>20301231</v>
      </c>
      <c r="U64" t="n">
        <v>235</v>
      </c>
      <c r="V64" t="inlineStr">
        <is>
          <t>MXN</t>
        </is>
      </c>
      <c r="W64" t="inlineStr">
        <is>
          <t>TN</t>
        </is>
      </c>
      <c r="X64" t="n">
        <v>70</v>
      </c>
      <c r="Y64" t="inlineStr">
        <is>
          <t>MXN</t>
        </is>
      </c>
      <c r="Z64" t="inlineStr">
        <is>
          <t>TN</t>
        </is>
      </c>
      <c r="AA64" t="inlineStr">
        <is>
          <t>D195</t>
        </is>
      </c>
      <c r="AB64" t="inlineStr">
        <is>
          <t>PD0405 PLANTA 4 RAMOS ARIZPE</t>
        </is>
      </c>
      <c r="AC64" t="n">
        <v>56103638</v>
      </c>
      <c r="AD64" t="n">
        <v>6644381540</v>
      </c>
      <c r="AE64" t="n">
        <v>4</v>
      </c>
      <c r="AF64" t="inlineStr">
        <is>
          <t>ENTREGA DIRECTA</t>
        </is>
      </c>
      <c r="AG64" t="n">
        <v>1</v>
      </c>
      <c r="AH64" t="inlineStr">
        <is>
          <t>TO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20260204</v>
      </c>
      <c r="AM64" t="inlineStr">
        <is>
          <t>DW81-900002741-D195-10000402-4</t>
        </is>
      </c>
    </row>
    <row r="65">
      <c r="A65" t="inlineStr">
        <is>
          <t>900002741DW81D09410000407</t>
        </is>
      </c>
      <c r="B65" t="inlineStr">
        <is>
          <t>4600050343-890</t>
        </is>
      </c>
      <c r="C65" t="n">
        <v>4600050343</v>
      </c>
      <c r="D65" t="n">
        <v>890</v>
      </c>
      <c r="E65" t="inlineStr">
        <is>
          <t>MXPO</t>
        </is>
      </c>
      <c r="F65" t="inlineStr">
        <is>
          <t>MXL</t>
        </is>
      </c>
      <c r="G65" t="n">
        <v>900002741</v>
      </c>
      <c r="H65" t="inlineStr">
        <is>
          <t>TC-ED-TRITURADOS GRAMOL SA DE CV</t>
        </is>
      </c>
      <c r="I65" t="n">
        <v>5005459</v>
      </c>
      <c r="J65" t="inlineStr">
        <is>
          <t>TRITURADOS GRAMOL SA DE CV</t>
        </is>
      </c>
      <c r="K65" t="inlineStr">
        <is>
          <t>Z04</t>
        </is>
      </c>
      <c r="L65" t="inlineStr">
        <is>
          <t>(AP) 30 Dias</t>
        </is>
      </c>
      <c r="M65" t="n">
        <v>10000407</v>
      </c>
      <c r="N65" t="inlineStr">
        <is>
          <t>Grava Triturada Caliza 10 mm - 3/8"</t>
        </is>
      </c>
      <c r="O65" t="inlineStr">
        <is>
          <t>DW81</t>
        </is>
      </c>
      <c r="P65" t="inlineStr">
        <is>
          <t>MX-CED. SALTILLO</t>
        </is>
      </c>
      <c r="Q65" t="n">
        <v>20210801</v>
      </c>
      <c r="R65" t="n">
        <v>20291231</v>
      </c>
      <c r="S65" t="n">
        <v>20260201</v>
      </c>
      <c r="T65" t="n">
        <v>20301231</v>
      </c>
      <c r="U65" t="n">
        <v>308</v>
      </c>
      <c r="V65" t="inlineStr">
        <is>
          <t>MXN</t>
        </is>
      </c>
      <c r="W65" t="inlineStr">
        <is>
          <t>TN</t>
        </is>
      </c>
      <c r="X65" t="n">
        <v>143</v>
      </c>
      <c r="Y65" t="inlineStr">
        <is>
          <t>MXN</t>
        </is>
      </c>
      <c r="Z65" t="inlineStr">
        <is>
          <t>TN</t>
        </is>
      </c>
      <c r="AA65" t="inlineStr">
        <is>
          <t>D094</t>
        </is>
      </c>
      <c r="AB65" t="inlineStr">
        <is>
          <t>PD0284 PLANTA DEACERO</t>
        </is>
      </c>
      <c r="AC65" t="n">
        <v>56103637</v>
      </c>
      <c r="AD65" t="n">
        <v>6644381540</v>
      </c>
      <c r="AE65" t="n">
        <v>4</v>
      </c>
      <c r="AF65" t="inlineStr">
        <is>
          <t>ENTREGA DIRECTA</t>
        </is>
      </c>
      <c r="AG65" t="n">
        <v>1</v>
      </c>
      <c r="AH65" t="inlineStr">
        <is>
          <t>TO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20260204</v>
      </c>
      <c r="AM65" t="inlineStr">
        <is>
          <t>DW81-900002741-D094-10000407-4</t>
        </is>
      </c>
    </row>
    <row r="66">
      <c r="A66" t="inlineStr">
        <is>
          <t>900002741DW81D19210000402</t>
        </is>
      </c>
      <c r="B66" t="inlineStr">
        <is>
          <t>4600050343-240</t>
        </is>
      </c>
      <c r="C66" t="n">
        <v>4600050343</v>
      </c>
      <c r="D66" t="n">
        <v>240</v>
      </c>
      <c r="E66" t="inlineStr">
        <is>
          <t>MXPO</t>
        </is>
      </c>
      <c r="F66" t="inlineStr">
        <is>
          <t>MXL</t>
        </is>
      </c>
      <c r="G66" t="n">
        <v>900002741</v>
      </c>
      <c r="H66" t="inlineStr">
        <is>
          <t>TC-ED-TRITURADOS GRAMOL SA DE CV</t>
        </is>
      </c>
      <c r="I66" t="n">
        <v>5005459</v>
      </c>
      <c r="J66" t="inlineStr">
        <is>
          <t>TRITURADOS GRAMOL SA DE CV</t>
        </is>
      </c>
      <c r="K66" t="inlineStr">
        <is>
          <t>Z04</t>
        </is>
      </c>
      <c r="L66" t="inlineStr">
        <is>
          <t>(AP) 30 Dias</t>
        </is>
      </c>
      <c r="M66" t="n">
        <v>10000402</v>
      </c>
      <c r="N66" t="inlineStr">
        <is>
          <t>Arena Triturada Caliza Malla 4</t>
        </is>
      </c>
      <c r="O66" t="inlineStr">
        <is>
          <t>DW81</t>
        </is>
      </c>
      <c r="P66" t="inlineStr">
        <is>
          <t>MX-CED. SALTILLO</t>
        </is>
      </c>
      <c r="Q66" t="n">
        <v>20210801</v>
      </c>
      <c r="R66" t="n">
        <v>20291231</v>
      </c>
      <c r="S66" t="n">
        <v>20260201</v>
      </c>
      <c r="T66" t="n">
        <v>20301231</v>
      </c>
      <c r="U66" t="n">
        <v>240</v>
      </c>
      <c r="V66" t="inlineStr">
        <is>
          <t>MXN</t>
        </is>
      </c>
      <c r="W66" t="inlineStr">
        <is>
          <t>TN</t>
        </is>
      </c>
      <c r="X66" t="n">
        <v>75</v>
      </c>
      <c r="Y66" t="inlineStr">
        <is>
          <t>MXN</t>
        </is>
      </c>
      <c r="Z66" t="inlineStr">
        <is>
          <t>TN</t>
        </is>
      </c>
      <c r="AA66" t="inlineStr">
        <is>
          <t>D192</t>
        </is>
      </c>
      <c r="AB66" t="inlineStr">
        <is>
          <t>PD0301 LOMAS LOURDES</t>
        </is>
      </c>
      <c r="AC66" t="n">
        <v>56103638</v>
      </c>
      <c r="AD66" t="n">
        <v>6644381540</v>
      </c>
      <c r="AE66" t="n">
        <v>4</v>
      </c>
      <c r="AF66" t="inlineStr">
        <is>
          <t>ENTREGA DIRECTA</t>
        </is>
      </c>
      <c r="AG66" t="n">
        <v>1</v>
      </c>
      <c r="AH66" t="inlineStr">
        <is>
          <t>TO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20260204</v>
      </c>
      <c r="AM66" t="inlineStr">
        <is>
          <t>DW81-900002741-D192-10000402-4</t>
        </is>
      </c>
    </row>
    <row r="67">
      <c r="A67" t="inlineStr">
        <is>
          <t>900002741DW81D04910000141</t>
        </is>
      </c>
      <c r="B67" t="inlineStr">
        <is>
          <t>4600050343-90</t>
        </is>
      </c>
      <c r="C67" t="n">
        <v>4600050343</v>
      </c>
      <c r="D67" t="n">
        <v>90</v>
      </c>
      <c r="E67" t="inlineStr">
        <is>
          <t>MXPO</t>
        </is>
      </c>
      <c r="F67" t="inlineStr">
        <is>
          <t>MXL</t>
        </is>
      </c>
      <c r="G67" t="n">
        <v>900002741</v>
      </c>
      <c r="H67" t="inlineStr">
        <is>
          <t>TC-ED-TRITURADOS GRAMOL SA DE CV</t>
        </is>
      </c>
      <c r="I67" t="n">
        <v>5005459</v>
      </c>
      <c r="J67" t="inlineStr">
        <is>
          <t>TRITURADOS GRAMOL SA DE CV</t>
        </is>
      </c>
      <c r="K67" t="inlineStr">
        <is>
          <t>Z04</t>
        </is>
      </c>
      <c r="L67" t="inlineStr">
        <is>
          <t>(AP) 30 Dias</t>
        </is>
      </c>
      <c r="M67" t="n">
        <v>10000141</v>
      </c>
      <c r="N67" t="inlineStr">
        <is>
          <t>Grava Triturada Caliza 40 mm - 1 1/2"</t>
        </is>
      </c>
      <c r="O67" t="inlineStr">
        <is>
          <t>DW81</t>
        </is>
      </c>
      <c r="P67" t="inlineStr">
        <is>
          <t>MX-CED. SALTILLO</t>
        </is>
      </c>
      <c r="Q67" t="n">
        <v>20210801</v>
      </c>
      <c r="R67" t="n">
        <v>20291231</v>
      </c>
      <c r="S67" t="n">
        <v>20260201</v>
      </c>
      <c r="T67" t="n">
        <v>20301231</v>
      </c>
      <c r="U67" t="n">
        <v>213</v>
      </c>
      <c r="V67" t="inlineStr">
        <is>
          <t>MXN</t>
        </is>
      </c>
      <c r="W67" t="inlineStr">
        <is>
          <t>TN</t>
        </is>
      </c>
      <c r="X67" t="n">
        <v>48</v>
      </c>
      <c r="Y67" t="inlineStr">
        <is>
          <t>MXN</t>
        </is>
      </c>
      <c r="Z67" t="inlineStr">
        <is>
          <t>TN</t>
        </is>
      </c>
      <c r="AA67" t="inlineStr">
        <is>
          <t>D049</t>
        </is>
      </c>
      <c r="AB67" t="inlineStr">
        <is>
          <t>PD0236 ARTEAGA</t>
        </is>
      </c>
      <c r="AC67" t="n">
        <v>56103637</v>
      </c>
      <c r="AD67" t="n">
        <v>6644381540</v>
      </c>
      <c r="AE67" t="n">
        <v>4</v>
      </c>
      <c r="AF67" t="inlineStr">
        <is>
          <t>ENTREGA DIRECTA</t>
        </is>
      </c>
      <c r="AG67" t="n">
        <v>1</v>
      </c>
      <c r="AH67" t="inlineStr">
        <is>
          <t>TO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20260204</v>
      </c>
      <c r="AM67" t="inlineStr">
        <is>
          <t>DW81-900002741-D049-10000141-4</t>
        </is>
      </c>
    </row>
    <row r="68">
      <c r="A68" t="inlineStr">
        <is>
          <t>900002741DW81D16910000407</t>
        </is>
      </c>
      <c r="B68" t="inlineStr">
        <is>
          <t>4600050343-310</t>
        </is>
      </c>
      <c r="C68" t="n">
        <v>4600050343</v>
      </c>
      <c r="D68" t="n">
        <v>310</v>
      </c>
      <c r="E68" t="inlineStr">
        <is>
          <t>MXPO</t>
        </is>
      </c>
      <c r="F68" t="inlineStr">
        <is>
          <t>MXL</t>
        </is>
      </c>
      <c r="G68" t="n">
        <v>900002741</v>
      </c>
      <c r="H68" t="inlineStr">
        <is>
          <t>TC-ED-TRITURADOS GRAMOL SA DE CV</t>
        </is>
      </c>
      <c r="I68" t="n">
        <v>5005459</v>
      </c>
      <c r="J68" t="inlineStr">
        <is>
          <t>TRITURADOS GRAMOL SA DE CV</t>
        </is>
      </c>
      <c r="K68" t="inlineStr">
        <is>
          <t>Z04</t>
        </is>
      </c>
      <c r="L68" t="inlineStr">
        <is>
          <t>(AP) 30 Dias</t>
        </is>
      </c>
      <c r="M68" t="n">
        <v>10000407</v>
      </c>
      <c r="N68" t="inlineStr">
        <is>
          <t>Grava Triturada Caliza 10 mm - 3/8"</t>
        </is>
      </c>
      <c r="O68" t="inlineStr">
        <is>
          <t>DW81</t>
        </is>
      </c>
      <c r="P68" t="inlineStr">
        <is>
          <t>MX-CED. SALTILLO</t>
        </is>
      </c>
      <c r="Q68" t="n">
        <v>20210801</v>
      </c>
      <c r="R68" t="n">
        <v>20291231</v>
      </c>
      <c r="S68" t="n">
        <v>20260201</v>
      </c>
      <c r="T68" t="n">
        <v>20301231</v>
      </c>
      <c r="U68" t="n">
        <v>231</v>
      </c>
      <c r="V68" t="inlineStr">
        <is>
          <t>MXN</t>
        </is>
      </c>
      <c r="W68" t="inlineStr">
        <is>
          <t>TN</t>
        </is>
      </c>
      <c r="X68" t="n">
        <v>66</v>
      </c>
      <c r="Y68" t="inlineStr">
        <is>
          <t>MXN</t>
        </is>
      </c>
      <c r="Z68" t="inlineStr">
        <is>
          <t>TN</t>
        </is>
      </c>
      <c r="AA68" t="inlineStr">
        <is>
          <t>D169</t>
        </is>
      </c>
      <c r="AB68" t="inlineStr">
        <is>
          <t>SICLO-PD029 SALTILLO 1 PERIFERICO</t>
        </is>
      </c>
      <c r="AC68" t="n">
        <v>56103637</v>
      </c>
      <c r="AD68" t="n">
        <v>6644381540</v>
      </c>
      <c r="AE68" t="n">
        <v>4</v>
      </c>
      <c r="AF68" t="inlineStr">
        <is>
          <t>ENTREGA DIRECTA</t>
        </is>
      </c>
      <c r="AG68" t="n">
        <v>1</v>
      </c>
      <c r="AH68" t="inlineStr">
        <is>
          <t>TO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20260204</v>
      </c>
      <c r="AM68" t="inlineStr">
        <is>
          <t>DW81-900002741-D169-10000407-4</t>
        </is>
      </c>
    </row>
    <row r="69">
      <c r="A69" t="inlineStr">
        <is>
          <t>900009335DW81D14810272234</t>
        </is>
      </c>
      <c r="B69" t="inlineStr">
        <is>
          <t>4600071744-10</t>
        </is>
      </c>
      <c r="C69" t="n">
        <v>4600071744</v>
      </c>
      <c r="D69" t="n">
        <v>10</v>
      </c>
      <c r="E69" t="inlineStr">
        <is>
          <t>MXPO</t>
        </is>
      </c>
      <c r="F69" t="inlineStr">
        <is>
          <t>MXL</t>
        </is>
      </c>
      <c r="G69" t="n">
        <v>900009335</v>
      </c>
      <c r="H69" t="inlineStr">
        <is>
          <t>SF TC-ED TTR MVA</t>
        </is>
      </c>
      <c r="I69" t="n">
        <v>5096741</v>
      </c>
      <c r="J69" t="inlineStr">
        <is>
          <t>TTR DE MVA SA DE CV</t>
        </is>
      </c>
      <c r="K69" t="inlineStr">
        <is>
          <t>Z09</t>
        </is>
      </c>
      <c r="L69" t="inlineStr">
        <is>
          <t>(AP) 90 Dias</t>
        </is>
      </c>
      <c r="M69" t="n">
        <v>10272234</v>
      </c>
      <c r="N69" t="inlineStr">
        <is>
          <t>MP ARENA CALIZA NO.4 - 3/16"</t>
        </is>
      </c>
      <c r="O69" t="inlineStr">
        <is>
          <t>DW81</t>
        </is>
      </c>
      <c r="P69" t="inlineStr">
        <is>
          <t>MX-CED. SALTILLO</t>
        </is>
      </c>
      <c r="Q69" t="n">
        <v>20251028</v>
      </c>
      <c r="R69" t="n">
        <v>20301231</v>
      </c>
      <c r="S69" t="n">
        <v>20251028</v>
      </c>
      <c r="T69" t="n">
        <v>20301231</v>
      </c>
      <c r="U69" t="n">
        <v>213</v>
      </c>
      <c r="V69" t="inlineStr">
        <is>
          <t>MXN</t>
        </is>
      </c>
      <c r="W69" t="inlineStr">
        <is>
          <t>TN</t>
        </is>
      </c>
      <c r="X69" t="n">
        <v>53</v>
      </c>
      <c r="Y69" t="inlineStr">
        <is>
          <t>MXN</t>
        </is>
      </c>
      <c r="Z69" t="inlineStr">
        <is>
          <t>TN</t>
        </is>
      </c>
      <c r="AA69" t="inlineStr">
        <is>
          <t>D148</t>
        </is>
      </c>
      <c r="AB69" t="inlineStr">
        <is>
          <t>PD032 CASTAÑOS</t>
        </is>
      </c>
      <c r="AC69" t="n">
        <v>56103638</v>
      </c>
      <c r="AD69" t="n">
        <v>6644381540</v>
      </c>
      <c r="AE69" t="n">
        <v>4</v>
      </c>
      <c r="AF69" t="inlineStr">
        <is>
          <t>ENTREGA DIRECTA</t>
        </is>
      </c>
      <c r="AG69" t="n">
        <v>1</v>
      </c>
      <c r="AH69" t="inlineStr">
        <is>
          <t>TO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20251103</v>
      </c>
      <c r="AM69" t="inlineStr">
        <is>
          <t>DW81-900009335-D148-10272234-4</t>
        </is>
      </c>
    </row>
    <row r="70">
      <c r="A70" t="inlineStr">
        <is>
          <t>900002741DW81D19710000402</t>
        </is>
      </c>
      <c r="B70" t="inlineStr">
        <is>
          <t>4600050343-860</t>
        </is>
      </c>
      <c r="C70" t="n">
        <v>4600050343</v>
      </c>
      <c r="D70" t="n">
        <v>860</v>
      </c>
      <c r="E70" t="inlineStr">
        <is>
          <t>MXPO</t>
        </is>
      </c>
      <c r="F70" t="inlineStr">
        <is>
          <t>MXL</t>
        </is>
      </c>
      <c r="G70" t="n">
        <v>900002741</v>
      </c>
      <c r="H70" t="inlineStr">
        <is>
          <t>TC-ED-TRITURADOS GRAMOL SA DE CV</t>
        </is>
      </c>
      <c r="I70" t="n">
        <v>5005459</v>
      </c>
      <c r="J70" t="inlineStr">
        <is>
          <t>TRITURADOS GRAMOL SA DE CV</t>
        </is>
      </c>
      <c r="K70" t="inlineStr">
        <is>
          <t>Z04</t>
        </is>
      </c>
      <c r="L70" t="inlineStr">
        <is>
          <t>(AP) 30 Dias</t>
        </is>
      </c>
      <c r="M70" t="n">
        <v>10000402</v>
      </c>
      <c r="N70" t="inlineStr">
        <is>
          <t>Arena Triturada Caliza Malla 4</t>
        </is>
      </c>
      <c r="O70" t="inlineStr">
        <is>
          <t>DW81</t>
        </is>
      </c>
      <c r="P70" t="inlineStr">
        <is>
          <t>MX-CED. SALTILLO</t>
        </is>
      </c>
      <c r="Q70" t="n">
        <v>20210801</v>
      </c>
      <c r="R70" t="n">
        <v>20291231</v>
      </c>
      <c r="S70" t="n">
        <v>20260201</v>
      </c>
      <c r="T70" t="n">
        <v>20301231</v>
      </c>
      <c r="U70" t="n">
        <v>352</v>
      </c>
      <c r="V70" t="inlineStr">
        <is>
          <t>MXN</t>
        </is>
      </c>
      <c r="W70" t="inlineStr">
        <is>
          <t>TN</t>
        </is>
      </c>
      <c r="X70" t="n">
        <v>187</v>
      </c>
      <c r="Y70" t="inlineStr">
        <is>
          <t>MXN</t>
        </is>
      </c>
      <c r="Z70" t="inlineStr">
        <is>
          <t>TN</t>
        </is>
      </c>
      <c r="AA70" t="inlineStr">
        <is>
          <t>D197</t>
        </is>
      </c>
      <c r="AB70" t="inlineStr">
        <is>
          <t>PD0413 PLANTA VI DERRAMADERO</t>
        </is>
      </c>
      <c r="AC70" t="n">
        <v>56103638</v>
      </c>
      <c r="AD70" t="n">
        <v>6644381540</v>
      </c>
      <c r="AE70" t="n">
        <v>4</v>
      </c>
      <c r="AF70" t="inlineStr">
        <is>
          <t>ENTREGA DIRECTA</t>
        </is>
      </c>
      <c r="AG70" t="n">
        <v>1</v>
      </c>
      <c r="AH70" t="inlineStr">
        <is>
          <t>TO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20260204</v>
      </c>
      <c r="AM70" t="inlineStr">
        <is>
          <t>DW81-900002741-D197-10000402-4</t>
        </is>
      </c>
    </row>
    <row r="71">
      <c r="A71" t="inlineStr">
        <is>
          <t>900002741DW81D16910000141</t>
        </is>
      </c>
      <c r="B71" t="inlineStr">
        <is>
          <t>4600050343-340</t>
        </is>
      </c>
      <c r="C71" t="n">
        <v>4600050343</v>
      </c>
      <c r="D71" t="n">
        <v>340</v>
      </c>
      <c r="E71" t="inlineStr">
        <is>
          <t>MXPO</t>
        </is>
      </c>
      <c r="F71" t="inlineStr">
        <is>
          <t>MXL</t>
        </is>
      </c>
      <c r="G71" t="n">
        <v>900002741</v>
      </c>
      <c r="H71" t="inlineStr">
        <is>
          <t>TC-ED-TRITURADOS GRAMOL SA DE CV</t>
        </is>
      </c>
      <c r="I71" t="n">
        <v>5005459</v>
      </c>
      <c r="J71" t="inlineStr">
        <is>
          <t>TRITURADOS GRAMOL SA DE CV</t>
        </is>
      </c>
      <c r="K71" t="inlineStr">
        <is>
          <t>Z04</t>
        </is>
      </c>
      <c r="L71" t="inlineStr">
        <is>
          <t>(AP) 30 Dias</t>
        </is>
      </c>
      <c r="M71" t="n">
        <v>10000141</v>
      </c>
      <c r="N71" t="inlineStr">
        <is>
          <t>Grava Triturada Caliza 40 mm - 1 1/2"</t>
        </is>
      </c>
      <c r="O71" t="inlineStr">
        <is>
          <t>DW81</t>
        </is>
      </c>
      <c r="P71" t="inlineStr">
        <is>
          <t>MX-CED. SALTILLO</t>
        </is>
      </c>
      <c r="Q71" t="n">
        <v>20210801</v>
      </c>
      <c r="R71" t="n">
        <v>20291231</v>
      </c>
      <c r="S71" t="n">
        <v>20260201</v>
      </c>
      <c r="T71" t="n">
        <v>20301231</v>
      </c>
      <c r="U71" t="n">
        <v>231</v>
      </c>
      <c r="V71" t="inlineStr">
        <is>
          <t>MXN</t>
        </is>
      </c>
      <c r="W71" t="inlineStr">
        <is>
          <t>TN</t>
        </is>
      </c>
      <c r="X71" t="n">
        <v>66</v>
      </c>
      <c r="Y71" t="inlineStr">
        <is>
          <t>MXN</t>
        </is>
      </c>
      <c r="Z71" t="inlineStr">
        <is>
          <t>TN</t>
        </is>
      </c>
      <c r="AA71" t="inlineStr">
        <is>
          <t>D169</t>
        </is>
      </c>
      <c r="AB71" t="inlineStr">
        <is>
          <t>SICLO-PD029 SALTILLO 1 PERIFERICO</t>
        </is>
      </c>
      <c r="AC71" t="n">
        <v>56103637</v>
      </c>
      <c r="AD71" t="n">
        <v>6644381540</v>
      </c>
      <c r="AE71" t="n">
        <v>4</v>
      </c>
      <c r="AF71" t="inlineStr">
        <is>
          <t>ENTREGA DIRECTA</t>
        </is>
      </c>
      <c r="AG71" t="n">
        <v>1</v>
      </c>
      <c r="AH71" t="inlineStr">
        <is>
          <t>TO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20260204</v>
      </c>
      <c r="AM71" t="inlineStr">
        <is>
          <t>DW81-900002741-D169-10000141-4</t>
        </is>
      </c>
    </row>
    <row r="72">
      <c r="A72" t="inlineStr">
        <is>
          <t>900002741DW81D09410000859</t>
        </is>
      </c>
      <c r="B72" t="inlineStr">
        <is>
          <t>4600050343-770</t>
        </is>
      </c>
      <c r="C72" t="n">
        <v>4600050343</v>
      </c>
      <c r="D72" t="n">
        <v>770</v>
      </c>
      <c r="E72" t="inlineStr">
        <is>
          <t>MXPO</t>
        </is>
      </c>
      <c r="F72" t="inlineStr">
        <is>
          <t>MXL</t>
        </is>
      </c>
      <c r="G72" t="n">
        <v>900002741</v>
      </c>
      <c r="H72" t="inlineStr">
        <is>
          <t>TC-ED-TRITURADOS GRAMOL SA DE CV</t>
        </is>
      </c>
      <c r="I72" t="n">
        <v>5005459</v>
      </c>
      <c r="J72" t="inlineStr">
        <is>
          <t>TRITURADOS GRAMOL SA DE CV</t>
        </is>
      </c>
      <c r="K72" t="inlineStr">
        <is>
          <t>Z04</t>
        </is>
      </c>
      <c r="L72" t="inlineStr">
        <is>
          <t>(AP) 30 Dias</t>
        </is>
      </c>
      <c r="M72" t="n">
        <v>10000859</v>
      </c>
      <c r="N72" t="inlineStr">
        <is>
          <t>Arena Triturada Caliza Malla 5</t>
        </is>
      </c>
      <c r="O72" t="inlineStr">
        <is>
          <t>DW81</t>
        </is>
      </c>
      <c r="P72" t="inlineStr">
        <is>
          <t>MX-CED. SALTILLO</t>
        </is>
      </c>
      <c r="Q72" t="n">
        <v>20210801</v>
      </c>
      <c r="R72" t="n">
        <v>20291231</v>
      </c>
      <c r="S72" t="n">
        <v>20260201</v>
      </c>
      <c r="T72" t="n">
        <v>20301231</v>
      </c>
      <c r="U72" t="n">
        <v>308</v>
      </c>
      <c r="V72" t="inlineStr">
        <is>
          <t>MXN</t>
        </is>
      </c>
      <c r="W72" t="inlineStr">
        <is>
          <t>TN</t>
        </is>
      </c>
      <c r="X72" t="n">
        <v>143</v>
      </c>
      <c r="Y72" t="inlineStr">
        <is>
          <t>MXN</t>
        </is>
      </c>
      <c r="Z72" t="inlineStr">
        <is>
          <t>TN</t>
        </is>
      </c>
      <c r="AA72" t="inlineStr">
        <is>
          <t>D094</t>
        </is>
      </c>
      <c r="AB72" t="inlineStr">
        <is>
          <t>PD0284 PLANTA DEACERO</t>
        </is>
      </c>
      <c r="AC72" t="n">
        <v>56103638</v>
      </c>
      <c r="AD72" t="n">
        <v>6644381540</v>
      </c>
      <c r="AE72" t="n">
        <v>4</v>
      </c>
      <c r="AF72" t="inlineStr">
        <is>
          <t>ENTREGA DIRECTA</t>
        </is>
      </c>
      <c r="AG72" t="n">
        <v>1</v>
      </c>
      <c r="AH72" t="inlineStr">
        <is>
          <t>TO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20260204</v>
      </c>
      <c r="AM72" t="inlineStr">
        <is>
          <t>DW81-900002741-D094-10000859-4</t>
        </is>
      </c>
    </row>
    <row r="73">
      <c r="A73" t="inlineStr">
        <is>
          <t>900002741DW81D09410000404</t>
        </is>
      </c>
      <c r="B73" t="inlineStr">
        <is>
          <t>4600050343-820</t>
        </is>
      </c>
      <c r="C73" t="n">
        <v>4600050343</v>
      </c>
      <c r="D73" t="n">
        <v>820</v>
      </c>
      <c r="E73" t="inlineStr">
        <is>
          <t>MXPO</t>
        </is>
      </c>
      <c r="F73" t="inlineStr">
        <is>
          <t>MXL</t>
        </is>
      </c>
      <c r="G73" t="n">
        <v>900002741</v>
      </c>
      <c r="H73" t="inlineStr">
        <is>
          <t>TC-ED-TRITURADOS GRAMOL SA DE CV</t>
        </is>
      </c>
      <c r="I73" t="n">
        <v>5005459</v>
      </c>
      <c r="J73" t="inlineStr">
        <is>
          <t>TRITURADOS GRAMOL SA DE CV</t>
        </is>
      </c>
      <c r="K73" t="inlineStr">
        <is>
          <t>Z04</t>
        </is>
      </c>
      <c r="L73" t="inlineStr">
        <is>
          <t>(AP) 30 Dias</t>
        </is>
      </c>
      <c r="M73" t="n">
        <v>10000404</v>
      </c>
      <c r="N73" t="inlineStr">
        <is>
          <t>Grava Triturada Caliza 20 mm - 3/4"</t>
        </is>
      </c>
      <c r="O73" t="inlineStr">
        <is>
          <t>DW81</t>
        </is>
      </c>
      <c r="P73" t="inlineStr">
        <is>
          <t>MX-CED. SALTILLO</t>
        </is>
      </c>
      <c r="Q73" t="n">
        <v>20210801</v>
      </c>
      <c r="R73" t="n">
        <v>20291231</v>
      </c>
      <c r="S73" t="n">
        <v>20260201</v>
      </c>
      <c r="T73" t="n">
        <v>20301231</v>
      </c>
      <c r="U73" t="n">
        <v>308</v>
      </c>
      <c r="V73" t="inlineStr">
        <is>
          <t>MXN</t>
        </is>
      </c>
      <c r="W73" t="inlineStr">
        <is>
          <t>TN</t>
        </is>
      </c>
      <c r="X73" t="n">
        <v>143</v>
      </c>
      <c r="Y73" t="inlineStr">
        <is>
          <t>MXN</t>
        </is>
      </c>
      <c r="Z73" t="inlineStr">
        <is>
          <t>TN</t>
        </is>
      </c>
      <c r="AA73" t="inlineStr">
        <is>
          <t>D094</t>
        </is>
      </c>
      <c r="AB73" t="inlineStr">
        <is>
          <t>PD0284 PLANTA DEACERO</t>
        </is>
      </c>
      <c r="AC73" t="n">
        <v>56103637</v>
      </c>
      <c r="AD73" t="n">
        <v>6644381540</v>
      </c>
      <c r="AE73" t="n">
        <v>4</v>
      </c>
      <c r="AF73" t="inlineStr">
        <is>
          <t>ENTREGA DIRECTA</t>
        </is>
      </c>
      <c r="AG73" t="n">
        <v>1</v>
      </c>
      <c r="AH73" t="inlineStr">
        <is>
          <t>TO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20260204</v>
      </c>
      <c r="AM73" t="inlineStr">
        <is>
          <t>DW81-900002741-D094-10000404-4</t>
        </is>
      </c>
    </row>
    <row r="74">
      <c r="A74" t="inlineStr">
        <is>
          <t>900002741DW81D04910000402</t>
        </is>
      </c>
      <c r="B74" t="inlineStr">
        <is>
          <t>4600050343-410</t>
        </is>
      </c>
      <c r="C74" t="n">
        <v>4600050343</v>
      </c>
      <c r="D74" t="n">
        <v>410</v>
      </c>
      <c r="E74" t="inlineStr">
        <is>
          <t>MXPO</t>
        </is>
      </c>
      <c r="F74" t="inlineStr">
        <is>
          <t>MXL</t>
        </is>
      </c>
      <c r="G74" t="n">
        <v>900002741</v>
      </c>
      <c r="H74" t="inlineStr">
        <is>
          <t>TC-ED-TRITURADOS GRAMOL SA DE CV</t>
        </is>
      </c>
      <c r="I74" t="n">
        <v>5005459</v>
      </c>
      <c r="J74" t="inlineStr">
        <is>
          <t>TRITURADOS GRAMOL SA DE CV</t>
        </is>
      </c>
      <c r="K74" t="inlineStr">
        <is>
          <t>Z04</t>
        </is>
      </c>
      <c r="L74" t="inlineStr">
        <is>
          <t>(AP) 30 Dias</t>
        </is>
      </c>
      <c r="M74" t="n">
        <v>10000402</v>
      </c>
      <c r="N74" t="inlineStr">
        <is>
          <t>Arena Triturada Caliza Malla 4</t>
        </is>
      </c>
      <c r="O74" t="inlineStr">
        <is>
          <t>DW81</t>
        </is>
      </c>
      <c r="P74" t="inlineStr">
        <is>
          <t>MX-CED. SALTILLO</t>
        </is>
      </c>
      <c r="Q74" t="n">
        <v>20210801</v>
      </c>
      <c r="R74" t="n">
        <v>20291231</v>
      </c>
      <c r="S74" t="n">
        <v>20260201</v>
      </c>
      <c r="T74" t="n">
        <v>20301231</v>
      </c>
      <c r="U74" t="n">
        <v>213</v>
      </c>
      <c r="V74" t="inlineStr">
        <is>
          <t>MXN</t>
        </is>
      </c>
      <c r="W74" t="inlineStr">
        <is>
          <t>TN</t>
        </is>
      </c>
      <c r="X74" t="n">
        <v>48</v>
      </c>
      <c r="Y74" t="inlineStr">
        <is>
          <t>MXN</t>
        </is>
      </c>
      <c r="Z74" t="inlineStr">
        <is>
          <t>TN</t>
        </is>
      </c>
      <c r="AA74" t="inlineStr">
        <is>
          <t>D049</t>
        </is>
      </c>
      <c r="AB74" t="inlineStr">
        <is>
          <t>PD0236 ARTEAGA</t>
        </is>
      </c>
      <c r="AC74" t="n">
        <v>56103638</v>
      </c>
      <c r="AD74" t="n">
        <v>6644381540</v>
      </c>
      <c r="AE74" t="n">
        <v>4</v>
      </c>
      <c r="AF74" t="inlineStr">
        <is>
          <t>ENTREGA DIRECTA</t>
        </is>
      </c>
      <c r="AG74" t="n">
        <v>1</v>
      </c>
      <c r="AH74" t="inlineStr">
        <is>
          <t>TO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20260204</v>
      </c>
      <c r="AM74" t="inlineStr">
        <is>
          <t>DW81-900002741-D049-10000402-4</t>
        </is>
      </c>
    </row>
    <row r="75">
      <c r="A75" t="inlineStr">
        <is>
          <t>900002741DW81D19210000141</t>
        </is>
      </c>
      <c r="B75" t="inlineStr">
        <is>
          <t>4600050343-230</t>
        </is>
      </c>
      <c r="C75" t="n">
        <v>4600050343</v>
      </c>
      <c r="D75" t="n">
        <v>230</v>
      </c>
      <c r="E75" t="inlineStr">
        <is>
          <t>MXPO</t>
        </is>
      </c>
      <c r="F75" t="inlineStr">
        <is>
          <t>MXL</t>
        </is>
      </c>
      <c r="G75" t="n">
        <v>900002741</v>
      </c>
      <c r="H75" t="inlineStr">
        <is>
          <t>TC-ED-TRITURADOS GRAMOL SA DE CV</t>
        </is>
      </c>
      <c r="I75" t="n">
        <v>5005459</v>
      </c>
      <c r="J75" t="inlineStr">
        <is>
          <t>TRITURADOS GRAMOL SA DE CV</t>
        </is>
      </c>
      <c r="K75" t="inlineStr">
        <is>
          <t>Z04</t>
        </is>
      </c>
      <c r="L75" t="inlineStr">
        <is>
          <t>(AP) 30 Dias</t>
        </is>
      </c>
      <c r="M75" t="n">
        <v>10000141</v>
      </c>
      <c r="N75" t="inlineStr">
        <is>
          <t>Grava Triturada Caliza 40 mm - 1 1/2"</t>
        </is>
      </c>
      <c r="O75" t="inlineStr">
        <is>
          <t>DW81</t>
        </is>
      </c>
      <c r="P75" t="inlineStr">
        <is>
          <t>MX-CED. SALTILLO</t>
        </is>
      </c>
      <c r="Q75" t="n">
        <v>20210801</v>
      </c>
      <c r="R75" t="n">
        <v>20291231</v>
      </c>
      <c r="S75" t="n">
        <v>20260201</v>
      </c>
      <c r="T75" t="n">
        <v>20301231</v>
      </c>
      <c r="U75" t="n">
        <v>240</v>
      </c>
      <c r="V75" t="inlineStr">
        <is>
          <t>MXN</t>
        </is>
      </c>
      <c r="W75" t="inlineStr">
        <is>
          <t>TN</t>
        </is>
      </c>
      <c r="X75" t="n">
        <v>75</v>
      </c>
      <c r="Y75" t="inlineStr">
        <is>
          <t>MXN</t>
        </is>
      </c>
      <c r="Z75" t="inlineStr">
        <is>
          <t>TN</t>
        </is>
      </c>
      <c r="AA75" t="inlineStr">
        <is>
          <t>D192</t>
        </is>
      </c>
      <c r="AB75" t="inlineStr">
        <is>
          <t>PD0301 LOMAS LOURDES</t>
        </is>
      </c>
      <c r="AC75" t="n">
        <v>56103637</v>
      </c>
      <c r="AD75" t="n">
        <v>6644381540</v>
      </c>
      <c r="AE75" t="n">
        <v>4</v>
      </c>
      <c r="AF75" t="inlineStr">
        <is>
          <t>ENTREGA DIRECTA</t>
        </is>
      </c>
      <c r="AG75" t="n">
        <v>1</v>
      </c>
      <c r="AH75" t="inlineStr">
        <is>
          <t>TO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20260204</v>
      </c>
      <c r="AM75" t="inlineStr">
        <is>
          <t>DW81-900002741-D192-10000141-4</t>
        </is>
      </c>
    </row>
    <row r="76">
      <c r="A76" t="inlineStr">
        <is>
          <t>900002741DW81D19510000407</t>
        </is>
      </c>
      <c r="B76" t="inlineStr">
        <is>
          <t>4600050343-250</t>
        </is>
      </c>
      <c r="C76" t="n">
        <v>4600050343</v>
      </c>
      <c r="D76" t="n">
        <v>250</v>
      </c>
      <c r="E76" t="inlineStr">
        <is>
          <t>MXPO</t>
        </is>
      </c>
      <c r="F76" t="inlineStr">
        <is>
          <t>MXL</t>
        </is>
      </c>
      <c r="G76" t="n">
        <v>900002741</v>
      </c>
      <c r="H76" t="inlineStr">
        <is>
          <t>TC-ED-TRITURADOS GRAMOL SA DE CV</t>
        </is>
      </c>
      <c r="I76" t="n">
        <v>5005459</v>
      </c>
      <c r="J76" t="inlineStr">
        <is>
          <t>TRITURADOS GRAMOL SA DE CV</t>
        </is>
      </c>
      <c r="K76" t="inlineStr">
        <is>
          <t>Z04</t>
        </is>
      </c>
      <c r="L76" t="inlineStr">
        <is>
          <t>(AP) 30 Dias</t>
        </is>
      </c>
      <c r="M76" t="n">
        <v>10000407</v>
      </c>
      <c r="N76" t="inlineStr">
        <is>
          <t>Grava Triturada Caliza 10 mm - 3/8"</t>
        </is>
      </c>
      <c r="O76" t="inlineStr">
        <is>
          <t>DW81</t>
        </is>
      </c>
      <c r="P76" t="inlineStr">
        <is>
          <t>MX-CED. SALTILLO</t>
        </is>
      </c>
      <c r="Q76" t="n">
        <v>20210801</v>
      </c>
      <c r="R76" t="n">
        <v>20291231</v>
      </c>
      <c r="S76" t="n">
        <v>20260201</v>
      </c>
      <c r="T76" t="n">
        <v>20301231</v>
      </c>
      <c r="U76" t="n">
        <v>235</v>
      </c>
      <c r="V76" t="inlineStr">
        <is>
          <t>MXN</t>
        </is>
      </c>
      <c r="W76" t="inlineStr">
        <is>
          <t>TN</t>
        </is>
      </c>
      <c r="X76" t="n">
        <v>70</v>
      </c>
      <c r="Y76" t="inlineStr">
        <is>
          <t>MXN</t>
        </is>
      </c>
      <c r="Z76" t="inlineStr">
        <is>
          <t>TN</t>
        </is>
      </c>
      <c r="AA76" t="inlineStr">
        <is>
          <t>D195</t>
        </is>
      </c>
      <c r="AB76" t="inlineStr">
        <is>
          <t>PD0405 PLANTA 4 RAMOS ARIZPE</t>
        </is>
      </c>
      <c r="AC76" t="n">
        <v>56103637</v>
      </c>
      <c r="AD76" t="n">
        <v>6644381540</v>
      </c>
      <c r="AE76" t="n">
        <v>4</v>
      </c>
      <c r="AF76" t="inlineStr">
        <is>
          <t>ENTREGA DIRECTA</t>
        </is>
      </c>
      <c r="AG76" t="n">
        <v>1</v>
      </c>
      <c r="AH76" t="inlineStr">
        <is>
          <t>TO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20260204</v>
      </c>
      <c r="AM76" t="inlineStr">
        <is>
          <t>DW81-900002741-D195-10000407-4</t>
        </is>
      </c>
    </row>
    <row r="77">
      <c r="A77" t="inlineStr">
        <is>
          <t>900002741DW81D04910000404</t>
        </is>
      </c>
      <c r="B77" t="inlineStr">
        <is>
          <t>4600050343-100</t>
        </is>
      </c>
      <c r="C77" t="n">
        <v>4600050343</v>
      </c>
      <c r="D77" t="n">
        <v>100</v>
      </c>
      <c r="E77" t="inlineStr">
        <is>
          <t>MXPO</t>
        </is>
      </c>
      <c r="F77" t="inlineStr">
        <is>
          <t>MXL</t>
        </is>
      </c>
      <c r="G77" t="n">
        <v>900002741</v>
      </c>
      <c r="H77" t="inlineStr">
        <is>
          <t>TC-ED-TRITURADOS GRAMOL SA DE CV</t>
        </is>
      </c>
      <c r="I77" t="n">
        <v>5005459</v>
      </c>
      <c r="J77" t="inlineStr">
        <is>
          <t>TRITURADOS GRAMOL SA DE CV</t>
        </is>
      </c>
      <c r="K77" t="inlineStr">
        <is>
          <t>Z04</t>
        </is>
      </c>
      <c r="L77" t="inlineStr">
        <is>
          <t>(AP) 30 Dias</t>
        </is>
      </c>
      <c r="M77" t="n">
        <v>10000404</v>
      </c>
      <c r="N77" t="inlineStr">
        <is>
          <t>Grava Triturada Caliza 20 mm - 3/4"</t>
        </is>
      </c>
      <c r="O77" t="inlineStr">
        <is>
          <t>DW81</t>
        </is>
      </c>
      <c r="P77" t="inlineStr">
        <is>
          <t>MX-CED. SALTILLO</t>
        </is>
      </c>
      <c r="Q77" t="n">
        <v>20210801</v>
      </c>
      <c r="R77" t="n">
        <v>20291231</v>
      </c>
      <c r="S77" t="n">
        <v>20260201</v>
      </c>
      <c r="T77" t="n">
        <v>20301231</v>
      </c>
      <c r="U77" t="n">
        <v>213</v>
      </c>
      <c r="V77" t="inlineStr">
        <is>
          <t>MXN</t>
        </is>
      </c>
      <c r="W77" t="inlineStr">
        <is>
          <t>TN</t>
        </is>
      </c>
      <c r="X77" t="n">
        <v>48</v>
      </c>
      <c r="Y77" t="inlineStr">
        <is>
          <t>MXN</t>
        </is>
      </c>
      <c r="Z77" t="inlineStr">
        <is>
          <t>TN</t>
        </is>
      </c>
      <c r="AA77" t="inlineStr">
        <is>
          <t>D049</t>
        </is>
      </c>
      <c r="AB77" t="inlineStr">
        <is>
          <t>PD0236 ARTEAGA</t>
        </is>
      </c>
      <c r="AC77" t="n">
        <v>56103637</v>
      </c>
      <c r="AD77" t="n">
        <v>6644381540</v>
      </c>
      <c r="AE77" t="n">
        <v>4</v>
      </c>
      <c r="AF77" t="inlineStr">
        <is>
          <t>ENTREGA DIRECTA</t>
        </is>
      </c>
      <c r="AG77" t="n">
        <v>1</v>
      </c>
      <c r="AH77" t="inlineStr">
        <is>
          <t>TO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20260204</v>
      </c>
      <c r="AM77" t="inlineStr">
        <is>
          <t>DW81-900002741-D049-10000404-4</t>
        </is>
      </c>
    </row>
    <row r="78">
      <c r="A78" t="inlineStr">
        <is>
          <t>900009335DW81D14910272235</t>
        </is>
      </c>
      <c r="B78" t="inlineStr">
        <is>
          <t>4600071744-60</t>
        </is>
      </c>
      <c r="C78" t="n">
        <v>4600071744</v>
      </c>
      <c r="D78" t="n">
        <v>60</v>
      </c>
      <c r="E78" t="inlineStr">
        <is>
          <t>MXPO</t>
        </is>
      </c>
      <c r="F78" t="inlineStr">
        <is>
          <t>MXL</t>
        </is>
      </c>
      <c r="G78" t="n">
        <v>900009335</v>
      </c>
      <c r="H78" t="inlineStr">
        <is>
          <t>SF TC-ED TTR MVA</t>
        </is>
      </c>
      <c r="I78" t="n">
        <v>5096741</v>
      </c>
      <c r="J78" t="inlineStr">
        <is>
          <t>TTR DE MVA SA DE CV</t>
        </is>
      </c>
      <c r="K78" t="inlineStr">
        <is>
          <t>Z09</t>
        </is>
      </c>
      <c r="L78" t="inlineStr">
        <is>
          <t>(AP) 90 Dias</t>
        </is>
      </c>
      <c r="M78" t="n">
        <v>10272235</v>
      </c>
      <c r="N78" t="inlineStr">
        <is>
          <t>MP GRAVA CALIZA 20MM - 3/4"</t>
        </is>
      </c>
      <c r="O78" t="inlineStr">
        <is>
          <t>DW81</t>
        </is>
      </c>
      <c r="P78" t="inlineStr">
        <is>
          <t>MX-CED. SALTILLO</t>
        </is>
      </c>
      <c r="Q78" t="n">
        <v>20251028</v>
      </c>
      <c r="R78" t="n">
        <v>20301231</v>
      </c>
      <c r="S78" t="n">
        <v>20251028</v>
      </c>
      <c r="T78" t="n">
        <v>20301231</v>
      </c>
      <c r="U78" t="n">
        <v>463</v>
      </c>
      <c r="V78" t="inlineStr">
        <is>
          <t>MXN</t>
        </is>
      </c>
      <c r="W78" t="inlineStr">
        <is>
          <t>TN</t>
        </is>
      </c>
      <c r="X78" t="n">
        <v>303</v>
      </c>
      <c r="Y78" t="inlineStr">
        <is>
          <t>MXN</t>
        </is>
      </c>
      <c r="Z78" t="inlineStr">
        <is>
          <t>TN</t>
        </is>
      </c>
      <c r="AA78" t="inlineStr">
        <is>
          <t>D149</t>
        </is>
      </c>
      <c r="AB78" t="inlineStr">
        <is>
          <t>PD051 ACUÑA</t>
        </is>
      </c>
      <c r="AC78" t="n">
        <v>56103637</v>
      </c>
      <c r="AD78" t="n">
        <v>6644381540</v>
      </c>
      <c r="AE78" t="n">
        <v>4</v>
      </c>
      <c r="AF78" t="inlineStr">
        <is>
          <t>ENTREGA DIRECTA</t>
        </is>
      </c>
      <c r="AG78" t="n">
        <v>1</v>
      </c>
      <c r="AH78" t="inlineStr">
        <is>
          <t>TO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20251103</v>
      </c>
      <c r="AM78" t="inlineStr">
        <is>
          <t>DW81-900009335-D149-10272235-4</t>
        </is>
      </c>
    </row>
    <row r="79">
      <c r="A79" t="inlineStr">
        <is>
          <t>900004721DW81D17110132162</t>
        </is>
      </c>
      <c r="B79" t="inlineStr">
        <is>
          <t>4600050352-90</t>
        </is>
      </c>
      <c r="C79" t="n">
        <v>4600050352</v>
      </c>
      <c r="D79" t="n">
        <v>90</v>
      </c>
      <c r="E79" t="inlineStr">
        <is>
          <t>MXPO</t>
        </is>
      </c>
      <c r="F79" t="inlineStr">
        <is>
          <t>MXL</t>
        </is>
      </c>
      <c r="G79" t="n">
        <v>900004721</v>
      </c>
      <c r="H79" t="inlineStr">
        <is>
          <t>TC-ED ARENAS Y GRAVAS DE MTY</t>
        </is>
      </c>
      <c r="I79" t="n">
        <v>5063537</v>
      </c>
      <c r="J79" t="inlineStr">
        <is>
          <t>ARENAS Y GRAVAS DE MONTERREY</t>
        </is>
      </c>
      <c r="K79" t="inlineStr">
        <is>
          <t>N90</t>
        </is>
      </c>
      <c r="L79" t="inlineStr">
        <is>
          <t>(AP) NAFIN 90 Dias</t>
        </is>
      </c>
      <c r="M79" t="n">
        <v>10132162</v>
      </c>
      <c r="N79" t="inlineStr">
        <is>
          <t>ARENA TRITURADA CALIZA MALLA 4</t>
        </is>
      </c>
      <c r="O79" t="inlineStr">
        <is>
          <t>DW81</t>
        </is>
      </c>
      <c r="P79" t="inlineStr">
        <is>
          <t>MX-CED. SALTILLO</t>
        </is>
      </c>
      <c r="Q79" t="n">
        <v>20210801</v>
      </c>
      <c r="R79" t="n">
        <v>20291231</v>
      </c>
      <c r="S79" t="n">
        <v>20240202</v>
      </c>
      <c r="T79" t="n">
        <v>20291231</v>
      </c>
      <c r="U79" t="n">
        <v>425</v>
      </c>
      <c r="V79" t="inlineStr">
        <is>
          <t>MXN</t>
        </is>
      </c>
      <c r="W79" t="inlineStr">
        <is>
          <t>TN</t>
        </is>
      </c>
      <c r="X79" t="n">
        <v>293</v>
      </c>
      <c r="Y79" t="inlineStr">
        <is>
          <t>MXN</t>
        </is>
      </c>
      <c r="Z79" t="inlineStr">
        <is>
          <t>TN</t>
        </is>
      </c>
      <c r="AA79" t="inlineStr">
        <is>
          <t>D171</t>
        </is>
      </c>
      <c r="AB79" t="inlineStr">
        <is>
          <t>PD0016 PIEDRAS NEGRAS</t>
        </is>
      </c>
      <c r="AC79" t="n">
        <v>56103638</v>
      </c>
      <c r="AD79" t="n">
        <v>6644381867</v>
      </c>
      <c r="AE79" t="n">
        <v>4</v>
      </c>
      <c r="AF79" t="inlineStr">
        <is>
          <t>ENTREGA DIRECTA</t>
        </is>
      </c>
      <c r="AG79" t="n">
        <v>1</v>
      </c>
      <c r="AH79" t="inlineStr">
        <is>
          <t>TO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20240220</v>
      </c>
      <c r="AM79" t="inlineStr">
        <is>
          <t>DW81-900004721-D171-10132162-4</t>
        </is>
      </c>
    </row>
    <row r="80">
      <c r="A80" t="inlineStr">
        <is>
          <t>900004721DW81D14910000430</t>
        </is>
      </c>
      <c r="B80" t="inlineStr">
        <is>
          <t>4600050352-50</t>
        </is>
      </c>
      <c r="C80" t="n">
        <v>4600050352</v>
      </c>
      <c r="D80" t="n">
        <v>50</v>
      </c>
      <c r="E80" t="inlineStr">
        <is>
          <t>MXPO</t>
        </is>
      </c>
      <c r="F80" t="inlineStr">
        <is>
          <t>MXL</t>
        </is>
      </c>
      <c r="G80" t="n">
        <v>900004721</v>
      </c>
      <c r="H80" t="inlineStr">
        <is>
          <t>TC-ED ARENAS Y GRAVAS DE MTY</t>
        </is>
      </c>
      <c r="I80" t="n">
        <v>5063537</v>
      </c>
      <c r="J80" t="inlineStr">
        <is>
          <t>ARENAS Y GRAVAS DE MONTERREY</t>
        </is>
      </c>
      <c r="K80" t="inlineStr">
        <is>
          <t>N90</t>
        </is>
      </c>
      <c r="L80" t="inlineStr">
        <is>
          <t>(AP) NAFIN 90 Dias</t>
        </is>
      </c>
      <c r="M80" t="n">
        <v>10000430</v>
      </c>
      <c r="N80" t="inlineStr">
        <is>
          <t>Grava Triturada Caliza 20 mm - 3/4"</t>
        </is>
      </c>
      <c r="O80" t="inlineStr">
        <is>
          <t>DW81</t>
        </is>
      </c>
      <c r="P80" t="inlineStr">
        <is>
          <t>MX-CED. SALTILLO</t>
        </is>
      </c>
      <c r="Q80" t="n">
        <v>20210801</v>
      </c>
      <c r="R80" t="n">
        <v>20291231</v>
      </c>
      <c r="S80" t="n">
        <v>20240202</v>
      </c>
      <c r="T80" t="n">
        <v>20291231</v>
      </c>
      <c r="U80" t="n">
        <v>480</v>
      </c>
      <c r="V80" t="inlineStr">
        <is>
          <t>MXN</t>
        </is>
      </c>
      <c r="W80" t="inlineStr">
        <is>
          <t>TN</t>
        </is>
      </c>
      <c r="X80" t="n">
        <v>348</v>
      </c>
      <c r="Y80" t="inlineStr">
        <is>
          <t>MXN</t>
        </is>
      </c>
      <c r="Z80" t="inlineStr">
        <is>
          <t>TN</t>
        </is>
      </c>
      <c r="AA80" t="inlineStr">
        <is>
          <t>D149</t>
        </is>
      </c>
      <c r="AB80" t="inlineStr">
        <is>
          <t>PD051 ACUÑA</t>
        </is>
      </c>
      <c r="AC80" t="n">
        <v>56103637</v>
      </c>
      <c r="AD80" t="n">
        <v>6644381540</v>
      </c>
      <c r="AE80" t="n">
        <v>4</v>
      </c>
      <c r="AF80" t="inlineStr">
        <is>
          <t>ENTREGA DIRECTA</t>
        </is>
      </c>
      <c r="AG80" t="n">
        <v>1</v>
      </c>
      <c r="AH80" t="inlineStr">
        <is>
          <t>TO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20240220</v>
      </c>
      <c r="AM80" t="inlineStr">
        <is>
          <t>DW81-900004721-D149-10000430-4</t>
        </is>
      </c>
    </row>
    <row r="81">
      <c r="A81" t="inlineStr">
        <is>
          <t>900004721DW81D17110000859</t>
        </is>
      </c>
      <c r="B81" t="inlineStr">
        <is>
          <t>4600050352-10</t>
        </is>
      </c>
      <c r="C81" t="n">
        <v>4600050352</v>
      </c>
      <c r="D81" t="n">
        <v>10</v>
      </c>
      <c r="E81" t="inlineStr">
        <is>
          <t>MXPO</t>
        </is>
      </c>
      <c r="F81" t="inlineStr">
        <is>
          <t>MXL</t>
        </is>
      </c>
      <c r="G81" t="n">
        <v>900004721</v>
      </c>
      <c r="H81" t="inlineStr">
        <is>
          <t>TC-ED ARENAS Y GRAVAS DE MTY</t>
        </is>
      </c>
      <c r="I81" t="n">
        <v>5063537</v>
      </c>
      <c r="J81" t="inlineStr">
        <is>
          <t>ARENAS Y GRAVAS DE MONTERREY</t>
        </is>
      </c>
      <c r="K81" t="inlineStr">
        <is>
          <t>N90</t>
        </is>
      </c>
      <c r="L81" t="inlineStr">
        <is>
          <t>(AP) NAFIN 90 Dias</t>
        </is>
      </c>
      <c r="M81" t="n">
        <v>10000859</v>
      </c>
      <c r="N81" t="inlineStr">
        <is>
          <t>Arena Triturada Caliza Malla 5</t>
        </is>
      </c>
      <c r="O81" t="inlineStr">
        <is>
          <t>DW81</t>
        </is>
      </c>
      <c r="P81" t="inlineStr">
        <is>
          <t>MX-CED. SALTILLO</t>
        </is>
      </c>
      <c r="Q81" t="n">
        <v>20210801</v>
      </c>
      <c r="R81" t="n">
        <v>20291231</v>
      </c>
      <c r="S81" t="n">
        <v>20240202</v>
      </c>
      <c r="T81" t="n">
        <v>20291231</v>
      </c>
      <c r="U81" t="n">
        <v>571</v>
      </c>
      <c r="V81" t="inlineStr">
        <is>
          <t>MXN</t>
        </is>
      </c>
      <c r="W81" t="inlineStr">
        <is>
          <t>TN</t>
        </is>
      </c>
      <c r="X81" t="n">
        <v>293</v>
      </c>
      <c r="Y81" t="inlineStr">
        <is>
          <t>MXN</t>
        </is>
      </c>
      <c r="Z81" t="inlineStr">
        <is>
          <t>TN</t>
        </is>
      </c>
      <c r="AA81" t="inlineStr">
        <is>
          <t>D171</t>
        </is>
      </c>
      <c r="AB81" t="inlineStr">
        <is>
          <t>PD0016 PIEDRAS NEGRAS</t>
        </is>
      </c>
      <c r="AC81" t="n">
        <v>56103638</v>
      </c>
      <c r="AD81" t="n">
        <v>6644381540</v>
      </c>
      <c r="AE81" t="n">
        <v>4</v>
      </c>
      <c r="AF81" t="inlineStr">
        <is>
          <t>ENTREGA DIRECTA</t>
        </is>
      </c>
      <c r="AG81" t="n">
        <v>1</v>
      </c>
      <c r="AH81" t="inlineStr">
        <is>
          <t>TO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20240220</v>
      </c>
      <c r="AM81" t="inlineStr">
        <is>
          <t>DW81-900004721-D171-10000859-4</t>
        </is>
      </c>
    </row>
    <row r="82">
      <c r="A82" t="inlineStr">
        <is>
          <t>900004721DW81D14910132162</t>
        </is>
      </c>
      <c r="B82" t="inlineStr">
        <is>
          <t>4600050352-60</t>
        </is>
      </c>
      <c r="C82" t="n">
        <v>4600050352</v>
      </c>
      <c r="D82" t="n">
        <v>60</v>
      </c>
      <c r="E82" t="inlineStr">
        <is>
          <t>MXPO</t>
        </is>
      </c>
      <c r="F82" t="inlineStr">
        <is>
          <t>MXL</t>
        </is>
      </c>
      <c r="G82" t="n">
        <v>900004721</v>
      </c>
      <c r="H82" t="inlineStr">
        <is>
          <t>TC-ED ARENAS Y GRAVAS DE MTY</t>
        </is>
      </c>
      <c r="I82" t="n">
        <v>5063537</v>
      </c>
      <c r="J82" t="inlineStr">
        <is>
          <t>ARENAS Y GRAVAS DE MONTERREY</t>
        </is>
      </c>
      <c r="K82" t="inlineStr">
        <is>
          <t>N90</t>
        </is>
      </c>
      <c r="L82" t="inlineStr">
        <is>
          <t>(AP) NAFIN 90 Dias</t>
        </is>
      </c>
      <c r="M82" t="n">
        <v>10132162</v>
      </c>
      <c r="N82" t="inlineStr">
        <is>
          <t>ARENA TRITURADA CALIZA MALLA 4</t>
        </is>
      </c>
      <c r="O82" t="inlineStr">
        <is>
          <t>DW81</t>
        </is>
      </c>
      <c r="P82" t="inlineStr">
        <is>
          <t>MX-CED. SALTILLO</t>
        </is>
      </c>
      <c r="Q82" t="n">
        <v>20210801</v>
      </c>
      <c r="R82" t="n">
        <v>20291231</v>
      </c>
      <c r="S82" t="n">
        <v>20240202</v>
      </c>
      <c r="T82" t="n">
        <v>20291231</v>
      </c>
      <c r="U82" t="n">
        <v>480</v>
      </c>
      <c r="V82" t="inlineStr">
        <is>
          <t>MXN</t>
        </is>
      </c>
      <c r="W82" t="inlineStr">
        <is>
          <t>TN</t>
        </is>
      </c>
      <c r="X82" t="n">
        <v>348</v>
      </c>
      <c r="Y82" t="inlineStr">
        <is>
          <t>MXN</t>
        </is>
      </c>
      <c r="Z82" t="inlineStr">
        <is>
          <t>TN</t>
        </is>
      </c>
      <c r="AA82" t="inlineStr">
        <is>
          <t>D149</t>
        </is>
      </c>
      <c r="AB82" t="inlineStr">
        <is>
          <t>PD051 ACUÑA</t>
        </is>
      </c>
      <c r="AC82" t="n">
        <v>56103638</v>
      </c>
      <c r="AD82" t="n">
        <v>6644381867</v>
      </c>
      <c r="AE82" t="n">
        <v>4</v>
      </c>
      <c r="AF82" t="inlineStr">
        <is>
          <t>ENTREGA DIRECTA</t>
        </is>
      </c>
      <c r="AG82" t="n">
        <v>1</v>
      </c>
      <c r="AH82" t="inlineStr">
        <is>
          <t>TO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20240220</v>
      </c>
      <c r="AM82" t="inlineStr">
        <is>
          <t>DW81-900004721-D149-10132162-4</t>
        </is>
      </c>
    </row>
    <row r="83">
      <c r="A83" t="inlineStr">
        <is>
          <t>900004721DW81D14910000859</t>
        </is>
      </c>
      <c r="B83" t="inlineStr">
        <is>
          <t>4600050352-20</t>
        </is>
      </c>
      <c r="C83" t="n">
        <v>4600050352</v>
      </c>
      <c r="D83" t="n">
        <v>20</v>
      </c>
      <c r="E83" t="inlineStr">
        <is>
          <t>MXPO</t>
        </is>
      </c>
      <c r="F83" t="inlineStr">
        <is>
          <t>MXL</t>
        </is>
      </c>
      <c r="G83" t="n">
        <v>900004721</v>
      </c>
      <c r="H83" t="inlineStr">
        <is>
          <t>TC-ED ARENAS Y GRAVAS DE MTY</t>
        </is>
      </c>
      <c r="I83" t="n">
        <v>5063537</v>
      </c>
      <c r="J83" t="inlineStr">
        <is>
          <t>ARENAS Y GRAVAS DE MONTERREY</t>
        </is>
      </c>
      <c r="K83" t="inlineStr">
        <is>
          <t>N90</t>
        </is>
      </c>
      <c r="L83" t="inlineStr">
        <is>
          <t>(AP) NAFIN 90 Dias</t>
        </is>
      </c>
      <c r="M83" t="n">
        <v>10000859</v>
      </c>
      <c r="N83" t="inlineStr">
        <is>
          <t>Arena Triturada Caliza Malla 5</t>
        </is>
      </c>
      <c r="O83" t="inlineStr">
        <is>
          <t>DW81</t>
        </is>
      </c>
      <c r="P83" t="inlineStr">
        <is>
          <t>MX-CED. SALTILLO</t>
        </is>
      </c>
      <c r="Q83" t="n">
        <v>20210801</v>
      </c>
      <c r="R83" t="n">
        <v>20291231</v>
      </c>
      <c r="S83" t="n">
        <v>20240202</v>
      </c>
      <c r="T83" t="n">
        <v>20291231</v>
      </c>
      <c r="U83" t="n">
        <v>626</v>
      </c>
      <c r="V83" t="inlineStr">
        <is>
          <t>MXN</t>
        </is>
      </c>
      <c r="W83" t="inlineStr">
        <is>
          <t>TN</t>
        </is>
      </c>
      <c r="X83" t="n">
        <v>348</v>
      </c>
      <c r="Y83" t="inlineStr">
        <is>
          <t>MXN</t>
        </is>
      </c>
      <c r="Z83" t="inlineStr">
        <is>
          <t>TN</t>
        </is>
      </c>
      <c r="AA83" t="inlineStr">
        <is>
          <t>D149</t>
        </is>
      </c>
      <c r="AB83" t="inlineStr">
        <is>
          <t>PD051 ACUÑA</t>
        </is>
      </c>
      <c r="AC83" t="n">
        <v>56103638</v>
      </c>
      <c r="AD83" t="n">
        <v>6644381540</v>
      </c>
      <c r="AE83" t="n">
        <v>4</v>
      </c>
      <c r="AF83" t="inlineStr">
        <is>
          <t>ENTREGA DIRECTA</t>
        </is>
      </c>
      <c r="AG83" t="n">
        <v>1</v>
      </c>
      <c r="AH83" t="inlineStr">
        <is>
          <t>TO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20240220</v>
      </c>
      <c r="AM83" t="inlineStr">
        <is>
          <t>DW81-900004721-D149-10000859-4</t>
        </is>
      </c>
    </row>
    <row r="84">
      <c r="A84" t="inlineStr">
        <is>
          <t>900004721DW81D14910000624</t>
        </is>
      </c>
      <c r="B84" t="inlineStr">
        <is>
          <t>4600050352-40</t>
        </is>
      </c>
      <c r="C84" t="n">
        <v>4600050352</v>
      </c>
      <c r="D84" t="n">
        <v>40</v>
      </c>
      <c r="E84" t="inlineStr">
        <is>
          <t>MXPO</t>
        </is>
      </c>
      <c r="F84" t="inlineStr">
        <is>
          <t>MXL</t>
        </is>
      </c>
      <c r="G84" t="n">
        <v>900004721</v>
      </c>
      <c r="H84" t="inlineStr">
        <is>
          <t>TC-ED ARENAS Y GRAVAS DE MTY</t>
        </is>
      </c>
      <c r="I84" t="n">
        <v>5063537</v>
      </c>
      <c r="J84" t="inlineStr">
        <is>
          <t>ARENAS Y GRAVAS DE MONTERREY</t>
        </is>
      </c>
      <c r="K84" t="inlineStr">
        <is>
          <t>N90</t>
        </is>
      </c>
      <c r="L84" t="inlineStr">
        <is>
          <t>(AP) NAFIN 90 Dias</t>
        </is>
      </c>
      <c r="M84" t="n">
        <v>10000624</v>
      </c>
      <c r="N84" t="inlineStr">
        <is>
          <t>Grava Triturada Caliza 40 mm - 1 1/2"</t>
        </is>
      </c>
      <c r="O84" t="inlineStr">
        <is>
          <t>DW81</t>
        </is>
      </c>
      <c r="P84" t="inlineStr">
        <is>
          <t>MX-CED. SALTILLO</t>
        </is>
      </c>
      <c r="Q84" t="n">
        <v>20210801</v>
      </c>
      <c r="R84" t="n">
        <v>20291231</v>
      </c>
      <c r="S84" t="n">
        <v>20240202</v>
      </c>
      <c r="T84" t="n">
        <v>20291231</v>
      </c>
      <c r="U84" t="n">
        <v>480</v>
      </c>
      <c r="V84" t="inlineStr">
        <is>
          <t>MXN</t>
        </is>
      </c>
      <c r="W84" t="inlineStr">
        <is>
          <t>TN</t>
        </is>
      </c>
      <c r="X84" t="n">
        <v>348</v>
      </c>
      <c r="Y84" t="inlineStr">
        <is>
          <t>MXN</t>
        </is>
      </c>
      <c r="Z84" t="inlineStr">
        <is>
          <t>TN</t>
        </is>
      </c>
      <c r="AA84" t="inlineStr">
        <is>
          <t>D149</t>
        </is>
      </c>
      <c r="AB84" t="inlineStr">
        <is>
          <t>PD051 ACUÑA</t>
        </is>
      </c>
      <c r="AC84" t="n">
        <v>56103637</v>
      </c>
      <c r="AD84" t="n">
        <v>6644381540</v>
      </c>
      <c r="AE84" t="n">
        <v>4</v>
      </c>
      <c r="AF84" t="inlineStr">
        <is>
          <t>ENTREGA DIRECTA</t>
        </is>
      </c>
      <c r="AG84" t="n">
        <v>1</v>
      </c>
      <c r="AH84" t="inlineStr">
        <is>
          <t>TO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20240220</v>
      </c>
      <c r="AM84" t="inlineStr">
        <is>
          <t>DW81-900004721-D149-10000624-4</t>
        </is>
      </c>
    </row>
    <row r="85">
      <c r="A85" t="inlineStr">
        <is>
          <t>900004721DW81D17110000624</t>
        </is>
      </c>
      <c r="B85" t="inlineStr">
        <is>
          <t>4600050352-70</t>
        </is>
      </c>
      <c r="C85" t="n">
        <v>4600050352</v>
      </c>
      <c r="D85" t="n">
        <v>70</v>
      </c>
      <c r="E85" t="inlineStr">
        <is>
          <t>MXPO</t>
        </is>
      </c>
      <c r="F85" t="inlineStr">
        <is>
          <t>MXL</t>
        </is>
      </c>
      <c r="G85" t="n">
        <v>900004721</v>
      </c>
      <c r="H85" t="inlineStr">
        <is>
          <t>TC-ED ARENAS Y GRAVAS DE MTY</t>
        </is>
      </c>
      <c r="I85" t="n">
        <v>5063537</v>
      </c>
      <c r="J85" t="inlineStr">
        <is>
          <t>ARENAS Y GRAVAS DE MONTERREY</t>
        </is>
      </c>
      <c r="K85" t="inlineStr">
        <is>
          <t>N90</t>
        </is>
      </c>
      <c r="L85" t="inlineStr">
        <is>
          <t>(AP) NAFIN 90 Dias</t>
        </is>
      </c>
      <c r="M85" t="n">
        <v>10000624</v>
      </c>
      <c r="N85" t="inlineStr">
        <is>
          <t>Grava Triturada Caliza 40 mm - 1 1/2"</t>
        </is>
      </c>
      <c r="O85" t="inlineStr">
        <is>
          <t>DW81</t>
        </is>
      </c>
      <c r="P85" t="inlineStr">
        <is>
          <t>MX-CED. SALTILLO</t>
        </is>
      </c>
      <c r="Q85" t="n">
        <v>20210801</v>
      </c>
      <c r="R85" t="n">
        <v>20291231</v>
      </c>
      <c r="S85" t="n">
        <v>20240202</v>
      </c>
      <c r="T85" t="n">
        <v>20291231</v>
      </c>
      <c r="U85" t="n">
        <v>425</v>
      </c>
      <c r="V85" t="inlineStr">
        <is>
          <t>MXN</t>
        </is>
      </c>
      <c r="W85" t="inlineStr">
        <is>
          <t>TN</t>
        </is>
      </c>
      <c r="X85" t="n">
        <v>293</v>
      </c>
      <c r="Y85" t="inlineStr">
        <is>
          <t>MXN</t>
        </is>
      </c>
      <c r="Z85" t="inlineStr">
        <is>
          <t>TN</t>
        </is>
      </c>
      <c r="AA85" t="inlineStr">
        <is>
          <t>D171</t>
        </is>
      </c>
      <c r="AB85" t="inlineStr">
        <is>
          <t>PD0016 PIEDRAS NEGRAS</t>
        </is>
      </c>
      <c r="AC85" t="n">
        <v>56103637</v>
      </c>
      <c r="AD85" t="n">
        <v>6644381540</v>
      </c>
      <c r="AE85" t="n">
        <v>4</v>
      </c>
      <c r="AF85" t="inlineStr">
        <is>
          <t>ENTREGA DIRECTA</t>
        </is>
      </c>
      <c r="AG85" t="n">
        <v>1</v>
      </c>
      <c r="AH85" t="inlineStr">
        <is>
          <t>TO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20240220</v>
      </c>
      <c r="AM85" t="inlineStr">
        <is>
          <t>DW81-900004721-D171-10000624-4</t>
        </is>
      </c>
    </row>
    <row r="86">
      <c r="A86" t="inlineStr">
        <is>
          <t>900004721DW81D17110000430</t>
        </is>
      </c>
      <c r="B86" t="inlineStr">
        <is>
          <t>4600050352-80</t>
        </is>
      </c>
      <c r="C86" t="n">
        <v>4600050352</v>
      </c>
      <c r="D86" t="n">
        <v>80</v>
      </c>
      <c r="E86" t="inlineStr">
        <is>
          <t>MXPO</t>
        </is>
      </c>
      <c r="F86" t="inlineStr">
        <is>
          <t>MXL</t>
        </is>
      </c>
      <c r="G86" t="n">
        <v>900004721</v>
      </c>
      <c r="H86" t="inlineStr">
        <is>
          <t>TC-ED ARENAS Y GRAVAS DE MTY</t>
        </is>
      </c>
      <c r="I86" t="n">
        <v>5063537</v>
      </c>
      <c r="J86" t="inlineStr">
        <is>
          <t>ARENAS Y GRAVAS DE MONTERREY</t>
        </is>
      </c>
      <c r="K86" t="inlineStr">
        <is>
          <t>N90</t>
        </is>
      </c>
      <c r="L86" t="inlineStr">
        <is>
          <t>(AP) NAFIN 90 Dias</t>
        </is>
      </c>
      <c r="M86" t="n">
        <v>10000430</v>
      </c>
      <c r="N86" t="inlineStr">
        <is>
          <t>Grava Triturada Caliza 20 mm - 3/4"</t>
        </is>
      </c>
      <c r="O86" t="inlineStr">
        <is>
          <t>DW81</t>
        </is>
      </c>
      <c r="P86" t="inlineStr">
        <is>
          <t>MX-CED. SALTILLO</t>
        </is>
      </c>
      <c r="Q86" t="n">
        <v>20210801</v>
      </c>
      <c r="R86" t="n">
        <v>20291231</v>
      </c>
      <c r="S86" t="n">
        <v>20240202</v>
      </c>
      <c r="T86" t="n">
        <v>20291231</v>
      </c>
      <c r="U86" t="n">
        <v>425</v>
      </c>
      <c r="V86" t="inlineStr">
        <is>
          <t>MXN</t>
        </is>
      </c>
      <c r="W86" t="inlineStr">
        <is>
          <t>TN</t>
        </is>
      </c>
      <c r="X86" t="n">
        <v>293</v>
      </c>
      <c r="Y86" t="inlineStr">
        <is>
          <t>MXN</t>
        </is>
      </c>
      <c r="Z86" t="inlineStr">
        <is>
          <t>TN</t>
        </is>
      </c>
      <c r="AA86" t="inlineStr">
        <is>
          <t>D171</t>
        </is>
      </c>
      <c r="AB86" t="inlineStr">
        <is>
          <t>PD0016 PIEDRAS NEGRAS</t>
        </is>
      </c>
      <c r="AC86" t="n">
        <v>56103637</v>
      </c>
      <c r="AD86" t="n">
        <v>6644381540</v>
      </c>
      <c r="AE86" t="n">
        <v>4</v>
      </c>
      <c r="AF86" t="inlineStr">
        <is>
          <t>ENTREGA DIRECTA</t>
        </is>
      </c>
      <c r="AG86" t="n">
        <v>1</v>
      </c>
      <c r="AH86" t="inlineStr">
        <is>
          <t>TO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20240220</v>
      </c>
      <c r="AM86" t="inlineStr">
        <is>
          <t>DW81-900004721-D171-10000430-4</t>
        </is>
      </c>
    </row>
    <row r="87">
      <c r="A87" t="inlineStr">
        <is>
          <t>900007998DW81D17110000404</t>
        </is>
      </c>
      <c r="B87" t="inlineStr">
        <is>
          <t>4600068584-10</t>
        </is>
      </c>
      <c r="C87" t="n">
        <v>4600068584</v>
      </c>
      <c r="D87" t="n">
        <v>10</v>
      </c>
      <c r="E87" t="inlineStr">
        <is>
          <t>MXPO</t>
        </is>
      </c>
      <c r="F87" t="inlineStr">
        <is>
          <t>MXL</t>
        </is>
      </c>
      <c r="G87" t="n">
        <v>900007998</v>
      </c>
      <c r="H87" t="inlineStr">
        <is>
          <t>SF TC-ED-MATERIALES AMEZCUA</t>
        </is>
      </c>
      <c r="I87" t="n">
        <v>5086022</v>
      </c>
      <c r="J87" t="inlineStr">
        <is>
          <t>MATERIALES RENE AMEZCUA SA DE CV</t>
        </is>
      </c>
      <c r="K87" t="inlineStr">
        <is>
          <t>N90</t>
        </is>
      </c>
      <c r="L87" t="inlineStr">
        <is>
          <t>(AP) NAFIN 90 Dias</t>
        </is>
      </c>
      <c r="M87" t="n">
        <v>10000404</v>
      </c>
      <c r="N87" t="inlineStr">
        <is>
          <t>Grava Triturada Caliza 20 mm - 3/4"</t>
        </is>
      </c>
      <c r="O87" t="inlineStr">
        <is>
          <t>DW81</t>
        </is>
      </c>
      <c r="P87" t="inlineStr">
        <is>
          <t>MX-CED. SALTILLO</t>
        </is>
      </c>
      <c r="Q87" t="n">
        <v>20231006</v>
      </c>
      <c r="R87" t="n">
        <v>20291231</v>
      </c>
      <c r="S87" t="n">
        <v>20231006</v>
      </c>
      <c r="T87" t="n">
        <v>20281231</v>
      </c>
      <c r="U87" t="n">
        <v>458</v>
      </c>
      <c r="V87" t="inlineStr">
        <is>
          <t>MXN</t>
        </is>
      </c>
      <c r="W87" t="inlineStr">
        <is>
          <t>TN</t>
        </is>
      </c>
      <c r="X87" t="n">
        <v>295</v>
      </c>
      <c r="Y87" t="inlineStr">
        <is>
          <t>MXN</t>
        </is>
      </c>
      <c r="Z87" t="inlineStr">
        <is>
          <t>TN</t>
        </is>
      </c>
      <c r="AA87" t="inlineStr">
        <is>
          <t>D171</t>
        </is>
      </c>
      <c r="AB87" t="inlineStr">
        <is>
          <t>PD0016 PIEDRAS NEGRAS</t>
        </is>
      </c>
      <c r="AC87" t="n">
        <v>56103637</v>
      </c>
      <c r="AD87" t="n">
        <v>6644381540</v>
      </c>
      <c r="AE87" t="n">
        <v>4</v>
      </c>
      <c r="AF87" t="inlineStr">
        <is>
          <t>ENTREGA DIRECTA</t>
        </is>
      </c>
      <c r="AG87" t="n">
        <v>1</v>
      </c>
      <c r="AH87" t="inlineStr">
        <is>
          <t>TO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20231009</v>
      </c>
      <c r="AM87" t="inlineStr">
        <is>
          <t>DW81-900007998-D171-10000404-4</t>
        </is>
      </c>
    </row>
    <row r="88">
      <c r="A88" t="inlineStr">
        <is>
          <t>900004125DW8110002043</t>
        </is>
      </c>
      <c r="B88" t="inlineStr">
        <is>
          <t>4600050389-10</t>
        </is>
      </c>
      <c r="C88" t="n">
        <v>4600050389</v>
      </c>
      <c r="D88" t="n">
        <v>10</v>
      </c>
      <c r="E88" t="inlineStr">
        <is>
          <t>MXPO</t>
        </is>
      </c>
      <c r="F88" t="inlineStr">
        <is>
          <t>MXL</t>
        </is>
      </c>
      <c r="G88" t="n">
        <v>900004125</v>
      </c>
      <c r="H88" t="inlineStr">
        <is>
          <t>TC-GRANIX</t>
        </is>
      </c>
      <c r="I88" t="n">
        <v>5017518</v>
      </c>
      <c r="J88" t="inlineStr">
        <is>
          <t>GRANIX SA DE CCV</t>
        </is>
      </c>
      <c r="K88" t="inlineStr">
        <is>
          <t>N120</t>
        </is>
      </c>
      <c r="L88" t="inlineStr">
        <is>
          <t>(AP) NAFIN 120 Dias</t>
        </is>
      </c>
      <c r="M88" t="n">
        <v>10002043</v>
      </c>
      <c r="N88" t="inlineStr">
        <is>
          <t>Arena Triturada Granito Malla 4</t>
        </is>
      </c>
      <c r="O88" t="inlineStr">
        <is>
          <t>DW81</t>
        </is>
      </c>
      <c r="P88" t="inlineStr">
        <is>
          <t>MX-CED. SALTILLO</t>
        </is>
      </c>
      <c r="Q88" t="n">
        <v>20210801</v>
      </c>
      <c r="R88" t="n">
        <v>20261231</v>
      </c>
      <c r="S88" t="n">
        <v>20210801</v>
      </c>
      <c r="T88" t="n">
        <v>20271231</v>
      </c>
      <c r="U88" t="n">
        <v>101.07</v>
      </c>
      <c r="V88" t="inlineStr">
        <is>
          <t>MXN</t>
        </is>
      </c>
      <c r="W88" t="inlineStr">
        <is>
          <t>TN</t>
        </is>
      </c>
      <c r="X88" t="n">
        <v>0</v>
      </c>
      <c r="Y88" t="inlineStr">
        <is>
          <t>MXN</t>
        </is>
      </c>
      <c r="Z88" t="inlineStr">
        <is>
          <t>TN</t>
        </is>
      </c>
      <c r="AC88" t="n">
        <v>56103638</v>
      </c>
      <c r="AD88" t="n">
        <v>6644381540</v>
      </c>
      <c r="AE88" t="n">
        <v>1</v>
      </c>
      <c r="AF88" t="inlineStr">
        <is>
          <t>ENTREGADO</t>
        </is>
      </c>
      <c r="AG88" t="n">
        <v>1</v>
      </c>
      <c r="AH88" t="inlineStr">
        <is>
          <t>TO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20230920</v>
      </c>
      <c r="AM88" t="inlineStr">
        <is>
          <t>DW81-900004125-10002043</t>
        </is>
      </c>
    </row>
    <row r="89">
      <c r="A89" t="inlineStr">
        <is>
          <t>900004601DW8110002043</t>
        </is>
      </c>
      <c r="B89" t="inlineStr">
        <is>
          <t>4600050348-10</t>
        </is>
      </c>
      <c r="C89" t="n">
        <v>4600050348</v>
      </c>
      <c r="D89" t="n">
        <v>10</v>
      </c>
      <c r="E89" t="inlineStr">
        <is>
          <t>MXPO</t>
        </is>
      </c>
      <c r="F89" t="inlineStr">
        <is>
          <t>MXL</t>
        </is>
      </c>
      <c r="G89" t="n">
        <v>900004601</v>
      </c>
      <c r="H89" t="inlineStr">
        <is>
          <t>SF TEXLAMP</t>
        </is>
      </c>
      <c r="I89" t="n">
        <v>5010129</v>
      </c>
      <c r="J89" t="inlineStr">
        <is>
          <t>TEXLAMP S.A. DE C.V.</t>
        </is>
      </c>
      <c r="K89" t="inlineStr">
        <is>
          <t>N90</t>
        </is>
      </c>
      <c r="L89" t="inlineStr">
        <is>
          <t>(AP) NAFIN 90 Dias</t>
        </is>
      </c>
      <c r="M89" t="n">
        <v>10002043</v>
      </c>
      <c r="N89" t="inlineStr">
        <is>
          <t>Arena Triturada Granito Malla 4</t>
        </is>
      </c>
      <c r="O89" t="inlineStr">
        <is>
          <t>DW81</t>
        </is>
      </c>
      <c r="P89" t="inlineStr">
        <is>
          <t>MX-CED. SALTILLO</t>
        </is>
      </c>
      <c r="Q89" t="n">
        <v>20210801</v>
      </c>
      <c r="R89" t="n">
        <v>20261231</v>
      </c>
      <c r="S89" t="n">
        <v>20210727</v>
      </c>
      <c r="T89" t="n">
        <v>20261231</v>
      </c>
      <c r="U89" t="n">
        <v>92.2</v>
      </c>
      <c r="V89" t="inlineStr">
        <is>
          <t>MXN</t>
        </is>
      </c>
      <c r="W89" t="inlineStr">
        <is>
          <t>TN</t>
        </is>
      </c>
      <c r="X89" t="n">
        <v>0</v>
      </c>
      <c r="Y89" t="inlineStr">
        <is>
          <t>MXN</t>
        </is>
      </c>
      <c r="Z89" t="inlineStr">
        <is>
          <t>TN</t>
        </is>
      </c>
      <c r="AC89" t="n">
        <v>56103638</v>
      </c>
      <c r="AD89" t="n">
        <v>6644381540</v>
      </c>
      <c r="AE89" t="n">
        <v>1</v>
      </c>
      <c r="AF89" t="inlineStr">
        <is>
          <t>ENTREGADO</t>
        </is>
      </c>
      <c r="AG89" t="n">
        <v>1</v>
      </c>
      <c r="AH89" t="inlineStr">
        <is>
          <t>TO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20260108</v>
      </c>
      <c r="AM89" t="inlineStr">
        <is>
          <t>DW81-900004601-10002043</t>
        </is>
      </c>
    </row>
    <row r="90">
      <c r="A90" t="inlineStr">
        <is>
          <t>900004125DW8110067274</t>
        </is>
      </c>
      <c r="B90" t="inlineStr">
        <is>
          <t>4600050389-30</t>
        </is>
      </c>
      <c r="C90" t="n">
        <v>4600050389</v>
      </c>
      <c r="D90" t="n">
        <v>30</v>
      </c>
      <c r="E90" t="inlineStr">
        <is>
          <t>MXPO</t>
        </is>
      </c>
      <c r="F90" t="inlineStr">
        <is>
          <t>MXL</t>
        </is>
      </c>
      <c r="G90" t="n">
        <v>900004125</v>
      </c>
      <c r="H90" t="inlineStr">
        <is>
          <t>TC-GRANIX</t>
        </is>
      </c>
      <c r="I90" t="n">
        <v>5017518</v>
      </c>
      <c r="J90" t="inlineStr">
        <is>
          <t>GRANIX SA DE CCV</t>
        </is>
      </c>
      <c r="K90" t="inlineStr">
        <is>
          <t>N120</t>
        </is>
      </c>
      <c r="L90" t="inlineStr">
        <is>
          <t>(AP) NAFIN 120 Dias</t>
        </is>
      </c>
      <c r="M90" t="n">
        <v>10067274</v>
      </c>
      <c r="N90" t="inlineStr">
        <is>
          <t>GRAVA TRITURADA GRANITO 40 MM -1 1/2"</t>
        </is>
      </c>
      <c r="O90" t="inlineStr">
        <is>
          <t>DW81</t>
        </is>
      </c>
      <c r="P90" t="inlineStr">
        <is>
          <t>MX-CED. SALTILLO</t>
        </is>
      </c>
      <c r="Q90" t="n">
        <v>20210801</v>
      </c>
      <c r="R90" t="n">
        <v>20261231</v>
      </c>
      <c r="S90" t="n">
        <v>20220101</v>
      </c>
      <c r="T90" t="n">
        <v>20271231</v>
      </c>
      <c r="U90" t="n">
        <v>419.2</v>
      </c>
      <c r="V90" t="inlineStr">
        <is>
          <t>MXN</t>
        </is>
      </c>
      <c r="W90" t="inlineStr">
        <is>
          <t>TN</t>
        </is>
      </c>
      <c r="X90" t="n">
        <v>0</v>
      </c>
      <c r="Y90" t="inlineStr">
        <is>
          <t>MXN</t>
        </is>
      </c>
      <c r="Z90" t="inlineStr">
        <is>
          <t>TN</t>
        </is>
      </c>
      <c r="AC90" t="n">
        <v>56103637</v>
      </c>
      <c r="AD90" t="n">
        <v>6644381540</v>
      </c>
      <c r="AE90" t="n">
        <v>1</v>
      </c>
      <c r="AF90" t="inlineStr">
        <is>
          <t>ENTREGADO</t>
        </is>
      </c>
      <c r="AG90" t="n">
        <v>1</v>
      </c>
      <c r="AH90" t="inlineStr">
        <is>
          <t>TO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20230920</v>
      </c>
      <c r="AM90" t="inlineStr">
        <is>
          <t>DW81-900004125-10067274</t>
        </is>
      </c>
    </row>
    <row r="91">
      <c r="A91" t="inlineStr">
        <is>
          <t>900004125DW8110067273</t>
        </is>
      </c>
      <c r="B91" t="inlineStr">
        <is>
          <t>4600050389-20</t>
        </is>
      </c>
      <c r="C91" t="n">
        <v>4600050389</v>
      </c>
      <c r="D91" t="n">
        <v>20</v>
      </c>
      <c r="E91" t="inlineStr">
        <is>
          <t>MXPO</t>
        </is>
      </c>
      <c r="F91" t="inlineStr">
        <is>
          <t>MXL</t>
        </is>
      </c>
      <c r="G91" t="n">
        <v>900004125</v>
      </c>
      <c r="H91" t="inlineStr">
        <is>
          <t>TC-GRANIX</t>
        </is>
      </c>
      <c r="I91" t="n">
        <v>5017518</v>
      </c>
      <c r="J91" t="inlineStr">
        <is>
          <t>GRANIX SA DE CCV</t>
        </is>
      </c>
      <c r="K91" t="inlineStr">
        <is>
          <t>N120</t>
        </is>
      </c>
      <c r="L91" t="inlineStr">
        <is>
          <t>(AP) NAFIN 120 Dias</t>
        </is>
      </c>
      <c r="M91" t="n">
        <v>10067273</v>
      </c>
      <c r="N91" t="inlineStr">
        <is>
          <t>GRAVA TRITURADA GRANITO 20 MM - 3/4"</t>
        </is>
      </c>
      <c r="O91" t="inlineStr">
        <is>
          <t>DW81</t>
        </is>
      </c>
      <c r="P91" t="inlineStr">
        <is>
          <t>MX-CED. SALTILLO</t>
        </is>
      </c>
      <c r="Q91" t="n">
        <v>20210801</v>
      </c>
      <c r="R91" t="n">
        <v>20261231</v>
      </c>
      <c r="S91" t="n">
        <v>20220101</v>
      </c>
      <c r="T91" t="n">
        <v>20271231</v>
      </c>
      <c r="U91" t="n">
        <v>433.61</v>
      </c>
      <c r="V91" t="inlineStr">
        <is>
          <t>MXN</t>
        </is>
      </c>
      <c r="W91" t="inlineStr">
        <is>
          <t>TN</t>
        </is>
      </c>
      <c r="X91" t="n">
        <v>0</v>
      </c>
      <c r="Y91" t="inlineStr">
        <is>
          <t>MXN</t>
        </is>
      </c>
      <c r="Z91" t="inlineStr">
        <is>
          <t>TN</t>
        </is>
      </c>
      <c r="AC91" t="n">
        <v>56103637</v>
      </c>
      <c r="AD91" t="n">
        <v>6644381540</v>
      </c>
      <c r="AE91" t="n">
        <v>1</v>
      </c>
      <c r="AF91" t="inlineStr">
        <is>
          <t>ENTREGADO</t>
        </is>
      </c>
      <c r="AG91" t="n">
        <v>1</v>
      </c>
      <c r="AH91" t="inlineStr">
        <is>
          <t>TO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20230920</v>
      </c>
      <c r="AM91" t="inlineStr">
        <is>
          <t>DW81-900004125-10067273</t>
        </is>
      </c>
    </row>
    <row r="92">
      <c r="A92" t="inlineStr">
        <is>
          <t>900008694DW81D14910000572</t>
        </is>
      </c>
      <c r="B92" t="inlineStr">
        <is>
          <t>4600069205-10</t>
        </is>
      </c>
      <c r="C92" t="n">
        <v>4600069205</v>
      </c>
      <c r="D92" t="n">
        <v>10</v>
      </c>
      <c r="E92" t="inlineStr">
        <is>
          <t>MXPO</t>
        </is>
      </c>
      <c r="F92" t="inlineStr">
        <is>
          <t>MXL</t>
        </is>
      </c>
      <c r="G92" t="n">
        <v>900008694</v>
      </c>
      <c r="H92" t="inlineStr">
        <is>
          <t>SF TC-ED TRICABA</t>
        </is>
      </c>
      <c r="I92" t="n">
        <v>5092353</v>
      </c>
      <c r="J92" t="inlineStr">
        <is>
          <t>TRICABA DE SABINAS SA DE CV</t>
        </is>
      </c>
      <c r="K92" t="inlineStr">
        <is>
          <t>N90</t>
        </is>
      </c>
      <c r="L92" t="inlineStr">
        <is>
          <t>(AP) NAFIN 90 Dias</t>
        </is>
      </c>
      <c r="M92" t="n">
        <v>10000572</v>
      </c>
      <c r="N92" t="inlineStr">
        <is>
          <t>Arena Triturada Caliza Malla 4</t>
        </is>
      </c>
      <c r="O92" t="inlineStr">
        <is>
          <t>DW81</t>
        </is>
      </c>
      <c r="P92" t="inlineStr">
        <is>
          <t>MX-CED. SALTILLO</t>
        </is>
      </c>
      <c r="Q92" t="n">
        <v>20240229</v>
      </c>
      <c r="R92" t="n">
        <v>20291231</v>
      </c>
      <c r="S92" t="n">
        <v>20250301</v>
      </c>
      <c r="T92" t="n">
        <v>20301231</v>
      </c>
      <c r="U92" t="n">
        <v>485</v>
      </c>
      <c r="V92" t="inlineStr">
        <is>
          <t>MXN</t>
        </is>
      </c>
      <c r="W92" t="inlineStr">
        <is>
          <t>TN</t>
        </is>
      </c>
      <c r="X92" t="n">
        <v>289</v>
      </c>
      <c r="Y92" t="inlineStr">
        <is>
          <t>MXN</t>
        </is>
      </c>
      <c r="Z92" t="inlineStr">
        <is>
          <t>TN</t>
        </is>
      </c>
      <c r="AA92" t="inlineStr">
        <is>
          <t>D149</t>
        </is>
      </c>
      <c r="AB92" t="inlineStr">
        <is>
          <t>PD051 ACUÑA</t>
        </is>
      </c>
      <c r="AC92" t="n">
        <v>56103638</v>
      </c>
      <c r="AD92" t="n">
        <v>6644381540</v>
      </c>
      <c r="AE92" t="n">
        <v>4</v>
      </c>
      <c r="AF92" t="inlineStr">
        <is>
          <t>ENTREGA DIRECTA</t>
        </is>
      </c>
      <c r="AG92" t="n">
        <v>1</v>
      </c>
      <c r="AH92" t="inlineStr">
        <is>
          <t>TO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20250402</v>
      </c>
      <c r="AM92" t="inlineStr">
        <is>
          <t>DW81-900008694-D149-10000572-4</t>
        </is>
      </c>
    </row>
    <row r="93">
      <c r="A93" t="inlineStr">
        <is>
          <t>900000007DW81D17110000404</t>
        </is>
      </c>
      <c r="B93" t="inlineStr">
        <is>
          <t>4600069516-50</t>
        </is>
      </c>
      <c r="C93" t="n">
        <v>4600069516</v>
      </c>
      <c r="D93" t="n">
        <v>50</v>
      </c>
      <c r="E93" t="inlineStr">
        <is>
          <t>MXPO</t>
        </is>
      </c>
      <c r="F93" t="inlineStr">
        <is>
          <t>MXL</t>
        </is>
      </c>
      <c r="G93" t="n">
        <v>900000007</v>
      </c>
      <c r="H93" t="inlineStr">
        <is>
          <t>TC-ED-CONTRISSA</t>
        </is>
      </c>
      <c r="I93" t="n">
        <v>5001240</v>
      </c>
      <c r="J93" t="inlineStr">
        <is>
          <t>CONTRISSA</t>
        </is>
      </c>
      <c r="K93" t="inlineStr">
        <is>
          <t>N90</t>
        </is>
      </c>
      <c r="L93" t="inlineStr">
        <is>
          <t>(AP) NAFIN 90 Dias</t>
        </is>
      </c>
      <c r="M93" t="n">
        <v>10000404</v>
      </c>
      <c r="N93" t="inlineStr">
        <is>
          <t>Grava Triturada Caliza 20 mm - 3/4"</t>
        </is>
      </c>
      <c r="O93" t="inlineStr">
        <is>
          <t>DW81</t>
        </is>
      </c>
      <c r="P93" t="inlineStr">
        <is>
          <t>MX-CED. SALTILLO</t>
        </is>
      </c>
      <c r="Q93" t="n">
        <v>20240513</v>
      </c>
      <c r="R93" t="n">
        <v>20291231</v>
      </c>
      <c r="S93" t="n">
        <v>20240513</v>
      </c>
      <c r="T93" t="n">
        <v>20291231</v>
      </c>
      <c r="U93" t="n">
        <v>448</v>
      </c>
      <c r="V93" t="inlineStr">
        <is>
          <t>MXN</t>
        </is>
      </c>
      <c r="W93" t="inlineStr">
        <is>
          <t>TN</t>
        </is>
      </c>
      <c r="X93" t="n">
        <v>262</v>
      </c>
      <c r="Y93" t="inlineStr">
        <is>
          <t>MXN</t>
        </is>
      </c>
      <c r="Z93" t="inlineStr">
        <is>
          <t>TN</t>
        </is>
      </c>
      <c r="AA93" t="inlineStr">
        <is>
          <t>D171</t>
        </is>
      </c>
      <c r="AB93" t="inlineStr">
        <is>
          <t>PD0016 PIEDRAS NEGRAS</t>
        </is>
      </c>
      <c r="AC93" t="n">
        <v>56103637</v>
      </c>
      <c r="AD93" t="n">
        <v>6644381540</v>
      </c>
      <c r="AE93" t="n">
        <v>4</v>
      </c>
      <c r="AF93" t="inlineStr">
        <is>
          <t>ENTREGA DIRECTA</t>
        </is>
      </c>
      <c r="AG93" t="n">
        <v>1</v>
      </c>
      <c r="AH93" t="inlineStr">
        <is>
          <t>TO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20240516</v>
      </c>
      <c r="AM93" t="inlineStr">
        <is>
          <t>DW81-900000007-D171-10000404-4</t>
        </is>
      </c>
    </row>
    <row r="94">
      <c r="A94" t="inlineStr">
        <is>
          <t>900002741DW81D17110000407</t>
        </is>
      </c>
      <c r="B94" t="inlineStr">
        <is>
          <t>4600050343-720</t>
        </is>
      </c>
      <c r="C94" t="n">
        <v>4600050343</v>
      </c>
      <c r="D94" t="n">
        <v>720</v>
      </c>
      <c r="E94" t="inlineStr">
        <is>
          <t>MXPO</t>
        </is>
      </c>
      <c r="F94" t="inlineStr">
        <is>
          <t>MXL</t>
        </is>
      </c>
      <c r="G94" t="n">
        <v>900002741</v>
      </c>
      <c r="H94" t="inlineStr">
        <is>
          <t>TC-ED-TRITURADOS GRAMOL SA DE CV</t>
        </is>
      </c>
      <c r="I94" t="n">
        <v>5005459</v>
      </c>
      <c r="J94" t="inlineStr">
        <is>
          <t>TRITURADOS GRAMOL SA DE CV</t>
        </is>
      </c>
      <c r="K94" t="inlineStr">
        <is>
          <t>Z04</t>
        </is>
      </c>
      <c r="L94" t="inlineStr">
        <is>
          <t>(AP) 30 Dias</t>
        </is>
      </c>
      <c r="M94" t="n">
        <v>10000407</v>
      </c>
      <c r="N94" t="inlineStr">
        <is>
          <t>Grava Triturada Caliza 10 mm - 3/8"</t>
        </is>
      </c>
      <c r="O94" t="inlineStr">
        <is>
          <t>DW81</t>
        </is>
      </c>
      <c r="P94" t="inlineStr">
        <is>
          <t>MX-CED. SALTILLO</t>
        </is>
      </c>
      <c r="Q94" t="n">
        <v>20210801</v>
      </c>
      <c r="R94" t="n">
        <v>20291231</v>
      </c>
      <c r="S94" t="n">
        <v>20240220</v>
      </c>
      <c r="T94" t="n">
        <v>20291231</v>
      </c>
      <c r="U94" t="n">
        <v>1005.91</v>
      </c>
      <c r="V94" t="inlineStr">
        <is>
          <t>MXN</t>
        </is>
      </c>
      <c r="W94" t="inlineStr">
        <is>
          <t>TN</t>
        </is>
      </c>
      <c r="X94" t="n">
        <v>875</v>
      </c>
      <c r="Y94" t="inlineStr">
        <is>
          <t>MXN</t>
        </is>
      </c>
      <c r="Z94" t="inlineStr">
        <is>
          <t>TN</t>
        </is>
      </c>
      <c r="AA94" t="inlineStr">
        <is>
          <t>D171</t>
        </is>
      </c>
      <c r="AB94" t="inlineStr">
        <is>
          <t>PD0016 PIEDRAS NEGRAS</t>
        </is>
      </c>
      <c r="AC94" t="n">
        <v>56103637</v>
      </c>
      <c r="AD94" t="n">
        <v>6644381540</v>
      </c>
      <c r="AE94" t="n">
        <v>4</v>
      </c>
      <c r="AF94" t="inlineStr">
        <is>
          <t>ENTREGA DIRECTA</t>
        </is>
      </c>
      <c r="AG94" t="n">
        <v>1</v>
      </c>
      <c r="AH94" t="inlineStr">
        <is>
          <t>TO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20240221</v>
      </c>
      <c r="AM94" t="inlineStr">
        <is>
          <t>DW81-900002741-D171-10000407-4</t>
        </is>
      </c>
    </row>
    <row r="95">
      <c r="A95" t="inlineStr">
        <is>
          <t>900002741DW81D17110000404</t>
        </is>
      </c>
      <c r="B95" t="inlineStr">
        <is>
          <t>4600050343-730</t>
        </is>
      </c>
      <c r="C95" t="n">
        <v>4600050343</v>
      </c>
      <c r="D95" t="n">
        <v>730</v>
      </c>
      <c r="E95" t="inlineStr">
        <is>
          <t>MXPO</t>
        </is>
      </c>
      <c r="F95" t="inlineStr">
        <is>
          <t>MXL</t>
        </is>
      </c>
      <c r="G95" t="n">
        <v>900002741</v>
      </c>
      <c r="H95" t="inlineStr">
        <is>
          <t>TC-ED-TRITURADOS GRAMOL SA DE CV</t>
        </is>
      </c>
      <c r="I95" t="n">
        <v>5005459</v>
      </c>
      <c r="J95" t="inlineStr">
        <is>
          <t>TRITURADOS GRAMOL SA DE CV</t>
        </is>
      </c>
      <c r="K95" t="inlineStr">
        <is>
          <t>Z04</t>
        </is>
      </c>
      <c r="L95" t="inlineStr">
        <is>
          <t>(AP) 30 Dias</t>
        </is>
      </c>
      <c r="M95" t="n">
        <v>10000404</v>
      </c>
      <c r="N95" t="inlineStr">
        <is>
          <t>Grava Triturada Caliza 20 mm - 3/4"</t>
        </is>
      </c>
      <c r="O95" t="inlineStr">
        <is>
          <t>DW81</t>
        </is>
      </c>
      <c r="P95" t="inlineStr">
        <is>
          <t>MX-CED. SALTILLO</t>
        </is>
      </c>
      <c r="Q95" t="n">
        <v>20210801</v>
      </c>
      <c r="R95" t="n">
        <v>20291231</v>
      </c>
      <c r="S95" t="n">
        <v>20240220</v>
      </c>
      <c r="T95" t="n">
        <v>20291231</v>
      </c>
      <c r="U95" t="n">
        <v>1005.91</v>
      </c>
      <c r="V95" t="inlineStr">
        <is>
          <t>MXN</t>
        </is>
      </c>
      <c r="W95" t="inlineStr">
        <is>
          <t>TN</t>
        </is>
      </c>
      <c r="X95" t="n">
        <v>875</v>
      </c>
      <c r="Y95" t="inlineStr">
        <is>
          <t>MXN</t>
        </is>
      </c>
      <c r="Z95" t="inlineStr">
        <is>
          <t>TN</t>
        </is>
      </c>
      <c r="AA95" t="inlineStr">
        <is>
          <t>D171</t>
        </is>
      </c>
      <c r="AB95" t="inlineStr">
        <is>
          <t>PD0016 PIEDRAS NEGRAS</t>
        </is>
      </c>
      <c r="AC95" t="n">
        <v>56103637</v>
      </c>
      <c r="AD95" t="n">
        <v>6644381540</v>
      </c>
      <c r="AE95" t="n">
        <v>4</v>
      </c>
      <c r="AF95" t="inlineStr">
        <is>
          <t>ENTREGA DIRECTA</t>
        </is>
      </c>
      <c r="AG95" t="n">
        <v>1</v>
      </c>
      <c r="AH95" t="inlineStr">
        <is>
          <t>TO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20240221</v>
      </c>
      <c r="AM95" t="inlineStr">
        <is>
          <t>DW81-900002741-D171-10000404-4</t>
        </is>
      </c>
    </row>
    <row r="96">
      <c r="A96" t="inlineStr">
        <is>
          <t>900002741DW81D17110087726</t>
        </is>
      </c>
      <c r="B96" t="inlineStr">
        <is>
          <t>4600050343-760</t>
        </is>
      </c>
      <c r="C96" t="n">
        <v>4600050343</v>
      </c>
      <c r="D96" t="n">
        <v>760</v>
      </c>
      <c r="E96" t="inlineStr">
        <is>
          <t>MXPO</t>
        </is>
      </c>
      <c r="F96" t="inlineStr">
        <is>
          <t>MXL</t>
        </is>
      </c>
      <c r="G96" t="n">
        <v>900002741</v>
      </c>
      <c r="H96" t="inlineStr">
        <is>
          <t>TC-ED-TRITURADOS GRAMOL SA DE CV</t>
        </is>
      </c>
      <c r="I96" t="n">
        <v>5005459</v>
      </c>
      <c r="J96" t="inlineStr">
        <is>
          <t>TRITURADOS GRAMOL SA DE CV</t>
        </is>
      </c>
      <c r="K96" t="inlineStr">
        <is>
          <t>Z04</t>
        </is>
      </c>
      <c r="L96" t="inlineStr">
        <is>
          <t>(AP) 30 Dias</t>
        </is>
      </c>
      <c r="M96" t="n">
        <v>10087726</v>
      </c>
      <c r="N96" t="inlineStr">
        <is>
          <t>BASE HIDRAULICA CALIZA 50% EQ. ARENA SCT</t>
        </is>
      </c>
      <c r="O96" t="inlineStr">
        <is>
          <t>DW81</t>
        </is>
      </c>
      <c r="P96" t="inlineStr">
        <is>
          <t>MX-CED. SALTILLO</t>
        </is>
      </c>
      <c r="Q96" t="n">
        <v>20210801</v>
      </c>
      <c r="R96" t="n">
        <v>20291231</v>
      </c>
      <c r="S96" t="n">
        <v>20240220</v>
      </c>
      <c r="T96" t="n">
        <v>20291231</v>
      </c>
      <c r="U96" t="n">
        <v>1005.91</v>
      </c>
      <c r="V96" t="inlineStr">
        <is>
          <t>MXN</t>
        </is>
      </c>
      <c r="W96" t="inlineStr">
        <is>
          <t>TN</t>
        </is>
      </c>
      <c r="X96" t="n">
        <v>875</v>
      </c>
      <c r="Y96" t="inlineStr">
        <is>
          <t>MXN</t>
        </is>
      </c>
      <c r="Z96" t="inlineStr">
        <is>
          <t>TN</t>
        </is>
      </c>
      <c r="AA96" t="inlineStr">
        <is>
          <t>D171</t>
        </is>
      </c>
      <c r="AB96" t="inlineStr">
        <is>
          <t>PD0016 PIEDRAS NEGRAS</t>
        </is>
      </c>
      <c r="AC96" t="n">
        <v>56103590</v>
      </c>
      <c r="AD96" t="n">
        <v>6644381540</v>
      </c>
      <c r="AE96" t="n">
        <v>4</v>
      </c>
      <c r="AF96" t="inlineStr">
        <is>
          <t>ENTREGA DIRECTA</t>
        </is>
      </c>
      <c r="AG96" t="n">
        <v>1</v>
      </c>
      <c r="AH96" t="inlineStr">
        <is>
          <t>TO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20240331</v>
      </c>
      <c r="AM96" t="inlineStr">
        <is>
          <t>DW81-900002741-D171-10087726-4</t>
        </is>
      </c>
    </row>
    <row r="97">
      <c r="A97" t="inlineStr">
        <is>
          <t>900002741DW81D17110000141</t>
        </is>
      </c>
      <c r="B97" t="inlineStr">
        <is>
          <t>4600050343-750</t>
        </is>
      </c>
      <c r="C97" t="n">
        <v>4600050343</v>
      </c>
      <c r="D97" t="n">
        <v>750</v>
      </c>
      <c r="E97" t="inlineStr">
        <is>
          <t>MXPO</t>
        </is>
      </c>
      <c r="F97" t="inlineStr">
        <is>
          <t>MXL</t>
        </is>
      </c>
      <c r="G97" t="n">
        <v>900002741</v>
      </c>
      <c r="H97" t="inlineStr">
        <is>
          <t>TC-ED-TRITURADOS GRAMOL SA DE CV</t>
        </is>
      </c>
      <c r="I97" t="n">
        <v>5005459</v>
      </c>
      <c r="J97" t="inlineStr">
        <is>
          <t>TRITURADOS GRAMOL SA DE CV</t>
        </is>
      </c>
      <c r="K97" t="inlineStr">
        <is>
          <t>Z04</t>
        </is>
      </c>
      <c r="L97" t="inlineStr">
        <is>
          <t>(AP) 30 Dias</t>
        </is>
      </c>
      <c r="M97" t="n">
        <v>10000141</v>
      </c>
      <c r="N97" t="inlineStr">
        <is>
          <t>Grava Triturada Caliza 40 mm - 1 1/2"</t>
        </is>
      </c>
      <c r="O97" t="inlineStr">
        <is>
          <t>DW81</t>
        </is>
      </c>
      <c r="P97" t="inlineStr">
        <is>
          <t>MX-CED. SALTILLO</t>
        </is>
      </c>
      <c r="Q97" t="n">
        <v>20210801</v>
      </c>
      <c r="R97" t="n">
        <v>20291231</v>
      </c>
      <c r="S97" t="n">
        <v>20240220</v>
      </c>
      <c r="T97" t="n">
        <v>20291231</v>
      </c>
      <c r="U97" t="n">
        <v>1005.91</v>
      </c>
      <c r="V97" t="inlineStr">
        <is>
          <t>MXN</t>
        </is>
      </c>
      <c r="W97" t="inlineStr">
        <is>
          <t>TN</t>
        </is>
      </c>
      <c r="X97" t="n">
        <v>875</v>
      </c>
      <c r="Y97" t="inlineStr">
        <is>
          <t>MXN</t>
        </is>
      </c>
      <c r="Z97" t="inlineStr">
        <is>
          <t>TN</t>
        </is>
      </c>
      <c r="AA97" t="inlineStr">
        <is>
          <t>D171</t>
        </is>
      </c>
      <c r="AB97" t="inlineStr">
        <is>
          <t>PD0016 PIEDRAS NEGRAS</t>
        </is>
      </c>
      <c r="AC97" t="n">
        <v>56103637</v>
      </c>
      <c r="AD97" t="n">
        <v>6644381540</v>
      </c>
      <c r="AE97" t="n">
        <v>4</v>
      </c>
      <c r="AF97" t="inlineStr">
        <is>
          <t>ENTREGA DIRECTA</t>
        </is>
      </c>
      <c r="AG97" t="n">
        <v>1</v>
      </c>
      <c r="AH97" t="inlineStr">
        <is>
          <t>TO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20240221</v>
      </c>
      <c r="AM97" t="inlineStr">
        <is>
          <t>DW81-900002741-D171-10000141-4</t>
        </is>
      </c>
    </row>
    <row r="98">
      <c r="A98" t="inlineStr">
        <is>
          <t>900002741DW81D17110000402</t>
        </is>
      </c>
      <c r="B98" t="inlineStr">
        <is>
          <t>4600050343-740</t>
        </is>
      </c>
      <c r="C98" t="n">
        <v>4600050343</v>
      </c>
      <c r="D98" t="n">
        <v>740</v>
      </c>
      <c r="E98" t="inlineStr">
        <is>
          <t>MXPO</t>
        </is>
      </c>
      <c r="F98" t="inlineStr">
        <is>
          <t>MXL</t>
        </is>
      </c>
      <c r="G98" t="n">
        <v>900002741</v>
      </c>
      <c r="H98" t="inlineStr">
        <is>
          <t>TC-ED-TRITURADOS GRAMOL SA DE CV</t>
        </is>
      </c>
      <c r="I98" t="n">
        <v>5005459</v>
      </c>
      <c r="J98" t="inlineStr">
        <is>
          <t>TRITURADOS GRAMOL SA DE CV</t>
        </is>
      </c>
      <c r="K98" t="inlineStr">
        <is>
          <t>Z04</t>
        </is>
      </c>
      <c r="L98" t="inlineStr">
        <is>
          <t>(AP) 30 Dias</t>
        </is>
      </c>
      <c r="M98" t="n">
        <v>10000402</v>
      </c>
      <c r="N98" t="inlineStr">
        <is>
          <t>Arena Triturada Caliza Malla 4</t>
        </is>
      </c>
      <c r="O98" t="inlineStr">
        <is>
          <t>DW81</t>
        </is>
      </c>
      <c r="P98" t="inlineStr">
        <is>
          <t>MX-CED. SALTILLO</t>
        </is>
      </c>
      <c r="Q98" t="n">
        <v>20210801</v>
      </c>
      <c r="R98" t="n">
        <v>20291231</v>
      </c>
      <c r="S98" t="n">
        <v>20240220</v>
      </c>
      <c r="T98" t="n">
        <v>20291231</v>
      </c>
      <c r="U98" t="n">
        <v>1007.08</v>
      </c>
      <c r="V98" t="inlineStr">
        <is>
          <t>MXN</t>
        </is>
      </c>
      <c r="W98" t="inlineStr">
        <is>
          <t>TN</t>
        </is>
      </c>
      <c r="X98" t="n">
        <v>875</v>
      </c>
      <c r="Y98" t="inlineStr">
        <is>
          <t>MXN</t>
        </is>
      </c>
      <c r="Z98" t="inlineStr">
        <is>
          <t>TN</t>
        </is>
      </c>
      <c r="AA98" t="inlineStr">
        <is>
          <t>D171</t>
        </is>
      </c>
      <c r="AB98" t="inlineStr">
        <is>
          <t>PD0016 PIEDRAS NEGRAS</t>
        </is>
      </c>
      <c r="AC98" t="n">
        <v>56103638</v>
      </c>
      <c r="AD98" t="n">
        <v>6644381540</v>
      </c>
      <c r="AE98" t="n">
        <v>4</v>
      </c>
      <c r="AF98" t="inlineStr">
        <is>
          <t>ENTREGA DIRECTA</t>
        </is>
      </c>
      <c r="AG98" t="n">
        <v>1</v>
      </c>
      <c r="AH98" t="inlineStr">
        <is>
          <t>TO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20240221</v>
      </c>
      <c r="AM98" t="inlineStr">
        <is>
          <t>DW81-900002741-D171-10000402-4</t>
        </is>
      </c>
    </row>
    <row r="99">
      <c r="A99" t="inlineStr">
        <is>
          <t>900001790DW81D14910000572</t>
        </is>
      </c>
      <c r="B99" t="inlineStr">
        <is>
          <t>4600028594-30</t>
        </is>
      </c>
      <c r="C99" t="n">
        <v>4600028594</v>
      </c>
      <c r="D99" t="n">
        <v>30</v>
      </c>
      <c r="E99" t="inlineStr">
        <is>
          <t>MXPO</t>
        </is>
      </c>
      <c r="F99" t="inlineStr">
        <is>
          <t>M02</t>
        </is>
      </c>
      <c r="G99" t="n">
        <v>900001790</v>
      </c>
      <c r="H99" t="inlineStr">
        <is>
          <t>TC-ED-GRUPO CONCRETOS</t>
        </is>
      </c>
      <c r="I99" t="n">
        <v>5007120</v>
      </c>
      <c r="J99" t="inlineStr">
        <is>
          <t>GRUPO CONCRETOS SA DE CV</t>
        </is>
      </c>
      <c r="K99" t="inlineStr">
        <is>
          <t>Z04</t>
        </is>
      </c>
      <c r="L99" t="inlineStr">
        <is>
          <t>(AP) 30 Dias</t>
        </is>
      </c>
      <c r="M99" t="n">
        <v>10000572</v>
      </c>
      <c r="N99" t="inlineStr">
        <is>
          <t>Arena Triturada Caliza Malla 4</t>
        </is>
      </c>
      <c r="O99" t="inlineStr">
        <is>
          <t>DW81</t>
        </is>
      </c>
      <c r="P99" t="inlineStr">
        <is>
          <t>MX-CED. SALTILLO</t>
        </is>
      </c>
      <c r="Q99" t="n">
        <v>20141203</v>
      </c>
      <c r="R99" t="n">
        <v>20271231</v>
      </c>
      <c r="S99" t="n">
        <v>20230601</v>
      </c>
      <c r="T99" t="n">
        <v>20271231</v>
      </c>
      <c r="U99" t="n">
        <v>350</v>
      </c>
      <c r="V99" t="inlineStr">
        <is>
          <t>MXN</t>
        </is>
      </c>
      <c r="W99" t="inlineStr">
        <is>
          <t>TN</t>
        </is>
      </c>
      <c r="X99" t="n">
        <v>170</v>
      </c>
      <c r="Y99" t="inlineStr">
        <is>
          <t>MXN</t>
        </is>
      </c>
      <c r="Z99" t="inlineStr">
        <is>
          <t>TN</t>
        </is>
      </c>
      <c r="AA99" t="inlineStr">
        <is>
          <t>D149</t>
        </is>
      </c>
      <c r="AB99" t="inlineStr">
        <is>
          <t>PD051 ACUÑA</t>
        </is>
      </c>
      <c r="AC99" t="n">
        <v>56103638</v>
      </c>
      <c r="AD99" t="n">
        <v>6644381540</v>
      </c>
      <c r="AE99" t="n">
        <v>4</v>
      </c>
      <c r="AF99" t="inlineStr">
        <is>
          <t>ENTREGA DIRECTA</t>
        </is>
      </c>
      <c r="AG99" t="n">
        <v>1</v>
      </c>
      <c r="AH99" t="inlineStr">
        <is>
          <t>TO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20230920</v>
      </c>
      <c r="AM99" t="inlineStr">
        <is>
          <t>DW81-900001790-D149-10000572-4</t>
        </is>
      </c>
    </row>
    <row r="100">
      <c r="A100" t="inlineStr">
        <is>
          <t>900001790DW81D14910000430</t>
        </is>
      </c>
      <c r="B100" t="inlineStr">
        <is>
          <t>4600028594-40</t>
        </is>
      </c>
      <c r="C100" t="n">
        <v>4600028594</v>
      </c>
      <c r="D100" t="n">
        <v>40</v>
      </c>
      <c r="E100" t="inlineStr">
        <is>
          <t>MXPO</t>
        </is>
      </c>
      <c r="F100" t="inlineStr">
        <is>
          <t>M02</t>
        </is>
      </c>
      <c r="G100" t="n">
        <v>900001790</v>
      </c>
      <c r="H100" t="inlineStr">
        <is>
          <t>TC-ED-GRUPO CONCRETOS</t>
        </is>
      </c>
      <c r="I100" t="n">
        <v>5007120</v>
      </c>
      <c r="J100" t="inlineStr">
        <is>
          <t>GRUPO CONCRETOS SA DE CV</t>
        </is>
      </c>
      <c r="K100" t="inlineStr">
        <is>
          <t>Z04</t>
        </is>
      </c>
      <c r="L100" t="inlineStr">
        <is>
          <t>(AP) 30 Dias</t>
        </is>
      </c>
      <c r="M100" t="n">
        <v>10000430</v>
      </c>
      <c r="N100" t="inlineStr">
        <is>
          <t>Grava Triturada Caliza 20 mm - 3/4"</t>
        </is>
      </c>
      <c r="O100" t="inlineStr">
        <is>
          <t>DW81</t>
        </is>
      </c>
      <c r="P100" t="inlineStr">
        <is>
          <t>MX-CED. SALTILLO</t>
        </is>
      </c>
      <c r="Q100" t="n">
        <v>20141203</v>
      </c>
      <c r="R100" t="n">
        <v>20271231</v>
      </c>
      <c r="S100" t="n">
        <v>20230601</v>
      </c>
      <c r="T100" t="n">
        <v>20271231</v>
      </c>
      <c r="U100" t="n">
        <v>350</v>
      </c>
      <c r="V100" t="inlineStr">
        <is>
          <t>MXN</t>
        </is>
      </c>
      <c r="W100" t="inlineStr">
        <is>
          <t>TN</t>
        </is>
      </c>
      <c r="X100" t="n">
        <v>170</v>
      </c>
      <c r="Y100" t="inlineStr">
        <is>
          <t>MXN</t>
        </is>
      </c>
      <c r="Z100" t="inlineStr">
        <is>
          <t>TN</t>
        </is>
      </c>
      <c r="AA100" t="inlineStr">
        <is>
          <t>D149</t>
        </is>
      </c>
      <c r="AB100" t="inlineStr">
        <is>
          <t>PD051 ACUÑA</t>
        </is>
      </c>
      <c r="AC100" t="n">
        <v>56103637</v>
      </c>
      <c r="AD100" t="n">
        <v>6644381540</v>
      </c>
      <c r="AE100" t="n">
        <v>4</v>
      </c>
      <c r="AF100" t="inlineStr">
        <is>
          <t>ENTREGA DIRECTA</t>
        </is>
      </c>
      <c r="AG100" t="n">
        <v>1</v>
      </c>
      <c r="AH100" t="inlineStr">
        <is>
          <t>TO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20230920</v>
      </c>
      <c r="AM100" t="inlineStr">
        <is>
          <t>DW81-900001790-D149-10000430-4</t>
        </is>
      </c>
    </row>
    <row r="101">
      <c r="A101" t="inlineStr">
        <is>
          <t>900003849DW81D17110000404</t>
        </is>
      </c>
      <c r="B101" t="inlineStr">
        <is>
          <t>4600050345-80</t>
        </is>
      </c>
      <c r="C101" t="n">
        <v>4600050345</v>
      </c>
      <c r="D101" t="n">
        <v>80</v>
      </c>
      <c r="E101" t="inlineStr">
        <is>
          <t>MXPO</t>
        </is>
      </c>
      <c r="F101" t="inlineStr">
        <is>
          <t>MXL</t>
        </is>
      </c>
      <c r="G101" t="n">
        <v>900003849</v>
      </c>
      <c r="H101" t="inlineStr">
        <is>
          <t>TC-ED ARTURO MONCADA</t>
        </is>
      </c>
      <c r="I101" t="n">
        <v>5054193</v>
      </c>
      <c r="J101" t="inlineStr">
        <is>
          <t>MONCADA CANTU ARTURO</t>
        </is>
      </c>
      <c r="K101" t="inlineStr">
        <is>
          <t>N90</t>
        </is>
      </c>
      <c r="L101" t="inlineStr">
        <is>
          <t>(AP) NAFIN 90 Dias</t>
        </is>
      </c>
      <c r="M101" t="n">
        <v>10000404</v>
      </c>
      <c r="N101" t="inlineStr">
        <is>
          <t>Grava Triturada Caliza 20 mm - 3/4"</t>
        </is>
      </c>
      <c r="O101" t="inlineStr">
        <is>
          <t>DW81</t>
        </is>
      </c>
      <c r="P101" t="inlineStr">
        <is>
          <t>MX-CED. SALTILLO</t>
        </is>
      </c>
      <c r="Q101" t="n">
        <v>20210801</v>
      </c>
      <c r="R101" t="n">
        <v>20291231</v>
      </c>
      <c r="S101" t="n">
        <v>20250301</v>
      </c>
      <c r="T101" t="n">
        <v>20301231</v>
      </c>
      <c r="U101" t="n">
        <v>464.92</v>
      </c>
      <c r="V101" t="inlineStr">
        <is>
          <t>MXN</t>
        </is>
      </c>
      <c r="W101" t="inlineStr">
        <is>
          <t>TN</t>
        </is>
      </c>
      <c r="X101" t="n">
        <v>321.78</v>
      </c>
      <c r="Y101" t="inlineStr">
        <is>
          <t>MXN</t>
        </is>
      </c>
      <c r="Z101" t="inlineStr">
        <is>
          <t>TN</t>
        </is>
      </c>
      <c r="AA101" t="inlineStr">
        <is>
          <t>D171</t>
        </is>
      </c>
      <c r="AB101" t="inlineStr">
        <is>
          <t>PD0016 PIEDRAS NEGRAS</t>
        </is>
      </c>
      <c r="AC101" t="n">
        <v>56103637</v>
      </c>
      <c r="AD101" t="n">
        <v>6644381540</v>
      </c>
      <c r="AE101" t="n">
        <v>4</v>
      </c>
      <c r="AF101" t="inlineStr">
        <is>
          <t>ENTREGA DIRECTA</t>
        </is>
      </c>
      <c r="AG101" t="n">
        <v>1</v>
      </c>
      <c r="AH101" t="inlineStr">
        <is>
          <t>TO</t>
        </is>
      </c>
      <c r="AI101" t="inlineStr">
        <is>
          <t>X</t>
        </is>
      </c>
      <c r="AJ101" t="n">
        <v>4</v>
      </c>
      <c r="AK101" t="inlineStr">
        <is>
          <t>V4</t>
        </is>
      </c>
      <c r="AL101" t="n">
        <v>20250408</v>
      </c>
      <c r="AM101" t="inlineStr">
        <is>
          <t>DW81-900003849-D171-10000404-4</t>
        </is>
      </c>
    </row>
    <row r="102">
      <c r="A102" t="inlineStr">
        <is>
          <t>900003849DW81D17110000624</t>
        </is>
      </c>
      <c r="B102" t="inlineStr">
        <is>
          <t>4600050345-100</t>
        </is>
      </c>
      <c r="C102" t="n">
        <v>4600050345</v>
      </c>
      <c r="D102" t="n">
        <v>100</v>
      </c>
      <c r="E102" t="inlineStr">
        <is>
          <t>MXPO</t>
        </is>
      </c>
      <c r="F102" t="inlineStr">
        <is>
          <t>MXL</t>
        </is>
      </c>
      <c r="G102" t="n">
        <v>900003849</v>
      </c>
      <c r="H102" t="inlineStr">
        <is>
          <t>TC-ED ARTURO MONCADA</t>
        </is>
      </c>
      <c r="I102" t="n">
        <v>5054193</v>
      </c>
      <c r="J102" t="inlineStr">
        <is>
          <t>MONCADA CANTU ARTURO</t>
        </is>
      </c>
      <c r="K102" t="inlineStr">
        <is>
          <t>N90</t>
        </is>
      </c>
      <c r="L102" t="inlineStr">
        <is>
          <t>(AP) NAFIN 90 Dias</t>
        </is>
      </c>
      <c r="M102" t="n">
        <v>10000624</v>
      </c>
      <c r="N102" t="inlineStr">
        <is>
          <t>Grava Triturada Caliza 40 mm - 1 1/2"</t>
        </is>
      </c>
      <c r="O102" t="inlineStr">
        <is>
          <t>DW81</t>
        </is>
      </c>
      <c r="P102" t="inlineStr">
        <is>
          <t>MX-CED. SALTILLO</t>
        </is>
      </c>
      <c r="Q102" t="n">
        <v>20210801</v>
      </c>
      <c r="R102" t="n">
        <v>20291231</v>
      </c>
      <c r="S102" t="n">
        <v>20250301</v>
      </c>
      <c r="T102" t="n">
        <v>20301231</v>
      </c>
      <c r="U102" t="n">
        <v>464.92</v>
      </c>
      <c r="V102" t="inlineStr">
        <is>
          <t>MXN</t>
        </is>
      </c>
      <c r="W102" t="inlineStr">
        <is>
          <t>TN</t>
        </is>
      </c>
      <c r="X102" t="n">
        <v>321.78</v>
      </c>
      <c r="Y102" t="inlineStr">
        <is>
          <t>MXN</t>
        </is>
      </c>
      <c r="Z102" t="inlineStr">
        <is>
          <t>TN</t>
        </is>
      </c>
      <c r="AA102" t="inlineStr">
        <is>
          <t>D171</t>
        </is>
      </c>
      <c r="AB102" t="inlineStr">
        <is>
          <t>PD0016 PIEDRAS NEGRAS</t>
        </is>
      </c>
      <c r="AC102" t="n">
        <v>56103637</v>
      </c>
      <c r="AD102" t="n">
        <v>6644381540</v>
      </c>
      <c r="AE102" t="n">
        <v>4</v>
      </c>
      <c r="AF102" t="inlineStr">
        <is>
          <t>ENTREGA DIRECTA</t>
        </is>
      </c>
      <c r="AG102" t="n">
        <v>1</v>
      </c>
      <c r="AH102" t="inlineStr">
        <is>
          <t>TO</t>
        </is>
      </c>
      <c r="AI102" t="inlineStr">
        <is>
          <t>X</t>
        </is>
      </c>
      <c r="AJ102" t="n">
        <v>4</v>
      </c>
      <c r="AK102" t="inlineStr">
        <is>
          <t>V4</t>
        </is>
      </c>
      <c r="AL102" t="n">
        <v>20250408</v>
      </c>
      <c r="AM102" t="inlineStr">
        <is>
          <t>DW81-900003849-D171-10000624-4</t>
        </is>
      </c>
    </row>
    <row r="103">
      <c r="A103" t="inlineStr">
        <is>
          <t>900003849DW81D17110000572</t>
        </is>
      </c>
      <c r="B103" t="inlineStr">
        <is>
          <t>4600050345-90</t>
        </is>
      </c>
      <c r="C103" t="n">
        <v>4600050345</v>
      </c>
      <c r="D103" t="n">
        <v>90</v>
      </c>
      <c r="E103" t="inlineStr">
        <is>
          <t>MXPO</t>
        </is>
      </c>
      <c r="F103" t="inlineStr">
        <is>
          <t>MXL</t>
        </is>
      </c>
      <c r="G103" t="n">
        <v>900003849</v>
      </c>
      <c r="H103" t="inlineStr">
        <is>
          <t>TC-ED ARTURO MONCADA</t>
        </is>
      </c>
      <c r="I103" t="n">
        <v>5054193</v>
      </c>
      <c r="J103" t="inlineStr">
        <is>
          <t>MONCADA CANTU ARTURO</t>
        </is>
      </c>
      <c r="K103" t="inlineStr">
        <is>
          <t>N90</t>
        </is>
      </c>
      <c r="L103" t="inlineStr">
        <is>
          <t>(AP) NAFIN 90 Dias</t>
        </is>
      </c>
      <c r="M103" t="n">
        <v>10000572</v>
      </c>
      <c r="N103" t="inlineStr">
        <is>
          <t>Arena Triturada Caliza Malla 4</t>
        </is>
      </c>
      <c r="O103" t="inlineStr">
        <is>
          <t>DW81</t>
        </is>
      </c>
      <c r="P103" t="inlineStr">
        <is>
          <t>MX-CED. SALTILLO</t>
        </is>
      </c>
      <c r="Q103" t="n">
        <v>20210801</v>
      </c>
      <c r="R103" t="n">
        <v>20291231</v>
      </c>
      <c r="S103" t="n">
        <v>20250301</v>
      </c>
      <c r="T103" t="n">
        <v>20301231</v>
      </c>
      <c r="U103" t="n">
        <v>464.92</v>
      </c>
      <c r="V103" t="inlineStr">
        <is>
          <t>MXN</t>
        </is>
      </c>
      <c r="W103" t="inlineStr">
        <is>
          <t>TN</t>
        </is>
      </c>
      <c r="X103" t="n">
        <v>315.23</v>
      </c>
      <c r="Y103" t="inlineStr">
        <is>
          <t>MXN</t>
        </is>
      </c>
      <c r="Z103" t="inlineStr">
        <is>
          <t>TN</t>
        </is>
      </c>
      <c r="AA103" t="inlineStr">
        <is>
          <t>D171</t>
        </is>
      </c>
      <c r="AB103" t="inlineStr">
        <is>
          <t>PD0016 PIEDRAS NEGRAS</t>
        </is>
      </c>
      <c r="AC103" t="n">
        <v>56103638</v>
      </c>
      <c r="AD103" t="n">
        <v>6644381540</v>
      </c>
      <c r="AE103" t="n">
        <v>4</v>
      </c>
      <c r="AF103" t="inlineStr">
        <is>
          <t>ENTREGA DIRECTA</t>
        </is>
      </c>
      <c r="AG103" t="n">
        <v>1</v>
      </c>
      <c r="AH103" t="inlineStr">
        <is>
          <t>TO</t>
        </is>
      </c>
      <c r="AI103" t="inlineStr">
        <is>
          <t>X</t>
        </is>
      </c>
      <c r="AJ103" t="n">
        <v>4</v>
      </c>
      <c r="AK103" t="inlineStr">
        <is>
          <t>V4</t>
        </is>
      </c>
      <c r="AL103" t="n">
        <v>20250408</v>
      </c>
      <c r="AM103" t="inlineStr">
        <is>
          <t>DW81-900003849-D171-10000572-4</t>
        </is>
      </c>
    </row>
    <row r="104">
      <c r="A104" t="inlineStr">
        <is>
          <t>900003849DW81D14810000407</t>
        </is>
      </c>
      <c r="B104" t="inlineStr">
        <is>
          <t>4600050345-110</t>
        </is>
      </c>
      <c r="C104" t="n">
        <v>4600050345</v>
      </c>
      <c r="D104" t="n">
        <v>110</v>
      </c>
      <c r="E104" t="inlineStr">
        <is>
          <t>MXPO</t>
        </is>
      </c>
      <c r="F104" t="inlineStr">
        <is>
          <t>MXL</t>
        </is>
      </c>
      <c r="G104" t="n">
        <v>900003849</v>
      </c>
      <c r="H104" t="inlineStr">
        <is>
          <t>TC-ED ARTURO MONCADA</t>
        </is>
      </c>
      <c r="I104" t="n">
        <v>5054193</v>
      </c>
      <c r="J104" t="inlineStr">
        <is>
          <t>MONCADA CANTU ARTURO</t>
        </is>
      </c>
      <c r="K104" t="inlineStr">
        <is>
          <t>N90</t>
        </is>
      </c>
      <c r="L104" t="inlineStr">
        <is>
          <t>(AP) NAFIN 90 Dias</t>
        </is>
      </c>
      <c r="M104" t="n">
        <v>10000407</v>
      </c>
      <c r="N104" t="inlineStr">
        <is>
          <t>Grava Triturada Caliza 10 mm - 3/8"</t>
        </is>
      </c>
      <c r="O104" t="inlineStr">
        <is>
          <t>DW81</t>
        </is>
      </c>
      <c r="P104" t="inlineStr">
        <is>
          <t>MX-CED. SALTILLO</t>
        </is>
      </c>
      <c r="Q104" t="n">
        <v>20210801</v>
      </c>
      <c r="R104" t="n">
        <v>20291231</v>
      </c>
      <c r="S104" t="n">
        <v>20250301</v>
      </c>
      <c r="T104" t="n">
        <v>20301231</v>
      </c>
      <c r="U104" t="n">
        <v>206.95</v>
      </c>
      <c r="V104" t="inlineStr">
        <is>
          <t>MXN</t>
        </is>
      </c>
      <c r="W104" t="inlineStr">
        <is>
          <t>TN</t>
        </is>
      </c>
      <c r="X104" t="n">
        <v>60.78</v>
      </c>
      <c r="Y104" t="inlineStr">
        <is>
          <t>MXN</t>
        </is>
      </c>
      <c r="Z104" t="inlineStr">
        <is>
          <t>TN</t>
        </is>
      </c>
      <c r="AA104" t="inlineStr">
        <is>
          <t>D148</t>
        </is>
      </c>
      <c r="AB104" t="inlineStr">
        <is>
          <t>PD032 CASTAÑOS</t>
        </is>
      </c>
      <c r="AC104" t="n">
        <v>56103637</v>
      </c>
      <c r="AD104" t="n">
        <v>6644381540</v>
      </c>
      <c r="AE104" t="n">
        <v>4</v>
      </c>
      <c r="AF104" t="inlineStr">
        <is>
          <t>ENTREGA DIRECTA</t>
        </is>
      </c>
      <c r="AG104" t="n">
        <v>1</v>
      </c>
      <c r="AH104" t="inlineStr">
        <is>
          <t>TO</t>
        </is>
      </c>
      <c r="AI104" t="inlineStr">
        <is>
          <t>X</t>
        </is>
      </c>
      <c r="AJ104" t="n">
        <v>4</v>
      </c>
      <c r="AK104" t="inlineStr">
        <is>
          <t>V4</t>
        </is>
      </c>
      <c r="AL104" t="n">
        <v>20250408</v>
      </c>
      <c r="AM104" t="inlineStr">
        <is>
          <t>DW81-900003849-D148-10000407-4</t>
        </is>
      </c>
    </row>
    <row r="105">
      <c r="A105" t="inlineStr">
        <is>
          <t>900003849DW81D14810000624</t>
        </is>
      </c>
      <c r="B105" t="inlineStr">
        <is>
          <t>4600050345-60</t>
        </is>
      </c>
      <c r="C105" t="n">
        <v>4600050345</v>
      </c>
      <c r="D105" t="n">
        <v>60</v>
      </c>
      <c r="E105" t="inlineStr">
        <is>
          <t>MXPO</t>
        </is>
      </c>
      <c r="F105" t="inlineStr">
        <is>
          <t>MXL</t>
        </is>
      </c>
      <c r="G105" t="n">
        <v>900003849</v>
      </c>
      <c r="H105" t="inlineStr">
        <is>
          <t>TC-ED ARTURO MONCADA</t>
        </is>
      </c>
      <c r="I105" t="n">
        <v>5054193</v>
      </c>
      <c r="J105" t="inlineStr">
        <is>
          <t>MONCADA CANTU ARTURO</t>
        </is>
      </c>
      <c r="K105" t="inlineStr">
        <is>
          <t>N90</t>
        </is>
      </c>
      <c r="L105" t="inlineStr">
        <is>
          <t>(AP) NAFIN 90 Dias</t>
        </is>
      </c>
      <c r="M105" t="n">
        <v>10000624</v>
      </c>
      <c r="N105" t="inlineStr">
        <is>
          <t>Grava Triturada Caliza 40 mm - 1 1/2"</t>
        </is>
      </c>
      <c r="O105" t="inlineStr">
        <is>
          <t>DW81</t>
        </is>
      </c>
      <c r="P105" t="inlineStr">
        <is>
          <t>MX-CED. SALTILLO</t>
        </is>
      </c>
      <c r="Q105" t="n">
        <v>20210801</v>
      </c>
      <c r="R105" t="n">
        <v>20291231</v>
      </c>
      <c r="S105" t="n">
        <v>20250301</v>
      </c>
      <c r="T105" t="n">
        <v>20301231</v>
      </c>
      <c r="U105" t="n">
        <v>206.95</v>
      </c>
      <c r="V105" t="inlineStr">
        <is>
          <t>MXN</t>
        </is>
      </c>
      <c r="W105" t="inlineStr">
        <is>
          <t>TN</t>
        </is>
      </c>
      <c r="X105" t="n">
        <v>60.78</v>
      </c>
      <c r="Y105" t="inlineStr">
        <is>
          <t>MXN</t>
        </is>
      </c>
      <c r="Z105" t="inlineStr">
        <is>
          <t>TN</t>
        </is>
      </c>
      <c r="AA105" t="inlineStr">
        <is>
          <t>D148</t>
        </is>
      </c>
      <c r="AB105" t="inlineStr">
        <is>
          <t>PD032 CASTAÑOS</t>
        </is>
      </c>
      <c r="AC105" t="n">
        <v>56103637</v>
      </c>
      <c r="AD105" t="n">
        <v>6644381540</v>
      </c>
      <c r="AE105" t="n">
        <v>4</v>
      </c>
      <c r="AF105" t="inlineStr">
        <is>
          <t>ENTREGA DIRECTA</t>
        </is>
      </c>
      <c r="AG105" t="n">
        <v>1</v>
      </c>
      <c r="AH105" t="inlineStr">
        <is>
          <t>TO</t>
        </is>
      </c>
      <c r="AI105" t="inlineStr">
        <is>
          <t>X</t>
        </is>
      </c>
      <c r="AJ105" t="n">
        <v>4</v>
      </c>
      <c r="AK105" t="inlineStr">
        <is>
          <t>V4</t>
        </is>
      </c>
      <c r="AL105" t="n">
        <v>20250408</v>
      </c>
      <c r="AM105" t="inlineStr">
        <is>
          <t>DW81-900003849-D148-10000624-4</t>
        </is>
      </c>
    </row>
    <row r="106">
      <c r="A106" t="inlineStr">
        <is>
          <t>900003849DW81D14910000624</t>
        </is>
      </c>
      <c r="B106" t="inlineStr">
        <is>
          <t>4600050345-10</t>
        </is>
      </c>
      <c r="C106" t="n">
        <v>4600050345</v>
      </c>
      <c r="D106" t="n">
        <v>10</v>
      </c>
      <c r="E106" t="inlineStr">
        <is>
          <t>MXPO</t>
        </is>
      </c>
      <c r="F106" t="inlineStr">
        <is>
          <t>MXL</t>
        </is>
      </c>
      <c r="G106" t="n">
        <v>900003849</v>
      </c>
      <c r="H106" t="inlineStr">
        <is>
          <t>TC-ED ARTURO MONCADA</t>
        </is>
      </c>
      <c r="I106" t="n">
        <v>5054193</v>
      </c>
      <c r="J106" t="inlineStr">
        <is>
          <t>MONCADA CANTU ARTURO</t>
        </is>
      </c>
      <c r="K106" t="inlineStr">
        <is>
          <t>N90</t>
        </is>
      </c>
      <c r="L106" t="inlineStr">
        <is>
          <t>(AP) NAFIN 90 Dias</t>
        </is>
      </c>
      <c r="M106" t="n">
        <v>10000624</v>
      </c>
      <c r="N106" t="inlineStr">
        <is>
          <t>Grava Triturada Caliza 40 mm - 1 1/2"</t>
        </is>
      </c>
      <c r="O106" t="inlineStr">
        <is>
          <t>DW81</t>
        </is>
      </c>
      <c r="P106" t="inlineStr">
        <is>
          <t>MX-CED. SALTILLO</t>
        </is>
      </c>
      <c r="Q106" t="n">
        <v>20210801</v>
      </c>
      <c r="R106" t="n">
        <v>20291231</v>
      </c>
      <c r="S106" t="n">
        <v>20250301</v>
      </c>
      <c r="T106" t="n">
        <v>20301231</v>
      </c>
      <c r="U106" t="n">
        <v>525.3099999999999</v>
      </c>
      <c r="V106" t="inlineStr">
        <is>
          <t>MXN</t>
        </is>
      </c>
      <c r="W106" t="inlineStr">
        <is>
          <t>TN</t>
        </is>
      </c>
      <c r="X106" t="n">
        <v>389.24</v>
      </c>
      <c r="Y106" t="inlineStr">
        <is>
          <t>MXN</t>
        </is>
      </c>
      <c r="Z106" t="inlineStr">
        <is>
          <t>TN</t>
        </is>
      </c>
      <c r="AA106" t="inlineStr">
        <is>
          <t>D149</t>
        </is>
      </c>
      <c r="AB106" t="inlineStr">
        <is>
          <t>PD051 ACUÑA</t>
        </is>
      </c>
      <c r="AC106" t="n">
        <v>56103637</v>
      </c>
      <c r="AD106" t="n">
        <v>6644381540</v>
      </c>
      <c r="AE106" t="n">
        <v>4</v>
      </c>
      <c r="AF106" t="inlineStr">
        <is>
          <t>ENTREGA DIRECTA</t>
        </is>
      </c>
      <c r="AG106" t="n">
        <v>1</v>
      </c>
      <c r="AH106" t="inlineStr">
        <is>
          <t>TO</t>
        </is>
      </c>
      <c r="AI106" t="inlineStr">
        <is>
          <t>X</t>
        </is>
      </c>
      <c r="AJ106" t="n">
        <v>4</v>
      </c>
      <c r="AK106" t="inlineStr">
        <is>
          <t>V4</t>
        </is>
      </c>
      <c r="AL106" t="n">
        <v>20250408</v>
      </c>
      <c r="AM106" t="inlineStr">
        <is>
          <t>DW81-900003849-D149-10000624-4</t>
        </is>
      </c>
    </row>
    <row r="107">
      <c r="A107" t="inlineStr">
        <is>
          <t>900005855DW81D17110160627</t>
        </is>
      </c>
      <c r="B107" t="inlineStr">
        <is>
          <t>4600068627-10</t>
        </is>
      </c>
      <c r="C107" t="n">
        <v>4600068627</v>
      </c>
      <c r="D107" t="n">
        <v>10</v>
      </c>
      <c r="E107" t="inlineStr">
        <is>
          <t>MXPO</t>
        </is>
      </c>
      <c r="F107" t="inlineStr">
        <is>
          <t>MXL</t>
        </is>
      </c>
      <c r="G107" t="n">
        <v>900005855</v>
      </c>
      <c r="H107" t="inlineStr">
        <is>
          <t>SF TC- ED CONSTRUAISLANTES</t>
        </is>
      </c>
      <c r="I107" t="n">
        <v>5001524</v>
      </c>
      <c r="J107" t="inlineStr">
        <is>
          <t>CONSTRUAISLANTES MER-Q SA DE CV</t>
        </is>
      </c>
      <c r="K107" t="inlineStr">
        <is>
          <t>Z07</t>
        </is>
      </c>
      <c r="L107" t="inlineStr">
        <is>
          <t>(AP) 60 Dias</t>
        </is>
      </c>
      <c r="M107" t="n">
        <v>10160627</v>
      </c>
      <c r="N107" t="inlineStr">
        <is>
          <t>GRAVA TRITURADA POMEZ - JAL 20 MM - 3/4"</t>
        </is>
      </c>
      <c r="O107" t="inlineStr">
        <is>
          <t>DW81</t>
        </is>
      </c>
      <c r="P107" t="inlineStr">
        <is>
          <t>MX-CED. SALTILLO</t>
        </is>
      </c>
      <c r="Q107" t="n">
        <v>20231016</v>
      </c>
      <c r="R107" t="n">
        <v>20281231</v>
      </c>
      <c r="S107" t="n">
        <v>20231023</v>
      </c>
      <c r="T107" t="n">
        <v>20281231</v>
      </c>
      <c r="U107" t="n">
        <v>2870</v>
      </c>
      <c r="V107" t="inlineStr">
        <is>
          <t>MXN</t>
        </is>
      </c>
      <c r="W107" t="inlineStr">
        <is>
          <t>TN</t>
        </is>
      </c>
      <c r="X107" t="n">
        <v>1870</v>
      </c>
      <c r="Y107" t="inlineStr">
        <is>
          <t>MXN</t>
        </is>
      </c>
      <c r="Z107" t="inlineStr">
        <is>
          <t>TN</t>
        </is>
      </c>
      <c r="AA107" t="inlineStr">
        <is>
          <t>D171</t>
        </is>
      </c>
      <c r="AB107" t="inlineStr">
        <is>
          <t>PD0016 PIEDRAS NEGRAS</t>
        </is>
      </c>
      <c r="AC107" t="n">
        <v>56103637</v>
      </c>
      <c r="AD107" t="n">
        <v>6644381540</v>
      </c>
      <c r="AE107" t="n">
        <v>4</v>
      </c>
      <c r="AF107" t="inlineStr">
        <is>
          <t>ENTREGA DIRECTA</t>
        </is>
      </c>
      <c r="AG107" t="n">
        <v>1</v>
      </c>
      <c r="AH107" t="inlineStr">
        <is>
          <t>TO</t>
        </is>
      </c>
      <c r="AI107" t="inlineStr">
        <is>
          <t>X</t>
        </is>
      </c>
      <c r="AJ107" t="n">
        <v>4</v>
      </c>
      <c r="AK107" t="inlineStr">
        <is>
          <t>V4</t>
        </is>
      </c>
      <c r="AL107" t="n">
        <v>20231025</v>
      </c>
      <c r="AM107" t="inlineStr">
        <is>
          <t>DW81-900005855-D171-10160627-4</t>
        </is>
      </c>
    </row>
    <row r="108">
      <c r="A108" t="inlineStr">
        <is>
          <t>900003849DW81D14810000404</t>
        </is>
      </c>
      <c r="B108" t="inlineStr">
        <is>
          <t>4600050345-40</t>
        </is>
      </c>
      <c r="C108" t="n">
        <v>4600050345</v>
      </c>
      <c r="D108" t="n">
        <v>40</v>
      </c>
      <c r="E108" t="inlineStr">
        <is>
          <t>MXPO</t>
        </is>
      </c>
      <c r="F108" t="inlineStr">
        <is>
          <t>MXL</t>
        </is>
      </c>
      <c r="G108" t="n">
        <v>900003849</v>
      </c>
      <c r="H108" t="inlineStr">
        <is>
          <t>TC-ED ARTURO MONCADA</t>
        </is>
      </c>
      <c r="I108" t="n">
        <v>5054193</v>
      </c>
      <c r="J108" t="inlineStr">
        <is>
          <t>MONCADA CANTU ARTURO</t>
        </is>
      </c>
      <c r="K108" t="inlineStr">
        <is>
          <t>N90</t>
        </is>
      </c>
      <c r="L108" t="inlineStr">
        <is>
          <t>(AP) NAFIN 90 Dias</t>
        </is>
      </c>
      <c r="M108" t="n">
        <v>10000404</v>
      </c>
      <c r="N108" t="inlineStr">
        <is>
          <t>Grava Triturada Caliza 20 mm - 3/4"</t>
        </is>
      </c>
      <c r="O108" t="inlineStr">
        <is>
          <t>DW81</t>
        </is>
      </c>
      <c r="P108" t="inlineStr">
        <is>
          <t>MX-CED. SALTILLO</t>
        </is>
      </c>
      <c r="Q108" t="n">
        <v>20210801</v>
      </c>
      <c r="R108" t="n">
        <v>20291231</v>
      </c>
      <c r="S108" t="n">
        <v>20250301</v>
      </c>
      <c r="T108" t="n">
        <v>20301231</v>
      </c>
      <c r="U108" t="n">
        <v>206.95</v>
      </c>
      <c r="V108" t="inlineStr">
        <is>
          <t>MXN</t>
        </is>
      </c>
      <c r="W108" t="inlineStr">
        <is>
          <t>TN</t>
        </is>
      </c>
      <c r="X108" t="n">
        <v>60.78</v>
      </c>
      <c r="Y108" t="inlineStr">
        <is>
          <t>MXN</t>
        </is>
      </c>
      <c r="Z108" t="inlineStr">
        <is>
          <t>TN</t>
        </is>
      </c>
      <c r="AA108" t="inlineStr">
        <is>
          <t>D148</t>
        </is>
      </c>
      <c r="AB108" t="inlineStr">
        <is>
          <t>PD032 CASTAÑOS</t>
        </is>
      </c>
      <c r="AC108" t="n">
        <v>56103637</v>
      </c>
      <c r="AD108" t="n">
        <v>6644381540</v>
      </c>
      <c r="AE108" t="n">
        <v>4</v>
      </c>
      <c r="AF108" t="inlineStr">
        <is>
          <t>ENTREGA DIRECTA</t>
        </is>
      </c>
      <c r="AG108" t="n">
        <v>1</v>
      </c>
      <c r="AH108" t="inlineStr">
        <is>
          <t>TO</t>
        </is>
      </c>
      <c r="AI108" t="inlineStr">
        <is>
          <t>X</t>
        </is>
      </c>
      <c r="AJ108" t="n">
        <v>4</v>
      </c>
      <c r="AK108" t="inlineStr">
        <is>
          <t>V4</t>
        </is>
      </c>
      <c r="AL108" t="n">
        <v>20250408</v>
      </c>
      <c r="AM108" t="inlineStr">
        <is>
          <t>DW81-900003849-D148-10000404-4</t>
        </is>
      </c>
    </row>
    <row r="109">
      <c r="A109" t="inlineStr">
        <is>
          <t>900003849DW81D14810000572</t>
        </is>
      </c>
      <c r="B109" t="inlineStr">
        <is>
          <t>4600050345-50</t>
        </is>
      </c>
      <c r="C109" t="n">
        <v>4600050345</v>
      </c>
      <c r="D109" t="n">
        <v>50</v>
      </c>
      <c r="E109" t="inlineStr">
        <is>
          <t>MXPO</t>
        </is>
      </c>
      <c r="F109" t="inlineStr">
        <is>
          <t>MXL</t>
        </is>
      </c>
      <c r="G109" t="n">
        <v>900003849</v>
      </c>
      <c r="H109" t="inlineStr">
        <is>
          <t>TC-ED ARTURO MONCADA</t>
        </is>
      </c>
      <c r="I109" t="n">
        <v>5054193</v>
      </c>
      <c r="J109" t="inlineStr">
        <is>
          <t>MONCADA CANTU ARTURO</t>
        </is>
      </c>
      <c r="K109" t="inlineStr">
        <is>
          <t>N90</t>
        </is>
      </c>
      <c r="L109" t="inlineStr">
        <is>
          <t>(AP) NAFIN 90 Dias</t>
        </is>
      </c>
      <c r="M109" t="n">
        <v>10000572</v>
      </c>
      <c r="N109" t="inlineStr">
        <is>
          <t>Arena Triturada Caliza Malla 4</t>
        </is>
      </c>
      <c r="O109" t="inlineStr">
        <is>
          <t>DW81</t>
        </is>
      </c>
      <c r="P109" t="inlineStr">
        <is>
          <t>MX-CED. SALTILLO</t>
        </is>
      </c>
      <c r="Q109" t="n">
        <v>20210801</v>
      </c>
      <c r="R109" t="n">
        <v>20291231</v>
      </c>
      <c r="S109" t="n">
        <v>20250301</v>
      </c>
      <c r="T109" t="n">
        <v>20301231</v>
      </c>
      <c r="U109" t="n">
        <v>214.31</v>
      </c>
      <c r="V109" t="inlineStr">
        <is>
          <t>MXN</t>
        </is>
      </c>
      <c r="W109" t="inlineStr">
        <is>
          <t>TN</t>
        </is>
      </c>
      <c r="X109" t="n">
        <v>60.78</v>
      </c>
      <c r="Y109" t="inlineStr">
        <is>
          <t>MXN</t>
        </is>
      </c>
      <c r="Z109" t="inlineStr">
        <is>
          <t>TN</t>
        </is>
      </c>
      <c r="AA109" t="inlineStr">
        <is>
          <t>D148</t>
        </is>
      </c>
      <c r="AB109" t="inlineStr">
        <is>
          <t>PD032 CASTAÑOS</t>
        </is>
      </c>
      <c r="AC109" t="n">
        <v>56103638</v>
      </c>
      <c r="AD109" t="n">
        <v>6644381540</v>
      </c>
      <c r="AE109" t="n">
        <v>4</v>
      </c>
      <c r="AF109" t="inlineStr">
        <is>
          <t>ENTREGA DIRECTA</t>
        </is>
      </c>
      <c r="AG109" t="n">
        <v>1</v>
      </c>
      <c r="AH109" t="inlineStr">
        <is>
          <t>TO</t>
        </is>
      </c>
      <c r="AI109" t="inlineStr">
        <is>
          <t>X</t>
        </is>
      </c>
      <c r="AJ109" t="n">
        <v>4</v>
      </c>
      <c r="AK109" t="inlineStr">
        <is>
          <t>V4</t>
        </is>
      </c>
      <c r="AL109" t="n">
        <v>20250408</v>
      </c>
      <c r="AM109" t="inlineStr">
        <is>
          <t>DW81-900003849-D148-10000572-4</t>
        </is>
      </c>
    </row>
    <row r="110">
      <c r="A110" t="inlineStr">
        <is>
          <t>900003849DW81D14910000572</t>
        </is>
      </c>
      <c r="B110" t="inlineStr">
        <is>
          <t>4600050345-30</t>
        </is>
      </c>
      <c r="C110" t="n">
        <v>4600050345</v>
      </c>
      <c r="D110" t="n">
        <v>30</v>
      </c>
      <c r="E110" t="inlineStr">
        <is>
          <t>MXPO</t>
        </is>
      </c>
      <c r="F110" t="inlineStr">
        <is>
          <t>MXL</t>
        </is>
      </c>
      <c r="G110" t="n">
        <v>900003849</v>
      </c>
      <c r="H110" t="inlineStr">
        <is>
          <t>TC-ED ARTURO MONCADA</t>
        </is>
      </c>
      <c r="I110" t="n">
        <v>5054193</v>
      </c>
      <c r="J110" t="inlineStr">
        <is>
          <t>MONCADA CANTU ARTURO</t>
        </is>
      </c>
      <c r="K110" t="inlineStr">
        <is>
          <t>N90</t>
        </is>
      </c>
      <c r="L110" t="inlineStr">
        <is>
          <t>(AP) NAFIN 90 Dias</t>
        </is>
      </c>
      <c r="M110" t="n">
        <v>10000572</v>
      </c>
      <c r="N110" t="inlineStr">
        <is>
          <t>Arena Triturada Caliza Malla 4</t>
        </is>
      </c>
      <c r="O110" t="inlineStr">
        <is>
          <t>DW81</t>
        </is>
      </c>
      <c r="P110" t="inlineStr">
        <is>
          <t>MX-CED. SALTILLO</t>
        </is>
      </c>
      <c r="Q110" t="n">
        <v>20210801</v>
      </c>
      <c r="R110" t="n">
        <v>20291231</v>
      </c>
      <c r="S110" t="n">
        <v>20250301</v>
      </c>
      <c r="T110" t="n">
        <v>20301231</v>
      </c>
      <c r="U110" t="n">
        <v>525.3099999999999</v>
      </c>
      <c r="V110" t="inlineStr">
        <is>
          <t>MXN</t>
        </is>
      </c>
      <c r="W110" t="inlineStr">
        <is>
          <t>TN</t>
        </is>
      </c>
      <c r="X110" t="n">
        <v>389.24</v>
      </c>
      <c r="Y110" t="inlineStr">
        <is>
          <t>MXN</t>
        </is>
      </c>
      <c r="Z110" t="inlineStr">
        <is>
          <t>TN</t>
        </is>
      </c>
      <c r="AA110" t="inlineStr">
        <is>
          <t>D149</t>
        </is>
      </c>
      <c r="AB110" t="inlineStr">
        <is>
          <t>PD051 ACUÑA</t>
        </is>
      </c>
      <c r="AC110" t="n">
        <v>56103638</v>
      </c>
      <c r="AD110" t="n">
        <v>6644381540</v>
      </c>
      <c r="AE110" t="n">
        <v>4</v>
      </c>
      <c r="AF110" t="inlineStr">
        <is>
          <t>ENTREGA DIRECTA</t>
        </is>
      </c>
      <c r="AG110" t="n">
        <v>1</v>
      </c>
      <c r="AH110" t="inlineStr">
        <is>
          <t>TO</t>
        </is>
      </c>
      <c r="AI110" t="inlineStr">
        <is>
          <t>X</t>
        </is>
      </c>
      <c r="AJ110" t="n">
        <v>4</v>
      </c>
      <c r="AK110" t="inlineStr">
        <is>
          <t>V4</t>
        </is>
      </c>
      <c r="AL110" t="n">
        <v>20250408</v>
      </c>
      <c r="AM110" t="inlineStr">
        <is>
          <t>DW81-900003849-D149-10000572-4</t>
        </is>
      </c>
    </row>
    <row r="111">
      <c r="A111" t="inlineStr">
        <is>
          <t>900003849DW81D14910000404</t>
        </is>
      </c>
      <c r="B111" t="inlineStr">
        <is>
          <t>4600050345-20</t>
        </is>
      </c>
      <c r="C111" t="n">
        <v>4600050345</v>
      </c>
      <c r="D111" t="n">
        <v>20</v>
      </c>
      <c r="E111" t="inlineStr">
        <is>
          <t>MXPO</t>
        </is>
      </c>
      <c r="F111" t="inlineStr">
        <is>
          <t>MXL</t>
        </is>
      </c>
      <c r="G111" t="n">
        <v>900003849</v>
      </c>
      <c r="H111" t="inlineStr">
        <is>
          <t>TC-ED ARTURO MONCADA</t>
        </is>
      </c>
      <c r="I111" t="n">
        <v>5054193</v>
      </c>
      <c r="J111" t="inlineStr">
        <is>
          <t>MONCADA CANTU ARTURO</t>
        </is>
      </c>
      <c r="K111" t="inlineStr">
        <is>
          <t>N90</t>
        </is>
      </c>
      <c r="L111" t="inlineStr">
        <is>
          <t>(AP) NAFIN 90 Dias</t>
        </is>
      </c>
      <c r="M111" t="n">
        <v>10000404</v>
      </c>
      <c r="N111" t="inlineStr">
        <is>
          <t>Grava Triturada Caliza 20 mm - 3/4"</t>
        </is>
      </c>
      <c r="O111" t="inlineStr">
        <is>
          <t>DW81</t>
        </is>
      </c>
      <c r="P111" t="inlineStr">
        <is>
          <t>MX-CED. SALTILLO</t>
        </is>
      </c>
      <c r="Q111" t="n">
        <v>20210801</v>
      </c>
      <c r="R111" t="n">
        <v>20291231</v>
      </c>
      <c r="S111" t="n">
        <v>20250301</v>
      </c>
      <c r="T111" t="n">
        <v>20301231</v>
      </c>
      <c r="U111" t="n">
        <v>525.3099999999999</v>
      </c>
      <c r="V111" t="inlineStr">
        <is>
          <t>MXN</t>
        </is>
      </c>
      <c r="W111" t="inlineStr">
        <is>
          <t>TN</t>
        </is>
      </c>
      <c r="X111" t="n">
        <v>389.24</v>
      </c>
      <c r="Y111" t="inlineStr">
        <is>
          <t>MXN</t>
        </is>
      </c>
      <c r="Z111" t="inlineStr">
        <is>
          <t>TN</t>
        </is>
      </c>
      <c r="AA111" t="inlineStr">
        <is>
          <t>D149</t>
        </is>
      </c>
      <c r="AB111" t="inlineStr">
        <is>
          <t>PD051 ACUÑA</t>
        </is>
      </c>
      <c r="AC111" t="n">
        <v>56103637</v>
      </c>
      <c r="AD111" t="n">
        <v>6644381540</v>
      </c>
      <c r="AE111" t="n">
        <v>4</v>
      </c>
      <c r="AF111" t="inlineStr">
        <is>
          <t>ENTREGA DIRECTA</t>
        </is>
      </c>
      <c r="AG111" t="n">
        <v>1</v>
      </c>
      <c r="AH111" t="inlineStr">
        <is>
          <t>TO</t>
        </is>
      </c>
      <c r="AI111" t="inlineStr">
        <is>
          <t>X</t>
        </is>
      </c>
      <c r="AJ111" t="n">
        <v>4</v>
      </c>
      <c r="AK111" t="inlineStr">
        <is>
          <t>V4</t>
        </is>
      </c>
      <c r="AL111" t="n">
        <v>20250408</v>
      </c>
      <c r="AM111" t="inlineStr">
        <is>
          <t>DW81-900003849-D149-10000404-4</t>
        </is>
      </c>
    </row>
    <row r="112">
      <c r="A112" t="inlineStr">
        <is>
          <t>900002741DW81D17110000859</t>
        </is>
      </c>
      <c r="B112" t="inlineStr">
        <is>
          <t>4600050343-710</t>
        </is>
      </c>
      <c r="C112" t="n">
        <v>4600050343</v>
      </c>
      <c r="D112" t="n">
        <v>710</v>
      </c>
      <c r="E112" t="inlineStr">
        <is>
          <t>MXPO</t>
        </is>
      </c>
      <c r="F112" t="inlineStr">
        <is>
          <t>MXL</t>
        </is>
      </c>
      <c r="G112" t="n">
        <v>900002741</v>
      </c>
      <c r="H112" t="inlineStr">
        <is>
          <t>TC-ED-TRITURADOS GRAMOL SA DE CV</t>
        </is>
      </c>
      <c r="I112" t="n">
        <v>5005459</v>
      </c>
      <c r="J112" t="inlineStr">
        <is>
          <t>TRITURADOS GRAMOL SA DE CV</t>
        </is>
      </c>
      <c r="K112" t="inlineStr">
        <is>
          <t>Z04</t>
        </is>
      </c>
      <c r="L112" t="inlineStr">
        <is>
          <t>(AP) 30 Dias</t>
        </is>
      </c>
      <c r="M112" t="n">
        <v>10000859</v>
      </c>
      <c r="N112" t="inlineStr">
        <is>
          <t>Arena Triturada Caliza Malla 5</t>
        </is>
      </c>
      <c r="O112" t="inlineStr">
        <is>
          <t>DW81</t>
        </is>
      </c>
      <c r="P112" t="inlineStr">
        <is>
          <t>MX-CED. SALTILLO</t>
        </is>
      </c>
      <c r="Q112" t="n">
        <v>20210801</v>
      </c>
      <c r="R112" t="n">
        <v>20291231</v>
      </c>
      <c r="S112" t="n">
        <v>20240220</v>
      </c>
      <c r="T112" t="n">
        <v>20291231</v>
      </c>
      <c r="U112" t="n">
        <v>1007.08</v>
      </c>
      <c r="V112" t="inlineStr">
        <is>
          <t>MXN</t>
        </is>
      </c>
      <c r="W112" t="inlineStr">
        <is>
          <t>TN</t>
        </is>
      </c>
      <c r="X112" t="n">
        <v>875</v>
      </c>
      <c r="Y112" t="inlineStr">
        <is>
          <t>MXN</t>
        </is>
      </c>
      <c r="Z112" t="inlineStr">
        <is>
          <t>TN</t>
        </is>
      </c>
      <c r="AA112" t="inlineStr">
        <is>
          <t>D171</t>
        </is>
      </c>
      <c r="AB112" t="inlineStr">
        <is>
          <t>PD0016 PIEDRAS NEGRAS</t>
        </is>
      </c>
      <c r="AC112" t="n">
        <v>56103638</v>
      </c>
      <c r="AD112" t="n">
        <v>6644381540</v>
      </c>
      <c r="AE112" t="n">
        <v>4</v>
      </c>
      <c r="AF112" t="inlineStr">
        <is>
          <t>ENTREGA DIRECTA</t>
        </is>
      </c>
      <c r="AG112" t="n">
        <v>1</v>
      </c>
      <c r="AH112" t="inlineStr">
        <is>
          <t>TO</t>
        </is>
      </c>
      <c r="AI112" t="inlineStr">
        <is>
          <t>X</t>
        </is>
      </c>
      <c r="AJ112" t="n">
        <v>4</v>
      </c>
      <c r="AK112" t="inlineStr">
        <is>
          <t>V4</t>
        </is>
      </c>
      <c r="AL112" t="n">
        <v>20240221</v>
      </c>
      <c r="AM112" t="inlineStr">
        <is>
          <t>DW81-900002741-D171-10000859-4</t>
        </is>
      </c>
    </row>
    <row r="113">
      <c r="A113" t="inlineStr">
        <is>
          <t>900007996DW81D14910132162</t>
        </is>
      </c>
      <c r="B113" t="inlineStr">
        <is>
          <t>4600056243-50</t>
        </is>
      </c>
      <c r="C113" t="n">
        <v>4600056243</v>
      </c>
      <c r="D113" t="n">
        <v>50</v>
      </c>
      <c r="E113" t="inlineStr">
        <is>
          <t>MXPO</t>
        </is>
      </c>
      <c r="F113" t="inlineStr">
        <is>
          <t>MXL</t>
        </is>
      </c>
      <c r="G113" t="n">
        <v>900007996</v>
      </c>
      <c r="H113" t="inlineStr">
        <is>
          <t>SF TC-ED-SIGLO 21</t>
        </is>
      </c>
      <c r="I113" t="n">
        <v>5087794</v>
      </c>
      <c r="J113" t="inlineStr">
        <is>
          <t>TRITURACION SIGLO 21 SA DE CV</t>
        </is>
      </c>
      <c r="K113" t="inlineStr">
        <is>
          <t>Z09</t>
        </is>
      </c>
      <c r="L113" t="inlineStr">
        <is>
          <t>(AP) 90 Dias</t>
        </is>
      </c>
      <c r="M113" t="n">
        <v>10132162</v>
      </c>
      <c r="N113" t="inlineStr">
        <is>
          <t>ARENA TRITURADA CALIZA MALLA 4</t>
        </is>
      </c>
      <c r="O113" t="inlineStr">
        <is>
          <t>DW81</t>
        </is>
      </c>
      <c r="P113" t="inlineStr">
        <is>
          <t>MX-CED. SALTILLO</t>
        </is>
      </c>
      <c r="Q113" t="n">
        <v>20230928</v>
      </c>
      <c r="R113" t="n">
        <v>20281231</v>
      </c>
      <c r="S113" t="n">
        <v>20230928</v>
      </c>
      <c r="T113" t="n">
        <v>20281231</v>
      </c>
      <c r="U113" t="n">
        <v>660</v>
      </c>
      <c r="V113" t="inlineStr">
        <is>
          <t>MXN</t>
        </is>
      </c>
      <c r="W113" t="inlineStr">
        <is>
          <t>M3</t>
        </is>
      </c>
      <c r="X113" t="n">
        <v>257.4</v>
      </c>
      <c r="Y113" t="inlineStr">
        <is>
          <t>MXN</t>
        </is>
      </c>
      <c r="Z113" t="inlineStr">
        <is>
          <t>M3</t>
        </is>
      </c>
      <c r="AA113" t="inlineStr">
        <is>
          <t>D149</t>
        </is>
      </c>
      <c r="AB113" t="inlineStr">
        <is>
          <t>PD051 ACUÑA</t>
        </is>
      </c>
      <c r="AC113" t="n">
        <v>56103638</v>
      </c>
      <c r="AD113" t="n">
        <v>6644381867</v>
      </c>
      <c r="AE113" t="n">
        <v>4</v>
      </c>
      <c r="AF113" t="inlineStr">
        <is>
          <t>ENTREGA DIRECTA</t>
        </is>
      </c>
      <c r="AG113" t="n">
        <v>1.608</v>
      </c>
      <c r="AH113" t="inlineStr">
        <is>
          <t>M3</t>
        </is>
      </c>
      <c r="AI113" t="inlineStr">
        <is>
          <t>X</t>
        </is>
      </c>
      <c r="AJ113" t="n">
        <v>4</v>
      </c>
      <c r="AK113" t="inlineStr">
        <is>
          <t>V1</t>
        </is>
      </c>
      <c r="AL113" t="n">
        <v>20231004</v>
      </c>
      <c r="AM113" t="inlineStr">
        <is>
          <t>DW81-900007996-D149-10132162-4</t>
        </is>
      </c>
    </row>
    <row r="114">
      <c r="A114" t="inlineStr">
        <is>
          <t>900007998DW81D14910000404</t>
        </is>
      </c>
      <c r="B114" t="inlineStr">
        <is>
          <t>4600068584-50</t>
        </is>
      </c>
      <c r="C114" t="n">
        <v>4600068584</v>
      </c>
      <c r="D114" t="n">
        <v>50</v>
      </c>
      <c r="E114" t="inlineStr">
        <is>
          <t>MXPO</t>
        </is>
      </c>
      <c r="F114" t="inlineStr">
        <is>
          <t>MXL</t>
        </is>
      </c>
      <c r="G114" t="n">
        <v>900007998</v>
      </c>
      <c r="H114" t="inlineStr">
        <is>
          <t>SF TC-ED-MATERIALES AMEZCUA</t>
        </is>
      </c>
      <c r="I114" t="n">
        <v>5086022</v>
      </c>
      <c r="J114" t="inlineStr">
        <is>
          <t>MATERIALES RENE AMEZCUA SA DE CV</t>
        </is>
      </c>
      <c r="K114" t="inlineStr">
        <is>
          <t>N90</t>
        </is>
      </c>
      <c r="L114" t="inlineStr">
        <is>
          <t>(AP) NAFIN 90 Dias</t>
        </is>
      </c>
      <c r="M114" t="n">
        <v>10000404</v>
      </c>
      <c r="N114" t="inlineStr">
        <is>
          <t>Grava Triturada Caliza 20 mm - 3/4"</t>
        </is>
      </c>
      <c r="O114" t="inlineStr">
        <is>
          <t>DW81</t>
        </is>
      </c>
      <c r="P114" t="inlineStr">
        <is>
          <t>MX-CED. SALTILLO</t>
        </is>
      </c>
      <c r="Q114" t="n">
        <v>20231006</v>
      </c>
      <c r="R114" t="n">
        <v>20291231</v>
      </c>
      <c r="S114" t="n">
        <v>20240508</v>
      </c>
      <c r="T114" t="n">
        <v>20291231</v>
      </c>
      <c r="U114" t="n">
        <v>548</v>
      </c>
      <c r="V114" t="inlineStr">
        <is>
          <t>MXN</t>
        </is>
      </c>
      <c r="W114" t="inlineStr">
        <is>
          <t>TN</t>
        </is>
      </c>
      <c r="X114" t="n">
        <v>360</v>
      </c>
      <c r="Y114" t="inlineStr">
        <is>
          <t>MXN</t>
        </is>
      </c>
      <c r="Z114" t="inlineStr">
        <is>
          <t>TN</t>
        </is>
      </c>
      <c r="AA114" t="inlineStr">
        <is>
          <t>D149</t>
        </is>
      </c>
      <c r="AB114" t="inlineStr">
        <is>
          <t>PD051 ACUÑA</t>
        </is>
      </c>
      <c r="AC114" t="n">
        <v>56103637</v>
      </c>
      <c r="AD114" t="n">
        <v>6644381540</v>
      </c>
      <c r="AE114" t="n">
        <v>4</v>
      </c>
      <c r="AF114" t="inlineStr">
        <is>
          <t>ENTREGA DIRECTA</t>
        </is>
      </c>
      <c r="AG114" t="n">
        <v>1</v>
      </c>
      <c r="AH114" t="inlineStr">
        <is>
          <t>TO</t>
        </is>
      </c>
      <c r="AI114" t="inlineStr">
        <is>
          <t>X</t>
        </is>
      </c>
      <c r="AJ114" t="n">
        <v>4</v>
      </c>
      <c r="AK114" t="inlineStr">
        <is>
          <t>V4</t>
        </is>
      </c>
      <c r="AL114" t="n">
        <v>20240514</v>
      </c>
      <c r="AM114" t="inlineStr">
        <is>
          <t>DW81-900007998-D149-10000404-4</t>
        </is>
      </c>
    </row>
    <row r="115">
      <c r="A115" t="inlineStr">
        <is>
          <t>900007998DW81D14910000572</t>
        </is>
      </c>
      <c r="B115" t="inlineStr">
        <is>
          <t>4600068584-60</t>
        </is>
      </c>
      <c r="C115" t="n">
        <v>4600068584</v>
      </c>
      <c r="D115" t="n">
        <v>60</v>
      </c>
      <c r="E115" t="inlineStr">
        <is>
          <t>MXPO</t>
        </is>
      </c>
      <c r="F115" t="inlineStr">
        <is>
          <t>MXL</t>
        </is>
      </c>
      <c r="G115" t="n">
        <v>900007998</v>
      </c>
      <c r="H115" t="inlineStr">
        <is>
          <t>SF TC-ED-MATERIALES AMEZCUA</t>
        </is>
      </c>
      <c r="I115" t="n">
        <v>5086022</v>
      </c>
      <c r="J115" t="inlineStr">
        <is>
          <t>MATERIALES RENE AMEZCUA SA DE CV</t>
        </is>
      </c>
      <c r="K115" t="inlineStr">
        <is>
          <t>N90</t>
        </is>
      </c>
      <c r="L115" t="inlineStr">
        <is>
          <t>(AP) NAFIN 90 Dias</t>
        </is>
      </c>
      <c r="M115" t="n">
        <v>10000572</v>
      </c>
      <c r="N115" t="inlineStr">
        <is>
          <t>Arena Triturada Caliza Malla 4</t>
        </is>
      </c>
      <c r="O115" t="inlineStr">
        <is>
          <t>DW81</t>
        </is>
      </c>
      <c r="P115" t="inlineStr">
        <is>
          <t>MX-CED. SALTILLO</t>
        </is>
      </c>
      <c r="Q115" t="n">
        <v>20231006</v>
      </c>
      <c r="R115" t="n">
        <v>20291231</v>
      </c>
      <c r="S115" t="n">
        <v>20240508</v>
      </c>
      <c r="T115" t="n">
        <v>20291231</v>
      </c>
      <c r="U115" t="n">
        <v>548</v>
      </c>
      <c r="V115" t="inlineStr">
        <is>
          <t>MXN</t>
        </is>
      </c>
      <c r="W115" t="inlineStr">
        <is>
          <t>TN</t>
        </is>
      </c>
      <c r="X115" t="n">
        <v>360</v>
      </c>
      <c r="Y115" t="inlineStr">
        <is>
          <t>MXN</t>
        </is>
      </c>
      <c r="Z115" t="inlineStr">
        <is>
          <t>TN</t>
        </is>
      </c>
      <c r="AA115" t="inlineStr">
        <is>
          <t>D149</t>
        </is>
      </c>
      <c r="AB115" t="inlineStr">
        <is>
          <t>PD051 ACUÑA</t>
        </is>
      </c>
      <c r="AC115" t="n">
        <v>56103638</v>
      </c>
      <c r="AD115" t="n">
        <v>6644381540</v>
      </c>
      <c r="AE115" t="n">
        <v>4</v>
      </c>
      <c r="AF115" t="inlineStr">
        <is>
          <t>ENTREGA DIRECTA</t>
        </is>
      </c>
      <c r="AG115" t="n">
        <v>1</v>
      </c>
      <c r="AH115" t="inlineStr">
        <is>
          <t>TO</t>
        </is>
      </c>
      <c r="AI115" t="inlineStr">
        <is>
          <t>X</t>
        </is>
      </c>
      <c r="AJ115" t="n">
        <v>4</v>
      </c>
      <c r="AK115" t="inlineStr">
        <is>
          <t>V4</t>
        </is>
      </c>
      <c r="AL115" t="n">
        <v>20240514</v>
      </c>
      <c r="AM115" t="inlineStr">
        <is>
          <t>DW81-900007998-D149-10000572-4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2026-09-14T14:23:29Z</dcterms:created>
  <dcterms:modified xsi:type="dcterms:W3CDTF">2026-09-14T14:23:30Z</dcterms:modified>
</cp:coreProperties>
</file>